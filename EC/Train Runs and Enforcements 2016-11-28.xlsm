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Runs'!$A$12:$AG$242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2" i="9" l="1"/>
  <c r="C82" i="9"/>
  <c r="B83" i="9"/>
  <c r="C84" i="9" s="1"/>
  <c r="C83" i="9"/>
  <c r="B84" i="9"/>
  <c r="B85" i="9"/>
  <c r="C86" i="9" s="1"/>
  <c r="C85" i="9"/>
  <c r="B86" i="9"/>
  <c r="B87" i="9"/>
  <c r="C88" i="9" s="1"/>
  <c r="C87" i="9"/>
  <c r="B88" i="9"/>
  <c r="B89" i="9"/>
  <c r="C90" i="9" s="1"/>
  <c r="C89" i="9"/>
  <c r="B90" i="9"/>
  <c r="B91" i="9"/>
  <c r="C92" i="9" s="1"/>
  <c r="C91" i="9"/>
  <c r="B92" i="9"/>
  <c r="B93" i="9"/>
  <c r="C94" i="9" s="1"/>
  <c r="C93" i="9"/>
  <c r="B94" i="9"/>
  <c r="B95" i="9"/>
  <c r="C96" i="9" s="1"/>
  <c r="C95" i="9"/>
  <c r="B96" i="9"/>
  <c r="B97" i="9"/>
  <c r="C98" i="9" s="1"/>
  <c r="C97" i="9"/>
  <c r="B98" i="9"/>
  <c r="B99" i="9"/>
  <c r="C100" i="9" s="1"/>
  <c r="C99" i="9"/>
  <c r="B100" i="9"/>
  <c r="B101" i="9"/>
  <c r="C102" i="9" s="1"/>
  <c r="C101" i="9"/>
  <c r="B102" i="9"/>
  <c r="B103" i="9"/>
  <c r="C104" i="9" s="1"/>
  <c r="C103" i="9"/>
  <c r="B104" i="9"/>
  <c r="B105" i="9"/>
  <c r="C106" i="9" s="1"/>
  <c r="C105" i="9"/>
  <c r="B106" i="9"/>
  <c r="B107" i="9"/>
  <c r="C108" i="9" s="1"/>
  <c r="C107" i="9"/>
  <c r="B108" i="9"/>
  <c r="B109" i="9"/>
  <c r="C110" i="9" s="1"/>
  <c r="C109" i="9"/>
  <c r="B110" i="9"/>
  <c r="B111" i="9"/>
  <c r="C112" i="9" s="1"/>
  <c r="C111" i="9"/>
  <c r="B112" i="9"/>
  <c r="B113" i="9"/>
  <c r="C114" i="9" s="1"/>
  <c r="C113" i="9"/>
  <c r="B114" i="9"/>
  <c r="X185" i="1"/>
  <c r="X186" i="1"/>
  <c r="X187" i="1"/>
  <c r="X188" i="1"/>
  <c r="X189" i="1"/>
  <c r="M28" i="5" l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T15" i="1"/>
  <c r="V15" i="1"/>
  <c r="Y15" i="1"/>
  <c r="Z15" i="1"/>
  <c r="AA15" i="1" s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I16" i="1" s="1"/>
  <c r="AB16" i="1"/>
  <c r="AC16" i="1"/>
  <c r="AD16" i="1"/>
  <c r="AG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I20" i="1" s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AA23" i="1" s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K25" i="1"/>
  <c r="L25" i="1"/>
  <c r="M25" i="1"/>
  <c r="N25" i="1" s="1"/>
  <c r="V25" i="1"/>
  <c r="S11" i="3" s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T27" i="1"/>
  <c r="V27" i="1"/>
  <c r="Y27" i="1"/>
  <c r="Z27" i="1"/>
  <c r="AB27" i="1"/>
  <c r="AC27" i="1"/>
  <c r="AD27" i="1"/>
  <c r="AE27" i="1"/>
  <c r="AF27" i="1"/>
  <c r="AH27" i="1"/>
  <c r="K28" i="1"/>
  <c r="L28" i="1"/>
  <c r="M28" i="1"/>
  <c r="N28" i="1" s="1"/>
  <c r="V28" i="1"/>
  <c r="Y28" i="1"/>
  <c r="Z28" i="1"/>
  <c r="AA28" i="1" s="1"/>
  <c r="W28" i="1" s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A29" i="1" s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AA31" i="1" s="1"/>
  <c r="Z31" i="1"/>
  <c r="AB31" i="1"/>
  <c r="AC31" i="1"/>
  <c r="AD31" i="1"/>
  <c r="X31" i="1" s="1"/>
  <c r="AE31" i="1"/>
  <c r="AF31" i="1"/>
  <c r="AH31" i="1"/>
  <c r="K32" i="1"/>
  <c r="L32" i="1"/>
  <c r="M32" i="1"/>
  <c r="N32" i="1"/>
  <c r="V32" i="1"/>
  <c r="Y32" i="1"/>
  <c r="Z32" i="1"/>
  <c r="AB32" i="1"/>
  <c r="AC32" i="1"/>
  <c r="AD32" i="1"/>
  <c r="AG32" i="1" s="1"/>
  <c r="AE32" i="1"/>
  <c r="AF32" i="1"/>
  <c r="AH32" i="1"/>
  <c r="AI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R8" i="3" s="1"/>
  <c r="AF34" i="1"/>
  <c r="AH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X43" i="1" s="1"/>
  <c r="AE42" i="1"/>
  <c r="AF42" i="1"/>
  <c r="AH42" i="1"/>
  <c r="K43" i="1"/>
  <c r="L43" i="1"/>
  <c r="M43" i="1"/>
  <c r="N43" i="1" s="1"/>
  <c r="T43" i="1"/>
  <c r="V43" i="1"/>
  <c r="Y43" i="1"/>
  <c r="Z43" i="1"/>
  <c r="AB43" i="1"/>
  <c r="AC43" i="1"/>
  <c r="AD43" i="1"/>
  <c r="AE43" i="1"/>
  <c r="AF43" i="1"/>
  <c r="AG43" i="1"/>
  <c r="AH43" i="1"/>
  <c r="K44" i="1"/>
  <c r="L44" i="1"/>
  <c r="M44" i="1"/>
  <c r="N44" i="1" s="1"/>
  <c r="V44" i="1"/>
  <c r="Y44" i="1"/>
  <c r="Z44" i="1"/>
  <c r="AI44" i="1" s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T47" i="1"/>
  <c r="V47" i="1"/>
  <c r="Y47" i="1"/>
  <c r="Z47" i="1"/>
  <c r="AB47" i="1"/>
  <c r="AC47" i="1"/>
  <c r="AD47" i="1"/>
  <c r="AE47" i="1"/>
  <c r="AF47" i="1"/>
  <c r="AG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A49" i="1" s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S13" i="3" s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/>
  <c r="V57" i="1"/>
  <c r="Y57" i="1"/>
  <c r="Z57" i="1"/>
  <c r="AA57" i="1"/>
  <c r="W57" i="1" s="1"/>
  <c r="AB57" i="1"/>
  <c r="AC57" i="1"/>
  <c r="AD57" i="1"/>
  <c r="AG57" i="1" s="1"/>
  <c r="AE57" i="1"/>
  <c r="AF57" i="1"/>
  <c r="AH57" i="1"/>
  <c r="AI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A61" i="1" s="1"/>
  <c r="W61" i="1" s="1"/>
  <c r="AB61" i="1"/>
  <c r="AC61" i="1"/>
  <c r="AD61" i="1"/>
  <c r="AG61" i="1" s="1"/>
  <c r="AE61" i="1"/>
  <c r="AF61" i="1"/>
  <c r="AH61" i="1"/>
  <c r="AI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A65" i="1" s="1"/>
  <c r="W65" i="1" s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A67" i="1" s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Y69" i="1"/>
  <c r="Z69" i="1"/>
  <c r="AA69" i="1" s="1"/>
  <c r="W69" i="1" s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A70" i="1" s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A71" i="1" s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I73" i="1" s="1"/>
  <c r="AB73" i="1"/>
  <c r="AC73" i="1"/>
  <c r="AD73" i="1"/>
  <c r="AG73" i="1" s="1"/>
  <c r="AE73" i="1"/>
  <c r="AF73" i="1"/>
  <c r="AH73" i="1"/>
  <c r="K74" i="1"/>
  <c r="L74" i="1"/>
  <c r="M74" i="1"/>
  <c r="N74" i="1"/>
  <c r="V74" i="1"/>
  <c r="Y74" i="1"/>
  <c r="AA74" i="1" s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T76" i="1"/>
  <c r="V76" i="1"/>
  <c r="Y76" i="1"/>
  <c r="Z76" i="1"/>
  <c r="AB76" i="1"/>
  <c r="AC76" i="1"/>
  <c r="AD76" i="1"/>
  <c r="X76" i="1" s="1"/>
  <c r="AE76" i="1"/>
  <c r="AF76" i="1"/>
  <c r="AH76" i="1"/>
  <c r="K77" i="1"/>
  <c r="L77" i="1"/>
  <c r="M77" i="1"/>
  <c r="N77" i="1" s="1"/>
  <c r="V77" i="1"/>
  <c r="X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S10" i="3" s="1"/>
  <c r="Y81" i="1"/>
  <c r="Z81" i="1"/>
  <c r="AB81" i="1"/>
  <c r="AC81" i="1"/>
  <c r="AD81" i="1"/>
  <c r="AG81" i="1" s="1"/>
  <c r="AE81" i="1"/>
  <c r="AF81" i="1"/>
  <c r="AH81" i="1"/>
  <c r="AI81" i="1"/>
  <c r="K82" i="1"/>
  <c r="L82" i="1"/>
  <c r="M82" i="1"/>
  <c r="N82" i="1" s="1"/>
  <c r="V82" i="1"/>
  <c r="Y82" i="1"/>
  <c r="Z82" i="1"/>
  <c r="AA82" i="1" s="1"/>
  <c r="AB82" i="1"/>
  <c r="AC82" i="1"/>
  <c r="AD82" i="1"/>
  <c r="AG82" i="1" s="1"/>
  <c r="AE82" i="1"/>
  <c r="R23" i="3" s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A85" i="1" s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A86" i="1" s="1"/>
  <c r="W86" i="1" s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I90" i="1" s="1"/>
  <c r="AE90" i="1"/>
  <c r="R24" i="3" s="1"/>
  <c r="AF90" i="1"/>
  <c r="AH90" i="1"/>
  <c r="K91" i="1"/>
  <c r="L91" i="1"/>
  <c r="M91" i="1"/>
  <c r="N91" i="1"/>
  <c r="V91" i="1"/>
  <c r="Y91" i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G93" i="1"/>
  <c r="AH93" i="1"/>
  <c r="K94" i="1"/>
  <c r="L94" i="1"/>
  <c r="M94" i="1"/>
  <c r="N94" i="1" s="1"/>
  <c r="V94" i="1"/>
  <c r="Y94" i="1"/>
  <c r="Z94" i="1"/>
  <c r="AA94" i="1" s="1"/>
  <c r="W94" i="1" s="1"/>
  <c r="AB94" i="1"/>
  <c r="AC94" i="1"/>
  <c r="AD94" i="1"/>
  <c r="AG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S20" i="3" s="1"/>
  <c r="Y98" i="1"/>
  <c r="Z98" i="1"/>
  <c r="AB98" i="1"/>
  <c r="AC98" i="1"/>
  <c r="AD98" i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T103" i="1"/>
  <c r="V103" i="1"/>
  <c r="Y103" i="1"/>
  <c r="Z103" i="1"/>
  <c r="AB103" i="1"/>
  <c r="AC103" i="1"/>
  <c r="AD103" i="1"/>
  <c r="AG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Y105" i="1"/>
  <c r="Z105" i="1"/>
  <c r="AA105" i="1" s="1"/>
  <c r="AB105" i="1"/>
  <c r="AC105" i="1"/>
  <c r="AD105" i="1"/>
  <c r="AE105" i="1"/>
  <c r="AF105" i="1"/>
  <c r="AH105" i="1"/>
  <c r="K106" i="1"/>
  <c r="L106" i="1"/>
  <c r="M106" i="1"/>
  <c r="N106" i="1" s="1"/>
  <c r="V106" i="1"/>
  <c r="Y106" i="1"/>
  <c r="Z106" i="1"/>
  <c r="AA106" i="1" s="1"/>
  <c r="AB106" i="1"/>
  <c r="AC106" i="1"/>
  <c r="AD106" i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A109" i="1" s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A110" i="1" s="1"/>
  <c r="AB110" i="1"/>
  <c r="AC110" i="1"/>
  <c r="AD110" i="1"/>
  <c r="AE110" i="1"/>
  <c r="R9" i="3" s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P114" i="1" s="1"/>
  <c r="V114" i="1"/>
  <c r="Y114" i="1"/>
  <c r="Z114" i="1"/>
  <c r="AB114" i="1"/>
  <c r="AC114" i="1"/>
  <c r="AD114" i="1"/>
  <c r="AE114" i="1"/>
  <c r="AF114" i="1"/>
  <c r="AH114" i="1"/>
  <c r="K115" i="1"/>
  <c r="L115" i="1"/>
  <c r="M115" i="1"/>
  <c r="V115" i="1"/>
  <c r="Y115" i="1"/>
  <c r="Z115" i="1"/>
  <c r="AB115" i="1"/>
  <c r="AC115" i="1"/>
  <c r="AD115" i="1"/>
  <c r="AG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K119" i="1"/>
  <c r="L119" i="1"/>
  <c r="M119" i="1"/>
  <c r="N119" i="1" s="1"/>
  <c r="V119" i="1"/>
  <c r="Y119" i="1"/>
  <c r="AA119" i="1" s="1"/>
  <c r="Z119" i="1"/>
  <c r="AB119" i="1"/>
  <c r="AC119" i="1"/>
  <c r="AD119" i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T123" i="1"/>
  <c r="V123" i="1"/>
  <c r="Y123" i="1"/>
  <c r="Z123" i="1"/>
  <c r="AB123" i="1"/>
  <c r="AC123" i="1"/>
  <c r="AD123" i="1"/>
  <c r="AE123" i="1"/>
  <c r="AF123" i="1"/>
  <c r="AG123" i="1"/>
  <c r="AH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E125" i="1"/>
  <c r="R26" i="3" s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Y128" i="1"/>
  <c r="Z128" i="1"/>
  <c r="AA128" i="1" s="1"/>
  <c r="W128" i="1" s="1"/>
  <c r="AB128" i="1"/>
  <c r="AC128" i="1"/>
  <c r="AD128" i="1"/>
  <c r="AG128" i="1" s="1"/>
  <c r="AE128" i="1"/>
  <c r="AF128" i="1"/>
  <c r="AH128" i="1"/>
  <c r="AI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AG130" i="1"/>
  <c r="AH130" i="1"/>
  <c r="K131" i="1"/>
  <c r="L131" i="1"/>
  <c r="M131" i="1"/>
  <c r="N131" i="1" s="1"/>
  <c r="V131" i="1"/>
  <c r="Y131" i="1"/>
  <c r="Z131" i="1"/>
  <c r="AA131" i="1" s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X134" i="1" s="1"/>
  <c r="AE134" i="1"/>
  <c r="AF134" i="1"/>
  <c r="AH134" i="1"/>
  <c r="K135" i="1"/>
  <c r="L135" i="1"/>
  <c r="M135" i="1"/>
  <c r="N135" i="1" s="1"/>
  <c r="T135" i="1"/>
  <c r="V135" i="1"/>
  <c r="S12" i="3" s="1"/>
  <c r="Y135" i="1"/>
  <c r="Z135" i="1"/>
  <c r="AB135" i="1"/>
  <c r="AC135" i="1"/>
  <c r="AD135" i="1"/>
  <c r="AE135" i="1"/>
  <c r="R12" i="3" s="1"/>
  <c r="AF135" i="1"/>
  <c r="AG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40" i="1"/>
  <c r="K141" i="1"/>
  <c r="L141" i="1"/>
  <c r="M141" i="1"/>
  <c r="N141" i="1" s="1"/>
  <c r="V141" i="1"/>
  <c r="Y141" i="1"/>
  <c r="AA141" i="1" s="1"/>
  <c r="Z141" i="1"/>
  <c r="AB141" i="1"/>
  <c r="AC141" i="1"/>
  <c r="AD141" i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K148" i="1"/>
  <c r="L148" i="1"/>
  <c r="M148" i="1"/>
  <c r="N148" i="1" s="1"/>
  <c r="V148" i="1"/>
  <c r="Y148" i="1"/>
  <c r="Z148" i="1"/>
  <c r="AA148" i="1" s="1"/>
  <c r="W148" i="1" s="1"/>
  <c r="AB148" i="1"/>
  <c r="AC148" i="1"/>
  <c r="AD148" i="1"/>
  <c r="AG148" i="1" s="1"/>
  <c r="AE148" i="1"/>
  <c r="AF148" i="1"/>
  <c r="AH148" i="1"/>
  <c r="AI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X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AF151" i="1"/>
  <c r="AH151" i="1"/>
  <c r="K152" i="1"/>
  <c r="L152" i="1"/>
  <c r="M152" i="1"/>
  <c r="N152" i="1" s="1"/>
  <c r="V152" i="1"/>
  <c r="Y152" i="1"/>
  <c r="Z152" i="1"/>
  <c r="AA152" i="1" s="1"/>
  <c r="AB152" i="1"/>
  <c r="AC152" i="1"/>
  <c r="AD152" i="1"/>
  <c r="AE152" i="1"/>
  <c r="AF152" i="1"/>
  <c r="AH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S17" i="3" s="1"/>
  <c r="Y154" i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X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K205" i="1"/>
  <c r="L205" i="1"/>
  <c r="M205" i="1"/>
  <c r="N205" i="1"/>
  <c r="V205" i="1"/>
  <c r="Y205" i="1"/>
  <c r="Z205" i="1"/>
  <c r="AB205" i="1"/>
  <c r="AC205" i="1"/>
  <c r="AD205" i="1"/>
  <c r="AG205" i="1" s="1"/>
  <c r="AE205" i="1"/>
  <c r="AF205" i="1"/>
  <c r="AH158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V209" i="1"/>
  <c r="Y209" i="1"/>
  <c r="Z209" i="1"/>
  <c r="AI209" i="1" s="1"/>
  <c r="AB209" i="1"/>
  <c r="AC209" i="1"/>
  <c r="AD209" i="1"/>
  <c r="AG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I212" i="1" s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K216" i="1"/>
  <c r="L216" i="1"/>
  <c r="M216" i="1"/>
  <c r="N216" i="1" s="1"/>
  <c r="T216" i="1"/>
  <c r="V216" i="1"/>
  <c r="Y216" i="1"/>
  <c r="Z216" i="1"/>
  <c r="AB216" i="1"/>
  <c r="AC216" i="1"/>
  <c r="AD216" i="1"/>
  <c r="AG216" i="1" s="1"/>
  <c r="AE216" i="1"/>
  <c r="AF216" i="1"/>
  <c r="AH169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2" i="1"/>
  <c r="K226" i="1"/>
  <c r="L226" i="1"/>
  <c r="M226" i="1"/>
  <c r="N226" i="1" s="1"/>
  <c r="V226" i="1"/>
  <c r="S51" i="3" s="1"/>
  <c r="Y226" i="1"/>
  <c r="Z226" i="1"/>
  <c r="AB226" i="1"/>
  <c r="AC226" i="1"/>
  <c r="AD226" i="1"/>
  <c r="AG226" i="1" s="1"/>
  <c r="AE226" i="1"/>
  <c r="AF226" i="1"/>
  <c r="AH173" i="1"/>
  <c r="K227" i="1"/>
  <c r="L227" i="1"/>
  <c r="M227" i="1"/>
  <c r="N227" i="1"/>
  <c r="V227" i="1"/>
  <c r="Y227" i="1"/>
  <c r="Z227" i="1"/>
  <c r="AB227" i="1"/>
  <c r="AC227" i="1"/>
  <c r="AD227" i="1"/>
  <c r="AG227" i="1" s="1"/>
  <c r="AE227" i="1"/>
  <c r="R49" i="3" s="1"/>
  <c r="AF227" i="1"/>
  <c r="AH174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5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6" i="1"/>
  <c r="K230" i="1"/>
  <c r="L230" i="1"/>
  <c r="M230" i="1"/>
  <c r="N230" i="1" s="1"/>
  <c r="V230" i="1"/>
  <c r="Y230" i="1"/>
  <c r="Z230" i="1"/>
  <c r="AA230" i="1" s="1"/>
  <c r="AB230" i="1"/>
  <c r="AC230" i="1"/>
  <c r="AD230" i="1"/>
  <c r="T230" i="1" s="1"/>
  <c r="AE230" i="1"/>
  <c r="AF230" i="1"/>
  <c r="AH177" i="1"/>
  <c r="K231" i="1"/>
  <c r="L231" i="1"/>
  <c r="M231" i="1"/>
  <c r="N231" i="1" s="1"/>
  <c r="V231" i="1"/>
  <c r="Y231" i="1"/>
  <c r="Z231" i="1"/>
  <c r="AA231" i="1" s="1"/>
  <c r="W231" i="1" s="1"/>
  <c r="AB231" i="1"/>
  <c r="AC231" i="1"/>
  <c r="AD231" i="1"/>
  <c r="AG231" i="1" s="1"/>
  <c r="AE231" i="1"/>
  <c r="AF231" i="1"/>
  <c r="AH178" i="1"/>
  <c r="K158" i="1"/>
  <c r="L158" i="1"/>
  <c r="M158" i="1"/>
  <c r="N158" i="1" s="1"/>
  <c r="V158" i="1"/>
  <c r="S32" i="3" s="1"/>
  <c r="Y158" i="1"/>
  <c r="Z158" i="1"/>
  <c r="AB158" i="1"/>
  <c r="AC158" i="1"/>
  <c r="AD158" i="1"/>
  <c r="AG158" i="1" s="1"/>
  <c r="AE158" i="1"/>
  <c r="R32" i="3" s="1"/>
  <c r="AF158" i="1"/>
  <c r="AH179" i="1"/>
  <c r="K159" i="1"/>
  <c r="L159" i="1"/>
  <c r="M159" i="1"/>
  <c r="N159" i="1" s="1"/>
  <c r="V159" i="1"/>
  <c r="Y159" i="1"/>
  <c r="Z159" i="1"/>
  <c r="AA159" i="1" s="1"/>
  <c r="AB159" i="1"/>
  <c r="AC159" i="1"/>
  <c r="AD159" i="1"/>
  <c r="AE159" i="1"/>
  <c r="R41" i="3" s="1"/>
  <c r="AF159" i="1"/>
  <c r="AH180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181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82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3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R42" i="3" s="1"/>
  <c r="AF163" i="1"/>
  <c r="AH184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AF164" i="1"/>
  <c r="AH185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6" i="1"/>
  <c r="K167" i="1"/>
  <c r="L167" i="1"/>
  <c r="M167" i="1"/>
  <c r="N167" i="1" s="1"/>
  <c r="V167" i="1"/>
  <c r="S43" i="3" s="1"/>
  <c r="Y167" i="1"/>
  <c r="Z167" i="1"/>
  <c r="AA167" i="1" s="1"/>
  <c r="AB167" i="1"/>
  <c r="AC167" i="1"/>
  <c r="AD167" i="1"/>
  <c r="AE167" i="1"/>
  <c r="AF167" i="1"/>
  <c r="AH187" i="1"/>
  <c r="K168" i="1"/>
  <c r="L168" i="1"/>
  <c r="M168" i="1"/>
  <c r="N168" i="1" s="1"/>
  <c r="V168" i="1"/>
  <c r="X168" i="1"/>
  <c r="Y168" i="1"/>
  <c r="Z168" i="1"/>
  <c r="AB168" i="1"/>
  <c r="AC168" i="1"/>
  <c r="AD168" i="1"/>
  <c r="T168" i="1" s="1"/>
  <c r="AE168" i="1"/>
  <c r="AF168" i="1"/>
  <c r="AG168" i="1"/>
  <c r="AH188" i="1"/>
  <c r="K169" i="1"/>
  <c r="L169" i="1"/>
  <c r="M169" i="1"/>
  <c r="N169" i="1" s="1"/>
  <c r="V169" i="1"/>
  <c r="S44" i="3" s="1"/>
  <c r="Y169" i="1"/>
  <c r="Z169" i="1"/>
  <c r="AB169" i="1"/>
  <c r="AC169" i="1"/>
  <c r="AD169" i="1"/>
  <c r="AG169" i="1" s="1"/>
  <c r="AE169" i="1"/>
  <c r="R44" i="3" s="1"/>
  <c r="AF169" i="1"/>
  <c r="AH189" i="1"/>
  <c r="K170" i="1"/>
  <c r="L170" i="1"/>
  <c r="M170" i="1"/>
  <c r="N170" i="1" s="1"/>
  <c r="V170" i="1"/>
  <c r="Y170" i="1"/>
  <c r="Z170" i="1"/>
  <c r="AA170" i="1" s="1"/>
  <c r="AB170" i="1"/>
  <c r="AC170" i="1"/>
  <c r="AD170" i="1"/>
  <c r="AE170" i="1"/>
  <c r="AF170" i="1"/>
  <c r="AH19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92" i="1"/>
  <c r="K173" i="1"/>
  <c r="L173" i="1"/>
  <c r="M173" i="1"/>
  <c r="N173" i="1" s="1"/>
  <c r="V173" i="1"/>
  <c r="Y173" i="1"/>
  <c r="AA173" i="1" s="1"/>
  <c r="Z173" i="1"/>
  <c r="AB173" i="1"/>
  <c r="AC173" i="1"/>
  <c r="AD173" i="1"/>
  <c r="AG173" i="1" s="1"/>
  <c r="AE173" i="1"/>
  <c r="AF173" i="1"/>
  <c r="AH193" i="1"/>
  <c r="K174" i="1"/>
  <c r="L174" i="1"/>
  <c r="M174" i="1"/>
  <c r="N174" i="1" s="1"/>
  <c r="V174" i="1"/>
  <c r="Y174" i="1"/>
  <c r="Z174" i="1"/>
  <c r="AB174" i="1"/>
  <c r="AC174" i="1"/>
  <c r="AD174" i="1"/>
  <c r="AG174" i="1" s="1"/>
  <c r="AI174" i="1" s="1"/>
  <c r="AE174" i="1"/>
  <c r="AF174" i="1"/>
  <c r="AH19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6" i="1"/>
  <c r="K177" i="1"/>
  <c r="L177" i="1"/>
  <c r="M177" i="1"/>
  <c r="N177" i="1" s="1"/>
  <c r="V177" i="1"/>
  <c r="Y177" i="1"/>
  <c r="AA177" i="1" s="1"/>
  <c r="Z177" i="1"/>
  <c r="AB177" i="1"/>
  <c r="AC177" i="1"/>
  <c r="AD177" i="1"/>
  <c r="AG177" i="1" s="1"/>
  <c r="AI177" i="1" s="1"/>
  <c r="AE177" i="1"/>
  <c r="AF177" i="1"/>
  <c r="AH19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8" i="1"/>
  <c r="K179" i="1"/>
  <c r="L179" i="1"/>
  <c r="M179" i="1"/>
  <c r="N179" i="1" s="1"/>
  <c r="V179" i="1"/>
  <c r="Y179" i="1"/>
  <c r="Z179" i="1"/>
  <c r="AB179" i="1"/>
  <c r="AC179" i="1"/>
  <c r="AD179" i="1"/>
  <c r="X179" i="1" s="1"/>
  <c r="AE179" i="1"/>
  <c r="AF179" i="1"/>
  <c r="AH199" i="1"/>
  <c r="K180" i="1"/>
  <c r="L180" i="1"/>
  <c r="M180" i="1"/>
  <c r="N180" i="1" s="1"/>
  <c r="T180" i="1"/>
  <c r="V180" i="1"/>
  <c r="S36" i="3" s="1"/>
  <c r="Y180" i="1"/>
  <c r="Z180" i="1"/>
  <c r="AB180" i="1"/>
  <c r="AC180" i="1"/>
  <c r="AD180" i="1"/>
  <c r="AE180" i="1"/>
  <c r="R36" i="3" s="1"/>
  <c r="AF180" i="1"/>
  <c r="AH200" i="1"/>
  <c r="K181" i="1"/>
  <c r="L181" i="1"/>
  <c r="M181" i="1"/>
  <c r="N181" i="1" s="1"/>
  <c r="V181" i="1"/>
  <c r="Y181" i="1"/>
  <c r="Z181" i="1"/>
  <c r="AA181" i="1" s="1"/>
  <c r="W181" i="1" s="1"/>
  <c r="AB181" i="1"/>
  <c r="AC181" i="1"/>
  <c r="AD181" i="1"/>
  <c r="AG181" i="1" s="1"/>
  <c r="AE181" i="1"/>
  <c r="AF181" i="1"/>
  <c r="AH20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R30" i="3" s="1"/>
  <c r="AF183" i="1"/>
  <c r="AH20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5" i="1"/>
  <c r="AI205" i="1"/>
  <c r="AH206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7" i="1"/>
  <c r="K187" i="1"/>
  <c r="L187" i="1"/>
  <c r="M187" i="1"/>
  <c r="N187" i="1" s="1"/>
  <c r="V187" i="1"/>
  <c r="Y187" i="1"/>
  <c r="Z187" i="1"/>
  <c r="AA187" i="1" s="1"/>
  <c r="AB187" i="1"/>
  <c r="AC187" i="1"/>
  <c r="AD187" i="1"/>
  <c r="AG187" i="1" s="1"/>
  <c r="AE187" i="1"/>
  <c r="AF187" i="1"/>
  <c r="AH208" i="1"/>
  <c r="K188" i="1"/>
  <c r="L188" i="1"/>
  <c r="M188" i="1"/>
  <c r="N188" i="1" s="1"/>
  <c r="V188" i="1"/>
  <c r="Y188" i="1"/>
  <c r="Z188" i="1"/>
  <c r="AA188" i="1" s="1"/>
  <c r="W188" i="1" s="1"/>
  <c r="AB188" i="1"/>
  <c r="AC188" i="1"/>
  <c r="AD188" i="1"/>
  <c r="AG188" i="1" s="1"/>
  <c r="AE188" i="1"/>
  <c r="AF188" i="1"/>
  <c r="AH209" i="1"/>
  <c r="K189" i="1"/>
  <c r="L189" i="1"/>
  <c r="M189" i="1"/>
  <c r="N189" i="1" s="1"/>
  <c r="V189" i="1"/>
  <c r="Y189" i="1"/>
  <c r="AA189" i="1" s="1"/>
  <c r="Z189" i="1"/>
  <c r="AB189" i="1"/>
  <c r="AC189" i="1"/>
  <c r="AD189" i="1"/>
  <c r="AG189" i="1" s="1"/>
  <c r="AI189" i="1" s="1"/>
  <c r="AE189" i="1"/>
  <c r="AF189" i="1"/>
  <c r="AH210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1" i="1"/>
  <c r="K191" i="1"/>
  <c r="L191" i="1"/>
  <c r="M191" i="1"/>
  <c r="N191" i="1" s="1"/>
  <c r="V191" i="1"/>
  <c r="Y191" i="1"/>
  <c r="AA191" i="1" s="1"/>
  <c r="Z191" i="1"/>
  <c r="AB191" i="1"/>
  <c r="AC191" i="1"/>
  <c r="AD191" i="1"/>
  <c r="T191" i="1" s="1"/>
  <c r="AE191" i="1"/>
  <c r="AF191" i="1"/>
  <c r="AH212" i="1"/>
  <c r="K192" i="1"/>
  <c r="L192" i="1"/>
  <c r="M192" i="1"/>
  <c r="N192" i="1" s="1"/>
  <c r="V192" i="1"/>
  <c r="S38" i="3" s="1"/>
  <c r="Y192" i="1"/>
  <c r="Z192" i="1"/>
  <c r="AB192" i="1"/>
  <c r="AC192" i="1"/>
  <c r="AD192" i="1"/>
  <c r="AG192" i="1" s="1"/>
  <c r="AI192" i="1" s="1"/>
  <c r="AE192" i="1"/>
  <c r="R33" i="3" s="1"/>
  <c r="AF192" i="1"/>
  <c r="AH213" i="1"/>
  <c r="K193" i="1"/>
  <c r="L193" i="1"/>
  <c r="M193" i="1"/>
  <c r="N193" i="1"/>
  <c r="V193" i="1"/>
  <c r="S31" i="3" s="1"/>
  <c r="Y193" i="1"/>
  <c r="Z193" i="1"/>
  <c r="AB193" i="1"/>
  <c r="AC193" i="1"/>
  <c r="AD193" i="1"/>
  <c r="AE193" i="1"/>
  <c r="AF193" i="1"/>
  <c r="AH214" i="1"/>
  <c r="K194" i="1"/>
  <c r="L194" i="1"/>
  <c r="M194" i="1"/>
  <c r="N194" i="1" s="1"/>
  <c r="V194" i="1"/>
  <c r="Y194" i="1"/>
  <c r="Z194" i="1"/>
  <c r="AB194" i="1"/>
  <c r="AC194" i="1"/>
  <c r="AD194" i="1"/>
  <c r="X194" i="1" s="1"/>
  <c r="AE194" i="1"/>
  <c r="AF194" i="1"/>
  <c r="AH215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6" i="1"/>
  <c r="K196" i="1"/>
  <c r="L196" i="1"/>
  <c r="M196" i="1"/>
  <c r="N196" i="1" s="1"/>
  <c r="V196" i="1"/>
  <c r="Y196" i="1"/>
  <c r="Z196" i="1"/>
  <c r="AB196" i="1"/>
  <c r="AC196" i="1"/>
  <c r="AD196" i="1"/>
  <c r="AG196" i="1" s="1"/>
  <c r="AI196" i="1" s="1"/>
  <c r="AE196" i="1"/>
  <c r="AF196" i="1"/>
  <c r="AH217" i="1"/>
  <c r="AI217" i="1"/>
  <c r="K197" i="1"/>
  <c r="L197" i="1"/>
  <c r="M197" i="1"/>
  <c r="N197" i="1" s="1"/>
  <c r="V197" i="1"/>
  <c r="Y197" i="1"/>
  <c r="AA197" i="1" s="1"/>
  <c r="Z197" i="1"/>
  <c r="AB197" i="1"/>
  <c r="AC197" i="1"/>
  <c r="AD197" i="1"/>
  <c r="AE197" i="1"/>
  <c r="AF197" i="1"/>
  <c r="AH218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9" i="1"/>
  <c r="K199" i="1"/>
  <c r="L199" i="1"/>
  <c r="M199" i="1"/>
  <c r="N199" i="1" s="1"/>
  <c r="V199" i="1"/>
  <c r="S47" i="3" s="1"/>
  <c r="Y199" i="1"/>
  <c r="Z199" i="1"/>
  <c r="AB199" i="1"/>
  <c r="AC199" i="1"/>
  <c r="AD199" i="1"/>
  <c r="X199" i="1" s="1"/>
  <c r="AE199" i="1"/>
  <c r="AF199" i="1"/>
  <c r="AH220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21" i="1"/>
  <c r="K201" i="1"/>
  <c r="L201" i="1"/>
  <c r="M201" i="1"/>
  <c r="N201" i="1" s="1"/>
  <c r="V201" i="1"/>
  <c r="Y201" i="1"/>
  <c r="Z201" i="1"/>
  <c r="AA201" i="1" s="1"/>
  <c r="AB201" i="1"/>
  <c r="AC201" i="1"/>
  <c r="AD201" i="1"/>
  <c r="AE201" i="1"/>
  <c r="AF201" i="1"/>
  <c r="AH222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3" i="1"/>
  <c r="K203" i="1"/>
  <c r="L203" i="1"/>
  <c r="M203" i="1"/>
  <c r="N203" i="1" s="1"/>
  <c r="V203" i="1"/>
  <c r="S48" i="3" s="1"/>
  <c r="Y203" i="1"/>
  <c r="Z203" i="1"/>
  <c r="AB203" i="1"/>
  <c r="AC203" i="1"/>
  <c r="AD203" i="1"/>
  <c r="AG203" i="1" s="1"/>
  <c r="AE203" i="1"/>
  <c r="R48" i="3" s="1"/>
  <c r="AF203" i="1"/>
  <c r="AH224" i="1"/>
  <c r="K204" i="1"/>
  <c r="L204" i="1"/>
  <c r="M204" i="1"/>
  <c r="N204" i="1" s="1"/>
  <c r="V204" i="1"/>
  <c r="Y204" i="1"/>
  <c r="Z204" i="1"/>
  <c r="AB204" i="1"/>
  <c r="AC204" i="1"/>
  <c r="AD204" i="1"/>
  <c r="X204" i="1" s="1"/>
  <c r="AE204" i="1"/>
  <c r="AF204" i="1"/>
  <c r="AH225" i="1"/>
  <c r="K218" i="1"/>
  <c r="L218" i="1"/>
  <c r="M218" i="1"/>
  <c r="N218" i="1" s="1"/>
  <c r="V218" i="1"/>
  <c r="S53" i="3" s="1"/>
  <c r="Y218" i="1"/>
  <c r="Z218" i="1"/>
  <c r="AB218" i="1"/>
  <c r="AC218" i="1"/>
  <c r="AD218" i="1"/>
  <c r="T218" i="1" s="1"/>
  <c r="AE218" i="1"/>
  <c r="R53" i="3" s="1"/>
  <c r="AF218" i="1"/>
  <c r="AH226" i="1"/>
  <c r="K219" i="1"/>
  <c r="L219" i="1"/>
  <c r="M219" i="1"/>
  <c r="N219" i="1"/>
  <c r="V219" i="1"/>
  <c r="Y219" i="1"/>
  <c r="Z219" i="1"/>
  <c r="AB219" i="1"/>
  <c r="AC219" i="1"/>
  <c r="AD219" i="1"/>
  <c r="T219" i="1" s="1"/>
  <c r="AE219" i="1"/>
  <c r="AF219" i="1"/>
  <c r="AH227" i="1"/>
  <c r="K220" i="1"/>
  <c r="L220" i="1"/>
  <c r="M220" i="1"/>
  <c r="N220" i="1" s="1"/>
  <c r="T220" i="1"/>
  <c r="V220" i="1"/>
  <c r="Y220" i="1"/>
  <c r="Z220" i="1"/>
  <c r="AB220" i="1"/>
  <c r="AC220" i="1"/>
  <c r="AD220" i="1"/>
  <c r="AE220" i="1"/>
  <c r="AF220" i="1"/>
  <c r="AG220" i="1"/>
  <c r="AH228" i="1"/>
  <c r="K221" i="1"/>
  <c r="L221" i="1"/>
  <c r="M221" i="1"/>
  <c r="N221" i="1" s="1"/>
  <c r="V221" i="1"/>
  <c r="Y221" i="1"/>
  <c r="Z221" i="1"/>
  <c r="AA221" i="1" s="1"/>
  <c r="W221" i="1" s="1"/>
  <c r="AB221" i="1"/>
  <c r="AC221" i="1"/>
  <c r="AD221" i="1"/>
  <c r="AG221" i="1" s="1"/>
  <c r="AI221" i="1" s="1"/>
  <c r="AE221" i="1"/>
  <c r="AF221" i="1"/>
  <c r="AH22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0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1" i="1"/>
  <c r="M18" i="3"/>
  <c r="N18" i="3"/>
  <c r="R18" i="3"/>
  <c r="S18" i="3"/>
  <c r="U18" i="3"/>
  <c r="T18" i="3" s="1"/>
  <c r="V18" i="3"/>
  <c r="W18" i="3"/>
  <c r="X18" i="3"/>
  <c r="AC18" i="3"/>
  <c r="M53" i="3"/>
  <c r="N53" i="3"/>
  <c r="U53" i="3"/>
  <c r="AD53" i="3" s="1"/>
  <c r="V53" i="3"/>
  <c r="W53" i="3"/>
  <c r="X53" i="3"/>
  <c r="AC53" i="3"/>
  <c r="M32" i="3"/>
  <c r="N32" i="3"/>
  <c r="U32" i="3"/>
  <c r="T32" i="3" s="1"/>
  <c r="V32" i="3"/>
  <c r="W32" i="3"/>
  <c r="X32" i="3"/>
  <c r="AC32" i="3"/>
  <c r="M34" i="3"/>
  <c r="N34" i="3"/>
  <c r="S34" i="3"/>
  <c r="U34" i="3"/>
  <c r="T34" i="3" s="1"/>
  <c r="V34" i="3"/>
  <c r="W34" i="3"/>
  <c r="X34" i="3"/>
  <c r="AC34" i="3"/>
  <c r="M7" i="3"/>
  <c r="N7" i="3"/>
  <c r="R7" i="3"/>
  <c r="S7" i="3"/>
  <c r="U7" i="3"/>
  <c r="T7" i="3" s="1"/>
  <c r="V7" i="3"/>
  <c r="W7" i="3"/>
  <c r="X7" i="3"/>
  <c r="AC7" i="3"/>
  <c r="M11" i="3"/>
  <c r="N11" i="3"/>
  <c r="R11" i="3"/>
  <c r="U11" i="3"/>
  <c r="AD34" i="3" s="1"/>
  <c r="V11" i="3"/>
  <c r="W11" i="3"/>
  <c r="X11" i="3"/>
  <c r="AC11" i="3"/>
  <c r="M41" i="3"/>
  <c r="N41" i="3"/>
  <c r="S41" i="3"/>
  <c r="U41" i="3"/>
  <c r="T41" i="3" s="1"/>
  <c r="V41" i="3"/>
  <c r="W41" i="3"/>
  <c r="X41" i="3"/>
  <c r="AC41" i="3"/>
  <c r="M35" i="3"/>
  <c r="N35" i="3"/>
  <c r="R35" i="3"/>
  <c r="S35" i="3"/>
  <c r="U35" i="3"/>
  <c r="T35" i="3" s="1"/>
  <c r="V35" i="3"/>
  <c r="W35" i="3"/>
  <c r="X35" i="3"/>
  <c r="AC35" i="3"/>
  <c r="M42" i="3"/>
  <c r="N42" i="3"/>
  <c r="S42" i="3"/>
  <c r="U42" i="3"/>
  <c r="T42" i="3" s="1"/>
  <c r="V42" i="3"/>
  <c r="W42" i="3"/>
  <c r="X42" i="3"/>
  <c r="AC42" i="3"/>
  <c r="M8" i="3"/>
  <c r="N8" i="3"/>
  <c r="S8" i="3"/>
  <c r="U8" i="3"/>
  <c r="AD8" i="3" s="1"/>
  <c r="V8" i="3"/>
  <c r="W8" i="3"/>
  <c r="X8" i="3"/>
  <c r="AC8" i="3"/>
  <c r="M43" i="3"/>
  <c r="N43" i="3"/>
  <c r="R43" i="3"/>
  <c r="U43" i="3"/>
  <c r="T43" i="3" s="1"/>
  <c r="V43" i="3"/>
  <c r="W43" i="3"/>
  <c r="X43" i="3"/>
  <c r="AC43" i="3"/>
  <c r="AD43" i="3"/>
  <c r="M13" i="3"/>
  <c r="N13" i="3"/>
  <c r="R13" i="3"/>
  <c r="U13" i="3"/>
  <c r="T13" i="3" s="1"/>
  <c r="V13" i="3"/>
  <c r="W13" i="3"/>
  <c r="X13" i="3"/>
  <c r="AC13" i="3"/>
  <c r="M44" i="3"/>
  <c r="N44" i="3"/>
  <c r="U44" i="3"/>
  <c r="T44" i="3" s="1"/>
  <c r="V44" i="3"/>
  <c r="W44" i="3"/>
  <c r="X44" i="3"/>
  <c r="AC44" i="3"/>
  <c r="M16" i="3"/>
  <c r="N16" i="3"/>
  <c r="R16" i="3"/>
  <c r="S16" i="3"/>
  <c r="U16" i="3"/>
  <c r="AD16" i="3" s="1"/>
  <c r="V16" i="3"/>
  <c r="W16" i="3"/>
  <c r="X16" i="3"/>
  <c r="AC16" i="3"/>
  <c r="M19" i="3"/>
  <c r="N19" i="3"/>
  <c r="R19" i="3"/>
  <c r="S19" i="3"/>
  <c r="U19" i="3"/>
  <c r="T19" i="3" s="1"/>
  <c r="V19" i="3"/>
  <c r="W19" i="3"/>
  <c r="X19" i="3"/>
  <c r="AC19" i="3"/>
  <c r="M27" i="3"/>
  <c r="N27" i="3"/>
  <c r="R27" i="3"/>
  <c r="S27" i="3"/>
  <c r="U27" i="3"/>
  <c r="T27" i="3" s="1"/>
  <c r="V27" i="3"/>
  <c r="W27" i="3"/>
  <c r="X27" i="3"/>
  <c r="AC27" i="3"/>
  <c r="M28" i="3"/>
  <c r="N28" i="3"/>
  <c r="R28" i="3"/>
  <c r="S28" i="3"/>
  <c r="U28" i="3"/>
  <c r="T28" i="3" s="1"/>
  <c r="V28" i="3"/>
  <c r="W28" i="3"/>
  <c r="X28" i="3"/>
  <c r="AC28" i="3"/>
  <c r="M22" i="3"/>
  <c r="N22" i="3"/>
  <c r="R22" i="3"/>
  <c r="S22" i="3"/>
  <c r="U22" i="3"/>
  <c r="AD22" i="3" s="1"/>
  <c r="V22" i="3"/>
  <c r="W22" i="3"/>
  <c r="X22" i="3"/>
  <c r="AC22" i="3"/>
  <c r="M29" i="3"/>
  <c r="N29" i="3"/>
  <c r="R29" i="3"/>
  <c r="S29" i="3"/>
  <c r="U29" i="3"/>
  <c r="T29" i="3" s="1"/>
  <c r="V29" i="3"/>
  <c r="W29" i="3"/>
  <c r="X29" i="3"/>
  <c r="AC29" i="3"/>
  <c r="M51" i="3"/>
  <c r="N51" i="3"/>
  <c r="R51" i="3"/>
  <c r="U51" i="3"/>
  <c r="T51" i="3" s="1"/>
  <c r="V51" i="3"/>
  <c r="W51" i="3"/>
  <c r="X51" i="3"/>
  <c r="AC51" i="3"/>
  <c r="M49" i="3"/>
  <c r="N49" i="3"/>
  <c r="S49" i="3"/>
  <c r="U49" i="3"/>
  <c r="T49" i="3" s="1"/>
  <c r="V49" i="3"/>
  <c r="W49" i="3"/>
  <c r="Y49" i="3" s="1"/>
  <c r="X49" i="3"/>
  <c r="AC49" i="3"/>
  <c r="M10" i="3"/>
  <c r="N10" i="3"/>
  <c r="R10" i="3"/>
  <c r="U10" i="3"/>
  <c r="AD10" i="3" s="1"/>
  <c r="V10" i="3"/>
  <c r="W10" i="3"/>
  <c r="X10" i="3"/>
  <c r="AC10" i="3"/>
  <c r="M23" i="3"/>
  <c r="N23" i="3"/>
  <c r="S23" i="3"/>
  <c r="U23" i="3"/>
  <c r="T23" i="3" s="1"/>
  <c r="V23" i="3"/>
  <c r="W23" i="3"/>
  <c r="X23" i="3"/>
  <c r="AC23" i="3"/>
  <c r="M36" i="3"/>
  <c r="N36" i="3"/>
  <c r="U36" i="3"/>
  <c r="T36" i="3" s="1"/>
  <c r="V36" i="3"/>
  <c r="W36" i="3"/>
  <c r="X36" i="3"/>
  <c r="M21" i="3"/>
  <c r="N21" i="3"/>
  <c r="R21" i="3"/>
  <c r="S21" i="3"/>
  <c r="U21" i="3"/>
  <c r="T21" i="3" s="1"/>
  <c r="V21" i="3"/>
  <c r="W21" i="3"/>
  <c r="X21" i="3"/>
  <c r="AC21" i="3"/>
  <c r="M24" i="3"/>
  <c r="N24" i="3"/>
  <c r="S24" i="3"/>
  <c r="U24" i="3"/>
  <c r="V24" i="3"/>
  <c r="W24" i="3"/>
  <c r="X24" i="3"/>
  <c r="AC24" i="3"/>
  <c r="M25" i="3"/>
  <c r="N25" i="3"/>
  <c r="R25" i="3"/>
  <c r="S25" i="3"/>
  <c r="U25" i="3"/>
  <c r="T25" i="3" s="1"/>
  <c r="V25" i="3"/>
  <c r="W25" i="3"/>
  <c r="X25" i="3"/>
  <c r="AC25" i="3"/>
  <c r="M20" i="3"/>
  <c r="N20" i="3"/>
  <c r="R20" i="3"/>
  <c r="U20" i="3"/>
  <c r="T20" i="3" s="1"/>
  <c r="V20" i="3"/>
  <c r="W20" i="3"/>
  <c r="X20" i="3"/>
  <c r="AC20" i="3"/>
  <c r="M30" i="3"/>
  <c r="N30" i="3"/>
  <c r="S30" i="3"/>
  <c r="U30" i="3"/>
  <c r="T30" i="3" s="1"/>
  <c r="V30" i="3"/>
  <c r="W30" i="3"/>
  <c r="Y30" i="3" s="1"/>
  <c r="X30" i="3"/>
  <c r="AC30" i="3"/>
  <c r="AD30" i="3"/>
  <c r="M14" i="3"/>
  <c r="N14" i="3"/>
  <c r="R14" i="3"/>
  <c r="S14" i="3"/>
  <c r="U14" i="3"/>
  <c r="V14" i="3"/>
  <c r="W14" i="3"/>
  <c r="X14" i="3"/>
  <c r="AC14" i="3"/>
  <c r="M15" i="3"/>
  <c r="N15" i="3"/>
  <c r="R15" i="3"/>
  <c r="U15" i="3"/>
  <c r="T15" i="3" s="1"/>
  <c r="V15" i="3"/>
  <c r="W15" i="3"/>
  <c r="X15" i="3"/>
  <c r="AC15" i="3"/>
  <c r="M45" i="3"/>
  <c r="N45" i="3"/>
  <c r="S45" i="3"/>
  <c r="U45" i="3"/>
  <c r="T45" i="3" s="1"/>
  <c r="V45" i="3"/>
  <c r="W45" i="3"/>
  <c r="X45" i="3"/>
  <c r="AC45" i="3"/>
  <c r="M9" i="3"/>
  <c r="N9" i="3"/>
  <c r="S9" i="3"/>
  <c r="U9" i="3"/>
  <c r="T9" i="3" s="1"/>
  <c r="V9" i="3"/>
  <c r="W9" i="3"/>
  <c r="X9" i="3"/>
  <c r="AC9" i="3"/>
  <c r="M37" i="3"/>
  <c r="N37" i="3"/>
  <c r="R37" i="3"/>
  <c r="S37" i="3"/>
  <c r="U37" i="3"/>
  <c r="AD37" i="3" s="1"/>
  <c r="V37" i="3"/>
  <c r="W37" i="3"/>
  <c r="X37" i="3"/>
  <c r="AC37" i="3"/>
  <c r="M33" i="3"/>
  <c r="N33" i="3"/>
  <c r="S33" i="3"/>
  <c r="U33" i="3"/>
  <c r="T33" i="3" s="1"/>
  <c r="V33" i="3"/>
  <c r="W33" i="3"/>
  <c r="X33" i="3"/>
  <c r="AC33" i="3"/>
  <c r="AD33" i="3"/>
  <c r="M38" i="3"/>
  <c r="N38" i="3"/>
  <c r="U38" i="3"/>
  <c r="T38" i="3" s="1"/>
  <c r="V38" i="3"/>
  <c r="W38" i="3"/>
  <c r="X38" i="3"/>
  <c r="AC38" i="3"/>
  <c r="AD38" i="3"/>
  <c r="M39" i="3"/>
  <c r="N39" i="3"/>
  <c r="U39" i="3"/>
  <c r="V39" i="3"/>
  <c r="W39" i="3"/>
  <c r="Y39" i="3" s="1"/>
  <c r="X39" i="3"/>
  <c r="AC39" i="3"/>
  <c r="M31" i="3"/>
  <c r="N31" i="3"/>
  <c r="R31" i="3"/>
  <c r="U31" i="3"/>
  <c r="V31" i="3"/>
  <c r="W31" i="3"/>
  <c r="X31" i="3"/>
  <c r="AC31" i="3"/>
  <c r="M52" i="3"/>
  <c r="N52" i="3"/>
  <c r="R52" i="3"/>
  <c r="S52" i="3"/>
  <c r="U52" i="3"/>
  <c r="T52" i="3" s="1"/>
  <c r="V52" i="3"/>
  <c r="W52" i="3"/>
  <c r="X52" i="3"/>
  <c r="AC52" i="3"/>
  <c r="M40" i="3"/>
  <c r="N40" i="3"/>
  <c r="R40" i="3"/>
  <c r="S40" i="3"/>
  <c r="U40" i="3"/>
  <c r="T40" i="3" s="1"/>
  <c r="V40" i="3"/>
  <c r="W40" i="3"/>
  <c r="X40" i="3"/>
  <c r="AC40" i="3"/>
  <c r="M26" i="3"/>
  <c r="N26" i="3"/>
  <c r="S26" i="3"/>
  <c r="U26" i="3"/>
  <c r="AD29" i="3" s="1"/>
  <c r="V26" i="3"/>
  <c r="W26" i="3"/>
  <c r="X26" i="3"/>
  <c r="AC26" i="3"/>
  <c r="M46" i="3"/>
  <c r="N46" i="3"/>
  <c r="R46" i="3"/>
  <c r="U46" i="3"/>
  <c r="AD46" i="3" s="1"/>
  <c r="V46" i="3"/>
  <c r="W46" i="3"/>
  <c r="X46" i="3"/>
  <c r="AC46" i="3"/>
  <c r="M47" i="3"/>
  <c r="N47" i="3"/>
  <c r="R47" i="3"/>
  <c r="U47" i="3"/>
  <c r="T47" i="3" s="1"/>
  <c r="V47" i="3"/>
  <c r="W47" i="3"/>
  <c r="X47" i="3"/>
  <c r="AC47" i="3"/>
  <c r="M12" i="3"/>
  <c r="N12" i="3"/>
  <c r="U12" i="3"/>
  <c r="T12" i="3" s="1"/>
  <c r="V12" i="3"/>
  <c r="W12" i="3"/>
  <c r="X12" i="3"/>
  <c r="AC12" i="3"/>
  <c r="M48" i="3"/>
  <c r="N48" i="3"/>
  <c r="U48" i="3"/>
  <c r="AD48" i="3" s="1"/>
  <c r="V48" i="3"/>
  <c r="W48" i="3"/>
  <c r="Y48" i="3" s="1"/>
  <c r="X48" i="3"/>
  <c r="AC48" i="3"/>
  <c r="M17" i="3"/>
  <c r="N17" i="3"/>
  <c r="R17" i="3"/>
  <c r="U17" i="3"/>
  <c r="V17" i="3"/>
  <c r="W17" i="3"/>
  <c r="X17" i="3"/>
  <c r="AC17" i="3"/>
  <c r="M50" i="3"/>
  <c r="N50" i="3"/>
  <c r="R50" i="3"/>
  <c r="S50" i="3"/>
  <c r="U50" i="3"/>
  <c r="T50" i="3" s="1"/>
  <c r="V50" i="3"/>
  <c r="W50" i="3"/>
  <c r="X50" i="3"/>
  <c r="Y21" i="3" l="1"/>
  <c r="Y26" i="3"/>
  <c r="AD45" i="3"/>
  <c r="Y9" i="3"/>
  <c r="Y28" i="3"/>
  <c r="T48" i="3"/>
  <c r="T26" i="3"/>
  <c r="T39" i="3"/>
  <c r="AD23" i="3"/>
  <c r="Y44" i="3"/>
  <c r="Y42" i="3"/>
  <c r="Y18" i="3"/>
  <c r="AD26" i="3"/>
  <c r="AD39" i="3"/>
  <c r="AD41" i="3"/>
  <c r="AD21" i="3"/>
  <c r="AD49" i="3"/>
  <c r="AD27" i="3"/>
  <c r="AG155" i="1"/>
  <c r="U155" i="1" s="1"/>
  <c r="X132" i="1"/>
  <c r="AG131" i="1"/>
  <c r="AI131" i="1" s="1"/>
  <c r="AG101" i="1"/>
  <c r="S46" i="3"/>
  <c r="S39" i="3"/>
  <c r="R45" i="3"/>
  <c r="S15" i="3"/>
  <c r="AA223" i="1"/>
  <c r="AA204" i="1"/>
  <c r="W204" i="1" s="1"/>
  <c r="T203" i="1"/>
  <c r="AA196" i="1"/>
  <c r="W196" i="1" s="1"/>
  <c r="T195" i="1"/>
  <c r="AA190" i="1"/>
  <c r="T172" i="1"/>
  <c r="AA161" i="1"/>
  <c r="W161" i="1" s="1"/>
  <c r="AA160" i="1"/>
  <c r="T160" i="1"/>
  <c r="U216" i="1"/>
  <c r="AA215" i="1"/>
  <c r="AA214" i="1"/>
  <c r="AA213" i="1"/>
  <c r="T212" i="1"/>
  <c r="T155" i="1"/>
  <c r="AA144" i="1"/>
  <c r="W144" i="1" s="1"/>
  <c r="AA143" i="1"/>
  <c r="W143" i="1" s="1"/>
  <c r="X135" i="1"/>
  <c r="AA134" i="1"/>
  <c r="AA133" i="1"/>
  <c r="X123" i="1"/>
  <c r="AA121" i="1"/>
  <c r="AA101" i="1"/>
  <c r="W101" i="1" s="1"/>
  <c r="X93" i="1"/>
  <c r="T84" i="1"/>
  <c r="U84" i="1" s="1"/>
  <c r="S84" i="1" s="1"/>
  <c r="AA54" i="1"/>
  <c r="AA53" i="1"/>
  <c r="W53" i="1" s="1"/>
  <c r="AA51" i="1"/>
  <c r="W51" i="1" s="1"/>
  <c r="X47" i="1"/>
  <c r="AA45" i="1"/>
  <c r="AA21" i="1"/>
  <c r="AI137" i="1"/>
  <c r="AI95" i="1"/>
  <c r="AI89" i="1"/>
  <c r="AG22" i="1"/>
  <c r="AA20" i="1"/>
  <c r="W20" i="1" s="1"/>
  <c r="AG14" i="1"/>
  <c r="U14" i="1" s="1"/>
  <c r="R34" i="3"/>
  <c r="AA198" i="1"/>
  <c r="AA192" i="1"/>
  <c r="W192" i="1" s="1"/>
  <c r="AA182" i="1"/>
  <c r="AI181" i="1"/>
  <c r="X172" i="1"/>
  <c r="AA227" i="1"/>
  <c r="W227" i="1" s="1"/>
  <c r="AA205" i="1"/>
  <c r="AA129" i="1"/>
  <c r="AA107" i="1"/>
  <c r="W107" i="1" s="1"/>
  <c r="AA103" i="1"/>
  <c r="AG97" i="1"/>
  <c r="X94" i="1"/>
  <c r="AA79" i="1"/>
  <c r="AA77" i="1"/>
  <c r="W77" i="1" s="1"/>
  <c r="AG76" i="1"/>
  <c r="AI69" i="1"/>
  <c r="AI40" i="1"/>
  <c r="AA39" i="1"/>
  <c r="W39" i="1" s="1"/>
  <c r="AG34" i="1"/>
  <c r="X34" i="1"/>
  <c r="AG30" i="1"/>
  <c r="AI30" i="1" s="1"/>
  <c r="AI28" i="1"/>
  <c r="X27" i="1"/>
  <c r="AI24" i="1"/>
  <c r="X15" i="1"/>
  <c r="T115" i="1"/>
  <c r="U115" i="1" s="1"/>
  <c r="AA222" i="1"/>
  <c r="X192" i="1"/>
  <c r="AG191" i="1"/>
  <c r="W191" i="1" s="1"/>
  <c r="X191" i="1"/>
  <c r="T187" i="1"/>
  <c r="X184" i="1"/>
  <c r="AA183" i="1"/>
  <c r="X180" i="1"/>
  <c r="AG176" i="1"/>
  <c r="U176" i="1" s="1"/>
  <c r="S176" i="1" s="1"/>
  <c r="X176" i="1"/>
  <c r="AA175" i="1"/>
  <c r="AA172" i="1"/>
  <c r="W172" i="1" s="1"/>
  <c r="T164" i="1"/>
  <c r="AG230" i="1"/>
  <c r="W230" i="1" s="1"/>
  <c r="AA228" i="1"/>
  <c r="T226" i="1"/>
  <c r="U226" i="1" s="1"/>
  <c r="S226" i="1" s="1"/>
  <c r="X217" i="1"/>
  <c r="AA211" i="1"/>
  <c r="AA210" i="1"/>
  <c r="AA209" i="1"/>
  <c r="W209" i="1" s="1"/>
  <c r="AG208" i="1"/>
  <c r="AI208" i="1" s="1"/>
  <c r="AA157" i="1"/>
  <c r="AA156" i="1"/>
  <c r="W156" i="1" s="1"/>
  <c r="AI153" i="1"/>
  <c r="T151" i="1"/>
  <c r="AA147" i="1"/>
  <c r="W147" i="1" s="1"/>
  <c r="AI144" i="1"/>
  <c r="AG139" i="1"/>
  <c r="U139" i="1" s="1"/>
  <c r="X139" i="1"/>
  <c r="AA137" i="1"/>
  <c r="AA136" i="1"/>
  <c r="AA127" i="1"/>
  <c r="W127" i="1" s="1"/>
  <c r="AA115" i="1"/>
  <c r="AA114" i="1"/>
  <c r="AA113" i="1"/>
  <c r="AI94" i="1"/>
  <c r="AA89" i="1"/>
  <c r="W89" i="1" s="1"/>
  <c r="AI86" i="1"/>
  <c r="X81" i="1"/>
  <c r="AA80" i="1"/>
  <c r="AA78" i="1"/>
  <c r="AA73" i="1"/>
  <c r="W73" i="1" s="1"/>
  <c r="AG72" i="1"/>
  <c r="U72" i="1" s="1"/>
  <c r="AG68" i="1"/>
  <c r="U68" i="1" s="1"/>
  <c r="AG64" i="1"/>
  <c r="AG52" i="1"/>
  <c r="U52" i="1" s="1"/>
  <c r="X44" i="1"/>
  <c r="AA40" i="1"/>
  <c r="W40" i="1" s="1"/>
  <c r="AI39" i="1"/>
  <c r="AA218" i="1"/>
  <c r="T199" i="1"/>
  <c r="U187" i="1"/>
  <c r="S187" i="1" s="1"/>
  <c r="W177" i="1"/>
  <c r="U172" i="1"/>
  <c r="S172" i="1" s="1"/>
  <c r="T165" i="1"/>
  <c r="U212" i="1"/>
  <c r="S212" i="1" s="1"/>
  <c r="W130" i="1"/>
  <c r="U123" i="1"/>
  <c r="T107" i="1"/>
  <c r="U107" i="1" s="1"/>
  <c r="S107" i="1" s="1"/>
  <c r="AI101" i="1"/>
  <c r="AA37" i="1"/>
  <c r="AA36" i="1"/>
  <c r="AA35" i="1"/>
  <c r="AG27" i="1"/>
  <c r="U27" i="1" s="1"/>
  <c r="S27" i="1" s="1"/>
  <c r="AA25" i="1"/>
  <c r="AG18" i="1"/>
  <c r="AA16" i="1"/>
  <c r="W16" i="1" s="1"/>
  <c r="U203" i="1"/>
  <c r="S203" i="1" s="1"/>
  <c r="X202" i="1"/>
  <c r="X177" i="1"/>
  <c r="AA176" i="1"/>
  <c r="W173" i="1"/>
  <c r="AA165" i="1"/>
  <c r="W165" i="1" s="1"/>
  <c r="AG164" i="1"/>
  <c r="AA163" i="1"/>
  <c r="AA162" i="1"/>
  <c r="AA226" i="1"/>
  <c r="W226" i="1" s="1"/>
  <c r="AA225" i="1"/>
  <c r="AA224" i="1"/>
  <c r="AA217" i="1"/>
  <c r="W217" i="1" s="1"/>
  <c r="X209" i="1"/>
  <c r="AG151" i="1"/>
  <c r="AA150" i="1"/>
  <c r="AA149" i="1"/>
  <c r="X147" i="1"/>
  <c r="AA125" i="1"/>
  <c r="AA124" i="1"/>
  <c r="AI121" i="1"/>
  <c r="AA118" i="1"/>
  <c r="AA117" i="1"/>
  <c r="AA111" i="1"/>
  <c r="W111" i="1" s="1"/>
  <c r="AA95" i="1"/>
  <c r="W95" i="1" s="1"/>
  <c r="X89" i="1"/>
  <c r="AI82" i="1"/>
  <c r="AA81" i="1"/>
  <c r="W81" i="1" s="1"/>
  <c r="AI77" i="1"/>
  <c r="X73" i="1"/>
  <c r="AI65" i="1"/>
  <c r="AA62" i="1"/>
  <c r="X60" i="1"/>
  <c r="AA60" i="1"/>
  <c r="AA59" i="1"/>
  <c r="AA58" i="1"/>
  <c r="AA56" i="1"/>
  <c r="W56" i="1" s="1"/>
  <c r="AI53" i="1"/>
  <c r="AA48" i="1"/>
  <c r="AA44" i="1"/>
  <c r="W44" i="1" s="1"/>
  <c r="AA42" i="1"/>
  <c r="AA32" i="1"/>
  <c r="W32" i="1" s="1"/>
  <c r="U93" i="1"/>
  <c r="S93" i="1" s="1"/>
  <c r="AA24" i="1"/>
  <c r="W24" i="1" s="1"/>
  <c r="AA19" i="1"/>
  <c r="AA17" i="1"/>
  <c r="U191" i="1"/>
  <c r="S191" i="1" s="1"/>
  <c r="AG129" i="1"/>
  <c r="AI129" i="1" s="1"/>
  <c r="X130" i="1"/>
  <c r="T221" i="1"/>
  <c r="T181" i="1"/>
  <c r="U181" i="1" s="1"/>
  <c r="S181" i="1" s="1"/>
  <c r="AG152" i="1"/>
  <c r="AI152" i="1" s="1"/>
  <c r="X152" i="1"/>
  <c r="AG136" i="1"/>
  <c r="AI136" i="1" s="1"/>
  <c r="X136" i="1"/>
  <c r="AG120" i="1"/>
  <c r="AI120" i="1" s="1"/>
  <c r="X120" i="1"/>
  <c r="T120" i="1"/>
  <c r="AA220" i="1"/>
  <c r="W220" i="1" s="1"/>
  <c r="AA219" i="1"/>
  <c r="AG204" i="1"/>
  <c r="X205" i="1"/>
  <c r="T204" i="1"/>
  <c r="U204" i="1" s="1"/>
  <c r="S204" i="1" s="1"/>
  <c r="AA199" i="1"/>
  <c r="AG198" i="1"/>
  <c r="U198" i="1" s="1"/>
  <c r="X198" i="1"/>
  <c r="AA195" i="1"/>
  <c r="W195" i="1" s="1"/>
  <c r="X190" i="1"/>
  <c r="AA184" i="1"/>
  <c r="AG183" i="1"/>
  <c r="X183" i="1"/>
  <c r="W176" i="1"/>
  <c r="X165" i="1"/>
  <c r="AG213" i="1"/>
  <c r="AI213" i="1" s="1"/>
  <c r="X213" i="1"/>
  <c r="AI143" i="1"/>
  <c r="AI127" i="1"/>
  <c r="AG119" i="1"/>
  <c r="T119" i="1"/>
  <c r="T117" i="1"/>
  <c r="U117" i="1" s="1"/>
  <c r="S117" i="1" s="1"/>
  <c r="AG117" i="1"/>
  <c r="AI117" i="1" s="1"/>
  <c r="AG111" i="1"/>
  <c r="T111" i="1"/>
  <c r="U111" i="1" s="1"/>
  <c r="S111" i="1" s="1"/>
  <c r="T109" i="1"/>
  <c r="U109" i="1" s="1"/>
  <c r="S109" i="1" s="1"/>
  <c r="AG109" i="1"/>
  <c r="AI109" i="1" s="1"/>
  <c r="AI35" i="1"/>
  <c r="W189" i="1"/>
  <c r="AA132" i="1"/>
  <c r="W132" i="1" s="1"/>
  <c r="AI132" i="1"/>
  <c r="T196" i="1"/>
  <c r="W187" i="1"/>
  <c r="W117" i="1"/>
  <c r="AG112" i="1"/>
  <c r="X112" i="1"/>
  <c r="T112" i="1"/>
  <c r="U112" i="1" s="1"/>
  <c r="S112" i="1" s="1"/>
  <c r="R38" i="3"/>
  <c r="X221" i="1"/>
  <c r="AA203" i="1"/>
  <c r="W203" i="1" s="1"/>
  <c r="AA200" i="1"/>
  <c r="W200" i="1" s="1"/>
  <c r="AG199" i="1"/>
  <c r="U199" i="1" s="1"/>
  <c r="X196" i="1"/>
  <c r="X195" i="1"/>
  <c r="AA194" i="1"/>
  <c r="AA193" i="1"/>
  <c r="AA185" i="1"/>
  <c r="W185" i="1" s="1"/>
  <c r="AG184" i="1"/>
  <c r="X181" i="1"/>
  <c r="AG180" i="1"/>
  <c r="U180" i="1" s="1"/>
  <c r="S180" i="1" s="1"/>
  <c r="AA179" i="1"/>
  <c r="AA178" i="1"/>
  <c r="AA174" i="1"/>
  <c r="W174" i="1" s="1"/>
  <c r="AA169" i="1"/>
  <c r="W169" i="1" s="1"/>
  <c r="T167" i="1"/>
  <c r="X167" i="1"/>
  <c r="AG167" i="1"/>
  <c r="W167" i="1" s="1"/>
  <c r="AA166" i="1"/>
  <c r="AG160" i="1"/>
  <c r="X161" i="1"/>
  <c r="U230" i="1"/>
  <c r="S230" i="1" s="1"/>
  <c r="W153" i="1"/>
  <c r="T152" i="1"/>
  <c r="AI147" i="1"/>
  <c r="W137" i="1"/>
  <c r="T136" i="1"/>
  <c r="U136" i="1" s="1"/>
  <c r="S136" i="1" s="1"/>
  <c r="W121" i="1"/>
  <c r="T217" i="1"/>
  <c r="T209" i="1"/>
  <c r="T147" i="1"/>
  <c r="U147" i="1" s="1"/>
  <c r="S147" i="1" s="1"/>
  <c r="T143" i="1"/>
  <c r="U143" i="1" s="1"/>
  <c r="S143" i="1" s="1"/>
  <c r="U131" i="1"/>
  <c r="S131" i="1" s="1"/>
  <c r="T127" i="1"/>
  <c r="U127" i="1" s="1"/>
  <c r="S127" i="1" s="1"/>
  <c r="AG100" i="1"/>
  <c r="U100" i="1" s="1"/>
  <c r="S100" i="1" s="1"/>
  <c r="T100" i="1"/>
  <c r="X100" i="1"/>
  <c r="AA180" i="1"/>
  <c r="X175" i="1"/>
  <c r="AA168" i="1"/>
  <c r="W168" i="1" s="1"/>
  <c r="AA164" i="1"/>
  <c r="W164" i="1" s="1"/>
  <c r="X159" i="1"/>
  <c r="X227" i="1"/>
  <c r="AA216" i="1"/>
  <c r="W216" i="1" s="1"/>
  <c r="AA208" i="1"/>
  <c r="AA207" i="1"/>
  <c r="T205" i="1"/>
  <c r="U205" i="1" s="1"/>
  <c r="S205" i="1" s="1"/>
  <c r="AA155" i="1"/>
  <c r="AG154" i="1"/>
  <c r="X154" i="1"/>
  <c r="X148" i="1"/>
  <c r="AG146" i="1"/>
  <c r="U146" i="1" s="1"/>
  <c r="S146" i="1" s="1"/>
  <c r="X146" i="1"/>
  <c r="AA139" i="1"/>
  <c r="AG138" i="1"/>
  <c r="AI138" i="1" s="1"/>
  <c r="X138" i="1"/>
  <c r="X131" i="1"/>
  <c r="AA123" i="1"/>
  <c r="W123" i="1" s="1"/>
  <c r="AG122" i="1"/>
  <c r="AI122" i="1" s="1"/>
  <c r="X122" i="1"/>
  <c r="AA120" i="1"/>
  <c r="X116" i="1"/>
  <c r="AG113" i="1"/>
  <c r="U113" i="1" s="1"/>
  <c r="S113" i="1" s="1"/>
  <c r="AA112" i="1"/>
  <c r="W112" i="1" s="1"/>
  <c r="X108" i="1"/>
  <c r="W82" i="1"/>
  <c r="W35" i="1"/>
  <c r="AA158" i="1"/>
  <c r="W158" i="1" s="1"/>
  <c r="T227" i="1"/>
  <c r="AA212" i="1"/>
  <c r="W212" i="1" s="1"/>
  <c r="AA154" i="1"/>
  <c r="AA151" i="1"/>
  <c r="AA146" i="1"/>
  <c r="AA145" i="1"/>
  <c r="W145" i="1" s="1"/>
  <c r="AA138" i="1"/>
  <c r="W138" i="1" s="1"/>
  <c r="AA135" i="1"/>
  <c r="W135" i="1" s="1"/>
  <c r="U130" i="1"/>
  <c r="AA122" i="1"/>
  <c r="W122" i="1" s="1"/>
  <c r="AA116" i="1"/>
  <c r="W116" i="1" s="1"/>
  <c r="T116" i="1"/>
  <c r="AA108" i="1"/>
  <c r="W108" i="1" s="1"/>
  <c r="T108" i="1"/>
  <c r="T105" i="1"/>
  <c r="AG105" i="1"/>
  <c r="AI105" i="1" s="1"/>
  <c r="AA104" i="1"/>
  <c r="W104" i="1" s="1"/>
  <c r="T104" i="1"/>
  <c r="U104" i="1" s="1"/>
  <c r="S104" i="1" s="1"/>
  <c r="AA99" i="1"/>
  <c r="AA97" i="1"/>
  <c r="W97" i="1" s="1"/>
  <c r="AG96" i="1"/>
  <c r="AI96" i="1" s="1"/>
  <c r="X96" i="1"/>
  <c r="AA90" i="1"/>
  <c r="W90" i="1" s="1"/>
  <c r="AA88" i="1"/>
  <c r="AA87" i="1"/>
  <c r="W87" i="1" s="1"/>
  <c r="AG85" i="1"/>
  <c r="AA84" i="1"/>
  <c r="W84" i="1" s="1"/>
  <c r="AG83" i="1"/>
  <c r="U83" i="1" s="1"/>
  <c r="X83" i="1"/>
  <c r="AG80" i="1"/>
  <c r="X80" i="1"/>
  <c r="AA75" i="1"/>
  <c r="T69" i="1"/>
  <c r="U69" i="1" s="1"/>
  <c r="S69" i="1" s="1"/>
  <c r="AA66" i="1"/>
  <c r="AA64" i="1"/>
  <c r="W64" i="1" s="1"/>
  <c r="T61" i="1"/>
  <c r="T60" i="1"/>
  <c r="T57" i="1"/>
  <c r="U57" i="1" s="1"/>
  <c r="S57" i="1" s="1"/>
  <c r="T56" i="1"/>
  <c r="U56" i="1" s="1"/>
  <c r="S56" i="1" s="1"/>
  <c r="AA52" i="1"/>
  <c r="W52" i="1" s="1"/>
  <c r="AA47" i="1"/>
  <c r="AG46" i="1"/>
  <c r="AI46" i="1" s="1"/>
  <c r="X46" i="1"/>
  <c r="AA43" i="1"/>
  <c r="T39" i="1"/>
  <c r="U39" i="1" s="1"/>
  <c r="S39" i="1" s="1"/>
  <c r="T35" i="1"/>
  <c r="U35" i="1" s="1"/>
  <c r="S35" i="1" s="1"/>
  <c r="X35" i="1"/>
  <c r="T31" i="1"/>
  <c r="AA26" i="1"/>
  <c r="AG23" i="1"/>
  <c r="W23" i="1" s="1"/>
  <c r="X23" i="1"/>
  <c r="AG19" i="1"/>
  <c r="X19" i="1"/>
  <c r="AG15" i="1"/>
  <c r="W15" i="1" s="1"/>
  <c r="AA102" i="1"/>
  <c r="AA98" i="1"/>
  <c r="U97" i="1"/>
  <c r="X97" i="1"/>
  <c r="T94" i="1"/>
  <c r="T89" i="1"/>
  <c r="T86" i="1"/>
  <c r="U86" i="1" s="1"/>
  <c r="S86" i="1" s="1"/>
  <c r="X85" i="1"/>
  <c r="X84" i="1"/>
  <c r="T81" i="1"/>
  <c r="T77" i="1"/>
  <c r="T73" i="1"/>
  <c r="U73" i="1" s="1"/>
  <c r="S73" i="1" s="1"/>
  <c r="X65" i="1"/>
  <c r="X53" i="1"/>
  <c r="W37" i="1"/>
  <c r="AA14" i="1"/>
  <c r="X104" i="1"/>
  <c r="AA100" i="1"/>
  <c r="AA96" i="1"/>
  <c r="W96" i="1" s="1"/>
  <c r="AA93" i="1"/>
  <c r="W93" i="1" s="1"/>
  <c r="AA91" i="1"/>
  <c r="X90" i="1"/>
  <c r="AG88" i="1"/>
  <c r="AI88" i="1" s="1"/>
  <c r="X88" i="1"/>
  <c r="AA83" i="1"/>
  <c r="AA76" i="1"/>
  <c r="AA72" i="1"/>
  <c r="W72" i="1" s="1"/>
  <c r="X69" i="1"/>
  <c r="AA68" i="1"/>
  <c r="X61" i="1"/>
  <c r="AG60" i="1"/>
  <c r="AI60" i="1" s="1"/>
  <c r="X57" i="1"/>
  <c r="AA55" i="1"/>
  <c r="AA46" i="1"/>
  <c r="W46" i="1" s="1"/>
  <c r="X40" i="1"/>
  <c r="AA33" i="1"/>
  <c r="AG31" i="1"/>
  <c r="W31" i="1" s="1"/>
  <c r="AA27" i="1"/>
  <c r="AG26" i="1"/>
  <c r="U26" i="1" s="1"/>
  <c r="U22" i="1"/>
  <c r="T65" i="1"/>
  <c r="U65" i="1" s="1"/>
  <c r="S65" i="1" s="1"/>
  <c r="T53" i="1"/>
  <c r="U53" i="1" s="1"/>
  <c r="S53" i="1" s="1"/>
  <c r="T44" i="1"/>
  <c r="W19" i="1"/>
  <c r="U221" i="1"/>
  <c r="S221" i="1" s="1"/>
  <c r="AI229" i="1"/>
  <c r="U220" i="1"/>
  <c r="S220" i="1" s="1"/>
  <c r="U195" i="1"/>
  <c r="S195" i="1" s="1"/>
  <c r="T193" i="1"/>
  <c r="X193" i="1"/>
  <c r="T186" i="1"/>
  <c r="AI203" i="1"/>
  <c r="T178" i="1"/>
  <c r="X178" i="1"/>
  <c r="T171" i="1"/>
  <c r="AI187" i="1"/>
  <c r="U164" i="1"/>
  <c r="S164" i="1" s="1"/>
  <c r="T162" i="1"/>
  <c r="X162" i="1"/>
  <c r="T229" i="1"/>
  <c r="U229" i="1" s="1"/>
  <c r="S229" i="1" s="1"/>
  <c r="X229" i="1"/>
  <c r="U227" i="1"/>
  <c r="S227" i="1" s="1"/>
  <c r="AG215" i="1"/>
  <c r="X216" i="1"/>
  <c r="T215" i="1"/>
  <c r="X215" i="1"/>
  <c r="AI165" i="1"/>
  <c r="W208" i="1"/>
  <c r="AI158" i="1"/>
  <c r="AG156" i="1"/>
  <c r="T156" i="1"/>
  <c r="X156" i="1"/>
  <c r="W151" i="1"/>
  <c r="U135" i="1"/>
  <c r="S135" i="1" s="1"/>
  <c r="T133" i="1"/>
  <c r="X133" i="1"/>
  <c r="AG133" i="1"/>
  <c r="W129" i="1"/>
  <c r="AI115" i="1"/>
  <c r="X220" i="1"/>
  <c r="AG219" i="1"/>
  <c r="AI219" i="1" s="1"/>
  <c r="T200" i="1"/>
  <c r="U200" i="1" s="1"/>
  <c r="S200" i="1" s="1"/>
  <c r="T197" i="1"/>
  <c r="X197" i="1"/>
  <c r="AG193" i="1"/>
  <c r="AI193" i="1" s="1"/>
  <c r="T190" i="1"/>
  <c r="AG186" i="1"/>
  <c r="T185" i="1"/>
  <c r="U185" i="1" s="1"/>
  <c r="S185" i="1" s="1"/>
  <c r="U184" i="1"/>
  <c r="S184" i="1" s="1"/>
  <c r="T182" i="1"/>
  <c r="X182" i="1"/>
  <c r="AG178" i="1"/>
  <c r="AI178" i="1" s="1"/>
  <c r="T175" i="1"/>
  <c r="AG171" i="1"/>
  <c r="X171" i="1"/>
  <c r="T169" i="1"/>
  <c r="U169" i="1" s="1"/>
  <c r="S169" i="1" s="1"/>
  <c r="U168" i="1"/>
  <c r="S168" i="1" s="1"/>
  <c r="T166" i="1"/>
  <c r="X166" i="1"/>
  <c r="AG162" i="1"/>
  <c r="AI162" i="1" s="1"/>
  <c r="T159" i="1"/>
  <c r="AI176" i="1"/>
  <c r="U217" i="1"/>
  <c r="S217" i="1" s="1"/>
  <c r="AG211" i="1"/>
  <c r="X212" i="1"/>
  <c r="T211" i="1"/>
  <c r="X211" i="1"/>
  <c r="AI161" i="1"/>
  <c r="AI151" i="1"/>
  <c r="AI145" i="1"/>
  <c r="AG140" i="1"/>
  <c r="W140" i="1" s="1"/>
  <c r="T140" i="1"/>
  <c r="X140" i="1"/>
  <c r="AG124" i="1"/>
  <c r="T124" i="1"/>
  <c r="X124" i="1"/>
  <c r="AI119" i="1"/>
  <c r="U119" i="1"/>
  <c r="S119" i="1" s="1"/>
  <c r="AI103" i="1"/>
  <c r="U103" i="1"/>
  <c r="S103" i="1" s="1"/>
  <c r="T202" i="1"/>
  <c r="AG223" i="1"/>
  <c r="X203" i="1"/>
  <c r="AG202" i="1"/>
  <c r="X219" i="1"/>
  <c r="AG218" i="1"/>
  <c r="W218" i="1" s="1"/>
  <c r="T201" i="1"/>
  <c r="X201" i="1"/>
  <c r="X200" i="1"/>
  <c r="W198" i="1"/>
  <c r="AG197" i="1"/>
  <c r="AI197" i="1" s="1"/>
  <c r="AI216" i="1"/>
  <c r="T194" i="1"/>
  <c r="AG190" i="1"/>
  <c r="T188" i="1"/>
  <c r="U188" i="1" s="1"/>
  <c r="S188" i="1" s="1"/>
  <c r="W183" i="1"/>
  <c r="U183" i="1"/>
  <c r="S183" i="1" s="1"/>
  <c r="AG182" i="1"/>
  <c r="AI182" i="1" s="1"/>
  <c r="AI200" i="1"/>
  <c r="T179" i="1"/>
  <c r="AG175" i="1"/>
  <c r="T173" i="1"/>
  <c r="U173" i="1" s="1"/>
  <c r="S173" i="1" s="1"/>
  <c r="T170" i="1"/>
  <c r="X170" i="1"/>
  <c r="X169" i="1"/>
  <c r="U167" i="1"/>
  <c r="S167" i="1" s="1"/>
  <c r="AG166" i="1"/>
  <c r="W166" i="1" s="1"/>
  <c r="AI185" i="1"/>
  <c r="T163" i="1"/>
  <c r="AG159" i="1"/>
  <c r="T231" i="1"/>
  <c r="U231" i="1" s="1"/>
  <c r="S231" i="1" s="1"/>
  <c r="AI173" i="1"/>
  <c r="U213" i="1"/>
  <c r="S213" i="1" s="1"/>
  <c r="U208" i="1"/>
  <c r="S208" i="1" s="1"/>
  <c r="AG207" i="1"/>
  <c r="X208" i="1"/>
  <c r="T207" i="1"/>
  <c r="X207" i="1"/>
  <c r="S154" i="1"/>
  <c r="AI154" i="1"/>
  <c r="U154" i="1"/>
  <c r="AI135" i="1"/>
  <c r="AI107" i="1"/>
  <c r="X50" i="1"/>
  <c r="AG50" i="1"/>
  <c r="T50" i="1"/>
  <c r="T17" i="1"/>
  <c r="X17" i="1"/>
  <c r="AG17" i="1"/>
  <c r="S198" i="1"/>
  <c r="X223" i="1"/>
  <c r="AG222" i="1"/>
  <c r="R39" i="3"/>
  <c r="X222" i="1"/>
  <c r="X218" i="1"/>
  <c r="AA202" i="1"/>
  <c r="AG201" i="1"/>
  <c r="AI201" i="1" s="1"/>
  <c r="AI220" i="1"/>
  <c r="U196" i="1"/>
  <c r="S196" i="1" s="1"/>
  <c r="AG194" i="1"/>
  <c r="AI194" i="1" s="1"/>
  <c r="T192" i="1"/>
  <c r="U192" i="1" s="1"/>
  <c r="S192" i="1" s="1"/>
  <c r="T189" i="1"/>
  <c r="U189" i="1" s="1"/>
  <c r="S189" i="1" s="1"/>
  <c r="AA186" i="1"/>
  <c r="W186" i="1" s="1"/>
  <c r="AI204" i="1"/>
  <c r="AG179" i="1"/>
  <c r="AI179" i="1" s="1"/>
  <c r="T177" i="1"/>
  <c r="U177" i="1" s="1"/>
  <c r="S177" i="1" s="1"/>
  <c r="T174" i="1"/>
  <c r="U174" i="1" s="1"/>
  <c r="S174" i="1" s="1"/>
  <c r="X174" i="1"/>
  <c r="X173" i="1"/>
  <c r="AA171" i="1"/>
  <c r="W171" i="1" s="1"/>
  <c r="AG170" i="1"/>
  <c r="AI170" i="1" s="1"/>
  <c r="AI188" i="1"/>
  <c r="U165" i="1"/>
  <c r="S165" i="1" s="1"/>
  <c r="AG163" i="1"/>
  <c r="W163" i="1" s="1"/>
  <c r="T161" i="1"/>
  <c r="U161" i="1" s="1"/>
  <c r="S161" i="1" s="1"/>
  <c r="T158" i="1"/>
  <c r="U158" i="1" s="1"/>
  <c r="S158" i="1" s="1"/>
  <c r="X158" i="1"/>
  <c r="X231" i="1"/>
  <c r="X230" i="1"/>
  <c r="AA229" i="1"/>
  <c r="W229" i="1" s="1"/>
  <c r="T228" i="1"/>
  <c r="X228" i="1"/>
  <c r="AG228" i="1"/>
  <c r="AI228" i="1" s="1"/>
  <c r="AG225" i="1"/>
  <c r="W225" i="1" s="1"/>
  <c r="X226" i="1"/>
  <c r="T225" i="1"/>
  <c r="X225" i="1"/>
  <c r="S216" i="1"/>
  <c r="AI169" i="1"/>
  <c r="U209" i="1"/>
  <c r="S209" i="1" s="1"/>
  <c r="W205" i="1"/>
  <c r="U151" i="1"/>
  <c r="S151" i="1" s="1"/>
  <c r="T149" i="1"/>
  <c r="X149" i="1"/>
  <c r="AG149" i="1"/>
  <c r="X142" i="1"/>
  <c r="AG142" i="1"/>
  <c r="X143" i="1"/>
  <c r="X126" i="1"/>
  <c r="AG126" i="1"/>
  <c r="X127" i="1"/>
  <c r="U122" i="1"/>
  <c r="S122" i="1" s="1"/>
  <c r="AI111" i="1"/>
  <c r="AG98" i="1"/>
  <c r="T98" i="1"/>
  <c r="X98" i="1"/>
  <c r="AG224" i="1"/>
  <c r="AI224" i="1" s="1"/>
  <c r="AG214" i="1"/>
  <c r="AG210" i="1"/>
  <c r="AI210" i="1" s="1"/>
  <c r="AG206" i="1"/>
  <c r="T157" i="1"/>
  <c r="X157" i="1"/>
  <c r="W154" i="1"/>
  <c r="T150" i="1"/>
  <c r="AI146" i="1"/>
  <c r="T144" i="1"/>
  <c r="T141" i="1"/>
  <c r="X141" i="1"/>
  <c r="T134" i="1"/>
  <c r="S130" i="1"/>
  <c r="AI130" i="1"/>
  <c r="T128" i="1"/>
  <c r="U128" i="1" s="1"/>
  <c r="S128" i="1" s="1"/>
  <c r="T125" i="1"/>
  <c r="X125" i="1"/>
  <c r="U96" i="1"/>
  <c r="S96" i="1" s="1"/>
  <c r="T91" i="1"/>
  <c r="X91" i="1"/>
  <c r="AG91" i="1"/>
  <c r="W91" i="1" s="1"/>
  <c r="AI47" i="1"/>
  <c r="U47" i="1"/>
  <c r="S47" i="1" s="1"/>
  <c r="AI43" i="1"/>
  <c r="U43" i="1"/>
  <c r="S43" i="1" s="1"/>
  <c r="X224" i="1"/>
  <c r="X214" i="1"/>
  <c r="X210" i="1"/>
  <c r="X206" i="1"/>
  <c r="AG157" i="1"/>
  <c r="AG150" i="1"/>
  <c r="W150" i="1" s="1"/>
  <c r="T148" i="1"/>
  <c r="U148" i="1" s="1"/>
  <c r="S148" i="1" s="1"/>
  <c r="T145" i="1"/>
  <c r="U145" i="1" s="1"/>
  <c r="S145" i="1" s="1"/>
  <c r="X145" i="1"/>
  <c r="X144" i="1"/>
  <c r="AA142" i="1"/>
  <c r="AG141" i="1"/>
  <c r="S139" i="1"/>
  <c r="AG134" i="1"/>
  <c r="W134" i="1" s="1"/>
  <c r="T132" i="1"/>
  <c r="U132" i="1" s="1"/>
  <c r="S132" i="1" s="1"/>
  <c r="T129" i="1"/>
  <c r="U129" i="1" s="1"/>
  <c r="S129" i="1" s="1"/>
  <c r="X129" i="1"/>
  <c r="X128" i="1"/>
  <c r="AA126" i="1"/>
  <c r="W126" i="1" s="1"/>
  <c r="AG125" i="1"/>
  <c r="AI123" i="1"/>
  <c r="S123" i="1"/>
  <c r="W119" i="1"/>
  <c r="AI116" i="1"/>
  <c r="U116" i="1"/>
  <c r="S116" i="1" s="1"/>
  <c r="W115" i="1"/>
  <c r="AI112" i="1"/>
  <c r="AI108" i="1"/>
  <c r="U108" i="1"/>
  <c r="S108" i="1" s="1"/>
  <c r="AI104" i="1"/>
  <c r="W103" i="1"/>
  <c r="W98" i="1"/>
  <c r="U89" i="1"/>
  <c r="S89" i="1" s="1"/>
  <c r="AI87" i="1"/>
  <c r="T153" i="1"/>
  <c r="U153" i="1" s="1"/>
  <c r="S153" i="1" s="1"/>
  <c r="X153" i="1"/>
  <c r="U144" i="1"/>
  <c r="S144" i="1" s="1"/>
  <c r="T137" i="1"/>
  <c r="U137" i="1" s="1"/>
  <c r="S137" i="1" s="1"/>
  <c r="X137" i="1"/>
  <c r="T121" i="1"/>
  <c r="U121" i="1" s="1"/>
  <c r="S121" i="1" s="1"/>
  <c r="X121" i="1"/>
  <c r="AG118" i="1"/>
  <c r="X119" i="1"/>
  <c r="T118" i="1"/>
  <c r="X118" i="1"/>
  <c r="AG114" i="1"/>
  <c r="X115" i="1"/>
  <c r="T114" i="1"/>
  <c r="X114" i="1"/>
  <c r="AG110" i="1"/>
  <c r="W110" i="1" s="1"/>
  <c r="X111" i="1"/>
  <c r="T110" i="1"/>
  <c r="X110" i="1"/>
  <c r="AG106" i="1"/>
  <c r="X107" i="1"/>
  <c r="T106" i="1"/>
  <c r="X106" i="1"/>
  <c r="U105" i="1"/>
  <c r="S105" i="1" s="1"/>
  <c r="AG102" i="1"/>
  <c r="X103" i="1"/>
  <c r="T102" i="1"/>
  <c r="X102" i="1"/>
  <c r="U101" i="1"/>
  <c r="S101" i="1" s="1"/>
  <c r="AI93" i="1"/>
  <c r="U88" i="1"/>
  <c r="T99" i="1"/>
  <c r="X99" i="1"/>
  <c r="T92" i="1"/>
  <c r="S88" i="1"/>
  <c r="AI75" i="1"/>
  <c r="W67" i="1"/>
  <c r="U61" i="1"/>
  <c r="S61" i="1" s="1"/>
  <c r="T41" i="1"/>
  <c r="X41" i="1"/>
  <c r="AG41" i="1"/>
  <c r="U30" i="1"/>
  <c r="S30" i="1" s="1"/>
  <c r="X117" i="1"/>
  <c r="X113" i="1"/>
  <c r="X109" i="1"/>
  <c r="X105" i="1"/>
  <c r="X101" i="1"/>
  <c r="AG99" i="1"/>
  <c r="W99" i="1" s="1"/>
  <c r="AI97" i="1"/>
  <c r="S97" i="1"/>
  <c r="U94" i="1"/>
  <c r="S94" i="1" s="1"/>
  <c r="AG92" i="1"/>
  <c r="X92" i="1"/>
  <c r="T90" i="1"/>
  <c r="U90" i="1" s="1"/>
  <c r="S90" i="1" s="1"/>
  <c r="T87" i="1"/>
  <c r="U87" i="1" s="1"/>
  <c r="S87" i="1" s="1"/>
  <c r="X87" i="1"/>
  <c r="X86" i="1"/>
  <c r="W83" i="1"/>
  <c r="AI76" i="1"/>
  <c r="U76" i="1"/>
  <c r="S76" i="1" s="1"/>
  <c r="AI67" i="1"/>
  <c r="U64" i="1"/>
  <c r="S64" i="1" s="1"/>
  <c r="T63" i="1"/>
  <c r="X63" i="1"/>
  <c r="AG63" i="1"/>
  <c r="X64" i="1"/>
  <c r="AI59" i="1"/>
  <c r="AI51" i="1"/>
  <c r="X38" i="1"/>
  <c r="AG38" i="1"/>
  <c r="X39" i="1"/>
  <c r="T38" i="1"/>
  <c r="AG36" i="1"/>
  <c r="W36" i="1" s="1"/>
  <c r="X36" i="1"/>
  <c r="T36" i="1"/>
  <c r="T95" i="1"/>
  <c r="U95" i="1" s="1"/>
  <c r="S95" i="1" s="1"/>
  <c r="X95" i="1"/>
  <c r="AA92" i="1"/>
  <c r="W92" i="1" s="1"/>
  <c r="AI84" i="1"/>
  <c r="S83" i="1"/>
  <c r="AI83" i="1"/>
  <c r="T82" i="1"/>
  <c r="U82" i="1" s="1"/>
  <c r="S82" i="1" s="1"/>
  <c r="X82" i="1"/>
  <c r="U77" i="1"/>
  <c r="S77" i="1" s="1"/>
  <c r="T66" i="1"/>
  <c r="X66" i="1"/>
  <c r="AG66" i="1"/>
  <c r="AG48" i="1"/>
  <c r="W48" i="1" s="1"/>
  <c r="X48" i="1"/>
  <c r="T48" i="1"/>
  <c r="T29" i="1"/>
  <c r="X29" i="1"/>
  <c r="AG29" i="1"/>
  <c r="T79" i="1"/>
  <c r="W75" i="1"/>
  <c r="T74" i="1"/>
  <c r="X74" i="1"/>
  <c r="AG74" i="1"/>
  <c r="T71" i="1"/>
  <c r="X71" i="1"/>
  <c r="X68" i="1"/>
  <c r="W59" i="1"/>
  <c r="T58" i="1"/>
  <c r="X58" i="1"/>
  <c r="AG58" i="1"/>
  <c r="T55" i="1"/>
  <c r="X55" i="1"/>
  <c r="S52" i="1"/>
  <c r="AI52" i="1"/>
  <c r="X52" i="1"/>
  <c r="T45" i="1"/>
  <c r="X45" i="1"/>
  <c r="AG45" i="1"/>
  <c r="W45" i="1" s="1"/>
  <c r="X42" i="1"/>
  <c r="T33" i="1"/>
  <c r="X33" i="1"/>
  <c r="AG33" i="1"/>
  <c r="AA22" i="1"/>
  <c r="W22" i="1" s="1"/>
  <c r="U81" i="1"/>
  <c r="S81" i="1" s="1"/>
  <c r="AG79" i="1"/>
  <c r="W79" i="1" s="1"/>
  <c r="T78" i="1"/>
  <c r="X78" i="1"/>
  <c r="AG78" i="1"/>
  <c r="W76" i="1"/>
  <c r="T75" i="1"/>
  <c r="U75" i="1" s="1"/>
  <c r="S75" i="1" s="1"/>
  <c r="X75" i="1"/>
  <c r="S72" i="1"/>
  <c r="AI72" i="1"/>
  <c r="X72" i="1"/>
  <c r="AG71" i="1"/>
  <c r="W71" i="1" s="1"/>
  <c r="AA63" i="1"/>
  <c r="W63" i="1" s="1"/>
  <c r="T62" i="1"/>
  <c r="X62" i="1"/>
  <c r="AG62" i="1"/>
  <c r="T59" i="1"/>
  <c r="U59" i="1" s="1"/>
  <c r="S59" i="1" s="1"/>
  <c r="X59" i="1"/>
  <c r="AI56" i="1"/>
  <c r="X56" i="1"/>
  <c r="AG55" i="1"/>
  <c r="W47" i="1"/>
  <c r="W43" i="1"/>
  <c r="AA41" i="1"/>
  <c r="AA38" i="1"/>
  <c r="AI34" i="1"/>
  <c r="U34" i="1"/>
  <c r="S34" i="1" s="1"/>
  <c r="T70" i="1"/>
  <c r="X70" i="1"/>
  <c r="AG70" i="1"/>
  <c r="W70" i="1" s="1"/>
  <c r="T67" i="1"/>
  <c r="U67" i="1" s="1"/>
  <c r="S67" i="1" s="1"/>
  <c r="X67" i="1"/>
  <c r="AI64" i="1"/>
  <c r="W55" i="1"/>
  <c r="T54" i="1"/>
  <c r="X54" i="1"/>
  <c r="AG54" i="1"/>
  <c r="W54" i="1" s="1"/>
  <c r="T51" i="1"/>
  <c r="U51" i="1" s="1"/>
  <c r="S51" i="1" s="1"/>
  <c r="X51" i="1"/>
  <c r="AI37" i="1"/>
  <c r="W33" i="1"/>
  <c r="AI18" i="1"/>
  <c r="U18" i="1"/>
  <c r="S18" i="1" s="1"/>
  <c r="T49" i="1"/>
  <c r="X49" i="1"/>
  <c r="T42" i="1"/>
  <c r="AA30" i="1"/>
  <c r="W30" i="1" s="1"/>
  <c r="S22" i="1"/>
  <c r="AI22" i="1"/>
  <c r="T21" i="1"/>
  <c r="X21" i="1"/>
  <c r="AG21" i="1"/>
  <c r="AA50" i="1"/>
  <c r="AG49" i="1"/>
  <c r="U44" i="1"/>
  <c r="S44" i="1" s="1"/>
  <c r="AG42" i="1"/>
  <c r="T40" i="1"/>
  <c r="U40" i="1" s="1"/>
  <c r="S40" i="1" s="1"/>
  <c r="T37" i="1"/>
  <c r="U37" i="1" s="1"/>
  <c r="S37" i="1" s="1"/>
  <c r="X37" i="1"/>
  <c r="AA34" i="1"/>
  <c r="W34" i="1" s="1"/>
  <c r="W29" i="1"/>
  <c r="S26" i="1"/>
  <c r="T25" i="1"/>
  <c r="X25" i="1"/>
  <c r="AG25" i="1"/>
  <c r="AA18" i="1"/>
  <c r="W18" i="1" s="1"/>
  <c r="X32" i="1"/>
  <c r="T32" i="1"/>
  <c r="U32" i="1" s="1"/>
  <c r="S32" i="1" s="1"/>
  <c r="U31" i="1"/>
  <c r="S31" i="1" s="1"/>
  <c r="X28" i="1"/>
  <c r="T28" i="1"/>
  <c r="U28" i="1" s="1"/>
  <c r="S28" i="1" s="1"/>
  <c r="X24" i="1"/>
  <c r="T24" i="1"/>
  <c r="U24" i="1" s="1"/>
  <c r="S24" i="1" s="1"/>
  <c r="U23" i="1"/>
  <c r="S23" i="1" s="1"/>
  <c r="X20" i="1"/>
  <c r="T20" i="1"/>
  <c r="U20" i="1" s="1"/>
  <c r="S20" i="1" s="1"/>
  <c r="U19" i="1"/>
  <c r="S19" i="1" s="1"/>
  <c r="X16" i="1"/>
  <c r="T16" i="1"/>
  <c r="U16" i="1" s="1"/>
  <c r="S16" i="1" s="1"/>
  <c r="AI31" i="1"/>
  <c r="X30" i="1"/>
  <c r="X26" i="1"/>
  <c r="X22" i="1"/>
  <c r="AI19" i="1"/>
  <c r="X18" i="1"/>
  <c r="AC36" i="3"/>
  <c r="Y12" i="3"/>
  <c r="Y40" i="3"/>
  <c r="Y38" i="3"/>
  <c r="Y45" i="3"/>
  <c r="Y20" i="3"/>
  <c r="Y36" i="3"/>
  <c r="Y51" i="3"/>
  <c r="Y27" i="3"/>
  <c r="AD19" i="3"/>
  <c r="Y13" i="3"/>
  <c r="Y35" i="3"/>
  <c r="Y34" i="3"/>
  <c r="AD32" i="3"/>
  <c r="AD9" i="3"/>
  <c r="AD17" i="3"/>
  <c r="AD12" i="3"/>
  <c r="AD40" i="3"/>
  <c r="AD31" i="3"/>
  <c r="AD14" i="3"/>
  <c r="AD20" i="3"/>
  <c r="AD24" i="3"/>
  <c r="AD36" i="3"/>
  <c r="AD51" i="3"/>
  <c r="AD13" i="3"/>
  <c r="AD35" i="3"/>
  <c r="Y7" i="3"/>
  <c r="AD11" i="3"/>
  <c r="AD47" i="3"/>
  <c r="AD52" i="3"/>
  <c r="AD15" i="3"/>
  <c r="AD25" i="3"/>
  <c r="AD28" i="3"/>
  <c r="AD44" i="3"/>
  <c r="AD42" i="3"/>
  <c r="AD7" i="3"/>
  <c r="T17" i="3"/>
  <c r="Y37" i="3"/>
  <c r="Y14" i="3"/>
  <c r="Y24" i="3"/>
  <c r="Y10" i="3"/>
  <c r="Y22" i="3"/>
  <c r="Y16" i="3"/>
  <c r="Y8" i="3"/>
  <c r="Y11" i="3"/>
  <c r="Y53" i="3"/>
  <c r="AD18" i="3"/>
  <c r="T46" i="3"/>
  <c r="T31" i="3"/>
  <c r="T37" i="3"/>
  <c r="T14" i="3"/>
  <c r="T24" i="3"/>
  <c r="T10" i="3"/>
  <c r="T22" i="3"/>
  <c r="T16" i="3"/>
  <c r="T8" i="3"/>
  <c r="T11" i="3"/>
  <c r="T53" i="3"/>
  <c r="Y17" i="3"/>
  <c r="Y46" i="3"/>
  <c r="Y31" i="3"/>
  <c r="Y47" i="3"/>
  <c r="Y52" i="3"/>
  <c r="Y33" i="3"/>
  <c r="Y15" i="3"/>
  <c r="Y25" i="3"/>
  <c r="Y23" i="3"/>
  <c r="Y29" i="3"/>
  <c r="Y19" i="3"/>
  <c r="Y43" i="3"/>
  <c r="Y41" i="3"/>
  <c r="Y32" i="3"/>
  <c r="Y50" i="3"/>
  <c r="AC50" i="3"/>
  <c r="B76" i="9"/>
  <c r="B77" i="9"/>
  <c r="B78" i="9"/>
  <c r="B79" i="9"/>
  <c r="C80" i="9" s="1"/>
  <c r="B80" i="9"/>
  <c r="B81" i="9"/>
  <c r="C81" i="9"/>
  <c r="B6" i="6"/>
  <c r="H6" i="6" s="1"/>
  <c r="I6" i="6"/>
  <c r="K6" i="6"/>
  <c r="B7" i="6"/>
  <c r="F7" i="6" s="1"/>
  <c r="K7" i="6"/>
  <c r="B8" i="6"/>
  <c r="G8" i="6" s="1"/>
  <c r="F8" i="6"/>
  <c r="K8" i="6"/>
  <c r="B9" i="6"/>
  <c r="H9" i="6" s="1"/>
  <c r="J9" i="6"/>
  <c r="K9" i="6"/>
  <c r="B10" i="6"/>
  <c r="H10" i="6" s="1"/>
  <c r="K10" i="6"/>
  <c r="C77" i="9" l="1"/>
  <c r="C79" i="9"/>
  <c r="C78" i="9"/>
  <c r="AI15" i="1"/>
  <c r="AI23" i="1"/>
  <c r="W60" i="1"/>
  <c r="W66" i="1"/>
  <c r="U46" i="1"/>
  <c r="S46" i="1" s="1"/>
  <c r="U60" i="1"/>
  <c r="S60" i="1" s="1"/>
  <c r="U120" i="1"/>
  <c r="S120" i="1" s="1"/>
  <c r="AI139" i="1"/>
  <c r="U152" i="1"/>
  <c r="S152" i="1" s="1"/>
  <c r="U138" i="1"/>
  <c r="S138" i="1" s="1"/>
  <c r="W139" i="1"/>
  <c r="AI27" i="1"/>
  <c r="AI26" i="1"/>
  <c r="W41" i="1"/>
  <c r="S68" i="1"/>
  <c r="AI100" i="1"/>
  <c r="W142" i="1"/>
  <c r="AI155" i="1"/>
  <c r="W175" i="1"/>
  <c r="W190" i="1"/>
  <c r="W14" i="1"/>
  <c r="W155" i="1"/>
  <c r="U160" i="1"/>
  <c r="S160" i="1" s="1"/>
  <c r="AI14" i="1"/>
  <c r="AI166" i="1"/>
  <c r="W27" i="1"/>
  <c r="U15" i="1"/>
  <c r="S15" i="1" s="1"/>
  <c r="S14" i="1"/>
  <c r="W50" i="1"/>
  <c r="AI68" i="1"/>
  <c r="S155" i="1"/>
  <c r="W149" i="1"/>
  <c r="W68" i="1"/>
  <c r="W131" i="1"/>
  <c r="W100" i="1"/>
  <c r="W26" i="1"/>
  <c r="W213" i="1"/>
  <c r="W160" i="1"/>
  <c r="S199" i="1"/>
  <c r="U80" i="1"/>
  <c r="S80" i="1" s="1"/>
  <c r="AI80" i="1"/>
  <c r="U85" i="1"/>
  <c r="S85" i="1" s="1"/>
  <c r="AI85" i="1"/>
  <c r="AI113" i="1"/>
  <c r="W113" i="1"/>
  <c r="W105" i="1"/>
  <c r="W109" i="1"/>
  <c r="W136" i="1"/>
  <c r="W197" i="1"/>
  <c r="AI225" i="1"/>
  <c r="W88" i="1"/>
  <c r="W180" i="1"/>
  <c r="W184" i="1"/>
  <c r="W152" i="1"/>
  <c r="W202" i="1"/>
  <c r="W80" i="1"/>
  <c r="W85" i="1"/>
  <c r="W146" i="1"/>
  <c r="W120" i="1"/>
  <c r="W199" i="1"/>
  <c r="U62" i="1"/>
  <c r="S62" i="1" s="1"/>
  <c r="W62" i="1"/>
  <c r="AI62" i="1"/>
  <c r="AI38" i="1"/>
  <c r="U38" i="1"/>
  <c r="S38" i="1" s="1"/>
  <c r="U114" i="1"/>
  <c r="S114" i="1" s="1"/>
  <c r="AI114" i="1"/>
  <c r="AI215" i="1"/>
  <c r="U194" i="1"/>
  <c r="S194" i="1" s="1"/>
  <c r="U222" i="1"/>
  <c r="S222" i="1" s="1"/>
  <c r="AI230" i="1"/>
  <c r="U17" i="1"/>
  <c r="S17" i="1" s="1"/>
  <c r="AI17" i="1"/>
  <c r="AI50" i="1"/>
  <c r="U50" i="1"/>
  <c r="S50" i="1" s="1"/>
  <c r="U207" i="1"/>
  <c r="S207" i="1"/>
  <c r="AI160" i="1"/>
  <c r="U211" i="1"/>
  <c r="S211" i="1" s="1"/>
  <c r="AI164" i="1"/>
  <c r="AI183" i="1"/>
  <c r="U162" i="1"/>
  <c r="S162" i="1" s="1"/>
  <c r="AI214" i="1"/>
  <c r="U193" i="1"/>
  <c r="S193" i="1" s="1"/>
  <c r="AI133" i="1"/>
  <c r="U133" i="1"/>
  <c r="S133" i="1" s="1"/>
  <c r="U215" i="1"/>
  <c r="S215" i="1" s="1"/>
  <c r="AI168" i="1"/>
  <c r="W162" i="1"/>
  <c r="U25" i="1"/>
  <c r="S25" i="1" s="1"/>
  <c r="AI25" i="1"/>
  <c r="S42" i="1"/>
  <c r="AI42" i="1"/>
  <c r="U42" i="1"/>
  <c r="W42" i="1"/>
  <c r="U54" i="1"/>
  <c r="S54" i="1" s="1"/>
  <c r="AI54" i="1"/>
  <c r="U70" i="1"/>
  <c r="S70" i="1" s="1"/>
  <c r="AI70" i="1"/>
  <c r="W17" i="1"/>
  <c r="AI71" i="1"/>
  <c r="U71" i="1"/>
  <c r="S71" i="1" s="1"/>
  <c r="U78" i="1"/>
  <c r="S78" i="1" s="1"/>
  <c r="AI78" i="1"/>
  <c r="W78" i="1"/>
  <c r="U33" i="1"/>
  <c r="S33" i="1" s="1"/>
  <c r="AI33" i="1"/>
  <c r="S45" i="1"/>
  <c r="U45" i="1"/>
  <c r="AI45" i="1"/>
  <c r="U36" i="1"/>
  <c r="S36" i="1" s="1"/>
  <c r="AI36" i="1"/>
  <c r="AI63" i="1"/>
  <c r="U63" i="1"/>
  <c r="S63" i="1" s="1"/>
  <c r="U102" i="1"/>
  <c r="S102" i="1" s="1"/>
  <c r="AI102" i="1"/>
  <c r="U118" i="1"/>
  <c r="S118" i="1" s="1"/>
  <c r="AI118" i="1"/>
  <c r="AI125" i="1"/>
  <c r="U125" i="1"/>
  <c r="S125" i="1" s="1"/>
  <c r="W125" i="1"/>
  <c r="AI150" i="1"/>
  <c r="U150" i="1"/>
  <c r="S150" i="1" s="1"/>
  <c r="AI157" i="1"/>
  <c r="U157" i="1"/>
  <c r="S157" i="1" s="1"/>
  <c r="W157" i="1"/>
  <c r="U206" i="1"/>
  <c r="S206" i="1" s="1"/>
  <c r="W206" i="1"/>
  <c r="AI159" i="1"/>
  <c r="AI126" i="1"/>
  <c r="U126" i="1"/>
  <c r="S126" i="1" s="1"/>
  <c r="AI142" i="1"/>
  <c r="U142" i="1"/>
  <c r="S142" i="1" s="1"/>
  <c r="W215" i="1"/>
  <c r="AI206" i="1"/>
  <c r="AI195" i="1"/>
  <c r="U175" i="1"/>
  <c r="S175" i="1" s="1"/>
  <c r="U182" i="1"/>
  <c r="S182" i="1" s="1"/>
  <c r="AI202" i="1"/>
  <c r="U140" i="1"/>
  <c r="S140" i="1" s="1"/>
  <c r="AI140" i="1"/>
  <c r="AI207" i="1"/>
  <c r="U186" i="1"/>
  <c r="S186" i="1" s="1"/>
  <c r="W194" i="1"/>
  <c r="AI227" i="1"/>
  <c r="U219" i="1"/>
  <c r="S219" i="1" s="1"/>
  <c r="W102" i="1"/>
  <c r="W118" i="1"/>
  <c r="U156" i="1"/>
  <c r="S156" i="1" s="1"/>
  <c r="AI156" i="1"/>
  <c r="W219" i="1"/>
  <c r="AI55" i="1"/>
  <c r="U55" i="1"/>
  <c r="S55" i="1" s="1"/>
  <c r="AI184" i="1"/>
  <c r="U163" i="1"/>
  <c r="S163" i="1" s="1"/>
  <c r="AI180" i="1"/>
  <c r="U159" i="1"/>
  <c r="S159" i="1" s="1"/>
  <c r="U166" i="1"/>
  <c r="S166" i="1" s="1"/>
  <c r="AI186" i="1"/>
  <c r="AI231" i="1"/>
  <c r="U223" i="1"/>
  <c r="S223" i="1" s="1"/>
  <c r="U124" i="1"/>
  <c r="S124" i="1" s="1"/>
  <c r="AI124" i="1"/>
  <c r="U21" i="1"/>
  <c r="S21" i="1" s="1"/>
  <c r="AI21" i="1"/>
  <c r="U58" i="1"/>
  <c r="S58" i="1" s="1"/>
  <c r="AI58" i="1"/>
  <c r="W58" i="1"/>
  <c r="U29" i="1"/>
  <c r="S29" i="1" s="1"/>
  <c r="AI29" i="1"/>
  <c r="U106" i="1"/>
  <c r="S106" i="1" s="1"/>
  <c r="AI106" i="1"/>
  <c r="U210" i="1"/>
  <c r="S210" i="1" s="1"/>
  <c r="AI163" i="1"/>
  <c r="W210" i="1"/>
  <c r="U228" i="1"/>
  <c r="S228" i="1" s="1"/>
  <c r="AI175" i="1"/>
  <c r="W228" i="1"/>
  <c r="AI199" i="1"/>
  <c r="U179" i="1"/>
  <c r="S179" i="1" s="1"/>
  <c r="AI211" i="1"/>
  <c r="U190" i="1"/>
  <c r="S190" i="1" s="1"/>
  <c r="AI218" i="1"/>
  <c r="U197" i="1"/>
  <c r="S197" i="1" s="1"/>
  <c r="U218" i="1"/>
  <c r="S218" i="1" s="1"/>
  <c r="AI226" i="1"/>
  <c r="U202" i="1"/>
  <c r="S202" i="1" s="1"/>
  <c r="AI223" i="1"/>
  <c r="W106" i="1"/>
  <c r="W207" i="1"/>
  <c r="AI198" i="1"/>
  <c r="U178" i="1"/>
  <c r="S178" i="1" s="1"/>
  <c r="W124" i="1"/>
  <c r="W211" i="1"/>
  <c r="W223" i="1"/>
  <c r="W222" i="1"/>
  <c r="W193" i="1"/>
  <c r="AI79" i="1"/>
  <c r="U79" i="1"/>
  <c r="S79" i="1" s="1"/>
  <c r="U66" i="1"/>
  <c r="S66" i="1" s="1"/>
  <c r="AI66" i="1"/>
  <c r="AI91" i="1"/>
  <c r="U91" i="1"/>
  <c r="S91" i="1" s="1"/>
  <c r="U224" i="1"/>
  <c r="S224" i="1" s="1"/>
  <c r="AI171" i="1"/>
  <c r="S49" i="1"/>
  <c r="U49" i="1"/>
  <c r="W49" i="1"/>
  <c r="AI49" i="1"/>
  <c r="W25" i="1"/>
  <c r="W38" i="1"/>
  <c r="W21" i="1"/>
  <c r="U74" i="1"/>
  <c r="S74" i="1" s="1"/>
  <c r="AI74" i="1"/>
  <c r="W74" i="1"/>
  <c r="U48" i="1"/>
  <c r="S48" i="1" s="1"/>
  <c r="AI48" i="1"/>
  <c r="AI92" i="1"/>
  <c r="U92" i="1"/>
  <c r="S92" i="1" s="1"/>
  <c r="AI99" i="1"/>
  <c r="U99" i="1"/>
  <c r="S99" i="1" s="1"/>
  <c r="AI41" i="1"/>
  <c r="U41" i="1"/>
  <c r="S41" i="1" s="1"/>
  <c r="U110" i="1"/>
  <c r="S110" i="1" s="1"/>
  <c r="AI110" i="1"/>
  <c r="AI134" i="1"/>
  <c r="U134" i="1"/>
  <c r="S134" i="1" s="1"/>
  <c r="AI141" i="1"/>
  <c r="U141" i="1"/>
  <c r="S141" i="1" s="1"/>
  <c r="W141" i="1"/>
  <c r="U214" i="1"/>
  <c r="S214" i="1" s="1"/>
  <c r="AI167" i="1"/>
  <c r="U98" i="1"/>
  <c r="S98" i="1" s="1"/>
  <c r="AI98" i="1"/>
  <c r="W114" i="1"/>
  <c r="W133" i="1"/>
  <c r="AI149" i="1"/>
  <c r="U149" i="1"/>
  <c r="S149" i="1" s="1"/>
  <c r="U225" i="1"/>
  <c r="S225" i="1" s="1"/>
  <c r="AI172" i="1"/>
  <c r="U170" i="1"/>
  <c r="S170" i="1" s="1"/>
  <c r="AI190" i="1"/>
  <c r="W170" i="1"/>
  <c r="U201" i="1"/>
  <c r="S201" i="1" s="1"/>
  <c r="AI222" i="1"/>
  <c r="W201" i="1"/>
  <c r="AI191" i="1"/>
  <c r="U171" i="1"/>
  <c r="S171" i="1" s="1"/>
  <c r="W179" i="1"/>
  <c r="W159" i="1"/>
  <c r="W182" i="1"/>
  <c r="W214" i="1"/>
  <c r="W178" i="1"/>
  <c r="W224" i="1"/>
  <c r="G10" i="6"/>
  <c r="J10" i="6"/>
  <c r="F10" i="6"/>
  <c r="I9" i="6"/>
  <c r="G6" i="6"/>
  <c r="G9" i="6"/>
  <c r="J8" i="6"/>
  <c r="J6" i="6"/>
  <c r="F6" i="6"/>
  <c r="I10" i="6"/>
  <c r="F9" i="6"/>
  <c r="I8" i="6"/>
  <c r="I7" i="6"/>
  <c r="H7" i="6"/>
  <c r="H8" i="6"/>
  <c r="G7" i="6"/>
  <c r="J7" i="6"/>
  <c r="AD50" i="3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C76" i="9" s="1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26" i="9"/>
  <c r="C64" i="9"/>
  <c r="C50" i="9"/>
  <c r="C48" i="9"/>
  <c r="B1" i="9"/>
  <c r="C1" i="9" s="1"/>
  <c r="C4" i="9"/>
  <c r="C7" i="9"/>
  <c r="C24" i="9"/>
  <c r="C33" i="9"/>
  <c r="C74" i="9"/>
  <c r="C45" i="9"/>
  <c r="C70" i="9"/>
  <c r="C68" i="9"/>
  <c r="C44" i="9"/>
  <c r="C61" i="9"/>
  <c r="C71" i="9"/>
  <c r="C73" i="9"/>
  <c r="C42" i="9"/>
  <c r="C57" i="9"/>
  <c r="C51" i="9"/>
  <c r="C10" i="9"/>
  <c r="C46" i="9"/>
  <c r="C62" i="9"/>
  <c r="C15" i="9"/>
  <c r="C30" i="9"/>
  <c r="C16" i="9"/>
  <c r="C29" i="9"/>
  <c r="C12" i="9"/>
  <c r="C37" i="9"/>
  <c r="C36" i="9"/>
  <c r="C39" i="9"/>
  <c r="C13" i="9"/>
  <c r="C25" i="9" l="1"/>
  <c r="C19" i="9"/>
  <c r="C67" i="9"/>
  <c r="C59" i="9"/>
  <c r="C54" i="9"/>
  <c r="C22" i="9"/>
  <c r="C17" i="9"/>
  <c r="C75" i="9"/>
  <c r="C18" i="9"/>
  <c r="C20" i="9"/>
  <c r="C34" i="9"/>
  <c r="C52" i="9"/>
  <c r="C69" i="9"/>
  <c r="C55" i="9"/>
  <c r="C8" i="9"/>
  <c r="C9" i="9"/>
  <c r="C65" i="9"/>
  <c r="C38" i="9"/>
  <c r="C47" i="9"/>
  <c r="C66" i="9"/>
  <c r="C58" i="9"/>
  <c r="C60" i="9"/>
  <c r="C31" i="9"/>
  <c r="C32" i="9"/>
  <c r="C5" i="9"/>
  <c r="C6" i="9"/>
  <c r="C27" i="9"/>
  <c r="C35" i="9"/>
  <c r="C14" i="9"/>
  <c r="C28" i="9"/>
  <c r="C63" i="9"/>
  <c r="C11" i="9"/>
  <c r="C53" i="9"/>
  <c r="C40" i="9"/>
  <c r="C41" i="9"/>
  <c r="C72" i="9"/>
  <c r="C43" i="9"/>
  <c r="C56" i="9"/>
  <c r="C2" i="9"/>
  <c r="C3" i="9"/>
  <c r="C49" i="9"/>
  <c r="C21" i="9"/>
  <c r="C23" i="9"/>
  <c r="W13" i="1"/>
  <c r="AI13" i="1"/>
  <c r="U13" i="1"/>
  <c r="S13" i="1" s="1"/>
  <c r="B3" i="6" l="1"/>
  <c r="F3" i="6" s="1"/>
  <c r="K3" i="6"/>
  <c r="B4" i="6"/>
  <c r="K4" i="6"/>
  <c r="B5" i="6"/>
  <c r="K5" i="6"/>
  <c r="I5" i="6" l="1"/>
  <c r="F4" i="6"/>
  <c r="J4" i="6"/>
  <c r="J5" i="6"/>
  <c r="F5" i="6"/>
  <c r="I4" i="6"/>
  <c r="I3" i="6"/>
  <c r="J3" i="6"/>
  <c r="M30" i="5" l="1"/>
  <c r="M29" i="5"/>
  <c r="M27" i="5"/>
  <c r="F6" i="4" l="1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4" i="6" s="1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5" i="6" l="1"/>
  <c r="G3" i="6"/>
  <c r="H4" i="6"/>
  <c r="H3" i="6"/>
  <c r="H5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<sst xmlns="http://schemas.openxmlformats.org/spreadsheetml/2006/main" count="2455" uniqueCount="926">
  <si>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</si>
  <si>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</si>
  <si>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</si>
  <si>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</si>
  <si>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</si>
  <si>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</si>
  <si>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</si>
  <si>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</si>
  <si>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</si>
  <si>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</si>
  <si>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</si>
  <si>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</si>
  <si>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</si>
  <si>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</si>
  <si>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</si>
  <si>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</si>
  <si>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</si>
  <si>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</si>
  <si>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</si>
  <si>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</si>
  <si>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</si>
  <si>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</si>
  <si>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</si>
  <si>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</si>
  <si>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</si>
  <si>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</si>
  <si>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</si>
  <si>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</si>
  <si>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</si>
  <si>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</si>
  <si>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</si>
  <si>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</si>
  <si>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</si>
  <si>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</si>
  <si>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</si>
  <si>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</si>
  <si>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</si>
  <si>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</si>
  <si>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</si>
  <si>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</si>
  <si>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</si>
  <si>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</si>
  <si>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</si>
  <si>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</si>
  <si>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</si>
  <si>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</si>
  <si>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</si>
  <si>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</si>
  <si>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</si>
  <si>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</si>
  <si>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</si>
  <si>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</si>
  <si>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</si>
  <si>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</si>
  <si>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</si>
  <si>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</si>
  <si>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</si>
  <si>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</si>
  <si>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</si>
  <si>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</si>
  <si>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</si>
  <si>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</si>
  <si>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</si>
  <si>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</si>
  <si>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</si>
  <si>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</si>
  <si>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</si>
  <si>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</si>
  <si>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</si>
  <si>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</si>
  <si>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</si>
  <si>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</si>
  <si>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</si>
  <si>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</si>
  <si>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</si>
  <si>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</si>
  <si>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</si>
  <si>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</si>
  <si>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</si>
  <si>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</si>
  <si>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</si>
  <si>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</si>
  <si>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</si>
  <si>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</si>
  <si>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</si>
  <si>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</si>
  <si>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</si>
  <si>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</si>
  <si>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</si>
  <si>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</si>
  <si>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</si>
  <si>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</si>
  <si>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</si>
  <si>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</si>
  <si>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</si>
  <si>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</si>
  <si>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</si>
  <si>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</si>
  <si>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</si>
  <si>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</si>
  <si>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</si>
  <si>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</si>
  <si>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</si>
  <si>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</si>
  <si>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</si>
  <si>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</si>
  <si>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</si>
  <si>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</si>
  <si>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</si>
  <si>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</si>
  <si>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</si>
  <si>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</si>
  <si>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</si>
  <si>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</si>
  <si>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</si>
  <si>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</si>
  <si>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</si>
  <si>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</si>
  <si>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</si>
  <si>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</si>
  <si>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</si>
  <si>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</si>
  <si>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</si>
  <si>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</si>
  <si>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</si>
  <si>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</si>
  <si>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</si>
  <si>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</si>
  <si>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</si>
  <si>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</si>
  <si>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</si>
  <si>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</si>
  <si>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</si>
  <si>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</si>
  <si>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</si>
  <si>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</si>
  <si>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</si>
  <si>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</si>
  <si>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</si>
  <si>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</si>
  <si>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</si>
  <si>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</si>
  <si>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</si>
  <si>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</si>
  <si>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</si>
  <si>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</si>
  <si>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</si>
  <si>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</si>
  <si>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</si>
  <si>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</si>
  <si>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</si>
  <si>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</si>
  <si>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</si>
  <si>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</si>
  <si>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</si>
  <si>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</si>
  <si>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</si>
  <si>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</si>
  <si>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</si>
  <si>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</si>
  <si>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</si>
  <si>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</si>
  <si>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</si>
  <si>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</si>
  <si>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</si>
  <si>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</si>
  <si>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</si>
  <si>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</si>
  <si>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</si>
  <si>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</si>
  <si>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</si>
  <si>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</si>
  <si>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</si>
  <si>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</si>
  <si>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</si>
  <si>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</si>
  <si>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</si>
  <si>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</si>
  <si>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</si>
  <si>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</si>
  <si>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</si>
  <si>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</si>
  <si>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</si>
  <si>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</si>
  <si>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</si>
  <si>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</si>
  <si>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</si>
  <si>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</si>
  <si>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</si>
  <si>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</si>
  <si>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</si>
  <si>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</si>
  <si>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</si>
  <si>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</si>
  <si>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</si>
  <si>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</si>
  <si>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</si>
  <si>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</si>
  <si>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</si>
  <si>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</si>
  <si>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</si>
  <si>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</si>
  <si>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</si>
  <si>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</si>
  <si>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</si>
  <si>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</si>
  <si>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</si>
  <si>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</si>
  <si>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</si>
  <si>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204:462</t>
  </si>
  <si>
    <t>rtdc.l.rtdc.4011:itc</t>
  </si>
  <si>
    <t>204:464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</si>
  <si>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</si>
  <si>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</si>
  <si>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</si>
  <si>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</si>
  <si>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</si>
  <si>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</si>
  <si>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</si>
  <si>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</si>
  <si>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</si>
  <si>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</si>
  <si>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MAGEE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</si>
  <si>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</si>
  <si>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</si>
  <si>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</si>
  <si>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</si>
  <si>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</si>
  <si>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</si>
  <si>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</si>
  <si>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</si>
  <si>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</si>
  <si>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</si>
  <si>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</si>
  <si>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</si>
  <si>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204:449</t>
  </si>
  <si>
    <t>204:141</t>
  </si>
  <si>
    <t>204:232987</t>
  </si>
  <si>
    <t>rtdc.l.rtdc.4014:itc</t>
  </si>
  <si>
    <t>rtdc.l.rtdc.4013:itc</t>
  </si>
  <si>
    <t>204:232975</t>
  </si>
  <si>
    <t>204:232994</t>
  </si>
  <si>
    <t>CLI Grep2 (for slice disagreement)</t>
  </si>
  <si>
    <t>204:232998</t>
  </si>
  <si>
    <t>Y</t>
  </si>
  <si>
    <t>204:147</t>
  </si>
  <si>
    <t>204:232993</t>
  </si>
  <si>
    <t>204:165</t>
  </si>
  <si>
    <t>204:233314</t>
  </si>
  <si>
    <t>204:455</t>
  </si>
  <si>
    <t>204:232983</t>
  </si>
  <si>
    <t>rtdc.l.rtdc.4031:itc</t>
  </si>
  <si>
    <t>204:442</t>
  </si>
  <si>
    <t>rtdc.l.rtdc.4045:itc</t>
  </si>
  <si>
    <t>rtdc.l.rtdc.4046:itc</t>
  </si>
  <si>
    <t>DAVIS</t>
  </si>
  <si>
    <t>204:161</t>
  </si>
  <si>
    <t>204:460</t>
  </si>
  <si>
    <t>204:233302</t>
  </si>
  <si>
    <t>204:139</t>
  </si>
  <si>
    <t>204:457</t>
  </si>
  <si>
    <t>204:471</t>
  </si>
  <si>
    <t>204:233293</t>
  </si>
  <si>
    <t>204:167</t>
  </si>
  <si>
    <t>rtdc.l.rtdc.4042:itc</t>
  </si>
  <si>
    <t>rtdc.l.rtdc.4041:itc</t>
  </si>
  <si>
    <t>DAVIDSON</t>
  </si>
  <si>
    <t>SAFIEF</t>
  </si>
  <si>
    <t>204:233306</t>
  </si>
  <si>
    <t>204:469</t>
  </si>
  <si>
    <t>204:233307</t>
  </si>
  <si>
    <t>204:233000</t>
  </si>
  <si>
    <t>204:233308</t>
  </si>
  <si>
    <t>rtdc.l.rtdc.4003:itc</t>
  </si>
  <si>
    <t>rtdc.l.rtdc.4004:itc</t>
  </si>
  <si>
    <t>204:233303</t>
  </si>
  <si>
    <t>204:232989</t>
  </si>
  <si>
    <t>rtdc.l.rtdc.4010:itc</t>
  </si>
  <si>
    <t>204:232984</t>
  </si>
  <si>
    <t>204:232988</t>
  </si>
  <si>
    <t>204:145</t>
  </si>
  <si>
    <t>204:232996</t>
  </si>
  <si>
    <t>204:232980</t>
  </si>
  <si>
    <t>204:467</t>
  </si>
  <si>
    <t>204:233315</t>
  </si>
  <si>
    <t>204:233298</t>
  </si>
  <si>
    <t>300:58611</t>
  </si>
  <si>
    <t>300:58922</t>
  </si>
  <si>
    <t>rtdc.l.rtdc.4032:itc</t>
  </si>
  <si>
    <t>242-25</t>
  </si>
  <si>
    <t>MCREYNOLDS</t>
  </si>
  <si>
    <t>CHANDLER</t>
  </si>
  <si>
    <t>LALONDE</t>
  </si>
  <si>
    <t>81-25</t>
  </si>
  <si>
    <t>80-25</t>
  </si>
  <si>
    <t>908-25</t>
  </si>
  <si>
    <t>234-25</t>
  </si>
  <si>
    <t>237-25</t>
  </si>
  <si>
    <t>239-25</t>
  </si>
  <si>
    <t>236-25</t>
  </si>
  <si>
    <t>241-25</t>
  </si>
  <si>
    <t>238-25</t>
  </si>
  <si>
    <t>243-25</t>
  </si>
  <si>
    <t>240-25</t>
  </si>
  <si>
    <t>245-25</t>
  </si>
  <si>
    <t>309-25</t>
  </si>
  <si>
    <t>244-25</t>
  </si>
  <si>
    <t>311-25</t>
  </si>
  <si>
    <t>246-25</t>
  </si>
  <si>
    <t>313-25</t>
  </si>
  <si>
    <t>315-25</t>
  </si>
  <si>
    <t>204:232967</t>
  </si>
  <si>
    <t>204:233291</t>
  </si>
  <si>
    <t>204:232985</t>
  </si>
  <si>
    <t>204:233301</t>
  </si>
  <si>
    <t>204:473</t>
  </si>
  <si>
    <t>204:965</t>
  </si>
  <si>
    <t>rtdc.l.rtdc.4026:itc</t>
  </si>
  <si>
    <t>KILLION</t>
  </si>
  <si>
    <t>CLARK</t>
  </si>
  <si>
    <t>STEWART</t>
  </si>
  <si>
    <t>BARTLETT</t>
  </si>
  <si>
    <t>rtdc.l.rtdc.4025:itc</t>
  </si>
  <si>
    <t>WHITED</t>
  </si>
  <si>
    <t>partly-cloudy-night</t>
  </si>
  <si>
    <t>partly-cloudy-day</t>
  </si>
  <si>
    <t>Mostly Cloudy</t>
  </si>
  <si>
    <t>204:717</t>
  </si>
  <si>
    <t>204:232990</t>
  </si>
  <si>
    <t>204:138</t>
  </si>
  <si>
    <t>204:233004</t>
  </si>
  <si>
    <t>204:160</t>
  </si>
  <si>
    <t>204:170</t>
  </si>
  <si>
    <t>204:233311</t>
  </si>
  <si>
    <t>204:232982</t>
  </si>
  <si>
    <t>204:458</t>
  </si>
  <si>
    <t>204:233325</t>
  </si>
  <si>
    <t>204:962</t>
  </si>
  <si>
    <t>204:233318</t>
  </si>
  <si>
    <t>204:477</t>
  </si>
  <si>
    <t>204:233344</t>
  </si>
  <si>
    <t>rtdc.l.rtdc.4016:itc</t>
  </si>
  <si>
    <t>rtdc.l.rtdc.4001:itc</t>
  </si>
  <si>
    <t>rtdc.l.rtdc.4015:itc</t>
  </si>
  <si>
    <t>STARKS</t>
  </si>
  <si>
    <t>YOUNG</t>
  </si>
  <si>
    <t>LEVERE</t>
  </si>
  <si>
    <t>COOLAHAN</t>
  </si>
  <si>
    <t>242-27</t>
  </si>
  <si>
    <t>311-27</t>
  </si>
  <si>
    <t>244-27</t>
  </si>
  <si>
    <t>313-27</t>
  </si>
  <si>
    <t>315-27</t>
  </si>
  <si>
    <t>204:752</t>
  </si>
  <si>
    <t>204:233322</t>
  </si>
  <si>
    <t>204:233324</t>
  </si>
  <si>
    <t>204:233304</t>
  </si>
  <si>
    <t>204:233278</t>
  </si>
  <si>
    <t>204:134</t>
  </si>
  <si>
    <t>204:233319</t>
  </si>
  <si>
    <t>204:486</t>
  </si>
  <si>
    <t>204:232991</t>
  </si>
  <si>
    <t>204:130</t>
  </si>
  <si>
    <t>204:233320</t>
  </si>
  <si>
    <t>204:163</t>
  </si>
  <si>
    <t>204:233002</t>
  </si>
  <si>
    <t>300:58626</t>
  </si>
  <si>
    <t>300:58956</t>
  </si>
  <si>
    <t>300:58645</t>
  </si>
  <si>
    <t>300:58963</t>
  </si>
  <si>
    <t>300:58950</t>
  </si>
  <si>
    <t>300:58685</t>
  </si>
  <si>
    <t>204:684</t>
  </si>
  <si>
    <t>204:673</t>
  </si>
  <si>
    <t>204:233289</t>
  </si>
  <si>
    <t>300:58973</t>
  </si>
  <si>
    <t>204:232702</t>
  </si>
  <si>
    <t>204:775</t>
  </si>
  <si>
    <t>204:233297</t>
  </si>
  <si>
    <t>204:233349</t>
  </si>
  <si>
    <t>300:23312</t>
  </si>
  <si>
    <t>204:755</t>
  </si>
  <si>
    <t>300:23299</t>
  </si>
  <si>
    <t>204:683</t>
  </si>
  <si>
    <t>300:22839</t>
  </si>
  <si>
    <t>300:58640</t>
  </si>
  <si>
    <t>300:28795</t>
  </si>
  <si>
    <t>300:58967</t>
  </si>
  <si>
    <t>204:426</t>
  </si>
  <si>
    <t>:.+((SYSTEM_STATE.+slice.+state.+changed )|(ment ac)|(multiple cpu faults)|(system.+state.+changed )|(\[timeout)|(PRM\|1\|D)|(kpr)|(kdp)|(\|lc)|(penalty))</t>
  </si>
  <si>
    <t>Onboard in-route failure</t>
  </si>
  <si>
    <t>304-28</t>
  </si>
  <si>
    <t>102-28</t>
  </si>
  <si>
    <t>901-28</t>
  </si>
  <si>
    <t>800-28</t>
  </si>
  <si>
    <t>115-28</t>
  </si>
  <si>
    <t>113-28</t>
  </si>
  <si>
    <t>801-28</t>
  </si>
  <si>
    <t>802-28</t>
  </si>
  <si>
    <t>805-28</t>
  </si>
  <si>
    <t>122-28</t>
  </si>
  <si>
    <t>809-28</t>
  </si>
  <si>
    <t>139-28</t>
  </si>
  <si>
    <t>811-28</t>
  </si>
  <si>
    <t>143-28</t>
  </si>
  <si>
    <t>142-28</t>
  </si>
  <si>
    <t>149-28</t>
  </si>
  <si>
    <t>155-28</t>
  </si>
  <si>
    <t>rtdc.l.rtdc.4008:itc</t>
  </si>
  <si>
    <t>52-28</t>
  </si>
  <si>
    <t>rtdc.l.rtdc.4007:itc</t>
  </si>
  <si>
    <t>53-28</t>
  </si>
  <si>
    <t>169-28</t>
  </si>
  <si>
    <t>170-28</t>
  </si>
  <si>
    <t>822-28</t>
  </si>
  <si>
    <t>183-28</t>
  </si>
  <si>
    <t>SWITCH UNKNOWN</t>
  </si>
  <si>
    <t>Track device (7)</t>
  </si>
  <si>
    <t>178-28</t>
  </si>
  <si>
    <t>180-28</t>
  </si>
  <si>
    <t>186-28</t>
  </si>
  <si>
    <t>825-28</t>
  </si>
  <si>
    <t>198-28</t>
  </si>
  <si>
    <t>832-28</t>
  </si>
  <si>
    <t>834-28</t>
  </si>
  <si>
    <t>835-28</t>
  </si>
  <si>
    <t>54-28</t>
  </si>
  <si>
    <t>836-28</t>
  </si>
  <si>
    <t>212-28</t>
  </si>
  <si>
    <t>841-28</t>
  </si>
  <si>
    <t>222-28</t>
  </si>
  <si>
    <t>845-28</t>
  </si>
  <si>
    <t>241-28</t>
  </si>
  <si>
    <t>302-28</t>
  </si>
  <si>
    <t>101-28</t>
  </si>
  <si>
    <t>103-28</t>
  </si>
  <si>
    <t>306-28</t>
  </si>
  <si>
    <t>PERKINS</t>
  </si>
  <si>
    <t>105-28</t>
  </si>
  <si>
    <t>308-28</t>
  </si>
  <si>
    <t>SPECTOR</t>
  </si>
  <si>
    <t>310-28</t>
  </si>
  <si>
    <t>CRAYTON</t>
  </si>
  <si>
    <t>107-28</t>
  </si>
  <si>
    <t>109-28</t>
  </si>
  <si>
    <t>104-28</t>
  </si>
  <si>
    <t>111-28</t>
  </si>
  <si>
    <t>106-28</t>
  </si>
  <si>
    <t>108-28</t>
  </si>
  <si>
    <t>HAITHCOX</t>
  </si>
  <si>
    <t>110-28</t>
  </si>
  <si>
    <t>117-28</t>
  </si>
  <si>
    <t>112-28</t>
  </si>
  <si>
    <t>119-28</t>
  </si>
  <si>
    <t>902-28</t>
  </si>
  <si>
    <t>114-28</t>
  </si>
  <si>
    <t>121-28</t>
  </si>
  <si>
    <t>803-28</t>
  </si>
  <si>
    <t>116-28</t>
  </si>
  <si>
    <t>123-28</t>
  </si>
  <si>
    <t>118-28</t>
  </si>
  <si>
    <t>804-28</t>
  </si>
  <si>
    <t>120-28</t>
  </si>
  <si>
    <t>125-28</t>
  </si>
  <si>
    <t>127-28</t>
  </si>
  <si>
    <t>806-28</t>
  </si>
  <si>
    <t>129-28</t>
  </si>
  <si>
    <t>124-28</t>
  </si>
  <si>
    <t>807-28</t>
  </si>
  <si>
    <t>131-28</t>
  </si>
  <si>
    <t>808-28</t>
  </si>
  <si>
    <t>133-28</t>
  </si>
  <si>
    <t>126-28</t>
  </si>
  <si>
    <t>128-28</t>
  </si>
  <si>
    <t>135-28</t>
  </si>
  <si>
    <t>CUSHING</t>
  </si>
  <si>
    <t>130-28</t>
  </si>
  <si>
    <t>810-28</t>
  </si>
  <si>
    <t>137-28</t>
  </si>
  <si>
    <t>132-28</t>
  </si>
  <si>
    <t>903-28</t>
  </si>
  <si>
    <t>134-28</t>
  </si>
  <si>
    <t>812-28</t>
  </si>
  <si>
    <t>141-28</t>
  </si>
  <si>
    <t>JOHNSON</t>
  </si>
  <si>
    <t>136-28</t>
  </si>
  <si>
    <t>138-28</t>
  </si>
  <si>
    <t>145-28</t>
  </si>
  <si>
    <t>813-28</t>
  </si>
  <si>
    <t>147-28</t>
  </si>
  <si>
    <t>140-28</t>
  </si>
  <si>
    <t>814-28</t>
  </si>
  <si>
    <t>144-28</t>
  </si>
  <si>
    <t>151-28</t>
  </si>
  <si>
    <t>815-28</t>
  </si>
  <si>
    <t>146-28</t>
  </si>
  <si>
    <t>153-28</t>
  </si>
  <si>
    <t>148-28</t>
  </si>
  <si>
    <t>50-28</t>
  </si>
  <si>
    <t>BRANDNER</t>
  </si>
  <si>
    <t>150-28</t>
  </si>
  <si>
    <t>816-28</t>
  </si>
  <si>
    <t>157-28</t>
  </si>
  <si>
    <t>152-28</t>
  </si>
  <si>
    <t>159-28</t>
  </si>
  <si>
    <t>817-28</t>
  </si>
  <si>
    <t>154-28</t>
  </si>
  <si>
    <t>161-28</t>
  </si>
  <si>
    <t>51-28</t>
  </si>
  <si>
    <t>GRASTON</t>
  </si>
  <si>
    <t>156-28</t>
  </si>
  <si>
    <t>163-28</t>
  </si>
  <si>
    <t>BONDS</t>
  </si>
  <si>
    <t>158-28</t>
  </si>
  <si>
    <t>818-28</t>
  </si>
  <si>
    <t>165-28</t>
  </si>
  <si>
    <t>160-28</t>
  </si>
  <si>
    <t>162-28</t>
  </si>
  <si>
    <t>167-28</t>
  </si>
  <si>
    <t>819-28</t>
  </si>
  <si>
    <t>164-28</t>
  </si>
  <si>
    <t>171-28</t>
  </si>
  <si>
    <t>ROMERO</t>
  </si>
  <si>
    <t>166-28</t>
  </si>
  <si>
    <t>820-28</t>
  </si>
  <si>
    <t>173-28</t>
  </si>
  <si>
    <t>168-28</t>
  </si>
  <si>
    <t>175-28</t>
  </si>
  <si>
    <t>177-28</t>
  </si>
  <si>
    <t>172-28</t>
  </si>
  <si>
    <t>821-28</t>
  </si>
  <si>
    <t>179-28</t>
  </si>
  <si>
    <t>174-28</t>
  </si>
  <si>
    <t>181-28</t>
  </si>
  <si>
    <t>176-28</t>
  </si>
  <si>
    <t>185-28</t>
  </si>
  <si>
    <t>823-28</t>
  </si>
  <si>
    <t>187-28</t>
  </si>
  <si>
    <t>182-28</t>
  </si>
  <si>
    <t>824-28</t>
  </si>
  <si>
    <t>189-28</t>
  </si>
  <si>
    <t>191-28</t>
  </si>
  <si>
    <t>184-28</t>
  </si>
  <si>
    <t>193-28</t>
  </si>
  <si>
    <t>904-28</t>
  </si>
  <si>
    <t>188-28</t>
  </si>
  <si>
    <t>195-28</t>
  </si>
  <si>
    <t>190-28</t>
  </si>
  <si>
    <t>197-28</t>
  </si>
  <si>
    <t>192-28</t>
  </si>
  <si>
    <t>826-28</t>
  </si>
  <si>
    <t>827-28</t>
  </si>
  <si>
    <t>199-28</t>
  </si>
  <si>
    <t>194-28</t>
  </si>
  <si>
    <t>828-28</t>
  </si>
  <si>
    <t>201-28</t>
  </si>
  <si>
    <t>196-28</t>
  </si>
  <si>
    <t>829-28</t>
  </si>
  <si>
    <t>203-28</t>
  </si>
  <si>
    <t>830-28</t>
  </si>
  <si>
    <t>200-28</t>
  </si>
  <si>
    <t>205-28</t>
  </si>
  <si>
    <t>831-28</t>
  </si>
  <si>
    <t>207-28</t>
  </si>
  <si>
    <t>73-28</t>
  </si>
  <si>
    <t>BERLING</t>
  </si>
  <si>
    <t>202-28</t>
  </si>
  <si>
    <t>204-28</t>
  </si>
  <si>
    <t>209-28</t>
  </si>
  <si>
    <t>833-28</t>
  </si>
  <si>
    <t>211-28</t>
  </si>
  <si>
    <t>206-28</t>
  </si>
  <si>
    <t>213-28</t>
  </si>
  <si>
    <t>NEWELL</t>
  </si>
  <si>
    <t>208-28</t>
  </si>
  <si>
    <t>76-28</t>
  </si>
  <si>
    <t>215-28</t>
  </si>
  <si>
    <t>210-28</t>
  </si>
  <si>
    <t>219-28</t>
  </si>
  <si>
    <t>YANAI</t>
  </si>
  <si>
    <t>217-28</t>
  </si>
  <si>
    <t>837-28</t>
  </si>
  <si>
    <t>214-28</t>
  </si>
  <si>
    <t>77-28</t>
  </si>
  <si>
    <t>838-28</t>
  </si>
  <si>
    <t>216-28</t>
  </si>
  <si>
    <t>839-28</t>
  </si>
  <si>
    <t>303-28</t>
  </si>
  <si>
    <t>221-28</t>
  </si>
  <si>
    <t>218-28</t>
  </si>
  <si>
    <t>906-28</t>
  </si>
  <si>
    <t>305-28</t>
  </si>
  <si>
    <t>220-28</t>
  </si>
  <si>
    <t>223-28</t>
  </si>
  <si>
    <t>307-28</t>
  </si>
  <si>
    <t>840-28</t>
  </si>
  <si>
    <t>225-28</t>
  </si>
  <si>
    <t>843-28</t>
  </si>
  <si>
    <t>224-28</t>
  </si>
  <si>
    <t>227-28</t>
  </si>
  <si>
    <t>842-28</t>
  </si>
  <si>
    <t>226-28</t>
  </si>
  <si>
    <t>229-28</t>
  </si>
  <si>
    <t>231-28</t>
  </si>
  <si>
    <t>228-28</t>
  </si>
  <si>
    <t>233-28</t>
  </si>
  <si>
    <t>844-28</t>
  </si>
  <si>
    <t>230-28</t>
  </si>
  <si>
    <t>232-28</t>
  </si>
  <si>
    <t>847-28</t>
  </si>
  <si>
    <t>235-28</t>
  </si>
  <si>
    <t>908-28</t>
  </si>
  <si>
    <t>237-28</t>
  </si>
  <si>
    <t>234-28</t>
  </si>
  <si>
    <t>239-28</t>
  </si>
  <si>
    <t>236-28</t>
  </si>
  <si>
    <t>238-28</t>
  </si>
  <si>
    <t>240-28</t>
  </si>
  <si>
    <t>243-28</t>
  </si>
  <si>
    <t>242-28</t>
  </si>
  <si>
    <t>309-28</t>
  </si>
  <si>
    <t>311-28</t>
  </si>
  <si>
    <t>244-28</t>
  </si>
  <si>
    <t>313-28</t>
  </si>
  <si>
    <t>Partly Cloudy</t>
  </si>
  <si>
    <t>204:232721</t>
  </si>
  <si>
    <t>204:232664</t>
  </si>
  <si>
    <t>204:781</t>
  </si>
  <si>
    <t>204:233323</t>
  </si>
  <si>
    <t>204:444</t>
  </si>
  <si>
    <t>204:438</t>
  </si>
  <si>
    <t>204:233013</t>
  </si>
  <si>
    <t>204:770</t>
  </si>
  <si>
    <t>204:446</t>
  </si>
  <si>
    <t>204:233229</t>
  </si>
  <si>
    <t>204:232979</t>
  </si>
  <si>
    <t>204:152</t>
  </si>
  <si>
    <t>204:786</t>
  </si>
  <si>
    <t>204:737</t>
  </si>
  <si>
    <t>204:232965</t>
  </si>
  <si>
    <t>204:233011</t>
  </si>
  <si>
    <t>204:1160</t>
  </si>
  <si>
    <t>204:482</t>
  </si>
  <si>
    <t>204:233017</t>
  </si>
  <si>
    <t>204:233317</t>
  </si>
  <si>
    <t>204:232972</t>
  </si>
  <si>
    <t>204:232963</t>
  </si>
  <si>
    <t>204:233259</t>
  </si>
  <si>
    <t>204:232938</t>
  </si>
  <si>
    <t>204:233253</t>
  </si>
  <si>
    <t>204:232946</t>
  </si>
  <si>
    <t>204:227411</t>
  </si>
  <si>
    <t>204:233070</t>
  </si>
  <si>
    <t>204:233336</t>
  </si>
  <si>
    <t>204:233028</t>
  </si>
  <si>
    <t>204:233332</t>
  </si>
  <si>
    <t>204:233007</t>
  </si>
  <si>
    <t>204:233276</t>
  </si>
  <si>
    <t>204:233329</t>
  </si>
  <si>
    <t>204:203</t>
  </si>
  <si>
    <t>204:233343</t>
  </si>
  <si>
    <t>204:233009</t>
  </si>
  <si>
    <t>204:437</t>
  </si>
  <si>
    <t>204:233023</t>
  </si>
  <si>
    <t>204:205</t>
  </si>
  <si>
    <t>204:511</t>
  </si>
  <si>
    <t>204:232978</t>
  </si>
  <si>
    <t>204:484</t>
  </si>
  <si>
    <t>204:524</t>
  </si>
  <si>
    <t>204:232973</t>
  </si>
  <si>
    <t>204:180</t>
  </si>
  <si>
    <t>204:233280</t>
  </si>
  <si>
    <t>204:136</t>
  </si>
  <si>
    <t>204:233283</t>
  </si>
  <si>
    <t>204:127860</t>
  </si>
  <si>
    <t>204:232968</t>
  </si>
  <si>
    <t>204:233288</t>
  </si>
  <si>
    <t>204:233285</t>
  </si>
  <si>
    <t>204:227985</t>
  </si>
  <si>
    <t>204:475</t>
  </si>
  <si>
    <t>204:435</t>
  </si>
  <si>
    <t>204:233300</t>
  </si>
  <si>
    <t>204:223</t>
  </si>
  <si>
    <t>204:233284</t>
  </si>
  <si>
    <t>204:232959</t>
  </si>
  <si>
    <t>300:23091</t>
  </si>
  <si>
    <t>300:23118</t>
  </si>
  <si>
    <t>300:22854</t>
  </si>
  <si>
    <t>300:22787</t>
  </si>
  <si>
    <t>300:23324</t>
  </si>
  <si>
    <t>300:22850</t>
  </si>
  <si>
    <t>300:23535</t>
  </si>
  <si>
    <t>300:23310</t>
  </si>
  <si>
    <t>204:519</t>
  </si>
  <si>
    <t>300:23149</t>
  </si>
  <si>
    <t>300:23127</t>
  </si>
  <si>
    <t>300:24222</t>
  </si>
  <si>
    <t>300:23122</t>
  </si>
  <si>
    <t>204:142</t>
  </si>
  <si>
    <t>300:25668</t>
  </si>
  <si>
    <t>300:22140</t>
  </si>
  <si>
    <t>204:958</t>
  </si>
  <si>
    <t>204:1473</t>
  </si>
  <si>
    <t>300:23346</t>
  </si>
  <si>
    <t>300:22036</t>
  </si>
  <si>
    <t>204:79</t>
  </si>
  <si>
    <t>204:1268</t>
  </si>
  <si>
    <t>300:24263</t>
  </si>
  <si>
    <t>300:58704</t>
  </si>
  <si>
    <t>204:701</t>
  </si>
  <si>
    <t>204:983</t>
  </si>
  <si>
    <t>300:58532</t>
  </si>
  <si>
    <t>300:58705</t>
  </si>
  <si>
    <t>204:642</t>
  </si>
  <si>
    <t>204:979</t>
  </si>
  <si>
    <t>300:58920</t>
  </si>
  <si>
    <t>300:58600</t>
  </si>
  <si>
    <t>204:927</t>
  </si>
  <si>
    <t>300:59010</t>
  </si>
  <si>
    <t>300:58711</t>
  </si>
  <si>
    <t>204:656</t>
  </si>
  <si>
    <t>204:978</t>
  </si>
  <si>
    <t>300:58935</t>
  </si>
  <si>
    <t>300:58636</t>
  </si>
  <si>
    <t>204:715</t>
  </si>
  <si>
    <t>204:944</t>
  </si>
  <si>
    <t>300:58070</t>
  </si>
  <si>
    <t>204:654</t>
  </si>
  <si>
    <t>300:58924</t>
  </si>
  <si>
    <t>300:58606</t>
  </si>
  <si>
    <t>204:691</t>
  </si>
  <si>
    <t>204:971</t>
  </si>
  <si>
    <t>300:58926</t>
  </si>
  <si>
    <t>300:58623</t>
  </si>
  <si>
    <t>204:969</t>
  </si>
  <si>
    <t>300:58928</t>
  </si>
  <si>
    <t>204:663</t>
  </si>
  <si>
    <t>300:58918</t>
  </si>
  <si>
    <t>300:58596</t>
  </si>
  <si>
    <t>204:964</t>
  </si>
  <si>
    <t>300:58609</t>
  </si>
  <si>
    <t>204:668</t>
  </si>
  <si>
    <t>300:58952</t>
  </si>
  <si>
    <t>204:1011</t>
  </si>
  <si>
    <t>300:58958</t>
  </si>
  <si>
    <t>300:58634</t>
  </si>
  <si>
    <t>204:696</t>
  </si>
  <si>
    <t>204:685</t>
  </si>
  <si>
    <t>204:657</t>
  </si>
  <si>
    <t>204:974</t>
  </si>
  <si>
    <t>300:58948</t>
  </si>
  <si>
    <t>204:703</t>
  </si>
  <si>
    <t>204:932</t>
  </si>
  <si>
    <t>300:58651</t>
  </si>
  <si>
    <t>300:58946</t>
  </si>
  <si>
    <t>300:58630</t>
  </si>
  <si>
    <t>204:738</t>
  </si>
  <si>
    <t>204:1027</t>
  </si>
  <si>
    <t>300:58960</t>
  </si>
  <si>
    <t>300:58649</t>
  </si>
  <si>
    <t>204:652</t>
  </si>
  <si>
    <t>204:1037</t>
  </si>
  <si>
    <t>300:58944</t>
  </si>
  <si>
    <t>300:58624</t>
  </si>
  <si>
    <t>204:689</t>
  </si>
  <si>
    <t>204:957</t>
  </si>
  <si>
    <t>300:58941</t>
  </si>
  <si>
    <t>300:58655</t>
  </si>
  <si>
    <t>204:678</t>
  </si>
  <si>
    <t>204:967</t>
  </si>
  <si>
    <t>204:710</t>
  </si>
  <si>
    <t>300:58937</t>
  </si>
  <si>
    <t>204:661</t>
  </si>
  <si>
    <t>204:990</t>
  </si>
  <si>
    <t>300:30313</t>
  </si>
  <si>
    <t>300:59014</t>
  </si>
  <si>
    <t>300:23033</t>
  </si>
  <si>
    <t>204:682</t>
  </si>
  <si>
    <t>204:955</t>
  </si>
  <si>
    <t>300:25436</t>
  </si>
  <si>
    <t>300:22951</t>
  </si>
  <si>
    <t>300:21492</t>
  </si>
  <si>
    <t>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 &amp; 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</t>
  </si>
  <si>
    <t>aws s3 cp s3://rtdc.mdm.uploadarchive.raw/RTDC4039/ "%USERPROFILE%\AppData\Local\Temp\OnboardLogs"\RTDC4039\2016-11-28 --exclude "*" --recursive --include "*20161128*" &amp; "%USERPROFILE%\Documents\GitHub\mrs-test-scripts\Headless Mode &amp; Sideloading\WalkAndUnGZ.bat" "%USERPROFILE%\AppData\Local\Temp\OnboardLogs"\RTDC4039\2016-11-28 &amp; 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</t>
  </si>
  <si>
    <t>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 &amp; aws s3 cp s3://rtdc.mdm.uploadarchive.raw/RTDC4038/ "%USERPROFILE%\AppData\Local\Temp\OnboardLogs"\RTDC4038\2016-11-29 --exclude "*" --recursive --include "*20161129*" &amp; "%USERPROFILE%\Documents\GitHub\mrs-test-scripts\Headless Mode &amp; Sideloading\WalkAndUnGZ.bat" "%USERPROFILE%\AppData\Local\Temp\OnboardLogs"\RTDC4038\2016-11-29</t>
  </si>
  <si>
    <t>aws s3 cp s3://rtdc.mdm.uploadarchive.raw/RTDC4003/ "%USERPROFILE%\AppData\Local\Temp\OnboardLogs"\RTDC4003\2016-11-28 --exclude "*" --recursive --include "*20161128*" &amp; "%USERPROFILE%\Documents\GitHub\mrs-test-scripts\Headless Mode &amp; Sideloading\WalkAndUnGZ.bat" "%USERPROFILE%\AppData\Local\Temp\OnboardLogs"\RTDC4003\2016-11-28 &amp; 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</t>
  </si>
  <si>
    <t>aws s3 cp s3://rtdc.mdm.uploadarchive.raw/RTDC4010/ "%USERPROFILE%\AppData\Local\Temp\OnboardLogs"\RTDC4010\2016-11-28 --exclude "*" --recursive --include "*20161128*" &amp; "%USERPROFILE%\Documents\GitHub\mrs-test-scripts\Headless Mode &amp; Sideloading\WalkAndUnGZ.bat" "%USERPROFILE%\AppData\Local\Temp\OnboardLogs"\RTDC4010\2016-11-28 &amp; aws s3 cp s3://rtdc.mdm.uploadarchive.raw/RTDC4010/ "%USERPROFILE%\AppData\Local\Temp\OnboardLogs"\RTDC4010\2016-11-29 --exclude "*" --recursive --include "*20161129*" &amp; "%USERPROFILE%\Documents\GitHub\mrs-test-scripts\Headless Mode &amp; Sideloading\WalkAndUnGZ.bat" "%USERPROFILE%\AppData\Local\Temp\OnboardLogs"\RTDC4010\2016-11-29</t>
  </si>
  <si>
    <t>aws s3 cp s3://rtdc.mdm.uploadarchive.raw/RTDC4013/ "%USERPROFILE%\AppData\Local\Temp\OnboardLogs"\RTDC4013\2016-11-28 --exclude "*" --recursive --include "*20161128*" &amp; "%USERPROFILE%\Documents\GitHub\mrs-test-scripts\Headless Mode &amp; Sideloading\WalkAndUnGZ.bat" "%USERPROFILE%\AppData\Local\Temp\OnboardLogs"\RTDC4013\2016-11-28 &amp; 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</t>
  </si>
  <si>
    <t>aws s3 cp s3://rtdc.mdm.uploadarchive.raw/RTDC4014/ "%USERPROFILE%\AppData\Local\Temp\OnboardLogs"\RTDC4014\2016-11-28 --exclude "*" --recursive --include "*20161128*" &amp; "%USERPROFILE%\Documents\GitHub\mrs-test-scripts\Headless Mode &amp; Sideloading\WalkAndUnGZ.bat" "%USERPROFILE%\AppData\Local\Temp\OnboardLogs"\RTDC4014\2016-11-28 &amp; 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</t>
  </si>
  <si>
    <t>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 &amp; aws s3 cp s3://rtdc.mdm.uploadarchive.raw/RTDC4026/ "%USERPROFILE%\AppData\Local\Temp\OnboardLogs"\RTDC4026\2016-11-29 --exclude "*" --recursive --include "*20161129*" &amp; "%USERPROFILE%\Documents\GitHub\mrs-test-scripts\Headless Mode &amp; Sideloading\WalkAndUnGZ.bat" "%USERPROFILE%\AppData\Local\Temp\OnboardLogs"\RTDC4026\2016-11-29</t>
  </si>
  <si>
    <t>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 &amp; aws s3 cp s3://rtdc.mdm.uploadarchive.raw/RTDC4025/ "%USERPROFILE%\AppData\Local\Temp\OnboardLogs"\RTDC4025\2016-11-29 --exclude "*" --recursive --include "*20161129*" &amp; "%USERPROFILE%\Documents\GitHub\mrs-test-scripts\Headless Mode &amp; Sideloading\WalkAndUnGZ.bat" "%USERPROFILE%\AppData\Local\Temp\OnboardLogs"\RTDC4025\2016-11-29</t>
  </si>
  <si>
    <t>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 &amp; aws s3 cp s3://rtdc.mdm.uploadarchive.raw/RTDC4037/ "%USERPROFILE%\AppData\Local\Temp\OnboardLogs"\RTDC4037\2016-11-29 --exclude "*" --recursive --include "*20161129*" &amp; "%USERPROFILE%\Documents\GitHub\mrs-test-scripts\Headless Mode &amp; Sideloading\WalkAndUnGZ.bat" "%USERPROFILE%\AppData\Local\Temp\OnboardLogs"\RTDC4037\2016-11-29</t>
  </si>
  <si>
    <t>aws s3 cp s3://rtdc.mdm.uploadarchive.raw/RTDC4041/ "%USERPROFILE%\AppData\Local\Temp\OnboardLogs"\RTDC4041\2016-11-28 --exclude "*" --recursive --include "*20161128*" &amp; "%USERPROFILE%\Documents\GitHub\mrs-test-scripts\Headless Mode &amp; Sideloading\WalkAndUnGZ.bat" "%USERPROFILE%\AppData\Local\Temp\OnboardLogs"\RTDC4041\2016-11-28 &amp; 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</t>
  </si>
  <si>
    <t>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 &amp; 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</t>
  </si>
  <si>
    <t>aws s3 cp s3://rtdc.mdm.uploadarchive.raw/RTDC4042/ "%USERPROFILE%\AppData\Local\Temp\OnboardLogs"\RTDC4042\2016-11-28 --exclude "*" --recursive --include "*20161128*" &amp; "%USERPROFILE%\Documents\GitHub\mrs-test-scripts\Headless Mode &amp; Sideloading\WalkAndUnGZ.bat" "%USERPROFILE%\AppData\Local\Temp\OnboardLogs"\RTDC4042\2016-11-28 &amp; aws s3 cp s3://rtdc.mdm.uploadarchive.raw/RTDC4042/ "%USERPROFILE%\AppData\Local\Temp\OnboardLogs"\RTDC4042\2016-11-29 --exclude "*" --recursive --include "*20161129*" &amp; "%USERPROFILE%\Documents\GitHub\mrs-test-scripts\Headless Mode &amp; Sideloading\WalkAndUnGZ.bat" "%USERPROFILE%\AppData\Local\Temp\OnboardLogs"\RTDC4042\2016-11-29</t>
  </si>
  <si>
    <t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t>
  </si>
  <si>
    <t>aws s3 cp s3://rtdc.mdm.uploadarchive.raw/RTDC4004/ "%USERPROFILE%\AppData\Local\Temp\OnboardLogs"\RTDC4004\2016-11-28 --exclude "*" --recursive --include "*20161128*" &amp; "%USERPROFILE%\Documents\GitHub\mrs-test-scripts\Headless Mode &amp; Sideloading\WalkAndUnGZ.bat" "%USERPROFILE%\AppData\Local\Temp\OnboardLogs"\RTDC4004\2016-11-28 &amp; 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</t>
  </si>
  <si>
    <t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t>
  </si>
  <si>
    <t>aws s3 cp s3://rtdc.mdm.uploadarchive.raw/RTDC4002/ "%USERPROFILE%\AppData\Local\Temp\OnboardLogs"\RTDC4002\2016-11-29 --exclude "*" --recursive --include "*20161129*" &amp; "%USERPROFILE%\Documents\GitHub\mrs-test-scripts\Headless Mode &amp; Sideloading\WalkAndUnGZ.bat" "%USERPROFILE%\AppData\Local\Temp\OnboardLogs"\RTDC4002\2016-11-29 &amp; aws s3 cp s3://rtdc.mdm.uploadarchive.raw/RTDC4002/ "%USERPROFILE%\AppData\Local\Temp\OnboardLogs"\RTDC4002\2016-11-30 --exclude "*" --recursive --include "*20161130*" &amp; "%USERPROFILE%\Documents\GitHub\mrs-test-scripts\Headless Mode &amp; Sideloading\WalkAndUnGZ.bat" "%USERPROFILE%\AppData\Local\Temp\OnboardLogs"\RTDC4002\2016-11-30</t>
  </si>
  <si>
    <t>No clear control sent to DIA 2N, was this an efficiency test? Did the dispatcher not get around to it?</t>
  </si>
  <si>
    <t>At 00:08:20 UTC, primary slice kept voting out:</t>
  </si>
  <si>
    <t>DIA 2N didn't receive any clear controls in the 20:05 timeframe</t>
  </si>
  <si>
    <t>Efficiency test</t>
  </si>
  <si>
    <t>Overspeed</t>
  </si>
  <si>
    <t>Pena 4S STOP</t>
  </si>
  <si>
    <t>Wi-MAX data drop</t>
  </si>
  <si>
    <t>http://stevetu21.github.io/eaglep3/load_kml.html?kml=http://rtdc.gmaps-snips.s3.amazonaws.com/7bb415cc-66da-4ab6-af76-4f18169df5ef.kml</t>
  </si>
  <si>
    <t>Operator selected wrong track (should have been Main 2)</t>
  </si>
  <si>
    <t>Quebec 4S STOP</t>
  </si>
  <si>
    <t>Premature downgrade at EC0816RH 75-1T 1N</t>
  </si>
  <si>
    <t>At 09:16:56, EC0816RH 75-1T 1N dropped from 270 to 0. Do logs show us anything?</t>
  </si>
  <si>
    <t>SYS :2016/11/28 11:15:40.777:ENFORCEMENT:Predictive Enforcement Action:  Target Number: 00006026  Target Speed:   0.0  Current Speed:  50.5</t>
  </si>
  <si>
    <t>SYS :2016/11/28 11:15:40.990:ENFORCEMENT:Predictive Enforcement Action:  Target Number: 00006033  Target Speed:   0.0  Current Speed:  51.6</t>
  </si>
  <si>
    <t>SYS :2016/11/28 11:15:41.493:ENFORCEMENT:Predictive Enforcement Action:  Target Number: 00006027  Target Speed:   0.0  Current Speed:  50.5</t>
  </si>
  <si>
    <t>SYS :2016/11/28 12:10:21.877:ENFORCEMENT:Reactive Enforcement Action:  Target Number: 00001002  Target Speed:   0.0  Current Speed:   0.5</t>
  </si>
  <si>
    <t>SYS :2016/11/28 12:10:22.011:ENFORCEMENT:Reactive Enforcement Action:  Target Number: 00001002  Target Speed:   0.0  Current Speed:   0.7</t>
  </si>
  <si>
    <t>SYS :2016/11/28 12:10:22.745:ENFORCEMENT:Reactive Enforcement Action:  Target Number: 00001002  Target Speed:   0.0  Current Speed:   0.7</t>
  </si>
  <si>
    <t>SYS :2016/11/28 12:16:02.064:ENFORCEMENT:Reactive Enforcement Action:  Target Number: 0001000B  Target Speed:  15.0  Current Speed:  21.1</t>
  </si>
  <si>
    <t>SYS :2016/11/28 12:16:02.466:ENFORCEMENT:Reactive Enforcement Action:  Target Number: 0001000B  Target Speed:  15.0  Current Speed:  21.1</t>
  </si>
  <si>
    <t>SYS :2016/11/28 12:16:02.872:ENFORCEMENT:Reactive Enforcement Action:  Target Number: 0001000B  Target Speed:  15.0  Current Speed:  21.1</t>
  </si>
  <si>
    <t>SYS :2016/11/28 12:28:25.435:ENFORCEMENT:Predictive Enforcement Action:  Target Number: 00001003  Target Speed:   0.0  Current Speed:   4.3</t>
  </si>
  <si>
    <t>SYS :2016/11/28 12:28:25.820:ENFORCEMENT:Predictive Enforcement Action:  Target Number: 00001003  Target Speed:   0.0  Current Speed:   4.3</t>
  </si>
  <si>
    <t>SYS :2016/11/28 12:28:26.025:ENFORCEMENT:Predictive Enforcement Action:  Target Number: 00001003  Target Speed:   0.0  Current Speed:   4.1</t>
  </si>
  <si>
    <t>SYS :2016/11/28 12:32:06.289:ENFORCEMENT:Reactive Enforcement Action:  Target Number: 00010356  Target Speed:  20.0  Current Speed:  25.5</t>
  </si>
  <si>
    <t>SYS :2016/11/28 12:32:06.837:ENFORCEMENT:Reactive Enforcement Action:  Target Number: 00010351  Target Speed:  20.0  Current Speed:  25.5</t>
  </si>
  <si>
    <t>SYS :2016/11/28 12:50:08.096:ENFORCEMENT:Predictive Enforcement Action:  Target Number: 00010029  Target Speed:  15.0  Current Speed:  35.0</t>
  </si>
  <si>
    <t>SYS :2016/11/28 12:50:08.388:ENFORCEMENT:Predictive Enforcement Action:  Target Number: 0001002A  Target Speed:  15.0  Current Speed:  35.0</t>
  </si>
  <si>
    <t>SYS :2016/11/28 13:05:57.742:ENFORCEMENT:Reactive Enforcement Action:  Target Number: 00001004  Target Speed:   0.0  Current Speed:   0.6</t>
  </si>
  <si>
    <t>SYS :2016/11/28 13:05:57.879:ENFORCEMENT:Reactive Enforcement Action:  Target Number: 00001004  Target Speed:   0.0  Current Speed:   0.6</t>
  </si>
  <si>
    <t>SYS :2016/11/28 13:05:58.007:ENFORCEMENT:Reactive Enforcement Action:  Target Number: 00001004  Target Speed:   0.0  Current Speed:   0.6</t>
  </si>
  <si>
    <t>SYS :2016/11/28 13:06:06.605:ENFORCEMENT:Predictive Enforcement Action:  Target Number: 00001004  Target Speed:   0.0  Current Speed:   5.8</t>
  </si>
  <si>
    <t>SYS :2016/11/28 13:26:08.014:ENFORCEMENT:Predictive Enforcement Action:  Target Number: 00001006  Target Speed:   0.0  Current Speed:   2.1</t>
  </si>
  <si>
    <t>SYS :2016/11/28 13:26:08.434:ENFORCEMENT:Predictive Enforcement Action:  Target Number: 00001006  Target Speed:   0.0  Current Speed:   2.1</t>
  </si>
  <si>
    <t>SYS :2016/11/28 13:26:08.819:ENFORCEMENT:Predictive Enforcement Action:  Target Number: 00001006  Target Speed:   0.0  Current Speed:   2.1</t>
  </si>
  <si>
    <t>SYS :2016/11/28 14:05:21.873:ENFORCEMENT:Reactive Enforcement Action:  Target Number: 00001006  Target Speed:   0.0  Current Speed:   0.5</t>
  </si>
  <si>
    <t>SYS :2016/11/28 14:05:22.008:ENFORCEMENT:Reactive Enforcement Action:  Target Number: 00001007  Target Speed:   0.0  Current Speed:   0.3</t>
  </si>
  <si>
    <t>SYS :2016/11/28 14:05:22.744:ENFORCEMENT:Reactive Enforcement Action:  Target Number: 00001006  Target Speed:   0.0  Current Speed:   0.1</t>
  </si>
  <si>
    <t>SYS :2016/11/28 14:50:58.279:ENFORCEMENT:Predictive Enforcement Action:  Target Number: 00001035  Target Speed:   0.0  Current Speed:   5.8</t>
  </si>
  <si>
    <t>SYS :2016/11/28 15:04:22.611:ENFORCEMENT:Predictive Enforcement Action:  Target Number: 00010052  Target Speed:  20.0  Current Speed:  25.9</t>
  </si>
  <si>
    <t>SYS :2016/11/28 15:04:23.103:ENFORCEMENT:Predictive Enforcement Action:  Target Number: 00010051  Target Speed:  20.0  Current Speed:  26.0</t>
  </si>
  <si>
    <t>SYS :2016/11/28 15:06:19.006:ENFORCEMENT:Reactive Enforcement Action:  Target Number: 0000100A  Target Speed:   0.0  Current Speed:   0.7</t>
  </si>
  <si>
    <t>SYS :2016/11/28 15:06:19.749:ENFORCEMENT:Reactive Enforcement Action:  Target Number: 00001009  Target Speed:   0.0  Current Speed:   0.7</t>
  </si>
  <si>
    <t>SYS :2016/11/28 15:06:19.873:ENFORCEMENT:Reactive Enforcement Action:  Target Number: 00001009  Target Speed:   0.0  Current Speed:   0.7</t>
  </si>
  <si>
    <t>SYS :2016/11/28 15:25:57.012:ENFORCEMENT:Predictive Enforcement Action:  Target Number: 0000100D  Target Speed:   0.0  Current Speed:   2.4</t>
  </si>
  <si>
    <t>SYS :2016/11/28 15:31:07.828:ENFORCEMENT:Predictive Enforcement Action:  Target Number: 000060C0  Target Speed:   0.0  Current Speed:  12.9</t>
  </si>
  <si>
    <t>SYS :2016/11/28 15:31:08.012:ENFORCEMENT:Predictive Enforcement Action:  Target Number: 000060BC  Target Speed:   0.0  Current Speed:  12.8</t>
  </si>
  <si>
    <t>SYS :2016/11/28 15:34:41.579:ENFORCEMENT:Predictive Enforcement Action:  Target Number: 00001008  Target Speed:   0.0  Current Speed:   3.3</t>
  </si>
  <si>
    <t>SYS :2016/11/28 15:34:42.194:ENFORCEMENT:Predictive Enforcement Action:  Target Number: 00001008  Target Speed:   0.0  Current Speed:   3.1</t>
  </si>
  <si>
    <t>SYS :2016/11/28 15:34:42.228:ENFORCEMENT:Predictive Enforcement Action:  Target Number: 00001007  Target Speed:   0.0  Current Speed:   3.1</t>
  </si>
  <si>
    <t>SYS :2016/11/28 16:16:56.839:ENFORCEMENT:Predictive Enforcement Action:  Target Number: 000066C6  Target Speed:   0.0  Current Speed:  52.9</t>
  </si>
  <si>
    <t>SYS :2016/11/28 16:16:57.322:ENFORCEMENT:Predictive Enforcement Action:  Target Number: 000066B4  Target Speed:   0.0  Current Speed:  52.9</t>
  </si>
  <si>
    <t>SYS :2016/11/28 16:46:00.781:ENFORCEMENT:Predictive Enforcement Action:  Target Number: 00006102  Target Speed:   0.0  Current Speed:  46.1</t>
  </si>
  <si>
    <t>SYS :2016/11/28 16:46:02.040:ENFORCEMENT:Predictive Enforcement Action:  Target Number: 00006060  Target Speed:   0.0  Current Speed:  45.9</t>
  </si>
  <si>
    <t>SYS :2016/11/28 17:21:19.069:ENFORCEMENT:Predictive Enforcement Action:  Target Number: 00001004  Target Speed:   0.0  Current Speed:  13.3</t>
  </si>
  <si>
    <t>SYS :2016/11/28 17:21:19.321:ENFORCEMENT:Predictive Enforcement Action:  Target Number: 00001004  Target Speed:   0.0  Current Speed:  13.3</t>
  </si>
  <si>
    <t>SYS :2016/11/28 17:22:10.964:ENFORCEMENT:Predictive Enforcement Action:  Target Number: 00001004  Target Speed:   0.0  Current Speed:   4.8</t>
  </si>
  <si>
    <t>SYS :2016/11/28 17:22:11.068:ENFORCEMENT:Predictive Enforcement Action:  Target Number: 00001004  Target Speed:   0.0  Current Speed:   4.8</t>
  </si>
  <si>
    <t>SYS :2016/11/28 17:22:11.321:ENFORCEMENT:Predictive Enforcement Action:  Target Number: 00001004  Target Speed:   0.0  Current Speed:   4.8</t>
  </si>
  <si>
    <t>SYS :2016/11/28 17:23:53.484:ENFORCEMENT:Predictive Enforcement Action:  Target Number: 0000100C  Target Speed:   0.0  Current Speed:   3.7</t>
  </si>
  <si>
    <t>SYS :2016/11/28 17:23:53.770:ENFORCEMENT:Predictive Enforcement Action:  Target Number: 0000100C  Target Speed:   0.0  Current Speed:   3.6</t>
  </si>
  <si>
    <t>SYS :2016/11/28 18:06:53.404:ENFORCEMENT:Predictive Enforcement Action:  Target Number: 00001009  Target Speed:   0.0  Current Speed:  11.0</t>
  </si>
  <si>
    <t>SYS :2016/11/28 18:06:54.101:ENFORCEMENT:Predictive Enforcement Action:  Target Number: 00001009  Target Speed:   0.0  Current Speed:  10.9</t>
  </si>
  <si>
    <t>SYS :2016/11/28 19:48:20.406:ENFORCEMENT:Predictive Enforcement Action:  Target Number: 000100BA  Target Speed:  35.0  Current Speed:  52.8</t>
  </si>
  <si>
    <t>SYS :2016/11/28 19:48:21.101:ENFORCEMENT:Predictive Enforcement Action:  Target Number: 000100B8  Target Speed:  35.0  Current Speed:  52.2</t>
  </si>
  <si>
    <t>SYS :2016/11/28 20:04:33.286:ENFORCEMENT:Predictive Enforcement Action:  Target Number: 0000100C  Target Speed:   0.0  Current Speed:   4.8</t>
  </si>
  <si>
    <t>SYS :2016/11/28 20:49:24.362:ENFORCEMENT:Predictive Enforcement Action:  Target Number: 00001002  Target Speed:   0.0  Current Speed:   8.2</t>
  </si>
  <si>
    <t>SYS :2016/11/28 20:49:24.484:ENFORCEMENT:Predictive Enforcement Action:  Target Number: 00001012  Target Speed:   0.0  Current Speed:   8.2</t>
  </si>
  <si>
    <t>SYS :2016/11/28 20:49:25.034:ENFORCEMENT:Predictive Enforcement Action:  Target Number: 0000100C  Target Speed:   0.0  Current Speed:   8.1</t>
  </si>
  <si>
    <t>SYS :2016/11/28 20:54:43.367:ENFORCEMENT:Predictive Enforcement Action:  Target Number: 0000101B  Target Speed:   0.0  Current Speed:   4.3</t>
  </si>
  <si>
    <t>SYS :2016/11/28 20:54:43.497:ENFORCEMENT:Predictive Enforcement Action:  Target Number: 0000101B  Target Speed:   0.0  Current Speed:   4.3</t>
  </si>
  <si>
    <t>SYS :2016/11/28 20:54:43.892:ENFORCEMENT:Predictive Enforcement Action:  Target Number: 0000101B  Target Speed:   0.0  Current Speed:   4.3</t>
  </si>
  <si>
    <t>SYS :2016/11/28 21:30:21.100:ENFORCEMENT:Predictive Enforcement Action:  Target Number: 0000407D  Target Speed:   0.0  Current Speed:  60.8</t>
  </si>
  <si>
    <t>SYS :2016/11/28 21:30:21.402:ENFORCEMENT:Predictive Enforcement Action:  Target Number: 0000408D  Target Speed:   0.0  Current Speed:  60.8</t>
  </si>
  <si>
    <t>SYS :2016/11/28 21:49:38.607:ENFORCEMENT:Predictive Enforcement Action:  Target Number: 0000100E  Target Speed:   0.0  Current Speed:   4.7</t>
  </si>
  <si>
    <t>SYS :2016/11/28 21:49:38.614:ENFORCEMENT:Predictive Enforcement Action:  Target Number: 0000100A  Target Speed:   0.0  Current Speed:   4.7</t>
  </si>
  <si>
    <t>SYS :2016/11/28 21:49:39.288:ENFORCEMENT:Predictive Enforcement Action:  Target Number: 0000100E  Target Speed:   0.0  Current Speed:   4.7</t>
  </si>
  <si>
    <t>SYS :2016/11/28 22:06:56.576:ENFORCEMENT:Predictive Enforcement Action:  Target Number: 0000100E  Target Speed:   0.0  Current Speed:   7.0</t>
  </si>
  <si>
    <t>SYS :2016/11/28 22:06:56.900:ENFORCEMENT:Predictive Enforcement Action:  Target Number: 00001014  Target Speed:   0.0  Current Speed:   7.0</t>
  </si>
  <si>
    <t>SYS :2016/11/28 22:15:46.156:ENFORCEMENT:Predictive Enforcement Action:  Target Number: 0000623E  Target Speed:   0.0  Current Speed:  38.2</t>
  </si>
  <si>
    <t>SYS :2016/11/28 22:15:46.222:ENFORCEMENT:Predictive Enforcement Action:  Target Number: 00006876  Target Speed:   0.0  Current Speed:  38.2</t>
  </si>
  <si>
    <t>SYS :2016/11/28 22:15:46.334:ENFORCEMENT:Predictive Enforcement Action:  Target Number: 00006873  Target Speed:   0.0  Current Speed:  38.2</t>
  </si>
  <si>
    <t>SYS :2016/11/28 22:28:17.223:ENFORCEMENT:Predictive Enforcement Action:  Target Number: 0001011C  Target Speed:  30.0  Current Speed:  40.2</t>
  </si>
  <si>
    <t>SYS :2016/11/28 22:28:17.268:ENFORCEMENT:Predictive Enforcement Action:  Target Number: 00010119  Target Speed:  30.0  Current Speed:  40.2</t>
  </si>
  <si>
    <t>SYS :2016/11/28 22:28:17.612:ENFORCEMENT:Predictive Enforcement Action:  Target Number: 0001011C  Target Speed:  30.0  Current Speed:  40.2</t>
  </si>
  <si>
    <t>SYS :2016/11/28 22:36:45.159:ENFORCEMENT:Predictive Enforcement Action:  Target Number: 0000627C  Target Speed:   0.0  Current Speed:  28.0</t>
  </si>
  <si>
    <t>SYS :2016/11/28 22:36:45.242:ENFORCEMENT:Predictive Enforcement Action:  Target Number: 000068B4  Target Speed:   0.0  Current Speed:  28.0</t>
  </si>
  <si>
    <t>SYS :2016/11/28 22:36:45.344:ENFORCEMENT:Predictive Enforcement Action:  Target Number: 000068B1  Target Speed:   0.0  Current Speed:  28.0</t>
  </si>
  <si>
    <t>SYS :2016/11/28 22:38:19.157:ENFORCEMENT:Predictive Enforcement Action:  Target Number: 0000627C  Target Speed:   0.0  Current Speed:   4.5</t>
  </si>
  <si>
    <t>SYS :2016/11/28 22:38:19.210:ENFORCEMENT:Predictive Enforcement Action:  Target Number: 000068B4  Target Speed:   0.0  Current Speed:   4.4</t>
  </si>
  <si>
    <t>SYS :2016/11/28 22:38:19.326:ENFORCEMENT:Predictive Enforcement Action:  Target Number: 000068B1  Target Speed:   0.0  Current Speed:   4.5</t>
  </si>
  <si>
    <t>SYS :2016/11/28 22:39:40.194:ENFORCEMENT:Predictive Enforcement Action:  Target Number: 0000101C  Target Speed:   0.0  Current Speed:   4.4</t>
  </si>
  <si>
    <t>SYS :2016/11/28 22:39:40.233:ENFORCEMENT:Predictive Enforcement Action:  Target Number: 0000101B  Target Speed:   0.0  Current Speed:   4.6</t>
  </si>
  <si>
    <t>SYS :2016/11/28 22:39:40.589:ENFORCEMENT:Predictive Enforcement Action:  Target Number: 0000101C  Target Speed:   0.0  Current Speed:   4.6</t>
  </si>
  <si>
    <t>SYS :2016/11/28 22:40:23.201:ENFORCEMENT:Predictive Enforcement Action:  Target Number: 0000101C  Target Speed:   0.0  Current Speed:   3.4</t>
  </si>
  <si>
    <t>SYS :2016/11/29 00:14:00.040:ENFORCEMENT:Predictive Enforcement Action:  Target Number: 000100DA  Target Speed:  30.0  Current Speed:  39.8</t>
  </si>
  <si>
    <t>SYS :2016/11/29 00:14:00.372:ENFORCEMENT:Predictive Enforcement Action:  Target Number: 0001004D  Target Speed:  30.0  Current Speed:  39.4</t>
  </si>
  <si>
    <t>SYS :2016/11/29 00:14:00.489:ENFORCEMENT:Predictive Enforcement Action:  Target Number: 0001011F  Target Speed:  30.0  Current Speed:  39.4</t>
  </si>
  <si>
    <t>SYS :2016/11/29 00:25:52.024:ENFORCEMENT:Predictive Enforcement Action:  Target Number: 00001013  Target Speed:   0.0  Current Speed:   7.9</t>
  </si>
  <si>
    <t>SYS :2016/11/29 00:25:52.824:ENFORCEMENT:Predictive Enforcement Action:  Target Number: 00001013  Target Speed:   0.0  Current Speed:   7.9</t>
  </si>
  <si>
    <t>SYS :2016/11/29 00:25:53.440:ENFORCEMENT:Predictive Enforcement Action:  Target Number: 00001013  Target Speed:   0.0  Current Speed:   7.9</t>
  </si>
  <si>
    <t>SYS :2016/11/29 00:52:10.899:ENFORCEMENT:Reactive Enforcement Action:  Target Number: 00006158  Target Speed:  20.0  Current Speed:  26.2</t>
  </si>
  <si>
    <t>SYS :2016/11/29 00:52:11.504:ENFORCEMENT:Reactive Enforcement Action:  Target Number: 0000617B  Target Speed:  20.0  Current Speed:  26.2</t>
  </si>
  <si>
    <t>SYS :2016/11/29 00:52:12.372:ENFORCEMENT:Reactive Enforcement Action:  Target Number: 00006152  Target Speed:  20.0  Current Speed:  26.2</t>
  </si>
  <si>
    <t>SYS :2016/11/29 00:56:32.498:ENFORCEMENT:Predictive Enforcement Action:  Target Number: 00001026  Target Speed:   0.0  Current Speed:   9.1</t>
  </si>
  <si>
    <t>SYS :2016/11/29 00:56:32.892:ENFORCEMENT:Predictive Enforcement Action:  Target Number: 00001026  Target Speed:   0.0  Current Speed:   9.0</t>
  </si>
  <si>
    <t>SYS :2016/11/29 00:57:10.361:ENFORCEMENT:Predictive Enforcement Action:  Target Number: 00001026  Target Speed:   0.0  Current Speed:   4.8</t>
  </si>
  <si>
    <t>SYS :2016/11/29 00:57:10.487:ENFORCEMENT:Predictive Enforcement Action:  Target Number: 00001026  Target Speed:   0.0  Current Speed:   4.8</t>
  </si>
  <si>
    <t>SYS :2016/11/29 00:57:10.891:ENFORCEMENT:Predictive Enforcement Action:  Target Number: 00001026  Target Speed:   0.0  Current Speed:   4.7</t>
  </si>
  <si>
    <t>SYS :2016/11/29 01:02:48.829:ENFORCEMENT:Predictive Enforcement Action:  Target Number: 0001005C  Target Speed:  15.0  Current Speed:  23.9</t>
  </si>
  <si>
    <t>SYS :2016/11/29 01:02:48.886:ENFORCEMENT:Predictive Enforcement Action:  Target Number: 00010117  Target Speed:  15.0  Current Speed:  23.9</t>
  </si>
  <si>
    <t>SYS :2016/11/29 01:02:49.014:ENFORCEMENT:Predictive Enforcement Action:  Target Number: 000100FF  Target Speed:  15.0  Current Speed:  23.9</t>
  </si>
  <si>
    <t>SYS :2016/11/29 01:26:10.016:ENFORCEMENT:Predictive Enforcement Action:  Target Number: 00001018  Target Speed:   0.0  Current Speed:   3.7</t>
  </si>
  <si>
    <t>SYS :2016/11/29 01:26:10.434:ENFORCEMENT:Predictive Enforcement Action:  Target Number: 00001019  Target Speed:   0.0  Current Speed:   3.7</t>
  </si>
  <si>
    <t>SYS :2016/11/29 02:06:52.357:ENFORCEMENT:Predictive Enforcement Action:  Target Number: 0000100A  Target Speed:   0.0  Current Speed:   5.3</t>
  </si>
  <si>
    <t>SYS :2016/11/29 02:06:52.478:ENFORCEMENT:Predictive Enforcement Action:  Target Number: 0000101A  Target Speed:   0.0  Current Speed:   5.3</t>
  </si>
  <si>
    <t>SYS :2016/11/29 02:06:53.032:ENFORCEMENT:Predictive Enforcement Action:  Target Number: 00001014  Target Speed:   0.0  Current Speed:   5.3</t>
  </si>
  <si>
    <t>SYS :2016/11/29 02:34:37.583:ENFORCEMENT:Predictive Enforcement Action:  Target Number: 00001024  Target Speed:   0.0  Current Speed:   5.5</t>
  </si>
  <si>
    <t>SYS :2016/11/29 02:34:38.195:ENFORCEMENT:Predictive Enforcement Action:  Target Number: 00001024  Target Speed:   0.0  Current Speed:   5.3</t>
  </si>
  <si>
    <t>SYS :2016/11/29 02:34:38.227:ENFORCEMENT:Predictive Enforcement Action:  Target Number: 00001023  Target Speed:   0.0  Current Speed:   5.3</t>
  </si>
  <si>
    <t>SYS :2016/11/29 02:35:14.579:ENFORCEMENT:Predictive Enforcement Action:  Target Number: 00001024  Target Speed:   0.0  Current Speed:   2.3</t>
  </si>
  <si>
    <t>SYS :2016/11/29 02:35:15.195:ENFORCEMENT:Predictive Enforcement Action:  Target Number: 00001024  Target Speed:   0.0  Current Speed:   2.0</t>
  </si>
  <si>
    <t>SYS :2016/11/29 02:35:15.228:ENFORCEMENT:Predictive Enforcement Action:  Target Number: 00001023  Target Speed:   0.0  Current Speed:   2.0</t>
  </si>
  <si>
    <t>SYS :2016/11/29 02:58:01.677:ENFORCEMENT:Reactive Enforcement Action:  Target Number: 0001012F  Target Speed:  15.0  Current Speed:  20.7</t>
  </si>
  <si>
    <t>SYS :2016/11/29 02:58:01.923:ENFORCEMENT:Reactive Enforcement Action:  Target Number: 0001012F  Target Speed:  15.0  Current Speed:  20.7</t>
  </si>
  <si>
    <t>SYS :2016/11/29 02:58:02.235:ENFORCEMENT:Reactive Enforcement Action:  Target Number: 00010061  Target Speed:  15.0  Current Speed:  20.7</t>
  </si>
  <si>
    <t>Delayed at 40th - alerter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</si>
</sst>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7bb415cc-66da-4ab6-af76-4f18169df5ef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1"/>
  <sheetViews>
    <sheetView topLeftCell="A169" workbookViewId="0">
      <selection activeCell="R108" sqref="R108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42702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42702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COUNTIFS($N$13:$N$9375,"&gt;0",$AG$13:$AG$9375,I1)</f>
        <v>143</v>
      </c>
      <c r="K5" s="44"/>
      <c r="L5" s="44"/>
      <c r="M5" s="45">
        <f>AVERAGEIFS($N$13:$N$9375,$AG$13:$AG$9375,I1)</f>
        <v>37.746386946564854</v>
      </c>
      <c r="N5" s="43">
        <f t="array" ref="N5">MIN(IF($AG$13:$AG$9375=I1,IF(ISNUMBER($N$13:$N$9375),IF($N$13:$N$9375&gt;0,$N$13:$N$9375))))</f>
        <v>32.900000000372529</v>
      </c>
      <c r="O5" s="3">
        <f t="array" ref="O5">MAX(IF($AG$13:$AG$9375=I1,IF(ISNUMBER($N$13:$N$9375),IF($N$13:$N$9375&gt;0,$N$13:$N$9375))))</f>
        <v>56.18333333870396</v>
      </c>
      <c r="P5" s="2"/>
      <c r="R5" s="80" t="s">
        <v>17</v>
      </c>
      <c r="S5" s="55">
        <f>COUNTIFS($N$13:$N$9375,"&gt;0",$AG$13:$AG$9375,R1)</f>
        <v>47</v>
      </c>
      <c r="T5" s="44"/>
      <c r="U5" s="169"/>
      <c r="V5" s="45">
        <f>AVERAGEIFS($N$13:$N$9375,$AG$13:$AG$9375,R1)</f>
        <v>15.046453900273612</v>
      </c>
      <c r="W5" s="43">
        <f t="array" ref="W5">MIN(IF($AG$13:$AG$9375=R1,IF(ISNUMBER($N$13:$N$9375),IF($N$13:$N$9375&gt;0,$N$13:$N$9375))))</f>
        <v>12.533333329483867</v>
      </c>
      <c r="X5" s="173">
        <f t="array" ref="X5">MAX(IF($AG$13:$AG$9375=R1,IF(ISNUMBER($N$13:$N$9375),IF($N$13:$N$9375&gt;0,$N$13:$N$9375))))</f>
        <v>19.200000003911555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COUNT($O$13:$O$155)</f>
        <v>0</v>
      </c>
      <c r="K6" s="44"/>
      <c r="L6" s="44"/>
      <c r="M6" s="45">
        <f>IFERROR(AVERAGE($O$13:$O$155),0)</f>
        <v>0</v>
      </c>
      <c r="N6" s="43">
        <f>MIN($O$13:$O$155)</f>
        <v>0</v>
      </c>
      <c r="O6" s="3">
        <f>MAX($O$13:$O$155)</f>
        <v>0</v>
      </c>
      <c r="P6" s="2"/>
      <c r="R6" s="81" t="s">
        <v>43</v>
      </c>
      <c r="S6" s="55">
        <f>COUNT($O$13:$O$155)</f>
        <v>0</v>
      </c>
      <c r="T6" s="44"/>
      <c r="U6" s="169"/>
      <c r="V6" s="45">
        <f>IFERROR(AVERAGE($O$13:$O$155),0)</f>
        <v>0</v>
      </c>
      <c r="W6" s="43">
        <f>MIN($O$13:$O$155)</f>
        <v>0</v>
      </c>
      <c r="X6" s="173">
        <f>MAX($O$13:$O$155)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COUNTIFS($P$13:$P$9375,"&gt;0",$AG$13:$AG$9375,I1)</f>
        <v>1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COUNTIFS($P$13:$P$9375,"&gt;0",$AG$13:$AG$9375,R1)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143</v>
      </c>
      <c r="K8" s="44"/>
      <c r="L8" s="44"/>
      <c r="M8" s="45">
        <f>M5</f>
        <v>37.746386946564854</v>
      </c>
      <c r="N8" s="43">
        <f>N5</f>
        <v>32.900000000372529</v>
      </c>
      <c r="O8" s="3">
        <f>O5</f>
        <v>56.18333333870396</v>
      </c>
      <c r="P8" s="2"/>
      <c r="R8" s="80" t="s">
        <v>16</v>
      </c>
      <c r="S8" s="55">
        <f>S5</f>
        <v>47</v>
      </c>
      <c r="T8" s="44"/>
      <c r="U8" s="169"/>
      <c r="V8" s="45">
        <f>V5</f>
        <v>15.046453900273612</v>
      </c>
      <c r="W8" s="43">
        <f>W5</f>
        <v>12.533333329483867</v>
      </c>
      <c r="X8" s="173">
        <f>X5</f>
        <v>19.200000003911555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0.99305555555555558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- 2016-11-28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AVERAGE(S13:S105)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434</v>
      </c>
      <c r="B13" s="7">
        <v>4025</v>
      </c>
      <c r="C13" s="22" t="s">
        <v>212</v>
      </c>
      <c r="D13" s="22" t="s">
        <v>353</v>
      </c>
      <c r="E13" s="13">
        <v>42702.131689814814</v>
      </c>
      <c r="F13" s="13">
        <v>42702.135625000003</v>
      </c>
      <c r="G13" s="7">
        <v>1</v>
      </c>
      <c r="H13" s="22" t="s">
        <v>340</v>
      </c>
      <c r="I13" s="13">
        <v>42702.161261574074</v>
      </c>
      <c r="J13" s="7">
        <v>0</v>
      </c>
      <c r="K13" s="109" t="str">
        <f t="shared" ref="K13:K76" si="0">IF(ISEVEN(B13),(B13-1)&amp;"/"&amp;B13,B13&amp;"/"&amp;(B13+1))</f>
        <v>4025/4026</v>
      </c>
      <c r="L13" s="22" t="str">
        <f>VLOOKUP(A13,'Trips&amp;Operators'!$C$1:$E$10000,3,FALSE)</f>
        <v>KILLION</v>
      </c>
      <c r="M13" s="6">
        <f t="shared" ref="M13:M76" si="1">I13-F13</f>
        <v>2.5636574071540963E-2</v>
      </c>
      <c r="N13" s="7">
        <f t="shared" ref="N13:N48" si="2">24*60*SUM($M13:$M13)</f>
        <v>36.916666663018987</v>
      </c>
      <c r="O13" s="7"/>
      <c r="P13" s="7"/>
      <c r="Q13" s="23"/>
      <c r="R13" s="23"/>
      <c r="S13" s="35">
        <f t="shared" ref="S13:S44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https://search-rtdc-monitor-bjffxe2xuh6vdkpspy63sjmuny.us-east-1.es.amazonaws.com/_plugin/kibana/#/discover/Steve-Slow-Train-Analysis-(2080s-and-2083s)?_g=(refreshInterval:(display:Off,section:0,value:0),time:(from:'2016-11-28 02:09:38-700',mode:absolute,to:'2016-11-28 04:52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" s="52" t="str">
        <f t="shared" ref="W13:W76" si="6">IF(AA13&lt;IF(AG13="EC",23,5.65),"Y","N")</f>
        <v>N</v>
      </c>
      <c r="X13" s="177" t="e">
        <f t="shared" ref="X13:X76" si="7">VALUE(LEFT(AD13,4))-VALUE(LEFT(AD12,4))</f>
        <v>#VALUE!</v>
      </c>
      <c r="Y13" s="67">
        <f t="shared" ref="Y13:Y76" si="8">RIGHT(D13,LEN(D13)-4)/10000</f>
        <v>7.5200000000000003E-2</v>
      </c>
      <c r="Z13" s="67">
        <f t="shared" ref="Z13:Z76" si="9">RIGHT(H13,LEN(H13)-4)/10000</f>
        <v>23.334399999999999</v>
      </c>
      <c r="AA13" s="67">
        <f t="shared" ref="AA13:AA76" si="10">ABS(Z13-Y13)</f>
        <v>23.2592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6" si="11">IF(LEN(A13)=6,"0"&amp;A13,A13)</f>
        <v>0101-28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 &amp; aws s3 cp s3://rtdc.mdm.uploadarchive.raw/RTDC4025/ "%USERPROFILE%\AppData\Local\Temp\OnboardLogs"\RTDC4025\2016-11-29 --exclude "*" --recursive --include "*20161129*" &amp; "%USERPROFILE%\Documents\GitHub\mrs-test-scripts\Headless Mode &amp; Sideloading\WalkAndUnGZ.bat" "%USERPROFILE%\AppData\Local\Temp\OnboardLogs"\RTDC4025\2016-11-29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/stypes="app*4025*20161128*"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101-28 --locoid 4025 --swversion DE.1.0.8.0 --startMP 204:752 --initTime 2016-11-28T03:09:38 --startdatetime 2016-11-28T03:15:18 --delay 1 --endMP 204:233344 --enddatetime 2016-11-28T03:52:13 --enforcementcount 0 &gt;&gt;C:\Users\stu\Documents\GitHub\eaglep3-reporting\EC\2016-11-28-refined-times.txt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{"issue":{"subject":"","project_id":79,"tracker_id":40,"status_id":1,"priority_id":2,"assigned_to_id":23,"start_date":"2016-11-28","description":"","custom_fields":[{"id":1,"name":"Subdivision","value":"EC"},{"id":4,"name":"Milepost","value":"23.3344"},{"id":17,"name":"Train ID","value":"101-28"},{"id":16,"name":"Locomotive ID","value":"4025"},{"id":130,"name":"Impact","value":""},{"id":150,"name":"Time of Event (Mountain Time)","value":"03:52:13"},{"id":151,"name":"Denver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392</v>
      </c>
      <c r="B14" s="7">
        <v>4013</v>
      </c>
      <c r="C14" s="22" t="s">
        <v>212</v>
      </c>
      <c r="D14" s="22" t="s">
        <v>625</v>
      </c>
      <c r="E14" s="13">
        <v>42702.167939814812</v>
      </c>
      <c r="F14" s="13">
        <v>42702.174502314818</v>
      </c>
      <c r="G14" s="7">
        <v>1</v>
      </c>
      <c r="H14" s="22" t="s">
        <v>214</v>
      </c>
      <c r="I14" s="13">
        <v>42702.200833333336</v>
      </c>
      <c r="J14" s="7">
        <v>0</v>
      </c>
      <c r="K14" s="109" t="str">
        <f t="shared" si="0"/>
        <v>4013/4014</v>
      </c>
      <c r="L14" s="22" t="str">
        <f>VLOOKUP(A14,'Trips&amp;Operators'!$C$1:$E$10000,3,FALSE)</f>
        <v>KILLION</v>
      </c>
      <c r="M14" s="6">
        <f t="shared" si="1"/>
        <v>2.6331018518249039E-2</v>
      </c>
      <c r="N14" s="7">
        <f t="shared" si="2"/>
        <v>37.916666666278616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03:01:50-700',mode:absolute,to:'2016-11-28 05:49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23.272099999999998</v>
      </c>
      <c r="Z14" s="67">
        <f t="shared" si="9"/>
        <v>1.5800000000000002E-2</v>
      </c>
      <c r="AA14" s="67">
        <f t="shared" si="10"/>
        <v>23.2563</v>
      </c>
      <c r="AB14" s="64" t="str">
        <f>VLOOKUP(A14,Enforcements!$C$7:$K$20,8,0)</f>
        <v>Signal based authority (5)</v>
      </c>
      <c r="AC14" s="60" t="str">
        <f>VLOOKUP(A14,Enforcements!$C$7:$E$20,3,0)</f>
        <v>SIGNAL</v>
      </c>
      <c r="AD14" s="61" t="str">
        <f t="shared" si="11"/>
        <v>0102-28</v>
      </c>
      <c r="AE14" s="91" t="str">
        <f t="shared" si="12"/>
        <v>aws s3 cp s3://rtdc.mdm.uploadarchive.raw/RTDC4013/ "%USERPROFILE%\AppData\Local\Temp\OnboardLogs"\RTDC4013\2016-11-28 --exclude "*" --recursive --include "*20161128*" &amp; "%USERPROFILE%\Documents\GitHub\mrs-test-scripts\Headless Mode &amp; Sideloading\WalkAndUnGZ.bat" "%USERPROFILE%\AppData\Local\Temp\OnboardLogs"\RTDC4013\2016-11-28 &amp; 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</v>
      </c>
      <c r="AF14" s="88" t="str">
        <f t="shared" si="13"/>
        <v>"C:\Program Files (x86)\AstroGrep\AstroGrep.exe" /spath="%USERPROFILE%\AppData\Local\Temp\OnboardLogs" /stypes="app*4013*20161128*"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102-28 --locoid 4013 --swversion DE.1.0.8.0 --startMP 204:232721 --initTime 2016-11-28T04:01:50 --startdatetime 2016-11-28T04:11:17 --delay 1 --endMP 204:158 --enddatetime 2016-11-28T04:49:12 --enforcementcount 0 &gt;&gt;C:\Users\stu\Documents\GitHub\eaglep3-reporting\EC\2016-11-28-refined-times.txt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{"issue":{"subject":"","project_id":79,"tracker_id":40,"status_id":1,"priority_id":2,"assigned_to_id":23,"start_date":"2016-11-28","description":"","custom_fields":[{"id":1,"name":"Subdivision","value":"EC"},{"id":4,"name":"Milepost","value":"0.0158"},{"id":17,"name":"Train ID","value":"102-28"},{"id":16,"name":"Locomotive ID","value":"4013"},{"id":130,"name":"Impact","value":""},{"id":150,"name":"Time of Event (Mountain Time)","value":"04:49:12"},{"id":151,"name":"Denver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435</v>
      </c>
      <c r="B15" s="7">
        <v>4038</v>
      </c>
      <c r="C15" s="22" t="s">
        <v>212</v>
      </c>
      <c r="D15" s="22" t="s">
        <v>377</v>
      </c>
      <c r="E15" s="13">
        <v>42702.150081018517</v>
      </c>
      <c r="F15" s="13">
        <v>42702.156446759262</v>
      </c>
      <c r="G15" s="7">
        <v>2</v>
      </c>
      <c r="H15" s="22" t="s">
        <v>378</v>
      </c>
      <c r="I15" s="13">
        <v>42702.181226851855</v>
      </c>
      <c r="J15" s="7">
        <v>0</v>
      </c>
      <c r="K15" s="109" t="str">
        <f t="shared" si="0"/>
        <v>4037/4038</v>
      </c>
      <c r="L15" s="22" t="str">
        <f>VLOOKUP(A15,'Trips&amp;Operators'!$C$1:$E$10000,3,FALSE)</f>
        <v>MAGEE</v>
      </c>
      <c r="M15" s="6">
        <f t="shared" si="1"/>
        <v>2.4780092593573499E-2</v>
      </c>
      <c r="N15" s="7">
        <f t="shared" si="2"/>
        <v>35.683333334745839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02:36:07-700',mode:absolute,to:'2016-11-28 05:20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7.7499999999999999E-2</v>
      </c>
      <c r="Z15" s="67">
        <f t="shared" si="9"/>
        <v>23.329699999999999</v>
      </c>
      <c r="AA15" s="67">
        <f t="shared" si="10"/>
        <v>23.252199999999998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0103-28</v>
      </c>
      <c r="AE15" s="91" t="str">
        <f t="shared" si="12"/>
        <v>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 &amp; aws s3 cp s3://rtdc.mdm.uploadarchive.raw/RTDC4038/ "%USERPROFILE%\AppData\Local\Temp\OnboardLogs"\RTDC4038\2016-11-29 --exclude "*" --recursive --include "*20161129*" &amp; "%USERPROFILE%\Documents\GitHub\mrs-test-scripts\Headless Mode &amp; Sideloading\WalkAndUnGZ.bat" "%USERPROFILE%\AppData\Local\Temp\OnboardLogs"\RTDC4038\2016-11-29</v>
      </c>
      <c r="AF15" s="88" t="str">
        <f t="shared" si="13"/>
        <v>"C:\Program Files (x86)\AstroGrep\AstroGrep.exe" /spath="%USERPROFILE%\AppData\Local\Temp\OnboardLogs" /stypes="app*4038*20161128*"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103-28 --locoid 4038 --swversion DE.1.0.8.0 --startMP 204:775 --initTime 2016-11-28T03:36:07 --startdatetime 2016-11-28T03:45:17 --delay 2 --endMP 204:233297 --enddatetime 2016-11-28T04:20:58 --enforcementcount 0 &gt;&gt;C:\Users\stu\Documents\GitHub\eaglep3-reporting\EC\2016-11-28-refined-times.txt</v>
      </c>
      <c r="AI15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{"issue":{"subject":"","project_id":79,"tracker_id":40,"status_id":1,"priority_id":2,"assigned_to_id":23,"start_date":"2016-11-28","description":"","custom_fields":[{"id":1,"name":"Subdivision","value":"EC"},{"id":4,"name":"Milepost","value":"23.3297"},{"id":17,"name":"Train ID","value":"103-28"},{"id":16,"name":"Locomotive ID","value":"4038"},{"id":130,"name":"Impact","value":""},{"id":150,"name":"Time of Event (Mountain Time)","value":"04:20:58"},{"id":151,"name":"Denver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445</v>
      </c>
      <c r="B16" s="7">
        <v>4039</v>
      </c>
      <c r="C16" s="22" t="s">
        <v>212</v>
      </c>
      <c r="D16" s="22" t="s">
        <v>626</v>
      </c>
      <c r="E16" s="13">
        <v>42702.190798611111</v>
      </c>
      <c r="F16" s="13">
        <v>42702.195335648146</v>
      </c>
      <c r="G16" s="7">
        <v>1</v>
      </c>
      <c r="H16" s="22" t="s">
        <v>245</v>
      </c>
      <c r="I16" s="13">
        <v>42702.223495370374</v>
      </c>
      <c r="J16" s="7">
        <v>0</v>
      </c>
      <c r="K16" s="109" t="str">
        <f t="shared" si="0"/>
        <v>4039/4040</v>
      </c>
      <c r="L16" s="22" t="str">
        <f>VLOOKUP(A16,'Trips&amp;Operators'!$C$1:$E$10000,3,FALSE)</f>
        <v>MAGEE</v>
      </c>
      <c r="M16" s="6">
        <f t="shared" si="1"/>
        <v>2.8159722227428574E-2</v>
      </c>
      <c r="N16" s="7">
        <f t="shared" si="2"/>
        <v>40.550000007497147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03:34:45-700',mode:absolute,to:'2016-11-28 06:21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23.266400000000001</v>
      </c>
      <c r="Z16" s="67">
        <f t="shared" si="9"/>
        <v>1.47E-2</v>
      </c>
      <c r="AA16" s="67">
        <f t="shared" si="10"/>
        <v>23.2517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11"/>
        <v>0104-28</v>
      </c>
      <c r="AE16" s="91" t="str">
        <f t="shared" si="12"/>
        <v>aws s3 cp s3://rtdc.mdm.uploadarchive.raw/RTDC4039/ "%USERPROFILE%\AppData\Local\Temp\OnboardLogs"\RTDC4039\2016-11-28 --exclude "*" --recursive --include "*20161128*" &amp; "%USERPROFILE%\Documents\GitHub\mrs-test-scripts\Headless Mode &amp; Sideloading\WalkAndUnGZ.bat" "%USERPROFILE%\AppData\Local\Temp\OnboardLogs"\RTDC4039\2016-11-28 &amp; 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</v>
      </c>
      <c r="AF16" s="88" t="str">
        <f t="shared" si="13"/>
        <v>"C:\Program Files (x86)\AstroGrep\AstroGrep.exe" /spath="%USERPROFILE%\AppData\Local\Temp\OnboardLogs" /stypes="app*4039*20161128*"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104-28 --locoid 4039 --swversion DE.1.0.8.0 --startMP 204:232664 --initTime 2016-11-28T04:34:45 --startdatetime 2016-11-28T04:41:17 --delay 1 --endMP 204:147 --enddatetime 2016-11-28T05:21:50 --enforcementcount 0 &gt;&gt;C:\Users\stu\Documents\GitHub\eaglep3-reporting\EC\2016-11-28-refined-times.txt</v>
      </c>
      <c r="AI16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{"issue":{"subject":"","project_id":79,"tracker_id":40,"status_id":1,"priority_id":2,"assigned_to_id":23,"start_date":"2016-11-28","description":"","custom_fields":[{"id":1,"name":"Subdivision","value":"EC"},{"id":4,"name":"Milepost","value":"0.0147"},{"id":17,"name":"Train ID","value":"104-28"},{"id":16,"name":"Locomotive ID","value":"4039"},{"id":130,"name":"Impact","value":""},{"id":150,"name":"Time of Event (Mountain Time)","value":"05:21:50"},{"id":151,"name":"Denver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438</v>
      </c>
      <c r="B17" s="7">
        <v>4002</v>
      </c>
      <c r="C17" s="22" t="s">
        <v>212</v>
      </c>
      <c r="D17" s="22" t="s">
        <v>627</v>
      </c>
      <c r="E17" s="13">
        <v>42702.168807870374</v>
      </c>
      <c r="F17" s="13">
        <v>42702.177372685182</v>
      </c>
      <c r="G17" s="7">
        <v>2</v>
      </c>
      <c r="H17" s="22" t="s">
        <v>628</v>
      </c>
      <c r="I17" s="13">
        <v>42702.203969907408</v>
      </c>
      <c r="J17" s="7">
        <v>0</v>
      </c>
      <c r="K17" s="109" t="str">
        <f t="shared" si="0"/>
        <v>4001/4002</v>
      </c>
      <c r="L17" s="22" t="str">
        <f>VLOOKUP(A17,'Trips&amp;Operators'!$C$1:$E$10000,3,FALSE)</f>
        <v>PERKINS</v>
      </c>
      <c r="M17" s="6">
        <f t="shared" si="1"/>
        <v>2.6597222225973383E-2</v>
      </c>
      <c r="N17" s="7">
        <f t="shared" si="2"/>
        <v>38.300000005401671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03:03:05-700',mode:absolute,to:'2016-11-28 05:53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7.8100000000000003E-2</v>
      </c>
      <c r="Z17" s="67">
        <f t="shared" si="9"/>
        <v>23.3323</v>
      </c>
      <c r="AA17" s="67">
        <f t="shared" si="10"/>
        <v>23.254200000000001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0105-28</v>
      </c>
      <c r="AE17" s="91" t="str">
        <f t="shared" si="12"/>
        <v>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 &amp; aws s3 cp s3://rtdc.mdm.uploadarchive.raw/RTDC4002/ "%USERPROFILE%\AppData\Local\Temp\OnboardLogs"\RTDC4002\2016-11-29 --exclude "*" --recursive --include "*20161129*" &amp; "%USERPROFILE%\Documents\GitHub\mrs-test-scripts\Headless Mode &amp; Sideloading\WalkAndUnGZ.bat" "%USERPROFILE%\AppData\Local\Temp\OnboardLogs"\RTDC4002\2016-11-29</v>
      </c>
      <c r="AF17" s="88" t="str">
        <f t="shared" si="13"/>
        <v>"C:\Program Files (x86)\AstroGrep\AstroGrep.exe" /spath="%USERPROFILE%\AppData\Local\Temp\OnboardLogs" /stypes="app*4002*20161128*"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105-28 --locoid 4002 --swversion DE.1.0.8.0 --startMP 204:781 --initTime 2016-11-28T04:03:05 --startdatetime 2016-11-28T04:15:25 --delay 2 --endMP 204:233323 --enddatetime 2016-11-28T04:53:43 --enforcementcount 0 &gt;&gt;C:\Users\stu\Documents\GitHub\eaglep3-reporting\EC\2016-11-28-refined-times.txt</v>
      </c>
      <c r="AI17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{"issue":{"subject":"","project_id":79,"tracker_id":40,"status_id":1,"priority_id":2,"assigned_to_id":23,"start_date":"2016-11-28","description":"","custom_fields":[{"id":1,"name":"Subdivision","value":"EC"},{"id":4,"name":"Milepost","value":"23.3323"},{"id":17,"name":"Train ID","value":"105-28"},{"id":16,"name":"Locomotive ID","value":"4002"},{"id":130,"name":"Impact","value":""},{"id":150,"name":"Time of Event (Mountain Time)","value":"04:53:43"},{"id":151,"name":"Denver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447</v>
      </c>
      <c r="B18" s="7">
        <v>4041</v>
      </c>
      <c r="C18" s="22" t="s">
        <v>212</v>
      </c>
      <c r="D18" s="22" t="s">
        <v>376</v>
      </c>
      <c r="E18" s="13">
        <v>42702.208171296297</v>
      </c>
      <c r="F18" s="13">
        <v>42702.216168981482</v>
      </c>
      <c r="G18" s="7">
        <v>3</v>
      </c>
      <c r="H18" s="22" t="s">
        <v>233</v>
      </c>
      <c r="I18" s="13">
        <v>42702.244108796294</v>
      </c>
      <c r="J18" s="7">
        <v>0</v>
      </c>
      <c r="K18" s="109" t="str">
        <f t="shared" si="0"/>
        <v>4041/4042</v>
      </c>
      <c r="L18" s="22" t="str">
        <f>VLOOKUP(A18,'Trips&amp;Operators'!$C$1:$E$10000,3,FALSE)</f>
        <v>PERKINS</v>
      </c>
      <c r="M18" s="6">
        <f t="shared" si="1"/>
        <v>2.7939814812270924E-2</v>
      </c>
      <c r="N18" s="7">
        <f t="shared" si="2"/>
        <v>40.233333329670131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03:59:46-700',mode:absolute,to:'2016-11-28 06:51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23.270199999999999</v>
      </c>
      <c r="Z18" s="67">
        <f t="shared" si="9"/>
        <v>1.54E-2</v>
      </c>
      <c r="AA18" s="67">
        <f t="shared" si="10"/>
        <v>23.254799999999999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11"/>
        <v>0106-28</v>
      </c>
      <c r="AE18" s="91" t="str">
        <f t="shared" si="12"/>
        <v>aws s3 cp s3://rtdc.mdm.uploadarchive.raw/RTDC4041/ "%USERPROFILE%\AppData\Local\Temp\OnboardLogs"\RTDC4041\2016-11-28 --exclude "*" --recursive --include "*20161128*" &amp; "%USERPROFILE%\Documents\GitHub\mrs-test-scripts\Headless Mode &amp; Sideloading\WalkAndUnGZ.bat" "%USERPROFILE%\AppData\Local\Temp\OnboardLogs"\RTDC4041\2016-11-28 &amp; 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</v>
      </c>
      <c r="AF18" s="88" t="str">
        <f t="shared" si="13"/>
        <v>"C:\Program Files (x86)\AstroGrep\AstroGrep.exe" /spath="%USERPROFILE%\AppData\Local\Temp\OnboardLogs" /stypes="app*4041*20161128*"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106-28 --locoid 4041 --swversion DE.1.0.8.0 --startMP 204:232702 --initTime 2016-11-28T04:59:46 --startdatetime 2016-11-28T05:11:17 --delay 3 --endMP 204:154 --enddatetime 2016-11-28T05:51:31 --enforcementcount 0 &gt;&gt;C:\Users\stu\Documents\GitHub\eaglep3-reporting\EC\2016-11-28-refined-times.txt</v>
      </c>
      <c r="AI18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{"issue":{"subject":"","project_id":79,"tracker_id":40,"status_id":1,"priority_id":2,"assigned_to_id":23,"start_date":"2016-11-28","description":"","custom_fields":[{"id":1,"name":"Subdivision","value":"EC"},{"id":4,"name":"Milepost","value":"0.0154"},{"id":17,"name":"Train ID","value":"106-28"},{"id":16,"name":"Locomotive ID","value":"4041"},{"id":130,"name":"Impact","value":""},{"id":150,"name":"Time of Event (Mountain Time)","value":"05:51:31"},{"id":151,"name":"Denver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443</v>
      </c>
      <c r="B19" s="7">
        <v>4009</v>
      </c>
      <c r="C19" s="22" t="s">
        <v>212</v>
      </c>
      <c r="D19" s="22" t="s">
        <v>629</v>
      </c>
      <c r="E19" s="13">
        <v>42702.185312499998</v>
      </c>
      <c r="F19" s="13">
        <v>42702.1878125</v>
      </c>
      <c r="G19" s="7">
        <v>1</v>
      </c>
      <c r="H19" s="22" t="s">
        <v>354</v>
      </c>
      <c r="I19" s="13">
        <v>42702.212395833332</v>
      </c>
      <c r="J19" s="7">
        <v>0</v>
      </c>
      <c r="K19" s="109" t="str">
        <f t="shared" si="0"/>
        <v>4009/4010</v>
      </c>
      <c r="L19" s="22" t="str">
        <f>VLOOKUP(A19,'Trips&amp;Operators'!$C$1:$E$10000,3,FALSE)</f>
        <v>SPECTOR</v>
      </c>
      <c r="M19" s="6">
        <f t="shared" si="1"/>
        <v>2.4583333331975155E-2</v>
      </c>
      <c r="N19" s="7">
        <f t="shared" si="2"/>
        <v>35.399999998044223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03:26:51-700',mode:absolute,to:'2016-11-28 06:05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4.4400000000000002E-2</v>
      </c>
      <c r="Z19" s="67">
        <f t="shared" si="9"/>
        <v>23.3322</v>
      </c>
      <c r="AA19" s="67">
        <f t="shared" si="10"/>
        <v>23.287800000000001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1"/>
        <v>0107-28</v>
      </c>
      <c r="AE19" s="91" t="str">
        <f t="shared" si="12"/>
        <v>aws s3 cp s3://rtdc.mdm.uploadarchive.raw/RTDC4009/ "%USERPROFILE%\AppData\Local\Temp\OnboardLogs"\RTDC4009\2016-11-28 --exclude "*" --recursive --include "*20161128*" &amp; "%USERPROFILE%\Documents\GitHub\mrs-test-scripts\Headless Mode &amp; Sideloading\WalkAndUnGZ.bat" "%USERPROFILE%\AppData\Local\Temp\OnboardLogs"\RTDC4009\2016-11-28 &amp; aws s3 cp s3://rtdc.mdm.uploadarchive.raw/RTDC4009/ "%USERPROFILE%\AppData\Local\Temp\OnboardLogs"\RTDC4009\2016-11-29 --exclude "*" --recursive --include "*20161129*" &amp; "%USERPROFILE%\Documents\GitHub\mrs-test-scripts\Headless Mode &amp; Sideloading\WalkAndUnGZ.bat" "%USERPROFILE%\AppData\Local\Temp\OnboardLogs"\RTDC4009\2016-11-29</v>
      </c>
      <c r="AF19" s="88" t="str">
        <f t="shared" si="13"/>
        <v>"C:\Program Files (x86)\AstroGrep\AstroGrep.exe" /spath="%USERPROFILE%\AppData\Local\Temp\OnboardLogs" /stypes="app*4009*20161128*"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107-28 --locoid 4009 --swversion DE.1.0.8.0 --startMP 204:444 --initTime 2016-11-28T04:26:51 --startdatetime 2016-11-28T04:30:27 --delay 1 --endMP 204:233322 --enddatetime 2016-11-28T05:05:51 --enforcementcount 0 &gt;&gt;C:\Users\stu\Documents\GitHub\eaglep3-reporting\EC\2016-11-28-refined-times.txt</v>
      </c>
      <c r="AI19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{"issue":{"subject":"","project_id":79,"tracker_id":40,"status_id":1,"priority_id":2,"assigned_to_id":23,"start_date":"2016-11-28","description":"","custom_fields":[{"id":1,"name":"Subdivision","value":"EC"},{"id":4,"name":"Milepost","value":"23.3322"},{"id":17,"name":"Train ID","value":"107-28"},{"id":16,"name":"Locomotive ID","value":"4009"},{"id":130,"name":"Impact","value":""},{"id":150,"name":"Time of Event (Mountain Time)","value":"05:05:51"},{"id":151,"name":"Denver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448</v>
      </c>
      <c r="B20" s="7">
        <v>4010</v>
      </c>
      <c r="C20" s="22" t="s">
        <v>212</v>
      </c>
      <c r="D20" s="22" t="s">
        <v>241</v>
      </c>
      <c r="E20" s="13">
        <v>42702.221354166664</v>
      </c>
      <c r="F20" s="13">
        <v>42702.2265625</v>
      </c>
      <c r="G20" s="7">
        <v>1</v>
      </c>
      <c r="H20" s="22" t="s">
        <v>208</v>
      </c>
      <c r="I20" s="13">
        <v>42702.254363425927</v>
      </c>
      <c r="J20" s="7">
        <v>0</v>
      </c>
      <c r="K20" s="109" t="str">
        <f t="shared" si="0"/>
        <v>4009/4010</v>
      </c>
      <c r="L20" s="22" t="str">
        <f>VLOOKUP(A20,'Trips&amp;Operators'!$C$1:$E$10000,3,FALSE)</f>
        <v>SPECTOR</v>
      </c>
      <c r="M20" s="6">
        <f t="shared" si="1"/>
        <v>2.7800925927294884E-2</v>
      </c>
      <c r="N20" s="7">
        <f t="shared" si="2"/>
        <v>40.033333335304633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04:18:45-700',mode:absolute,to:'2016-11-28 07:06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23.299399999999999</v>
      </c>
      <c r="Z20" s="67">
        <f t="shared" si="9"/>
        <v>1.5599999999999999E-2</v>
      </c>
      <c r="AA20" s="67">
        <f t="shared" si="10"/>
        <v>23.283799999999999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0108-28</v>
      </c>
      <c r="AE20" s="91" t="str">
        <f t="shared" si="12"/>
        <v>aws s3 cp s3://rtdc.mdm.uploadarchive.raw/RTDC4010/ "%USERPROFILE%\AppData\Local\Temp\OnboardLogs"\RTDC4010\2016-11-28 --exclude "*" --recursive --include "*20161128*" &amp; "%USERPROFILE%\Documents\GitHub\mrs-test-scripts\Headless Mode &amp; Sideloading\WalkAndUnGZ.bat" "%USERPROFILE%\AppData\Local\Temp\OnboardLogs"\RTDC4010\2016-11-28 &amp; aws s3 cp s3://rtdc.mdm.uploadarchive.raw/RTDC4010/ "%USERPROFILE%\AppData\Local\Temp\OnboardLogs"\RTDC4010\2016-11-29 --exclude "*" --recursive --include "*20161129*" &amp; "%USERPROFILE%\Documents\GitHub\mrs-test-scripts\Headless Mode &amp; Sideloading\WalkAndUnGZ.bat" "%USERPROFILE%\AppData\Local\Temp\OnboardLogs"\RTDC4010\2016-11-29</v>
      </c>
      <c r="AF20" s="88" t="str">
        <f t="shared" si="13"/>
        <v>"C:\Program Files (x86)\AstroGrep\AstroGrep.exe" /spath="%USERPROFILE%\AppData\Local\Temp\OnboardLogs" /stypes="app*4010*20161128*"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108-28 --locoid 4010 --swversion DE.1.0.8.0 --startMP 204:232994 --initTime 2016-11-28T05:18:45 --startdatetime 2016-11-28T05:26:15 --delay 1 --endMP 204:156 --enddatetime 2016-11-28T06:06:17 --enforcementcount 0 &gt;&gt;C:\Users\stu\Documents\GitHub\eaglep3-reporting\EC\2016-11-28-refined-times.txt</v>
      </c>
      <c r="AI20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{"issue":{"subject":"","project_id":79,"tracker_id":40,"status_id":1,"priority_id":2,"assigned_to_id":23,"start_date":"2016-11-28","description":"","custom_fields":[{"id":1,"name":"Subdivision","value":"EC"},{"id":4,"name":"Milepost","value":"0.0156"},{"id":17,"name":"Train ID","value":"108-28"},{"id":16,"name":"Locomotive ID","value":"4010"},{"id":130,"name":"Impact","value":""},{"id":150,"name":"Time of Event (Mountain Time)","value":"06:06:17"},{"id":151,"name":"Denver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444</v>
      </c>
      <c r="B21" s="7">
        <v>4016</v>
      </c>
      <c r="C21" s="22" t="s">
        <v>212</v>
      </c>
      <c r="D21" s="22" t="s">
        <v>630</v>
      </c>
      <c r="E21" s="13">
        <v>42702.188715277778</v>
      </c>
      <c r="F21" s="13">
        <v>42702.198310185187</v>
      </c>
      <c r="G21" s="7">
        <v>1</v>
      </c>
      <c r="H21" s="22" t="s">
        <v>628</v>
      </c>
      <c r="I21" s="13">
        <v>42702.224120370367</v>
      </c>
      <c r="J21" s="7">
        <v>0</v>
      </c>
      <c r="K21" s="109" t="str">
        <f t="shared" si="0"/>
        <v>4015/4016</v>
      </c>
      <c r="L21" s="22" t="str">
        <f>VLOOKUP(A21,'Trips&amp;Operators'!$C$1:$E$10000,3,FALSE)</f>
        <v>CRAYTON</v>
      </c>
      <c r="M21" s="6">
        <f t="shared" si="1"/>
        <v>2.5810185179580003E-2</v>
      </c>
      <c r="N21" s="7">
        <f t="shared" si="2"/>
        <v>37.166666658595204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03:31:45-700',mode:absolute,to:'2016-11-28 06:22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4.3799999999999999E-2</v>
      </c>
      <c r="Z21" s="67">
        <f t="shared" si="9"/>
        <v>23.3323</v>
      </c>
      <c r="AA21" s="67">
        <f t="shared" si="10"/>
        <v>23.288499999999999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0109-28</v>
      </c>
      <c r="AE21" s="91" t="str">
        <f t="shared" si="12"/>
        <v>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 &amp; 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</v>
      </c>
      <c r="AF21" s="88" t="str">
        <f t="shared" si="13"/>
        <v>"C:\Program Files (x86)\AstroGrep\AstroGrep.exe" /spath="%USERPROFILE%\AppData\Local\Temp\OnboardLogs" /stypes="app*4016*20161128*"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109-28 --locoid 4016 --swversion DE.1.0.8.0 --startMP 204:438 --initTime 2016-11-28T04:31:45 --startdatetime 2016-11-28T04:45:34 --delay 1 --endMP 204:233323 --enddatetime 2016-11-28T05:22:44 --enforcementcount 0 &gt;&gt;C:\Users\stu\Documents\GitHub\eaglep3-reporting\EC\2016-11-28-refined-times.txt</v>
      </c>
      <c r="AI21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{"issue":{"subject":"","project_id":79,"tracker_id":40,"status_id":1,"priority_id":2,"assigned_to_id":23,"start_date":"2016-11-28","description":"","custom_fields":[{"id":1,"name":"Subdivision","value":"EC"},{"id":4,"name":"Milepost","value":"23.3323"},{"id":17,"name":"Train ID","value":"109-28"},{"id":16,"name":"Locomotive ID","value":"4016"},{"id":130,"name":"Impact","value":""},{"id":150,"name":"Time of Event (Mountain Time)","value":"05:22:44"},{"id":151,"name":"Denver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450</v>
      </c>
      <c r="B22" s="7">
        <v>4015</v>
      </c>
      <c r="C22" s="22" t="s">
        <v>212</v>
      </c>
      <c r="D22" s="22" t="s">
        <v>631</v>
      </c>
      <c r="E22" s="13">
        <v>42702.228842592594</v>
      </c>
      <c r="F22" s="13">
        <v>42702.237013888887</v>
      </c>
      <c r="G22" s="7">
        <v>1</v>
      </c>
      <c r="H22" s="22" t="s">
        <v>280</v>
      </c>
      <c r="I22" s="13">
        <v>42702.264050925929</v>
      </c>
      <c r="J22" s="7">
        <v>0</v>
      </c>
      <c r="K22" s="109" t="str">
        <f t="shared" si="0"/>
        <v>4015/4016</v>
      </c>
      <c r="L22" s="22" t="str">
        <f>VLOOKUP(A22,'Trips&amp;Operators'!$C$1:$E$10000,3,FALSE)</f>
        <v>CRAYTON</v>
      </c>
      <c r="M22" s="6">
        <f t="shared" si="1"/>
        <v>2.7037037041736767E-2</v>
      </c>
      <c r="N22" s="7">
        <f t="shared" si="2"/>
        <v>38.933333340100944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04:29:32-700',mode:absolute,to:'2016-11-28 07:20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23.301300000000001</v>
      </c>
      <c r="Z22" s="67">
        <f t="shared" si="9"/>
        <v>1.4500000000000001E-2</v>
      </c>
      <c r="AA22" s="67">
        <f t="shared" si="10"/>
        <v>23.286799999999999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1"/>
        <v>0110-28</v>
      </c>
      <c r="AE22" s="91" t="str">
        <f t="shared" si="12"/>
        <v>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 &amp; 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</v>
      </c>
      <c r="AF22" s="88" t="str">
        <f t="shared" si="13"/>
        <v>"C:\Program Files (x86)\AstroGrep\AstroGrep.exe" /spath="%USERPROFILE%\AppData\Local\Temp\OnboardLogs" /stypes="app*4015*20161128*"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110-28 --locoid 4015 --swversion DE.1.0.8.0 --startMP 204:233013 --initTime 2016-11-28T05:29:32 --startdatetime 2016-11-28T05:41:18 --delay 1 --endMP 204:145 --enddatetime 2016-11-28T06:20:14 --enforcementcount 0 &gt;&gt;C:\Users\stu\Documents\GitHub\eaglep3-reporting\EC\2016-11-28-refined-times.txt</v>
      </c>
      <c r="AI22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{"issue":{"subject":"","project_id":79,"tracker_id":40,"status_id":1,"priority_id":2,"assigned_to_id":23,"start_date":"2016-11-28","description":"","custom_fields":[{"id":1,"name":"Subdivision","value":"EC"},{"id":4,"name":"Milepost","value":"0.0145"},{"id":17,"name":"Train ID","value":"110-28"},{"id":16,"name":"Locomotive ID","value":"4015"},{"id":130,"name":"Impact","value":""},{"id":150,"name":"Time of Event (Mountain Time)","value":"06:20:14"},{"id":151,"name":"Denver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446</v>
      </c>
      <c r="B23" s="7">
        <v>4025</v>
      </c>
      <c r="C23" s="22" t="s">
        <v>212</v>
      </c>
      <c r="D23" s="22" t="s">
        <v>632</v>
      </c>
      <c r="E23" s="13">
        <v>42702.202997685185</v>
      </c>
      <c r="F23" s="13">
        <v>42702.208796296298</v>
      </c>
      <c r="G23" s="7">
        <v>1</v>
      </c>
      <c r="H23" s="22" t="s">
        <v>275</v>
      </c>
      <c r="I23" s="13">
        <v>42702.234502314815</v>
      </c>
      <c r="J23" s="7">
        <v>0</v>
      </c>
      <c r="K23" s="109" t="str">
        <f t="shared" si="0"/>
        <v>4025/4026</v>
      </c>
      <c r="L23" s="22" t="str">
        <f>VLOOKUP(A23,'Trips&amp;Operators'!$C$1:$E$10000,3,FALSE)</f>
        <v>STARKS</v>
      </c>
      <c r="M23" s="6">
        <f t="shared" si="1"/>
        <v>2.5706018517666962E-2</v>
      </c>
      <c r="N23" s="7">
        <f t="shared" si="2"/>
        <v>37.016666665440425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03:52:19-700',mode:absolute,to:'2016-11-28 06:37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7.6999999999999999E-2</v>
      </c>
      <c r="Z23" s="67">
        <f t="shared" si="9"/>
        <v>23.330300000000001</v>
      </c>
      <c r="AA23" s="67">
        <f t="shared" si="10"/>
        <v>23.253299999999999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0111-28</v>
      </c>
      <c r="AE23" s="91" t="str">
        <f t="shared" si="12"/>
        <v>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 &amp; aws s3 cp s3://rtdc.mdm.uploadarchive.raw/RTDC4025/ "%USERPROFILE%\AppData\Local\Temp\OnboardLogs"\RTDC4025\2016-11-29 --exclude "*" --recursive --include "*20161129*" &amp; "%USERPROFILE%\Documents\GitHub\mrs-test-scripts\Headless Mode &amp; Sideloading\WalkAndUnGZ.bat" "%USERPROFILE%\AppData\Local\Temp\OnboardLogs"\RTDC4025\2016-11-29</v>
      </c>
      <c r="AF23" s="88" t="str">
        <f t="shared" si="13"/>
        <v>"C:\Program Files (x86)\AstroGrep\AstroGrep.exe" /spath="%USERPROFILE%\AppData\Local\Temp\OnboardLogs" /stypes="app*4025*20161128*"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111-28 --locoid 4025 --swversion DE.1.0.8.0 --startMP 204:770 --initTime 2016-11-28T04:52:19 --startdatetime 2016-11-28T05:00:40 --delay 1 --endMP 204:233303 --enddatetime 2016-11-28T05:37:41 --enforcementcount 0 &gt;&gt;C:\Users\stu\Documents\GitHub\eaglep3-reporting\EC\2016-11-28-refined-times.txt</v>
      </c>
      <c r="AI23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{"issue":{"subject":"","project_id":79,"tracker_id":40,"status_id":1,"priority_id":2,"assigned_to_id":23,"start_date":"2016-11-28","description":"","custom_fields":[{"id":1,"name":"Subdivision","value":"EC"},{"id":4,"name":"Milepost","value":"23.3303"},{"id":17,"name":"Train ID","value":"111-28"},{"id":16,"name":"Locomotive ID","value":"4025"},{"id":130,"name":"Impact","value":""},{"id":150,"name":"Time of Event (Mountain Time)","value":"05:37:41"},{"id":151,"name":"Denver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452</v>
      </c>
      <c r="B24" s="7">
        <v>4026</v>
      </c>
      <c r="C24" s="22" t="s">
        <v>212</v>
      </c>
      <c r="D24" s="22" t="s">
        <v>334</v>
      </c>
      <c r="E24" s="13">
        <v>42702.245439814818</v>
      </c>
      <c r="F24" s="13">
        <v>42702.247534722221</v>
      </c>
      <c r="G24" s="7">
        <v>1</v>
      </c>
      <c r="H24" s="22" t="s">
        <v>219</v>
      </c>
      <c r="I24" s="13">
        <v>42702.27516203704</v>
      </c>
      <c r="J24" s="7">
        <v>0</v>
      </c>
      <c r="K24" s="109" t="str">
        <f t="shared" si="0"/>
        <v>4025/4026</v>
      </c>
      <c r="L24" s="22" t="str">
        <f>VLOOKUP(A24,'Trips&amp;Operators'!$C$1:$E$10000,3,FALSE)</f>
        <v>STARKS</v>
      </c>
      <c r="M24" s="6">
        <f t="shared" si="1"/>
        <v>2.7627314819255844E-2</v>
      </c>
      <c r="N24" s="7">
        <f t="shared" si="2"/>
        <v>39.783333339728415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04:53:26-700',mode:absolute,to:'2016-11-28 07:36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23.298200000000001</v>
      </c>
      <c r="Z24" s="67">
        <f t="shared" si="9"/>
        <v>1.4999999999999999E-2</v>
      </c>
      <c r="AA24" s="67">
        <f t="shared" si="10"/>
        <v>23.283200000000001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1"/>
        <v>0112-28</v>
      </c>
      <c r="AE24" s="91" t="str">
        <f t="shared" si="12"/>
        <v>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 &amp; aws s3 cp s3://rtdc.mdm.uploadarchive.raw/RTDC4026/ "%USERPROFILE%\AppData\Local\Temp\OnboardLogs"\RTDC4026\2016-11-29 --exclude "*" --recursive --include "*20161129*" &amp; "%USERPROFILE%\Documents\GitHub\mrs-test-scripts\Headless Mode &amp; Sideloading\WalkAndUnGZ.bat" "%USERPROFILE%\AppData\Local\Temp\OnboardLogs"\RTDC4026\2016-11-29</v>
      </c>
      <c r="AF24" s="88" t="str">
        <f t="shared" si="13"/>
        <v>"C:\Program Files (x86)\AstroGrep\AstroGrep.exe" /spath="%USERPROFILE%\AppData\Local\Temp\OnboardLogs" /stypes="app*4026*20161128*"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112-28 --locoid 4026 --swversion DE.1.0.8.0 --startMP 204:232982 --initTime 2016-11-28T05:53:26 --startdatetime 2016-11-28T05:56:27 --delay 1 --endMP 204:150 --enddatetime 2016-11-28T06:36:14 --enforcementcount 0 &gt;&gt;C:\Users\stu\Documents\GitHub\eaglep3-reporting\EC\2016-11-28-refined-times.txt</v>
      </c>
      <c r="AI24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{"issue":{"subject":"","project_id":79,"tracker_id":40,"status_id":1,"priority_id":2,"assigned_to_id":23,"start_date":"2016-11-28","description":"","custom_fields":[{"id":1,"name":"Subdivision","value":"EC"},{"id":4,"name":"Milepost","value":"0.015"},{"id":17,"name":"Train ID","value":"112-28"},{"id":16,"name":"Locomotive ID","value":"4026"},{"id":130,"name":"Impact","value":""},{"id":150,"name":"Time of Event (Mountain Time)","value":"06:36:14"},{"id":151,"name":"Denver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396</v>
      </c>
      <c r="B25" s="7">
        <v>4014</v>
      </c>
      <c r="C25" s="22" t="s">
        <v>212</v>
      </c>
      <c r="D25" s="22" t="s">
        <v>633</v>
      </c>
      <c r="E25" s="13">
        <v>42702.204282407409</v>
      </c>
      <c r="F25" s="13">
        <v>42702.219409722224</v>
      </c>
      <c r="G25" s="7">
        <v>1</v>
      </c>
      <c r="H25" s="22" t="s">
        <v>634</v>
      </c>
      <c r="I25" s="13">
        <v>42702.244826388887</v>
      </c>
      <c r="J25" s="7">
        <v>0</v>
      </c>
      <c r="K25" s="109" t="str">
        <f t="shared" si="0"/>
        <v>4013/4014</v>
      </c>
      <c r="L25" s="22" t="str">
        <f>VLOOKUP(A25,'Trips&amp;Operators'!$C$1:$E$10000,3,FALSE)</f>
        <v>KILLION</v>
      </c>
      <c r="M25" s="6">
        <f t="shared" si="1"/>
        <v>2.5416666663659271E-2</v>
      </c>
      <c r="N25" s="7">
        <f t="shared" si="2"/>
        <v>36.59999999566935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03:54:10-700',mode:absolute,to:'2016-11-28 06:52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4.4600000000000001E-2</v>
      </c>
      <c r="Z25" s="67">
        <f t="shared" si="9"/>
        <v>23.322900000000001</v>
      </c>
      <c r="AA25" s="67">
        <f t="shared" si="10"/>
        <v>23.278300000000002</v>
      </c>
      <c r="AB25" s="64" t="str">
        <f>VLOOKUP(A25,Enforcements!$C$7:$K$20,8,0)</f>
        <v>Speed (6)</v>
      </c>
      <c r="AC25" s="60" t="str">
        <f>VLOOKUP(A25,Enforcements!$C$7:$E$20,3,0)</f>
        <v>PERMANENT SPEED RESTRICTION</v>
      </c>
      <c r="AD25" s="61" t="str">
        <f t="shared" si="11"/>
        <v>0113-28</v>
      </c>
      <c r="AE25" s="91" t="str">
        <f t="shared" si="12"/>
        <v>aws s3 cp s3://rtdc.mdm.uploadarchive.raw/RTDC4014/ "%USERPROFILE%\AppData\Local\Temp\OnboardLogs"\RTDC4014\2016-11-28 --exclude "*" --recursive --include "*20161128*" &amp; "%USERPROFILE%\Documents\GitHub\mrs-test-scripts\Headless Mode &amp; Sideloading\WalkAndUnGZ.bat" "%USERPROFILE%\AppData\Local\Temp\OnboardLogs"\RTDC4014\2016-11-28 &amp; 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</v>
      </c>
      <c r="AF25" s="88" t="str">
        <f t="shared" si="13"/>
        <v>"C:\Program Files (x86)\AstroGrep\AstroGrep.exe" /spath="%USERPROFILE%\AppData\Local\Temp\OnboardLogs" /stypes="app*4014*20161128*"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113-28 --locoid 4014 --swversion DE.1.0.8.0 --startMP 204:446 --initTime 2016-11-28T04:54:10 --startdatetime 2016-11-28T05:15:57 --delay 1 --endMP 204:233229 --enddatetime 2016-11-28T05:52:33 --enforcementcount 0 &gt;&gt;C:\Users\stu\Documents\GitHub\eaglep3-reporting\EC\2016-11-28-refined-times.txt</v>
      </c>
      <c r="AI25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{"issue":{"subject":"","project_id":79,"tracker_id":40,"status_id":1,"priority_id":2,"assigned_to_id":23,"start_date":"2016-11-28","description":"","custom_fields":[{"id":1,"name":"Subdivision","value":"EC"},{"id":4,"name":"Milepost","value":"23.3229"},{"id":17,"name":"Train ID","value":"113-28"},{"id":16,"name":"Locomotive ID","value":"4014"},{"id":130,"name":"Impact","value":""},{"id":150,"name":"Time of Event (Mountain Time)","value":"05:52:33"},{"id":151,"name":"Denver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455</v>
      </c>
      <c r="B26" s="7">
        <v>4013</v>
      </c>
      <c r="C26" s="22" t="s">
        <v>212</v>
      </c>
      <c r="D26" s="22" t="s">
        <v>635</v>
      </c>
      <c r="E26" s="13">
        <v>42702.251400462963</v>
      </c>
      <c r="F26" s="13">
        <v>42702.2578125</v>
      </c>
      <c r="G26" s="7">
        <v>0</v>
      </c>
      <c r="H26" s="22" t="s">
        <v>636</v>
      </c>
      <c r="I26" s="13">
        <v>42702.285578703704</v>
      </c>
      <c r="J26" s="7">
        <v>0</v>
      </c>
      <c r="K26" s="109" t="str">
        <f t="shared" si="0"/>
        <v>4013/4014</v>
      </c>
      <c r="L26" s="22" t="str">
        <f>VLOOKUP(A26,'Trips&amp;Operators'!$C$1:$E$10000,3,FALSE)</f>
        <v>KILLION</v>
      </c>
      <c r="M26" s="6">
        <f t="shared" si="1"/>
        <v>2.7766203704231884E-2</v>
      </c>
      <c r="N26" s="7">
        <f t="shared" si="2"/>
        <v>39.983333334093913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05:02:01-700',mode:absolute,to:'2016-11-28 07:51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23.297899999999998</v>
      </c>
      <c r="Z26" s="67">
        <f t="shared" si="9"/>
        <v>1.52E-2</v>
      </c>
      <c r="AA26" s="67">
        <f t="shared" si="10"/>
        <v>23.282699999999998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1"/>
        <v>0114-28</v>
      </c>
      <c r="AE26" s="91" t="str">
        <f t="shared" si="12"/>
        <v>aws s3 cp s3://rtdc.mdm.uploadarchive.raw/RTDC4013/ "%USERPROFILE%\AppData\Local\Temp\OnboardLogs"\RTDC4013\2016-11-28 --exclude "*" --recursive --include "*20161128*" &amp; "%USERPROFILE%\Documents\GitHub\mrs-test-scripts\Headless Mode &amp; Sideloading\WalkAndUnGZ.bat" "%USERPROFILE%\AppData\Local\Temp\OnboardLogs"\RTDC4013\2016-11-28 &amp; 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</v>
      </c>
      <c r="AF26" s="88" t="str">
        <f t="shared" si="13"/>
        <v>"C:\Program Files (x86)\AstroGrep\AstroGrep.exe" /spath="%USERPROFILE%\AppData\Local\Temp\OnboardLogs" /stypes="app*4013*20161128*"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114-28 --locoid 4013 --swversion DE.1.0.8.0 --startMP 204:232979 --initTime 2016-11-28T06:02:01 --startdatetime 2016-11-28T06:11:15 --delay 0 --endMP 204:152 --enddatetime 2016-11-28T06:51:14 --enforcementcount 0 &gt;&gt;C:\Users\stu\Documents\GitHub\eaglep3-reporting\EC\2016-11-28-refined-times.txt</v>
      </c>
      <c r="AI26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{"issue":{"subject":"","project_id":79,"tracker_id":40,"status_id":1,"priority_id":2,"assigned_to_id":23,"start_date":"2016-11-28","description":"","custom_fields":[{"id":1,"name":"Subdivision","value":"EC"},{"id":4,"name":"Milepost","value":"0.0152"},{"id":17,"name":"Train ID","value":"114-28"},{"id":16,"name":"Locomotive ID","value":"4013"},{"id":130,"name":"Impact","value":""},{"id":150,"name":"Time of Event (Mountain Time)","value":"06:51:14"},{"id":151,"name":"Denver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395</v>
      </c>
      <c r="B27" s="7">
        <v>4038</v>
      </c>
      <c r="C27" s="22" t="s">
        <v>212</v>
      </c>
      <c r="D27" s="22" t="s">
        <v>637</v>
      </c>
      <c r="E27" s="13">
        <v>42702.22625</v>
      </c>
      <c r="F27" s="13">
        <v>42702.229444444441</v>
      </c>
      <c r="G27" s="7">
        <v>2</v>
      </c>
      <c r="H27" s="22" t="s">
        <v>338</v>
      </c>
      <c r="I27" s="13">
        <v>42702.254884259259</v>
      </c>
      <c r="J27" s="7">
        <v>0</v>
      </c>
      <c r="K27" s="109" t="str">
        <f t="shared" si="0"/>
        <v>4037/4038</v>
      </c>
      <c r="L27" s="22" t="str">
        <f>VLOOKUP(A27,'Trips&amp;Operators'!$C$1:$E$10000,3,FALSE)</f>
        <v>HAITHCOX</v>
      </c>
      <c r="M27" s="6">
        <f t="shared" si="1"/>
        <v>2.5439814817218576E-2</v>
      </c>
      <c r="N27" s="7">
        <f t="shared" si="2"/>
        <v>36.633333336794749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04:25:48-700',mode:absolute,to:'2016-11-28 07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7.8600000000000003E-2</v>
      </c>
      <c r="Z27" s="67">
        <f t="shared" si="9"/>
        <v>23.331800000000001</v>
      </c>
      <c r="AA27" s="67">
        <f t="shared" si="10"/>
        <v>23.2532</v>
      </c>
      <c r="AB27" s="64" t="str">
        <f>VLOOKUP(A27,Enforcements!$C$7:$K$20,8,0)</f>
        <v>Speed (6)</v>
      </c>
      <c r="AC27" s="60" t="str">
        <f>VLOOKUP(A27,Enforcements!$C$7:$E$20,3,0)</f>
        <v>PERMANENT SPEED RESTRICTION</v>
      </c>
      <c r="AD27" s="61" t="str">
        <f t="shared" si="11"/>
        <v>0115-28</v>
      </c>
      <c r="AE27" s="91" t="str">
        <f t="shared" si="12"/>
        <v>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 &amp; aws s3 cp s3://rtdc.mdm.uploadarchive.raw/RTDC4038/ "%USERPROFILE%\AppData\Local\Temp\OnboardLogs"\RTDC4038\2016-11-29 --exclude "*" --recursive --include "*20161129*" &amp; "%USERPROFILE%\Documents\GitHub\mrs-test-scripts\Headless Mode &amp; Sideloading\WalkAndUnGZ.bat" "%USERPROFILE%\AppData\Local\Temp\OnboardLogs"\RTDC4038\2016-11-29</v>
      </c>
      <c r="AF27" s="88" t="str">
        <f t="shared" si="13"/>
        <v>"C:\Program Files (x86)\AstroGrep\AstroGrep.exe" /spath="%USERPROFILE%\AppData\Local\Temp\OnboardLogs" /stypes="app*4038*20161128*"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115-28 --locoid 4038 --swversion DE.1.0.8.0 --startMP 204:786 --initTime 2016-11-28T05:25:48 --startdatetime 2016-11-28T05:30:24 --delay 2 --endMP 204:233318 --enddatetime 2016-11-28T06:07:02 --enforcementcount 0 &gt;&gt;C:\Users\stu\Documents\GitHub\eaglep3-reporting\EC\2016-11-28-refined-times.txt</v>
      </c>
      <c r="AI27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{"issue":{"subject":"","project_id":79,"tracker_id":40,"status_id":1,"priority_id":2,"assigned_to_id":23,"start_date":"2016-11-28","description":"","custom_fields":[{"id":1,"name":"Subdivision","value":"EC"},{"id":4,"name":"Milepost","value":"23.3318"},{"id":17,"name":"Train ID","value":"115-28"},{"id":16,"name":"Locomotive ID","value":"4038"},{"id":130,"name":"Impact","value":""},{"id":150,"name":"Time of Event (Mountain Time)","value":"06:07:02"},{"id":151,"name":"Denver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458</v>
      </c>
      <c r="B28" s="7">
        <v>4037</v>
      </c>
      <c r="C28" s="22" t="s">
        <v>212</v>
      </c>
      <c r="D28" s="22" t="s">
        <v>278</v>
      </c>
      <c r="E28" s="13">
        <v>42702.265381944446</v>
      </c>
      <c r="F28" s="13">
        <v>42702.268310185187</v>
      </c>
      <c r="G28" s="7">
        <v>1</v>
      </c>
      <c r="H28" s="22" t="s">
        <v>358</v>
      </c>
      <c r="I28" s="13">
        <v>42702.296168981484</v>
      </c>
      <c r="J28" s="7">
        <v>0</v>
      </c>
      <c r="K28" s="109" t="str">
        <f t="shared" si="0"/>
        <v>4037/4038</v>
      </c>
      <c r="L28" s="22" t="str">
        <f>VLOOKUP(A28,'Trips&amp;Operators'!$C$1:$E$10000,3,FALSE)</f>
        <v>HAITHCOX</v>
      </c>
      <c r="M28" s="6">
        <f t="shared" si="1"/>
        <v>2.7858796296641231E-2</v>
      </c>
      <c r="N28" s="7">
        <f t="shared" si="2"/>
        <v>40.116666667163372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05:22:09-700',mode:absolute,to:'2016-11-28 08:06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23.298400000000001</v>
      </c>
      <c r="Z28" s="67">
        <f t="shared" si="9"/>
        <v>1.34E-2</v>
      </c>
      <c r="AA28" s="67">
        <f t="shared" si="10"/>
        <v>23.285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1"/>
        <v>0116-28</v>
      </c>
      <c r="AE28" s="91" t="str">
        <f t="shared" si="12"/>
        <v>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 &amp; aws s3 cp s3://rtdc.mdm.uploadarchive.raw/RTDC4037/ "%USERPROFILE%\AppData\Local\Temp\OnboardLogs"\RTDC4037\2016-11-29 --exclude "*" --recursive --include "*20161129*" &amp; "%USERPROFILE%\Documents\GitHub\mrs-test-scripts\Headless Mode &amp; Sideloading\WalkAndUnGZ.bat" "%USERPROFILE%\AppData\Local\Temp\OnboardLogs"\RTDC4037\2016-11-29</v>
      </c>
      <c r="AF28" s="88" t="str">
        <f t="shared" si="13"/>
        <v>"C:\Program Files (x86)\AstroGrep\AstroGrep.exe" /spath="%USERPROFILE%\AppData\Local\Temp\OnboardLogs" /stypes="app*4037*20161128*"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116-28 --locoid 4037 --swversion DE.1.0.8.0 --startMP 204:232984 --initTime 2016-11-28T06:22:09 --startdatetime 2016-11-28T06:26:22 --delay 1 --endMP 204:134 --enddatetime 2016-11-28T07:06:29 --enforcementcount 0 &gt;&gt;C:\Users\stu\Documents\GitHub\eaglep3-reporting\EC\2016-11-28-refined-times.txt</v>
      </c>
      <c r="AI28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{"issue":{"subject":"","project_id":79,"tracker_id":40,"status_id":1,"priority_id":2,"assigned_to_id":23,"start_date":"2016-11-28","description":"","custom_fields":[{"id":1,"name":"Subdivision","value":"EC"},{"id":4,"name":"Milepost","value":"0.0134"},{"id":17,"name":"Train ID","value":"116-28"},{"id":16,"name":"Locomotive ID","value":"4037"},{"id":130,"name":"Impact","value":""},{"id":150,"name":"Time of Event (Mountain Time)","value":"07:06:29"},{"id":151,"name":"Denver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451</v>
      </c>
      <c r="B29" s="7">
        <v>4040</v>
      </c>
      <c r="C29" s="22" t="s">
        <v>212</v>
      </c>
      <c r="D29" s="22" t="s">
        <v>235</v>
      </c>
      <c r="E29" s="13">
        <v>42702.231874999998</v>
      </c>
      <c r="F29" s="13">
        <v>42702.240034722221</v>
      </c>
      <c r="G29" s="7">
        <v>1</v>
      </c>
      <c r="H29" s="22" t="s">
        <v>336</v>
      </c>
      <c r="I29" s="13">
        <v>42702.265208333331</v>
      </c>
      <c r="J29" s="7">
        <v>0</v>
      </c>
      <c r="K29" s="109" t="str">
        <f t="shared" si="0"/>
        <v>4039/4040</v>
      </c>
      <c r="L29" s="22" t="str">
        <f>VLOOKUP(A29,'Trips&amp;Operators'!$C$1:$E$10000,3,FALSE)</f>
        <v>MAGEE</v>
      </c>
      <c r="M29" s="6">
        <f t="shared" si="1"/>
        <v>2.5173611109494232E-2</v>
      </c>
      <c r="N29" s="7">
        <f t="shared" si="2"/>
        <v>36.249999997671694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04:33:54-700',mode:absolute,to:'2016-11-28 07:21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4.4900000000000002E-2</v>
      </c>
      <c r="Z29" s="67">
        <f t="shared" si="9"/>
        <v>23.3325</v>
      </c>
      <c r="AA29" s="67">
        <f t="shared" si="10"/>
        <v>23.287600000000001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1"/>
        <v>0117-28</v>
      </c>
      <c r="AE29" s="91" t="str">
        <f t="shared" si="12"/>
        <v>aws s3 cp s3://rtdc.mdm.uploadarchive.raw/RTDC4040/ "%USERPROFILE%\AppData\Local\Temp\OnboardLogs"\RTDC4040\2016-11-28 --exclude "*" --recursive --include "*20161128*" &amp; "%USERPROFILE%\Documents\GitHub\mrs-test-scripts\Headless Mode &amp; Sideloading\WalkAndUnGZ.bat" "%USERPROFILE%\AppData\Local\Temp\OnboardLogs"\RTDC4040\2016-11-28 &amp; 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</v>
      </c>
      <c r="AF29" s="88" t="str">
        <f t="shared" si="13"/>
        <v>"C:\Program Files (x86)\AstroGrep\AstroGrep.exe" /spath="%USERPROFILE%\AppData\Local\Temp\OnboardLogs" /stypes="app*4040*20161128*"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117-28 --locoid 4040 --swversion DE.1.0.8.0 --startMP 204:449 --initTime 2016-11-28T05:33:54 --startdatetime 2016-11-28T05:45:39 --delay 1 --endMP 204:233325 --enddatetime 2016-11-28T06:21:54 --enforcementcount 0 &gt;&gt;C:\Users\stu\Documents\GitHub\eaglep3-reporting\EC\2016-11-28-refined-times.txt</v>
      </c>
      <c r="AI29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{"issue":{"subject":"","project_id":79,"tracker_id":40,"status_id":1,"priority_id":2,"assigned_to_id":23,"start_date":"2016-11-28","description":"","custom_fields":[{"id":1,"name":"Subdivision","value":"EC"},{"id":4,"name":"Milepost","value":"23.3325"},{"id":17,"name":"Train ID","value":"117-28"},{"id":16,"name":"Locomotive ID","value":"4040"},{"id":130,"name":"Impact","value":""},{"id":150,"name":"Time of Event (Mountain Time)","value":"06:21:54"},{"id":151,"name":"Denver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460</v>
      </c>
      <c r="B30" s="7">
        <v>4039</v>
      </c>
      <c r="C30" s="22" t="s">
        <v>212</v>
      </c>
      <c r="D30" s="22" t="s">
        <v>276</v>
      </c>
      <c r="E30" s="13">
        <v>42702.273958333331</v>
      </c>
      <c r="F30" s="13">
        <v>42702.278634259259</v>
      </c>
      <c r="G30" s="7">
        <v>1</v>
      </c>
      <c r="H30" s="22" t="s">
        <v>636</v>
      </c>
      <c r="I30" s="13">
        <v>42702.305069444446</v>
      </c>
      <c r="J30" s="7">
        <v>0</v>
      </c>
      <c r="K30" s="109" t="str">
        <f t="shared" si="0"/>
        <v>4039/4040</v>
      </c>
      <c r="L30" s="22" t="str">
        <f>VLOOKUP(A30,'Trips&amp;Operators'!$C$1:$E$10000,3,FALSE)</f>
        <v>MAGEE</v>
      </c>
      <c r="M30" s="6">
        <f t="shared" si="1"/>
        <v>2.6435185187438037E-2</v>
      </c>
      <c r="N30" s="7">
        <f t="shared" si="2"/>
        <v>38.066666669910774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05:34:30-700',mode:absolute,to:'2016-11-28 08:19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23.2989</v>
      </c>
      <c r="Z30" s="67">
        <f t="shared" si="9"/>
        <v>1.52E-2</v>
      </c>
      <c r="AA30" s="67">
        <f t="shared" si="10"/>
        <v>23.2837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1"/>
        <v>0118-28</v>
      </c>
      <c r="AE30" s="91" t="str">
        <f t="shared" si="12"/>
        <v>aws s3 cp s3://rtdc.mdm.uploadarchive.raw/RTDC4039/ "%USERPROFILE%\AppData\Local\Temp\OnboardLogs"\RTDC4039\2016-11-28 --exclude "*" --recursive --include "*20161128*" &amp; "%USERPROFILE%\Documents\GitHub\mrs-test-scripts\Headless Mode &amp; Sideloading\WalkAndUnGZ.bat" "%USERPROFILE%\AppData\Local\Temp\OnboardLogs"\RTDC4039\2016-11-28 &amp; 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</v>
      </c>
      <c r="AF30" s="88" t="str">
        <f t="shared" si="13"/>
        <v>"C:\Program Files (x86)\AstroGrep\AstroGrep.exe" /spath="%USERPROFILE%\AppData\Local\Temp\OnboardLogs" /stypes="app*4039*20161128*"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118-28 --locoid 4039 --swversion DE.1.0.8.0 --startMP 204:232989 --initTime 2016-11-28T06:34:30 --startdatetime 2016-11-28T06:41:14 --delay 1 --endMP 204:152 --enddatetime 2016-11-28T07:19:18 --enforcementcount 0 &gt;&gt;C:\Users\stu\Documents\GitHub\eaglep3-reporting\EC\2016-11-28-refined-times.txt</v>
      </c>
      <c r="AI30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{"issue":{"subject":"","project_id":79,"tracker_id":40,"status_id":1,"priority_id":2,"assigned_to_id":23,"start_date":"2016-11-28","description":"","custom_fields":[{"id":1,"name":"Subdivision","value":"EC"},{"id":4,"name":"Milepost","value":"0.0152"},{"id":17,"name":"Train ID","value":"118-28"},{"id":16,"name":"Locomotive ID","value":"4039"},{"id":130,"name":"Impact","value":""},{"id":150,"name":"Time of Event (Mountain Time)","value":"07:19:18"},{"id":151,"name":"Denver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453</v>
      </c>
      <c r="B31" s="7">
        <v>4002</v>
      </c>
      <c r="C31" s="22" t="s">
        <v>212</v>
      </c>
      <c r="D31" s="22" t="s">
        <v>638</v>
      </c>
      <c r="E31" s="13">
        <v>42702.24962962963</v>
      </c>
      <c r="F31" s="13">
        <v>42702.251134259262</v>
      </c>
      <c r="G31" s="7">
        <v>1</v>
      </c>
      <c r="H31" s="22" t="s">
        <v>374</v>
      </c>
      <c r="I31" s="13">
        <v>42702.276493055557</v>
      </c>
      <c r="J31" s="7">
        <v>0</v>
      </c>
      <c r="K31" s="109" t="str">
        <f t="shared" si="0"/>
        <v>4001/4002</v>
      </c>
      <c r="L31" s="22" t="str">
        <f>VLOOKUP(A31,'Trips&amp;Operators'!$C$1:$E$10000,3,FALSE)</f>
        <v>PERKINS</v>
      </c>
      <c r="M31" s="6">
        <f t="shared" si="1"/>
        <v>2.5358796294312924E-2</v>
      </c>
      <c r="N31" s="7">
        <f t="shared" si="2"/>
        <v>36.516666663810611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04:59:28-700',mode:absolute,to:'2016-11-28 07:38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7.3700000000000002E-2</v>
      </c>
      <c r="Z31" s="67">
        <f t="shared" si="9"/>
        <v>23.328900000000001</v>
      </c>
      <c r="AA31" s="67">
        <f t="shared" si="10"/>
        <v>23.255200000000002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1"/>
        <v>0119-28</v>
      </c>
      <c r="AE31" s="91" t="str">
        <f t="shared" si="12"/>
        <v>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 &amp; aws s3 cp s3://rtdc.mdm.uploadarchive.raw/RTDC4002/ "%USERPROFILE%\AppData\Local\Temp\OnboardLogs"\RTDC4002\2016-11-29 --exclude "*" --recursive --include "*20161129*" &amp; "%USERPROFILE%\Documents\GitHub\mrs-test-scripts\Headless Mode &amp; Sideloading\WalkAndUnGZ.bat" "%USERPROFILE%\AppData\Local\Temp\OnboardLogs"\RTDC4002\2016-11-29</v>
      </c>
      <c r="AF31" s="88" t="str">
        <f t="shared" si="13"/>
        <v>"C:\Program Files (x86)\AstroGrep\AstroGrep.exe" /spath="%USERPROFILE%\AppData\Local\Temp\OnboardLogs" /stypes="app*4002*20161128*"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119-28 --locoid 4002 --swversion DE.1.0.8.0 --startMP 204:737 --initTime 2016-11-28T05:59:28 --startdatetime 2016-11-28T06:01:38 --delay 1 --endMP 204:233289 --enddatetime 2016-11-28T06:38:09 --enforcementcount 0 &gt;&gt;C:\Users\stu\Documents\GitHub\eaglep3-reporting\EC\2016-11-28-refined-times.txt</v>
      </c>
      <c r="AI31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{"issue":{"subject":"","project_id":79,"tracker_id":40,"status_id":1,"priority_id":2,"assigned_to_id":23,"start_date":"2016-11-28","description":"","custom_fields":[{"id":1,"name":"Subdivision","value":"EC"},{"id":4,"name":"Milepost","value":"23.3289"},{"id":17,"name":"Train ID","value":"119-28"},{"id":16,"name":"Locomotive ID","value":"4002"},{"id":130,"name":"Impact","value":""},{"id":150,"name":"Time of Event (Mountain Time)","value":"06:38:09"},{"id":151,"name":"Denver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462</v>
      </c>
      <c r="B32" s="7">
        <v>4001</v>
      </c>
      <c r="C32" s="22" t="s">
        <v>212</v>
      </c>
      <c r="D32" s="22" t="s">
        <v>639</v>
      </c>
      <c r="E32" s="13">
        <v>42702.279872685183</v>
      </c>
      <c r="F32" s="13">
        <v>42702.289050925923</v>
      </c>
      <c r="G32" s="7">
        <v>1</v>
      </c>
      <c r="H32" s="22" t="s">
        <v>193</v>
      </c>
      <c r="I32" s="13">
        <v>42702.315925925926</v>
      </c>
      <c r="J32" s="7">
        <v>0</v>
      </c>
      <c r="K32" s="109" t="str">
        <f t="shared" si="0"/>
        <v>4001/4002</v>
      </c>
      <c r="L32" s="22" t="str">
        <f>VLOOKUP(A32,'Trips&amp;Operators'!$C$1:$E$10000,3,FALSE)</f>
        <v>PERKINS</v>
      </c>
      <c r="M32" s="6">
        <f t="shared" si="1"/>
        <v>2.6875000003201421E-2</v>
      </c>
      <c r="N32" s="7">
        <f t="shared" si="2"/>
        <v>38.700000004610047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05:43:01-700',mode:absolute,to:'2016-11-28 08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23.296500000000002</v>
      </c>
      <c r="Z32" s="67">
        <f t="shared" si="9"/>
        <v>1.43E-2</v>
      </c>
      <c r="AA32" s="67">
        <f t="shared" si="10"/>
        <v>23.282200000000003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1"/>
        <v>0120-28</v>
      </c>
      <c r="AE32" s="91" t="str">
        <f t="shared" si="12"/>
        <v>aws s3 cp s3://rtdc.mdm.uploadarchive.raw/RTDC4001/ "%USERPROFILE%\AppData\Local\Temp\OnboardLogs"\RTDC4001\2016-11-28 --exclude "*" --recursive --include "*20161128*" &amp; "%USERPROFILE%\Documents\GitHub\mrs-test-scripts\Headless Mode &amp; Sideloading\WalkAndUnGZ.bat" "%USERPROFILE%\AppData\Local\Temp\OnboardLogs"\RTDC4001\2016-11-28 &amp; aws s3 cp s3://rtdc.mdm.uploadarchive.raw/RTDC4001/ "%USERPROFILE%\AppData\Local\Temp\OnboardLogs"\RTDC4001\2016-11-29 --exclude "*" --recursive --include "*20161129*" &amp; "%USERPROFILE%\Documents\GitHub\mrs-test-scripts\Headless Mode &amp; Sideloading\WalkAndUnGZ.bat" "%USERPROFILE%\AppData\Local\Temp\OnboardLogs"\RTDC4001\2016-11-29</v>
      </c>
      <c r="AF32" s="88" t="str">
        <f t="shared" si="13"/>
        <v>"C:\Program Files (x86)\AstroGrep\AstroGrep.exe" /spath="%USERPROFILE%\AppData\Local\Temp\OnboardLogs" /stypes="app*4001*20161128*"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120-28 --locoid 4001 --swversion DE.1.0.8.0 --startMP 204:232965 --initTime 2016-11-28T06:43:01 --startdatetime 2016-11-28T06:56:14 --delay 1 --endMP 204:143 --enddatetime 2016-11-28T07:34:56 --enforcementcount 0 &gt;&gt;C:\Users\stu\Documents\GitHub\eaglep3-reporting\EC\2016-11-28-refined-times.txt</v>
      </c>
      <c r="AI32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{"issue":{"subject":"","project_id":79,"tracker_id":40,"status_id":1,"priority_id":2,"assigned_to_id":23,"start_date":"2016-11-28","description":"","custom_fields":[{"id":1,"name":"Subdivision","value":"EC"},{"id":4,"name":"Milepost","value":"0.0143"},{"id":17,"name":"Train ID","value":"120-28"},{"id":16,"name":"Locomotive ID","value":"4001"},{"id":130,"name":"Impact","value":""},{"id":150,"name":"Time of Event (Mountain Time)","value":"07:34:56"},{"id":151,"name":"Denver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456</v>
      </c>
      <c r="B33" s="7">
        <v>4009</v>
      </c>
      <c r="C33" s="22" t="s">
        <v>212</v>
      </c>
      <c r="D33" s="22" t="s">
        <v>269</v>
      </c>
      <c r="E33" s="13">
        <v>42702.257407407407</v>
      </c>
      <c r="F33" s="13">
        <v>42702.260648148149</v>
      </c>
      <c r="G33" s="7">
        <v>1</v>
      </c>
      <c r="H33" s="22" t="s">
        <v>359</v>
      </c>
      <c r="I33" s="13">
        <v>42702.285370370373</v>
      </c>
      <c r="J33" s="7">
        <v>0</v>
      </c>
      <c r="K33" s="109" t="str">
        <f t="shared" si="0"/>
        <v>4009/4010</v>
      </c>
      <c r="L33" s="22" t="str">
        <f>VLOOKUP(A33,'Trips&amp;Operators'!$C$1:$E$10000,3,FALSE)</f>
        <v>SPECTOR</v>
      </c>
      <c r="M33" s="6">
        <f t="shared" si="1"/>
        <v>2.4722222224227153E-2</v>
      </c>
      <c r="N33" s="7">
        <f t="shared" si="2"/>
        <v>35.6000000028871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05:10:40-700',mode:absolute,to:'2016-11-28 07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4.6899999999999997E-2</v>
      </c>
      <c r="Z33" s="67">
        <f t="shared" si="9"/>
        <v>23.331900000000001</v>
      </c>
      <c r="AA33" s="67">
        <f t="shared" si="10"/>
        <v>23.285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1"/>
        <v>0121-28</v>
      </c>
      <c r="AE33" s="91" t="str">
        <f t="shared" si="12"/>
        <v>aws s3 cp s3://rtdc.mdm.uploadarchive.raw/RTDC4009/ "%USERPROFILE%\AppData\Local\Temp\OnboardLogs"\RTDC4009\2016-11-28 --exclude "*" --recursive --include "*20161128*" &amp; "%USERPROFILE%\Documents\GitHub\mrs-test-scripts\Headless Mode &amp; Sideloading\WalkAndUnGZ.bat" "%USERPROFILE%\AppData\Local\Temp\OnboardLogs"\RTDC4009\2016-11-28 &amp; aws s3 cp s3://rtdc.mdm.uploadarchive.raw/RTDC4009/ "%USERPROFILE%\AppData\Local\Temp\OnboardLogs"\RTDC4009\2016-11-29 --exclude "*" --recursive --include "*20161129*" &amp; "%USERPROFILE%\Documents\GitHub\mrs-test-scripts\Headless Mode &amp; Sideloading\WalkAndUnGZ.bat" "%USERPROFILE%\AppData\Local\Temp\OnboardLogs"\RTDC4009\2016-11-29</v>
      </c>
      <c r="AF33" s="88" t="str">
        <f t="shared" si="13"/>
        <v>"C:\Program Files (x86)\AstroGrep\AstroGrep.exe" /spath="%USERPROFILE%\AppData\Local\Temp\OnboardLogs" /stypes="app*4009*20161128*"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121-28 --locoid 4009 --swversion DE.1.0.8.0 --startMP 204:469 --initTime 2016-11-28T06:10:40 --startdatetime 2016-11-28T06:15:20 --delay 1 --endMP 204:233319 --enddatetime 2016-11-28T06:50:56 --enforcementcount 0 &gt;&gt;C:\Users\stu\Documents\GitHub\eaglep3-reporting\EC\2016-11-28-refined-times.txt</v>
      </c>
      <c r="AI33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{"issue":{"subject":"","project_id":79,"tracker_id":40,"status_id":1,"priority_id":2,"assigned_to_id":23,"start_date":"2016-11-28","description":"","custom_fields":[{"id":1,"name":"Subdivision","value":"EC"},{"id":4,"name":"Milepost","value":"23.3319"},{"id":17,"name":"Train ID","value":"121-28"},{"id":16,"name":"Locomotive ID","value":"4009"},{"id":130,"name":"Impact","value":""},{"id":150,"name":"Time of Event (Mountain Time)","value":"06:50:56"},{"id":151,"name":"Denver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400</v>
      </c>
      <c r="B34" s="7">
        <v>4010</v>
      </c>
      <c r="C34" s="22" t="s">
        <v>212</v>
      </c>
      <c r="D34" s="22" t="s">
        <v>640</v>
      </c>
      <c r="E34" s="13">
        <v>42702.294328703705</v>
      </c>
      <c r="F34" s="13">
        <v>42702.299513888887</v>
      </c>
      <c r="G34" s="7">
        <v>1</v>
      </c>
      <c r="H34" s="22" t="s">
        <v>641</v>
      </c>
      <c r="I34" s="13">
        <v>42702.338530092595</v>
      </c>
      <c r="J34" s="7">
        <v>0</v>
      </c>
      <c r="K34" s="109" t="str">
        <f t="shared" si="0"/>
        <v>4009/4010</v>
      </c>
      <c r="L34" s="22" t="str">
        <f>VLOOKUP(A34,'Trips&amp;Operators'!$C$1:$E$10000,3,FALSE)</f>
        <v>SPECTOR</v>
      </c>
      <c r="M34" s="6">
        <f t="shared" si="1"/>
        <v>3.9016203707433306E-2</v>
      </c>
      <c r="N34" s="7">
        <f t="shared" si="2"/>
        <v>56.18333333870396</v>
      </c>
      <c r="O34" s="7"/>
      <c r="P34" s="7"/>
      <c r="Q34" s="23"/>
      <c r="R34" s="23" t="s">
        <v>925</v>
      </c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06:03:50-700',mode:absolute,to:'2016-11-28 09:07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23.301100000000002</v>
      </c>
      <c r="Z34" s="67">
        <f t="shared" si="9"/>
        <v>0.11600000000000001</v>
      </c>
      <c r="AA34" s="67">
        <f t="shared" si="10"/>
        <v>23.185100000000002</v>
      </c>
      <c r="AB34" s="64" t="str">
        <f>VLOOKUP(A34,Enforcements!$C$7:$K$20,8,0)</f>
        <v>Speed (6)</v>
      </c>
      <c r="AC34" s="60" t="str">
        <f>VLOOKUP(A34,Enforcements!$C$7:$E$20,3,0)</f>
        <v>PERMANENT SPEED RESTRICTION</v>
      </c>
      <c r="AD34" s="61" t="str">
        <f t="shared" si="11"/>
        <v>0122-28</v>
      </c>
      <c r="AE34" s="91" t="str">
        <f t="shared" si="12"/>
        <v>aws s3 cp s3://rtdc.mdm.uploadarchive.raw/RTDC4010/ "%USERPROFILE%\AppData\Local\Temp\OnboardLogs"\RTDC4010\2016-11-28 --exclude "*" --recursive --include "*20161128*" &amp; "%USERPROFILE%\Documents\GitHub\mrs-test-scripts\Headless Mode &amp; Sideloading\WalkAndUnGZ.bat" "%USERPROFILE%\AppData\Local\Temp\OnboardLogs"\RTDC4010\2016-11-28 &amp; aws s3 cp s3://rtdc.mdm.uploadarchive.raw/RTDC4010/ "%USERPROFILE%\AppData\Local\Temp\OnboardLogs"\RTDC4010\2016-11-29 --exclude "*" --recursive --include "*20161129*" &amp; "%USERPROFILE%\Documents\GitHub\mrs-test-scripts\Headless Mode &amp; Sideloading\WalkAndUnGZ.bat" "%USERPROFILE%\AppData\Local\Temp\OnboardLogs"\RTDC4010\2016-11-29</v>
      </c>
      <c r="AF34" s="88" t="str">
        <f t="shared" si="13"/>
        <v>"C:\Program Files (x86)\AstroGrep\AstroGrep.exe" /spath="%USERPROFILE%\AppData\Local\Temp\OnboardLogs" /stypes="app*4010*20161128*" /stext=" 15:.+((SYSTEM_STATE.+slice.+state.+changed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122-28 --locoid 4010 --swversion DE.1.0.8.0 --startMP 204:233011 --initTime 2016-11-28T07:03:50 --startdatetime 2016-11-28T07:11:18 --delay 1 --endMP 204:1160 --enddatetime 2016-11-28T08:07:29 --enforcementcount 0 &gt;&gt;C:\Users\stu\Documents\GitHub\eaglep3-reporting\EC\2016-11-28-refined-times.txt</v>
      </c>
      <c r="AI34" s="119" t="str">
        <f t="shared" si="18"/>
        <v>echo {"issue":{"subject":"Delayed at 40th - alerter failure","project_id":79,"tracker_id":40,"status_id":1,"priority_id":2,"assigned_to_id":23,"start_date":"2016-11-28","description":"","custom_fields":[{"id":1,"name":"Subdivision","value":"EC"},{"id":4,"name":"Milepost","value":"0.116"},{"id":17,"name":"Train ID","value":"122-28"},{"id":16,"name":"Locomotive ID","value":"4010"},{"id":130,"name":"Impact","value":""},{"id":150,"name":"Time of Event (Mountain Time)","value":"08:07:29"},{"id":151,"name":"Denver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459</v>
      </c>
      <c r="B35" s="7">
        <v>4016</v>
      </c>
      <c r="C35" s="22" t="s">
        <v>212</v>
      </c>
      <c r="D35" s="22" t="s">
        <v>642</v>
      </c>
      <c r="E35" s="13">
        <v>42702.265983796293</v>
      </c>
      <c r="F35" s="13">
        <v>42702.271006944444</v>
      </c>
      <c r="G35" s="7">
        <v>1</v>
      </c>
      <c r="H35" s="22" t="s">
        <v>363</v>
      </c>
      <c r="I35" s="13">
        <v>42702.296157407407</v>
      </c>
      <c r="J35" s="7">
        <v>0</v>
      </c>
      <c r="K35" s="109" t="str">
        <f t="shared" si="0"/>
        <v>4015/4016</v>
      </c>
      <c r="L35" s="22" t="str">
        <f>VLOOKUP(A35,'Trips&amp;Operators'!$C$1:$E$10000,3,FALSE)</f>
        <v>CRAYTON</v>
      </c>
      <c r="M35" s="6">
        <f t="shared" si="1"/>
        <v>2.5150462963210884E-2</v>
      </c>
      <c r="N35" s="7">
        <f t="shared" si="2"/>
        <v>36.216666667023674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05:23:01-700',mode:absolute,to:'2016-11-28 08:06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4.82E-2</v>
      </c>
      <c r="Z35" s="67">
        <f t="shared" si="9"/>
        <v>23.332000000000001</v>
      </c>
      <c r="AA35" s="67">
        <f t="shared" si="10"/>
        <v>23.283799999999999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1"/>
        <v>0123-28</v>
      </c>
      <c r="AE35" s="91" t="str">
        <f t="shared" si="12"/>
        <v>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 &amp; 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</v>
      </c>
      <c r="AF35" s="88" t="str">
        <f t="shared" si="13"/>
        <v>"C:\Program Files (x86)\AstroGrep\AstroGrep.exe" /spath="%USERPROFILE%\AppData\Local\Temp\OnboardLogs" /stypes="app*4016*20161128*"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123-28 --locoid 4016 --swversion DE.1.0.8.0 --startMP 204:482 --initTime 2016-11-28T06:23:01 --startdatetime 2016-11-28T06:30:15 --delay 1 --endMP 204:233320 --enddatetime 2016-11-28T07:06:28 --enforcementcount 0 &gt;&gt;C:\Users\stu\Documents\GitHub\eaglep3-reporting\EC\2016-11-28-refined-times.txt</v>
      </c>
      <c r="AI35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{"issue":{"subject":"","project_id":79,"tracker_id":40,"status_id":1,"priority_id":2,"assigned_to_id":23,"start_date":"2016-11-28","description":"","custom_fields":[{"id":1,"name":"Subdivision","value":"EC"},{"id":4,"name":"Milepost","value":"23.332"},{"id":17,"name":"Train ID","value":"123-28"},{"id":16,"name":"Locomotive ID","value":"4016"},{"id":130,"name":"Impact","value":""},{"id":150,"name":"Time of Event (Mountain Time)","value":"07:06:28"},{"id":151,"name":"Denver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467</v>
      </c>
      <c r="B36" s="7">
        <v>4015</v>
      </c>
      <c r="C36" s="22" t="s">
        <v>212</v>
      </c>
      <c r="D36" s="22" t="s">
        <v>643</v>
      </c>
      <c r="E36" s="13">
        <v>42702.299537037034</v>
      </c>
      <c r="F36" s="13">
        <v>42702.309988425928</v>
      </c>
      <c r="G36" s="7">
        <v>1</v>
      </c>
      <c r="H36" s="22" t="s">
        <v>233</v>
      </c>
      <c r="I36" s="13">
        <v>42702.342106481483</v>
      </c>
      <c r="J36" s="7">
        <v>0</v>
      </c>
      <c r="K36" s="109" t="str">
        <f t="shared" si="0"/>
        <v>4015/4016</v>
      </c>
      <c r="L36" s="22" t="str">
        <f>VLOOKUP(A36,'Trips&amp;Operators'!$C$1:$E$10000,3,FALSE)</f>
        <v>CRAYTON</v>
      </c>
      <c r="M36" s="6">
        <f t="shared" si="1"/>
        <v>3.2118055554747116E-2</v>
      </c>
      <c r="N36" s="7">
        <f t="shared" si="2"/>
        <v>46.249999998835847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06:11:20-700',mode:absolute,to:'2016-11-28 09:12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23.3017</v>
      </c>
      <c r="Z36" s="67">
        <f t="shared" si="9"/>
        <v>1.54E-2</v>
      </c>
      <c r="AA36" s="67">
        <f t="shared" si="10"/>
        <v>23.286300000000001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1"/>
        <v>0124-28</v>
      </c>
      <c r="AE36" s="91" t="str">
        <f t="shared" si="12"/>
        <v>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 &amp; 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</v>
      </c>
      <c r="AF36" s="88" t="str">
        <f t="shared" si="13"/>
        <v>"C:\Program Files (x86)\AstroGrep\AstroGrep.exe" /spath="%USERPROFILE%\AppData\Local\Temp\OnboardLogs" /stypes="app*4015*20161128*"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124-28 --locoid 4015 --swversion DE.1.0.8.0 --startMP 204:233017 --initTime 2016-11-28T07:11:20 --startdatetime 2016-11-28T07:26:23 --delay 1 --endMP 204:154 --enddatetime 2016-11-28T08:12:38 --enforcementcount 0 &gt;&gt;C:\Users\stu\Documents\GitHub\eaglep3-reporting\EC\2016-11-28-refined-times.txt</v>
      </c>
      <c r="AI36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{"issue":{"subject":"","project_id":79,"tracker_id":40,"status_id":1,"priority_id":2,"assigned_to_id":23,"start_date":"2016-11-28","description":"","custom_fields":[{"id":1,"name":"Subdivision","value":"EC"},{"id":4,"name":"Milepost","value":"0.0154"},{"id":17,"name":"Train ID","value":"124-28"},{"id":16,"name":"Locomotive ID","value":"4015"},{"id":130,"name":"Impact","value":""},{"id":150,"name":"Time of Event (Mountain Time)","value":"08:12:38"},{"id":151,"name":"Denver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463</v>
      </c>
      <c r="B37" s="7">
        <v>4025</v>
      </c>
      <c r="C37" s="22" t="s">
        <v>212</v>
      </c>
      <c r="D37" s="22" t="s">
        <v>283</v>
      </c>
      <c r="E37" s="13">
        <v>42702.278692129628</v>
      </c>
      <c r="F37" s="13">
        <v>42702.281712962962</v>
      </c>
      <c r="G37" s="7">
        <v>4</v>
      </c>
      <c r="H37" s="22" t="s">
        <v>644</v>
      </c>
      <c r="I37" s="13">
        <v>42702.306504629632</v>
      </c>
      <c r="J37" s="7">
        <v>0</v>
      </c>
      <c r="K37" s="109" t="str">
        <f t="shared" si="0"/>
        <v>4025/4026</v>
      </c>
      <c r="L37" s="22" t="str">
        <f>VLOOKUP(A37,'Trips&amp;Operators'!$C$1:$E$10000,3,FALSE)</f>
        <v>STARKS</v>
      </c>
      <c r="M37" s="6">
        <f t="shared" si="1"/>
        <v>2.4791666670353152E-2</v>
      </c>
      <c r="N37" s="7">
        <f t="shared" si="2"/>
        <v>35.700000005308539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05:41:19-700',mode:absolute,to:'2016-11-28 08:21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4.6699999999999998E-2</v>
      </c>
      <c r="Z37" s="67">
        <f t="shared" si="9"/>
        <v>23.331700000000001</v>
      </c>
      <c r="AA37" s="67">
        <f t="shared" si="10"/>
        <v>23.285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0125-28</v>
      </c>
      <c r="AE37" s="91" t="str">
        <f t="shared" si="12"/>
        <v>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 &amp; aws s3 cp s3://rtdc.mdm.uploadarchive.raw/RTDC4025/ "%USERPROFILE%\AppData\Local\Temp\OnboardLogs"\RTDC4025\2016-11-29 --exclude "*" --recursive --include "*20161129*" &amp; "%USERPROFILE%\Documents\GitHub\mrs-test-scripts\Headless Mode &amp; Sideloading\WalkAndUnGZ.bat" "%USERPROFILE%\AppData\Local\Temp\OnboardLogs"\RTDC4025\2016-11-29</v>
      </c>
      <c r="AF37" s="88" t="str">
        <f t="shared" si="13"/>
        <v>"C:\Program Files (x86)\AstroGrep\AstroGrep.exe" /spath="%USERPROFILE%\AppData\Local\Temp\OnboardLogs" /stypes="app*4025*20161128*"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125-28 --locoid 4025 --swversion DE.1.0.8.0 --startMP 204:467 --initTime 2016-11-28T06:41:19 --startdatetime 2016-11-28T06:45:40 --delay 4 --endMP 204:233317 --enddatetime 2016-11-28T07:21:22 --enforcementcount 0 &gt;&gt;C:\Users\stu\Documents\GitHub\eaglep3-reporting\EC\2016-11-28-refined-times.txt</v>
      </c>
      <c r="AI37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{"issue":{"subject":"","project_id":79,"tracker_id":40,"status_id":1,"priority_id":2,"assigned_to_id":23,"start_date":"2016-11-28","description":"","custom_fields":[{"id":1,"name":"Subdivision","value":"EC"},{"id":4,"name":"Milepost","value":"23.3317"},{"id":17,"name":"Train ID","value":"125-28"},{"id":16,"name":"Locomotive ID","value":"4025"},{"id":130,"name":"Impact","value":""},{"id":150,"name":"Time of Event (Mountain Time)","value":"07:21:22"},{"id":151,"name":"Denver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472</v>
      </c>
      <c r="B38" s="7">
        <v>4026</v>
      </c>
      <c r="C38" s="22" t="s">
        <v>212</v>
      </c>
      <c r="D38" s="22" t="s">
        <v>281</v>
      </c>
      <c r="E38" s="13">
        <v>42702.31832175926</v>
      </c>
      <c r="F38" s="13">
        <v>42702.321296296293</v>
      </c>
      <c r="G38" s="7">
        <v>1</v>
      </c>
      <c r="H38" s="22" t="s">
        <v>329</v>
      </c>
      <c r="I38" s="13">
        <v>42702.347928240742</v>
      </c>
      <c r="J38" s="7">
        <v>0</v>
      </c>
      <c r="K38" s="109" t="str">
        <f t="shared" si="0"/>
        <v>4025/4026</v>
      </c>
      <c r="L38" s="22" t="str">
        <f>VLOOKUP(A38,'Trips&amp;Operators'!$C$1:$E$10000,3,FALSE)</f>
        <v>STARKS</v>
      </c>
      <c r="M38" s="6">
        <f t="shared" si="1"/>
        <v>2.6631944449036382E-2</v>
      </c>
      <c r="N38" s="7">
        <f t="shared" si="2"/>
        <v>38.35000000661239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06:38:23-700',mode:absolute,to:'2016-11-28 09:21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23.299600000000002</v>
      </c>
      <c r="Z38" s="67">
        <f t="shared" si="9"/>
        <v>1.38E-2</v>
      </c>
      <c r="AA38" s="67">
        <f t="shared" si="10"/>
        <v>23.285800000000002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11"/>
        <v>0126-28</v>
      </c>
      <c r="AE38" s="91" t="str">
        <f t="shared" si="12"/>
        <v>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 &amp; aws s3 cp s3://rtdc.mdm.uploadarchive.raw/RTDC4026/ "%USERPROFILE%\AppData\Local\Temp\OnboardLogs"\RTDC4026\2016-11-29 --exclude "*" --recursive --include "*20161129*" &amp; "%USERPROFILE%\Documents\GitHub\mrs-test-scripts\Headless Mode &amp; Sideloading\WalkAndUnGZ.bat" "%USERPROFILE%\AppData\Local\Temp\OnboardLogs"\RTDC4026\2016-11-29</v>
      </c>
      <c r="AF38" s="88" t="str">
        <f t="shared" si="13"/>
        <v>"C:\Program Files (x86)\AstroGrep\AstroGrep.exe" /spath="%USERPROFILE%\AppData\Local\Temp\OnboardLogs" /stypes="app*4026*20161128*"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126-28 --locoid 4026 --swversion DE.1.0.8.0 --startMP 204:232996 --initTime 2016-11-28T07:38:23 --startdatetime 2016-11-28T07:42:40 --delay 1 --endMP 204:138 --enddatetime 2016-11-28T08:21:01 --enforcementcount 0 &gt;&gt;C:\Users\stu\Documents\GitHub\eaglep3-reporting\EC\2016-11-28-refined-times.txt</v>
      </c>
      <c r="AI38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{"issue":{"subject":"","project_id":79,"tracker_id":40,"status_id":1,"priority_id":2,"assigned_to_id":23,"start_date":"2016-11-28","description":"","custom_fields":[{"id":1,"name":"Subdivision","value":"EC"},{"id":4,"name":"Milepost","value":"0.0138"},{"id":17,"name":"Train ID","value":"126-28"},{"id":16,"name":"Locomotive ID","value":"4026"},{"id":130,"name":"Impact","value":""},{"id":150,"name":"Time of Event (Mountain Time)","value":"08:21:01"},{"id":151,"name":"Denver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464</v>
      </c>
      <c r="B39" s="7">
        <v>4014</v>
      </c>
      <c r="C39" s="22" t="s">
        <v>212</v>
      </c>
      <c r="D39" s="22" t="s">
        <v>211</v>
      </c>
      <c r="E39" s="13">
        <v>42702.287210648145</v>
      </c>
      <c r="F39" s="13">
        <v>42702.291886574072</v>
      </c>
      <c r="G39" s="7">
        <v>1</v>
      </c>
      <c r="H39" s="22" t="s">
        <v>333</v>
      </c>
      <c r="I39" s="13">
        <v>42702.316550925927</v>
      </c>
      <c r="J39" s="7">
        <v>0</v>
      </c>
      <c r="K39" s="109" t="str">
        <f t="shared" si="0"/>
        <v>4013/4014</v>
      </c>
      <c r="L39" s="22" t="str">
        <f>VLOOKUP(A39,'Trips&amp;Operators'!$C$1:$E$10000,3,FALSE)</f>
        <v>KILLION</v>
      </c>
      <c r="M39" s="6">
        <f t="shared" si="1"/>
        <v>2.4664351854880806E-2</v>
      </c>
      <c r="N39" s="7">
        <f t="shared" si="2"/>
        <v>35.516666671028361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05:53:35-700',mode:absolute,to:'2016-11-28 08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4.6399999999999997E-2</v>
      </c>
      <c r="Z39" s="67">
        <f t="shared" si="9"/>
        <v>23.331099999999999</v>
      </c>
      <c r="AA39" s="67">
        <f t="shared" si="10"/>
        <v>23.284700000000001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1"/>
        <v>0127-28</v>
      </c>
      <c r="AE39" s="91" t="str">
        <f t="shared" si="12"/>
        <v>aws s3 cp s3://rtdc.mdm.uploadarchive.raw/RTDC4014/ "%USERPROFILE%\AppData\Local\Temp\OnboardLogs"\RTDC4014\2016-11-28 --exclude "*" --recursive --include "*20161128*" &amp; "%USERPROFILE%\Documents\GitHub\mrs-test-scripts\Headless Mode &amp; Sideloading\WalkAndUnGZ.bat" "%USERPROFILE%\AppData\Local\Temp\OnboardLogs"\RTDC4014\2016-11-28 &amp; 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</v>
      </c>
      <c r="AF39" s="88" t="str">
        <f t="shared" si="13"/>
        <v>"C:\Program Files (x86)\AstroGrep\AstroGrep.exe" /spath="%USERPROFILE%\AppData\Local\Temp\OnboardLogs" /stypes="app*4014*20161128*"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127-28 --locoid 4014 --swversion DE.1.0.8.0 --startMP 204:464 --initTime 2016-11-28T06:53:35 --startdatetime 2016-11-28T07:00:19 --delay 1 --endMP 204:233311 --enddatetime 2016-11-28T07:35:50 --enforcementcount 0 &gt;&gt;C:\Users\stu\Documents\GitHub\eaglep3-reporting\EC\2016-11-28-refined-times.txt</v>
      </c>
      <c r="AI39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{"issue":{"subject":"","project_id":79,"tracker_id":40,"status_id":1,"priority_id":2,"assigned_to_id":23,"start_date":"2016-11-28","description":"","custom_fields":[{"id":1,"name":"Subdivision","value":"EC"},{"id":4,"name":"Milepost","value":"23.3311"},{"id":17,"name":"Train ID","value":"127-28"},{"id":16,"name":"Locomotive ID","value":"4014"},{"id":130,"name":"Impact","value":""},{"id":150,"name":"Time of Event (Mountain Time)","value":"07:35:50"},{"id":151,"name":"Denver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473</v>
      </c>
      <c r="B40" s="7">
        <v>4013</v>
      </c>
      <c r="C40" s="22" t="s">
        <v>212</v>
      </c>
      <c r="D40" s="22" t="s">
        <v>279</v>
      </c>
      <c r="E40" s="13">
        <v>42702.324131944442</v>
      </c>
      <c r="F40" s="13">
        <v>42702.330729166664</v>
      </c>
      <c r="G40" s="7">
        <v>1</v>
      </c>
      <c r="H40" s="22" t="s">
        <v>263</v>
      </c>
      <c r="I40" s="13">
        <v>42702.357245370367</v>
      </c>
      <c r="J40" s="7">
        <v>0</v>
      </c>
      <c r="K40" s="109" t="str">
        <f t="shared" si="0"/>
        <v>4013/4014</v>
      </c>
      <c r="L40" s="22" t="str">
        <f>VLOOKUP(A40,'Trips&amp;Operators'!$C$1:$E$10000,3,FALSE)</f>
        <v>KILLION</v>
      </c>
      <c r="M40" s="6">
        <f t="shared" si="1"/>
        <v>2.6516203703067731E-2</v>
      </c>
      <c r="N40" s="7">
        <f t="shared" si="2"/>
        <v>38.183333332417533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06:46:45-700',mode:absolute,to:'2016-11-28 09:34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23.2988</v>
      </c>
      <c r="Z40" s="67">
        <f t="shared" si="9"/>
        <v>1.67E-2</v>
      </c>
      <c r="AA40" s="67">
        <f t="shared" si="10"/>
        <v>23.2821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0128-28</v>
      </c>
      <c r="AE40" s="91" t="str">
        <f t="shared" si="12"/>
        <v>aws s3 cp s3://rtdc.mdm.uploadarchive.raw/RTDC4013/ "%USERPROFILE%\AppData\Local\Temp\OnboardLogs"\RTDC4013\2016-11-28 --exclude "*" --recursive --include "*20161128*" &amp; "%USERPROFILE%\Documents\GitHub\mrs-test-scripts\Headless Mode &amp; Sideloading\WalkAndUnGZ.bat" "%USERPROFILE%\AppData\Local\Temp\OnboardLogs"\RTDC4013\2016-11-28 &amp; 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</v>
      </c>
      <c r="AF40" s="88" t="str">
        <f t="shared" si="13"/>
        <v>"C:\Program Files (x86)\AstroGrep\AstroGrep.exe" /spath="%USERPROFILE%\AppData\Local\Temp\OnboardLogs" /stypes="app*4013*20161128*"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128-28 --locoid 4013 --swversion DE.1.0.8.0 --startMP 204:232988 --initTime 2016-11-28T07:46:45 --startdatetime 2016-11-28T07:56:15 --delay 1 --endMP 204:167 --enddatetime 2016-11-28T08:34:26 --enforcementcount 0 &gt;&gt;C:\Users\stu\Documents\GitHub\eaglep3-reporting\EC\2016-11-28-refined-times.txt</v>
      </c>
      <c r="AI40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{"issue":{"subject":"","project_id":79,"tracker_id":40,"status_id":1,"priority_id":2,"assigned_to_id":23,"start_date":"2016-11-28","description":"","custom_fields":[{"id":1,"name":"Subdivision","value":"EC"},{"id":4,"name":"Milepost","value":"0.0167"},{"id":17,"name":"Train ID","value":"128-28"},{"id":16,"name":"Locomotive ID","value":"4013"},{"id":130,"name":"Impact","value":""},{"id":150,"name":"Time of Event (Mountain Time)","value":"08:34:26"},{"id":151,"name":"Denver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466</v>
      </c>
      <c r="B41" s="7">
        <v>4038</v>
      </c>
      <c r="C41" s="22" t="s">
        <v>212</v>
      </c>
      <c r="D41" s="22" t="s">
        <v>629</v>
      </c>
      <c r="E41" s="13">
        <v>42702.297569444447</v>
      </c>
      <c r="F41" s="13">
        <v>42702.302384259259</v>
      </c>
      <c r="G41" s="7">
        <v>1</v>
      </c>
      <c r="H41" s="22" t="s">
        <v>248</v>
      </c>
      <c r="I41" s="13">
        <v>42702.327141203707</v>
      </c>
      <c r="J41" s="7">
        <v>0</v>
      </c>
      <c r="K41" s="109" t="str">
        <f t="shared" si="0"/>
        <v>4037/4038</v>
      </c>
      <c r="L41" s="22" t="str">
        <f>VLOOKUP(A41,'Trips&amp;Operators'!$C$1:$E$10000,3,FALSE)</f>
        <v>HAITHCOX</v>
      </c>
      <c r="M41" s="6">
        <f t="shared" si="1"/>
        <v>2.4756944447290152E-2</v>
      </c>
      <c r="N41" s="7">
        <f t="shared" si="2"/>
        <v>35.650000004097819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06:08:30-700',mode:absolute,to:'2016-11-28 08:51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4.4400000000000002E-2</v>
      </c>
      <c r="Z41" s="67">
        <f t="shared" si="9"/>
        <v>23.331399999999999</v>
      </c>
      <c r="AA41" s="67">
        <f t="shared" si="10"/>
        <v>23.286999999999999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0129-28</v>
      </c>
      <c r="AE41" s="91" t="str">
        <f t="shared" si="12"/>
        <v>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 &amp; aws s3 cp s3://rtdc.mdm.uploadarchive.raw/RTDC4038/ "%USERPROFILE%\AppData\Local\Temp\OnboardLogs"\RTDC4038\2016-11-29 --exclude "*" --recursive --include "*20161129*" &amp; "%USERPROFILE%\Documents\GitHub\mrs-test-scripts\Headless Mode &amp; Sideloading\WalkAndUnGZ.bat" "%USERPROFILE%\AppData\Local\Temp\OnboardLogs"\RTDC4038\2016-11-29</v>
      </c>
      <c r="AF41" s="88" t="str">
        <f t="shared" si="13"/>
        <v>"C:\Program Files (x86)\AstroGrep\AstroGrep.exe" /spath="%USERPROFILE%\AppData\Local\Temp\OnboardLogs" /stypes="app*4038*20161128*"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129-28 --locoid 4038 --swversion DE.1.0.8.0 --startMP 204:444 --initTime 2016-11-28T07:08:30 --startdatetime 2016-11-28T07:15:26 --delay 1 --endMP 204:233314 --enddatetime 2016-11-28T07:51:05 --enforcementcount 0 &gt;&gt;C:\Users\stu\Documents\GitHub\eaglep3-reporting\EC\2016-11-28-refined-times.txt</v>
      </c>
      <c r="AI41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{"issue":{"subject":"","project_id":79,"tracker_id":40,"status_id":1,"priority_id":2,"assigned_to_id":23,"start_date":"2016-11-28","description":"","custom_fields":[{"id":1,"name":"Subdivision","value":"EC"},{"id":4,"name":"Milepost","value":"23.3314"},{"id":17,"name":"Train ID","value":"129-28"},{"id":16,"name":"Locomotive ID","value":"4038"},{"id":130,"name":"Impact","value":""},{"id":150,"name":"Time of Event (Mountain Time)","value":"07:51:05"},{"id":151,"name":"Denver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476</v>
      </c>
      <c r="B42" s="7">
        <v>4037</v>
      </c>
      <c r="C42" s="22" t="s">
        <v>212</v>
      </c>
      <c r="D42" s="22" t="s">
        <v>645</v>
      </c>
      <c r="E42" s="13">
        <v>42702.336689814816</v>
      </c>
      <c r="F42" s="13">
        <v>42702.341273148151</v>
      </c>
      <c r="G42" s="7">
        <v>1</v>
      </c>
      <c r="H42" s="22" t="s">
        <v>329</v>
      </c>
      <c r="I42" s="13">
        <v>42702.36818287037</v>
      </c>
      <c r="J42" s="7">
        <v>0</v>
      </c>
      <c r="K42" s="109" t="str">
        <f t="shared" si="0"/>
        <v>4037/4038</v>
      </c>
      <c r="L42" s="22" t="str">
        <f>VLOOKUP(A42,'Trips&amp;Operators'!$C$1:$E$10000,3,FALSE)</f>
        <v>HAITHCOX</v>
      </c>
      <c r="M42" s="6">
        <f t="shared" si="1"/>
        <v>2.6909722218988463E-2</v>
      </c>
      <c r="N42" s="7">
        <f t="shared" si="2"/>
        <v>38.749999995343387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07:04:50-700',mode:absolute,to:'2016-11-28 09:50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23.2972</v>
      </c>
      <c r="Z42" s="67">
        <f t="shared" si="9"/>
        <v>1.38E-2</v>
      </c>
      <c r="AA42" s="67">
        <f t="shared" si="10"/>
        <v>23.2834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1"/>
        <v>0130-28</v>
      </c>
      <c r="AE42" s="91" t="str">
        <f t="shared" si="12"/>
        <v>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 &amp; aws s3 cp s3://rtdc.mdm.uploadarchive.raw/RTDC4037/ "%USERPROFILE%\AppData\Local\Temp\OnboardLogs"\RTDC4037\2016-11-29 --exclude "*" --recursive --include "*20161129*" &amp; "%USERPROFILE%\Documents\GitHub\mrs-test-scripts\Headless Mode &amp; Sideloading\WalkAndUnGZ.bat" "%USERPROFILE%\AppData\Local\Temp\OnboardLogs"\RTDC4037\2016-11-29</v>
      </c>
      <c r="AF42" s="88" t="str">
        <f t="shared" si="13"/>
        <v>"C:\Program Files (x86)\AstroGrep\AstroGrep.exe" /spath="%USERPROFILE%\AppData\Local\Temp\OnboardLogs" /stypes="app*4037*20161128*"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130-28 --locoid 4037 --swversion DE.1.0.8.0 --startMP 204:232972 --initTime 2016-11-28T08:04:50 --startdatetime 2016-11-28T08:11:26 --delay 1 --endMP 204:138 --enddatetime 2016-11-28T08:50:11 --enforcementcount 0 &gt;&gt;C:\Users\stu\Documents\GitHub\eaglep3-reporting\EC\2016-11-28-refined-times.txt</v>
      </c>
      <c r="AI42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{"issue":{"subject":"","project_id":79,"tracker_id":40,"status_id":1,"priority_id":2,"assigned_to_id":23,"start_date":"2016-11-28","description":"","custom_fields":[{"id":1,"name":"Subdivision","value":"EC"},{"id":4,"name":"Milepost","value":"0.0138"},{"id":17,"name":"Train ID","value":"130-28"},{"id":16,"name":"Locomotive ID","value":"4037"},{"id":130,"name":"Impact","value":""},{"id":150,"name":"Time of Event (Mountain Time)","value":"08:50:11"},{"id":151,"name":"Denver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469</v>
      </c>
      <c r="B43" s="7">
        <v>4040</v>
      </c>
      <c r="C43" s="22" t="s">
        <v>212</v>
      </c>
      <c r="D43" s="22" t="s">
        <v>249</v>
      </c>
      <c r="E43" s="13">
        <v>42702.308298611111</v>
      </c>
      <c r="F43" s="13">
        <v>42702.312696759262</v>
      </c>
      <c r="G43" s="7">
        <v>2</v>
      </c>
      <c r="H43" s="22" t="s">
        <v>357</v>
      </c>
      <c r="I43" s="13">
        <v>42702.336967592593</v>
      </c>
      <c r="J43" s="7">
        <v>0</v>
      </c>
      <c r="K43" s="109" t="str">
        <f t="shared" si="0"/>
        <v>4039/4040</v>
      </c>
      <c r="L43" s="22" t="str">
        <f>VLOOKUP(A43,'Trips&amp;Operators'!$C$1:$E$10000,3,FALSE)</f>
        <v>MAGEE</v>
      </c>
      <c r="M43" s="6">
        <f t="shared" si="1"/>
        <v>2.4270833331684116E-2</v>
      </c>
      <c r="N43" s="7">
        <f t="shared" si="2"/>
        <v>34.949999997625127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06:23:57-700',mode:absolute,to:'2016-11-28 09:05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4.5499999999999999E-2</v>
      </c>
      <c r="Z43" s="67">
        <f t="shared" si="9"/>
        <v>23.3278</v>
      </c>
      <c r="AA43" s="67">
        <f t="shared" si="10"/>
        <v>23.282299999999999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1"/>
        <v>0131-28</v>
      </c>
      <c r="AE43" s="91" t="str">
        <f t="shared" si="12"/>
        <v>aws s3 cp s3://rtdc.mdm.uploadarchive.raw/RTDC4040/ "%USERPROFILE%\AppData\Local\Temp\OnboardLogs"\RTDC4040\2016-11-28 --exclude "*" --recursive --include "*20161128*" &amp; "%USERPROFILE%\Documents\GitHub\mrs-test-scripts\Headless Mode &amp; Sideloading\WalkAndUnGZ.bat" "%USERPROFILE%\AppData\Local\Temp\OnboardLogs"\RTDC4040\2016-11-28 &amp; 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</v>
      </c>
      <c r="AF43" s="88" t="str">
        <f t="shared" si="13"/>
        <v>"C:\Program Files (x86)\AstroGrep\AstroGrep.exe" /spath="%USERPROFILE%\AppData\Local\Temp\OnboardLogs" /stypes="app*4040*20161128*"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131-28 --locoid 4040 --swversion DE.1.0.8.0 --startMP 204:455 --initTime 2016-11-28T07:23:57 --startdatetime 2016-11-28T07:30:17 --delay 2 --endMP 204:233278 --enddatetime 2016-11-28T08:05:14 --enforcementcount 0 &gt;&gt;C:\Users\stu\Documents\GitHub\eaglep3-reporting\EC\2016-11-28-refined-times.txt</v>
      </c>
      <c r="AI43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{"issue":{"subject":"","project_id":79,"tracker_id":40,"status_id":1,"priority_id":2,"assigned_to_id":23,"start_date":"2016-11-28","description":"","custom_fields":[{"id":1,"name":"Subdivision","value":"EC"},{"id":4,"name":"Milepost","value":"23.3278"},{"id":17,"name":"Train ID","value":"131-28"},{"id":16,"name":"Locomotive ID","value":"4040"},{"id":130,"name":"Impact","value":""},{"id":150,"name":"Time of Event (Mountain Time)","value":"08:05:14"},{"id":151,"name":"Denver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479</v>
      </c>
      <c r="B44" s="7">
        <v>4039</v>
      </c>
      <c r="C44" s="22" t="s">
        <v>212</v>
      </c>
      <c r="D44" s="22" t="s">
        <v>646</v>
      </c>
      <c r="E44" s="13">
        <v>42702.348009259258</v>
      </c>
      <c r="F44" s="13">
        <v>42702.351678240739</v>
      </c>
      <c r="G44" s="7">
        <v>2</v>
      </c>
      <c r="H44" s="22" t="s">
        <v>219</v>
      </c>
      <c r="I44" s="13">
        <v>42702.378391203703</v>
      </c>
      <c r="J44" s="7">
        <v>0</v>
      </c>
      <c r="K44" s="109" t="str">
        <f t="shared" si="0"/>
        <v>4039/4040</v>
      </c>
      <c r="L44" s="22" t="str">
        <f>VLOOKUP(A44,'Trips&amp;Operators'!$C$1:$E$10000,3,FALSE)</f>
        <v>MAGEE</v>
      </c>
      <c r="M44" s="6">
        <f t="shared" si="1"/>
        <v>2.6712962964666076E-2</v>
      </c>
      <c r="N44" s="7">
        <f t="shared" si="2"/>
        <v>38.466666669119149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07:21:08-700',mode:absolute,to:'2016-11-28 10:04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23.296299999999999</v>
      </c>
      <c r="Z44" s="67">
        <f t="shared" si="9"/>
        <v>1.4999999999999999E-2</v>
      </c>
      <c r="AA44" s="67">
        <f t="shared" si="10"/>
        <v>23.281299999999998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1"/>
        <v>0132-28</v>
      </c>
      <c r="AE44" s="91" t="str">
        <f t="shared" si="12"/>
        <v>aws s3 cp s3://rtdc.mdm.uploadarchive.raw/RTDC4039/ "%USERPROFILE%\AppData\Local\Temp\OnboardLogs"\RTDC4039\2016-11-28 --exclude "*" --recursive --include "*20161128*" &amp; "%USERPROFILE%\Documents\GitHub\mrs-test-scripts\Headless Mode &amp; Sideloading\WalkAndUnGZ.bat" "%USERPROFILE%\AppData\Local\Temp\OnboardLogs"\RTDC4039\2016-11-28 &amp; 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</v>
      </c>
      <c r="AF44" s="88" t="str">
        <f t="shared" si="13"/>
        <v>"C:\Program Files (x86)\AstroGrep\AstroGrep.exe" /spath="%USERPROFILE%\AppData\Local\Temp\OnboardLogs" /stypes="app*4039*20161128*"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132-28 --locoid 4039 --swversion DE.1.0.8.0 --startMP 204:232963 --initTime 2016-11-28T08:21:08 --startdatetime 2016-11-28T08:26:25 --delay 2 --endMP 204:150 --enddatetime 2016-11-28T09:04:53 --enforcementcount 0 &gt;&gt;C:\Users\stu\Documents\GitHub\eaglep3-reporting\EC\2016-11-28-refined-times.txt</v>
      </c>
      <c r="AI44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{"issue":{"subject":"","project_id":79,"tracker_id":40,"status_id":1,"priority_id":2,"assigned_to_id":23,"start_date":"2016-11-28","description":"","custom_fields":[{"id":1,"name":"Subdivision","value":"EC"},{"id":4,"name":"Milepost","value":"0.015"},{"id":17,"name":"Train ID","value":"132-28"},{"id":16,"name":"Locomotive ID","value":"4039"},{"id":130,"name":"Impact","value":""},{"id":150,"name":"Time of Event (Mountain Time)","value":"09:04:53"},{"id":151,"name":"Denver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471</v>
      </c>
      <c r="B45" s="7">
        <v>4002</v>
      </c>
      <c r="C45" s="22" t="s">
        <v>212</v>
      </c>
      <c r="D45" s="22" t="s">
        <v>197</v>
      </c>
      <c r="E45" s="13">
        <v>42702.317465277774</v>
      </c>
      <c r="F45" s="13">
        <v>42702.323240740741</v>
      </c>
      <c r="G45" s="7">
        <v>1</v>
      </c>
      <c r="H45" s="22" t="s">
        <v>647</v>
      </c>
      <c r="I45" s="13">
        <v>42702.348576388889</v>
      </c>
      <c r="J45" s="7">
        <v>0</v>
      </c>
      <c r="K45" s="109" t="str">
        <f t="shared" si="0"/>
        <v>4001/4002</v>
      </c>
      <c r="L45" s="22" t="str">
        <f>VLOOKUP(A45,'Trips&amp;Operators'!$C$1:$E$10000,3,FALSE)</f>
        <v>PERKINS</v>
      </c>
      <c r="M45" s="6">
        <f t="shared" si="1"/>
        <v>2.5335648148029577E-2</v>
      </c>
      <c r="N45" s="7">
        <f t="shared" si="2"/>
        <v>36.483333333162591</v>
      </c>
      <c r="O45" s="7"/>
      <c r="P45" s="7"/>
      <c r="Q45" s="23"/>
      <c r="R45" s="23"/>
      <c r="S45" s="35">
        <f t="shared" ref="S45:S76" si="19">SUM(U45:U45)/IF(AG45="EC",12,1)</f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06:37:09-700',mode:absolute,to:'2016-11-28 09:21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4.5100000000000001E-2</v>
      </c>
      <c r="Z45" s="67">
        <f t="shared" si="9"/>
        <v>23.325900000000001</v>
      </c>
      <c r="AA45" s="67">
        <f t="shared" si="10"/>
        <v>23.280799999999999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1"/>
        <v>0133-28</v>
      </c>
      <c r="AE45" s="91" t="str">
        <f t="shared" si="12"/>
        <v>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 &amp; aws s3 cp s3://rtdc.mdm.uploadarchive.raw/RTDC4002/ "%USERPROFILE%\AppData\Local\Temp\OnboardLogs"\RTDC4002\2016-11-29 --exclude "*" --recursive --include "*20161129*" &amp; "%USERPROFILE%\Documents\GitHub\mrs-test-scripts\Headless Mode &amp; Sideloading\WalkAndUnGZ.bat" "%USERPROFILE%\AppData\Local\Temp\OnboardLogs"\RTDC4002\2016-11-29</v>
      </c>
      <c r="AF45" s="88" t="str">
        <f t="shared" si="13"/>
        <v>"C:\Program Files (x86)\AstroGrep\AstroGrep.exe" /spath="%USERPROFILE%\AppData\Local\Temp\OnboardLogs" /stypes="app*4002*20161128*"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133-28 --locoid 4002 --swversion DE.1.0.8.0 --startMP 204:451 --initTime 2016-11-28T07:37:09 --startdatetime 2016-11-28T07:45:28 --delay 1 --endMP 204:233259 --enddatetime 2016-11-28T08:21:57 --enforcementcount 0 &gt;&gt;C:\Users\stu\Documents\GitHub\eaglep3-reporting\EC\2016-11-28-refined-times.txt</v>
      </c>
      <c r="AI45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{"issue":{"subject":"","project_id":79,"tracker_id":40,"status_id":1,"priority_id":2,"assigned_to_id":23,"start_date":"2016-11-28","description":"","custom_fields":[{"id":1,"name":"Subdivision","value":"EC"},{"id":4,"name":"Milepost","value":"23.3259"},{"id":17,"name":"Train ID","value":"133-28"},{"id":16,"name":"Locomotive ID","value":"4002"},{"id":130,"name":"Impact","value":""},{"id":150,"name":"Time of Event (Mountain Time)","value":"08:21:57"},{"id":151,"name":"Denver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481</v>
      </c>
      <c r="B46" s="7">
        <v>4001</v>
      </c>
      <c r="C46" s="22" t="s">
        <v>212</v>
      </c>
      <c r="D46" s="22" t="s">
        <v>648</v>
      </c>
      <c r="E46" s="13">
        <v>42702.356400462966</v>
      </c>
      <c r="F46" s="13">
        <v>42702.362233796295</v>
      </c>
      <c r="G46" s="7">
        <v>1</v>
      </c>
      <c r="H46" s="22" t="s">
        <v>280</v>
      </c>
      <c r="I46" s="13">
        <v>42702.388819444444</v>
      </c>
      <c r="J46" s="7">
        <v>0</v>
      </c>
      <c r="K46" s="109" t="str">
        <f t="shared" si="0"/>
        <v>4001/4002</v>
      </c>
      <c r="L46" s="22" t="str">
        <f>VLOOKUP(A46,'Trips&amp;Operators'!$C$1:$E$10000,3,FALSE)</f>
        <v>PERKINS</v>
      </c>
      <c r="M46" s="6">
        <f t="shared" si="1"/>
        <v>2.658564814919373E-2</v>
      </c>
      <c r="N46" s="7">
        <f t="shared" si="2"/>
        <v>38.283333334838971</v>
      </c>
      <c r="O46" s="7"/>
      <c r="P46" s="7"/>
      <c r="Q46" s="23"/>
      <c r="R46" s="23"/>
      <c r="S46" s="35">
        <f t="shared" si="19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07:33:13-700',mode:absolute,to:'2016-11-28 10:19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23.293800000000001</v>
      </c>
      <c r="Z46" s="67">
        <f t="shared" si="9"/>
        <v>1.4500000000000001E-2</v>
      </c>
      <c r="AA46" s="67">
        <f t="shared" si="10"/>
        <v>23.279299999999999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11"/>
        <v>0134-28</v>
      </c>
      <c r="AE46" s="91" t="str">
        <f t="shared" si="12"/>
        <v>aws s3 cp s3://rtdc.mdm.uploadarchive.raw/RTDC4001/ "%USERPROFILE%\AppData\Local\Temp\OnboardLogs"\RTDC4001\2016-11-28 --exclude "*" --recursive --include "*20161128*" &amp; "%USERPROFILE%\Documents\GitHub\mrs-test-scripts\Headless Mode &amp; Sideloading\WalkAndUnGZ.bat" "%USERPROFILE%\AppData\Local\Temp\OnboardLogs"\RTDC4001\2016-11-28 &amp; aws s3 cp s3://rtdc.mdm.uploadarchive.raw/RTDC4001/ "%USERPROFILE%\AppData\Local\Temp\OnboardLogs"\RTDC4001\2016-11-29 --exclude "*" --recursive --include "*20161129*" &amp; "%USERPROFILE%\Documents\GitHub\mrs-test-scripts\Headless Mode &amp; Sideloading\WalkAndUnGZ.bat" "%USERPROFILE%\AppData\Local\Temp\OnboardLogs"\RTDC4001\2016-11-29</v>
      </c>
      <c r="AF46" s="88" t="str">
        <f t="shared" si="13"/>
        <v>"C:\Program Files (x86)\AstroGrep\AstroGrep.exe" /spath="%USERPROFILE%\AppData\Local\Temp\OnboardLogs" /stypes="app*4001*20161128*"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134-28 --locoid 4001 --swversion DE.1.0.8.0 --startMP 204:232938 --initTime 2016-11-28T08:33:13 --startdatetime 2016-11-28T08:41:37 --delay 1 --endMP 204:145 --enddatetime 2016-11-28T09:19:54 --enforcementcount 0 &gt;&gt;C:\Users\stu\Documents\GitHub\eaglep3-reporting\EC\2016-11-28-refined-times.txt</v>
      </c>
      <c r="AI46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{"issue":{"subject":"","project_id":79,"tracker_id":40,"status_id":1,"priority_id":2,"assigned_to_id":23,"start_date":"2016-11-28","description":"","custom_fields":[{"id":1,"name":"Subdivision","value":"EC"},{"id":4,"name":"Milepost","value":"0.0145"},{"id":17,"name":"Train ID","value":"134-28"},{"id":16,"name":"Locomotive ID","value":"4001"},{"id":130,"name":"Impact","value":""},{"id":150,"name":"Time of Event (Mountain Time)","value":"09:19:54"},{"id":151,"name":"Denver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474</v>
      </c>
      <c r="B47" s="7">
        <v>4042</v>
      </c>
      <c r="C47" s="22" t="s">
        <v>212</v>
      </c>
      <c r="D47" s="22" t="s">
        <v>235</v>
      </c>
      <c r="E47" s="13">
        <v>42702.325277777774</v>
      </c>
      <c r="F47" s="13">
        <v>42702.333622685182</v>
      </c>
      <c r="G47" s="7">
        <v>1</v>
      </c>
      <c r="H47" s="22" t="s">
        <v>649</v>
      </c>
      <c r="I47" s="13">
        <v>42702.359768518516</v>
      </c>
      <c r="J47" s="7">
        <v>0</v>
      </c>
      <c r="K47" s="109" t="str">
        <f t="shared" si="0"/>
        <v>4041/4042</v>
      </c>
      <c r="L47" s="22" t="str">
        <f>VLOOKUP(A47,'Trips&amp;Operators'!$C$1:$E$10000,3,FALSE)</f>
        <v>CUSHING</v>
      </c>
      <c r="M47" s="6">
        <f t="shared" si="1"/>
        <v>2.6145833333430346E-2</v>
      </c>
      <c r="N47" s="7">
        <f t="shared" si="2"/>
        <v>37.650000000139698</v>
      </c>
      <c r="O47" s="7"/>
      <c r="P47" s="7"/>
      <c r="Q47" s="23"/>
      <c r="R47" s="23"/>
      <c r="S47" s="35">
        <f t="shared" si="19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06:48:24-700',mode:absolute,to:'2016-11-28 09:38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4.4900000000000002E-2</v>
      </c>
      <c r="Z47" s="67">
        <f t="shared" si="9"/>
        <v>23.325299999999999</v>
      </c>
      <c r="AA47" s="67">
        <f t="shared" si="10"/>
        <v>23.2804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1"/>
        <v>0135-28</v>
      </c>
      <c r="AE47" s="91" t="str">
        <f t="shared" si="12"/>
        <v>aws s3 cp s3://rtdc.mdm.uploadarchive.raw/RTDC4042/ "%USERPROFILE%\AppData\Local\Temp\OnboardLogs"\RTDC4042\2016-11-28 --exclude "*" --recursive --include "*20161128*" &amp; "%USERPROFILE%\Documents\GitHub\mrs-test-scripts\Headless Mode &amp; Sideloading\WalkAndUnGZ.bat" "%USERPROFILE%\AppData\Local\Temp\OnboardLogs"\RTDC4042\2016-11-28 &amp; aws s3 cp s3://rtdc.mdm.uploadarchive.raw/RTDC4042/ "%USERPROFILE%\AppData\Local\Temp\OnboardLogs"\RTDC4042\2016-11-29 --exclude "*" --recursive --include "*20161129*" &amp; "%USERPROFILE%\Documents\GitHub\mrs-test-scripts\Headless Mode &amp; Sideloading\WalkAndUnGZ.bat" "%USERPROFILE%\AppData\Local\Temp\OnboardLogs"\RTDC4042\2016-11-29</v>
      </c>
      <c r="AF47" s="88" t="str">
        <f t="shared" si="13"/>
        <v>"C:\Program Files (x86)\AstroGrep\AstroGrep.exe" /spath="%USERPROFILE%\AppData\Local\Temp\OnboardLogs" /stypes="app*4042*20161128*"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135-28 --locoid 4042 --swversion DE.1.0.8.0 --startMP 204:449 --initTime 2016-11-28T07:48:24 --startdatetime 2016-11-28T08:00:25 --delay 1 --endMP 204:233253 --enddatetime 2016-11-28T08:38:04 --enforcementcount 0 &gt;&gt;C:\Users\stu\Documents\GitHub\eaglep3-reporting\EC\2016-11-28-refined-times.txt</v>
      </c>
      <c r="AI47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{"issue":{"subject":"","project_id":79,"tracker_id":40,"status_id":1,"priority_id":2,"assigned_to_id":23,"start_date":"2016-11-28","description":"","custom_fields":[{"id":1,"name":"Subdivision","value":"EC"},{"id":4,"name":"Milepost","value":"23.3253"},{"id":17,"name":"Train ID","value":"135-28"},{"id":16,"name":"Locomotive ID","value":"4042"},{"id":130,"name":"Impact","value":""},{"id":150,"name":"Time of Event (Mountain Time)","value":"08:38:04"},{"id":151,"name":"Denver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485</v>
      </c>
      <c r="B48" s="7">
        <v>4041</v>
      </c>
      <c r="C48" s="22" t="s">
        <v>212</v>
      </c>
      <c r="D48" s="22" t="s">
        <v>650</v>
      </c>
      <c r="E48" s="13">
        <v>42702.365659722222</v>
      </c>
      <c r="F48" s="13">
        <v>42702.373344907406</v>
      </c>
      <c r="G48" s="7">
        <v>1</v>
      </c>
      <c r="H48" s="22" t="s">
        <v>208</v>
      </c>
      <c r="I48" s="13">
        <v>42702.400636574072</v>
      </c>
      <c r="J48" s="7">
        <v>0</v>
      </c>
      <c r="K48" s="109" t="str">
        <f t="shared" si="0"/>
        <v>4041/4042</v>
      </c>
      <c r="L48" s="22" t="str">
        <f>VLOOKUP(A48,'Trips&amp;Operators'!$C$1:$E$10000,3,FALSE)</f>
        <v>CUSHING</v>
      </c>
      <c r="M48" s="6">
        <f t="shared" si="1"/>
        <v>2.7291666665405501E-2</v>
      </c>
      <c r="N48" s="7">
        <f t="shared" si="2"/>
        <v>39.299999998183921</v>
      </c>
      <c r="O48" s="7"/>
      <c r="P48" s="7"/>
      <c r="Q48" s="23"/>
      <c r="R48" s="23"/>
      <c r="S48" s="35">
        <f t="shared" si="19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07:46:33-700',mode:absolute,to:'2016-11-28 10:36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23.294599999999999</v>
      </c>
      <c r="Z48" s="67">
        <f t="shared" si="9"/>
        <v>1.5599999999999999E-2</v>
      </c>
      <c r="AA48" s="67">
        <f t="shared" si="10"/>
        <v>23.279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11"/>
        <v>0136-28</v>
      </c>
      <c r="AE48" s="91" t="str">
        <f t="shared" si="12"/>
        <v>aws s3 cp s3://rtdc.mdm.uploadarchive.raw/RTDC4041/ "%USERPROFILE%\AppData\Local\Temp\OnboardLogs"\RTDC4041\2016-11-28 --exclude "*" --recursive --include "*20161128*" &amp; "%USERPROFILE%\Documents\GitHub\mrs-test-scripts\Headless Mode &amp; Sideloading\WalkAndUnGZ.bat" "%USERPROFILE%\AppData\Local\Temp\OnboardLogs"\RTDC4041\2016-11-28 &amp; 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</v>
      </c>
      <c r="AF48" s="88" t="str">
        <f t="shared" si="13"/>
        <v>"C:\Program Files (x86)\AstroGrep\AstroGrep.exe" /spath="%USERPROFILE%\AppData\Local\Temp\OnboardLogs" /stypes="app*4041*20161128*"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136-28 --locoid 4041 --swversion DE.1.0.8.0 --startMP 204:232946 --initTime 2016-11-28T08:46:33 --startdatetime 2016-11-28T08:57:37 --delay 1 --endMP 204:156 --enddatetime 2016-11-28T09:36:55 --enforcementcount 0 &gt;&gt;C:\Users\stu\Documents\GitHub\eaglep3-reporting\EC\2016-11-28-refined-times.txt</v>
      </c>
      <c r="AI48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{"issue":{"subject":"","project_id":79,"tracker_id":40,"status_id":1,"priority_id":2,"assigned_to_id":23,"start_date":"2016-11-28","description":"","custom_fields":[{"id":1,"name":"Subdivision","value":"EC"},{"id":4,"name":"Milepost","value":"0.0156"},{"id":17,"name":"Train ID","value":"136-28"},{"id":16,"name":"Locomotive ID","value":"4041"},{"id":130,"name":"Impact","value":""},{"id":150,"name":"Time of Event (Mountain Time)","value":"09:36:55"},{"id":151,"name":"Denver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478</v>
      </c>
      <c r="B49" s="7">
        <v>4016</v>
      </c>
      <c r="C49" s="22" t="s">
        <v>212</v>
      </c>
      <c r="D49" s="22" t="s">
        <v>209</v>
      </c>
      <c r="E49" s="13">
        <v>42702.343460648146</v>
      </c>
      <c r="F49" s="13">
        <v>42702.344756944447</v>
      </c>
      <c r="G49" s="7">
        <v>1</v>
      </c>
      <c r="H49" s="22" t="s">
        <v>651</v>
      </c>
      <c r="I49" s="13">
        <v>42702.367604166669</v>
      </c>
      <c r="J49" s="7">
        <v>0</v>
      </c>
      <c r="K49" s="109" t="str">
        <f t="shared" si="0"/>
        <v>4015/4016</v>
      </c>
      <c r="L49" s="22" t="str">
        <f>VLOOKUP(A49,'Trips&amp;Operators'!$C$1:$E$10000,3,FALSE)</f>
        <v>CRAYTON</v>
      </c>
      <c r="M49" s="6">
        <f t="shared" si="1"/>
        <v>2.2847222222480923E-2</v>
      </c>
      <c r="N49" s="7">
        <f>24*60*SUM($M49:$M49)</f>
        <v>32.900000000372529</v>
      </c>
      <c r="O49" s="7"/>
      <c r="P49" s="7"/>
      <c r="Q49" s="23"/>
      <c r="R49" s="23" t="s">
        <v>802</v>
      </c>
      <c r="S49" s="35">
        <f t="shared" si="19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07:14:35-700',mode:absolute,to:'2016-11-28 09:49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9" s="52" t="str">
        <f t="shared" si="6"/>
        <v>Y</v>
      </c>
      <c r="X49" s="177">
        <f t="shared" si="7"/>
        <v>1</v>
      </c>
      <c r="Y49" s="67">
        <f t="shared" si="8"/>
        <v>4.6199999999999998E-2</v>
      </c>
      <c r="Z49" s="67">
        <f t="shared" si="9"/>
        <v>22.741099999999999</v>
      </c>
      <c r="AA49" s="67">
        <f t="shared" si="10"/>
        <v>22.694900000000001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1"/>
        <v>0137-28</v>
      </c>
      <c r="AE49" s="91" t="str">
        <f t="shared" si="12"/>
        <v>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 &amp; 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</v>
      </c>
      <c r="AF49" s="88" t="str">
        <f t="shared" si="13"/>
        <v>"C:\Program Files (x86)\AstroGrep\AstroGrep.exe" /spath="%USERPROFILE%\AppData\Local\Temp\OnboardLogs" /stypes="app*4016*20161128*"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137-28 --locoid 4016 --swversion DE.1.0.8.0 --startMP 204:462 --initTime 2016-11-28T08:14:35 --startdatetime 2016-11-28T08:16:27 --delay 1 --endMP 204:227411 --enddatetime 2016-11-28T08:49:21 --enforcementcount 0 &gt;&gt;C:\Users\stu\Documents\GitHub\eaglep3-reporting\EC\2016-11-28-refined-times.txt</v>
      </c>
      <c r="AI49" s="119" t="str">
        <f t="shared" si="18"/>
        <v>echo {"issue":{"subject":"Efficiency test","project_id":79,"tracker_id":40,"status_id":1,"priority_id":2,"assigned_to_id":23,"start_date":"2016-11-28","description":"No clear control sent to DIA 2N, was this an efficiency test? Did the dispatcher not get around to it?","custom_fields":[{"id":1,"name":"Subdivision","value":"EC"},{"id":4,"name":"Milepost","value":"22.7411"},{"id":17,"name":"Train ID","value":"137-28"},{"id":16,"name":"Locomotive ID","value":"4016"},{"id":130,"name":"Impact","value":"Unexpected Cut-Out or Disengaged"},{"id":150,"name":"Time of Event (Mountain Time)","value":"08:49:21"},{"id":151,"name":"Denver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AJ49" s="53" t="s">
        <v>799</v>
      </c>
      <c r="AK49" s="53" t="s">
        <v>131</v>
      </c>
      <c r="AL49" s="53" t="s">
        <v>216</v>
      </c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486</v>
      </c>
      <c r="B50" s="7">
        <v>4015</v>
      </c>
      <c r="C50" s="22" t="s">
        <v>212</v>
      </c>
      <c r="D50" s="22" t="s">
        <v>652</v>
      </c>
      <c r="E50" s="13">
        <v>42702.378020833334</v>
      </c>
      <c r="F50" s="13">
        <v>42702.383136574077</v>
      </c>
      <c r="G50" s="7">
        <v>0</v>
      </c>
      <c r="H50" s="22" t="s">
        <v>256</v>
      </c>
      <c r="I50" s="13">
        <v>42702.410266203704</v>
      </c>
      <c r="J50" s="7">
        <v>0</v>
      </c>
      <c r="K50" s="109" t="str">
        <f t="shared" si="0"/>
        <v>4015/4016</v>
      </c>
      <c r="L50" s="22" t="str">
        <f>VLOOKUP(A50,'Trips&amp;Operators'!$C$1:$E$10000,3,FALSE)</f>
        <v>CRAYTON</v>
      </c>
      <c r="M50" s="6">
        <f t="shared" si="1"/>
        <v>2.7129629626870155E-2</v>
      </c>
      <c r="N50" s="7">
        <f t="shared" ref="N50:N81" si="20">24*60*SUM($M50:$M50)</f>
        <v>39.066666662693024</v>
      </c>
      <c r="O50" s="7"/>
      <c r="P50" s="7"/>
      <c r="Q50" s="23"/>
      <c r="R50" s="23"/>
      <c r="S50" s="35">
        <f t="shared" si="19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08:04:21-700',mode:absolute,to:'2016-11-28 10:50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23.306999999999999</v>
      </c>
      <c r="Z50" s="67">
        <f t="shared" si="9"/>
        <v>1.61E-2</v>
      </c>
      <c r="AA50" s="67">
        <f t="shared" si="10"/>
        <v>23.290899999999997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1"/>
        <v>0138-28</v>
      </c>
      <c r="AE50" s="91" t="str">
        <f t="shared" si="12"/>
        <v>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 &amp; 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</v>
      </c>
      <c r="AF50" s="88" t="str">
        <f t="shared" si="13"/>
        <v>"C:\Program Files (x86)\AstroGrep\AstroGrep.exe" /spath="%USERPROFILE%\AppData\Local\Temp\OnboardLogs" /stypes="app*4015*20161128*"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138-28 --locoid 4015 --swversion DE.1.0.8.0 --startMP 204:233070 --initTime 2016-11-28T09:04:21 --startdatetime 2016-11-28T09:11:43 --delay 0 --endMP 204:161 --enddatetime 2016-11-28T09:50:47 --enforcementcount 0 &gt;&gt;C:\Users\stu\Documents\GitHub\eaglep3-reporting\EC\2016-11-28-refined-times.txt</v>
      </c>
      <c r="AI50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{"issue":{"subject":"","project_id":79,"tracker_id":40,"status_id":1,"priority_id":2,"assigned_to_id":23,"start_date":"2016-11-28","description":"","custom_fields":[{"id":1,"name":"Subdivision","value":"EC"},{"id":4,"name":"Milepost","value":"0.0161"},{"id":17,"name":"Train ID","value":"138-28"},{"id":16,"name":"Locomotive ID","value":"4015"},{"id":130,"name":"Impact","value":""},{"id":150,"name":"Time of Event (Mountain Time)","value":"09:50:47"},{"id":151,"name":"Denver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402</v>
      </c>
      <c r="B51" s="7">
        <v>4025</v>
      </c>
      <c r="C51" s="22" t="s">
        <v>212</v>
      </c>
      <c r="D51" s="22" t="s">
        <v>260</v>
      </c>
      <c r="E51" s="13">
        <v>42702.350324074076</v>
      </c>
      <c r="F51" s="13">
        <v>42702.354849537034</v>
      </c>
      <c r="G51" s="7">
        <v>1</v>
      </c>
      <c r="H51" s="22" t="s">
        <v>314</v>
      </c>
      <c r="I51" s="13">
        <v>42702.38</v>
      </c>
      <c r="J51" s="7">
        <v>0</v>
      </c>
      <c r="K51" s="109" t="str">
        <f t="shared" si="0"/>
        <v>4025/4026</v>
      </c>
      <c r="L51" s="22" t="str">
        <f>VLOOKUP(A51,'Trips&amp;Operators'!$C$1:$E$10000,3,FALSE)</f>
        <v>STARKS</v>
      </c>
      <c r="M51" s="6">
        <f t="shared" si="1"/>
        <v>2.5150462963210884E-2</v>
      </c>
      <c r="N51" s="7">
        <f t="shared" si="20"/>
        <v>36.216666667023674</v>
      </c>
      <c r="O51" s="7"/>
      <c r="P51" s="7"/>
      <c r="Q51" s="23"/>
      <c r="R51" s="23"/>
      <c r="S51" s="35">
        <f t="shared" si="19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07:24:28-700',mode:absolute,to:'2016-11-28 10:07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4.5699999999999998E-2</v>
      </c>
      <c r="Z51" s="67">
        <f t="shared" si="9"/>
        <v>23.330100000000002</v>
      </c>
      <c r="AA51" s="67">
        <f t="shared" si="10"/>
        <v>23.284400000000002</v>
      </c>
      <c r="AB51" s="64" t="str">
        <f>VLOOKUP(A51,Enforcements!$C$7:$K$20,8,0)</f>
        <v>Signal based authority (5)</v>
      </c>
      <c r="AC51" s="60" t="str">
        <f>VLOOKUP(A51,Enforcements!$C$7:$E$20,3,0)</f>
        <v>SIGNAL</v>
      </c>
      <c r="AD51" s="61" t="str">
        <f t="shared" si="11"/>
        <v>0139-28</v>
      </c>
      <c r="AE51" s="91" t="str">
        <f t="shared" si="12"/>
        <v>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 &amp; aws s3 cp s3://rtdc.mdm.uploadarchive.raw/RTDC4025/ "%USERPROFILE%\AppData\Local\Temp\OnboardLogs"\RTDC4025\2016-11-29 --exclude "*" --recursive --include "*20161129*" &amp; "%USERPROFILE%\Documents\GitHub\mrs-test-scripts\Headless Mode &amp; Sideloading\WalkAndUnGZ.bat" "%USERPROFILE%\AppData\Local\Temp\OnboardLogs"\RTDC4025\2016-11-29</v>
      </c>
      <c r="AF51" s="88" t="str">
        <f t="shared" si="13"/>
        <v>"C:\Program Files (x86)\AstroGrep\AstroGrep.exe" /spath="%USERPROFILE%\AppData\Local\Temp\OnboardLogs" /stypes="app*4025*20161128*"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139-28 --locoid 4025 --swversion DE.1.0.8.0 --startMP 204:457 --initTime 2016-11-28T08:24:28 --startdatetime 2016-11-28T08:30:59 --delay 1 --endMP 204:233301 --enddatetime 2016-11-28T09:07:12 --enforcementcount 0 &gt;&gt;C:\Users\stu\Documents\GitHub\eaglep3-reporting\EC\2016-11-28-refined-times.txt</v>
      </c>
      <c r="AI51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{"issue":{"subject":"","project_id":79,"tracker_id":40,"status_id":1,"priority_id":2,"assigned_to_id":23,"start_date":"2016-11-28","description":"","custom_fields":[{"id":1,"name":"Subdivision","value":"EC"},{"id":4,"name":"Milepost","value":"23.3301"},{"id":17,"name":"Train ID","value":"139-28"},{"id":16,"name":"Locomotive ID","value":"4025"},{"id":130,"name":"Impact","value":""},{"id":150,"name":"Time of Event (Mountain Time)","value":"09:07:12"},{"id":151,"name":"Denver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490</v>
      </c>
      <c r="B52" s="7">
        <v>4026</v>
      </c>
      <c r="C52" s="22" t="s">
        <v>212</v>
      </c>
      <c r="D52" s="22" t="s">
        <v>206</v>
      </c>
      <c r="E52" s="13">
        <v>42702.390983796293</v>
      </c>
      <c r="F52" s="13">
        <v>42702.393333333333</v>
      </c>
      <c r="G52" s="7">
        <v>1</v>
      </c>
      <c r="H52" s="22" t="s">
        <v>332</v>
      </c>
      <c r="I52" s="13">
        <v>42702.422592592593</v>
      </c>
      <c r="J52" s="7">
        <v>0</v>
      </c>
      <c r="K52" s="109" t="str">
        <f t="shared" si="0"/>
        <v>4025/4026</v>
      </c>
      <c r="L52" s="22" t="str">
        <f>VLOOKUP(A52,'Trips&amp;Operators'!$C$1:$E$10000,3,FALSE)</f>
        <v>STARKS</v>
      </c>
      <c r="M52" s="6">
        <f t="shared" si="1"/>
        <v>2.9259259259561077E-2</v>
      </c>
      <c r="N52" s="7">
        <f t="shared" si="20"/>
        <v>42.133333333767951</v>
      </c>
      <c r="O52" s="7"/>
      <c r="P52" s="7"/>
      <c r="Q52" s="23"/>
      <c r="R52" s="23"/>
      <c r="S52" s="35">
        <f t="shared" si="19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08:23:01-700',mode:absolute,to:'2016-11-28 11:08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23.297699999999999</v>
      </c>
      <c r="Z52" s="67">
        <f t="shared" si="9"/>
        <v>1.7000000000000001E-2</v>
      </c>
      <c r="AA52" s="67">
        <f t="shared" si="10"/>
        <v>23.2807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11"/>
        <v>0140-28</v>
      </c>
      <c r="AE52" s="91" t="str">
        <f t="shared" si="12"/>
        <v>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 &amp; aws s3 cp s3://rtdc.mdm.uploadarchive.raw/RTDC4026/ "%USERPROFILE%\AppData\Local\Temp\OnboardLogs"\RTDC4026\2016-11-29 --exclude "*" --recursive --include "*20161129*" &amp; "%USERPROFILE%\Documents\GitHub\mrs-test-scripts\Headless Mode &amp; Sideloading\WalkAndUnGZ.bat" "%USERPROFILE%\AppData\Local\Temp\OnboardLogs"\RTDC4026\2016-11-29</v>
      </c>
      <c r="AF52" s="88" t="str">
        <f t="shared" si="13"/>
        <v>"C:\Program Files (x86)\AstroGrep\AstroGrep.exe" /spath="%USERPROFILE%\AppData\Local\Temp\OnboardLogs" /stypes="app*4026*20161128*"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140-28 --locoid 4026 --swversion DE.1.0.8.0 --startMP 204:232977 --initTime 2016-11-28T09:23:01 --startdatetime 2016-11-28T09:26:24 --delay 1 --endMP 204:170 --enddatetime 2016-11-28T10:08:32 --enforcementcount 0 &gt;&gt;C:\Users\stu\Documents\GitHub\eaglep3-reporting\EC\2016-11-28-refined-times.txt</v>
      </c>
      <c r="AI52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{"issue":{"subject":"","project_id":79,"tracker_id":40,"status_id":1,"priority_id":2,"assigned_to_id":23,"start_date":"2016-11-28","description":"","custom_fields":[{"id":1,"name":"Subdivision","value":"EC"},{"id":4,"name":"Milepost","value":"0.017"},{"id":17,"name":"Train ID","value":"140-28"},{"id":16,"name":"Locomotive ID","value":"4026"},{"id":130,"name":"Impact","value":""},{"id":150,"name":"Time of Event (Mountain Time)","value":"10:08:32"},{"id":151,"name":"Denver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483</v>
      </c>
      <c r="B53" s="7">
        <v>4014</v>
      </c>
      <c r="C53" s="22" t="s">
        <v>212</v>
      </c>
      <c r="D53" s="22" t="s">
        <v>360</v>
      </c>
      <c r="E53" s="13">
        <v>42702.361909722225</v>
      </c>
      <c r="F53" s="13">
        <v>42702.365381944444</v>
      </c>
      <c r="G53" s="7">
        <v>4</v>
      </c>
      <c r="H53" s="22" t="s">
        <v>262</v>
      </c>
      <c r="I53" s="13">
        <v>42702.390914351854</v>
      </c>
      <c r="J53" s="7">
        <v>0</v>
      </c>
      <c r="K53" s="109" t="str">
        <f t="shared" si="0"/>
        <v>4013/4014</v>
      </c>
      <c r="L53" s="22" t="str">
        <f>VLOOKUP(A53,'Trips&amp;Operators'!$C$1:$E$10000,3,FALSE)</f>
        <v>JOHNSON</v>
      </c>
      <c r="M53" s="6">
        <f t="shared" si="1"/>
        <v>2.5532407409627922E-2</v>
      </c>
      <c r="N53" s="7">
        <f t="shared" si="20"/>
        <v>36.766666669864208</v>
      </c>
      <c r="O53" s="7"/>
      <c r="P53" s="7"/>
      <c r="Q53" s="23"/>
      <c r="R53" s="23"/>
      <c r="S53" s="35">
        <f t="shared" si="19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07:41:09-700',mode:absolute,to:'2016-11-28 10:22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4.8599999999999997E-2</v>
      </c>
      <c r="Z53" s="67">
        <f t="shared" si="9"/>
        <v>23.3293</v>
      </c>
      <c r="AA53" s="67">
        <f t="shared" si="10"/>
        <v>23.2807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1"/>
        <v>0141-28</v>
      </c>
      <c r="AE53" s="91" t="str">
        <f t="shared" si="12"/>
        <v>aws s3 cp s3://rtdc.mdm.uploadarchive.raw/RTDC4014/ "%USERPROFILE%\AppData\Local\Temp\OnboardLogs"\RTDC4014\2016-11-28 --exclude "*" --recursive --include "*20161128*" &amp; "%USERPROFILE%\Documents\GitHub\mrs-test-scripts\Headless Mode &amp; Sideloading\WalkAndUnGZ.bat" "%USERPROFILE%\AppData\Local\Temp\OnboardLogs"\RTDC4014\2016-11-28 &amp; 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</v>
      </c>
      <c r="AF53" s="88" t="str">
        <f t="shared" si="13"/>
        <v>"C:\Program Files (x86)\AstroGrep\AstroGrep.exe" /spath="%USERPROFILE%\AppData\Local\Temp\OnboardLogs" /stypes="app*4014*20161128*"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141-28 --locoid 4014 --swversion DE.1.0.8.0 --startMP 204:486 --initTime 2016-11-28T08:41:09 --startdatetime 2016-11-28T08:46:09 --delay 4 --endMP 204:233293 --enddatetime 2016-11-28T09:22:55 --enforcementcount 0 &gt;&gt;C:\Users\stu\Documents\GitHub\eaglep3-reporting\EC\2016-11-28-refined-times.txt</v>
      </c>
      <c r="AI53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{"issue":{"subject":"","project_id":79,"tracker_id":40,"status_id":1,"priority_id":2,"assigned_to_id":23,"start_date":"2016-11-28","description":"","custom_fields":[{"id":1,"name":"Subdivision","value":"EC"},{"id":4,"name":"Milepost","value":"23.3293"},{"id":17,"name":"Train ID","value":"141-28"},{"id":16,"name":"Locomotive ID","value":"4014"},{"id":130,"name":"Impact","value":""},{"id":150,"name":"Time of Event (Mountain Time)","value":"09:22:55"},{"id":151,"name":"Denver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405</v>
      </c>
      <c r="B54" s="7">
        <v>4013</v>
      </c>
      <c r="C54" s="22" t="s">
        <v>212</v>
      </c>
      <c r="D54" s="22" t="s">
        <v>237</v>
      </c>
      <c r="E54" s="13">
        <v>42702.393761574072</v>
      </c>
      <c r="F54" s="13">
        <v>42702.403645833336</v>
      </c>
      <c r="G54" s="7">
        <v>1</v>
      </c>
      <c r="H54" s="22" t="s">
        <v>362</v>
      </c>
      <c r="I54" s="13">
        <v>42702.433298611111</v>
      </c>
      <c r="J54" s="7">
        <v>0</v>
      </c>
      <c r="K54" s="109" t="str">
        <f t="shared" si="0"/>
        <v>4013/4014</v>
      </c>
      <c r="L54" s="22" t="str">
        <f>VLOOKUP(A54,'Trips&amp;Operators'!$C$1:$E$10000,3,FALSE)</f>
        <v>JOHNSON</v>
      </c>
      <c r="M54" s="6">
        <f t="shared" si="1"/>
        <v>2.9652777775481809E-2</v>
      </c>
      <c r="N54" s="7">
        <f t="shared" si="20"/>
        <v>42.699999996693805</v>
      </c>
      <c r="O54" s="7"/>
      <c r="P54" s="7"/>
      <c r="Q54" s="23"/>
      <c r="R54" s="23"/>
      <c r="S54" s="35">
        <f t="shared" si="19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08:27:01-700',mode:absolute,to:'2016-11-28 11:23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23.2987</v>
      </c>
      <c r="Z54" s="67">
        <f t="shared" si="9"/>
        <v>1.2999999999999999E-2</v>
      </c>
      <c r="AA54" s="67">
        <f t="shared" si="10"/>
        <v>23.285699999999999</v>
      </c>
      <c r="AB54" s="64" t="str">
        <f>VLOOKUP(A54,Enforcements!$C$7:$K$20,8,0)</f>
        <v>Signal based authority (5)</v>
      </c>
      <c r="AC54" s="60" t="str">
        <f>VLOOKUP(A54,Enforcements!$C$7:$E$20,3,0)</f>
        <v>SIGNAL</v>
      </c>
      <c r="AD54" s="61" t="str">
        <f t="shared" si="11"/>
        <v>0142-28</v>
      </c>
      <c r="AE54" s="91" t="str">
        <f t="shared" si="12"/>
        <v>aws s3 cp s3://rtdc.mdm.uploadarchive.raw/RTDC4013/ "%USERPROFILE%\AppData\Local\Temp\OnboardLogs"\RTDC4013\2016-11-28 --exclude "*" --recursive --include "*20161128*" &amp; "%USERPROFILE%\Documents\GitHub\mrs-test-scripts\Headless Mode &amp; Sideloading\WalkAndUnGZ.bat" "%USERPROFILE%\AppData\Local\Temp\OnboardLogs"\RTDC4013\2016-11-28 &amp; 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</v>
      </c>
      <c r="AF54" s="88" t="str">
        <f t="shared" si="13"/>
        <v>"C:\Program Files (x86)\AstroGrep\AstroGrep.exe" /spath="%USERPROFILE%\AppData\Local\Temp\OnboardLogs" /stypes="app*4013*20161128*"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142-28 --locoid 4013 --swversion DE.1.0.8.0 --startMP 204:232987 --initTime 2016-11-28T09:27:01 --startdatetime 2016-11-28T09:41:15 --delay 1 --endMP 204:130 --enddatetime 2016-11-28T10:23:57 --enforcementcount 0 &gt;&gt;C:\Users\stu\Documents\GitHub\eaglep3-reporting\EC\2016-11-28-refined-times.txt</v>
      </c>
      <c r="AI54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{"issue":{"subject":"","project_id":79,"tracker_id":40,"status_id":1,"priority_id":2,"assigned_to_id":23,"start_date":"2016-11-28","description":"","custom_fields":[{"id":1,"name":"Subdivision","value":"EC"},{"id":4,"name":"Milepost","value":"0.013"},{"id":17,"name":"Train ID","value":"142-28"},{"id":16,"name":"Locomotive ID","value":"4013"},{"id":130,"name":"Impact","value":""},{"id":150,"name":"Time of Event (Mountain Time)","value":"10:23:57"},{"id":151,"name":"Denver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404</v>
      </c>
      <c r="B55" s="7">
        <v>4038</v>
      </c>
      <c r="C55" s="22" t="s">
        <v>212</v>
      </c>
      <c r="D55" s="22" t="s">
        <v>194</v>
      </c>
      <c r="E55" s="13">
        <v>42702.370324074072</v>
      </c>
      <c r="F55" s="13">
        <v>42702.375185185185</v>
      </c>
      <c r="G55" s="7">
        <v>1</v>
      </c>
      <c r="H55" s="22" t="s">
        <v>653</v>
      </c>
      <c r="I55" s="13">
        <v>42702.402349537035</v>
      </c>
      <c r="J55" s="7">
        <v>0</v>
      </c>
      <c r="K55" s="109" t="str">
        <f t="shared" si="0"/>
        <v>4037/4038</v>
      </c>
      <c r="L55" s="22" t="str">
        <f>VLOOKUP(A55,'Trips&amp;Operators'!$C$1:$E$10000,3,FALSE)</f>
        <v>HAITHCOX</v>
      </c>
      <c r="M55" s="6">
        <f t="shared" si="1"/>
        <v>2.7164351849933155E-2</v>
      </c>
      <c r="N55" s="7">
        <f t="shared" si="20"/>
        <v>39.116666663903743</v>
      </c>
      <c r="O55" s="7"/>
      <c r="P55" s="7"/>
      <c r="Q55" s="23"/>
      <c r="R55" s="23"/>
      <c r="S55" s="35">
        <f t="shared" si="19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07:53:16-700',mode:absolute,to:'2016-11-28 10:39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4.4699999999999997E-2</v>
      </c>
      <c r="Z55" s="67">
        <f t="shared" si="9"/>
        <v>23.333600000000001</v>
      </c>
      <c r="AA55" s="67">
        <f t="shared" si="10"/>
        <v>23.288900000000002</v>
      </c>
      <c r="AB55" s="64" t="str">
        <f>VLOOKUP(A55,Enforcements!$C$7:$K$20,8,0)</f>
        <v>Signal based authority (5)</v>
      </c>
      <c r="AC55" s="60" t="str">
        <f>VLOOKUP(A55,Enforcements!$C$7:$E$20,3,0)</f>
        <v>SIGNAL</v>
      </c>
      <c r="AD55" s="61" t="str">
        <f t="shared" si="11"/>
        <v>0143-28</v>
      </c>
      <c r="AE55" s="91" t="str">
        <f t="shared" si="12"/>
        <v>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 &amp; aws s3 cp s3://rtdc.mdm.uploadarchive.raw/RTDC4038/ "%USERPROFILE%\AppData\Local\Temp\OnboardLogs"\RTDC4038\2016-11-29 --exclude "*" --recursive --include "*20161129*" &amp; "%USERPROFILE%\Documents\GitHub\mrs-test-scripts\Headless Mode &amp; Sideloading\WalkAndUnGZ.bat" "%USERPROFILE%\AppData\Local\Temp\OnboardLogs"\RTDC4038\2016-11-29</v>
      </c>
      <c r="AF55" s="88" t="str">
        <f t="shared" si="13"/>
        <v>"C:\Program Files (x86)\AstroGrep\AstroGrep.exe" /spath="%USERPROFILE%\AppData\Local\Temp\OnboardLogs" /stypes="app*4038*20161128*"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143-28 --locoid 4038 --swversion DE.1.0.8.0 --startMP 204:447 --initTime 2016-11-28T08:53:16 --startdatetime 2016-11-28T09:00:16 --delay 1 --endMP 204:233336 --enddatetime 2016-11-28T09:39:23 --enforcementcount 0 &gt;&gt;C:\Users\stu\Documents\GitHub\eaglep3-reporting\EC\2016-11-28-refined-times.txt</v>
      </c>
      <c r="AI55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{"issue":{"subject":"","project_id":79,"tracker_id":40,"status_id":1,"priority_id":2,"assigned_to_id":23,"start_date":"2016-11-28","description":"","custom_fields":[{"id":1,"name":"Subdivision","value":"EC"},{"id":4,"name":"Milepost","value":"23.3336"},{"id":17,"name":"Train ID","value":"143-28"},{"id":16,"name":"Locomotive ID","value":"4038"},{"id":130,"name":"Impact","value":""},{"id":150,"name":"Time of Event (Mountain Time)","value":"09:39:23"},{"id":151,"name":"Denver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492</v>
      </c>
      <c r="B56" s="7">
        <v>4037</v>
      </c>
      <c r="C56" s="22" t="s">
        <v>212</v>
      </c>
      <c r="D56" s="22" t="s">
        <v>241</v>
      </c>
      <c r="E56" s="13">
        <v>42702.409745370373</v>
      </c>
      <c r="F56" s="13">
        <v>42702.414120370369</v>
      </c>
      <c r="G56" s="7">
        <v>1</v>
      </c>
      <c r="H56" s="22" t="s">
        <v>259</v>
      </c>
      <c r="I56" s="13">
        <v>42702.443055555559</v>
      </c>
      <c r="J56" s="7">
        <v>0</v>
      </c>
      <c r="K56" s="109" t="str">
        <f t="shared" si="0"/>
        <v>4037/4038</v>
      </c>
      <c r="L56" s="22" t="str">
        <f>VLOOKUP(A56,'Trips&amp;Operators'!$C$1:$E$10000,3,FALSE)</f>
        <v>HAITHCOX</v>
      </c>
      <c r="M56" s="6">
        <f t="shared" si="1"/>
        <v>2.8935185189766344E-2</v>
      </c>
      <c r="N56" s="7">
        <f t="shared" si="20"/>
        <v>41.666666673263535</v>
      </c>
      <c r="O56" s="7"/>
      <c r="P56" s="7"/>
      <c r="Q56" s="23"/>
      <c r="R56" s="23"/>
      <c r="S56" s="35">
        <f t="shared" si="19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08:50:02-700',mode:absolute,to:'2016-11-28 11:38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23.299399999999999</v>
      </c>
      <c r="Z56" s="67">
        <f t="shared" si="9"/>
        <v>1.3899999999999999E-2</v>
      </c>
      <c r="AA56" s="67">
        <f t="shared" si="10"/>
        <v>23.285499999999999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11"/>
        <v>0144-28</v>
      </c>
      <c r="AE56" s="91" t="str">
        <f t="shared" si="12"/>
        <v>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 &amp; aws s3 cp s3://rtdc.mdm.uploadarchive.raw/RTDC4037/ "%USERPROFILE%\AppData\Local\Temp\OnboardLogs"\RTDC4037\2016-11-29 --exclude "*" --recursive --include "*20161129*" &amp; "%USERPROFILE%\Documents\GitHub\mrs-test-scripts\Headless Mode &amp; Sideloading\WalkAndUnGZ.bat" "%USERPROFILE%\AppData\Local\Temp\OnboardLogs"\RTDC4037\2016-11-29</v>
      </c>
      <c r="AF56" s="88" t="str">
        <f t="shared" si="13"/>
        <v>"C:\Program Files (x86)\AstroGrep\AstroGrep.exe" /spath="%USERPROFILE%\AppData\Local\Temp\OnboardLogs" /stypes="app*4037*20161128*"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144-28 --locoid 4037 --swversion DE.1.0.8.0 --startMP 204:232994 --initTime 2016-11-28T09:50:02 --startdatetime 2016-11-28T09:56:20 --delay 1 --endMP 204:139 --enddatetime 2016-11-28T10:38:00 --enforcementcount 0 &gt;&gt;C:\Users\stu\Documents\GitHub\eaglep3-reporting\EC\2016-11-28-refined-times.txt</v>
      </c>
      <c r="AI56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{"issue":{"subject":"","project_id":79,"tracker_id":40,"status_id":1,"priority_id":2,"assigned_to_id":23,"start_date":"2016-11-28","description":"","custom_fields":[{"id":1,"name":"Subdivision","value":"EC"},{"id":4,"name":"Milepost","value":"0.0139"},{"id":17,"name":"Train ID","value":"144-28"},{"id":16,"name":"Locomotive ID","value":"4037"},{"id":130,"name":"Impact","value":""},{"id":150,"name":"Time of Event (Mountain Time)","value":"10:38:00"},{"id":151,"name":"Denver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487</v>
      </c>
      <c r="B57" s="7">
        <v>4040</v>
      </c>
      <c r="C57" s="22" t="s">
        <v>212</v>
      </c>
      <c r="D57" s="22" t="s">
        <v>315</v>
      </c>
      <c r="E57" s="13">
        <v>42702.380185185182</v>
      </c>
      <c r="F57" s="13">
        <v>42702.386111111111</v>
      </c>
      <c r="G57" s="7">
        <v>1</v>
      </c>
      <c r="H57" s="22" t="s">
        <v>644</v>
      </c>
      <c r="I57" s="13">
        <v>42702.410775462966</v>
      </c>
      <c r="J57" s="7">
        <v>0</v>
      </c>
      <c r="K57" s="109" t="str">
        <f t="shared" si="0"/>
        <v>4039/4040</v>
      </c>
      <c r="L57" s="22" t="str">
        <f>VLOOKUP(A57,'Trips&amp;Operators'!$C$1:$E$10000,3,FALSE)</f>
        <v>MAGEE</v>
      </c>
      <c r="M57" s="6">
        <f t="shared" si="1"/>
        <v>2.4664351854880806E-2</v>
      </c>
      <c r="N57" s="7">
        <f t="shared" si="20"/>
        <v>35.516666671028361</v>
      </c>
      <c r="O57" s="7"/>
      <c r="P57" s="7"/>
      <c r="Q57" s="23"/>
      <c r="R57" s="23"/>
      <c r="S57" s="35">
        <f t="shared" si="19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08:07:28-700',mode:absolute,to:'2016-11-28 10:51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4.7300000000000002E-2</v>
      </c>
      <c r="Z57" s="67">
        <f t="shared" si="9"/>
        <v>23.331700000000001</v>
      </c>
      <c r="AA57" s="67">
        <f t="shared" si="10"/>
        <v>23.284400000000002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1"/>
        <v>0145-28</v>
      </c>
      <c r="AE57" s="91" t="str">
        <f t="shared" si="12"/>
        <v>aws s3 cp s3://rtdc.mdm.uploadarchive.raw/RTDC4040/ "%USERPROFILE%\AppData\Local\Temp\OnboardLogs"\RTDC4040\2016-11-28 --exclude "*" --recursive --include "*20161128*" &amp; "%USERPROFILE%\Documents\GitHub\mrs-test-scripts\Headless Mode &amp; Sideloading\WalkAndUnGZ.bat" "%USERPROFILE%\AppData\Local\Temp\OnboardLogs"\RTDC4040\2016-11-28 &amp; 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</v>
      </c>
      <c r="AF57" s="88" t="str">
        <f t="shared" si="13"/>
        <v>"C:\Program Files (x86)\AstroGrep\AstroGrep.exe" /spath="%USERPROFILE%\AppData\Local\Temp\OnboardLogs" /stypes="app*4040*20161128*"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145-28 --locoid 4040 --swversion DE.1.0.8.0 --startMP 204:473 --initTime 2016-11-28T09:07:28 --startdatetime 2016-11-28T09:16:00 --delay 1 --endMP 204:233317 --enddatetime 2016-11-28T09:51:31 --enforcementcount 0 &gt;&gt;C:\Users\stu\Documents\GitHub\eaglep3-reporting\EC\2016-11-28-refined-times.txt</v>
      </c>
      <c r="AI57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{"issue":{"subject":"","project_id":79,"tracker_id":40,"status_id":1,"priority_id":2,"assigned_to_id":23,"start_date":"2016-11-28","description":"","custom_fields":[{"id":1,"name":"Subdivision","value":"EC"},{"id":4,"name":"Milepost","value":"23.3317"},{"id":17,"name":"Train ID","value":"145-28"},{"id":16,"name":"Locomotive ID","value":"4040"},{"id":130,"name":"Impact","value":""},{"id":150,"name":"Time of Event (Mountain Time)","value":"09:51:31"},{"id":151,"name":"Denver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495</v>
      </c>
      <c r="B58" s="7">
        <v>4039</v>
      </c>
      <c r="C58" s="22" t="s">
        <v>212</v>
      </c>
      <c r="D58" s="22" t="s">
        <v>237</v>
      </c>
      <c r="E58" s="13">
        <v>42702.416388888887</v>
      </c>
      <c r="F58" s="13">
        <v>42702.424687500003</v>
      </c>
      <c r="G58" s="7">
        <v>1</v>
      </c>
      <c r="H58" s="22" t="s">
        <v>329</v>
      </c>
      <c r="I58" s="13">
        <v>42702.450949074075</v>
      </c>
      <c r="J58" s="7">
        <v>0</v>
      </c>
      <c r="K58" s="109" t="str">
        <f t="shared" si="0"/>
        <v>4039/4040</v>
      </c>
      <c r="L58" s="22" t="str">
        <f>VLOOKUP(A58,'Trips&amp;Operators'!$C$1:$E$10000,3,FALSE)</f>
        <v>MAGEE</v>
      </c>
      <c r="M58" s="6">
        <f t="shared" si="1"/>
        <v>2.626157407212304E-2</v>
      </c>
      <c r="N58" s="7">
        <f t="shared" si="20"/>
        <v>37.816666663857177</v>
      </c>
      <c r="O58" s="7"/>
      <c r="P58" s="7"/>
      <c r="Q58" s="23"/>
      <c r="R58" s="23"/>
      <c r="S58" s="35">
        <f t="shared" si="19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08:59:36-700',mode:absolute,to:'2016-11-28 11:49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23.2987</v>
      </c>
      <c r="Z58" s="67">
        <f t="shared" si="9"/>
        <v>1.38E-2</v>
      </c>
      <c r="AA58" s="67">
        <f t="shared" si="10"/>
        <v>23.2849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1"/>
        <v>0146-28</v>
      </c>
      <c r="AE58" s="91" t="str">
        <f t="shared" si="12"/>
        <v>aws s3 cp s3://rtdc.mdm.uploadarchive.raw/RTDC4039/ "%USERPROFILE%\AppData\Local\Temp\OnboardLogs"\RTDC4039\2016-11-28 --exclude "*" --recursive --include "*20161128*" &amp; "%USERPROFILE%\Documents\GitHub\mrs-test-scripts\Headless Mode &amp; Sideloading\WalkAndUnGZ.bat" "%USERPROFILE%\AppData\Local\Temp\OnboardLogs"\RTDC4039\2016-11-28 &amp; 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</v>
      </c>
      <c r="AF58" s="88" t="str">
        <f t="shared" si="13"/>
        <v>"C:\Program Files (x86)\AstroGrep\AstroGrep.exe" /spath="%USERPROFILE%\AppData\Local\Temp\OnboardLogs" /stypes="app*4039*20161128*"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146-28 --locoid 4039 --swversion DE.1.0.8.0 --startMP 204:232987 --initTime 2016-11-28T09:59:36 --startdatetime 2016-11-28T10:11:33 --delay 1 --endMP 204:138 --enddatetime 2016-11-28T10:49:22 --enforcementcount 0 &gt;&gt;C:\Users\stu\Documents\GitHub\eaglep3-reporting\EC\2016-11-28-refined-times.txt</v>
      </c>
      <c r="AI58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{"issue":{"subject":"","project_id":79,"tracker_id":40,"status_id":1,"priority_id":2,"assigned_to_id":23,"start_date":"2016-11-28","description":"","custom_fields":[{"id":1,"name":"Subdivision","value":"EC"},{"id":4,"name":"Milepost","value":"0.0138"},{"id":17,"name":"Train ID","value":"146-28"},{"id":16,"name":"Locomotive ID","value":"4039"},{"id":130,"name":"Impact","value":""},{"id":150,"name":"Time of Event (Mountain Time)","value":"10:49:22"},{"id":151,"name":"Denver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489</v>
      </c>
      <c r="B59" s="7">
        <v>4002</v>
      </c>
      <c r="C59" s="22" t="s">
        <v>212</v>
      </c>
      <c r="D59" s="22" t="s">
        <v>257</v>
      </c>
      <c r="E59" s="13">
        <v>42702.390439814815</v>
      </c>
      <c r="F59" s="13">
        <v>42702.395995370367</v>
      </c>
      <c r="G59" s="7">
        <v>1</v>
      </c>
      <c r="H59" s="22" t="s">
        <v>379</v>
      </c>
      <c r="I59" s="13">
        <v>42702.423101851855</v>
      </c>
      <c r="J59" s="7">
        <v>0</v>
      </c>
      <c r="K59" s="109" t="str">
        <f t="shared" si="0"/>
        <v>4001/4002</v>
      </c>
      <c r="L59" s="22" t="str">
        <f>VLOOKUP(A59,'Trips&amp;Operators'!$C$1:$E$10000,3,FALSE)</f>
        <v>PERKINS</v>
      </c>
      <c r="M59" s="6">
        <f t="shared" si="1"/>
        <v>2.7106481487862766E-2</v>
      </c>
      <c r="N59" s="7">
        <f t="shared" si="20"/>
        <v>39.033333342522383</v>
      </c>
      <c r="O59" s="7"/>
      <c r="P59" s="7"/>
      <c r="Q59" s="23"/>
      <c r="R59" s="23"/>
      <c r="S59" s="35">
        <f t="shared" si="19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08:22:14-700',mode:absolute,to:'2016-11-28 11:09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4.5999999999999999E-2</v>
      </c>
      <c r="Z59" s="67">
        <f t="shared" si="9"/>
        <v>23.334900000000001</v>
      </c>
      <c r="AA59" s="67">
        <f t="shared" si="10"/>
        <v>23.288900000000002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11"/>
        <v>0147-28</v>
      </c>
      <c r="AE59" s="91" t="str">
        <f t="shared" si="12"/>
        <v>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 &amp; aws s3 cp s3://rtdc.mdm.uploadarchive.raw/RTDC4002/ "%USERPROFILE%\AppData\Local\Temp\OnboardLogs"\RTDC4002\2016-11-29 --exclude "*" --recursive --include "*20161129*" &amp; "%USERPROFILE%\Documents\GitHub\mrs-test-scripts\Headless Mode &amp; Sideloading\WalkAndUnGZ.bat" "%USERPROFILE%\AppData\Local\Temp\OnboardLogs"\RTDC4002\2016-11-29</v>
      </c>
      <c r="AF59" s="88" t="str">
        <f t="shared" si="13"/>
        <v>"C:\Program Files (x86)\AstroGrep\AstroGrep.exe" /spath="%USERPROFILE%\AppData\Local\Temp\OnboardLogs" /stypes="app*4002*20161128*"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147-28 --locoid 4002 --swversion DE.1.0.8.0 --startMP 204:460 --initTime 2016-11-28T09:22:14 --startdatetime 2016-11-28T09:30:14 --delay 1 --endMP 204:233349 --enddatetime 2016-11-28T10:09:16 --enforcementcount 0 &gt;&gt;C:\Users\stu\Documents\GitHub\eaglep3-reporting\EC\2016-11-28-refined-times.txt</v>
      </c>
      <c r="AI59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{"issue":{"subject":"","project_id":79,"tracker_id":40,"status_id":1,"priority_id":2,"assigned_to_id":23,"start_date":"2016-11-28","description":"","custom_fields":[{"id":1,"name":"Subdivision","value":"EC"},{"id":4,"name":"Milepost","value":"23.3349"},{"id":17,"name":"Train ID","value":"147-28"},{"id":16,"name":"Locomotive ID","value":"4002"},{"id":130,"name":"Impact","value":""},{"id":150,"name":"Time of Event (Mountain Time)","value":"10:09:16"},{"id":151,"name":"Denver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497</v>
      </c>
      <c r="B60" s="7">
        <v>4001</v>
      </c>
      <c r="C60" s="22" t="s">
        <v>212</v>
      </c>
      <c r="D60" s="22" t="s">
        <v>654</v>
      </c>
      <c r="E60" s="13">
        <v>42702.427731481483</v>
      </c>
      <c r="F60" s="13">
        <v>42702.435046296298</v>
      </c>
      <c r="G60" s="7">
        <v>1</v>
      </c>
      <c r="H60" s="22" t="s">
        <v>636</v>
      </c>
      <c r="I60" s="13">
        <v>42702.462905092594</v>
      </c>
      <c r="J60" s="7">
        <v>0</v>
      </c>
      <c r="K60" s="109" t="str">
        <f t="shared" si="0"/>
        <v>4001/4002</v>
      </c>
      <c r="L60" s="22" t="str">
        <f>VLOOKUP(A60,'Trips&amp;Operators'!$C$1:$E$10000,3,FALSE)</f>
        <v>PERKINS</v>
      </c>
      <c r="M60" s="6">
        <f t="shared" si="1"/>
        <v>2.7858796296641231E-2</v>
      </c>
      <c r="N60" s="7">
        <f t="shared" si="20"/>
        <v>40.116666667163372</v>
      </c>
      <c r="O60" s="7"/>
      <c r="P60" s="7"/>
      <c r="Q60" s="23"/>
      <c r="R60" s="23"/>
      <c r="S60" s="35">
        <f t="shared" si="19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09:15:56-700',mode:absolute,to:'2016-11-28 12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23.302800000000001</v>
      </c>
      <c r="Z60" s="67">
        <f t="shared" si="9"/>
        <v>1.52E-2</v>
      </c>
      <c r="AA60" s="67">
        <f t="shared" si="10"/>
        <v>23.287600000000001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11"/>
        <v>0148-28</v>
      </c>
      <c r="AE60" s="91" t="str">
        <f t="shared" si="12"/>
        <v>aws s3 cp s3://rtdc.mdm.uploadarchive.raw/RTDC4001/ "%USERPROFILE%\AppData\Local\Temp\OnboardLogs"\RTDC4001\2016-11-28 --exclude "*" --recursive --include "*20161128*" &amp; "%USERPROFILE%\Documents\GitHub\mrs-test-scripts\Headless Mode &amp; Sideloading\WalkAndUnGZ.bat" "%USERPROFILE%\AppData\Local\Temp\OnboardLogs"\RTDC4001\2016-11-28 &amp; aws s3 cp s3://rtdc.mdm.uploadarchive.raw/RTDC4001/ "%USERPROFILE%\AppData\Local\Temp\OnboardLogs"\RTDC4001\2016-11-29 --exclude "*" --recursive --include "*20161129*" &amp; "%USERPROFILE%\Documents\GitHub\mrs-test-scripts\Headless Mode &amp; Sideloading\WalkAndUnGZ.bat" "%USERPROFILE%\AppData\Local\Temp\OnboardLogs"\RTDC4001\2016-11-29</v>
      </c>
      <c r="AF60" s="88" t="str">
        <f t="shared" si="13"/>
        <v>"C:\Program Files (x86)\AstroGrep\AstroGrep.exe" /spath="%USERPROFILE%\AppData\Local\Temp\OnboardLogs" /stypes="app*4001*20161128*"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148-28 --locoid 4001 --swversion DE.1.0.8.0 --startMP 204:233028 --initTime 2016-11-28T10:15:56 --startdatetime 2016-11-28T10:26:28 --delay 1 --endMP 204:152 --enddatetime 2016-11-28T11:06:35 --enforcementcount 0 &gt;&gt;C:\Users\stu\Documents\GitHub\eaglep3-reporting\EC\2016-11-28-refined-times.txt</v>
      </c>
      <c r="AI60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{"issue":{"subject":"","project_id":79,"tracker_id":40,"status_id":1,"priority_id":2,"assigned_to_id":23,"start_date":"2016-11-28","description":"","custom_fields":[{"id":1,"name":"Subdivision","value":"EC"},{"id":4,"name":"Milepost","value":"0.0152"},{"id":17,"name":"Train ID","value":"148-28"},{"id":16,"name":"Locomotive ID","value":"4001"},{"id":130,"name":"Impact","value":""},{"id":150,"name":"Time of Event (Mountain Time)","value":"11:06:35"},{"id":151,"name":"Denver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406</v>
      </c>
      <c r="B61" s="7">
        <v>4042</v>
      </c>
      <c r="C61" s="22" t="s">
        <v>212</v>
      </c>
      <c r="D61" s="22" t="s">
        <v>257</v>
      </c>
      <c r="E61" s="13">
        <v>42702.404166666667</v>
      </c>
      <c r="F61" s="13">
        <v>42702.407708333332</v>
      </c>
      <c r="G61" s="7">
        <v>3</v>
      </c>
      <c r="H61" s="22" t="s">
        <v>258</v>
      </c>
      <c r="I61" s="13">
        <v>42702.431585648148</v>
      </c>
      <c r="J61" s="7">
        <v>0</v>
      </c>
      <c r="K61" s="109" t="str">
        <f t="shared" si="0"/>
        <v>4041/4042</v>
      </c>
      <c r="L61" s="22" t="str">
        <f>VLOOKUP(A61,'Trips&amp;Operators'!$C$1:$E$10000,3,FALSE)</f>
        <v>SPECTOR</v>
      </c>
      <c r="M61" s="6">
        <f t="shared" si="1"/>
        <v>2.3877314815763384E-2</v>
      </c>
      <c r="N61" s="7">
        <f t="shared" si="20"/>
        <v>34.383333334699273</v>
      </c>
      <c r="O61" s="7"/>
      <c r="P61" s="7"/>
      <c r="Q61" s="23"/>
      <c r="R61" s="23"/>
      <c r="S61" s="35">
        <f t="shared" si="19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08:42:00-700',mode:absolute,to:'2016-11-28 11:21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4.5999999999999999E-2</v>
      </c>
      <c r="Z61" s="67">
        <f t="shared" si="9"/>
        <v>23.330200000000001</v>
      </c>
      <c r="AA61" s="67">
        <f t="shared" si="10"/>
        <v>23.284200000000002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1"/>
        <v>0149-28</v>
      </c>
      <c r="AE61" s="91" t="str">
        <f t="shared" si="12"/>
        <v>aws s3 cp s3://rtdc.mdm.uploadarchive.raw/RTDC4042/ "%USERPROFILE%\AppData\Local\Temp\OnboardLogs"\RTDC4042\2016-11-28 --exclude "*" --recursive --include "*20161128*" &amp; "%USERPROFILE%\Documents\GitHub\mrs-test-scripts\Headless Mode &amp; Sideloading\WalkAndUnGZ.bat" "%USERPROFILE%\AppData\Local\Temp\OnboardLogs"\RTDC4042\2016-11-28 &amp; aws s3 cp s3://rtdc.mdm.uploadarchive.raw/RTDC4042/ "%USERPROFILE%\AppData\Local\Temp\OnboardLogs"\RTDC4042\2016-11-29 --exclude "*" --recursive --include "*20161129*" &amp; "%USERPROFILE%\Documents\GitHub\mrs-test-scripts\Headless Mode &amp; Sideloading\WalkAndUnGZ.bat" "%USERPROFILE%\AppData\Local\Temp\OnboardLogs"\RTDC4042\2016-11-29</v>
      </c>
      <c r="AF61" s="88" t="str">
        <f t="shared" si="13"/>
        <v>"C:\Program Files (x86)\AstroGrep\AstroGrep.exe" /spath="%USERPROFILE%\AppData\Local\Temp\OnboardLogs" /stypes="app*4042*20161128*"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149-28 --locoid 4042 --swversion DE.1.0.8.0 --startMP 204:460 --initTime 2016-11-28T09:42:00 --startdatetime 2016-11-28T09:47:06 --delay 3 --endMP 204:233302 --enddatetime 2016-11-28T10:21:29 --enforcementcount 0 &gt;&gt;C:\Users\stu\Documents\GitHub\eaglep3-reporting\EC\2016-11-28-refined-times.txt</v>
      </c>
      <c r="AI61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{"issue":{"subject":"","project_id":79,"tracker_id":40,"status_id":1,"priority_id":2,"assigned_to_id":23,"start_date":"2016-11-28","description":"","custom_fields":[{"id":1,"name":"Subdivision","value":"EC"},{"id":4,"name":"Milepost","value":"23.3302"},{"id":17,"name":"Train ID","value":"149-28"},{"id":16,"name":"Locomotive ID","value":"4042"},{"id":130,"name":"Impact","value":""},{"id":150,"name":"Time of Event (Mountain Time)","value":"10:21:29"},{"id":151,"name":"Denver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500</v>
      </c>
      <c r="B62" s="7">
        <v>4041</v>
      </c>
      <c r="C62" s="22" t="s">
        <v>212</v>
      </c>
      <c r="D62" s="22" t="s">
        <v>313</v>
      </c>
      <c r="E62" s="13">
        <v>42702.437430555554</v>
      </c>
      <c r="F62" s="13">
        <v>42702.445520833331</v>
      </c>
      <c r="G62" s="7">
        <v>2</v>
      </c>
      <c r="H62" s="22" t="s">
        <v>245</v>
      </c>
      <c r="I62" s="13">
        <v>42702.471168981479</v>
      </c>
      <c r="J62" s="7">
        <v>0</v>
      </c>
      <c r="K62" s="109" t="str">
        <f t="shared" si="0"/>
        <v>4041/4042</v>
      </c>
      <c r="L62" s="22" t="str">
        <f>VLOOKUP(A62,'Trips&amp;Operators'!$C$1:$E$10000,3,FALSE)</f>
        <v>SPECTOR</v>
      </c>
      <c r="M62" s="6">
        <f t="shared" si="1"/>
        <v>2.5648148148320615E-2</v>
      </c>
      <c r="N62" s="7">
        <f t="shared" si="20"/>
        <v>36.933333333581686</v>
      </c>
      <c r="O62" s="7"/>
      <c r="P62" s="7"/>
      <c r="Q62" s="23"/>
      <c r="R62" s="23"/>
      <c r="S62" s="35">
        <f t="shared" si="19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09:29:54-700',mode:absolute,to:'2016-11-28 12:18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23.298500000000001</v>
      </c>
      <c r="Z62" s="67">
        <f t="shared" si="9"/>
        <v>1.47E-2</v>
      </c>
      <c r="AA62" s="67">
        <f t="shared" si="10"/>
        <v>23.283799999999999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11"/>
        <v>0150-28</v>
      </c>
      <c r="AE62" s="91" t="str">
        <f t="shared" si="12"/>
        <v>aws s3 cp s3://rtdc.mdm.uploadarchive.raw/RTDC4041/ "%USERPROFILE%\AppData\Local\Temp\OnboardLogs"\RTDC4041\2016-11-28 --exclude "*" --recursive --include "*20161128*" &amp; "%USERPROFILE%\Documents\GitHub\mrs-test-scripts\Headless Mode &amp; Sideloading\WalkAndUnGZ.bat" "%USERPROFILE%\AppData\Local\Temp\OnboardLogs"\RTDC4041\2016-11-28 &amp; 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</v>
      </c>
      <c r="AF62" s="88" t="str">
        <f t="shared" si="13"/>
        <v>"C:\Program Files (x86)\AstroGrep\AstroGrep.exe" /spath="%USERPROFILE%\AppData\Local\Temp\OnboardLogs" /stypes="app*4041*20161128*"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150-28 --locoid 4041 --swversion DE.1.0.8.0 --startMP 204:232985 --initTime 2016-11-28T10:29:54 --startdatetime 2016-11-28T10:41:33 --delay 2 --endMP 204:147 --enddatetime 2016-11-28T11:18:29 --enforcementcount 0 &gt;&gt;C:\Users\stu\Documents\GitHub\eaglep3-reporting\EC\2016-11-28-refined-times.txt</v>
      </c>
      <c r="AI62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{"issue":{"subject":"","project_id":79,"tracker_id":40,"status_id":1,"priority_id":2,"assigned_to_id":23,"start_date":"2016-11-28","description":"","custom_fields":[{"id":1,"name":"Subdivision","value":"EC"},{"id":4,"name":"Milepost","value":"0.0147"},{"id":17,"name":"Train ID","value":"150-28"},{"id":16,"name":"Locomotive ID","value":"4041"},{"id":130,"name":"Impact","value":""},{"id":150,"name":"Time of Event (Mountain Time)","value":"11:18:29"},{"id":151,"name":"Denver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493</v>
      </c>
      <c r="B63" s="7">
        <v>4016</v>
      </c>
      <c r="C63" s="22" t="s">
        <v>212</v>
      </c>
      <c r="D63" s="22" t="s">
        <v>339</v>
      </c>
      <c r="E63" s="13">
        <v>42702.411979166667</v>
      </c>
      <c r="F63" s="13">
        <v>42702.41678240741</v>
      </c>
      <c r="G63" s="7">
        <v>1</v>
      </c>
      <c r="H63" s="22" t="s">
        <v>655</v>
      </c>
      <c r="I63" s="13">
        <v>42702.441724537035</v>
      </c>
      <c r="J63" s="7">
        <v>0</v>
      </c>
      <c r="K63" s="109" t="str">
        <f t="shared" si="0"/>
        <v>4015/4016</v>
      </c>
      <c r="L63" s="22" t="str">
        <f>VLOOKUP(A63,'Trips&amp;Operators'!$C$1:$E$10000,3,FALSE)</f>
        <v>CRAYTON</v>
      </c>
      <c r="M63" s="6">
        <f t="shared" si="1"/>
        <v>2.4942129624832887E-2</v>
      </c>
      <c r="N63" s="7">
        <f t="shared" si="20"/>
        <v>35.916666659759358</v>
      </c>
      <c r="O63" s="7"/>
      <c r="P63" s="7"/>
      <c r="Q63" s="23"/>
      <c r="R63" s="23"/>
      <c r="S63" s="35">
        <f t="shared" si="19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08:53:15-700',mode:absolute,to:'2016-11-28 11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4.7699999999999999E-2</v>
      </c>
      <c r="Z63" s="67">
        <f t="shared" si="9"/>
        <v>23.333200000000001</v>
      </c>
      <c r="AA63" s="67">
        <f t="shared" si="10"/>
        <v>23.285500000000003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1"/>
        <v>0151-28</v>
      </c>
      <c r="AE63" s="91" t="str">
        <f t="shared" si="12"/>
        <v>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 &amp; 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</v>
      </c>
      <c r="AF63" s="88" t="str">
        <f t="shared" si="13"/>
        <v>"C:\Program Files (x86)\AstroGrep\AstroGrep.exe" /spath="%USERPROFILE%\AppData\Local\Temp\OnboardLogs" /stypes="app*4016*20161128*"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151-28 --locoid 4016 --swversion DE.1.0.8.0 --startMP 204:477 --initTime 2016-11-28T09:53:15 --startdatetime 2016-11-28T10:00:10 --delay 1 --endMP 204:233332 --enddatetime 2016-11-28T10:36:05 --enforcementcount 0 &gt;&gt;C:\Users\stu\Documents\GitHub\eaglep3-reporting\EC\2016-11-28-refined-times.txt</v>
      </c>
      <c r="AI63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{"issue":{"subject":"","project_id":79,"tracker_id":40,"status_id":1,"priority_id":2,"assigned_to_id":23,"start_date":"2016-11-28","description":"","custom_fields":[{"id":1,"name":"Subdivision","value":"EC"},{"id":4,"name":"Milepost","value":"23.3332"},{"id":17,"name":"Train ID","value":"151-28"},{"id":16,"name":"Locomotive ID","value":"4016"},{"id":130,"name":"Impact","value":""},{"id":150,"name":"Time of Event (Mountain Time)","value":"10:36:05"},{"id":151,"name":"Denver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503</v>
      </c>
      <c r="B64" s="7">
        <v>4015</v>
      </c>
      <c r="C64" s="22" t="s">
        <v>212</v>
      </c>
      <c r="D64" s="22" t="s">
        <v>656</v>
      </c>
      <c r="E64" s="13">
        <v>42702.447187500002</v>
      </c>
      <c r="F64" s="13">
        <v>42702.455717592595</v>
      </c>
      <c r="G64" s="7">
        <v>0</v>
      </c>
      <c r="H64" s="22" t="s">
        <v>280</v>
      </c>
      <c r="I64" s="13">
        <v>42702.482523148145</v>
      </c>
      <c r="J64" s="7">
        <v>0</v>
      </c>
      <c r="K64" s="109" t="str">
        <f t="shared" si="0"/>
        <v>4015/4016</v>
      </c>
      <c r="L64" s="22" t="str">
        <f>VLOOKUP(A64,'Trips&amp;Operators'!$C$1:$E$10000,3,FALSE)</f>
        <v>CRAYTON</v>
      </c>
      <c r="M64" s="6">
        <f t="shared" si="1"/>
        <v>2.6805555549799465E-2</v>
      </c>
      <c r="N64" s="7">
        <f t="shared" si="20"/>
        <v>38.599999991711229</v>
      </c>
      <c r="O64" s="7"/>
      <c r="P64" s="7"/>
      <c r="Q64" s="23"/>
      <c r="R64" s="23"/>
      <c r="S64" s="35">
        <f t="shared" si="19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09:43:57-700',mode:absolute,to:'2016-11-28 12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23.300699999999999</v>
      </c>
      <c r="Z64" s="67">
        <f t="shared" si="9"/>
        <v>1.4500000000000001E-2</v>
      </c>
      <c r="AA64" s="67">
        <f t="shared" si="10"/>
        <v>23.286199999999997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1"/>
        <v>0152-28</v>
      </c>
      <c r="AE64" s="91" t="str">
        <f t="shared" si="12"/>
        <v>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 &amp; 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</v>
      </c>
      <c r="AF64" s="88" t="str">
        <f t="shared" si="13"/>
        <v>"C:\Program Files (x86)\AstroGrep\AstroGrep.exe" /spath="%USERPROFILE%\AppData\Local\Temp\OnboardLogs" /stypes="app*4015*20161128*"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152-28 --locoid 4015 --swversion DE.1.0.8.0 --startMP 204:233007 --initTime 2016-11-28T10:43:57 --startdatetime 2016-11-28T10:56:14 --delay 0 --endMP 204:145 --enddatetime 2016-11-28T11:34:50 --enforcementcount 0 &gt;&gt;C:\Users\stu\Documents\GitHub\eaglep3-reporting\EC\2016-11-28-refined-times.txt</v>
      </c>
      <c r="AI64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{"issue":{"subject":"","project_id":79,"tracker_id":40,"status_id":1,"priority_id":2,"assigned_to_id":23,"start_date":"2016-11-28","description":"","custom_fields":[{"id":1,"name":"Subdivision","value":"EC"},{"id":4,"name":"Milepost","value":"0.0145"},{"id":17,"name":"Train ID","value":"152-28"},{"id":16,"name":"Locomotive ID","value":"4015"},{"id":130,"name":"Impact","value":""},{"id":150,"name":"Time of Event (Mountain Time)","value":"11:34:50"},{"id":151,"name":"Denver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496</v>
      </c>
      <c r="B65" s="7">
        <v>4025</v>
      </c>
      <c r="C65" s="22" t="s">
        <v>212</v>
      </c>
      <c r="D65" s="22" t="s">
        <v>257</v>
      </c>
      <c r="E65" s="13">
        <v>42702.424386574072</v>
      </c>
      <c r="F65" s="13">
        <v>42702.427256944444</v>
      </c>
      <c r="G65" s="7">
        <v>1</v>
      </c>
      <c r="H65" s="22" t="s">
        <v>356</v>
      </c>
      <c r="I65" s="13">
        <v>42702.451874999999</v>
      </c>
      <c r="J65" s="7">
        <v>0</v>
      </c>
      <c r="K65" s="109" t="str">
        <f t="shared" si="0"/>
        <v>4025/4026</v>
      </c>
      <c r="L65" s="22" t="str">
        <f>VLOOKUP(A65,'Trips&amp;Operators'!$C$1:$E$10000,3,FALSE)</f>
        <v>STARKS</v>
      </c>
      <c r="M65" s="6">
        <f t="shared" si="1"/>
        <v>2.4618055555038154E-2</v>
      </c>
      <c r="N65" s="7">
        <f t="shared" si="20"/>
        <v>35.449999999254942</v>
      </c>
      <c r="O65" s="7"/>
      <c r="P65" s="7"/>
      <c r="Q65" s="23"/>
      <c r="R65" s="23"/>
      <c r="S65" s="35">
        <f t="shared" si="19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09:11:07-700',mode:absolute,to:'2016-11-28 11:50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4.5999999999999999E-2</v>
      </c>
      <c r="Z65" s="67">
        <f t="shared" si="9"/>
        <v>23.330400000000001</v>
      </c>
      <c r="AA65" s="67">
        <f t="shared" si="10"/>
        <v>23.284400000000002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1"/>
        <v>0153-28</v>
      </c>
      <c r="AE65" s="91" t="str">
        <f t="shared" si="12"/>
        <v>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 &amp; aws s3 cp s3://rtdc.mdm.uploadarchive.raw/RTDC4025/ "%USERPROFILE%\AppData\Local\Temp\OnboardLogs"\RTDC4025\2016-11-29 --exclude "*" --recursive --include "*20161129*" &amp; "%USERPROFILE%\Documents\GitHub\mrs-test-scripts\Headless Mode &amp; Sideloading\WalkAndUnGZ.bat" "%USERPROFILE%\AppData\Local\Temp\OnboardLogs"\RTDC4025\2016-11-29</v>
      </c>
      <c r="AF65" s="88" t="str">
        <f t="shared" si="13"/>
        <v>"C:\Program Files (x86)\AstroGrep\AstroGrep.exe" /spath="%USERPROFILE%\AppData\Local\Temp\OnboardLogs" /stypes="app*4025*20161128*"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153-28 --locoid 4025 --swversion DE.1.0.8.0 --startMP 204:460 --initTime 2016-11-28T10:11:07 --startdatetime 2016-11-28T10:15:15 --delay 1 --endMP 204:233304 --enddatetime 2016-11-28T10:50:42 --enforcementcount 0 &gt;&gt;C:\Users\stu\Documents\GitHub\eaglep3-reporting\EC\2016-11-28-refined-times.txt</v>
      </c>
      <c r="AI65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{"issue":{"subject":"","project_id":79,"tracker_id":40,"status_id":1,"priority_id":2,"assigned_to_id":23,"start_date":"2016-11-28","description":"","custom_fields":[{"id":1,"name":"Subdivision","value":"EC"},{"id":4,"name":"Milepost","value":"23.3304"},{"id":17,"name":"Train ID","value":"153-28"},{"id":16,"name":"Locomotive ID","value":"4025"},{"id":130,"name":"Impact","value":""},{"id":150,"name":"Time of Event (Mountain Time)","value":"10:50:42"},{"id":151,"name":"Denver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506</v>
      </c>
      <c r="B66" s="7">
        <v>4026</v>
      </c>
      <c r="C66" s="22" t="s">
        <v>212</v>
      </c>
      <c r="D66" s="22" t="s">
        <v>276</v>
      </c>
      <c r="E66" s="13">
        <v>42702.463125000002</v>
      </c>
      <c r="F66" s="13">
        <v>42702.46634259259</v>
      </c>
      <c r="G66" s="7">
        <v>1</v>
      </c>
      <c r="H66" s="22" t="s">
        <v>245</v>
      </c>
      <c r="I66" s="13">
        <v>42702.492858796293</v>
      </c>
      <c r="J66" s="7">
        <v>0</v>
      </c>
      <c r="K66" s="109" t="str">
        <f t="shared" si="0"/>
        <v>4025/4026</v>
      </c>
      <c r="L66" s="22" t="str">
        <f>VLOOKUP(A66,'Trips&amp;Operators'!$C$1:$E$10000,3,FALSE)</f>
        <v>STARKS</v>
      </c>
      <c r="M66" s="6">
        <f t="shared" si="1"/>
        <v>2.6516203703067731E-2</v>
      </c>
      <c r="N66" s="7">
        <f t="shared" si="20"/>
        <v>38.183333332417533</v>
      </c>
      <c r="O66" s="7"/>
      <c r="P66" s="7"/>
      <c r="Q66" s="23"/>
      <c r="R66" s="23"/>
      <c r="S66" s="35">
        <f t="shared" si="19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10:06:54-700',mode:absolute,to:'2016-11-28 12:49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23.2989</v>
      </c>
      <c r="Z66" s="67">
        <f t="shared" si="9"/>
        <v>1.47E-2</v>
      </c>
      <c r="AA66" s="67">
        <f t="shared" si="10"/>
        <v>23.284199999999998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11"/>
        <v>0154-28</v>
      </c>
      <c r="AE66" s="91" t="str">
        <f t="shared" si="12"/>
        <v>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 &amp; aws s3 cp s3://rtdc.mdm.uploadarchive.raw/RTDC4026/ "%USERPROFILE%\AppData\Local\Temp\OnboardLogs"\RTDC4026\2016-11-29 --exclude "*" --recursive --include "*20161129*" &amp; "%USERPROFILE%\Documents\GitHub\mrs-test-scripts\Headless Mode &amp; Sideloading\WalkAndUnGZ.bat" "%USERPROFILE%\AppData\Local\Temp\OnboardLogs"\RTDC4026\2016-11-29</v>
      </c>
      <c r="AF66" s="88" t="str">
        <f t="shared" si="13"/>
        <v>"C:\Program Files (x86)\AstroGrep\AstroGrep.exe" /spath="%USERPROFILE%\AppData\Local\Temp\OnboardLogs" /stypes="app*4026*20161128*"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154-28 --locoid 4026 --swversion DE.1.0.8.0 --startMP 204:232989 --initTime 2016-11-28T11:06:54 --startdatetime 2016-11-28T11:11:32 --delay 1 --endMP 204:147 --enddatetime 2016-11-28T11:49:43 --enforcementcount 0 &gt;&gt;C:\Users\stu\Documents\GitHub\eaglep3-reporting\EC\2016-11-28-refined-times.txt</v>
      </c>
      <c r="AI66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{"issue":{"subject":"","project_id":79,"tracker_id":40,"status_id":1,"priority_id":2,"assigned_to_id":23,"start_date":"2016-11-28","description":"","custom_fields":[{"id":1,"name":"Subdivision","value":"EC"},{"id":4,"name":"Milepost","value":"0.0147"},{"id":17,"name":"Train ID","value":"154-28"},{"id":16,"name":"Locomotive ID","value":"4026"},{"id":130,"name":"Impact","value":""},{"id":150,"name":"Time of Event (Mountain Time)","value":"11:49:43"},{"id":151,"name":"Denver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407</v>
      </c>
      <c r="B67" s="7">
        <v>4014</v>
      </c>
      <c r="C67" s="22" t="s">
        <v>212</v>
      </c>
      <c r="D67" s="22" t="s">
        <v>197</v>
      </c>
      <c r="E67" s="13">
        <v>42702.43540509259</v>
      </c>
      <c r="F67" s="13">
        <v>42702.43855324074</v>
      </c>
      <c r="G67" s="7">
        <v>2</v>
      </c>
      <c r="H67" s="22" t="s">
        <v>657</v>
      </c>
      <c r="I67" s="13">
        <v>42702.463206018518</v>
      </c>
      <c r="J67" s="7">
        <v>0</v>
      </c>
      <c r="K67" s="109" t="str">
        <f t="shared" si="0"/>
        <v>4013/4014</v>
      </c>
      <c r="L67" s="22" t="str">
        <f>VLOOKUP(A67,'Trips&amp;Operators'!$C$1:$E$10000,3,FALSE)</f>
        <v>DAVIS</v>
      </c>
      <c r="M67" s="6">
        <f t="shared" si="1"/>
        <v>2.4652777778101154E-2</v>
      </c>
      <c r="N67" s="7">
        <f t="shared" si="20"/>
        <v>35.500000000465661</v>
      </c>
      <c r="O67" s="7"/>
      <c r="P67" s="7"/>
      <c r="Q67" s="23"/>
      <c r="R67" s="23"/>
      <c r="S67" s="35">
        <f t="shared" si="19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09:26:59-700',mode:absolute,to:'2016-11-28 12:07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4.5100000000000001E-2</v>
      </c>
      <c r="Z67" s="67">
        <f t="shared" si="9"/>
        <v>23.3276</v>
      </c>
      <c r="AA67" s="67">
        <f t="shared" si="10"/>
        <v>23.282499999999999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11"/>
        <v>0155-28</v>
      </c>
      <c r="AE67" s="91" t="str">
        <f t="shared" si="12"/>
        <v>aws s3 cp s3://rtdc.mdm.uploadarchive.raw/RTDC4014/ "%USERPROFILE%\AppData\Local\Temp\OnboardLogs"\RTDC4014\2016-11-28 --exclude "*" --recursive --include "*20161128*" &amp; "%USERPROFILE%\Documents\GitHub\mrs-test-scripts\Headless Mode &amp; Sideloading\WalkAndUnGZ.bat" "%USERPROFILE%\AppData\Local\Temp\OnboardLogs"\RTDC4014\2016-11-28 &amp; 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</v>
      </c>
      <c r="AF67" s="88" t="str">
        <f t="shared" si="13"/>
        <v>"C:\Program Files (x86)\AstroGrep\AstroGrep.exe" /spath="%USERPROFILE%\AppData\Local\Temp\OnboardLogs" /stypes="app*4014*20161128*"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155-28 --locoid 4014 --swversion DE.1.0.8.0 --startMP 204:451 --initTime 2016-11-28T10:26:59 --startdatetime 2016-11-28T10:31:31 --delay 2 --endMP 204:233276 --enddatetime 2016-11-28T11:07:01 --enforcementcount 0 &gt;&gt;C:\Users\stu\Documents\GitHub\eaglep3-reporting\EC\2016-11-28-refined-times.txt</v>
      </c>
      <c r="AI67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{"issue":{"subject":"","project_id":79,"tracker_id":40,"status_id":1,"priority_id":2,"assigned_to_id":23,"start_date":"2016-11-28","description":"","custom_fields":[{"id":1,"name":"Subdivision","value":"EC"},{"id":4,"name":"Milepost","value":"23.3276"},{"id":17,"name":"Train ID","value":"155-28"},{"id":16,"name":"Locomotive ID","value":"4014"},{"id":130,"name":"Impact","value":""},{"id":150,"name":"Time of Event (Mountain Time)","value":"11:07:01"},{"id":151,"name":"Denver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510</v>
      </c>
      <c r="B68" s="7">
        <v>4013</v>
      </c>
      <c r="C68" s="22" t="s">
        <v>212</v>
      </c>
      <c r="D68" s="22" t="s">
        <v>334</v>
      </c>
      <c r="E68" s="13">
        <v>42702.470879629633</v>
      </c>
      <c r="F68" s="13">
        <v>42702.476574074077</v>
      </c>
      <c r="G68" s="7">
        <v>1</v>
      </c>
      <c r="H68" s="22" t="s">
        <v>280</v>
      </c>
      <c r="I68" s="13">
        <v>42702.504791666666</v>
      </c>
      <c r="J68" s="7">
        <v>0</v>
      </c>
      <c r="K68" s="109" t="str">
        <f t="shared" si="0"/>
        <v>4013/4014</v>
      </c>
      <c r="L68" s="22" t="str">
        <f>VLOOKUP(A68,'Trips&amp;Operators'!$C$1:$E$10000,3,FALSE)</f>
        <v>DAVIS</v>
      </c>
      <c r="M68" s="6">
        <f t="shared" si="1"/>
        <v>2.8217592589498963E-2</v>
      </c>
      <c r="N68" s="7">
        <f t="shared" si="20"/>
        <v>40.633333328878507</v>
      </c>
      <c r="O68" s="7"/>
      <c r="P68" s="7"/>
      <c r="Q68" s="23"/>
      <c r="R68" s="23"/>
      <c r="S68" s="35">
        <f t="shared" si="19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10:18:04-700',mode:absolute,to:'2016-11-28 13:06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23.298200000000001</v>
      </c>
      <c r="Z68" s="67">
        <f t="shared" si="9"/>
        <v>1.4500000000000001E-2</v>
      </c>
      <c r="AA68" s="67">
        <f t="shared" si="10"/>
        <v>23.2837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11"/>
        <v>0156-28</v>
      </c>
      <c r="AE68" s="91" t="str">
        <f t="shared" si="12"/>
        <v>aws s3 cp s3://rtdc.mdm.uploadarchive.raw/RTDC4013/ "%USERPROFILE%\AppData\Local\Temp\OnboardLogs"\RTDC4013\2016-11-28 --exclude "*" --recursive --include "*20161128*" &amp; "%USERPROFILE%\Documents\GitHub\mrs-test-scripts\Headless Mode &amp; Sideloading\WalkAndUnGZ.bat" "%USERPROFILE%\AppData\Local\Temp\OnboardLogs"\RTDC4013\2016-11-28 &amp; 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</v>
      </c>
      <c r="AF68" s="88" t="str">
        <f t="shared" si="13"/>
        <v>"C:\Program Files (x86)\AstroGrep\AstroGrep.exe" /spath="%USERPROFILE%\AppData\Local\Temp\OnboardLogs" /stypes="app*4013*20161128*"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156-28 --locoid 4013 --swversion DE.1.0.8.0 --startMP 204:232982 --initTime 2016-11-28T11:18:04 --startdatetime 2016-11-28T11:26:16 --delay 1 --endMP 204:145 --enddatetime 2016-11-28T12:06:54 --enforcementcount 0 &gt;&gt;C:\Users\stu\Documents\GitHub\eaglep3-reporting\EC\2016-11-28-refined-times.txt</v>
      </c>
      <c r="AI68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{"issue":{"subject":"","project_id":79,"tracker_id":40,"status_id":1,"priority_id":2,"assigned_to_id":23,"start_date":"2016-11-28","description":"","custom_fields":[{"id":1,"name":"Subdivision","value":"EC"},{"id":4,"name":"Milepost","value":"0.0145"},{"id":17,"name":"Train ID","value":"156-28"},{"id":16,"name":"Locomotive ID","value":"4013"},{"id":130,"name":"Impact","value":""},{"id":150,"name":"Time of Event (Mountain Time)","value":"12:06:54"},{"id":151,"name":"Denver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502</v>
      </c>
      <c r="B69" s="7">
        <v>4038</v>
      </c>
      <c r="C69" s="22" t="s">
        <v>212</v>
      </c>
      <c r="D69" s="22" t="s">
        <v>260</v>
      </c>
      <c r="E69" s="13">
        <v>42702.444722222222</v>
      </c>
      <c r="F69" s="13">
        <v>42702.448171296295</v>
      </c>
      <c r="G69" s="7">
        <v>1</v>
      </c>
      <c r="H69" s="22" t="s">
        <v>268</v>
      </c>
      <c r="I69" s="13">
        <v>42702.473055555558</v>
      </c>
      <c r="J69" s="7">
        <v>0</v>
      </c>
      <c r="K69" s="109" t="str">
        <f t="shared" si="0"/>
        <v>4037/4038</v>
      </c>
      <c r="L69" s="22" t="str">
        <f>VLOOKUP(A69,'Trips&amp;Operators'!$C$1:$E$10000,3,FALSE)</f>
        <v>HAITHCOX</v>
      </c>
      <c r="M69" s="6">
        <f t="shared" si="1"/>
        <v>2.4884259262762498E-2</v>
      </c>
      <c r="N69" s="7">
        <f t="shared" si="20"/>
        <v>35.833333338377997</v>
      </c>
      <c r="O69" s="7"/>
      <c r="P69" s="7"/>
      <c r="Q69" s="23"/>
      <c r="R69" s="23"/>
      <c r="S69" s="35">
        <f t="shared" si="19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09:40:24-700',mode:absolute,to:'2016-11-28 12:21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4.5699999999999998E-2</v>
      </c>
      <c r="Z69" s="67">
        <f t="shared" si="9"/>
        <v>23.3306</v>
      </c>
      <c r="AA69" s="67">
        <f t="shared" si="10"/>
        <v>23.2849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11"/>
        <v>0157-28</v>
      </c>
      <c r="AE69" s="91" t="str">
        <f t="shared" si="12"/>
        <v>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 &amp; aws s3 cp s3://rtdc.mdm.uploadarchive.raw/RTDC4038/ "%USERPROFILE%\AppData\Local\Temp\OnboardLogs"\RTDC4038\2016-11-29 --exclude "*" --recursive --include "*20161129*" &amp; "%USERPROFILE%\Documents\GitHub\mrs-test-scripts\Headless Mode &amp; Sideloading\WalkAndUnGZ.bat" "%USERPROFILE%\AppData\Local\Temp\OnboardLogs"\RTDC4038\2016-11-29</v>
      </c>
      <c r="AF69" s="88" t="str">
        <f t="shared" si="13"/>
        <v>"C:\Program Files (x86)\AstroGrep\AstroGrep.exe" /spath="%USERPROFILE%\AppData\Local\Temp\OnboardLogs" /stypes="app*4038*20161128*"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157-28 --locoid 4038 --swversion DE.1.0.8.0 --startMP 204:457 --initTime 2016-11-28T10:40:24 --startdatetime 2016-11-28T10:45:22 --delay 1 --endMP 204:233306 --enddatetime 2016-11-28T11:21:12 --enforcementcount 0 &gt;&gt;C:\Users\stu\Documents\GitHub\eaglep3-reporting\EC\2016-11-28-refined-times.txt</v>
      </c>
      <c r="AI69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{"issue":{"subject":"","project_id":79,"tracker_id":40,"status_id":1,"priority_id":2,"assigned_to_id":23,"start_date":"2016-11-28","description":"","custom_fields":[{"id":1,"name":"Subdivision","value":"EC"},{"id":4,"name":"Milepost","value":"23.3306"},{"id":17,"name":"Train ID","value":"157-28"},{"id":16,"name":"Locomotive ID","value":"4038"},{"id":130,"name":"Impact","value":""},{"id":150,"name":"Time of Event (Mountain Time)","value":"11:21:12"},{"id":151,"name":"Denver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513</v>
      </c>
      <c r="B70" s="7">
        <v>4037</v>
      </c>
      <c r="C70" s="22" t="s">
        <v>212</v>
      </c>
      <c r="D70" s="22" t="s">
        <v>276</v>
      </c>
      <c r="E70" s="13">
        <v>42702.482719907406</v>
      </c>
      <c r="F70" s="13">
        <v>42702.487037037034</v>
      </c>
      <c r="G70" s="7">
        <v>1</v>
      </c>
      <c r="H70" s="22" t="s">
        <v>329</v>
      </c>
      <c r="I70" s="13">
        <v>42702.513622685183</v>
      </c>
      <c r="J70" s="7">
        <v>0</v>
      </c>
      <c r="K70" s="109" t="str">
        <f t="shared" si="0"/>
        <v>4037/4038</v>
      </c>
      <c r="L70" s="22" t="str">
        <f>VLOOKUP(A70,'Trips&amp;Operators'!$C$1:$E$10000,3,FALSE)</f>
        <v>HAITHCOX</v>
      </c>
      <c r="M70" s="6">
        <f t="shared" si="1"/>
        <v>2.658564814919373E-2</v>
      </c>
      <c r="N70" s="7">
        <f t="shared" si="20"/>
        <v>38.283333334838971</v>
      </c>
      <c r="O70" s="7"/>
      <c r="P70" s="7"/>
      <c r="Q70" s="23"/>
      <c r="R70" s="23"/>
      <c r="S70" s="35">
        <f t="shared" si="19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10:35:07-700',mode:absolute,to:'2016-11-28 13:19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23.2989</v>
      </c>
      <c r="Z70" s="67">
        <f t="shared" si="9"/>
        <v>1.38E-2</v>
      </c>
      <c r="AA70" s="67">
        <f t="shared" si="10"/>
        <v>23.2851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11"/>
        <v>0158-28</v>
      </c>
      <c r="AE70" s="91" t="str">
        <f t="shared" si="12"/>
        <v>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 &amp; aws s3 cp s3://rtdc.mdm.uploadarchive.raw/RTDC4037/ "%USERPROFILE%\AppData\Local\Temp\OnboardLogs"\RTDC4037\2016-11-29 --exclude "*" --recursive --include "*20161129*" &amp; "%USERPROFILE%\Documents\GitHub\mrs-test-scripts\Headless Mode &amp; Sideloading\WalkAndUnGZ.bat" "%USERPROFILE%\AppData\Local\Temp\OnboardLogs"\RTDC4037\2016-11-29</v>
      </c>
      <c r="AF70" s="88" t="str">
        <f t="shared" si="13"/>
        <v>"C:\Program Files (x86)\AstroGrep\AstroGrep.exe" /spath="%USERPROFILE%\AppData\Local\Temp\OnboardLogs" /stypes="app*4037*20161128*"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158-28 --locoid 4037 --swversion DE.1.0.8.0 --startMP 204:232989 --initTime 2016-11-28T11:35:07 --startdatetime 2016-11-28T11:41:20 --delay 1 --endMP 204:138 --enddatetime 2016-11-28T12:19:37 --enforcementcount 0 &gt;&gt;C:\Users\stu\Documents\GitHub\eaglep3-reporting\EC\2016-11-28-refined-times.txt</v>
      </c>
      <c r="AI70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{"issue":{"subject":"","project_id":79,"tracker_id":40,"status_id":1,"priority_id":2,"assigned_to_id":23,"start_date":"2016-11-28","description":"","custom_fields":[{"id":1,"name":"Subdivision","value":"EC"},{"id":4,"name":"Milepost","value":"0.0138"},{"id":17,"name":"Train ID","value":"158-28"},{"id":16,"name":"Locomotive ID","value":"4037"},{"id":130,"name":"Impact","value":""},{"id":150,"name":"Time of Event (Mountain Time)","value":"12:19:37"},{"id":151,"name":"Denver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504</v>
      </c>
      <c r="B71" s="7">
        <v>4040</v>
      </c>
      <c r="C71" s="22" t="s">
        <v>212</v>
      </c>
      <c r="D71" s="22" t="s">
        <v>234</v>
      </c>
      <c r="E71" s="13">
        <v>42702.453506944446</v>
      </c>
      <c r="F71" s="13">
        <v>42702.458553240744</v>
      </c>
      <c r="G71" s="7">
        <v>2</v>
      </c>
      <c r="H71" s="22" t="s">
        <v>374</v>
      </c>
      <c r="I71" s="13">
        <v>42702.48300925926</v>
      </c>
      <c r="J71" s="7">
        <v>0</v>
      </c>
      <c r="K71" s="109" t="str">
        <f t="shared" si="0"/>
        <v>4039/4040</v>
      </c>
      <c r="L71" s="22" t="str">
        <f>VLOOKUP(A71,'Trips&amp;Operators'!$C$1:$E$10000,3,FALSE)</f>
        <v>STEWART</v>
      </c>
      <c r="M71" s="6">
        <f t="shared" si="1"/>
        <v>2.4456018516502809E-2</v>
      </c>
      <c r="N71" s="7">
        <f t="shared" si="20"/>
        <v>35.216666663764045</v>
      </c>
      <c r="O71" s="7"/>
      <c r="P71" s="7"/>
      <c r="Q71" s="23"/>
      <c r="R71" s="23"/>
      <c r="S71" s="35">
        <f t="shared" si="19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09:53:03-700',mode:absolute,to:'2016-11-28 12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4.6600000000000003E-2</v>
      </c>
      <c r="Z71" s="67">
        <f t="shared" si="9"/>
        <v>23.328900000000001</v>
      </c>
      <c r="AA71" s="67">
        <f t="shared" si="10"/>
        <v>23.282299999999999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1"/>
        <v>0159-28</v>
      </c>
      <c r="AE71" s="91" t="str">
        <f t="shared" si="12"/>
        <v>aws s3 cp s3://rtdc.mdm.uploadarchive.raw/RTDC4040/ "%USERPROFILE%\AppData\Local\Temp\OnboardLogs"\RTDC4040\2016-11-28 --exclude "*" --recursive --include "*20161128*" &amp; "%USERPROFILE%\Documents\GitHub\mrs-test-scripts\Headless Mode &amp; Sideloading\WalkAndUnGZ.bat" "%USERPROFILE%\AppData\Local\Temp\OnboardLogs"\RTDC4040\2016-11-28 &amp; 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</v>
      </c>
      <c r="AF71" s="88" t="str">
        <f t="shared" si="13"/>
        <v>"C:\Program Files (x86)\AstroGrep\AstroGrep.exe" /spath="%USERPROFILE%\AppData\Local\Temp\OnboardLogs" /stypes="app*4040*20161128*"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159-28 --locoid 4040 --swversion DE.1.0.8.0 --startMP 204:466 --initTime 2016-11-28T10:53:03 --startdatetime 2016-11-28T11:00:19 --delay 2 --endMP 204:233289 --enddatetime 2016-11-28T11:35:32 --enforcementcount 0 &gt;&gt;C:\Users\stu\Documents\GitHub\eaglep3-reporting\EC\2016-11-28-refined-times.txt</v>
      </c>
      <c r="AI71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{"issue":{"subject":"","project_id":79,"tracker_id":40,"status_id":1,"priority_id":2,"assigned_to_id":23,"start_date":"2016-11-28","description":"","custom_fields":[{"id":1,"name":"Subdivision","value":"EC"},{"id":4,"name":"Milepost","value":"23.3289"},{"id":17,"name":"Train ID","value":"159-28"},{"id":16,"name":"Locomotive ID","value":"4040"},{"id":130,"name":"Impact","value":""},{"id":150,"name":"Time of Event (Mountain Time)","value":"11:35:32"},{"id":151,"name":"Denver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516</v>
      </c>
      <c r="B72" s="7">
        <v>4039</v>
      </c>
      <c r="C72" s="22" t="s">
        <v>212</v>
      </c>
      <c r="D72" s="22" t="s">
        <v>639</v>
      </c>
      <c r="E72" s="13">
        <v>42702.493854166663</v>
      </c>
      <c r="F72" s="13">
        <v>42702.497534722221</v>
      </c>
      <c r="G72" s="7">
        <v>2</v>
      </c>
      <c r="H72" s="22" t="s">
        <v>636</v>
      </c>
      <c r="I72" s="13">
        <v>42702.523946759262</v>
      </c>
      <c r="J72" s="7">
        <v>0</v>
      </c>
      <c r="K72" s="109" t="str">
        <f t="shared" si="0"/>
        <v>4039/4040</v>
      </c>
      <c r="L72" s="22" t="str">
        <f>VLOOKUP(A72,'Trips&amp;Operators'!$C$1:$E$10000,3,FALSE)</f>
        <v>STEWART</v>
      </c>
      <c r="M72" s="6">
        <f t="shared" si="1"/>
        <v>2.641203704115469E-2</v>
      </c>
      <c r="N72" s="7">
        <f t="shared" si="20"/>
        <v>38.033333339262754</v>
      </c>
      <c r="O72" s="7"/>
      <c r="P72" s="7"/>
      <c r="Q72" s="23"/>
      <c r="R72" s="23"/>
      <c r="S72" s="35">
        <f t="shared" si="19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10:51:09-700',mode:absolute,to:'2016-11-28 13:34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23.296500000000002</v>
      </c>
      <c r="Z72" s="67">
        <f t="shared" si="9"/>
        <v>1.52E-2</v>
      </c>
      <c r="AA72" s="67">
        <f t="shared" si="10"/>
        <v>23.281300000000002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11"/>
        <v>0160-28</v>
      </c>
      <c r="AE72" s="91" t="str">
        <f t="shared" si="12"/>
        <v>aws s3 cp s3://rtdc.mdm.uploadarchive.raw/RTDC4039/ "%USERPROFILE%\AppData\Local\Temp\OnboardLogs"\RTDC4039\2016-11-28 --exclude "*" --recursive --include "*20161128*" &amp; "%USERPROFILE%\Documents\GitHub\mrs-test-scripts\Headless Mode &amp; Sideloading\WalkAndUnGZ.bat" "%USERPROFILE%\AppData\Local\Temp\OnboardLogs"\RTDC4039\2016-11-28 &amp; 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</v>
      </c>
      <c r="AF72" s="88" t="str">
        <f t="shared" si="13"/>
        <v>"C:\Program Files (x86)\AstroGrep\AstroGrep.exe" /spath="%USERPROFILE%\AppData\Local\Temp\OnboardLogs" /stypes="app*4039*20161128*"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160-28 --locoid 4039 --swversion DE.1.0.8.0 --startMP 204:232965 --initTime 2016-11-28T11:51:09 --startdatetime 2016-11-28T11:56:27 --delay 2 --endMP 204:152 --enddatetime 2016-11-28T12:34:29 --enforcementcount 0 &gt;&gt;C:\Users\stu\Documents\GitHub\eaglep3-reporting\EC\2016-11-28-refined-times.txt</v>
      </c>
      <c r="AI72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{"issue":{"subject":"","project_id":79,"tracker_id":40,"status_id":1,"priority_id":2,"assigned_to_id":23,"start_date":"2016-11-28","description":"","custom_fields":[{"id":1,"name":"Subdivision","value":"EC"},{"id":4,"name":"Milepost","value":"0.0152"},{"id":17,"name":"Train ID","value":"160-28"},{"id":16,"name":"Locomotive ID","value":"4039"},{"id":130,"name":"Impact","value":""},{"id":150,"name":"Time of Event (Mountain Time)","value":"12:34:29"},{"id":151,"name":"Denver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507</v>
      </c>
      <c r="B73" s="7">
        <v>4002</v>
      </c>
      <c r="C73" s="22" t="s">
        <v>212</v>
      </c>
      <c r="D73" s="22" t="s">
        <v>269</v>
      </c>
      <c r="E73" s="13">
        <v>42702.464803240742</v>
      </c>
      <c r="F73" s="13">
        <v>42702.468912037039</v>
      </c>
      <c r="G73" s="7">
        <v>1</v>
      </c>
      <c r="H73" s="22" t="s">
        <v>356</v>
      </c>
      <c r="I73" s="13">
        <v>42702.493831018517</v>
      </c>
      <c r="J73" s="7">
        <v>0</v>
      </c>
      <c r="K73" s="109" t="str">
        <f t="shared" si="0"/>
        <v>4001/4002</v>
      </c>
      <c r="L73" s="22" t="str">
        <f>VLOOKUP(A73,'Trips&amp;Operators'!$C$1:$E$10000,3,FALSE)</f>
        <v>BARTLETT</v>
      </c>
      <c r="M73" s="6">
        <f t="shared" si="1"/>
        <v>2.491898147854954E-2</v>
      </c>
      <c r="N73" s="7">
        <f t="shared" si="20"/>
        <v>35.883333329111338</v>
      </c>
      <c r="O73" s="7"/>
      <c r="P73" s="7"/>
      <c r="Q73" s="23"/>
      <c r="R73" s="23"/>
      <c r="S73" s="35">
        <f t="shared" si="19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10:09:19-700',mode:absolute,to:'2016-11-28 12:51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4.6899999999999997E-2</v>
      </c>
      <c r="Z73" s="67">
        <f t="shared" si="9"/>
        <v>23.330400000000001</v>
      </c>
      <c r="AA73" s="67">
        <f t="shared" si="10"/>
        <v>23.2835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1"/>
        <v>0161-28</v>
      </c>
      <c r="AE73" s="91" t="str">
        <f t="shared" si="12"/>
        <v>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 &amp; aws s3 cp s3://rtdc.mdm.uploadarchive.raw/RTDC4002/ "%USERPROFILE%\AppData\Local\Temp\OnboardLogs"\RTDC4002\2016-11-29 --exclude "*" --recursive --include "*20161129*" &amp; "%USERPROFILE%\Documents\GitHub\mrs-test-scripts\Headless Mode &amp; Sideloading\WalkAndUnGZ.bat" "%USERPROFILE%\AppData\Local\Temp\OnboardLogs"\RTDC4002\2016-11-29</v>
      </c>
      <c r="AF73" s="88" t="str">
        <f t="shared" si="13"/>
        <v>"C:\Program Files (x86)\AstroGrep\AstroGrep.exe" /spath="%USERPROFILE%\AppData\Local\Temp\OnboardLogs" /stypes="app*4002*20161128*"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161-28 --locoid 4002 --swversion DE.1.0.8.0 --startMP 204:469 --initTime 2016-11-28T11:09:19 --startdatetime 2016-11-28T11:15:14 --delay 1 --endMP 204:233304 --enddatetime 2016-11-28T11:51:07 --enforcementcount 0 &gt;&gt;C:\Users\stu\Documents\GitHub\eaglep3-reporting\EC\2016-11-28-refined-times.txt</v>
      </c>
      <c r="AI73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{"issue":{"subject":"","project_id":79,"tracker_id":40,"status_id":1,"priority_id":2,"assigned_to_id":23,"start_date":"2016-11-28","description":"","custom_fields":[{"id":1,"name":"Subdivision","value":"EC"},{"id":4,"name":"Milepost","value":"23.3304"},{"id":17,"name":"Train ID","value":"161-28"},{"id":16,"name":"Locomotive ID","value":"4002"},{"id":130,"name":"Impact","value":""},{"id":150,"name":"Time of Event (Mountain Time)","value":"11:51:07"},{"id":151,"name":"Denver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517</v>
      </c>
      <c r="B74" s="7">
        <v>4001</v>
      </c>
      <c r="C74" s="22" t="s">
        <v>212</v>
      </c>
      <c r="D74" s="22" t="s">
        <v>361</v>
      </c>
      <c r="E74" s="13">
        <v>42702.496307870373</v>
      </c>
      <c r="F74" s="13">
        <v>42702.5078587963</v>
      </c>
      <c r="G74" s="7">
        <v>2</v>
      </c>
      <c r="H74" s="22" t="s">
        <v>219</v>
      </c>
      <c r="I74" s="13">
        <v>42702.53434027778</v>
      </c>
      <c r="J74" s="7">
        <v>0</v>
      </c>
      <c r="K74" s="109" t="str">
        <f t="shared" si="0"/>
        <v>4001/4002</v>
      </c>
      <c r="L74" s="22" t="str">
        <f>VLOOKUP(A74,'Trips&amp;Operators'!$C$1:$E$10000,3,FALSE)</f>
        <v>BARTLETT</v>
      </c>
      <c r="M74" s="6">
        <f t="shared" si="1"/>
        <v>2.6481481480004732E-2</v>
      </c>
      <c r="N74" s="7">
        <f t="shared" si="20"/>
        <v>38.133333331206813</v>
      </c>
      <c r="O74" s="7"/>
      <c r="P74" s="7"/>
      <c r="Q74" s="23"/>
      <c r="R74" s="23"/>
      <c r="S74" s="35">
        <f t="shared" si="19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10:54:41-700',mode:absolute,to:'2016-11-28 13:49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23.299099999999999</v>
      </c>
      <c r="Z74" s="67">
        <f t="shared" si="9"/>
        <v>1.4999999999999999E-2</v>
      </c>
      <c r="AA74" s="67">
        <f t="shared" si="10"/>
        <v>23.284099999999999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1"/>
        <v>0162-28</v>
      </c>
      <c r="AE74" s="91" t="str">
        <f t="shared" si="12"/>
        <v>aws s3 cp s3://rtdc.mdm.uploadarchive.raw/RTDC4001/ "%USERPROFILE%\AppData\Local\Temp\OnboardLogs"\RTDC4001\2016-11-28 --exclude "*" --recursive --include "*20161128*" &amp; "%USERPROFILE%\Documents\GitHub\mrs-test-scripts\Headless Mode &amp; Sideloading\WalkAndUnGZ.bat" "%USERPROFILE%\AppData\Local\Temp\OnboardLogs"\RTDC4001\2016-11-28 &amp; aws s3 cp s3://rtdc.mdm.uploadarchive.raw/RTDC4001/ "%USERPROFILE%\AppData\Local\Temp\OnboardLogs"\RTDC4001\2016-11-29 --exclude "*" --recursive --include "*20161129*" &amp; "%USERPROFILE%\Documents\GitHub\mrs-test-scripts\Headless Mode &amp; Sideloading\WalkAndUnGZ.bat" "%USERPROFILE%\AppData\Local\Temp\OnboardLogs"\RTDC4001\2016-11-29</v>
      </c>
      <c r="AF74" s="88" t="str">
        <f t="shared" si="13"/>
        <v>"C:\Program Files (x86)\AstroGrep\AstroGrep.exe" /spath="%USERPROFILE%\AppData\Local\Temp\OnboardLogs" /stypes="app*4001*20161128*"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162-28 --locoid 4001 --swversion DE.1.0.8.0 --startMP 204:232991 --initTime 2016-11-28T11:54:41 --startdatetime 2016-11-28T12:11:19 --delay 2 --endMP 204:150 --enddatetime 2016-11-28T12:49:27 --enforcementcount 0 &gt;&gt;C:\Users\stu\Documents\GitHub\eaglep3-reporting\EC\2016-11-28-refined-times.txt</v>
      </c>
      <c r="AI74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{"issue":{"subject":"","project_id":79,"tracker_id":40,"status_id":1,"priority_id":2,"assigned_to_id":23,"start_date":"2016-11-28","description":"","custom_fields":[{"id":1,"name":"Subdivision","value":"EC"},{"id":4,"name":"Milepost","value":"0.015"},{"id":17,"name":"Train ID","value":"162-28"},{"id":16,"name":"Locomotive ID","value":"4001"},{"id":130,"name":"Impact","value":""},{"id":150,"name":"Time of Event (Mountain Time)","value":"12:49:27"},{"id":151,"name":"Denver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511</v>
      </c>
      <c r="B75" s="7">
        <v>4042</v>
      </c>
      <c r="C75" s="22" t="s">
        <v>212</v>
      </c>
      <c r="D75" s="22" t="s">
        <v>633</v>
      </c>
      <c r="E75" s="13">
        <v>42702.473969907405</v>
      </c>
      <c r="F75" s="13">
        <v>42702.479432870372</v>
      </c>
      <c r="G75" s="7">
        <v>1</v>
      </c>
      <c r="H75" s="22" t="s">
        <v>314</v>
      </c>
      <c r="I75" s="13">
        <v>42702.504050925927</v>
      </c>
      <c r="J75" s="7">
        <v>0</v>
      </c>
      <c r="K75" s="109" t="str">
        <f t="shared" si="0"/>
        <v>4041/4042</v>
      </c>
      <c r="L75" s="22" t="str">
        <f>VLOOKUP(A75,'Trips&amp;Operators'!$C$1:$E$10000,3,FALSE)</f>
        <v>BONDS</v>
      </c>
      <c r="M75" s="6">
        <f t="shared" si="1"/>
        <v>2.4618055555038154E-2</v>
      </c>
      <c r="N75" s="7">
        <f t="shared" si="20"/>
        <v>35.449999999254942</v>
      </c>
      <c r="O75" s="7"/>
      <c r="P75" s="7"/>
      <c r="Q75" s="23"/>
      <c r="R75" s="23"/>
      <c r="S75" s="35">
        <f t="shared" si="19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10:22:31-700',mode:absolute,to:'2016-11-28 13:05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4.4600000000000001E-2</v>
      </c>
      <c r="Z75" s="67">
        <f t="shared" si="9"/>
        <v>23.330100000000002</v>
      </c>
      <c r="AA75" s="67">
        <f t="shared" si="10"/>
        <v>23.285500000000003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11"/>
        <v>0163-28</v>
      </c>
      <c r="AE75" s="91" t="str">
        <f t="shared" si="12"/>
        <v>aws s3 cp s3://rtdc.mdm.uploadarchive.raw/RTDC4042/ "%USERPROFILE%\AppData\Local\Temp\OnboardLogs"\RTDC4042\2016-11-28 --exclude "*" --recursive --include "*20161128*" &amp; "%USERPROFILE%\Documents\GitHub\mrs-test-scripts\Headless Mode &amp; Sideloading\WalkAndUnGZ.bat" "%USERPROFILE%\AppData\Local\Temp\OnboardLogs"\RTDC4042\2016-11-28 &amp; aws s3 cp s3://rtdc.mdm.uploadarchive.raw/RTDC4042/ "%USERPROFILE%\AppData\Local\Temp\OnboardLogs"\RTDC4042\2016-11-29 --exclude "*" --recursive --include "*20161129*" &amp; "%USERPROFILE%\Documents\GitHub\mrs-test-scripts\Headless Mode &amp; Sideloading\WalkAndUnGZ.bat" "%USERPROFILE%\AppData\Local\Temp\OnboardLogs"\RTDC4042\2016-11-29</v>
      </c>
      <c r="AF75" s="88" t="str">
        <f t="shared" si="13"/>
        <v>"C:\Program Files (x86)\AstroGrep\AstroGrep.exe" /spath="%USERPROFILE%\AppData\Local\Temp\OnboardLogs" /stypes="app*4042*20161128*"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163-28 --locoid 4042 --swversion DE.1.0.8.0 --startMP 204:446 --initTime 2016-11-28T11:22:31 --startdatetime 2016-11-28T11:30:23 --delay 1 --endMP 204:233301 --enddatetime 2016-11-28T12:05:50 --enforcementcount 0 &gt;&gt;C:\Users\stu\Documents\GitHub\eaglep3-reporting\EC\2016-11-28-refined-times.txt</v>
      </c>
      <c r="AI75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{"issue":{"subject":"","project_id":79,"tracker_id":40,"status_id":1,"priority_id":2,"assigned_to_id":23,"start_date":"2016-11-28","description":"","custom_fields":[{"id":1,"name":"Subdivision","value":"EC"},{"id":4,"name":"Milepost","value":"23.3301"},{"id":17,"name":"Train ID","value":"163-28"},{"id":16,"name":"Locomotive ID","value":"4042"},{"id":130,"name":"Impact","value":""},{"id":150,"name":"Time of Event (Mountain Time)","value":"12:05:50"},{"id":151,"name":"Denver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520</v>
      </c>
      <c r="B76" s="7">
        <v>4041</v>
      </c>
      <c r="C76" s="22" t="s">
        <v>212</v>
      </c>
      <c r="D76" s="22" t="s">
        <v>206</v>
      </c>
      <c r="E76" s="13">
        <v>42702.508449074077</v>
      </c>
      <c r="F76" s="13">
        <v>42702.518252314818</v>
      </c>
      <c r="G76" s="7">
        <v>1</v>
      </c>
      <c r="H76" s="22" t="s">
        <v>259</v>
      </c>
      <c r="I76" s="13">
        <v>42702.544895833336</v>
      </c>
      <c r="J76" s="7">
        <v>0</v>
      </c>
      <c r="K76" s="109" t="str">
        <f t="shared" si="0"/>
        <v>4041/4042</v>
      </c>
      <c r="L76" s="22" t="str">
        <f>VLOOKUP(A76,'Trips&amp;Operators'!$C$1:$E$10000,3,FALSE)</f>
        <v>BONDS</v>
      </c>
      <c r="M76" s="6">
        <f t="shared" si="1"/>
        <v>2.6643518518540077E-2</v>
      </c>
      <c r="N76" s="7">
        <f t="shared" si="20"/>
        <v>38.366666666697711</v>
      </c>
      <c r="O76" s="7"/>
      <c r="P76" s="7"/>
      <c r="Q76" s="23"/>
      <c r="R76" s="23"/>
      <c r="S76" s="35">
        <f t="shared" si="19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https://search-rtdc-monitor-bjffxe2xuh6vdkpspy63sjmuny.us-east-1.es.amazonaws.com/_plugin/kibana/#/discover/Steve-Slow-Train-Analysis-(2080s-and-2083s)?_g=(refreshInterval:(display:Off,section:0,value:0),time:(from:'2016-11-28 11:12:10-700',mode:absolute,to:'2016-11-28 14:04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6" s="52" t="str">
        <f t="shared" si="6"/>
        <v>N</v>
      </c>
      <c r="X76" s="177">
        <f t="shared" si="7"/>
        <v>1</v>
      </c>
      <c r="Y76" s="67">
        <f t="shared" si="8"/>
        <v>23.297699999999999</v>
      </c>
      <c r="Z76" s="67">
        <f t="shared" si="9"/>
        <v>1.3899999999999999E-2</v>
      </c>
      <c r="AA76" s="67">
        <f t="shared" si="10"/>
        <v>23.283799999999999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1"/>
        <v>0164-28</v>
      </c>
      <c r="AE76" s="91" t="str">
        <f t="shared" si="12"/>
        <v>aws s3 cp s3://rtdc.mdm.uploadarchive.raw/RTDC4041/ "%USERPROFILE%\AppData\Local\Temp\OnboardLogs"\RTDC4041\2016-11-28 --exclude "*" --recursive --include "*20161128*" &amp; "%USERPROFILE%\Documents\GitHub\mrs-test-scripts\Headless Mode &amp; Sideloading\WalkAndUnGZ.bat" "%USERPROFILE%\AppData\Local\Temp\OnboardLogs"\RTDC4041\2016-11-28 &amp; 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</v>
      </c>
      <c r="AF76" s="88" t="str">
        <f t="shared" si="13"/>
        <v>"C:\Program Files (x86)\AstroGrep\AstroGrep.exe" /spath="%USERPROFILE%\AppData\Local\Temp\OnboardLogs" /stypes="app*4041*20161128*"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164-28 --locoid 4041 --swversion DE.1.0.8.0 --startMP 204:232977 --initTime 2016-11-28T12:12:10 --startdatetime 2016-11-28T12:26:17 --delay 1 --endMP 204:139 --enddatetime 2016-11-28T13:04:39 --enforcementcount 0 &gt;&gt;C:\Users\stu\Documents\GitHub\eaglep3-reporting\EC\2016-11-28-refined-times.txt</v>
      </c>
      <c r="AI76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{"issue":{"subject":"","project_id":79,"tracker_id":40,"status_id":1,"priority_id":2,"assigned_to_id":23,"start_date":"2016-11-28","description":"","custom_fields":[{"id":1,"name":"Subdivision","value":"EC"},{"id":4,"name":"Milepost","value":"0.0139"},{"id":17,"name":"Train ID","value":"164-28"},{"id":16,"name":"Locomotive ID","value":"4041"},{"id":130,"name":"Impact","value":""},{"id":150,"name":"Time of Event (Mountain Time)","value":"13:04:39"},{"id":151,"name":"Denver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515</v>
      </c>
      <c r="B77" s="7">
        <v>4016</v>
      </c>
      <c r="C77" s="22" t="s">
        <v>212</v>
      </c>
      <c r="D77" s="22" t="s">
        <v>234</v>
      </c>
      <c r="E77" s="13">
        <v>42702.484456018516</v>
      </c>
      <c r="F77" s="13">
        <v>42702.489745370367</v>
      </c>
      <c r="G77" s="7">
        <v>1</v>
      </c>
      <c r="H77" s="22" t="s">
        <v>658</v>
      </c>
      <c r="I77" s="13">
        <v>42702.516250000001</v>
      </c>
      <c r="J77" s="7">
        <v>0</v>
      </c>
      <c r="K77" s="109" t="str">
        <f t="shared" ref="K77:K140" si="21">IF(ISEVEN(B77),(B77-1)&amp;"/"&amp;B77,B77&amp;"/"&amp;(B77+1))</f>
        <v>4015/4016</v>
      </c>
      <c r="L77" s="22" t="str">
        <f>VLOOKUP(A77,'Trips&amp;Operators'!$C$1:$E$10000,3,FALSE)</f>
        <v>CLARK</v>
      </c>
      <c r="M77" s="6">
        <f t="shared" ref="M77:M140" si="22">I77-F77</f>
        <v>2.6504629633564036E-2</v>
      </c>
      <c r="N77" s="7">
        <f t="shared" si="20"/>
        <v>38.166666672332212</v>
      </c>
      <c r="O77" s="7"/>
      <c r="P77" s="7"/>
      <c r="Q77" s="23"/>
      <c r="R77" s="23"/>
      <c r="S77" s="35">
        <f t="shared" ref="S77:S108" si="23">SUM(U77:U77)/IF(AG77="EC",12,1)</f>
        <v>1</v>
      </c>
      <c r="T77" s="50" t="str">
        <f t="shared" ref="T77:T140" si="24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5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https://search-rtdc-monitor-bjffxe2xuh6vdkpspy63sjmuny.us-east-1.es.amazonaws.com/_plugin/kibana/#/discover/Steve-Slow-Train-Analysis-(2080s-and-2083s)?_g=(refreshInterval:(display:Off,section:0,value:0),time:(from:'2016-11-28 10:37:37-700',mode:absolute,to:'2016-11-28 13:23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7" s="52" t="str">
        <f t="shared" ref="W77:W140" si="26">IF(AA77&lt;IF(AG77="EC",23,5.65),"Y","N")</f>
        <v>N</v>
      </c>
      <c r="X77" s="177">
        <f t="shared" ref="X77:X140" si="27">VALUE(LEFT(AD77,4))-VALUE(LEFT(AD76,4))</f>
        <v>1</v>
      </c>
      <c r="Y77" s="67">
        <f t="shared" ref="Y77:Y140" si="28">RIGHT(D77,LEN(D77)-4)/10000</f>
        <v>4.6600000000000003E-2</v>
      </c>
      <c r="Z77" s="67">
        <f t="shared" ref="Z77:Z140" si="29">RIGHT(H77,LEN(H77)-4)/10000</f>
        <v>23.332899999999999</v>
      </c>
      <c r="AA77" s="67">
        <f t="shared" ref="AA77:AA140" si="30">ABS(Z77-Y77)</f>
        <v>23.286299999999997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40" si="31">IF(LEN(A77)=6,"0"&amp;A77,A77)</f>
        <v>0165-28</v>
      </c>
      <c r="AE77" s="91" t="str">
        <f t="shared" ref="AE77:AE140" si="3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 &amp; 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</v>
      </c>
      <c r="AF77" s="88" t="str">
        <f t="shared" ref="AF77:AF140" si="33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/stypes="app*4016*20161128*" /stext=" 19:.+((SYSTEM_STATE.+slice.+state.+changed )|(ment ac)|(multiple cpu faults)|(system.+state.+changed )|(\[timeout)|(PRM\|1\|D)|(kpr)|(kdp)|(\|lc)|(penalty))" /e /r /s</v>
      </c>
      <c r="AG77" s="1" t="str">
        <f t="shared" ref="AG77:AG140" si="34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165-28 --locoid 4016 --swversion DE.1.0.8.0 --startMP 204:466 --initTime 2016-11-28T11:37:37 --startdatetime 2016-11-28T11:45:14 --delay 1 --endMP 204:233329 --enddatetime 2016-11-28T12:23:24 --enforcementcount 0 &gt;&gt;C:\Users\stu\Documents\GitHub\eaglep3-reporting\EC\2016-11-28-refined-times.txt</v>
      </c>
      <c r="AI77" s="119" t="str">
        <f t="shared" si="18"/>
        <v>echo {"issue":{"subject":"","project_id":79,"tracker_id":40,"status_id":1,"priority_id":2,"assigned_to_id":23,"start_date":"2016-11-28","description":"","custom_fields":[{"id":1,"name":"Subdivision","value":"EC"},{"id":4,"name":"Milepost","value":"23.3329"},{"id":17,"name":"Train ID","value":"165-28"},{"id":16,"name":"Locomotive ID","value":"4016"},{"id":130,"name":"Impact","value":""},{"id":150,"name":"Time of Event (Mountain Time)","value":"12:23:24"},{"id":151,"name":"Denver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523</v>
      </c>
      <c r="B78" s="7">
        <v>4015</v>
      </c>
      <c r="C78" s="22" t="s">
        <v>212</v>
      </c>
      <c r="D78" s="22" t="s">
        <v>330</v>
      </c>
      <c r="E78" s="13">
        <v>42702.522962962961</v>
      </c>
      <c r="F78" s="13">
        <v>42702.528657407405</v>
      </c>
      <c r="G78" s="7">
        <v>1</v>
      </c>
      <c r="H78" s="22" t="s">
        <v>233</v>
      </c>
      <c r="I78" s="13">
        <v>42702.556655092594</v>
      </c>
      <c r="J78" s="7">
        <v>0</v>
      </c>
      <c r="K78" s="109" t="str">
        <f t="shared" si="21"/>
        <v>4015/4016</v>
      </c>
      <c r="L78" s="22" t="str">
        <f>VLOOKUP(A78,'Trips&amp;Operators'!$C$1:$E$10000,3,FALSE)</f>
        <v>CLARK</v>
      </c>
      <c r="M78" s="6">
        <f t="shared" si="22"/>
        <v>2.7997685188893229E-2</v>
      </c>
      <c r="N78" s="7">
        <f t="shared" si="20"/>
        <v>40.316666672006249</v>
      </c>
      <c r="O78" s="7"/>
      <c r="P78" s="7"/>
      <c r="Q78" s="23"/>
      <c r="R78" s="23"/>
      <c r="S78" s="35">
        <f t="shared" si="23"/>
        <v>1</v>
      </c>
      <c r="T78" s="50" t="str">
        <f t="shared" si="24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11:33:04-700',mode:absolute,to:'2016-11-28 14:21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8" s="52" t="str">
        <f t="shared" si="26"/>
        <v>N</v>
      </c>
      <c r="X78" s="177">
        <f t="shared" si="27"/>
        <v>1</v>
      </c>
      <c r="Y78" s="67">
        <f t="shared" si="28"/>
        <v>23.3004</v>
      </c>
      <c r="Z78" s="67">
        <f t="shared" si="29"/>
        <v>1.54E-2</v>
      </c>
      <c r="AA78" s="67">
        <f t="shared" si="30"/>
        <v>23.285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1"/>
        <v>0166-28</v>
      </c>
      <c r="AE78" s="91" t="str">
        <f t="shared" si="32"/>
        <v>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 &amp; 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</v>
      </c>
      <c r="AF78" s="88" t="str">
        <f t="shared" si="33"/>
        <v>"C:\Program Files (x86)\AstroGrep\AstroGrep.exe" /spath="%USERPROFILE%\AppData\Local\Temp\OnboardLogs" /stypes="app*4015*20161128*" /stext=" 20:.+((SYSTEM_STATE.+slice.+state.+changed )|(ment ac)|(multiple cpu faults)|(system.+state.+changed )|(\[timeout)|(PRM\|1\|D)|(kpr)|(kdp)|(\|lc)|(penalty))" /e /r /s</v>
      </c>
      <c r="AG78" s="1" t="str">
        <f t="shared" si="34"/>
        <v>EC</v>
      </c>
      <c r="AH78" s="92" t="str">
        <f t="shared" ref="AH78:AH141" si="35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166-28 --locoid 4015 --swversion DE.1.0.8.0 --startMP 204:233004 --initTime 2016-11-28T12:33:04 --startdatetime 2016-11-28T12:41:16 --delay 1 --endMP 204:154 --enddatetime 2016-11-28T13:21:35 --enforcementcount 0 &gt;&gt;C:\Users\stu\Documents\GitHub\eaglep3-reporting\EC\2016-11-28-refined-times.txt</v>
      </c>
      <c r="AI78" s="119" t="str">
        <f t="shared" ref="AI78:AI141" si="36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{"issue":{"subject":"","project_id":79,"tracker_id":40,"status_id":1,"priority_id":2,"assigned_to_id":23,"start_date":"2016-11-28","description":"","custom_fields":[{"id":1,"name":"Subdivision","value":"EC"},{"id":4,"name":"Milepost","value":"0.0154"},{"id":17,"name":"Train ID","value":"166-28"},{"id":16,"name":"Locomotive ID","value":"4015"},{"id":130,"name":"Impact","value":""},{"id":150,"name":"Time of Event (Mountain Time)","value":"13:21:35"},{"id":151,"name":"Denver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518</v>
      </c>
      <c r="B79" s="7">
        <v>4025</v>
      </c>
      <c r="C79" s="22" t="s">
        <v>212</v>
      </c>
      <c r="D79" s="22" t="s">
        <v>260</v>
      </c>
      <c r="E79" s="13">
        <v>42702.496782407405</v>
      </c>
      <c r="F79" s="13">
        <v>42702.500185185185</v>
      </c>
      <c r="G79" s="7">
        <v>1</v>
      </c>
      <c r="H79" s="22" t="s">
        <v>333</v>
      </c>
      <c r="I79" s="13">
        <v>42702.526180555556</v>
      </c>
      <c r="J79" s="7">
        <v>0</v>
      </c>
      <c r="K79" s="109" t="str">
        <f t="shared" si="21"/>
        <v>4025/4026</v>
      </c>
      <c r="L79" s="22" t="str">
        <f>VLOOKUP(A79,'Trips&amp;Operators'!$C$1:$E$10000,3,FALSE)</f>
        <v>YOUNG</v>
      </c>
      <c r="M79" s="6">
        <f t="shared" si="22"/>
        <v>2.5995370371674653E-2</v>
      </c>
      <c r="N79" s="7">
        <f t="shared" si="20"/>
        <v>37.433333335211501</v>
      </c>
      <c r="O79" s="7"/>
      <c r="P79" s="7"/>
      <c r="Q79" s="23"/>
      <c r="R79" s="23"/>
      <c r="S79" s="35">
        <f t="shared" si="23"/>
        <v>1</v>
      </c>
      <c r="T79" s="50" t="str">
        <f t="shared" si="24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10:55:22-700',mode:absolute,to:'2016-11-28 13:37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9" s="52" t="str">
        <f t="shared" si="26"/>
        <v>N</v>
      </c>
      <c r="X79" s="177">
        <f t="shared" si="27"/>
        <v>1</v>
      </c>
      <c r="Y79" s="67">
        <f t="shared" si="28"/>
        <v>4.5699999999999998E-2</v>
      </c>
      <c r="Z79" s="67">
        <f t="shared" si="29"/>
        <v>23.331099999999999</v>
      </c>
      <c r="AA79" s="67">
        <f t="shared" si="30"/>
        <v>23.285399999999999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31"/>
        <v>0167-28</v>
      </c>
      <c r="AE79" s="91" t="str">
        <f t="shared" si="32"/>
        <v>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 &amp; aws s3 cp s3://rtdc.mdm.uploadarchive.raw/RTDC4025/ "%USERPROFILE%\AppData\Local\Temp\OnboardLogs"\RTDC4025\2016-11-29 --exclude "*" --recursive --include "*20161129*" &amp; "%USERPROFILE%\Documents\GitHub\mrs-test-scripts\Headless Mode &amp; Sideloading\WalkAndUnGZ.bat" "%USERPROFILE%\AppData\Local\Temp\OnboardLogs"\RTDC4025\2016-11-29</v>
      </c>
      <c r="AF79" s="88" t="str">
        <f t="shared" si="33"/>
        <v>"C:\Program Files (x86)\AstroGrep\AstroGrep.exe" /spath="%USERPROFILE%\AppData\Local\Temp\OnboardLogs" /stypes="app*4025*20161128*" /stext=" 19:.+((SYSTEM_STATE.+slice.+state.+changed )|(ment ac)|(multiple cpu faults)|(system.+state.+changed )|(\[timeout)|(PRM\|1\|D)|(kpr)|(kdp)|(\|lc)|(penalty))" /e /r /s</v>
      </c>
      <c r="AG79" s="1" t="str">
        <f t="shared" si="34"/>
        <v>EC</v>
      </c>
      <c r="AH79" s="92" t="str">
        <f t="shared" si="35"/>
        <v>"%USERPROFILE%\Documents\GitHub\eaglep3\Utilities\RefineRTDCRunTimes.py" --tripid 167-28 --locoid 4025 --swversion DE.1.0.8.0 --startMP 204:457 --initTime 2016-11-28T11:55:22 --startdatetime 2016-11-28T12:00:16 --delay 1 --endMP 204:233311 --enddatetime 2016-11-28T12:37:42 --enforcementcount 0 &gt;&gt;C:\Users\stu\Documents\GitHub\eaglep3-reporting\EC\2016-11-28-refined-times.txt</v>
      </c>
      <c r="AI79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{"issue":{"subject":"","project_id":79,"tracker_id":40,"status_id":1,"priority_id":2,"assigned_to_id":23,"start_date":"2016-11-28","description":"","custom_fields":[{"id":1,"name":"Subdivision","value":"EC"},{"id":4,"name":"Milepost","value":"23.3311"},{"id":17,"name":"Train ID","value":"167-28"},{"id":16,"name":"Locomotive ID","value":"4025"},{"id":130,"name":"Impact","value":""},{"id":150,"name":"Time of Event (Mountain Time)","value":"12:37:42"},{"id":151,"name":"Denver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526</v>
      </c>
      <c r="B80" s="7">
        <v>4026</v>
      </c>
      <c r="C80" s="22" t="s">
        <v>212</v>
      </c>
      <c r="D80" s="22" t="s">
        <v>328</v>
      </c>
      <c r="E80" s="13">
        <v>42702.527870370373</v>
      </c>
      <c r="F80" s="13">
        <v>42702.539074074077</v>
      </c>
      <c r="G80" s="7">
        <v>1</v>
      </c>
      <c r="H80" s="22" t="s">
        <v>659</v>
      </c>
      <c r="I80" s="13">
        <v>42702.567071759258</v>
      </c>
      <c r="J80" s="7">
        <v>0</v>
      </c>
      <c r="K80" s="109" t="str">
        <f t="shared" si="21"/>
        <v>4025/4026</v>
      </c>
      <c r="L80" s="22" t="str">
        <f>VLOOKUP(A80,'Trips&amp;Operators'!$C$1:$E$10000,3,FALSE)</f>
        <v>YOUNG</v>
      </c>
      <c r="M80" s="6">
        <f t="shared" si="22"/>
        <v>2.7997685181617271E-2</v>
      </c>
      <c r="N80" s="7">
        <f t="shared" si="20"/>
        <v>40.31666666152887</v>
      </c>
      <c r="O80" s="7"/>
      <c r="P80" s="7"/>
      <c r="Q80" s="23"/>
      <c r="R80" s="23"/>
      <c r="S80" s="35">
        <f t="shared" si="23"/>
        <v>1</v>
      </c>
      <c r="T80" s="50" t="str">
        <f t="shared" si="24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11:40:08-700',mode:absolute,to:'2016-11-28 14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0" s="52" t="str">
        <f t="shared" si="26"/>
        <v>N</v>
      </c>
      <c r="X80" s="177">
        <f t="shared" si="27"/>
        <v>1</v>
      </c>
      <c r="Y80" s="67">
        <f t="shared" si="28"/>
        <v>23.298999999999999</v>
      </c>
      <c r="Z80" s="67">
        <f t="shared" si="29"/>
        <v>2.0299999999999999E-2</v>
      </c>
      <c r="AA80" s="67">
        <f t="shared" si="30"/>
        <v>23.278700000000001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31"/>
        <v>0168-28</v>
      </c>
      <c r="AE80" s="91" t="str">
        <f t="shared" si="32"/>
        <v>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 &amp; aws s3 cp s3://rtdc.mdm.uploadarchive.raw/RTDC4026/ "%USERPROFILE%\AppData\Local\Temp\OnboardLogs"\RTDC4026\2016-11-29 --exclude "*" --recursive --include "*20161129*" &amp; "%USERPROFILE%\Documents\GitHub\mrs-test-scripts\Headless Mode &amp; Sideloading\WalkAndUnGZ.bat" "%USERPROFILE%\AppData\Local\Temp\OnboardLogs"\RTDC4026\2016-11-29</v>
      </c>
      <c r="AF80" s="88" t="str">
        <f t="shared" si="33"/>
        <v>"C:\Program Files (x86)\AstroGrep\AstroGrep.exe" /spath="%USERPROFILE%\AppData\Local\Temp\OnboardLogs" /stypes="app*4026*20161128*" /stext=" 20:.+((SYSTEM_STATE.+slice.+state.+changed )|(ment ac)|(multiple cpu faults)|(system.+state.+changed )|(\[timeout)|(PRM\|1\|D)|(kpr)|(kdp)|(\|lc)|(penalty))" /e /r /s</v>
      </c>
      <c r="AG80" s="1" t="str">
        <f t="shared" si="34"/>
        <v>EC</v>
      </c>
      <c r="AH80" s="92" t="str">
        <f t="shared" si="35"/>
        <v>"%USERPROFILE%\Documents\GitHub\eaglep3\Utilities\RefineRTDCRunTimes.py" --tripid 168-28 --locoid 4026 --swversion DE.1.0.8.0 --startMP 204:232990 --initTime 2016-11-28T12:40:08 --startdatetime 2016-11-28T12:56:16 --delay 1 --endMP 204:203 --enddatetime 2016-11-28T13:36:35 --enforcementcount 0 &gt;&gt;C:\Users\stu\Documents\GitHub\eaglep3-reporting\EC\2016-11-28-refined-times.txt</v>
      </c>
      <c r="AI80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{"issue":{"subject":"","project_id":79,"tracker_id":40,"status_id":1,"priority_id":2,"assigned_to_id":23,"start_date":"2016-11-28","description":"","custom_fields":[{"id":1,"name":"Subdivision","value":"EC"},{"id":4,"name":"Milepost","value":"0.0203"},{"id":17,"name":"Train ID","value":"168-28"},{"id":16,"name":"Locomotive ID","value":"4026"},{"id":130,"name":"Impact","value":""},{"id":150,"name":"Time of Event (Mountain Time)","value":"13:36:35"},{"id":151,"name":"Denver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412</v>
      </c>
      <c r="B81" s="7">
        <v>4014</v>
      </c>
      <c r="C81" s="22" t="s">
        <v>212</v>
      </c>
      <c r="D81" s="22" t="s">
        <v>252</v>
      </c>
      <c r="E81" s="13">
        <v>42702.506620370368</v>
      </c>
      <c r="F81" s="13">
        <v>42702.510613425926</v>
      </c>
      <c r="G81" s="7">
        <v>1</v>
      </c>
      <c r="H81" s="22" t="s">
        <v>285</v>
      </c>
      <c r="I81" s="13">
        <v>42702.536423611113</v>
      </c>
      <c r="J81" s="7">
        <v>0</v>
      </c>
      <c r="K81" s="109" t="str">
        <f t="shared" si="21"/>
        <v>4013/4014</v>
      </c>
      <c r="L81" s="22" t="str">
        <f>VLOOKUP(A81,'Trips&amp;Operators'!$C$1:$E$10000,3,FALSE)</f>
        <v>DAVIDSON</v>
      </c>
      <c r="M81" s="6">
        <f t="shared" si="22"/>
        <v>2.5810185186855961E-2</v>
      </c>
      <c r="N81" s="7">
        <f t="shared" si="20"/>
        <v>37.166666669072583</v>
      </c>
      <c r="O81" s="7"/>
      <c r="P81" s="7"/>
      <c r="Q81" s="23"/>
      <c r="R81" s="23"/>
      <c r="S81" s="35">
        <f t="shared" si="23"/>
        <v>1</v>
      </c>
      <c r="T81" s="50" t="str">
        <f t="shared" si="24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11:09:32-700',mode:absolute,to:'2016-11-28 13:52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1" s="52" t="str">
        <f t="shared" si="26"/>
        <v>N</v>
      </c>
      <c r="X81" s="177">
        <f t="shared" si="27"/>
        <v>1</v>
      </c>
      <c r="Y81" s="67">
        <f t="shared" si="28"/>
        <v>4.4200000000000003E-2</v>
      </c>
      <c r="Z81" s="67">
        <f t="shared" si="29"/>
        <v>23.329799999999999</v>
      </c>
      <c r="AA81" s="67">
        <f t="shared" si="30"/>
        <v>23.285599999999999</v>
      </c>
      <c r="AB81" s="64" t="str">
        <f>VLOOKUP(A81,Enforcements!$C$7:$K$20,8,0)</f>
        <v>Speed (6)</v>
      </c>
      <c r="AC81" s="60" t="str">
        <f>VLOOKUP(A81,Enforcements!$C$7:$E$20,3,0)</f>
        <v>PERMANENT SPEED RESTRICTION</v>
      </c>
      <c r="AD81" s="61" t="str">
        <f t="shared" si="31"/>
        <v>0169-28</v>
      </c>
      <c r="AE81" s="91" t="str">
        <f t="shared" si="32"/>
        <v>aws s3 cp s3://rtdc.mdm.uploadarchive.raw/RTDC4014/ "%USERPROFILE%\AppData\Local\Temp\OnboardLogs"\RTDC4014\2016-11-28 --exclude "*" --recursive --include "*20161128*" &amp; "%USERPROFILE%\Documents\GitHub\mrs-test-scripts\Headless Mode &amp; Sideloading\WalkAndUnGZ.bat" "%USERPROFILE%\AppData\Local\Temp\OnboardLogs"\RTDC4014\2016-11-28 &amp; 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</v>
      </c>
      <c r="AF81" s="88" t="str">
        <f t="shared" si="33"/>
        <v>"C:\Program Files (x86)\AstroGrep\AstroGrep.exe" /spath="%USERPROFILE%\AppData\Local\Temp\OnboardLogs" /stypes="app*4014*20161128*" /stext=" 19:.+((SYSTEM_STATE.+slice.+state.+changed )|(ment ac)|(multiple cpu faults)|(system.+state.+changed )|(\[timeout)|(PRM\|1\|D)|(kpr)|(kdp)|(\|lc)|(penalty))" /e /r /s</v>
      </c>
      <c r="AG81" s="1" t="str">
        <f t="shared" si="34"/>
        <v>EC</v>
      </c>
      <c r="AH81" s="92" t="str">
        <f t="shared" si="35"/>
        <v>"%USERPROFILE%\Documents\GitHub\eaglep3\Utilities\RefineRTDCRunTimes.py" --tripid 169-28 --locoid 4014 --swversion DE.1.0.8.0 --startMP 204:442 --initTime 2016-11-28T12:09:32 --startdatetime 2016-11-28T12:15:17 --delay 1 --endMP 204:233298 --enddatetime 2016-11-28T12:52:27 --enforcementcount 0 &gt;&gt;C:\Users\stu\Documents\GitHub\eaglep3-reporting\EC\2016-11-28-refined-times.txt</v>
      </c>
      <c r="AI81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{"issue":{"subject":"","project_id":79,"tracker_id":40,"status_id":1,"priority_id":2,"assigned_to_id":23,"start_date":"2016-11-28","description":"","custom_fields":[{"id":1,"name":"Subdivision","value":"EC"},{"id":4,"name":"Milepost","value":"23.3298"},{"id":17,"name":"Train ID","value":"169-28"},{"id":16,"name":"Locomotive ID","value":"4014"},{"id":130,"name":"Impact","value":""},{"id":150,"name":"Time of Event (Mountain Time)","value":"12:52:27"},{"id":151,"name":"Denver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413</v>
      </c>
      <c r="B82" s="7">
        <v>4013</v>
      </c>
      <c r="C82" s="22" t="s">
        <v>212</v>
      </c>
      <c r="D82" s="22" t="s">
        <v>361</v>
      </c>
      <c r="E82" s="13">
        <v>42702.538993055554</v>
      </c>
      <c r="F82" s="13">
        <v>42702.549618055556</v>
      </c>
      <c r="G82" s="7">
        <v>1</v>
      </c>
      <c r="H82" s="22" t="s">
        <v>358</v>
      </c>
      <c r="I82" s="13">
        <v>42702.576053240744</v>
      </c>
      <c r="J82" s="7">
        <v>0</v>
      </c>
      <c r="K82" s="109" t="str">
        <f t="shared" si="21"/>
        <v>4013/4014</v>
      </c>
      <c r="L82" s="22" t="str">
        <f>VLOOKUP(A82,'Trips&amp;Operators'!$C$1:$E$10000,3,FALSE)</f>
        <v>DAVIDSON</v>
      </c>
      <c r="M82" s="6">
        <f t="shared" si="22"/>
        <v>2.6435185187438037E-2</v>
      </c>
      <c r="N82" s="7">
        <f t="shared" ref="N82:N113" si="37">24*60*SUM($M82:$M82)</f>
        <v>38.066666669910774</v>
      </c>
      <c r="O82" s="7"/>
      <c r="P82" s="7"/>
      <c r="Q82" s="23"/>
      <c r="R82" s="23"/>
      <c r="S82" s="35">
        <f t="shared" si="23"/>
        <v>1</v>
      </c>
      <c r="T82" s="50" t="str">
        <f t="shared" si="24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11:56:09-700',mode:absolute,to:'2016-11-28 14:49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2" s="52" t="str">
        <f t="shared" si="26"/>
        <v>N</v>
      </c>
      <c r="X82" s="177">
        <f t="shared" si="27"/>
        <v>1</v>
      </c>
      <c r="Y82" s="67">
        <f t="shared" si="28"/>
        <v>23.299099999999999</v>
      </c>
      <c r="Z82" s="67">
        <f t="shared" si="29"/>
        <v>1.34E-2</v>
      </c>
      <c r="AA82" s="67">
        <f t="shared" si="30"/>
        <v>23.285699999999999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31"/>
        <v>0170-28</v>
      </c>
      <c r="AE82" s="91" t="str">
        <f t="shared" si="32"/>
        <v>aws s3 cp s3://rtdc.mdm.uploadarchive.raw/RTDC4013/ "%USERPROFILE%\AppData\Local\Temp\OnboardLogs"\RTDC4013\2016-11-28 --exclude "*" --recursive --include "*20161128*" &amp; "%USERPROFILE%\Documents\GitHub\mrs-test-scripts\Headless Mode &amp; Sideloading\WalkAndUnGZ.bat" "%USERPROFILE%\AppData\Local\Temp\OnboardLogs"\RTDC4013\2016-11-28 &amp; 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</v>
      </c>
      <c r="AF82" s="88" t="str">
        <f t="shared" si="33"/>
        <v>"C:\Program Files (x86)\AstroGrep\AstroGrep.exe" /spath="%USERPROFILE%\AppData\Local\Temp\OnboardLogs" /stypes="app*4013*20161128*" /stext=" 20:.+((SYSTEM_STATE.+slice.+state.+changed )|(ment ac)|(multiple cpu faults)|(system.+state.+changed )|(\[timeout)|(PRM\|1\|D)|(kpr)|(kdp)|(\|lc)|(penalty))" /e /r /s</v>
      </c>
      <c r="AG82" s="1" t="str">
        <f t="shared" si="34"/>
        <v>EC</v>
      </c>
      <c r="AH82" s="92" t="str">
        <f t="shared" si="35"/>
        <v>"%USERPROFILE%\Documents\GitHub\eaglep3\Utilities\RefineRTDCRunTimes.py" --tripid 170-28 --locoid 4013 --swversion DE.1.0.8.0 --startMP 204:232991 --initTime 2016-11-28T12:56:09 --startdatetime 2016-11-28T13:11:27 --delay 1 --endMP 204:134 --enddatetime 2016-11-28T13:49:31 --enforcementcount 0 &gt;&gt;C:\Users\stu\Documents\GitHub\eaglep3-reporting\EC\2016-11-28-refined-times.txt</v>
      </c>
      <c r="AI82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{"issue":{"subject":"","project_id":79,"tracker_id":40,"status_id":1,"priority_id":2,"assigned_to_id":23,"start_date":"2016-11-28","description":"","custom_fields":[{"id":1,"name":"Subdivision","value":"EC"},{"id":4,"name":"Milepost","value":"0.0134"},{"id":17,"name":"Train ID","value":"170-28"},{"id":16,"name":"Locomotive ID","value":"4013"},{"id":130,"name":"Impact","value":""},{"id":150,"name":"Time of Event (Mountain Time)","value":"13:49:31"},{"id":151,"name":"Denver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521</v>
      </c>
      <c r="B83" s="7">
        <v>4038</v>
      </c>
      <c r="C83" s="22" t="s">
        <v>212</v>
      </c>
      <c r="D83" s="22" t="s">
        <v>197</v>
      </c>
      <c r="E83" s="13">
        <v>42702.51635416667</v>
      </c>
      <c r="F83" s="13">
        <v>42702.520995370367</v>
      </c>
      <c r="G83" s="7">
        <v>1</v>
      </c>
      <c r="H83" s="22" t="s">
        <v>270</v>
      </c>
      <c r="I83" s="13">
        <v>42702.545428240737</v>
      </c>
      <c r="J83" s="7">
        <v>0</v>
      </c>
      <c r="K83" s="109" t="str">
        <f t="shared" si="21"/>
        <v>4037/4038</v>
      </c>
      <c r="L83" s="22" t="str">
        <f>VLOOKUP(A83,'Trips&amp;Operators'!$C$1:$E$10000,3,FALSE)</f>
        <v>ROMERO</v>
      </c>
      <c r="M83" s="6">
        <f t="shared" si="22"/>
        <v>2.4432870370219462E-2</v>
      </c>
      <c r="N83" s="7">
        <f t="shared" si="37"/>
        <v>35.183333333116025</v>
      </c>
      <c r="O83" s="7"/>
      <c r="P83" s="7"/>
      <c r="Q83" s="23"/>
      <c r="R83" s="23"/>
      <c r="S83" s="35">
        <f t="shared" si="23"/>
        <v>1</v>
      </c>
      <c r="T83" s="50" t="str">
        <f t="shared" si="24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11:23:33-700',mode:absolute,to:'2016-11-28 14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3" s="52" t="str">
        <f t="shared" si="26"/>
        <v>N</v>
      </c>
      <c r="X83" s="177">
        <f t="shared" si="27"/>
        <v>1</v>
      </c>
      <c r="Y83" s="67">
        <f t="shared" si="28"/>
        <v>4.5100000000000001E-2</v>
      </c>
      <c r="Z83" s="67">
        <f t="shared" si="29"/>
        <v>23.3307</v>
      </c>
      <c r="AA83" s="67">
        <f t="shared" si="30"/>
        <v>23.285599999999999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31"/>
        <v>0171-28</v>
      </c>
      <c r="AE83" s="91" t="str">
        <f t="shared" si="32"/>
        <v>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 &amp; aws s3 cp s3://rtdc.mdm.uploadarchive.raw/RTDC4038/ "%USERPROFILE%\AppData\Local\Temp\OnboardLogs"\RTDC4038\2016-11-29 --exclude "*" --recursive --include "*20161129*" &amp; "%USERPROFILE%\Documents\GitHub\mrs-test-scripts\Headless Mode &amp; Sideloading\WalkAndUnGZ.bat" "%USERPROFILE%\AppData\Local\Temp\OnboardLogs"\RTDC4038\2016-11-29</v>
      </c>
      <c r="AF83" s="88" t="str">
        <f t="shared" si="33"/>
        <v>"C:\Program Files (x86)\AstroGrep\AstroGrep.exe" /spath="%USERPROFILE%\AppData\Local\Temp\OnboardLogs" /stypes="app*4038*20161128*" /stext=" 20:.+((SYSTEM_STATE.+slice.+state.+changed )|(ment ac)|(multiple cpu faults)|(system.+state.+changed )|(\[timeout)|(PRM\|1\|D)|(kpr)|(kdp)|(\|lc)|(penalty))" /e /r /s</v>
      </c>
      <c r="AG83" s="1" t="str">
        <f t="shared" si="34"/>
        <v>EC</v>
      </c>
      <c r="AH83" s="92" t="str">
        <f t="shared" si="35"/>
        <v>"%USERPROFILE%\Documents\GitHub\eaglep3\Utilities\RefineRTDCRunTimes.py" --tripid 171-28 --locoid 4038 --swversion DE.1.0.8.0 --startMP 204:451 --initTime 2016-11-28T12:23:33 --startdatetime 2016-11-28T12:30:14 --delay 1 --endMP 204:233307 --enddatetime 2016-11-28T13:05:25 --enforcementcount 0 &gt;&gt;C:\Users\stu\Documents\GitHub\eaglep3-reporting\EC\2016-11-28-refined-times.txt</v>
      </c>
      <c r="AI83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{"issue":{"subject":"","project_id":79,"tracker_id":40,"status_id":1,"priority_id":2,"assigned_to_id":23,"start_date":"2016-11-28","description":"","custom_fields":[{"id":1,"name":"Subdivision","value":"EC"},{"id":4,"name":"Milepost","value":"23.3307"},{"id":17,"name":"Train ID","value":"171-28"},{"id":16,"name":"Locomotive ID","value":"4038"},{"id":130,"name":"Impact","value":""},{"id":150,"name":"Time of Event (Mountain Time)","value":"13:05:25"},{"id":151,"name":"Denver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529</v>
      </c>
      <c r="B84" s="7">
        <v>4037</v>
      </c>
      <c r="C84" s="22" t="s">
        <v>212</v>
      </c>
      <c r="D84" s="22" t="s">
        <v>240</v>
      </c>
      <c r="E84" s="13">
        <v>42702.547268518516</v>
      </c>
      <c r="F84" s="13">
        <v>42702.560115740744</v>
      </c>
      <c r="G84" s="7">
        <v>1</v>
      </c>
      <c r="H84" s="22" t="s">
        <v>193</v>
      </c>
      <c r="I84" s="13">
        <v>42702.585740740738</v>
      </c>
      <c r="J84" s="7">
        <v>0</v>
      </c>
      <c r="K84" s="109" t="str">
        <f t="shared" si="21"/>
        <v>4037/4038</v>
      </c>
      <c r="L84" s="22" t="str">
        <f>VLOOKUP(A84,'Trips&amp;Operators'!$C$1:$E$10000,3,FALSE)</f>
        <v>ROMERO</v>
      </c>
      <c r="M84" s="6">
        <f t="shared" si="22"/>
        <v>2.5624999994761311E-2</v>
      </c>
      <c r="N84" s="7">
        <f t="shared" si="37"/>
        <v>36.899999992456287</v>
      </c>
      <c r="O84" s="7"/>
      <c r="P84" s="7"/>
      <c r="Q84" s="23"/>
      <c r="R84" s="23"/>
      <c r="S84" s="35">
        <f t="shared" si="23"/>
        <v>1</v>
      </c>
      <c r="T84" s="50" t="str">
        <f t="shared" si="24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12:08:04-700',mode:absolute,to:'2016-11-28 15:03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4" s="52" t="str">
        <f t="shared" si="26"/>
        <v>N</v>
      </c>
      <c r="X84" s="177">
        <f t="shared" si="27"/>
        <v>1</v>
      </c>
      <c r="Y84" s="67">
        <f t="shared" si="28"/>
        <v>23.297499999999999</v>
      </c>
      <c r="Z84" s="67">
        <f t="shared" si="29"/>
        <v>1.43E-2</v>
      </c>
      <c r="AA84" s="67">
        <f t="shared" si="30"/>
        <v>23.283200000000001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1"/>
        <v>0172-28</v>
      </c>
      <c r="AE84" s="91" t="str">
        <f t="shared" si="32"/>
        <v>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 &amp; aws s3 cp s3://rtdc.mdm.uploadarchive.raw/RTDC4037/ "%USERPROFILE%\AppData\Local\Temp\OnboardLogs"\RTDC4037\2016-11-29 --exclude "*" --recursive --include "*20161129*" &amp; "%USERPROFILE%\Documents\GitHub\mrs-test-scripts\Headless Mode &amp; Sideloading\WalkAndUnGZ.bat" "%USERPROFILE%\AppData\Local\Temp\OnboardLogs"\RTDC4037\2016-11-29</v>
      </c>
      <c r="AF84" s="88" t="str">
        <f t="shared" si="33"/>
        <v>"C:\Program Files (x86)\AstroGrep\AstroGrep.exe" /spath="%USERPROFILE%\AppData\Local\Temp\OnboardLogs" /stypes="app*4037*20161128*" /stext=" 21:.+((SYSTEM_STATE.+slice.+state.+changed )|(ment ac)|(multiple cpu faults)|(system.+state.+changed )|(\[timeout)|(PRM\|1\|D)|(kpr)|(kdp)|(\|lc)|(penalty))" /e /r /s</v>
      </c>
      <c r="AG84" s="1" t="str">
        <f t="shared" si="34"/>
        <v>EC</v>
      </c>
      <c r="AH84" s="92" t="str">
        <f t="shared" si="35"/>
        <v>"%USERPROFILE%\Documents\GitHub\eaglep3\Utilities\RefineRTDCRunTimes.py" --tripid 172-28 --locoid 4037 --swversion DE.1.0.8.0 --startMP 204:232975 --initTime 2016-11-28T13:08:04 --startdatetime 2016-11-28T13:26:34 --delay 1 --endMP 204:143 --enddatetime 2016-11-28T14:03:28 --enforcementcount 0 &gt;&gt;C:\Users\stu\Documents\GitHub\eaglep3-reporting\EC\2016-11-28-refined-times.txt</v>
      </c>
      <c r="AI84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{"issue":{"subject":"","project_id":79,"tracker_id":40,"status_id":1,"priority_id":2,"assigned_to_id":23,"start_date":"2016-11-28","description":"","custom_fields":[{"id":1,"name":"Subdivision","value":"EC"},{"id":4,"name":"Milepost","value":"0.0143"},{"id":17,"name":"Train ID","value":"172-28"},{"id":16,"name":"Locomotive ID","value":"4037"},{"id":130,"name":"Impact","value":""},{"id":150,"name":"Time of Event (Mountain Time)","value":"14:03:28"},{"id":151,"name":"Denver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525</v>
      </c>
      <c r="B85" s="7">
        <v>4040</v>
      </c>
      <c r="C85" s="22" t="s">
        <v>212</v>
      </c>
      <c r="D85" s="22" t="s">
        <v>261</v>
      </c>
      <c r="E85" s="13">
        <v>42702.526192129626</v>
      </c>
      <c r="F85" s="13">
        <v>42702.531574074077</v>
      </c>
      <c r="G85" s="7">
        <v>2</v>
      </c>
      <c r="H85" s="22" t="s">
        <v>258</v>
      </c>
      <c r="I85" s="13">
        <v>42702.556087962963</v>
      </c>
      <c r="J85" s="7">
        <v>0</v>
      </c>
      <c r="K85" s="109" t="str">
        <f t="shared" si="21"/>
        <v>4039/4040</v>
      </c>
      <c r="L85" s="22" t="str">
        <f>VLOOKUP(A85,'Trips&amp;Operators'!$C$1:$E$10000,3,FALSE)</f>
        <v>STEWART</v>
      </c>
      <c r="M85" s="6">
        <f t="shared" si="22"/>
        <v>2.4513888885849155E-2</v>
      </c>
      <c r="N85" s="7">
        <f t="shared" si="37"/>
        <v>35.299999995622784</v>
      </c>
      <c r="O85" s="7"/>
      <c r="P85" s="7"/>
      <c r="Q85" s="23"/>
      <c r="R85" s="23"/>
      <c r="S85" s="35">
        <f t="shared" si="23"/>
        <v>1</v>
      </c>
      <c r="T85" s="50" t="str">
        <f t="shared" si="24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11:37:43-700',mode:absolute,to:'2016-11-28 14:20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5" s="52" t="str">
        <f t="shared" si="26"/>
        <v>N</v>
      </c>
      <c r="X85" s="177">
        <f t="shared" si="27"/>
        <v>1</v>
      </c>
      <c r="Y85" s="67">
        <f t="shared" si="28"/>
        <v>4.7100000000000003E-2</v>
      </c>
      <c r="Z85" s="67">
        <f t="shared" si="29"/>
        <v>23.330200000000001</v>
      </c>
      <c r="AA85" s="67">
        <f t="shared" si="30"/>
        <v>23.283100000000001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31"/>
        <v>0173-28</v>
      </c>
      <c r="AE85" s="91" t="str">
        <f t="shared" si="32"/>
        <v>aws s3 cp s3://rtdc.mdm.uploadarchive.raw/RTDC4040/ "%USERPROFILE%\AppData\Local\Temp\OnboardLogs"\RTDC4040\2016-11-28 --exclude "*" --recursive --include "*20161128*" &amp; "%USERPROFILE%\Documents\GitHub\mrs-test-scripts\Headless Mode &amp; Sideloading\WalkAndUnGZ.bat" "%USERPROFILE%\AppData\Local\Temp\OnboardLogs"\RTDC4040\2016-11-28 &amp; 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</v>
      </c>
      <c r="AF85" s="88" t="str">
        <f t="shared" si="33"/>
        <v>"C:\Program Files (x86)\AstroGrep\AstroGrep.exe" /spath="%USERPROFILE%\AppData\Local\Temp\OnboardLogs" /stypes="app*4040*20161128*" /stext=" 20:.+((SYSTEM_STATE.+slice.+state.+changed )|(ment ac)|(multiple cpu faults)|(system.+state.+changed )|(\[timeout)|(PRM\|1\|D)|(kpr)|(kdp)|(\|lc)|(penalty))" /e /r /s</v>
      </c>
      <c r="AG85" s="1" t="str">
        <f t="shared" si="34"/>
        <v>EC</v>
      </c>
      <c r="AH85" s="92" t="str">
        <f t="shared" si="35"/>
        <v>"%USERPROFILE%\Documents\GitHub\eaglep3\Utilities\RefineRTDCRunTimes.py" --tripid 173-28 --locoid 4040 --swversion DE.1.0.8.0 --startMP 204:471 --initTime 2016-11-28T12:37:43 --startdatetime 2016-11-28T12:45:28 --delay 2 --endMP 204:233302 --enddatetime 2016-11-28T13:20:46 --enforcementcount 0 &gt;&gt;C:\Users\stu\Documents\GitHub\eaglep3-reporting\EC\2016-11-28-refined-times.txt</v>
      </c>
      <c r="AI85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{"issue":{"subject":"","project_id":79,"tracker_id":40,"status_id":1,"priority_id":2,"assigned_to_id":23,"start_date":"2016-11-28","description":"","custom_fields":[{"id":1,"name":"Subdivision","value":"EC"},{"id":4,"name":"Milepost","value":"23.3302"},{"id":17,"name":"Train ID","value":"173-28"},{"id":16,"name":"Locomotive ID","value":"4040"},{"id":130,"name":"Impact","value":""},{"id":150,"name":"Time of Event (Mountain Time)","value":"13:20:46"},{"id":151,"name":"Denver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532</v>
      </c>
      <c r="B86" s="7">
        <v>4039</v>
      </c>
      <c r="C86" s="22" t="s">
        <v>212</v>
      </c>
      <c r="D86" s="22" t="s">
        <v>206</v>
      </c>
      <c r="E86" s="13">
        <v>42702.568171296298</v>
      </c>
      <c r="F86" s="13">
        <v>42702.570555555554</v>
      </c>
      <c r="G86" s="7">
        <v>1</v>
      </c>
      <c r="H86" s="22" t="s">
        <v>233</v>
      </c>
      <c r="I86" s="13">
        <v>42702.596134259256</v>
      </c>
      <c r="J86" s="7">
        <v>0</v>
      </c>
      <c r="K86" s="109" t="str">
        <f t="shared" si="21"/>
        <v>4039/4040</v>
      </c>
      <c r="L86" s="22" t="str">
        <f>VLOOKUP(A86,'Trips&amp;Operators'!$C$1:$E$10000,3,FALSE)</f>
        <v>STEWART</v>
      </c>
      <c r="M86" s="6">
        <f t="shared" si="22"/>
        <v>2.5578703702194616E-2</v>
      </c>
      <c r="N86" s="7">
        <f t="shared" si="37"/>
        <v>36.833333331160247</v>
      </c>
      <c r="O86" s="7"/>
      <c r="P86" s="7"/>
      <c r="Q86" s="23"/>
      <c r="R86" s="23"/>
      <c r="S86" s="35">
        <f t="shared" si="23"/>
        <v>1</v>
      </c>
      <c r="T86" s="50" t="str">
        <f t="shared" si="24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12:38:10-700',mode:absolute,to:'2016-11-28 15:18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6" s="52" t="str">
        <f t="shared" si="26"/>
        <v>N</v>
      </c>
      <c r="X86" s="177">
        <f t="shared" si="27"/>
        <v>1</v>
      </c>
      <c r="Y86" s="67">
        <f t="shared" si="28"/>
        <v>23.297699999999999</v>
      </c>
      <c r="Z86" s="67">
        <f t="shared" si="29"/>
        <v>1.54E-2</v>
      </c>
      <c r="AA86" s="67">
        <f t="shared" si="30"/>
        <v>23.282299999999999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31"/>
        <v>0174-28</v>
      </c>
      <c r="AE86" s="91" t="str">
        <f t="shared" si="32"/>
        <v>aws s3 cp s3://rtdc.mdm.uploadarchive.raw/RTDC4039/ "%USERPROFILE%\AppData\Local\Temp\OnboardLogs"\RTDC4039\2016-11-28 --exclude "*" --recursive --include "*20161128*" &amp; "%USERPROFILE%\Documents\GitHub\mrs-test-scripts\Headless Mode &amp; Sideloading\WalkAndUnGZ.bat" "%USERPROFILE%\AppData\Local\Temp\OnboardLogs"\RTDC4039\2016-11-28 &amp; 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</v>
      </c>
      <c r="AF86" s="88" t="str">
        <f t="shared" si="33"/>
        <v>"C:\Program Files (x86)\AstroGrep\AstroGrep.exe" /spath="%USERPROFILE%\AppData\Local\Temp\OnboardLogs" /stypes="app*4039*20161128*" /stext=" 21:.+((SYSTEM_STATE.+slice.+state.+changed )|(ment ac)|(multiple cpu faults)|(system.+state.+changed )|(\[timeout)|(PRM\|1\|D)|(kpr)|(kdp)|(\|lc)|(penalty))" /e /r /s</v>
      </c>
      <c r="AG86" s="1" t="str">
        <f t="shared" si="34"/>
        <v>EC</v>
      </c>
      <c r="AH86" s="92" t="str">
        <f t="shared" si="35"/>
        <v>"%USERPROFILE%\Documents\GitHub\eaglep3\Utilities\RefineRTDCRunTimes.py" --tripid 174-28 --locoid 4039 --swversion DE.1.0.8.0 --startMP 204:232977 --initTime 2016-11-28T13:38:10 --startdatetime 2016-11-28T13:41:36 --delay 1 --endMP 204:154 --enddatetime 2016-11-28T14:18:26 --enforcementcount 0 &gt;&gt;C:\Users\stu\Documents\GitHub\eaglep3-reporting\EC\2016-11-28-refined-times.txt</v>
      </c>
      <c r="AI86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{"issue":{"subject":"","project_id":79,"tracker_id":40,"status_id":1,"priority_id":2,"assigned_to_id":23,"start_date":"2016-11-28","description":"","custom_fields":[{"id":1,"name":"Subdivision","value":"EC"},{"id":4,"name":"Milepost","value":"0.0154"},{"id":17,"name":"Train ID","value":"174-28"},{"id":16,"name":"Locomotive ID","value":"4039"},{"id":130,"name":"Impact","value":""},{"id":150,"name":"Time of Event (Mountain Time)","value":"14:18:26"},{"id":151,"name":"Denver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527</v>
      </c>
      <c r="B87" s="7">
        <v>4002</v>
      </c>
      <c r="C87" s="22" t="s">
        <v>212</v>
      </c>
      <c r="D87" s="22" t="s">
        <v>269</v>
      </c>
      <c r="E87" s="13">
        <v>42702.536539351851</v>
      </c>
      <c r="F87" s="13">
        <v>42702.54184027778</v>
      </c>
      <c r="G87" s="7">
        <v>1</v>
      </c>
      <c r="H87" s="22" t="s">
        <v>660</v>
      </c>
      <c r="I87" s="13">
        <v>42702.567129629628</v>
      </c>
      <c r="J87" s="7">
        <v>0</v>
      </c>
      <c r="K87" s="109" t="str">
        <f t="shared" si="21"/>
        <v>4001/4002</v>
      </c>
      <c r="L87" s="22" t="str">
        <f>VLOOKUP(A87,'Trips&amp;Operators'!$C$1:$E$10000,3,FALSE)</f>
        <v>BARTLETT</v>
      </c>
      <c r="M87" s="6">
        <f t="shared" si="22"/>
        <v>2.5289351848186925E-2</v>
      </c>
      <c r="N87" s="7">
        <f t="shared" si="37"/>
        <v>36.416666661389172</v>
      </c>
      <c r="O87" s="7"/>
      <c r="P87" s="7"/>
      <c r="Q87" s="23"/>
      <c r="R87" s="23"/>
      <c r="S87" s="35">
        <f t="shared" si="23"/>
        <v>1</v>
      </c>
      <c r="T87" s="50" t="str">
        <f t="shared" si="24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11:52:37-700',mode:absolute,to:'2016-11-28 14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7" s="52" t="str">
        <f t="shared" si="26"/>
        <v>N</v>
      </c>
      <c r="X87" s="177">
        <f t="shared" si="27"/>
        <v>1</v>
      </c>
      <c r="Y87" s="67">
        <f t="shared" si="28"/>
        <v>4.6899999999999997E-2</v>
      </c>
      <c r="Z87" s="67">
        <f t="shared" si="29"/>
        <v>23.334299999999999</v>
      </c>
      <c r="AA87" s="67">
        <f t="shared" si="30"/>
        <v>23.287399999999998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31"/>
        <v>0175-28</v>
      </c>
      <c r="AE87" s="91" t="str">
        <f t="shared" si="32"/>
        <v>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 &amp; aws s3 cp s3://rtdc.mdm.uploadarchive.raw/RTDC4002/ "%USERPROFILE%\AppData\Local\Temp\OnboardLogs"\RTDC4002\2016-11-29 --exclude "*" --recursive --include "*20161129*" &amp; "%USERPROFILE%\Documents\GitHub\mrs-test-scripts\Headless Mode &amp; Sideloading\WalkAndUnGZ.bat" "%USERPROFILE%\AppData\Local\Temp\OnboardLogs"\RTDC4002\2016-11-29</v>
      </c>
      <c r="AF87" s="88" t="str">
        <f t="shared" si="33"/>
        <v>"C:\Program Files (x86)\AstroGrep\AstroGrep.exe" /spath="%USERPROFILE%\AppData\Local\Temp\OnboardLogs" /stypes="app*4002*20161128*" /stext=" 20:.+((SYSTEM_STATE.+slice.+state.+changed )|(ment ac)|(multiple cpu faults)|(system.+state.+changed )|(\[timeout)|(PRM\|1\|D)|(kpr)|(kdp)|(\|lc)|(penalty))" /e /r /s</v>
      </c>
      <c r="AG87" s="1" t="str">
        <f t="shared" si="34"/>
        <v>EC</v>
      </c>
      <c r="AH87" s="92" t="str">
        <f t="shared" si="35"/>
        <v>"%USERPROFILE%\Documents\GitHub\eaglep3\Utilities\RefineRTDCRunTimes.py" --tripid 175-28 --locoid 4002 --swversion DE.1.0.8.0 --startMP 204:469 --initTime 2016-11-28T12:52:37 --startdatetime 2016-11-28T13:00:15 --delay 1 --endMP 204:233343 --enddatetime 2016-11-28T13:36:40 --enforcementcount 0 &gt;&gt;C:\Users\stu\Documents\GitHub\eaglep3-reporting\EC\2016-11-28-refined-times.txt</v>
      </c>
      <c r="AI87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{"issue":{"subject":"","project_id":79,"tracker_id":40,"status_id":1,"priority_id":2,"assigned_to_id":23,"start_date":"2016-11-28","description":"","custom_fields":[{"id":1,"name":"Subdivision","value":"EC"},{"id":4,"name":"Milepost","value":"23.3343"},{"id":17,"name":"Train ID","value":"175-28"},{"id":16,"name":"Locomotive ID","value":"4002"},{"id":130,"name":"Impact","value":""},{"id":150,"name":"Time of Event (Mountain Time)","value":"13:36:40"},{"id":151,"name":"Denver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534</v>
      </c>
      <c r="B88" s="7">
        <v>4001</v>
      </c>
      <c r="C88" s="22" t="s">
        <v>212</v>
      </c>
      <c r="D88" s="22" t="s">
        <v>661</v>
      </c>
      <c r="E88" s="13">
        <v>42702.569976851853</v>
      </c>
      <c r="F88" s="13">
        <v>42702.580706018518</v>
      </c>
      <c r="G88" s="7">
        <v>1</v>
      </c>
      <c r="H88" s="22" t="s">
        <v>263</v>
      </c>
      <c r="I88" s="13">
        <v>42702.607083333336</v>
      </c>
      <c r="J88" s="7">
        <v>0</v>
      </c>
      <c r="K88" s="109" t="str">
        <f t="shared" si="21"/>
        <v>4001/4002</v>
      </c>
      <c r="L88" s="22" t="str">
        <f>VLOOKUP(A88,'Trips&amp;Operators'!$C$1:$E$10000,3,FALSE)</f>
        <v>BARTLETT</v>
      </c>
      <c r="M88" s="6">
        <f t="shared" si="22"/>
        <v>2.6377314818091691E-2</v>
      </c>
      <c r="N88" s="7">
        <f t="shared" si="37"/>
        <v>37.983333338052034</v>
      </c>
      <c r="O88" s="7"/>
      <c r="P88" s="7"/>
      <c r="Q88" s="23"/>
      <c r="R88" s="23"/>
      <c r="S88" s="35">
        <f t="shared" si="23"/>
        <v>1</v>
      </c>
      <c r="T88" s="50" t="str">
        <f t="shared" si="24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12:40:46-700',mode:absolute,to:'2016-11-28 15:34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8" s="52" t="str">
        <f t="shared" si="26"/>
        <v>N</v>
      </c>
      <c r="X88" s="177">
        <f t="shared" si="27"/>
        <v>1</v>
      </c>
      <c r="Y88" s="67">
        <f t="shared" si="28"/>
        <v>23.300899999999999</v>
      </c>
      <c r="Z88" s="67">
        <f t="shared" si="29"/>
        <v>1.67E-2</v>
      </c>
      <c r="AA88" s="67">
        <f t="shared" si="30"/>
        <v>23.284199999999998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1"/>
        <v>0176-28</v>
      </c>
      <c r="AE88" s="91" t="str">
        <f t="shared" si="32"/>
        <v>aws s3 cp s3://rtdc.mdm.uploadarchive.raw/RTDC4001/ "%USERPROFILE%\AppData\Local\Temp\OnboardLogs"\RTDC4001\2016-11-28 --exclude "*" --recursive --include "*20161128*" &amp; "%USERPROFILE%\Documents\GitHub\mrs-test-scripts\Headless Mode &amp; Sideloading\WalkAndUnGZ.bat" "%USERPROFILE%\AppData\Local\Temp\OnboardLogs"\RTDC4001\2016-11-28 &amp; aws s3 cp s3://rtdc.mdm.uploadarchive.raw/RTDC4001/ "%USERPROFILE%\AppData\Local\Temp\OnboardLogs"\RTDC4001\2016-11-29 --exclude "*" --recursive --include "*20161129*" &amp; "%USERPROFILE%\Documents\GitHub\mrs-test-scripts\Headless Mode &amp; Sideloading\WalkAndUnGZ.bat" "%USERPROFILE%\AppData\Local\Temp\OnboardLogs"\RTDC4001\2016-11-29</v>
      </c>
      <c r="AF88" s="88" t="str">
        <f t="shared" si="33"/>
        <v>"C:\Program Files (x86)\AstroGrep\AstroGrep.exe" /spath="%USERPROFILE%\AppData\Local\Temp\OnboardLogs" /stypes="app*4001*20161128*" /stext=" 21:.+((SYSTEM_STATE.+slice.+state.+changed )|(ment ac)|(multiple cpu faults)|(system.+state.+changed )|(\[timeout)|(PRM\|1\|D)|(kpr)|(kdp)|(\|lc)|(penalty))" /e /r /s</v>
      </c>
      <c r="AG88" s="1" t="str">
        <f t="shared" si="34"/>
        <v>EC</v>
      </c>
      <c r="AH88" s="92" t="str">
        <f t="shared" si="35"/>
        <v>"%USERPROFILE%\Documents\GitHub\eaglep3\Utilities\RefineRTDCRunTimes.py" --tripid 176-28 --locoid 4001 --swversion DE.1.0.8.0 --startMP 204:233009 --initTime 2016-11-28T13:40:46 --startdatetime 2016-11-28T13:56:13 --delay 1 --endMP 204:167 --enddatetime 2016-11-28T14:34:12 --enforcementcount 0 &gt;&gt;C:\Users\stu\Documents\GitHub\eaglep3-reporting\EC\2016-11-28-refined-times.txt</v>
      </c>
      <c r="AI88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{"issue":{"subject":"","project_id":79,"tracker_id":40,"status_id":1,"priority_id":2,"assigned_to_id":23,"start_date":"2016-11-28","description":"","custom_fields":[{"id":1,"name":"Subdivision","value":"EC"},{"id":4,"name":"Milepost","value":"0.0167"},{"id":17,"name":"Train ID","value":"176-28"},{"id":16,"name":"Locomotive ID","value":"4001"},{"id":130,"name":"Impact","value":""},{"id":150,"name":"Time of Event (Mountain Time)","value":"14:34:12"},{"id":151,"name":"Denver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528</v>
      </c>
      <c r="B89" s="7">
        <v>4042</v>
      </c>
      <c r="C89" s="22" t="s">
        <v>212</v>
      </c>
      <c r="D89" s="22" t="s">
        <v>662</v>
      </c>
      <c r="E89" s="13">
        <v>42702.546273148146</v>
      </c>
      <c r="F89" s="13">
        <v>42702.552256944444</v>
      </c>
      <c r="G89" s="7">
        <v>1</v>
      </c>
      <c r="H89" s="22" t="s">
        <v>268</v>
      </c>
      <c r="I89" s="13">
        <v>42702.577465277776</v>
      </c>
      <c r="J89" s="7">
        <v>0</v>
      </c>
      <c r="K89" s="109" t="str">
        <f t="shared" si="21"/>
        <v>4041/4042</v>
      </c>
      <c r="L89" s="22" t="str">
        <f>VLOOKUP(A89,'Trips&amp;Operators'!$C$1:$E$10000,3,FALSE)</f>
        <v>BONDS</v>
      </c>
      <c r="M89" s="6">
        <f t="shared" si="22"/>
        <v>2.5208333332557231E-2</v>
      </c>
      <c r="N89" s="7">
        <f t="shared" si="37"/>
        <v>36.299999998882413</v>
      </c>
      <c r="O89" s="7"/>
      <c r="P89" s="7"/>
      <c r="Q89" s="23"/>
      <c r="R89" s="23"/>
      <c r="S89" s="35">
        <f t="shared" si="23"/>
        <v>1</v>
      </c>
      <c r="T89" s="50" t="str">
        <f t="shared" si="24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12:06:38-700',mode:absolute,to:'2016-11-28 14:51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9" s="52" t="str">
        <f t="shared" si="26"/>
        <v>N</v>
      </c>
      <c r="X89" s="177">
        <f t="shared" si="27"/>
        <v>1</v>
      </c>
      <c r="Y89" s="67">
        <f t="shared" si="28"/>
        <v>4.3700000000000003E-2</v>
      </c>
      <c r="Z89" s="67">
        <f t="shared" si="29"/>
        <v>23.3306</v>
      </c>
      <c r="AA89" s="67">
        <f t="shared" si="30"/>
        <v>23.286899999999999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31"/>
        <v>0177-28</v>
      </c>
      <c r="AE89" s="91" t="str">
        <f t="shared" si="32"/>
        <v>aws s3 cp s3://rtdc.mdm.uploadarchive.raw/RTDC4042/ "%USERPROFILE%\AppData\Local\Temp\OnboardLogs"\RTDC4042\2016-11-28 --exclude "*" --recursive --include "*20161128*" &amp; "%USERPROFILE%\Documents\GitHub\mrs-test-scripts\Headless Mode &amp; Sideloading\WalkAndUnGZ.bat" "%USERPROFILE%\AppData\Local\Temp\OnboardLogs"\RTDC4042\2016-11-28 &amp; aws s3 cp s3://rtdc.mdm.uploadarchive.raw/RTDC4042/ "%USERPROFILE%\AppData\Local\Temp\OnboardLogs"\RTDC4042\2016-11-29 --exclude "*" --recursive --include "*20161129*" &amp; "%USERPROFILE%\Documents\GitHub\mrs-test-scripts\Headless Mode &amp; Sideloading\WalkAndUnGZ.bat" "%USERPROFILE%\AppData\Local\Temp\OnboardLogs"\RTDC4042\2016-11-29</v>
      </c>
      <c r="AF89" s="88" t="str">
        <f t="shared" si="33"/>
        <v>"C:\Program Files (x86)\AstroGrep\AstroGrep.exe" /spath="%USERPROFILE%\AppData\Local\Temp\OnboardLogs" /stypes="app*4042*20161128*" /stext=" 20:.+((SYSTEM_STATE.+slice.+state.+changed )|(ment ac)|(multiple cpu faults)|(system.+state.+changed )|(\[timeout)|(PRM\|1\|D)|(kpr)|(kdp)|(\|lc)|(penalty))" /e /r /s</v>
      </c>
      <c r="AG89" s="1" t="str">
        <f t="shared" si="34"/>
        <v>EC</v>
      </c>
      <c r="AH89" s="92" t="str">
        <f t="shared" si="35"/>
        <v>"%USERPROFILE%\Documents\GitHub\eaglep3\Utilities\RefineRTDCRunTimes.py" --tripid 177-28 --locoid 4042 --swversion DE.1.0.8.0 --startMP 204:437 --initTime 2016-11-28T13:06:38 --startdatetime 2016-11-28T13:15:15 --delay 1 --endMP 204:233306 --enddatetime 2016-11-28T13:51:33 --enforcementcount 0 &gt;&gt;C:\Users\stu\Documents\GitHub\eaglep3-reporting\EC\2016-11-28-refined-times.txt</v>
      </c>
      <c r="AI89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{"issue":{"subject":"","project_id":79,"tracker_id":40,"status_id":1,"priority_id":2,"assigned_to_id":23,"start_date":"2016-11-28","description":"","custom_fields":[{"id":1,"name":"Subdivision","value":"EC"},{"id":4,"name":"Milepost","value":"23.3306"},{"id":17,"name":"Train ID","value":"177-28"},{"id":16,"name":"Locomotive ID","value":"4042"},{"id":130,"name":"Impact","value":""},{"id":150,"name":"Time of Event (Mountain Time)","value":"13:51:33"},{"id":151,"name":"Denver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418</v>
      </c>
      <c r="B90" s="7">
        <v>4041</v>
      </c>
      <c r="C90" s="22" t="s">
        <v>212</v>
      </c>
      <c r="D90" s="22" t="s">
        <v>361</v>
      </c>
      <c r="E90" s="13">
        <v>42702.58153935185</v>
      </c>
      <c r="F90" s="13">
        <v>42702.591481481482</v>
      </c>
      <c r="G90" s="7">
        <v>1</v>
      </c>
      <c r="H90" s="22" t="s">
        <v>233</v>
      </c>
      <c r="I90" s="13">
        <v>42702.61787037037</v>
      </c>
      <c r="J90" s="7">
        <v>0</v>
      </c>
      <c r="K90" s="109" t="str">
        <f t="shared" si="21"/>
        <v>4041/4042</v>
      </c>
      <c r="L90" s="22" t="str">
        <f>VLOOKUP(A90,'Trips&amp;Operators'!$C$1:$E$10000,3,FALSE)</f>
        <v>BONDS</v>
      </c>
      <c r="M90" s="6">
        <f t="shared" si="22"/>
        <v>2.6388888887595385E-2</v>
      </c>
      <c r="N90" s="7">
        <f t="shared" si="37"/>
        <v>37.999999998137355</v>
      </c>
      <c r="O90" s="7"/>
      <c r="P90" s="7"/>
      <c r="Q90" s="23"/>
      <c r="R90" s="23"/>
      <c r="S90" s="35">
        <f t="shared" si="23"/>
        <v>1</v>
      </c>
      <c r="T90" s="50" t="str">
        <f t="shared" si="24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12:57:25-700',mode:absolute,to:'2016-11-28 15:49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0" s="52" t="str">
        <f t="shared" si="26"/>
        <v>N</v>
      </c>
      <c r="X90" s="177">
        <f t="shared" si="27"/>
        <v>1</v>
      </c>
      <c r="Y90" s="67">
        <f t="shared" si="28"/>
        <v>23.299099999999999</v>
      </c>
      <c r="Z90" s="67">
        <f t="shared" si="29"/>
        <v>1.54E-2</v>
      </c>
      <c r="AA90" s="67">
        <f t="shared" si="30"/>
        <v>23.2837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1"/>
        <v>0178-28</v>
      </c>
      <c r="AE90" s="91" t="str">
        <f t="shared" si="32"/>
        <v>aws s3 cp s3://rtdc.mdm.uploadarchive.raw/RTDC4041/ "%USERPROFILE%\AppData\Local\Temp\OnboardLogs"\RTDC4041\2016-11-28 --exclude "*" --recursive --include "*20161128*" &amp; "%USERPROFILE%\Documents\GitHub\mrs-test-scripts\Headless Mode &amp; Sideloading\WalkAndUnGZ.bat" "%USERPROFILE%\AppData\Local\Temp\OnboardLogs"\RTDC4041\2016-11-28 &amp; 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</v>
      </c>
      <c r="AF90" s="88" t="str">
        <f t="shared" si="33"/>
        <v>"C:\Program Files (x86)\AstroGrep\AstroGrep.exe" /spath="%USERPROFILE%\AppData\Local\Temp\OnboardLogs" /stypes="app*4041*20161128*" /stext=" 21:.+((SYSTEM_STATE.+slice.+state.+changed )|(ment ac)|(multiple cpu faults)|(system.+state.+changed )|(\[timeout)|(PRM\|1\|D)|(kpr)|(kdp)|(\|lc)|(penalty))" /e /r /s</v>
      </c>
      <c r="AG90" s="1" t="str">
        <f t="shared" si="34"/>
        <v>EC</v>
      </c>
      <c r="AH90" s="92" t="str">
        <f t="shared" si="35"/>
        <v>"%USERPROFILE%\Documents\GitHub\eaglep3\Utilities\RefineRTDCRunTimes.py" --tripid 178-28 --locoid 4041 --swversion DE.1.0.8.0 --startMP 204:232991 --initTime 2016-11-28T13:57:25 --startdatetime 2016-11-28T14:11:44 --delay 1 --endMP 204:154 --enddatetime 2016-11-28T14:49:44 --enforcementcount 0 &gt;&gt;C:\Users\stu\Documents\GitHub\eaglep3-reporting\EC\2016-11-28-refined-times.txt</v>
      </c>
      <c r="AI90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{"issue":{"subject":"","project_id":79,"tracker_id":40,"status_id":1,"priority_id":2,"assigned_to_id":23,"start_date":"2016-11-28","description":"","custom_fields":[{"id":1,"name":"Subdivision","value":"EC"},{"id":4,"name":"Milepost","value":"0.0154"},{"id":17,"name":"Train ID","value":"178-28"},{"id":16,"name":"Locomotive ID","value":"4041"},{"id":130,"name":"Impact","value":""},{"id":150,"name":"Time of Event (Mountain Time)","value":"14:49:44"},{"id":151,"name":"Denver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531</v>
      </c>
      <c r="B91" s="7">
        <v>4016</v>
      </c>
      <c r="C91" s="22" t="s">
        <v>212</v>
      </c>
      <c r="D91" s="22" t="s">
        <v>194</v>
      </c>
      <c r="E91" s="13">
        <v>42702.55810185185</v>
      </c>
      <c r="F91" s="13">
        <v>42702.562673611108</v>
      </c>
      <c r="G91" s="7">
        <v>1</v>
      </c>
      <c r="H91" s="22" t="s">
        <v>355</v>
      </c>
      <c r="I91" s="13">
        <v>42702.588229166664</v>
      </c>
      <c r="J91" s="7">
        <v>0</v>
      </c>
      <c r="K91" s="109" t="str">
        <f t="shared" si="21"/>
        <v>4015/4016</v>
      </c>
      <c r="L91" s="22" t="str">
        <f>VLOOKUP(A91,'Trips&amp;Operators'!$C$1:$E$10000,3,FALSE)</f>
        <v>CLARK</v>
      </c>
      <c r="M91" s="6">
        <f t="shared" si="22"/>
        <v>2.5555555555911269E-2</v>
      </c>
      <c r="N91" s="7">
        <f t="shared" si="37"/>
        <v>36.800000000512227</v>
      </c>
      <c r="O91" s="7"/>
      <c r="P91" s="7"/>
      <c r="Q91" s="23"/>
      <c r="R91" s="23"/>
      <c r="S91" s="35">
        <f t="shared" si="23"/>
        <v>1</v>
      </c>
      <c r="T91" s="50" t="str">
        <f t="shared" si="24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12:23:40-700',mode:absolute,to:'2016-11-28 15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1" s="52" t="str">
        <f t="shared" si="26"/>
        <v>N</v>
      </c>
      <c r="X91" s="177">
        <f t="shared" si="27"/>
        <v>1</v>
      </c>
      <c r="Y91" s="67">
        <f t="shared" si="28"/>
        <v>4.4699999999999997E-2</v>
      </c>
      <c r="Z91" s="67">
        <f t="shared" si="29"/>
        <v>23.3324</v>
      </c>
      <c r="AA91" s="67">
        <f t="shared" si="30"/>
        <v>23.287700000000001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31"/>
        <v>0179-28</v>
      </c>
      <c r="AE91" s="91" t="str">
        <f t="shared" si="32"/>
        <v>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 &amp; 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</v>
      </c>
      <c r="AF91" s="88" t="str">
        <f t="shared" si="33"/>
        <v>"C:\Program Files (x86)\AstroGrep\AstroGrep.exe" /spath="%USERPROFILE%\AppData\Local\Temp\OnboardLogs" /stypes="app*4016*20161128*" /stext=" 21:.+((SYSTEM_STATE.+slice.+state.+changed )|(ment ac)|(multiple cpu faults)|(system.+state.+changed )|(\[timeout)|(PRM\|1\|D)|(kpr)|(kdp)|(\|lc)|(penalty))" /e /r /s</v>
      </c>
      <c r="AG91" s="1" t="str">
        <f t="shared" si="34"/>
        <v>EC</v>
      </c>
      <c r="AH91" s="92" t="str">
        <f t="shared" si="35"/>
        <v>"%USERPROFILE%\Documents\GitHub\eaglep3\Utilities\RefineRTDCRunTimes.py" --tripid 179-28 --locoid 4016 --swversion DE.1.0.8.0 --startMP 204:447 --initTime 2016-11-28T13:23:40 --startdatetime 2016-11-28T13:30:15 --delay 1 --endMP 204:233324 --enddatetime 2016-11-28T14:07:03 --enforcementcount 0 &gt;&gt;C:\Users\stu\Documents\GitHub\eaglep3-reporting\EC\2016-11-28-refined-times.txt</v>
      </c>
      <c r="AI91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{"issue":{"subject":"","project_id":79,"tracker_id":40,"status_id":1,"priority_id":2,"assigned_to_id":23,"start_date":"2016-11-28","description":"","custom_fields":[{"id":1,"name":"Subdivision","value":"EC"},{"id":4,"name":"Milepost","value":"23.3324"},{"id":17,"name":"Train ID","value":"179-28"},{"id":16,"name":"Locomotive ID","value":"4016"},{"id":130,"name":"Impact","value":""},{"id":150,"name":"Time of Event (Mountain Time)","value":"14:07:03"},{"id":151,"name":"Denver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419</v>
      </c>
      <c r="B92" s="7">
        <v>4015</v>
      </c>
      <c r="C92" s="22" t="s">
        <v>212</v>
      </c>
      <c r="D92" s="22" t="s">
        <v>663</v>
      </c>
      <c r="E92" s="13">
        <v>42702.596701388888</v>
      </c>
      <c r="F92" s="13">
        <v>42702.601574074077</v>
      </c>
      <c r="G92" s="7">
        <v>1</v>
      </c>
      <c r="H92" s="22" t="s">
        <v>664</v>
      </c>
      <c r="I92" s="13">
        <v>42702.629884259259</v>
      </c>
      <c r="J92" s="7">
        <v>0</v>
      </c>
      <c r="K92" s="109" t="str">
        <f t="shared" si="21"/>
        <v>4015/4016</v>
      </c>
      <c r="L92" s="22" t="str">
        <f>VLOOKUP(A92,'Trips&amp;Operators'!$C$1:$E$10000,3,FALSE)</f>
        <v>CLARK</v>
      </c>
      <c r="M92" s="6">
        <f t="shared" si="22"/>
        <v>2.8310185181908309E-2</v>
      </c>
      <c r="N92" s="7">
        <f t="shared" si="37"/>
        <v>40.766666661947966</v>
      </c>
      <c r="O92" s="7"/>
      <c r="P92" s="7"/>
      <c r="Q92" s="23"/>
      <c r="R92" s="23"/>
      <c r="S92" s="35">
        <f t="shared" si="23"/>
        <v>1</v>
      </c>
      <c r="T92" s="50" t="str">
        <f t="shared" si="24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13:19:15-700',mode:absolute,to:'2016-11-28 16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2" s="52" t="str">
        <f t="shared" si="26"/>
        <v>N</v>
      </c>
      <c r="X92" s="177">
        <f t="shared" si="27"/>
        <v>1</v>
      </c>
      <c r="Y92" s="67">
        <f t="shared" si="28"/>
        <v>23.302299999999999</v>
      </c>
      <c r="Z92" s="67">
        <f t="shared" si="29"/>
        <v>2.0500000000000001E-2</v>
      </c>
      <c r="AA92" s="67">
        <f t="shared" si="30"/>
        <v>23.2818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31"/>
        <v>0180-28</v>
      </c>
      <c r="AE92" s="91" t="str">
        <f t="shared" si="32"/>
        <v>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 &amp; 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</v>
      </c>
      <c r="AF92" s="88" t="str">
        <f t="shared" si="33"/>
        <v>"C:\Program Files (x86)\AstroGrep\AstroGrep.exe" /spath="%USERPROFILE%\AppData\Local\Temp\OnboardLogs" /stypes="app*4015*20161128*" /stext=" 22:.+((SYSTEM_STATE.+slice.+state.+changed )|(ment ac)|(multiple cpu faults)|(system.+state.+changed )|(\[timeout)|(PRM\|1\|D)|(kpr)|(kdp)|(\|lc)|(penalty))" /e /r /s</v>
      </c>
      <c r="AG92" s="1" t="str">
        <f t="shared" si="34"/>
        <v>EC</v>
      </c>
      <c r="AH92" s="92" t="str">
        <f t="shared" si="35"/>
        <v>"%USERPROFILE%\Documents\GitHub\eaglep3\Utilities\RefineRTDCRunTimes.py" --tripid 180-28 --locoid 4015 --swversion DE.1.0.8.0 --startMP 204:233023 --initTime 2016-11-28T14:19:15 --startdatetime 2016-11-28T14:26:16 --delay 1 --endMP 204:205 --enddatetime 2016-11-28T15:07:02 --enforcementcount 0 &gt;&gt;C:\Users\stu\Documents\GitHub\eaglep3-reporting\EC\2016-11-28-refined-times.txt</v>
      </c>
      <c r="AI92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{"issue":{"subject":"","project_id":79,"tracker_id":40,"status_id":1,"priority_id":2,"assigned_to_id":23,"start_date":"2016-11-28","description":"","custom_fields":[{"id":1,"name":"Subdivision","value":"EC"},{"id":4,"name":"Milepost","value":"0.0205"},{"id":17,"name":"Train ID","value":"180-28"},{"id":16,"name":"Locomotive ID","value":"4015"},{"id":130,"name":"Impact","value":""},{"id":150,"name":"Time of Event (Mountain Time)","value":"15:07:02"},{"id":151,"name":"Denver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533</v>
      </c>
      <c r="B93" s="7">
        <v>4025</v>
      </c>
      <c r="C93" s="22" t="s">
        <v>212</v>
      </c>
      <c r="D93" s="22" t="s">
        <v>665</v>
      </c>
      <c r="E93" s="13">
        <v>42702.568530092591</v>
      </c>
      <c r="F93" s="13">
        <v>42702.573240740741</v>
      </c>
      <c r="G93" s="7">
        <v>2</v>
      </c>
      <c r="H93" s="22" t="s">
        <v>285</v>
      </c>
      <c r="I93" s="13">
        <v>42702.599398148152</v>
      </c>
      <c r="J93" s="7">
        <v>0</v>
      </c>
      <c r="K93" s="109" t="str">
        <f t="shared" si="21"/>
        <v>4025/4026</v>
      </c>
      <c r="L93" s="22" t="str">
        <f>VLOOKUP(A93,'Trips&amp;Operators'!$C$1:$E$10000,3,FALSE)</f>
        <v>YOUNG</v>
      </c>
      <c r="M93" s="6">
        <f t="shared" si="22"/>
        <v>2.6157407410209998E-2</v>
      </c>
      <c r="N93" s="7">
        <f t="shared" si="37"/>
        <v>37.666666670702398</v>
      </c>
      <c r="O93" s="7"/>
      <c r="P93" s="7"/>
      <c r="Q93" s="23"/>
      <c r="R93" s="23"/>
      <c r="S93" s="35">
        <f t="shared" si="23"/>
        <v>1</v>
      </c>
      <c r="T93" s="50" t="str">
        <f t="shared" si="24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12:38:41-700',mode:absolute,to:'2016-11-28 15:23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3" s="52" t="str">
        <f t="shared" si="26"/>
        <v>N</v>
      </c>
      <c r="X93" s="177">
        <f t="shared" si="27"/>
        <v>1</v>
      </c>
      <c r="Y93" s="67">
        <f t="shared" si="28"/>
        <v>5.11E-2</v>
      </c>
      <c r="Z93" s="67">
        <f t="shared" si="29"/>
        <v>23.329799999999999</v>
      </c>
      <c r="AA93" s="67">
        <f t="shared" si="30"/>
        <v>23.278699999999997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1"/>
        <v>0181-28</v>
      </c>
      <c r="AE93" s="91" t="str">
        <f t="shared" si="32"/>
        <v>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 &amp; aws s3 cp s3://rtdc.mdm.uploadarchive.raw/RTDC4025/ "%USERPROFILE%\AppData\Local\Temp\OnboardLogs"\RTDC4025\2016-11-29 --exclude "*" --recursive --include "*20161129*" &amp; "%USERPROFILE%\Documents\GitHub\mrs-test-scripts\Headless Mode &amp; Sideloading\WalkAndUnGZ.bat" "%USERPROFILE%\AppData\Local\Temp\OnboardLogs"\RTDC4025\2016-11-29</v>
      </c>
      <c r="AF93" s="88" t="str">
        <f t="shared" si="33"/>
        <v>"C:\Program Files (x86)\AstroGrep\AstroGrep.exe" /spath="%USERPROFILE%\AppData\Local\Temp\OnboardLogs" /stypes="app*4025*20161128*" /stext=" 21:.+((SYSTEM_STATE.+slice.+state.+changed )|(ment ac)|(multiple cpu faults)|(system.+state.+changed )|(\[timeout)|(PRM\|1\|D)|(kpr)|(kdp)|(\|lc)|(penalty))" /e /r /s</v>
      </c>
      <c r="AG93" s="1" t="str">
        <f t="shared" si="34"/>
        <v>EC</v>
      </c>
      <c r="AH93" s="92" t="str">
        <f t="shared" si="35"/>
        <v>"%USERPROFILE%\Documents\GitHub\eaglep3\Utilities\RefineRTDCRunTimes.py" --tripid 181-28 --locoid 4025 --swversion DE.1.0.8.0 --startMP 204:511 --initTime 2016-11-28T13:38:41 --startdatetime 2016-11-28T13:45:28 --delay 2 --endMP 204:233298 --enddatetime 2016-11-28T14:23:08 --enforcementcount 0 &gt;&gt;C:\Users\stu\Documents\GitHub\eaglep3-reporting\EC\2016-11-28-refined-times.txt</v>
      </c>
      <c r="AI93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{"issue":{"subject":"","project_id":79,"tracker_id":40,"status_id":1,"priority_id":2,"assigned_to_id":23,"start_date":"2016-11-28","description":"","custom_fields":[{"id":1,"name":"Subdivision","value":"EC"},{"id":4,"name":"Milepost","value":"23.3298"},{"id":17,"name":"Train ID","value":"181-28"},{"id":16,"name":"Locomotive ID","value":"4025"},{"id":130,"name":"Impact","value":""},{"id":150,"name":"Time of Event (Mountain Time)","value":"14:23:08"},{"id":151,"name":"Denver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538</v>
      </c>
      <c r="B94" s="7">
        <v>4026</v>
      </c>
      <c r="C94" s="22" t="s">
        <v>212</v>
      </c>
      <c r="D94" s="22" t="s">
        <v>635</v>
      </c>
      <c r="E94" s="13">
        <v>42702.606562499997</v>
      </c>
      <c r="F94" s="13">
        <v>42702.612083333333</v>
      </c>
      <c r="G94" s="7">
        <v>1</v>
      </c>
      <c r="H94" s="22" t="s">
        <v>247</v>
      </c>
      <c r="I94" s="13">
        <v>42702.639675925922</v>
      </c>
      <c r="J94" s="7">
        <v>0</v>
      </c>
      <c r="K94" s="109" t="str">
        <f t="shared" si="21"/>
        <v>4025/4026</v>
      </c>
      <c r="L94" s="22" t="str">
        <f>VLOOKUP(A94,'Trips&amp;Operators'!$C$1:$E$10000,3,FALSE)</f>
        <v>YOUNG</v>
      </c>
      <c r="M94" s="6">
        <f t="shared" si="22"/>
        <v>2.7592592588916887E-2</v>
      </c>
      <c r="N94" s="7">
        <f t="shared" si="37"/>
        <v>39.733333328040317</v>
      </c>
      <c r="O94" s="7"/>
      <c r="P94" s="7"/>
      <c r="Q94" s="23"/>
      <c r="R94" s="23"/>
      <c r="S94" s="35">
        <f t="shared" si="23"/>
        <v>1</v>
      </c>
      <c r="T94" s="50" t="str">
        <f t="shared" si="24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13:33:27-700',mode:absolute,to:'2016-11-28 16:21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4" s="52" t="str">
        <f t="shared" si="26"/>
        <v>N</v>
      </c>
      <c r="X94" s="177">
        <f t="shared" si="27"/>
        <v>1</v>
      </c>
      <c r="Y94" s="67">
        <f t="shared" si="28"/>
        <v>23.297899999999998</v>
      </c>
      <c r="Z94" s="67">
        <f t="shared" si="29"/>
        <v>1.6500000000000001E-2</v>
      </c>
      <c r="AA94" s="67">
        <f t="shared" si="30"/>
        <v>23.281399999999998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1"/>
        <v>0182-28</v>
      </c>
      <c r="AE94" s="91" t="str">
        <f t="shared" si="32"/>
        <v>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 &amp; aws s3 cp s3://rtdc.mdm.uploadarchive.raw/RTDC4026/ "%USERPROFILE%\AppData\Local\Temp\OnboardLogs"\RTDC4026\2016-11-29 --exclude "*" --recursive --include "*20161129*" &amp; "%USERPROFILE%\Documents\GitHub\mrs-test-scripts\Headless Mode &amp; Sideloading\WalkAndUnGZ.bat" "%USERPROFILE%\AppData\Local\Temp\OnboardLogs"\RTDC4026\2016-11-29</v>
      </c>
      <c r="AF94" s="88" t="str">
        <f t="shared" si="33"/>
        <v>"C:\Program Files (x86)\AstroGrep\AstroGrep.exe" /spath="%USERPROFILE%\AppData\Local\Temp\OnboardLogs" /stypes="app*4026*20161128*" /stext=" 22:.+((SYSTEM_STATE.+slice.+state.+changed )|(ment ac)|(multiple cpu faults)|(system.+state.+changed )|(\[timeout)|(PRM\|1\|D)|(kpr)|(kdp)|(\|lc)|(penalty))" /e /r /s</v>
      </c>
      <c r="AG94" s="1" t="str">
        <f t="shared" si="34"/>
        <v>EC</v>
      </c>
      <c r="AH94" s="92" t="str">
        <f t="shared" si="35"/>
        <v>"%USERPROFILE%\Documents\GitHub\eaglep3\Utilities\RefineRTDCRunTimes.py" --tripid 182-28 --locoid 4026 --swversion DE.1.0.8.0 --startMP 204:232979 --initTime 2016-11-28T14:33:27 --startdatetime 2016-11-28T14:41:24 --delay 1 --endMP 204:165 --enddatetime 2016-11-28T15:21:08 --enforcementcount 0 &gt;&gt;C:\Users\stu\Documents\GitHub\eaglep3-reporting\EC\2016-11-28-refined-times.txt</v>
      </c>
      <c r="AI94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{"issue":{"subject":"","project_id":79,"tracker_id":40,"status_id":1,"priority_id":2,"assigned_to_id":23,"start_date":"2016-11-28","description":"","custom_fields":[{"id":1,"name":"Subdivision","value":"EC"},{"id":4,"name":"Milepost","value":"0.0165"},{"id":17,"name":"Train ID","value":"182-28"},{"id":16,"name":"Locomotive ID","value":"4026"},{"id":130,"name":"Impact","value":""},{"id":150,"name":"Time of Event (Mountain Time)","value":"15:21:08"},{"id":151,"name":"Denver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415</v>
      </c>
      <c r="B95" s="7">
        <v>4014</v>
      </c>
      <c r="C95" s="22" t="s">
        <v>212</v>
      </c>
      <c r="D95" s="22" t="s">
        <v>249</v>
      </c>
      <c r="E95" s="13">
        <v>42702.580023148148</v>
      </c>
      <c r="F95" s="13">
        <v>42702.583518518521</v>
      </c>
      <c r="G95" s="7">
        <v>1</v>
      </c>
      <c r="H95" s="22" t="s">
        <v>262</v>
      </c>
      <c r="I95" s="13">
        <v>42702.609085648146</v>
      </c>
      <c r="J95" s="7">
        <v>0</v>
      </c>
      <c r="K95" s="109" t="str">
        <f t="shared" si="21"/>
        <v>4013/4014</v>
      </c>
      <c r="L95" s="22" t="str">
        <f>VLOOKUP(A95,'Trips&amp;Operators'!$C$1:$E$10000,3,FALSE)</f>
        <v>DAVIDSON</v>
      </c>
      <c r="M95" s="6">
        <f t="shared" si="22"/>
        <v>2.5567129625414964E-2</v>
      </c>
      <c r="N95" s="7">
        <f t="shared" si="37"/>
        <v>36.816666660597548</v>
      </c>
      <c r="O95" s="7"/>
      <c r="P95" s="7"/>
      <c r="Q95" s="23"/>
      <c r="R95" s="23"/>
      <c r="S95" s="35">
        <f t="shared" si="23"/>
        <v>1</v>
      </c>
      <c r="T95" s="50" t="str">
        <f t="shared" si="24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12:55:14-700',mode:absolute,to:'2016-11-28 15:37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5" s="52" t="str">
        <f t="shared" si="26"/>
        <v>N</v>
      </c>
      <c r="X95" s="177">
        <f t="shared" si="27"/>
        <v>1</v>
      </c>
      <c r="Y95" s="67">
        <f t="shared" si="28"/>
        <v>4.5499999999999999E-2</v>
      </c>
      <c r="Z95" s="67">
        <f t="shared" si="29"/>
        <v>23.3293</v>
      </c>
      <c r="AA95" s="67">
        <f t="shared" si="30"/>
        <v>23.283799999999999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1"/>
        <v>0183-28</v>
      </c>
      <c r="AE95" s="91" t="str">
        <f t="shared" si="32"/>
        <v>aws s3 cp s3://rtdc.mdm.uploadarchive.raw/RTDC4014/ "%USERPROFILE%\AppData\Local\Temp\OnboardLogs"\RTDC4014\2016-11-28 --exclude "*" --recursive --include "*20161128*" &amp; "%USERPROFILE%\Documents\GitHub\mrs-test-scripts\Headless Mode &amp; Sideloading\WalkAndUnGZ.bat" "%USERPROFILE%\AppData\Local\Temp\OnboardLogs"\RTDC4014\2016-11-28 &amp; 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</v>
      </c>
      <c r="AF95" s="88" t="str">
        <f t="shared" si="33"/>
        <v>"C:\Program Files (x86)\AstroGrep\AstroGrep.exe" /spath="%USERPROFILE%\AppData\Local\Temp\OnboardLogs" /stypes="app*4014*20161128*" /stext=" 21:.+((SYSTEM_STATE.+slice.+state.+changed )|(ment ac)|(multiple cpu faults)|(system.+state.+changed )|(\[timeout)|(PRM\|1\|D)|(kpr)|(kdp)|(\|lc)|(penalty))" /e /r /s</v>
      </c>
      <c r="AG95" s="1" t="str">
        <f t="shared" si="34"/>
        <v>EC</v>
      </c>
      <c r="AH95" s="92" t="str">
        <f t="shared" si="35"/>
        <v>"%USERPROFILE%\Documents\GitHub\eaglep3\Utilities\RefineRTDCRunTimes.py" --tripid 183-28 --locoid 4014 --swversion DE.1.0.8.0 --startMP 204:455 --initTime 2016-11-28T13:55:14 --startdatetime 2016-11-28T14:00:16 --delay 1 --endMP 204:233293 --enddatetime 2016-11-28T14:37:05 --enforcementcount 0 &gt;&gt;C:\Users\stu\Documents\GitHub\eaglep3-reporting\EC\2016-11-28-refined-times.txt</v>
      </c>
      <c r="AI95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{"issue":{"subject":"","project_id":79,"tracker_id":40,"status_id":1,"priority_id":2,"assigned_to_id":23,"start_date":"2016-11-28","description":"","custom_fields":[{"id":1,"name":"Subdivision","value":"EC"},{"id":4,"name":"Milepost","value":"23.3293"},{"id":17,"name":"Train ID","value":"183-28"},{"id":16,"name":"Locomotive ID","value":"4014"},{"id":130,"name":"Impact","value":""},{"id":150,"name":"Time of Event (Mountain Time)","value":"14:37:05"},{"id":151,"name":"Denver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542</v>
      </c>
      <c r="B96" s="7">
        <v>4013</v>
      </c>
      <c r="C96" s="22" t="s">
        <v>212</v>
      </c>
      <c r="D96" s="22" t="s">
        <v>666</v>
      </c>
      <c r="E96" s="13">
        <v>42702.619629629633</v>
      </c>
      <c r="F96" s="13">
        <v>42702.622453703705</v>
      </c>
      <c r="G96" s="7">
        <v>1</v>
      </c>
      <c r="H96" s="22" t="s">
        <v>331</v>
      </c>
      <c r="I96" s="13">
        <v>42702.648553240739</v>
      </c>
      <c r="J96" s="7">
        <v>0</v>
      </c>
      <c r="K96" s="109" t="str">
        <f t="shared" si="21"/>
        <v>4013/4014</v>
      </c>
      <c r="L96" s="22" t="str">
        <f>VLOOKUP(A96,'Trips&amp;Operators'!$C$1:$E$10000,3,FALSE)</f>
        <v>DAVIDSON</v>
      </c>
      <c r="M96" s="6">
        <f t="shared" si="22"/>
        <v>2.6099537033587694E-2</v>
      </c>
      <c r="N96" s="7">
        <f t="shared" si="37"/>
        <v>37.58333332836628</v>
      </c>
      <c r="O96" s="7"/>
      <c r="P96" s="7"/>
      <c r="Q96" s="23"/>
      <c r="R96" s="23"/>
      <c r="S96" s="35">
        <f t="shared" si="23"/>
        <v>1</v>
      </c>
      <c r="T96" s="50" t="str">
        <f t="shared" si="24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13:52:16-700',mode:absolute,to:'2016-11-28 16:33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6" s="52" t="str">
        <f t="shared" si="26"/>
        <v>N</v>
      </c>
      <c r="X96" s="177">
        <f t="shared" si="27"/>
        <v>1</v>
      </c>
      <c r="Y96" s="67">
        <f t="shared" si="28"/>
        <v>23.297799999999999</v>
      </c>
      <c r="Z96" s="67">
        <f t="shared" si="29"/>
        <v>1.6E-2</v>
      </c>
      <c r="AA96" s="67">
        <f t="shared" si="30"/>
        <v>23.2818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31"/>
        <v>0184-28</v>
      </c>
      <c r="AE96" s="91" t="str">
        <f t="shared" si="32"/>
        <v>aws s3 cp s3://rtdc.mdm.uploadarchive.raw/RTDC4013/ "%USERPROFILE%\AppData\Local\Temp\OnboardLogs"\RTDC4013\2016-11-28 --exclude "*" --recursive --include "*20161128*" &amp; "%USERPROFILE%\Documents\GitHub\mrs-test-scripts\Headless Mode &amp; Sideloading\WalkAndUnGZ.bat" "%USERPROFILE%\AppData\Local\Temp\OnboardLogs"\RTDC4013\2016-11-28 &amp; 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</v>
      </c>
      <c r="AF96" s="88" t="str">
        <f t="shared" si="33"/>
        <v>"C:\Program Files (x86)\AstroGrep\AstroGrep.exe" /spath="%USERPROFILE%\AppData\Local\Temp\OnboardLogs" /stypes="app*4013*20161128*" /stext=" 22:.+((SYSTEM_STATE.+slice.+state.+changed )|(ment ac)|(multiple cpu faults)|(system.+state.+changed )|(\[timeout)|(PRM\|1\|D)|(kpr)|(kdp)|(\|lc)|(penalty))" /e /r /s</v>
      </c>
      <c r="AG96" s="1" t="str">
        <f t="shared" si="34"/>
        <v>EC</v>
      </c>
      <c r="AH96" s="92" t="str">
        <f t="shared" si="35"/>
        <v>"%USERPROFILE%\Documents\GitHub\eaglep3\Utilities\RefineRTDCRunTimes.py" --tripid 184-28 --locoid 4013 --swversion DE.1.0.8.0 --startMP 204:232978 --initTime 2016-11-28T14:52:16 --startdatetime 2016-11-28T14:56:20 --delay 1 --endMP 204:160 --enddatetime 2016-11-28T15:33:55 --enforcementcount 0 &gt;&gt;C:\Users\stu\Documents\GitHub\eaglep3-reporting\EC\2016-11-28-refined-times.txt</v>
      </c>
      <c r="AI96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{"issue":{"subject":"","project_id":79,"tracker_id":40,"status_id":1,"priority_id":2,"assigned_to_id":23,"start_date":"2016-11-28","description":"","custom_fields":[{"id":1,"name":"Subdivision","value":"EC"},{"id":4,"name":"Milepost","value":"0.016"},{"id":17,"name":"Train ID","value":"184-28"},{"id":16,"name":"Locomotive ID","value":"4013"},{"id":130,"name":"Impact","value":""},{"id":150,"name":"Time of Event (Mountain Time)","value":"15:33:55"},{"id":151,"name":"Denver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535</v>
      </c>
      <c r="B97" s="7">
        <v>4038</v>
      </c>
      <c r="C97" s="22" t="s">
        <v>212</v>
      </c>
      <c r="D97" s="22" t="s">
        <v>252</v>
      </c>
      <c r="E97" s="13">
        <v>42702.589814814812</v>
      </c>
      <c r="F97" s="13">
        <v>42702.593900462962</v>
      </c>
      <c r="G97" s="7">
        <v>2</v>
      </c>
      <c r="H97" s="22" t="s">
        <v>644</v>
      </c>
      <c r="I97" s="13">
        <v>42702.618460648147</v>
      </c>
      <c r="J97" s="7">
        <v>0</v>
      </c>
      <c r="K97" s="109" t="str">
        <f t="shared" si="21"/>
        <v>4037/4038</v>
      </c>
      <c r="L97" s="22" t="str">
        <f>VLOOKUP(A97,'Trips&amp;Operators'!$C$1:$E$10000,3,FALSE)</f>
        <v>ROMERO</v>
      </c>
      <c r="M97" s="6">
        <f t="shared" si="22"/>
        <v>2.4560185185691807E-2</v>
      </c>
      <c r="N97" s="7">
        <f t="shared" si="37"/>
        <v>35.366666667396203</v>
      </c>
      <c r="O97" s="7"/>
      <c r="P97" s="7"/>
      <c r="Q97" s="23"/>
      <c r="R97" s="23"/>
      <c r="S97" s="35">
        <f t="shared" si="23"/>
        <v>1</v>
      </c>
      <c r="T97" s="50" t="str">
        <f t="shared" si="24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13:09:20-700',mode:absolute,to:'2016-11-28 15:50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7" s="52" t="str">
        <f t="shared" si="26"/>
        <v>N</v>
      </c>
      <c r="X97" s="177">
        <f t="shared" si="27"/>
        <v>1</v>
      </c>
      <c r="Y97" s="67">
        <f t="shared" si="28"/>
        <v>4.4200000000000003E-2</v>
      </c>
      <c r="Z97" s="67">
        <f t="shared" si="29"/>
        <v>23.331700000000001</v>
      </c>
      <c r="AA97" s="67">
        <f t="shared" si="30"/>
        <v>23.287500000000001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1"/>
        <v>0185-28</v>
      </c>
      <c r="AE97" s="91" t="str">
        <f t="shared" si="32"/>
        <v>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 &amp; aws s3 cp s3://rtdc.mdm.uploadarchive.raw/RTDC4038/ "%USERPROFILE%\AppData\Local\Temp\OnboardLogs"\RTDC4038\2016-11-29 --exclude "*" --recursive --include "*20161129*" &amp; "%USERPROFILE%\Documents\GitHub\mrs-test-scripts\Headless Mode &amp; Sideloading\WalkAndUnGZ.bat" "%USERPROFILE%\AppData\Local\Temp\OnboardLogs"\RTDC4038\2016-11-29</v>
      </c>
      <c r="AF97" s="88" t="str">
        <f t="shared" si="33"/>
        <v>"C:\Program Files (x86)\AstroGrep\AstroGrep.exe" /spath="%USERPROFILE%\AppData\Local\Temp\OnboardLogs" /stypes="app*4038*20161128*" /stext=" 21:.+((SYSTEM_STATE.+slice.+state.+changed )|(ment ac)|(multiple cpu faults)|(system.+state.+changed )|(\[timeout)|(PRM\|1\|D)|(kpr)|(kdp)|(\|lc)|(penalty))" /e /r /s</v>
      </c>
      <c r="AG97" s="1" t="str">
        <f t="shared" si="34"/>
        <v>EC</v>
      </c>
      <c r="AH97" s="92" t="str">
        <f t="shared" si="35"/>
        <v>"%USERPROFILE%\Documents\GitHub\eaglep3\Utilities\RefineRTDCRunTimes.py" --tripid 185-28 --locoid 4038 --swversion DE.1.0.8.0 --startMP 204:442 --initTime 2016-11-28T14:09:20 --startdatetime 2016-11-28T14:15:13 --delay 2 --endMP 204:233317 --enddatetime 2016-11-28T14:50:35 --enforcementcount 0 &gt;&gt;C:\Users\stu\Documents\GitHub\eaglep3-reporting\EC\2016-11-28-refined-times.txt</v>
      </c>
      <c r="AI97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{"issue":{"subject":"","project_id":79,"tracker_id":40,"status_id":1,"priority_id":2,"assigned_to_id":23,"start_date":"2016-11-28","description":"","custom_fields":[{"id":1,"name":"Subdivision","value":"EC"},{"id":4,"name":"Milepost","value":"23.3317"},{"id":17,"name":"Train ID","value":"185-28"},{"id":16,"name":"Locomotive ID","value":"4038"},{"id":130,"name":"Impact","value":""},{"id":150,"name":"Time of Event (Mountain Time)","value":"14:50:35"},{"id":151,"name":"Denver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420</v>
      </c>
      <c r="B98" s="7">
        <v>4037</v>
      </c>
      <c r="C98" s="22" t="s">
        <v>212</v>
      </c>
      <c r="D98" s="22" t="s">
        <v>365</v>
      </c>
      <c r="E98" s="13">
        <v>42702.620428240742</v>
      </c>
      <c r="F98" s="13">
        <v>42702.6328125</v>
      </c>
      <c r="G98" s="7">
        <v>1</v>
      </c>
      <c r="H98" s="22" t="s">
        <v>219</v>
      </c>
      <c r="I98" s="13">
        <v>42702.664189814815</v>
      </c>
      <c r="J98" s="7">
        <v>0</v>
      </c>
      <c r="K98" s="109" t="str">
        <f t="shared" si="21"/>
        <v>4037/4038</v>
      </c>
      <c r="L98" s="22" t="str">
        <f>VLOOKUP(A98,'Trips&amp;Operators'!$C$1:$E$10000,3,FALSE)</f>
        <v>ROMERO</v>
      </c>
      <c r="M98" s="6">
        <f t="shared" si="22"/>
        <v>3.1377314815472346E-2</v>
      </c>
      <c r="N98" s="7">
        <f t="shared" si="37"/>
        <v>45.183333334280178</v>
      </c>
      <c r="O98" s="7"/>
      <c r="P98" s="7"/>
      <c r="Q98" s="23"/>
      <c r="R98" s="23"/>
      <c r="S98" s="35">
        <f t="shared" si="23"/>
        <v>1</v>
      </c>
      <c r="T98" s="50" t="str">
        <f t="shared" si="24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13:53:25-700',mode:absolute,to:'2016-11-28 16:56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8" s="52" t="str">
        <f t="shared" si="26"/>
        <v>N</v>
      </c>
      <c r="X98" s="177">
        <f t="shared" si="27"/>
        <v>1</v>
      </c>
      <c r="Y98" s="67">
        <f t="shared" si="28"/>
        <v>23.3002</v>
      </c>
      <c r="Z98" s="67">
        <f t="shared" si="29"/>
        <v>1.4999999999999999E-2</v>
      </c>
      <c r="AA98" s="67">
        <f t="shared" si="30"/>
        <v>23.2852</v>
      </c>
      <c r="AB98" s="64" t="str">
        <f>VLOOKUP(A98,Enforcements!$C$7:$K$20,8,0)</f>
        <v>Signal based authority (5)</v>
      </c>
      <c r="AC98" s="60" t="str">
        <f>VLOOKUP(A98,Enforcements!$C$7:$E$20,3,0)</f>
        <v>SIGNAL</v>
      </c>
      <c r="AD98" s="61" t="str">
        <f t="shared" si="31"/>
        <v>0186-28</v>
      </c>
      <c r="AE98" s="91" t="str">
        <f t="shared" si="32"/>
        <v>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 &amp; aws s3 cp s3://rtdc.mdm.uploadarchive.raw/RTDC4037/ "%USERPROFILE%\AppData\Local\Temp\OnboardLogs"\RTDC4037\2016-11-29 --exclude "*" --recursive --include "*20161129*" &amp; "%USERPROFILE%\Documents\GitHub\mrs-test-scripts\Headless Mode &amp; Sideloading\WalkAndUnGZ.bat" "%USERPROFILE%\AppData\Local\Temp\OnboardLogs"\RTDC4037\2016-11-29</v>
      </c>
      <c r="AF98" s="88" t="str">
        <f t="shared" si="33"/>
        <v>"C:\Program Files (x86)\AstroGrep\AstroGrep.exe" /spath="%USERPROFILE%\AppData\Local\Temp\OnboardLogs" /stypes="app*4037*20161128*" /stext=" 22:.+((SYSTEM_STATE.+slice.+state.+changed )|(ment ac)|(multiple cpu faults)|(system.+state.+changed )|(\[timeout)|(PRM\|1\|D)|(kpr)|(kdp)|(\|lc)|(penalty))" /e /r /s</v>
      </c>
      <c r="AG98" s="1" t="str">
        <f t="shared" si="34"/>
        <v>EC</v>
      </c>
      <c r="AH98" s="92" t="str">
        <f t="shared" si="35"/>
        <v>"%USERPROFILE%\Documents\GitHub\eaglep3\Utilities\RefineRTDCRunTimes.py" --tripid 186-28 --locoid 4037 --swversion DE.1.0.8.0 --startMP 204:233002 --initTime 2016-11-28T14:53:25 --startdatetime 2016-11-28T15:11:15 --delay 1 --endMP 204:150 --enddatetime 2016-11-28T15:56:26 --enforcementcount 0 &gt;&gt;C:\Users\stu\Documents\GitHub\eaglep3-reporting\EC\2016-11-28-refined-times.txt</v>
      </c>
      <c r="AI98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{"issue":{"subject":"","project_id":79,"tracker_id":40,"status_id":1,"priority_id":2,"assigned_to_id":23,"start_date":"2016-11-28","description":"","custom_fields":[{"id":1,"name":"Subdivision","value":"EC"},{"id":4,"name":"Milepost","value":"0.015"},{"id":17,"name":"Train ID","value":"186-28"},{"id":16,"name":"Locomotive ID","value":"4037"},{"id":130,"name":"Impact","value":""},{"id":150,"name":"Time of Event (Mountain Time)","value":"15:56:26"},{"id":151,"name":"Denver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537</v>
      </c>
      <c r="B99" s="7">
        <v>4040</v>
      </c>
      <c r="C99" s="22" t="s">
        <v>212</v>
      </c>
      <c r="D99" s="22" t="s">
        <v>234</v>
      </c>
      <c r="E99" s="13">
        <v>42702.59851851852</v>
      </c>
      <c r="F99" s="13">
        <v>42702.604502314818</v>
      </c>
      <c r="G99" s="7">
        <v>2</v>
      </c>
      <c r="H99" s="22" t="s">
        <v>378</v>
      </c>
      <c r="I99" s="13">
        <v>42702.629062499997</v>
      </c>
      <c r="J99" s="7">
        <v>0</v>
      </c>
      <c r="K99" s="109" t="str">
        <f t="shared" si="21"/>
        <v>4039/4040</v>
      </c>
      <c r="L99" s="22" t="str">
        <f>VLOOKUP(A99,'Trips&amp;Operators'!$C$1:$E$10000,3,FALSE)</f>
        <v>STEWART</v>
      </c>
      <c r="M99" s="6">
        <f t="shared" si="22"/>
        <v>2.456018517841585E-2</v>
      </c>
      <c r="N99" s="7">
        <f t="shared" si="37"/>
        <v>35.366666656918824</v>
      </c>
      <c r="O99" s="7"/>
      <c r="P99" s="7"/>
      <c r="Q99" s="23"/>
      <c r="R99" s="23"/>
      <c r="S99" s="35">
        <f t="shared" si="23"/>
        <v>1</v>
      </c>
      <c r="T99" s="50" t="str">
        <f t="shared" si="24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13:21:52-700',mode:absolute,to:'2016-11-28 16:05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9" s="52" t="str">
        <f t="shared" si="26"/>
        <v>N</v>
      </c>
      <c r="X99" s="177">
        <f t="shared" si="27"/>
        <v>1</v>
      </c>
      <c r="Y99" s="67">
        <f t="shared" si="28"/>
        <v>4.6600000000000003E-2</v>
      </c>
      <c r="Z99" s="67">
        <f t="shared" si="29"/>
        <v>23.329699999999999</v>
      </c>
      <c r="AA99" s="67">
        <f t="shared" si="30"/>
        <v>23.283099999999997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1"/>
        <v>0187-28</v>
      </c>
      <c r="AE99" s="91" t="str">
        <f t="shared" si="32"/>
        <v>aws s3 cp s3://rtdc.mdm.uploadarchive.raw/RTDC4040/ "%USERPROFILE%\AppData\Local\Temp\OnboardLogs"\RTDC4040\2016-11-28 --exclude "*" --recursive --include "*20161128*" &amp; "%USERPROFILE%\Documents\GitHub\mrs-test-scripts\Headless Mode &amp; Sideloading\WalkAndUnGZ.bat" "%USERPROFILE%\AppData\Local\Temp\OnboardLogs"\RTDC4040\2016-11-28 &amp; 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</v>
      </c>
      <c r="AF99" s="88" t="str">
        <f t="shared" si="33"/>
        <v>"C:\Program Files (x86)\AstroGrep\AstroGrep.exe" /spath="%USERPROFILE%\AppData\Local\Temp\OnboardLogs" /stypes="app*4040*20161128*" /stext=" 22:.+((SYSTEM_STATE.+slice.+state.+changed )|(ment ac)|(multiple cpu faults)|(system.+state.+changed )|(\[timeout)|(PRM\|1\|D)|(kpr)|(kdp)|(\|lc)|(penalty))" /e /r /s</v>
      </c>
      <c r="AG99" s="1" t="str">
        <f t="shared" si="34"/>
        <v>EC</v>
      </c>
      <c r="AH99" s="92" t="str">
        <f t="shared" si="35"/>
        <v>"%USERPROFILE%\Documents\GitHub\eaglep3\Utilities\RefineRTDCRunTimes.py" --tripid 187-28 --locoid 4040 --swversion DE.1.0.8.0 --startMP 204:466 --initTime 2016-11-28T14:21:52 --startdatetime 2016-11-28T14:30:29 --delay 2 --endMP 204:233297 --enddatetime 2016-11-28T15:05:51 --enforcementcount 0 &gt;&gt;C:\Users\stu\Documents\GitHub\eaglep3-reporting\EC\2016-11-28-refined-times.txt</v>
      </c>
      <c r="AI99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{"issue":{"subject":"","project_id":79,"tracker_id":40,"status_id":1,"priority_id":2,"assigned_to_id":23,"start_date":"2016-11-28","description":"","custom_fields":[{"id":1,"name":"Subdivision","value":"EC"},{"id":4,"name":"Milepost","value":"23.3297"},{"id":17,"name":"Train ID","value":"187-28"},{"id":16,"name":"Locomotive ID","value":"4040"},{"id":130,"name":"Impact","value":""},{"id":150,"name":"Time of Event (Mountain Time)","value":"15:05:51"},{"id":151,"name":"Denver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7" t="s">
        <v>545</v>
      </c>
      <c r="B100" s="7">
        <v>4039</v>
      </c>
      <c r="C100" s="22" t="s">
        <v>212</v>
      </c>
      <c r="D100" s="22" t="s">
        <v>240</v>
      </c>
      <c r="E100" s="13">
        <v>42702.638425925928</v>
      </c>
      <c r="F100" s="13">
        <v>42702.64335648148</v>
      </c>
      <c r="G100" s="7">
        <v>1</v>
      </c>
      <c r="H100" s="22" t="s">
        <v>236</v>
      </c>
      <c r="I100" s="13">
        <v>42702.669444444444</v>
      </c>
      <c r="J100" s="7">
        <v>0</v>
      </c>
      <c r="K100" s="109" t="str">
        <f t="shared" si="21"/>
        <v>4039/4040</v>
      </c>
      <c r="L100" s="22" t="str">
        <f>VLOOKUP(A100,'Trips&amp;Operators'!$C$1:$E$10000,3,FALSE)</f>
        <v>STEWART</v>
      </c>
      <c r="M100" s="6">
        <f t="shared" si="22"/>
        <v>2.6087962964083999E-2</v>
      </c>
      <c r="N100" s="7">
        <f t="shared" si="37"/>
        <v>37.566666668280959</v>
      </c>
      <c r="O100" s="7"/>
      <c r="P100" s="7"/>
      <c r="Q100" s="23"/>
      <c r="R100" s="23"/>
      <c r="S100" s="35">
        <f t="shared" si="23"/>
        <v>1</v>
      </c>
      <c r="T100" s="50" t="str">
        <f t="shared" si="24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14:19:20-700',mode:absolute,to:'2016-11-28 17:04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0" s="52" t="str">
        <f t="shared" si="26"/>
        <v>N</v>
      </c>
      <c r="X100" s="177">
        <f t="shared" si="27"/>
        <v>1</v>
      </c>
      <c r="Y100" s="67">
        <f t="shared" si="28"/>
        <v>23.297499999999999</v>
      </c>
      <c r="Z100" s="67">
        <f t="shared" si="29"/>
        <v>1.41E-2</v>
      </c>
      <c r="AA100" s="67">
        <f t="shared" si="30"/>
        <v>23.2834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1"/>
        <v>0188-28</v>
      </c>
      <c r="AE100" s="91" t="str">
        <f t="shared" si="32"/>
        <v>aws s3 cp s3://rtdc.mdm.uploadarchive.raw/RTDC4039/ "%USERPROFILE%\AppData\Local\Temp\OnboardLogs"\RTDC4039\2016-11-28 --exclude "*" --recursive --include "*20161128*" &amp; "%USERPROFILE%\Documents\GitHub\mrs-test-scripts\Headless Mode &amp; Sideloading\WalkAndUnGZ.bat" "%USERPROFILE%\AppData\Local\Temp\OnboardLogs"\RTDC4039\2016-11-28 &amp; 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</v>
      </c>
      <c r="AF100" s="88" t="str">
        <f t="shared" si="33"/>
        <v>"C:\Program Files (x86)\AstroGrep\AstroGrep.exe" /spath="%USERPROFILE%\AppData\Local\Temp\OnboardLogs" /stypes="app*4039*20161128*" /stext=" 23:.+((SYSTEM_STATE.+slice.+state.+changed )|(ment ac)|(multiple cpu faults)|(system.+state.+changed )|(\[timeout)|(PRM\|1\|D)|(kpr)|(kdp)|(\|lc)|(penalty))" /e /r /s</v>
      </c>
      <c r="AG100" s="1" t="str">
        <f t="shared" si="34"/>
        <v>EC</v>
      </c>
      <c r="AH100" s="92" t="str">
        <f t="shared" si="35"/>
        <v>"%USERPROFILE%\Documents\GitHub\eaglep3\Utilities\RefineRTDCRunTimes.py" --tripid 188-28 --locoid 4039 --swversion DE.1.0.8.0 --startMP 204:232975 --initTime 2016-11-28T15:19:20 --startdatetime 2016-11-28T15:26:26 --delay 1 --endMP 204:141 --enddatetime 2016-11-28T16:04:00 --enforcementcount 0 &gt;&gt;C:\Users\stu\Documents\GitHub\eaglep3-reporting\EC\2016-11-28-refined-times.txt</v>
      </c>
      <c r="AI100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{"issue":{"subject":"","project_id":79,"tracker_id":40,"status_id":1,"priority_id":2,"assigned_to_id":23,"start_date":"2016-11-28","description":"","custom_fields":[{"id":1,"name":"Subdivision","value":"EC"},{"id":4,"name":"Milepost","value":"0.0141"},{"id":17,"name":"Train ID","value":"188-28"},{"id":16,"name":"Locomotive ID","value":"4039"},{"id":130,"name":"Impact","value":""},{"id":150,"name":"Time of Event (Mountain Time)","value":"16:04:00"},{"id":151,"name":"Denver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x14ac:dyDescent="0.25">
      <c r="A101" s="37" t="s">
        <v>540</v>
      </c>
      <c r="B101" s="7">
        <v>4002</v>
      </c>
      <c r="C101" s="22" t="s">
        <v>212</v>
      </c>
      <c r="D101" s="22" t="s">
        <v>667</v>
      </c>
      <c r="E101" s="13">
        <v>42702.609293981484</v>
      </c>
      <c r="F101" s="13">
        <v>42702.614768518521</v>
      </c>
      <c r="G101" s="7">
        <v>1</v>
      </c>
      <c r="H101" s="22" t="s">
        <v>284</v>
      </c>
      <c r="I101" s="13">
        <v>42702.640057870369</v>
      </c>
      <c r="J101" s="7">
        <v>0</v>
      </c>
      <c r="K101" s="109" t="str">
        <f t="shared" si="21"/>
        <v>4001/4002</v>
      </c>
      <c r="L101" s="22" t="str">
        <f>VLOOKUP(A101,'Trips&amp;Operators'!$C$1:$E$10000,3,FALSE)</f>
        <v>BARTLETT</v>
      </c>
      <c r="M101" s="6">
        <f t="shared" si="22"/>
        <v>2.5289351848186925E-2</v>
      </c>
      <c r="N101" s="7">
        <f t="shared" si="37"/>
        <v>36.416666661389172</v>
      </c>
      <c r="O101" s="7"/>
      <c r="P101" s="7"/>
      <c r="Q101" s="23"/>
      <c r="R101" s="23"/>
      <c r="S101" s="35">
        <f t="shared" si="23"/>
        <v>1</v>
      </c>
      <c r="T101" s="50" t="str">
        <f t="shared" si="24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13:37:23-700',mode:absolute,to:'2016-11-28 16:21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1" s="52" t="str">
        <f t="shared" si="26"/>
        <v>N</v>
      </c>
      <c r="X101" s="177">
        <f t="shared" si="27"/>
        <v>1</v>
      </c>
      <c r="Y101" s="67">
        <f t="shared" si="28"/>
        <v>4.8399999999999999E-2</v>
      </c>
      <c r="Z101" s="67">
        <f t="shared" si="29"/>
        <v>23.331499999999998</v>
      </c>
      <c r="AA101" s="67">
        <f t="shared" si="30"/>
        <v>23.283099999999997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31"/>
        <v>0189-28</v>
      </c>
      <c r="AE101" s="91" t="str">
        <f t="shared" si="32"/>
        <v>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 &amp; aws s3 cp s3://rtdc.mdm.uploadarchive.raw/RTDC4002/ "%USERPROFILE%\AppData\Local\Temp\OnboardLogs"\RTDC4002\2016-11-29 --exclude "*" --recursive --include "*20161129*" &amp; "%USERPROFILE%\Documents\GitHub\mrs-test-scripts\Headless Mode &amp; Sideloading\WalkAndUnGZ.bat" "%USERPROFILE%\AppData\Local\Temp\OnboardLogs"\RTDC4002\2016-11-29</v>
      </c>
      <c r="AF101" s="88" t="str">
        <f t="shared" si="33"/>
        <v>"C:\Program Files (x86)\AstroGrep\AstroGrep.exe" /spath="%USERPROFILE%\AppData\Local\Temp\OnboardLogs" /stypes="app*4002*20161128*" /stext=" 22:.+((SYSTEM_STATE.+slice.+state.+changed )|(ment ac)|(multiple cpu faults)|(system.+state.+changed )|(\[timeout)|(PRM\|1\|D)|(kpr)|(kdp)|(\|lc)|(penalty))" /e /r /s</v>
      </c>
      <c r="AG101" s="1" t="str">
        <f t="shared" si="34"/>
        <v>EC</v>
      </c>
      <c r="AH101" s="92" t="str">
        <f t="shared" si="35"/>
        <v>"%USERPROFILE%\Documents\GitHub\eaglep3\Utilities\RefineRTDCRunTimes.py" --tripid 189-28 --locoid 4002 --swversion DE.1.0.8.0 --startMP 204:484 --initTime 2016-11-28T14:37:23 --startdatetime 2016-11-28T14:45:16 --delay 1 --endMP 204:233315 --enddatetime 2016-11-28T15:21:41 --enforcementcount 0 &gt;&gt;C:\Users\stu\Documents\GitHub\eaglep3-reporting\EC\2016-11-28-refined-times.txt</v>
      </c>
      <c r="AI101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{"issue":{"subject":"","project_id":79,"tracker_id":40,"status_id":1,"priority_id":2,"assigned_to_id":23,"start_date":"2016-11-28","description":"","custom_fields":[{"id":1,"name":"Subdivision","value":"EC"},{"id":4,"name":"Milepost","value":"23.3315"},{"id":17,"name":"Train ID","value":"189-28"},{"id":16,"name":"Locomotive ID","value":"4002"},{"id":130,"name":"Impact","value":""},{"id":150,"name":"Time of Event (Mountain Time)","value":"15:21:41"},{"id":151,"name":"Denver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x14ac:dyDescent="0.25">
      <c r="A102" s="37" t="s">
        <v>547</v>
      </c>
      <c r="B102" s="7">
        <v>4001</v>
      </c>
      <c r="C102" s="22" t="s">
        <v>212</v>
      </c>
      <c r="D102" s="22" t="s">
        <v>365</v>
      </c>
      <c r="E102" s="13">
        <v>42702.642002314817</v>
      </c>
      <c r="F102" s="13">
        <v>42702.653715277775</v>
      </c>
      <c r="G102" s="7">
        <v>1</v>
      </c>
      <c r="H102" s="22" t="s">
        <v>245</v>
      </c>
      <c r="I102" s="13">
        <v>42702.680115740739</v>
      </c>
      <c r="J102" s="7">
        <v>0</v>
      </c>
      <c r="K102" s="109" t="str">
        <f t="shared" si="21"/>
        <v>4001/4002</v>
      </c>
      <c r="L102" s="22" t="str">
        <f>VLOOKUP(A102,'Trips&amp;Operators'!$C$1:$E$10000,3,FALSE)</f>
        <v>BARTLETT</v>
      </c>
      <c r="M102" s="6">
        <f t="shared" si="22"/>
        <v>2.6400462964375038E-2</v>
      </c>
      <c r="N102" s="7">
        <f t="shared" si="37"/>
        <v>38.016666668700054</v>
      </c>
      <c r="O102" s="7"/>
      <c r="P102" s="7"/>
      <c r="Q102" s="23"/>
      <c r="R102" s="23"/>
      <c r="S102" s="35">
        <f t="shared" si="23"/>
        <v>1</v>
      </c>
      <c r="T102" s="50" t="str">
        <f t="shared" si="24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14:24:29-700',mode:absolute,to:'2016-11-28 17:19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2" s="52" t="str">
        <f t="shared" si="26"/>
        <v>N</v>
      </c>
      <c r="X102" s="177">
        <f t="shared" si="27"/>
        <v>1</v>
      </c>
      <c r="Y102" s="67">
        <f t="shared" si="28"/>
        <v>23.3002</v>
      </c>
      <c r="Z102" s="67">
        <f t="shared" si="29"/>
        <v>1.47E-2</v>
      </c>
      <c r="AA102" s="67">
        <f t="shared" si="30"/>
        <v>23.285499999999999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1"/>
        <v>0190-28</v>
      </c>
      <c r="AE102" s="91" t="str">
        <f t="shared" si="32"/>
        <v>aws s3 cp s3://rtdc.mdm.uploadarchive.raw/RTDC4001/ "%USERPROFILE%\AppData\Local\Temp\OnboardLogs"\RTDC4001\2016-11-28 --exclude "*" --recursive --include "*20161128*" &amp; "%USERPROFILE%\Documents\GitHub\mrs-test-scripts\Headless Mode &amp; Sideloading\WalkAndUnGZ.bat" "%USERPROFILE%\AppData\Local\Temp\OnboardLogs"\RTDC4001\2016-11-28 &amp; aws s3 cp s3://rtdc.mdm.uploadarchive.raw/RTDC4001/ "%USERPROFILE%\AppData\Local\Temp\OnboardLogs"\RTDC4001\2016-11-29 --exclude "*" --recursive --include "*20161129*" &amp; "%USERPROFILE%\Documents\GitHub\mrs-test-scripts\Headless Mode &amp; Sideloading\WalkAndUnGZ.bat" "%USERPROFILE%\AppData\Local\Temp\OnboardLogs"\RTDC4001\2016-11-29</v>
      </c>
      <c r="AF102" s="88" t="str">
        <f t="shared" si="33"/>
        <v>"C:\Program Files (x86)\AstroGrep\AstroGrep.exe" /spath="%USERPROFILE%\AppData\Local\Temp\OnboardLogs" /stypes="app*4001*20161128*" /stext=" 23:.+((SYSTEM_STATE.+slice.+state.+changed )|(ment ac)|(multiple cpu faults)|(system.+state.+changed )|(\[timeout)|(PRM\|1\|D)|(kpr)|(kdp)|(\|lc)|(penalty))" /e /r /s</v>
      </c>
      <c r="AG102" s="1" t="str">
        <f t="shared" si="34"/>
        <v>EC</v>
      </c>
      <c r="AH102" s="92" t="str">
        <f t="shared" si="35"/>
        <v>"%USERPROFILE%\Documents\GitHub\eaglep3\Utilities\RefineRTDCRunTimes.py" --tripid 190-28 --locoid 4001 --swversion DE.1.0.8.0 --startMP 204:233002 --initTime 2016-11-28T15:24:29 --startdatetime 2016-11-28T15:41:21 --delay 1 --endMP 204:147 --enddatetime 2016-11-28T16:19:22 --enforcementcount 0 &gt;&gt;C:\Users\stu\Documents\GitHub\eaglep3-reporting\EC\2016-11-28-refined-times.txt</v>
      </c>
      <c r="AI102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{"issue":{"subject":"","project_id":79,"tracker_id":40,"status_id":1,"priority_id":2,"assigned_to_id":23,"start_date":"2016-11-28","description":"","custom_fields":[{"id":1,"name":"Subdivision","value":"EC"},{"id":4,"name":"Milepost","value":"0.0147"},{"id":17,"name":"Train ID","value":"190-28"},{"id":16,"name":"Locomotive ID","value":"4001"},{"id":130,"name":"Impact","value":""},{"id":150,"name":"Time of Event (Mountain Time)","value":"16:19:22"},{"id":151,"name":"Denver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91" s="21" customFormat="1" x14ac:dyDescent="0.25">
      <c r="A103" s="37" t="s">
        <v>541</v>
      </c>
      <c r="B103" s="7">
        <v>4042</v>
      </c>
      <c r="C103" s="22" t="s">
        <v>212</v>
      </c>
      <c r="D103" s="22" t="s">
        <v>234</v>
      </c>
      <c r="E103" s="13">
        <v>42702.619398148148</v>
      </c>
      <c r="F103" s="13">
        <v>42702.625300925924</v>
      </c>
      <c r="G103" s="7">
        <v>1</v>
      </c>
      <c r="H103" s="22" t="s">
        <v>248</v>
      </c>
      <c r="I103" s="13">
        <v>42702.650185185186</v>
      </c>
      <c r="J103" s="7">
        <v>0</v>
      </c>
      <c r="K103" s="109" t="str">
        <f t="shared" si="21"/>
        <v>4041/4042</v>
      </c>
      <c r="L103" s="22" t="str">
        <f>VLOOKUP(A103,'Trips&amp;Operators'!$C$1:$E$10000,3,FALSE)</f>
        <v>BONDS</v>
      </c>
      <c r="M103" s="6">
        <f t="shared" si="22"/>
        <v>2.4884259262762498E-2</v>
      </c>
      <c r="N103" s="7">
        <f t="shared" si="37"/>
        <v>35.833333338377997</v>
      </c>
      <c r="O103" s="7"/>
      <c r="P103" s="7"/>
      <c r="Q103" s="23"/>
      <c r="R103" s="23"/>
      <c r="S103" s="35">
        <f t="shared" si="23"/>
        <v>1</v>
      </c>
      <c r="T103" s="50" t="str">
        <f t="shared" si="24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13:51:56-700',mode:absolute,to:'2016-11-28 16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3" s="52" t="str">
        <f t="shared" si="26"/>
        <v>N</v>
      </c>
      <c r="X103" s="177">
        <f t="shared" si="27"/>
        <v>1</v>
      </c>
      <c r="Y103" s="67">
        <f t="shared" si="28"/>
        <v>4.6600000000000003E-2</v>
      </c>
      <c r="Z103" s="67">
        <f t="shared" si="29"/>
        <v>23.331399999999999</v>
      </c>
      <c r="AA103" s="67">
        <f t="shared" si="30"/>
        <v>23.284799999999997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31"/>
        <v>0191-28</v>
      </c>
      <c r="AE103" s="91" t="str">
        <f t="shared" si="32"/>
        <v>aws s3 cp s3://rtdc.mdm.uploadarchive.raw/RTDC4042/ "%USERPROFILE%\AppData\Local\Temp\OnboardLogs"\RTDC4042\2016-11-28 --exclude "*" --recursive --include "*20161128*" &amp; "%USERPROFILE%\Documents\GitHub\mrs-test-scripts\Headless Mode &amp; Sideloading\WalkAndUnGZ.bat" "%USERPROFILE%\AppData\Local\Temp\OnboardLogs"\RTDC4042\2016-11-28 &amp; aws s3 cp s3://rtdc.mdm.uploadarchive.raw/RTDC4042/ "%USERPROFILE%\AppData\Local\Temp\OnboardLogs"\RTDC4042\2016-11-29 --exclude "*" --recursive --include "*20161129*" &amp; "%USERPROFILE%\Documents\GitHub\mrs-test-scripts\Headless Mode &amp; Sideloading\WalkAndUnGZ.bat" "%USERPROFILE%\AppData\Local\Temp\OnboardLogs"\RTDC4042\2016-11-29</v>
      </c>
      <c r="AF103" s="88" t="str">
        <f t="shared" si="33"/>
        <v>"C:\Program Files (x86)\AstroGrep\AstroGrep.exe" /spath="%USERPROFILE%\AppData\Local\Temp\OnboardLogs" /stypes="app*4042*20161128*" /stext=" 22:.+((SYSTEM_STATE.+slice.+state.+changed )|(ment ac)|(multiple cpu faults)|(system.+state.+changed )|(\[timeout)|(PRM\|1\|D)|(kpr)|(kdp)|(\|lc)|(penalty))" /e /r /s</v>
      </c>
      <c r="AG103" s="1" t="str">
        <f t="shared" si="34"/>
        <v>EC</v>
      </c>
      <c r="AH103" s="92" t="str">
        <f t="shared" si="35"/>
        <v>"%USERPROFILE%\Documents\GitHub\eaglep3\Utilities\RefineRTDCRunTimes.py" --tripid 191-28 --locoid 4042 --swversion DE.1.0.8.0 --startMP 204:466 --initTime 2016-11-28T14:51:56 --startdatetime 2016-11-28T15:00:26 --delay 1 --endMP 204:233314 --enddatetime 2016-11-28T15:36:16 --enforcementcount 0 &gt;&gt;C:\Users\stu\Documents\GitHub\eaglep3-reporting\EC\2016-11-28-refined-times.txt</v>
      </c>
      <c r="AI103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{"issue":{"subject":"","project_id":79,"tracker_id":40,"status_id":1,"priority_id":2,"assigned_to_id":23,"start_date":"2016-11-28","description":"","custom_fields":[{"id":1,"name":"Subdivision","value":"EC"},{"id":4,"name":"Milepost","value":"23.3314"},{"id":17,"name":"Train ID","value":"191-28"},{"id":16,"name":"Locomotive ID","value":"4042"},{"id":130,"name":"Impact","value":""},{"id":150,"name":"Time of Event (Mountain Time)","value":"15:36:16"},{"id":151,"name":"Denver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549</v>
      </c>
      <c r="B104" s="7">
        <v>4041</v>
      </c>
      <c r="C104" s="22" t="s">
        <v>212</v>
      </c>
      <c r="D104" s="22" t="s">
        <v>282</v>
      </c>
      <c r="E104" s="13">
        <v>42702.654108796298</v>
      </c>
      <c r="F104" s="13">
        <v>42702.664166666669</v>
      </c>
      <c r="G104" s="7">
        <v>0</v>
      </c>
      <c r="H104" s="22" t="s">
        <v>331</v>
      </c>
      <c r="I104" s="13">
        <v>42702.690567129626</v>
      </c>
      <c r="J104" s="7">
        <v>0</v>
      </c>
      <c r="K104" s="109" t="str">
        <f t="shared" si="21"/>
        <v>4041/4042</v>
      </c>
      <c r="L104" s="22" t="str">
        <f>VLOOKUP(A104,'Trips&amp;Operators'!$C$1:$E$10000,3,FALSE)</f>
        <v>BONDS</v>
      </c>
      <c r="M104" s="6">
        <f t="shared" si="22"/>
        <v>2.640046295709908E-2</v>
      </c>
      <c r="N104" s="7">
        <f t="shared" si="37"/>
        <v>38.016666658222675</v>
      </c>
      <c r="O104" s="7"/>
      <c r="P104" s="7"/>
      <c r="Q104" s="23"/>
      <c r="R104" s="23"/>
      <c r="S104" s="35">
        <f t="shared" si="23"/>
        <v>1</v>
      </c>
      <c r="T104" s="50" t="str">
        <f t="shared" si="24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14:41:55-700',mode:absolute,to:'2016-11-28 17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4" s="52" t="str">
        <f t="shared" si="26"/>
        <v>N</v>
      </c>
      <c r="X104" s="177">
        <f t="shared" si="27"/>
        <v>1</v>
      </c>
      <c r="Y104" s="67">
        <f t="shared" si="28"/>
        <v>23.297999999999998</v>
      </c>
      <c r="Z104" s="67">
        <f t="shared" si="29"/>
        <v>1.6E-2</v>
      </c>
      <c r="AA104" s="67">
        <f t="shared" si="30"/>
        <v>23.282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31"/>
        <v>0192-28</v>
      </c>
      <c r="AE104" s="91" t="str">
        <f t="shared" si="32"/>
        <v>aws s3 cp s3://rtdc.mdm.uploadarchive.raw/RTDC4041/ "%USERPROFILE%\AppData\Local\Temp\OnboardLogs"\RTDC4041\2016-11-28 --exclude "*" --recursive --include "*20161128*" &amp; "%USERPROFILE%\Documents\GitHub\mrs-test-scripts\Headless Mode &amp; Sideloading\WalkAndUnGZ.bat" "%USERPROFILE%\AppData\Local\Temp\OnboardLogs"\RTDC4041\2016-11-28 &amp; 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</v>
      </c>
      <c r="AF104" s="88" t="str">
        <f t="shared" si="33"/>
        <v>"C:\Program Files (x86)\AstroGrep\AstroGrep.exe" /spath="%USERPROFILE%\AppData\Local\Temp\OnboardLogs" /stypes="app*4041*20161128*" /stext=" 23:.+((SYSTEM_STATE.+slice.+state.+changed )|(ment ac)|(multiple cpu faults)|(system.+state.+changed )|(\[timeout)|(PRM\|1\|D)|(kpr)|(kdp)|(\|lc)|(penalty))" /e /r /s</v>
      </c>
      <c r="AG104" s="1" t="str">
        <f t="shared" si="34"/>
        <v>EC</v>
      </c>
      <c r="AH104" s="92" t="str">
        <f t="shared" si="35"/>
        <v>"%USERPROFILE%\Documents\GitHub\eaglep3\Utilities\RefineRTDCRunTimes.py" --tripid 192-28 --locoid 4041 --swversion DE.1.0.8.0 --startMP 204:232980 --initTime 2016-11-28T15:41:55 --startdatetime 2016-11-28T15:56:24 --delay 0 --endMP 204:160 --enddatetime 2016-11-28T16:34:25 --enforcementcount 0 &gt;&gt;C:\Users\stu\Documents\GitHub\eaglep3-reporting\EC\2016-11-28-refined-times.txt</v>
      </c>
      <c r="AI104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{"issue":{"subject":"","project_id":79,"tracker_id":40,"status_id":1,"priority_id":2,"assigned_to_id":23,"start_date":"2016-11-28","description":"","custom_fields":[{"id":1,"name":"Subdivision","value":"EC"},{"id":4,"name":"Milepost","value":"0.016"},{"id":17,"name":"Train ID","value":"192-28"},{"id":16,"name":"Locomotive ID","value":"4041"},{"id":130,"name":"Impact","value":""},{"id":150,"name":"Time of Event (Mountain Time)","value":"16:34:25"},{"id":151,"name":"Denver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543</v>
      </c>
      <c r="B105" s="7">
        <v>4016</v>
      </c>
      <c r="C105" s="22" t="s">
        <v>212</v>
      </c>
      <c r="D105" s="22" t="s">
        <v>668</v>
      </c>
      <c r="E105" s="13">
        <v>42702.631585648145</v>
      </c>
      <c r="F105" s="13">
        <v>42702.63559027778</v>
      </c>
      <c r="G105" s="7">
        <v>1</v>
      </c>
      <c r="H105" s="22" t="s">
        <v>312</v>
      </c>
      <c r="I105" s="13">
        <v>42702.661435185182</v>
      </c>
      <c r="J105" s="7">
        <v>0</v>
      </c>
      <c r="K105" s="109" t="str">
        <f t="shared" si="21"/>
        <v>4015/4016</v>
      </c>
      <c r="L105" s="22" t="str">
        <f>VLOOKUP(A105,'Trips&amp;Operators'!$C$1:$E$10000,3,FALSE)</f>
        <v>CLARK</v>
      </c>
      <c r="M105" s="6">
        <f t="shared" si="22"/>
        <v>2.5844907402643003E-2</v>
      </c>
      <c r="N105" s="7">
        <f t="shared" si="37"/>
        <v>37.216666659805924</v>
      </c>
      <c r="O105" s="7"/>
      <c r="P105" s="7"/>
      <c r="Q105" s="23"/>
      <c r="R105" s="23"/>
      <c r="S105" s="35">
        <f t="shared" si="23"/>
        <v>1</v>
      </c>
      <c r="T105" s="50" t="str">
        <f t="shared" si="24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14:09:29-700',mode:absolute,to:'2016-11-28 16:52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5" s="52" t="str">
        <f t="shared" si="26"/>
        <v>N</v>
      </c>
      <c r="X105" s="177">
        <f t="shared" si="27"/>
        <v>1</v>
      </c>
      <c r="Y105" s="67">
        <f t="shared" si="28"/>
        <v>5.2400000000000002E-2</v>
      </c>
      <c r="Z105" s="67">
        <f t="shared" si="29"/>
        <v>23.3291</v>
      </c>
      <c r="AA105" s="67">
        <f t="shared" si="30"/>
        <v>23.276700000000002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1"/>
        <v>0193-28</v>
      </c>
      <c r="AE105" s="91" t="str">
        <f t="shared" si="32"/>
        <v>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 &amp; 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</v>
      </c>
      <c r="AF105" s="88" t="str">
        <f t="shared" si="33"/>
        <v>"C:\Program Files (x86)\AstroGrep\AstroGrep.exe" /spath="%USERPROFILE%\AppData\Local\Temp\OnboardLogs" /stypes="app*4016*20161128*" /stext=" 22:.+((SYSTEM_STATE.+slice.+state.+changed )|(ment ac)|(multiple cpu faults)|(system.+state.+changed )|(\[timeout)|(PRM\|1\|D)|(kpr)|(kdp)|(\|lc)|(penalty))" /e /r /s</v>
      </c>
      <c r="AG105" s="1" t="str">
        <f t="shared" si="34"/>
        <v>EC</v>
      </c>
      <c r="AH105" s="92" t="str">
        <f t="shared" si="35"/>
        <v>"%USERPROFILE%\Documents\GitHub\eaglep3\Utilities\RefineRTDCRunTimes.py" --tripid 193-28 --locoid 4016 --swversion DE.1.0.8.0 --startMP 204:524 --initTime 2016-11-28T15:09:29 --startdatetime 2016-11-28T15:15:15 --delay 1 --endMP 204:233291 --enddatetime 2016-11-28T15:52:28 --enforcementcount 0 &gt;&gt;C:\Users\stu\Documents\GitHub\eaglep3-reporting\EC\2016-11-28-refined-times.txt</v>
      </c>
      <c r="AI105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{"issue":{"subject":"","project_id":79,"tracker_id":40,"status_id":1,"priority_id":2,"assigned_to_id":23,"start_date":"2016-11-28","description":"","custom_fields":[{"id":1,"name":"Subdivision","value":"EC"},{"id":4,"name":"Milepost","value":"23.3291"},{"id":17,"name":"Train ID","value":"193-28"},{"id":16,"name":"Locomotive ID","value":"4016"},{"id":130,"name":"Impact","value":""},{"id":150,"name":"Time of Event (Mountain Time)","value":"15:52:28"},{"id":151,"name":"Denver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553</v>
      </c>
      <c r="B106" s="7">
        <v>4015</v>
      </c>
      <c r="C106" s="22" t="s">
        <v>212</v>
      </c>
      <c r="D106" s="22" t="s">
        <v>313</v>
      </c>
      <c r="E106" s="13">
        <v>42702.67019675926</v>
      </c>
      <c r="F106" s="13">
        <v>42702.674490740741</v>
      </c>
      <c r="G106" s="7">
        <v>1</v>
      </c>
      <c r="H106" s="22" t="s">
        <v>214</v>
      </c>
      <c r="I106" s="13">
        <v>42702.702372685184</v>
      </c>
      <c r="J106" s="7">
        <v>0</v>
      </c>
      <c r="K106" s="109" t="str">
        <f t="shared" si="21"/>
        <v>4015/4016</v>
      </c>
      <c r="L106" s="22" t="str">
        <f>VLOOKUP(A106,'Trips&amp;Operators'!$C$1:$E$10000,3,FALSE)</f>
        <v>CLARK</v>
      </c>
      <c r="M106" s="6">
        <f t="shared" si="22"/>
        <v>2.7881944442924578E-2</v>
      </c>
      <c r="N106" s="7">
        <f t="shared" si="37"/>
        <v>40.149999997811392</v>
      </c>
      <c r="O106" s="7"/>
      <c r="P106" s="7"/>
      <c r="Q106" s="23"/>
      <c r="R106" s="23"/>
      <c r="S106" s="35">
        <f t="shared" si="23"/>
        <v>1</v>
      </c>
      <c r="T106" s="50" t="str">
        <f t="shared" si="24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15:05:05-700',mode:absolute,to:'2016-11-28 17:51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6" s="52" t="str">
        <f t="shared" si="26"/>
        <v>N</v>
      </c>
      <c r="X106" s="177">
        <f t="shared" si="27"/>
        <v>1</v>
      </c>
      <c r="Y106" s="67">
        <f t="shared" si="28"/>
        <v>23.298500000000001</v>
      </c>
      <c r="Z106" s="67">
        <f t="shared" si="29"/>
        <v>1.5800000000000002E-2</v>
      </c>
      <c r="AA106" s="67">
        <f t="shared" si="30"/>
        <v>23.282700000000002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31"/>
        <v>0194-28</v>
      </c>
      <c r="AE106" s="91" t="str">
        <f t="shared" si="32"/>
        <v>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 &amp; 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</v>
      </c>
      <c r="AF106" s="88" t="str">
        <f t="shared" si="33"/>
        <v>"C:\Program Files (x86)\AstroGrep\AstroGrep.exe" /spath="%USERPROFILE%\AppData\Local\Temp\OnboardLogs" /stypes="app*4015*20161128*" /stext=" 23:.+((SYSTEM_STATE.+slice.+state.+changed )|(ment ac)|(multiple cpu faults)|(system.+state.+changed )|(\[timeout)|(PRM\|1\|D)|(kpr)|(kdp)|(\|lc)|(penalty))" /e /r /s</v>
      </c>
      <c r="AG106" s="1" t="str">
        <f t="shared" si="34"/>
        <v>EC</v>
      </c>
      <c r="AH106" s="92" t="str">
        <f t="shared" si="35"/>
        <v>"%USERPROFILE%\Documents\GitHub\eaglep3\Utilities\RefineRTDCRunTimes.py" --tripid 194-28 --locoid 4015 --swversion DE.1.0.8.0 --startMP 204:232985 --initTime 2016-11-28T16:05:05 --startdatetime 2016-11-28T16:11:16 --delay 1 --endMP 204:158 --enddatetime 2016-11-28T16:51:25 --enforcementcount 0 &gt;&gt;C:\Users\stu\Documents\GitHub\eaglep3-reporting\EC\2016-11-28-refined-times.txt</v>
      </c>
      <c r="AI106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{"issue":{"subject":"","project_id":79,"tracker_id":40,"status_id":1,"priority_id":2,"assigned_to_id":23,"start_date":"2016-11-28","description":"","custom_fields":[{"id":1,"name":"Subdivision","value":"EC"},{"id":4,"name":"Milepost","value":"0.0158"},{"id":17,"name":"Train ID","value":"194-28"},{"id":16,"name":"Locomotive ID","value":"4015"},{"id":130,"name":"Impact","value":""},{"id":150,"name":"Time of Event (Mountain Time)","value":"16:51:25"},{"id":151,"name":"Denver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546</v>
      </c>
      <c r="B107" s="7">
        <v>4025</v>
      </c>
      <c r="C107" s="22" t="s">
        <v>212</v>
      </c>
      <c r="D107" s="22" t="s">
        <v>211</v>
      </c>
      <c r="E107" s="13">
        <v>42702.641250000001</v>
      </c>
      <c r="F107" s="13">
        <v>42702.646064814813</v>
      </c>
      <c r="G107" s="7">
        <v>1</v>
      </c>
      <c r="H107" s="22" t="s">
        <v>312</v>
      </c>
      <c r="I107" s="13">
        <v>42702.672106481485</v>
      </c>
      <c r="J107" s="7">
        <v>0</v>
      </c>
      <c r="K107" s="109" t="str">
        <f t="shared" si="21"/>
        <v>4025/4026</v>
      </c>
      <c r="L107" s="22" t="str">
        <f>VLOOKUP(A107,'Trips&amp;Operators'!$C$1:$E$10000,3,FALSE)</f>
        <v>YOUNG</v>
      </c>
      <c r="M107" s="6">
        <f t="shared" si="22"/>
        <v>2.6041666671517305E-2</v>
      </c>
      <c r="N107" s="7">
        <f t="shared" si="37"/>
        <v>37.500000006984919</v>
      </c>
      <c r="O107" s="7"/>
      <c r="P107" s="7"/>
      <c r="Q107" s="23"/>
      <c r="R107" s="23"/>
      <c r="S107" s="35">
        <f t="shared" si="23"/>
        <v>1</v>
      </c>
      <c r="T107" s="50" t="str">
        <f t="shared" si="24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14:23:24-700',mode:absolute,to:'2016-11-28 17:07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7" s="52" t="str">
        <f t="shared" si="26"/>
        <v>N</v>
      </c>
      <c r="X107" s="177">
        <f t="shared" si="27"/>
        <v>1</v>
      </c>
      <c r="Y107" s="67">
        <f t="shared" si="28"/>
        <v>4.6399999999999997E-2</v>
      </c>
      <c r="Z107" s="67">
        <f t="shared" si="29"/>
        <v>23.3291</v>
      </c>
      <c r="AA107" s="67">
        <f t="shared" si="30"/>
        <v>23.282700000000002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31"/>
        <v>0195-28</v>
      </c>
      <c r="AE107" s="91" t="str">
        <f t="shared" si="32"/>
        <v>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 &amp; aws s3 cp s3://rtdc.mdm.uploadarchive.raw/RTDC4025/ "%USERPROFILE%\AppData\Local\Temp\OnboardLogs"\RTDC4025\2016-11-29 --exclude "*" --recursive --include "*20161129*" &amp; "%USERPROFILE%\Documents\GitHub\mrs-test-scripts\Headless Mode &amp; Sideloading\WalkAndUnGZ.bat" "%USERPROFILE%\AppData\Local\Temp\OnboardLogs"\RTDC4025\2016-11-29</v>
      </c>
      <c r="AF107" s="88" t="str">
        <f t="shared" si="33"/>
        <v>"C:\Program Files (x86)\AstroGrep\AstroGrep.exe" /spath="%USERPROFILE%\AppData\Local\Temp\OnboardLogs" /stypes="app*4025*20161128*" /stext=" 23:.+((SYSTEM_STATE.+slice.+state.+changed )|(ment ac)|(multiple cpu faults)|(system.+state.+changed )|(\[timeout)|(PRM\|1\|D)|(kpr)|(kdp)|(\|lc)|(penalty))" /e /r /s</v>
      </c>
      <c r="AG107" s="1" t="str">
        <f t="shared" si="34"/>
        <v>EC</v>
      </c>
      <c r="AH107" s="92" t="str">
        <f t="shared" si="35"/>
        <v>"%USERPROFILE%\Documents\GitHub\eaglep3\Utilities\RefineRTDCRunTimes.py" --tripid 195-28 --locoid 4025 --swversion DE.1.0.8.0 --startMP 204:464 --initTime 2016-11-28T15:23:24 --startdatetime 2016-11-28T15:30:20 --delay 1 --endMP 204:233291 --enddatetime 2016-11-28T16:07:50 --enforcementcount 0 &gt;&gt;C:\Users\stu\Documents\GitHub\eaglep3-reporting\EC\2016-11-28-refined-times.txt</v>
      </c>
      <c r="AI107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{"issue":{"subject":"","project_id":79,"tracker_id":40,"status_id":1,"priority_id":2,"assigned_to_id":23,"start_date":"2016-11-28","description":"","custom_fields":[{"id":1,"name":"Subdivision","value":"EC"},{"id":4,"name":"Milepost","value":"23.3291"},{"id":17,"name":"Train ID","value":"195-28"},{"id":16,"name":"Locomotive ID","value":"4025"},{"id":130,"name":"Impact","value":""},{"id":150,"name":"Time of Event (Mountain Time)","value":"16:07:50"},{"id":151,"name":"Denver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556</v>
      </c>
      <c r="B108" s="7">
        <v>4026</v>
      </c>
      <c r="C108" s="22" t="s">
        <v>212</v>
      </c>
      <c r="D108" s="22" t="s">
        <v>669</v>
      </c>
      <c r="E108" s="13">
        <v>42702.673900462964</v>
      </c>
      <c r="F108" s="13">
        <v>42702.684965277775</v>
      </c>
      <c r="G108" s="7">
        <v>1</v>
      </c>
      <c r="H108" s="22" t="s">
        <v>670</v>
      </c>
      <c r="I108" s="13">
        <v>42702.713240740741</v>
      </c>
      <c r="J108" s="7">
        <v>0</v>
      </c>
      <c r="K108" s="109" t="str">
        <f t="shared" si="21"/>
        <v>4025/4026</v>
      </c>
      <c r="L108" s="22" t="str">
        <f>VLOOKUP(A108,'Trips&amp;Operators'!$C$1:$E$10000,3,FALSE)</f>
        <v>YOUNG</v>
      </c>
      <c r="M108" s="6">
        <f t="shared" si="22"/>
        <v>2.8275462966121268E-2</v>
      </c>
      <c r="N108" s="7">
        <f t="shared" si="37"/>
        <v>40.716666671214625</v>
      </c>
      <c r="O108" s="7"/>
      <c r="P108" s="7"/>
      <c r="Q108" s="23"/>
      <c r="R108" s="23"/>
      <c r="S108" s="35">
        <f t="shared" si="23"/>
        <v>1</v>
      </c>
      <c r="T108" s="50" t="str">
        <f t="shared" si="24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15:10:25-700',mode:absolute,to:'2016-11-28 18:07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8" s="52" t="str">
        <f t="shared" si="26"/>
        <v>N</v>
      </c>
      <c r="X108" s="177">
        <f t="shared" si="27"/>
        <v>1</v>
      </c>
      <c r="Y108" s="67">
        <f t="shared" si="28"/>
        <v>23.2973</v>
      </c>
      <c r="Z108" s="67">
        <f t="shared" si="29"/>
        <v>1.7999999999999999E-2</v>
      </c>
      <c r="AA108" s="67">
        <f t="shared" si="30"/>
        <v>23.279299999999999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1"/>
        <v>0196-28</v>
      </c>
      <c r="AE108" s="91" t="str">
        <f t="shared" si="32"/>
        <v>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 &amp; aws s3 cp s3://rtdc.mdm.uploadarchive.raw/RTDC4026/ "%USERPROFILE%\AppData\Local\Temp\OnboardLogs"\RTDC4026\2016-11-29 --exclude "*" --recursive --include "*20161129*" &amp; "%USERPROFILE%\Documents\GitHub\mrs-test-scripts\Headless Mode &amp; Sideloading\WalkAndUnGZ.bat" "%USERPROFILE%\AppData\Local\Temp\OnboardLogs"\RTDC4026\2016-11-29</v>
      </c>
      <c r="AF108" s="88" t="str">
        <f t="shared" si="33"/>
        <v>"C:\Program Files (x86)\AstroGrep\AstroGrep.exe" /spath="%USERPROFILE%\AppData\Local\Temp\OnboardLogs" /stypes="app*4026*20161129*" /stext=" 00:.+((SYSTEM_STATE.+slice.+state.+changed )|(ment ac)|(multiple cpu faults)|(system.+state.+changed )|(\[timeout)|(PRM\|1\|D)|(kpr)|(kdp)|(\|lc)|(penalty))" /e /r /s</v>
      </c>
      <c r="AG108" s="1" t="str">
        <f t="shared" si="34"/>
        <v>EC</v>
      </c>
      <c r="AH108" s="92" t="str">
        <f t="shared" si="35"/>
        <v>"%USERPROFILE%\Documents\GitHub\eaglep3\Utilities\RefineRTDCRunTimes.py" --tripid 196-28 --locoid 4026 --swversion DE.1.0.8.0 --startMP 204:232973 --initTime 2016-11-28T16:10:25 --startdatetime 2016-11-28T16:26:21 --delay 1 --endMP 204:180 --enddatetime 2016-11-28T17:07:04 --enforcementcount 0 &gt;&gt;C:\Users\stu\Documents\GitHub\eaglep3-reporting\EC\2016-11-28-refined-times.txt</v>
      </c>
      <c r="AI108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{"issue":{"subject":"","project_id":79,"tracker_id":40,"status_id":1,"priority_id":2,"assigned_to_id":23,"start_date":"2016-11-28","description":"","custom_fields":[{"id":1,"name":"Subdivision","value":"EC"},{"id":4,"name":"Milepost","value":"0.018"},{"id":17,"name":"Train ID","value":"196-28"},{"id":16,"name":"Locomotive ID","value":"4026"},{"id":130,"name":"Impact","value":""},{"id":150,"name":"Time of Event (Mountain Time)","value":"17:07:04"},{"id":151,"name":"Denver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548</v>
      </c>
      <c r="B109" s="7">
        <v>4014</v>
      </c>
      <c r="C109" s="22" t="s">
        <v>212</v>
      </c>
      <c r="D109" s="22" t="s">
        <v>195</v>
      </c>
      <c r="E109" s="13">
        <v>42702.651354166665</v>
      </c>
      <c r="F109" s="13">
        <v>42702.656400462962</v>
      </c>
      <c r="G109" s="7">
        <v>1</v>
      </c>
      <c r="H109" s="22" t="s">
        <v>671</v>
      </c>
      <c r="I109" s="13">
        <v>42702.681875000002</v>
      </c>
      <c r="J109" s="7">
        <v>0</v>
      </c>
      <c r="K109" s="109" t="str">
        <f t="shared" si="21"/>
        <v>4013/4014</v>
      </c>
      <c r="L109" s="22" t="str">
        <f>VLOOKUP(A109,'Trips&amp;Operators'!$C$1:$E$10000,3,FALSE)</f>
        <v>DAVIDSON</v>
      </c>
      <c r="M109" s="6">
        <f t="shared" si="22"/>
        <v>2.5474537040281575E-2</v>
      </c>
      <c r="N109" s="7">
        <f t="shared" si="37"/>
        <v>36.683333338005468</v>
      </c>
      <c r="O109" s="7"/>
      <c r="P109" s="7"/>
      <c r="Q109" s="23"/>
      <c r="R109" s="23"/>
      <c r="S109" s="35">
        <f t="shared" ref="S109:S114" si="38">SUM(U109:U109)/IF(AG109="EC",12,1)</f>
        <v>1</v>
      </c>
      <c r="T109" s="50" t="str">
        <f t="shared" si="24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14:37:57-700',mode:absolute,to:'2016-11-28 17:21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9" s="52" t="str">
        <f t="shared" si="26"/>
        <v>N</v>
      </c>
      <c r="X109" s="177">
        <f t="shared" si="27"/>
        <v>1</v>
      </c>
      <c r="Y109" s="67">
        <f t="shared" si="28"/>
        <v>4.53E-2</v>
      </c>
      <c r="Z109" s="67">
        <f t="shared" si="29"/>
        <v>23.327999999999999</v>
      </c>
      <c r="AA109" s="67">
        <f t="shared" si="30"/>
        <v>23.282699999999998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1"/>
        <v>0197-28</v>
      </c>
      <c r="AE109" s="91" t="str">
        <f t="shared" si="32"/>
        <v>aws s3 cp s3://rtdc.mdm.uploadarchive.raw/RTDC4014/ "%USERPROFILE%\AppData\Local\Temp\OnboardLogs"\RTDC4014\2016-11-28 --exclude "*" --recursive --include "*20161128*" &amp; "%USERPROFILE%\Documents\GitHub\mrs-test-scripts\Headless Mode &amp; Sideloading\WalkAndUnGZ.bat" "%USERPROFILE%\AppData\Local\Temp\OnboardLogs"\RTDC4014\2016-11-28 &amp; 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</v>
      </c>
      <c r="AF109" s="88" t="str">
        <f t="shared" si="33"/>
        <v>"C:\Program Files (x86)\AstroGrep\AstroGrep.exe" /spath="%USERPROFILE%\AppData\Local\Temp\OnboardLogs" /stypes="app*4014*20161128*" /stext=" 23:.+((SYSTEM_STATE.+slice.+state.+changed )|(ment ac)|(multiple cpu faults)|(system.+state.+changed )|(\[timeout)|(PRM\|1\|D)|(kpr)|(kdp)|(\|lc)|(penalty))" /e /r /s</v>
      </c>
      <c r="AG109" s="1" t="str">
        <f t="shared" si="34"/>
        <v>EC</v>
      </c>
      <c r="AH109" s="92" t="str">
        <f t="shared" si="35"/>
        <v>"%USERPROFILE%\Documents\GitHub\eaglep3\Utilities\RefineRTDCRunTimes.py" --tripid 197-28 --locoid 4014 --swversion DE.1.0.8.0 --startMP 204:453 --initTime 2016-11-28T15:37:57 --startdatetime 2016-11-28T15:45:13 --delay 1 --endMP 204:233280 --enddatetime 2016-11-28T16:21:54 --enforcementcount 0 &gt;&gt;C:\Users\stu\Documents\GitHub\eaglep3-reporting\EC\2016-11-28-refined-times.txt</v>
      </c>
      <c r="AI109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{"issue":{"subject":"","project_id":79,"tracker_id":40,"status_id":1,"priority_id":2,"assigned_to_id":23,"start_date":"2016-11-28","description":"","custom_fields":[{"id":1,"name":"Subdivision","value":"EC"},{"id":4,"name":"Milepost","value":"23.328"},{"id":17,"name":"Train ID","value":"197-28"},{"id":16,"name":"Locomotive ID","value":"4014"},{"id":130,"name":"Impact","value":""},{"id":150,"name":"Time of Event (Mountain Time)","value":"16:21:54"},{"id":151,"name":"Denver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7" t="s">
        <v>422</v>
      </c>
      <c r="B110" s="7">
        <v>4013</v>
      </c>
      <c r="C110" s="22" t="s">
        <v>212</v>
      </c>
      <c r="D110" s="22" t="s">
        <v>250</v>
      </c>
      <c r="E110" s="13">
        <v>42702.684212962966</v>
      </c>
      <c r="F110" s="13">
        <v>42702.695532407408</v>
      </c>
      <c r="G110" s="7">
        <v>1</v>
      </c>
      <c r="H110" s="22" t="s">
        <v>245</v>
      </c>
      <c r="I110" s="13">
        <v>42702.723333333335</v>
      </c>
      <c r="J110" s="7">
        <v>0</v>
      </c>
      <c r="K110" s="109" t="str">
        <f t="shared" si="21"/>
        <v>4013/4014</v>
      </c>
      <c r="L110" s="22" t="str">
        <f>VLOOKUP(A110,'Trips&amp;Operators'!$C$1:$E$10000,3,FALSE)</f>
        <v>DAVIDSON</v>
      </c>
      <c r="M110" s="6">
        <f t="shared" si="22"/>
        <v>2.7800925927294884E-2</v>
      </c>
      <c r="N110" s="7">
        <f t="shared" si="37"/>
        <v>40.033333335304633</v>
      </c>
      <c r="O110" s="7"/>
      <c r="P110" s="7"/>
      <c r="Q110" s="23"/>
      <c r="R110" s="23"/>
      <c r="S110" s="35">
        <f t="shared" si="38"/>
        <v>1</v>
      </c>
      <c r="T110" s="50" t="str">
        <f t="shared" si="24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15:25:16-700',mode:absolute,to:'2016-11-28 18:21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0" s="52" t="str">
        <f t="shared" si="26"/>
        <v>N</v>
      </c>
      <c r="X110" s="177">
        <f t="shared" si="27"/>
        <v>1</v>
      </c>
      <c r="Y110" s="67">
        <f t="shared" si="28"/>
        <v>23.298300000000001</v>
      </c>
      <c r="Z110" s="67">
        <f t="shared" si="29"/>
        <v>1.47E-2</v>
      </c>
      <c r="AA110" s="67">
        <f t="shared" si="30"/>
        <v>23.2836</v>
      </c>
      <c r="AB110" s="64" t="str">
        <f>VLOOKUP(A110,Enforcements!$C$7:$K$20,8,0)</f>
        <v>Speed (6)</v>
      </c>
      <c r="AC110" s="60" t="str">
        <f>VLOOKUP(A110,Enforcements!$C$7:$E$20,3,0)</f>
        <v>PERMANENT SPEED RESTRICTION</v>
      </c>
      <c r="AD110" s="61" t="str">
        <f t="shared" si="31"/>
        <v>0198-28</v>
      </c>
      <c r="AE110" s="91" t="str">
        <f t="shared" si="32"/>
        <v>aws s3 cp s3://rtdc.mdm.uploadarchive.raw/RTDC4013/ "%USERPROFILE%\AppData\Local\Temp\OnboardLogs"\RTDC4013\2016-11-28 --exclude "*" --recursive --include "*20161128*" &amp; "%USERPROFILE%\Documents\GitHub\mrs-test-scripts\Headless Mode &amp; Sideloading\WalkAndUnGZ.bat" "%USERPROFILE%\AppData\Local\Temp\OnboardLogs"\RTDC4013\2016-11-28 &amp; 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</v>
      </c>
      <c r="AF110" s="88" t="str">
        <f t="shared" si="33"/>
        <v>"C:\Program Files (x86)\AstroGrep\AstroGrep.exe" /spath="%USERPROFILE%\AppData\Local\Temp\OnboardLogs" /stypes="app*4013*20161129*" /stext=" 00:.+((SYSTEM_STATE.+slice.+state.+changed )|(ment ac)|(multiple cpu faults)|(system.+state.+changed )|(\[timeout)|(PRM\|1\|D)|(kpr)|(kdp)|(\|lc)|(penalty))" /e /r /s</v>
      </c>
      <c r="AG110" s="1" t="str">
        <f t="shared" si="34"/>
        <v>EC</v>
      </c>
      <c r="AH110" s="92" t="str">
        <f t="shared" si="35"/>
        <v>"%USERPROFILE%\Documents\GitHub\eaglep3\Utilities\RefineRTDCRunTimes.py" --tripid 198-28 --locoid 4013 --swversion DE.1.0.8.0 --startMP 204:232983 --initTime 2016-11-28T16:25:16 --startdatetime 2016-11-28T16:41:34 --delay 1 --endMP 204:147 --enddatetime 2016-11-28T17:21:36 --enforcementcount 0 &gt;&gt;C:\Users\stu\Documents\GitHub\eaglep3-reporting\EC\2016-11-28-refined-times.txt</v>
      </c>
      <c r="AI110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{"issue":{"subject":"","project_id":79,"tracker_id":40,"status_id":1,"priority_id":2,"assigned_to_id":23,"start_date":"2016-11-28","description":"","custom_fields":[{"id":1,"name":"Subdivision","value":"EC"},{"id":4,"name":"Milepost","value":"0.0147"},{"id":17,"name":"Train ID","value":"198-28"},{"id":16,"name":"Locomotive ID","value":"4013"},{"id":130,"name":"Impact","value":""},{"id":150,"name":"Time of Event (Mountain Time)","value":"17:21:36"},{"id":151,"name":"Denver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s="21" customFormat="1" x14ac:dyDescent="0.25">
      <c r="A111" s="37" t="s">
        <v>552</v>
      </c>
      <c r="B111" s="7">
        <v>4038</v>
      </c>
      <c r="C111" s="22" t="s">
        <v>212</v>
      </c>
      <c r="D111" s="22" t="s">
        <v>335</v>
      </c>
      <c r="E111" s="13">
        <v>42702.665347222224</v>
      </c>
      <c r="F111" s="13">
        <v>42702.667187500003</v>
      </c>
      <c r="G111" s="7">
        <v>1</v>
      </c>
      <c r="H111" s="22" t="s">
        <v>333</v>
      </c>
      <c r="I111" s="13">
        <v>42702.691458333335</v>
      </c>
      <c r="J111" s="7">
        <v>0</v>
      </c>
      <c r="K111" s="109" t="str">
        <f t="shared" si="21"/>
        <v>4037/4038</v>
      </c>
      <c r="L111" s="22" t="str">
        <f>VLOOKUP(A111,'Trips&amp;Operators'!$C$1:$E$10000,3,FALSE)</f>
        <v>ROMERO</v>
      </c>
      <c r="M111" s="6">
        <f t="shared" si="22"/>
        <v>2.4270833331684116E-2</v>
      </c>
      <c r="N111" s="7">
        <f t="shared" si="37"/>
        <v>34.949999997625127</v>
      </c>
      <c r="O111" s="7"/>
      <c r="P111" s="7"/>
      <c r="Q111" s="23"/>
      <c r="R111" s="23"/>
      <c r="S111" s="35">
        <f t="shared" si="38"/>
        <v>1</v>
      </c>
      <c r="T111" s="50" t="str">
        <f t="shared" si="24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14:58:06-700',mode:absolute,to:'2016-11-28 17:35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1" s="52" t="str">
        <f t="shared" si="26"/>
        <v>N</v>
      </c>
      <c r="X111" s="177">
        <f t="shared" si="27"/>
        <v>1</v>
      </c>
      <c r="Y111" s="67">
        <f t="shared" si="28"/>
        <v>4.58E-2</v>
      </c>
      <c r="Z111" s="67">
        <f t="shared" si="29"/>
        <v>23.331099999999999</v>
      </c>
      <c r="AA111" s="67">
        <f t="shared" si="30"/>
        <v>23.285299999999999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1"/>
        <v>0199-28</v>
      </c>
      <c r="AE111" s="91" t="str">
        <f t="shared" si="32"/>
        <v>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 &amp; aws s3 cp s3://rtdc.mdm.uploadarchive.raw/RTDC4038/ "%USERPROFILE%\AppData\Local\Temp\OnboardLogs"\RTDC4038\2016-11-29 --exclude "*" --recursive --include "*20161129*" &amp; "%USERPROFILE%\Documents\GitHub\mrs-test-scripts\Headless Mode &amp; Sideloading\WalkAndUnGZ.bat" "%USERPROFILE%\AppData\Local\Temp\OnboardLogs"\RTDC4038\2016-11-29</v>
      </c>
      <c r="AF111" s="88" t="str">
        <f t="shared" si="33"/>
        <v>"C:\Program Files (x86)\AstroGrep\AstroGrep.exe" /spath="%USERPROFILE%\AppData\Local\Temp\OnboardLogs" /stypes="app*4038*20161128*" /stext=" 23:.+((SYSTEM_STATE.+slice.+state.+changed )|(ment ac)|(multiple cpu faults)|(system.+state.+changed )|(\[timeout)|(PRM\|1\|D)|(kpr)|(kdp)|(\|lc)|(penalty))" /e /r /s</v>
      </c>
      <c r="AG111" s="1" t="str">
        <f t="shared" si="34"/>
        <v>EC</v>
      </c>
      <c r="AH111" s="92" t="str">
        <f t="shared" si="35"/>
        <v>"%USERPROFILE%\Documents\GitHub\eaglep3\Utilities\RefineRTDCRunTimes.py" --tripid 199-28 --locoid 4038 --swversion DE.1.0.8.0 --startMP 204:458 --initTime 2016-11-28T15:58:06 --startdatetime 2016-11-28T16:00:45 --delay 1 --endMP 204:233311 --enddatetime 2016-11-28T16:35:42 --enforcementcount 0 &gt;&gt;C:\Users\stu\Documents\GitHub\eaglep3-reporting\EC\2016-11-28-refined-times.txt</v>
      </c>
      <c r="AI111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{"issue":{"subject":"","project_id":79,"tracker_id":40,"status_id":1,"priority_id":2,"assigned_to_id":23,"start_date":"2016-11-28","description":"","custom_fields":[{"id":1,"name":"Subdivision","value":"EC"},{"id":4,"name":"Milepost","value":"23.3311"},{"id":17,"name":"Train ID","value":"199-28"},{"id":16,"name":"Locomotive ID","value":"4038"},{"id":130,"name":"Impact","value":""},{"id":150,"name":"Time of Event (Mountain Time)","value":"16:35:42"},{"id":151,"name":"Denver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560</v>
      </c>
      <c r="B112" s="7">
        <v>4037</v>
      </c>
      <c r="C112" s="22" t="s">
        <v>212</v>
      </c>
      <c r="D112" s="22" t="s">
        <v>240</v>
      </c>
      <c r="E112" s="13">
        <v>42702.693136574075</v>
      </c>
      <c r="F112" s="13">
        <v>42702.705706018518</v>
      </c>
      <c r="G112" s="7">
        <v>0</v>
      </c>
      <c r="H112" s="22" t="s">
        <v>672</v>
      </c>
      <c r="I112" s="13">
        <v>42702.731817129628</v>
      </c>
      <c r="J112" s="7">
        <v>0</v>
      </c>
      <c r="K112" s="109" t="str">
        <f t="shared" si="21"/>
        <v>4037/4038</v>
      </c>
      <c r="L112" s="22" t="str">
        <f>VLOOKUP(A112,'Trips&amp;Operators'!$C$1:$E$10000,3,FALSE)</f>
        <v>ROMERO</v>
      </c>
      <c r="M112" s="6">
        <f t="shared" si="22"/>
        <v>2.6111111110367347E-2</v>
      </c>
      <c r="N112" s="7">
        <f t="shared" si="37"/>
        <v>37.599999998928979</v>
      </c>
      <c r="O112" s="7"/>
      <c r="P112" s="7"/>
      <c r="Q112" s="23"/>
      <c r="R112" s="23"/>
      <c r="S112" s="35">
        <f t="shared" si="38"/>
        <v>1</v>
      </c>
      <c r="T112" s="50" t="str">
        <f t="shared" si="24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15:38:07-700',mode:absolute,to:'2016-11-28 18:33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2" s="52" t="str">
        <f t="shared" si="26"/>
        <v>N</v>
      </c>
      <c r="X112" s="177">
        <f t="shared" si="27"/>
        <v>1</v>
      </c>
      <c r="Y112" s="67">
        <f t="shared" si="28"/>
        <v>23.297499999999999</v>
      </c>
      <c r="Z112" s="67">
        <f t="shared" si="29"/>
        <v>1.3599999999999999E-2</v>
      </c>
      <c r="AA112" s="67">
        <f t="shared" si="30"/>
        <v>23.283899999999999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31"/>
        <v>0200-28</v>
      </c>
      <c r="AE112" s="91" t="str">
        <f t="shared" si="32"/>
        <v>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 &amp; aws s3 cp s3://rtdc.mdm.uploadarchive.raw/RTDC4037/ "%USERPROFILE%\AppData\Local\Temp\OnboardLogs"\RTDC4037\2016-11-29 --exclude "*" --recursive --include "*20161129*" &amp; "%USERPROFILE%\Documents\GitHub\mrs-test-scripts\Headless Mode &amp; Sideloading\WalkAndUnGZ.bat" "%USERPROFILE%\AppData\Local\Temp\OnboardLogs"\RTDC4037\2016-11-29</v>
      </c>
      <c r="AF112" s="88" t="str">
        <f t="shared" si="33"/>
        <v>"C:\Program Files (x86)\AstroGrep\AstroGrep.exe" /spath="%USERPROFILE%\AppData\Local\Temp\OnboardLogs" /stypes="app*4037*20161129*" /stext=" 00:.+((SYSTEM_STATE.+slice.+state.+changed )|(ment ac)|(multiple cpu faults)|(system.+state.+changed )|(\[timeout)|(PRM\|1\|D)|(kpr)|(kdp)|(\|lc)|(penalty))" /e /r /s</v>
      </c>
      <c r="AG112" s="1" t="str">
        <f t="shared" si="34"/>
        <v>EC</v>
      </c>
      <c r="AH112" s="92" t="str">
        <f t="shared" si="35"/>
        <v>"%USERPROFILE%\Documents\GitHub\eaglep3\Utilities\RefineRTDCRunTimes.py" --tripid 200-28 --locoid 4037 --swversion DE.1.0.8.0 --startMP 204:232975 --initTime 2016-11-28T16:38:07 --startdatetime 2016-11-28T16:56:13 --delay 0 --endMP 204:136 --enddatetime 2016-11-28T17:33:49 --enforcementcount 0 &gt;&gt;C:\Users\stu\Documents\GitHub\eaglep3-reporting\EC\2016-11-28-refined-times.txt</v>
      </c>
      <c r="AI112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{"issue":{"subject":"","project_id":79,"tracker_id":40,"status_id":1,"priority_id":2,"assigned_to_id":23,"start_date":"2016-11-28","description":"","custom_fields":[{"id":1,"name":"Subdivision","value":"EC"},{"id":4,"name":"Milepost","value":"0.0136"},{"id":17,"name":"Train ID","value":"200-28"},{"id":16,"name":"Locomotive ID","value":"4037"},{"id":130,"name":"Impact","value":""},{"id":150,"name":"Time of Event (Mountain Time)","value":"17:33:49"},{"id":151,"name":"Denver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555</v>
      </c>
      <c r="B113" s="7">
        <v>4040</v>
      </c>
      <c r="C113" s="22" t="s">
        <v>212</v>
      </c>
      <c r="D113" s="22" t="s">
        <v>629</v>
      </c>
      <c r="E113" s="13">
        <v>42702.671956018516</v>
      </c>
      <c r="F113" s="13">
        <v>42702.677314814813</v>
      </c>
      <c r="G113" s="7">
        <v>1</v>
      </c>
      <c r="H113" s="22" t="s">
        <v>673</v>
      </c>
      <c r="I113" s="13">
        <v>42702.702094907407</v>
      </c>
      <c r="J113" s="7">
        <v>0</v>
      </c>
      <c r="K113" s="109" t="str">
        <f t="shared" si="21"/>
        <v>4039/4040</v>
      </c>
      <c r="L113" s="22" t="str">
        <f>VLOOKUP(A113,'Trips&amp;Operators'!$C$1:$E$10000,3,FALSE)</f>
        <v>STEWART</v>
      </c>
      <c r="M113" s="6">
        <f t="shared" si="22"/>
        <v>2.4780092593573499E-2</v>
      </c>
      <c r="N113" s="7">
        <f t="shared" si="37"/>
        <v>35.683333334745839</v>
      </c>
      <c r="O113" s="7"/>
      <c r="P113" s="7"/>
      <c r="Q113" s="23"/>
      <c r="R113" s="23"/>
      <c r="S113" s="35">
        <f t="shared" si="38"/>
        <v>1</v>
      </c>
      <c r="T113" s="50" t="str">
        <f t="shared" si="24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15:07:37-700',mode:absolute,to:'2016-11-28 17:51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3" s="52" t="str">
        <f t="shared" si="26"/>
        <v>N</v>
      </c>
      <c r="X113" s="177">
        <f t="shared" si="27"/>
        <v>1</v>
      </c>
      <c r="Y113" s="67">
        <f t="shared" si="28"/>
        <v>4.4400000000000002E-2</v>
      </c>
      <c r="Z113" s="67">
        <f t="shared" si="29"/>
        <v>23.328299999999999</v>
      </c>
      <c r="AA113" s="67">
        <f t="shared" si="30"/>
        <v>23.283899999999999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1"/>
        <v>0201-28</v>
      </c>
      <c r="AE113" s="91" t="str">
        <f t="shared" si="32"/>
        <v>aws s3 cp s3://rtdc.mdm.uploadarchive.raw/RTDC4040/ "%USERPROFILE%\AppData\Local\Temp\OnboardLogs"\RTDC4040\2016-11-28 --exclude "*" --recursive --include "*20161128*" &amp; "%USERPROFILE%\Documents\GitHub\mrs-test-scripts\Headless Mode &amp; Sideloading\WalkAndUnGZ.bat" "%USERPROFILE%\AppData\Local\Temp\OnboardLogs"\RTDC4040\2016-11-28 &amp; 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</v>
      </c>
      <c r="AF113" s="88" t="str">
        <f t="shared" si="33"/>
        <v>"C:\Program Files (x86)\AstroGrep\AstroGrep.exe" /spath="%USERPROFILE%\AppData\Local\Temp\OnboardLogs" /stypes="app*4040*20161128*" /stext=" 23:.+((SYSTEM_STATE.+slice.+state.+changed )|(ment ac)|(multiple cpu faults)|(system.+state.+changed )|(\[timeout)|(PRM\|1\|D)|(kpr)|(kdp)|(\|lc)|(penalty))" /e /r /s</v>
      </c>
      <c r="AG113" s="1" t="str">
        <f t="shared" si="34"/>
        <v>EC</v>
      </c>
      <c r="AH113" s="92" t="str">
        <f t="shared" si="35"/>
        <v>"%USERPROFILE%\Documents\GitHub\eaglep3\Utilities\RefineRTDCRunTimes.py" --tripid 201-28 --locoid 4040 --swversion DE.1.0.8.0 --startMP 204:444 --initTime 2016-11-28T16:07:37 --startdatetime 2016-11-28T16:15:20 --delay 1 --endMP 204:233283 --enddatetime 2016-11-28T16:51:01 --enforcementcount 0 &gt;&gt;C:\Users\stu\Documents\GitHub\eaglep3-reporting\EC\2016-11-28-refined-times.txt</v>
      </c>
      <c r="AI113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{"issue":{"subject":"","project_id":79,"tracker_id":40,"status_id":1,"priority_id":2,"assigned_to_id":23,"start_date":"2016-11-28","description":"","custom_fields":[{"id":1,"name":"Subdivision","value":"EC"},{"id":4,"name":"Milepost","value":"23.3283"},{"id":17,"name":"Train ID","value":"201-28"},{"id":16,"name":"Locomotive ID","value":"4040"},{"id":130,"name":"Impact","value":""},{"id":150,"name":"Time of Event (Mountain Time)","value":"16:51:01"},{"id":151,"name":"Denver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566</v>
      </c>
      <c r="B114" s="7">
        <v>4039</v>
      </c>
      <c r="C114" s="22" t="s">
        <v>212</v>
      </c>
      <c r="D114" s="22" t="s">
        <v>674</v>
      </c>
      <c r="E114" s="13">
        <v>42702.726655092592</v>
      </c>
      <c r="F114" s="13">
        <v>42702.727407407408</v>
      </c>
      <c r="G114" s="7">
        <v>1</v>
      </c>
      <c r="H114" s="22" t="s">
        <v>219</v>
      </c>
      <c r="I114" s="13">
        <v>42702.744386574072</v>
      </c>
      <c r="J114" s="7">
        <v>0</v>
      </c>
      <c r="K114" s="109" t="str">
        <f t="shared" si="21"/>
        <v>4039/4040</v>
      </c>
      <c r="L114" s="22" t="str">
        <f>VLOOKUP(A114,'Trips&amp;Operators'!$C$1:$E$10000,3,FALSE)</f>
        <v>STEWART</v>
      </c>
      <c r="M114" s="6">
        <f t="shared" si="22"/>
        <v>1.6979166663077194E-2</v>
      </c>
      <c r="N114" s="7"/>
      <c r="O114" s="7"/>
      <c r="P114" s="7">
        <f>24*60*SUM($M114:$M114)</f>
        <v>24.44999999483116</v>
      </c>
      <c r="Q114" s="23"/>
      <c r="R114" s="23" t="s">
        <v>390</v>
      </c>
      <c r="S114" s="35">
        <f t="shared" si="38"/>
        <v>1</v>
      </c>
      <c r="T114" s="50" t="str">
        <f t="shared" si="24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16:26:23-700',mode:absolute,to:'2016-11-28 18:51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4" s="52" t="str">
        <f t="shared" si="26"/>
        <v>Y</v>
      </c>
      <c r="X114" s="177">
        <f t="shared" si="27"/>
        <v>1</v>
      </c>
      <c r="Y114" s="67">
        <f t="shared" si="28"/>
        <v>12.786</v>
      </c>
      <c r="Z114" s="67">
        <f t="shared" si="29"/>
        <v>1.4999999999999999E-2</v>
      </c>
      <c r="AA114" s="67">
        <f t="shared" si="30"/>
        <v>12.770999999999999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1"/>
        <v>0202-28</v>
      </c>
      <c r="AE114" s="91" t="str">
        <f t="shared" si="32"/>
        <v>aws s3 cp s3://rtdc.mdm.uploadarchive.raw/RTDC4039/ "%USERPROFILE%\AppData\Local\Temp\OnboardLogs"\RTDC4039\2016-11-28 --exclude "*" --recursive --include "*20161128*" &amp; "%USERPROFILE%\Documents\GitHub\mrs-test-scripts\Headless Mode &amp; Sideloading\WalkAndUnGZ.bat" "%USERPROFILE%\AppData\Local\Temp\OnboardLogs"\RTDC4039\2016-11-28 &amp; 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</v>
      </c>
      <c r="AF114" s="88" t="str">
        <f t="shared" si="33"/>
        <v>"C:\Program Files (x86)\AstroGrep\AstroGrep.exe" /spath="%USERPROFILE%\AppData\Local\Temp\OnboardLogs" /stypes="app*4039*20161129*" /stext=" 00:.+((SYSTEM_STATE.+slice.+state.+changed )|(ment ac)|(multiple cpu faults)|(system.+state.+changed )|(\[timeout)|(PRM\|1\|D)|(kpr)|(kdp)|(\|lc)|(penalty))" /e /r /s</v>
      </c>
      <c r="AG114" s="1" t="str">
        <f t="shared" si="34"/>
        <v>EC</v>
      </c>
      <c r="AH114" s="92" t="str">
        <f t="shared" si="35"/>
        <v>"%USERPROFILE%\Documents\GitHub\eaglep3\Utilities\RefineRTDCRunTimes.py" --tripid 202-28 --locoid 4039 --swversion DE.1.0.8.0 --startMP 204:127860 --initTime 2016-11-28T17:26:23 --startdatetime 2016-11-28T17:27:28 --delay 1 --endMP 204:150 --enddatetime 2016-11-28T17:51:55 --enforcementcount 0 &gt;&gt;C:\Users\stu\Documents\GitHub\eaglep3-reporting\EC\2016-11-28-refined-times.txt</v>
      </c>
      <c r="AI114" s="119" t="str">
        <f t="shared" si="36"/>
        <v>echo {"issue":{"subject":"Onboard in-route failure","project_id":79,"tracker_id":40,"status_id":1,"priority_id":2,"assigned_to_id":23,"start_date":"2016-11-28","description":"At 00:08:20 UTC, primary slice kept voting out:","custom_fields":[{"id":1,"name":"Subdivision","value":"EC"},{"id":4,"name":"Milepost","value":"0.015"},{"id":17,"name":"Train ID","value":"202-28"},{"id":16,"name":"Locomotive ID","value":"4039"},{"id":130,"name":"Impact","value":"Failed State"},{"id":150,"name":"Time of Event (Mountain Time)","value":"17:51:55"},{"id":151,"name":"Denver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14" s="53" t="s">
        <v>800</v>
      </c>
      <c r="AK114" s="53" t="s">
        <v>128</v>
      </c>
      <c r="AL114" s="53" t="s">
        <v>174</v>
      </c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566</v>
      </c>
      <c r="B115" s="7">
        <v>4039</v>
      </c>
      <c r="C115" s="22" t="s">
        <v>212</v>
      </c>
      <c r="D115" s="22" t="s">
        <v>675</v>
      </c>
      <c r="E115" s="13">
        <v>42702.712696759256</v>
      </c>
      <c r="F115" s="13">
        <v>42702.715046296296</v>
      </c>
      <c r="G115" s="7">
        <v>3</v>
      </c>
      <c r="H115" s="22" t="s">
        <v>675</v>
      </c>
      <c r="I115" s="13">
        <v>42702.715092592596</v>
      </c>
      <c r="J115" s="7">
        <v>0</v>
      </c>
      <c r="K115" s="109" t="str">
        <f t="shared" si="21"/>
        <v>4039/4040</v>
      </c>
      <c r="L115" s="22" t="str">
        <f>VLOOKUP(A115,'Trips&amp;Operators'!$C$1:$E$10000,3,FALSE)</f>
        <v>STEWART</v>
      </c>
      <c r="M115" s="6">
        <f t="shared" si="22"/>
        <v>4.6296299842651933E-5</v>
      </c>
      <c r="N115" s="7"/>
      <c r="O115" s="7"/>
      <c r="P115" s="7"/>
      <c r="Q115" s="23"/>
      <c r="R115" s="23"/>
      <c r="S115" s="35"/>
      <c r="T115" s="50" t="str">
        <f t="shared" si="24"/>
        <v>Southbound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0</v>
      </c>
      <c r="V11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16:06:17-700',mode:absolute,to:'2016-11-28 18:09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5" s="52" t="str">
        <f t="shared" si="26"/>
        <v>Y</v>
      </c>
      <c r="X115" s="177">
        <f t="shared" si="27"/>
        <v>0</v>
      </c>
      <c r="Y115" s="67">
        <f t="shared" si="28"/>
        <v>23.296800000000001</v>
      </c>
      <c r="Z115" s="67">
        <f t="shared" si="29"/>
        <v>23.296800000000001</v>
      </c>
      <c r="AA115" s="67">
        <f t="shared" si="30"/>
        <v>0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1"/>
        <v>0202-28</v>
      </c>
      <c r="AE115" s="91" t="str">
        <f t="shared" si="32"/>
        <v>aws s3 cp s3://rtdc.mdm.uploadarchive.raw/RTDC4039/ "%USERPROFILE%\AppData\Local\Temp\OnboardLogs"\RTDC4039\2016-11-28 --exclude "*" --recursive --include "*20161128*" &amp; "%USERPROFILE%\Documents\GitHub\mrs-test-scripts\Headless Mode &amp; Sideloading\WalkAndUnGZ.bat" "%USERPROFILE%\AppData\Local\Temp\OnboardLogs"\RTDC4039\2016-11-28 &amp; 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</v>
      </c>
      <c r="AF115" s="88" t="str">
        <f t="shared" si="33"/>
        <v>"C:\Program Files (x86)\AstroGrep\AstroGrep.exe" /spath="%USERPROFILE%\AppData\Local\Temp\OnboardLogs" /stypes="app*4039*20161129*" /stext=" 00:.+((SYSTEM_STATE.+slice.+state.+changed )|(ment ac)|(multiple cpu faults)|(system.+state.+changed )|(\[timeout)|(PRM\|1\|D)|(kpr)|(kdp)|(\|lc)|(penalty))" /e /r /s</v>
      </c>
      <c r="AG115" s="1" t="str">
        <f t="shared" si="34"/>
        <v>EC</v>
      </c>
      <c r="AH115" s="92" t="str">
        <f t="shared" si="35"/>
        <v>"%USERPROFILE%\Documents\GitHub\eaglep3\Utilities\RefineRTDCRunTimes.py" --tripid 202-28 --locoid 4039 --swversion DE.1.0.8.0 --startMP 204:232968 --initTime 2016-11-28T17:06:17 --startdatetime 2016-11-28T17:09:40 --delay 3 --endMP 204:232968 --enddatetime 2016-11-28T17:09:44 --enforcementcount 0 &gt;&gt;C:\Users\stu\Documents\GitHub\eaglep3-reporting\EC\2016-11-28-refined-times.txt</v>
      </c>
      <c r="AI115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{"issue":{"subject":"","project_id":79,"tracker_id":40,"status_id":1,"priority_id":2,"assigned_to_id":23,"start_date":"2016-11-28","description":"","custom_fields":[{"id":1,"name":"Subdivision","value":"EC"},{"id":4,"name":"Milepost","value":"23.2968"},{"id":17,"name":"Train ID","value":"202-28"},{"id":16,"name":"Locomotive ID","value":"4039"},{"id":130,"name":"Impact","value":""},{"id":150,"name":"Time of Event (Mountain Time)","value":"17:09:44"},{"id":151,"name":"Denver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558</v>
      </c>
      <c r="B116" s="7">
        <v>4002</v>
      </c>
      <c r="C116" s="22" t="s">
        <v>212</v>
      </c>
      <c r="D116" s="22" t="s">
        <v>261</v>
      </c>
      <c r="E116" s="13">
        <v>42702.682175925926</v>
      </c>
      <c r="F116" s="13">
        <v>42702.687673611108</v>
      </c>
      <c r="G116" s="7">
        <v>1</v>
      </c>
      <c r="H116" s="22" t="s">
        <v>262</v>
      </c>
      <c r="I116" s="13">
        <v>42702.713101851848</v>
      </c>
      <c r="J116" s="7">
        <v>0</v>
      </c>
      <c r="K116" s="109" t="str">
        <f t="shared" si="21"/>
        <v>4001/4002</v>
      </c>
      <c r="L116" s="22" t="str">
        <f>VLOOKUP(A116,'Trips&amp;Operators'!$C$1:$E$10000,3,FALSE)</f>
        <v>BARTLETT</v>
      </c>
      <c r="M116" s="6">
        <f t="shared" si="22"/>
        <v>2.5428240740438923E-2</v>
      </c>
      <c r="N116" s="7">
        <f t="shared" ref="N116:N147" si="39">24*60*SUM($M116:$M116)</f>
        <v>36.616666666232049</v>
      </c>
      <c r="O116" s="7"/>
      <c r="P116" s="7"/>
      <c r="Q116" s="23"/>
      <c r="R116" s="23"/>
      <c r="S116" s="35">
        <f t="shared" ref="S116:S147" si="40">SUM(U116:U116)/IF(AG116="EC",12,1)</f>
        <v>1</v>
      </c>
      <c r="T116" s="50" t="str">
        <f t="shared" si="24"/>
        <v>NorthBound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15:22:20-700',mode:absolute,to:'2016-11-28 18:06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6" s="52" t="str">
        <f t="shared" si="26"/>
        <v>N</v>
      </c>
      <c r="X116" s="177">
        <f t="shared" si="27"/>
        <v>1</v>
      </c>
      <c r="Y116" s="67">
        <f t="shared" si="28"/>
        <v>4.7100000000000003E-2</v>
      </c>
      <c r="Z116" s="67">
        <f t="shared" si="29"/>
        <v>23.3293</v>
      </c>
      <c r="AA116" s="67">
        <f t="shared" si="30"/>
        <v>23.2822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31"/>
        <v>0203-28</v>
      </c>
      <c r="AE116" s="91" t="str">
        <f t="shared" si="32"/>
        <v>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 &amp; aws s3 cp s3://rtdc.mdm.uploadarchive.raw/RTDC4002/ "%USERPROFILE%\AppData\Local\Temp\OnboardLogs"\RTDC4002\2016-11-29 --exclude "*" --recursive --include "*20161129*" &amp; "%USERPROFILE%\Documents\GitHub\mrs-test-scripts\Headless Mode &amp; Sideloading\WalkAndUnGZ.bat" "%USERPROFILE%\AppData\Local\Temp\OnboardLogs"\RTDC4002\2016-11-29</v>
      </c>
      <c r="AF116" s="88" t="str">
        <f t="shared" si="33"/>
        <v>"C:\Program Files (x86)\AstroGrep\AstroGrep.exe" /spath="%USERPROFILE%\AppData\Local\Temp\OnboardLogs" /stypes="app*4002*20161129*" /stext=" 00:.+((SYSTEM_STATE.+slice.+state.+changed )|(ment ac)|(multiple cpu faults)|(system.+state.+changed )|(\[timeout)|(PRM\|1\|D)|(kpr)|(kdp)|(\|lc)|(penalty))" /e /r /s</v>
      </c>
      <c r="AG116" s="1" t="str">
        <f t="shared" si="34"/>
        <v>EC</v>
      </c>
      <c r="AH116" s="92" t="str">
        <f t="shared" si="35"/>
        <v>"%USERPROFILE%\Documents\GitHub\eaglep3\Utilities\RefineRTDCRunTimes.py" --tripid 203-28 --locoid 4002 --swversion DE.1.0.8.0 --startMP 204:471 --initTime 2016-11-28T16:22:20 --startdatetime 2016-11-28T16:30:15 --delay 1 --endMP 204:233293 --enddatetime 2016-11-28T17:06:52 --enforcementcount 0 &gt;&gt;C:\Users\stu\Documents\GitHub\eaglep3-reporting\EC\2016-11-28-refined-times.txt</v>
      </c>
      <c r="AI116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{"issue":{"subject":"","project_id":79,"tracker_id":40,"status_id":1,"priority_id":2,"assigned_to_id":23,"start_date":"2016-11-28","description":"","custom_fields":[{"id":1,"name":"Subdivision","value":"EC"},{"id":4,"name":"Milepost","value":"23.3293"},{"id":17,"name":"Train ID","value":"203-28"},{"id":16,"name":"Locomotive ID","value":"4002"},{"id":130,"name":"Impact","value":""},{"id":150,"name":"Time of Event (Mountain Time)","value":"17:06:52"},{"id":151,"name":"Denver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567</v>
      </c>
      <c r="B117" s="7">
        <v>4001</v>
      </c>
      <c r="C117" s="22" t="s">
        <v>212</v>
      </c>
      <c r="D117" s="22" t="s">
        <v>241</v>
      </c>
      <c r="E117" s="13">
        <v>42702.715636574074</v>
      </c>
      <c r="F117" s="13">
        <v>42702.726527777777</v>
      </c>
      <c r="G117" s="7">
        <v>1</v>
      </c>
      <c r="H117" s="22" t="s">
        <v>214</v>
      </c>
      <c r="I117" s="13">
        <v>42702.753055555557</v>
      </c>
      <c r="J117" s="7">
        <v>0</v>
      </c>
      <c r="K117" s="109" t="str">
        <f t="shared" si="21"/>
        <v>4001/4002</v>
      </c>
      <c r="L117" s="22" t="str">
        <f>VLOOKUP(A117,'Trips&amp;Operators'!$C$1:$E$10000,3,FALSE)</f>
        <v>BARTLETT</v>
      </c>
      <c r="M117" s="6">
        <f t="shared" si="22"/>
        <v>2.6527777779847383E-2</v>
      </c>
      <c r="N117" s="7">
        <f t="shared" si="39"/>
        <v>38.200000002980232</v>
      </c>
      <c r="O117" s="7"/>
      <c r="P117" s="7"/>
      <c r="Q117" s="23"/>
      <c r="R117" s="23"/>
      <c r="S117" s="35">
        <f t="shared" si="40"/>
        <v>1</v>
      </c>
      <c r="T117" s="50" t="str">
        <f t="shared" si="24"/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16:10:31-700',mode:absolute,to:'2016-11-28 19:04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7" s="52" t="str">
        <f t="shared" si="26"/>
        <v>N</v>
      </c>
      <c r="X117" s="177">
        <f t="shared" si="27"/>
        <v>1</v>
      </c>
      <c r="Y117" s="67">
        <f t="shared" si="28"/>
        <v>23.299399999999999</v>
      </c>
      <c r="Z117" s="67">
        <f t="shared" si="29"/>
        <v>1.5800000000000002E-2</v>
      </c>
      <c r="AA117" s="67">
        <f t="shared" si="30"/>
        <v>23.2836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1"/>
        <v>0204-28</v>
      </c>
      <c r="AE117" s="91" t="str">
        <f t="shared" si="32"/>
        <v>aws s3 cp s3://rtdc.mdm.uploadarchive.raw/RTDC4001/ "%USERPROFILE%\AppData\Local\Temp\OnboardLogs"\RTDC4001\2016-11-28 --exclude "*" --recursive --include "*20161128*" &amp; "%USERPROFILE%\Documents\GitHub\mrs-test-scripts\Headless Mode &amp; Sideloading\WalkAndUnGZ.bat" "%USERPROFILE%\AppData\Local\Temp\OnboardLogs"\RTDC4001\2016-11-28 &amp; aws s3 cp s3://rtdc.mdm.uploadarchive.raw/RTDC4001/ "%USERPROFILE%\AppData\Local\Temp\OnboardLogs"\RTDC4001\2016-11-29 --exclude "*" --recursive --include "*20161129*" &amp; "%USERPROFILE%\Documents\GitHub\mrs-test-scripts\Headless Mode &amp; Sideloading\WalkAndUnGZ.bat" "%USERPROFILE%\AppData\Local\Temp\OnboardLogs"\RTDC4001\2016-11-29</v>
      </c>
      <c r="AF117" s="88" t="str">
        <f t="shared" si="33"/>
        <v>"C:\Program Files (x86)\AstroGrep\AstroGrep.exe" /spath="%USERPROFILE%\AppData\Local\Temp\OnboardLogs" /stypes="app*4001*20161129*" /stext=" 01:.+((SYSTEM_STATE.+slice.+state.+changed )|(ment ac)|(multiple cpu faults)|(system.+state.+changed )|(\[timeout)|(PRM\|1\|D)|(kpr)|(kdp)|(\|lc)|(penalty))" /e /r /s</v>
      </c>
      <c r="AG117" s="1" t="str">
        <f t="shared" si="34"/>
        <v>EC</v>
      </c>
      <c r="AH117" s="92" t="str">
        <f t="shared" si="35"/>
        <v>"%USERPROFILE%\Documents\GitHub\eaglep3\Utilities\RefineRTDCRunTimes.py" --tripid 204-28 --locoid 4001 --swversion DE.1.0.8.0 --startMP 204:232994 --initTime 2016-11-28T17:10:31 --startdatetime 2016-11-28T17:26:12 --delay 1 --endMP 204:158 --enddatetime 2016-11-28T18:04:24 --enforcementcount 0 &gt;&gt;C:\Users\stu\Documents\GitHub\eaglep3-reporting\EC\2016-11-28-refined-times.txt</v>
      </c>
      <c r="AI117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{"issue":{"subject":"","project_id":79,"tracker_id":40,"status_id":1,"priority_id":2,"assigned_to_id":23,"start_date":"2016-11-28","description":"","custom_fields":[{"id":1,"name":"Subdivision","value":"EC"},{"id":4,"name":"Milepost","value":"0.0158"},{"id":17,"name":"Train ID","value":"204-28"},{"id":16,"name":"Locomotive ID","value":"4001"},{"id":130,"name":"Impact","value":""},{"id":150,"name":"Time of Event (Mountain Time)","value":"18:04:24"},{"id":151,"name":"Denver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561</v>
      </c>
      <c r="B118" s="7">
        <v>4042</v>
      </c>
      <c r="C118" s="22" t="s">
        <v>212</v>
      </c>
      <c r="D118" s="22" t="s">
        <v>249</v>
      </c>
      <c r="E118" s="13">
        <v>42702.692326388889</v>
      </c>
      <c r="F118" s="13">
        <v>42702.698113425926</v>
      </c>
      <c r="G118" s="7">
        <v>2</v>
      </c>
      <c r="H118" s="22" t="s">
        <v>359</v>
      </c>
      <c r="I118" s="13">
        <v>42702.723958333336</v>
      </c>
      <c r="J118" s="7">
        <v>0</v>
      </c>
      <c r="K118" s="109" t="str">
        <f t="shared" si="21"/>
        <v>4041/4042</v>
      </c>
      <c r="L118" s="22" t="str">
        <f>VLOOKUP(A118,'Trips&amp;Operators'!$C$1:$E$10000,3,FALSE)</f>
        <v>BONDS</v>
      </c>
      <c r="M118" s="6">
        <f t="shared" si="22"/>
        <v>2.584490740991896E-2</v>
      </c>
      <c r="N118" s="7">
        <f t="shared" si="39"/>
        <v>37.216666670283303</v>
      </c>
      <c r="O118" s="7"/>
      <c r="P118" s="7"/>
      <c r="Q118" s="23"/>
      <c r="R118" s="23"/>
      <c r="S118" s="35">
        <f t="shared" si="40"/>
        <v>1</v>
      </c>
      <c r="T118" s="50" t="str">
        <f t="shared" si="24"/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15:36:57-700',mode:absolute,to:'2016-11-28 18:22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8" s="52" t="str">
        <f t="shared" si="26"/>
        <v>N</v>
      </c>
      <c r="X118" s="177">
        <f t="shared" si="27"/>
        <v>1</v>
      </c>
      <c r="Y118" s="67">
        <f t="shared" si="28"/>
        <v>4.5499999999999999E-2</v>
      </c>
      <c r="Z118" s="67">
        <f t="shared" si="29"/>
        <v>23.331900000000001</v>
      </c>
      <c r="AA118" s="67">
        <f t="shared" si="30"/>
        <v>23.2864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1"/>
        <v>0205-28</v>
      </c>
      <c r="AE118" s="91" t="str">
        <f t="shared" si="32"/>
        <v>aws s3 cp s3://rtdc.mdm.uploadarchive.raw/RTDC4042/ "%USERPROFILE%\AppData\Local\Temp\OnboardLogs"\RTDC4042\2016-11-28 --exclude "*" --recursive --include "*20161128*" &amp; "%USERPROFILE%\Documents\GitHub\mrs-test-scripts\Headless Mode &amp; Sideloading\WalkAndUnGZ.bat" "%USERPROFILE%\AppData\Local\Temp\OnboardLogs"\RTDC4042\2016-11-28 &amp; aws s3 cp s3://rtdc.mdm.uploadarchive.raw/RTDC4042/ "%USERPROFILE%\AppData\Local\Temp\OnboardLogs"\RTDC4042\2016-11-29 --exclude "*" --recursive --include "*20161129*" &amp; "%USERPROFILE%\Documents\GitHub\mrs-test-scripts\Headless Mode &amp; Sideloading\WalkAndUnGZ.bat" "%USERPROFILE%\AppData\Local\Temp\OnboardLogs"\RTDC4042\2016-11-29</v>
      </c>
      <c r="AF118" s="88" t="str">
        <f t="shared" si="33"/>
        <v>"C:\Program Files (x86)\AstroGrep\AstroGrep.exe" /spath="%USERPROFILE%\AppData\Local\Temp\OnboardLogs" /stypes="app*4042*20161129*" /stext=" 00:.+((SYSTEM_STATE.+slice.+state.+changed )|(ment ac)|(multiple cpu faults)|(system.+state.+changed )|(\[timeout)|(PRM\|1\|D)|(kpr)|(kdp)|(\|lc)|(penalty))" /e /r /s</v>
      </c>
      <c r="AG118" s="1" t="str">
        <f t="shared" si="34"/>
        <v>EC</v>
      </c>
      <c r="AH118" s="92" t="str">
        <f t="shared" si="35"/>
        <v>"%USERPROFILE%\Documents\GitHub\eaglep3\Utilities\RefineRTDCRunTimes.py" --tripid 205-28 --locoid 4042 --swversion DE.1.0.8.0 --startMP 204:455 --initTime 2016-11-28T16:36:57 --startdatetime 2016-11-28T16:45:17 --delay 2 --endMP 204:233319 --enddatetime 2016-11-28T17:22:30 --enforcementcount 0 &gt;&gt;C:\Users\stu\Documents\GitHub\eaglep3-reporting\EC\2016-11-28-refined-times.txt</v>
      </c>
      <c r="AI118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{"issue":{"subject":"","project_id":79,"tracker_id":40,"status_id":1,"priority_id":2,"assigned_to_id":23,"start_date":"2016-11-28","description":"","custom_fields":[{"id":1,"name":"Subdivision","value":"EC"},{"id":4,"name":"Milepost","value":"23.3319"},{"id":17,"name":"Train ID","value":"205-28"},{"id":16,"name":"Locomotive ID","value":"4042"},{"id":130,"name":"Impact","value":""},{"id":150,"name":"Time of Event (Mountain Time)","value":"17:22:30"},{"id":151,"name":"Denver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571</v>
      </c>
      <c r="B119" s="7">
        <v>4041</v>
      </c>
      <c r="C119" s="22" t="s">
        <v>212</v>
      </c>
      <c r="D119" s="22" t="s">
        <v>243</v>
      </c>
      <c r="E119" s="13">
        <v>42702.728043981479</v>
      </c>
      <c r="F119" s="13">
        <v>42702.737025462964</v>
      </c>
      <c r="G119" s="7">
        <v>1</v>
      </c>
      <c r="H119" s="22" t="s">
        <v>636</v>
      </c>
      <c r="I119" s="13">
        <v>42702.764050925929</v>
      </c>
      <c r="J119" s="7">
        <v>0</v>
      </c>
      <c r="K119" s="109" t="str">
        <f t="shared" si="21"/>
        <v>4041/4042</v>
      </c>
      <c r="L119" s="22" t="str">
        <f>VLOOKUP(A119,'Trips&amp;Operators'!$C$1:$E$10000,3,FALSE)</f>
        <v>BONDS</v>
      </c>
      <c r="M119" s="6">
        <f t="shared" si="22"/>
        <v>2.7025462964957114E-2</v>
      </c>
      <c r="N119" s="7">
        <f t="shared" si="39"/>
        <v>38.916666669538245</v>
      </c>
      <c r="O119" s="7"/>
      <c r="P119" s="7"/>
      <c r="Q119" s="23"/>
      <c r="R119" s="23"/>
      <c r="S119" s="35">
        <f t="shared" si="40"/>
        <v>1</v>
      </c>
      <c r="T119" s="50" t="str">
        <f t="shared" si="24"/>
        <v>Southbound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16:28:23-700',mode:absolute,to:'2016-11-28 19:20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9" s="52" t="str">
        <f t="shared" si="26"/>
        <v>N</v>
      </c>
      <c r="X119" s="177">
        <f t="shared" si="27"/>
        <v>1</v>
      </c>
      <c r="Y119" s="67">
        <f t="shared" si="28"/>
        <v>23.299800000000001</v>
      </c>
      <c r="Z119" s="67">
        <f t="shared" si="29"/>
        <v>1.52E-2</v>
      </c>
      <c r="AA119" s="67">
        <f t="shared" si="30"/>
        <v>23.284600000000001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1"/>
        <v>0206-28</v>
      </c>
      <c r="AE119" s="91" t="str">
        <f t="shared" si="32"/>
        <v>aws s3 cp s3://rtdc.mdm.uploadarchive.raw/RTDC4041/ "%USERPROFILE%\AppData\Local\Temp\OnboardLogs"\RTDC4041\2016-11-28 --exclude "*" --recursive --include "*20161128*" &amp; "%USERPROFILE%\Documents\GitHub\mrs-test-scripts\Headless Mode &amp; Sideloading\WalkAndUnGZ.bat" "%USERPROFILE%\AppData\Local\Temp\OnboardLogs"\RTDC4041\2016-11-28 &amp; 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</v>
      </c>
      <c r="AF119" s="88" t="str">
        <f t="shared" si="33"/>
        <v>"C:\Program Files (x86)\AstroGrep\AstroGrep.exe" /spath="%USERPROFILE%\AppData\Local\Temp\OnboardLogs" /stypes="app*4041*20161129*" /stext=" 01:.+((SYSTEM_STATE.+slice.+state.+changed )|(ment ac)|(multiple cpu faults)|(system.+state.+changed )|(\[timeout)|(PRM\|1\|D)|(kpr)|(kdp)|(\|lc)|(penalty))" /e /r /s</v>
      </c>
      <c r="AG119" s="1" t="str">
        <f t="shared" si="34"/>
        <v>EC</v>
      </c>
      <c r="AH119" s="92" t="str">
        <f t="shared" si="35"/>
        <v>"%USERPROFILE%\Documents\GitHub\eaglep3\Utilities\RefineRTDCRunTimes.py" --tripid 206-28 --locoid 4041 --swversion DE.1.0.8.0 --startMP 204:232998 --initTime 2016-11-28T17:28:23 --startdatetime 2016-11-28T17:41:19 --delay 1 --endMP 204:152 --enddatetime 2016-11-28T18:20:14 --enforcementcount 0 &gt;&gt;C:\Users\stu\Documents\GitHub\eaglep3-reporting\EC\2016-11-28-refined-times.txt</v>
      </c>
      <c r="AI119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{"issue":{"subject":"","project_id":79,"tracker_id":40,"status_id":1,"priority_id":2,"assigned_to_id":23,"start_date":"2016-11-28","description":"","custom_fields":[{"id":1,"name":"Subdivision","value":"EC"},{"id":4,"name":"Milepost","value":"0.0152"},{"id":17,"name":"Train ID","value":"206-28"},{"id":16,"name":"Locomotive ID","value":"4041"},{"id":130,"name":"Impact","value":""},{"id":150,"name":"Time of Event (Mountain Time)","value":"18:20:14"},{"id":151,"name":"Denver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563</v>
      </c>
      <c r="B120" s="7">
        <v>4016</v>
      </c>
      <c r="C120" s="22" t="s">
        <v>212</v>
      </c>
      <c r="D120" s="22" t="s">
        <v>335</v>
      </c>
      <c r="E120" s="13">
        <v>42702.703842592593</v>
      </c>
      <c r="F120" s="13">
        <v>42702.708495370367</v>
      </c>
      <c r="G120" s="7">
        <v>1</v>
      </c>
      <c r="H120" s="22" t="s">
        <v>676</v>
      </c>
      <c r="I120" s="13">
        <v>42702.734375</v>
      </c>
      <c r="J120" s="7">
        <v>0</v>
      </c>
      <c r="K120" s="109" t="str">
        <f t="shared" si="21"/>
        <v>4015/4016</v>
      </c>
      <c r="L120" s="22" t="str">
        <f>VLOOKUP(A120,'Trips&amp;Operators'!$C$1:$E$10000,3,FALSE)</f>
        <v>CLARK</v>
      </c>
      <c r="M120" s="6">
        <f t="shared" si="22"/>
        <v>2.587962963298196E-2</v>
      </c>
      <c r="N120" s="7">
        <f t="shared" si="39"/>
        <v>37.266666671494022</v>
      </c>
      <c r="O120" s="7"/>
      <c r="P120" s="7"/>
      <c r="Q120" s="23"/>
      <c r="R120" s="23"/>
      <c r="S120" s="35">
        <f t="shared" si="40"/>
        <v>1</v>
      </c>
      <c r="T120" s="50" t="str">
        <f t="shared" si="24"/>
        <v>NorthBound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15:53:32-700',mode:absolute,to:'2016-11-28 18:37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0" s="52" t="str">
        <f t="shared" si="26"/>
        <v>N</v>
      </c>
      <c r="X120" s="177">
        <f t="shared" si="27"/>
        <v>1</v>
      </c>
      <c r="Y120" s="67">
        <f t="shared" si="28"/>
        <v>4.58E-2</v>
      </c>
      <c r="Z120" s="67">
        <f t="shared" si="29"/>
        <v>23.328800000000001</v>
      </c>
      <c r="AA120" s="67">
        <f t="shared" si="30"/>
        <v>23.283000000000001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1"/>
        <v>0207-28</v>
      </c>
      <c r="AE120" s="91" t="str">
        <f t="shared" si="32"/>
        <v>aws s3 cp s3://rtdc.mdm.uploadarchive.raw/RTDC4016/ "%USERPROFILE%\AppData\Local\Temp\OnboardLogs"\RTDC4016\2016-11-28 --exclude "*" --recursive --include "*20161128*" &amp; "%USERPROFILE%\Documents\GitHub\mrs-test-scripts\Headless Mode &amp; Sideloading\WalkAndUnGZ.bat" "%USERPROFILE%\AppData\Local\Temp\OnboardLogs"\RTDC4016\2016-11-28 &amp; 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</v>
      </c>
      <c r="AF120" s="88" t="str">
        <f t="shared" si="33"/>
        <v>"C:\Program Files (x86)\AstroGrep\AstroGrep.exe" /spath="%USERPROFILE%\AppData\Local\Temp\OnboardLogs" /stypes="app*4016*20161129*" /stext=" 00:.+((SYSTEM_STATE.+slice.+state.+changed )|(ment ac)|(multiple cpu faults)|(system.+state.+changed )|(\[timeout)|(PRM\|1\|D)|(kpr)|(kdp)|(\|lc)|(penalty))" /e /r /s</v>
      </c>
      <c r="AG120" s="1" t="str">
        <f t="shared" si="34"/>
        <v>EC</v>
      </c>
      <c r="AH120" s="92" t="str">
        <f t="shared" si="35"/>
        <v>"%USERPROFILE%\Documents\GitHub\eaglep3\Utilities\RefineRTDCRunTimes.py" --tripid 207-28 --locoid 4016 --swversion DE.1.0.8.0 --startMP 204:458 --initTime 2016-11-28T16:53:32 --startdatetime 2016-11-28T17:00:14 --delay 1 --endMP 204:233288 --enddatetime 2016-11-28T17:37:30 --enforcementcount 0 &gt;&gt;C:\Users\stu\Documents\GitHub\eaglep3-reporting\EC\2016-11-28-refined-times.txt</v>
      </c>
      <c r="AI120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{"issue":{"subject":"","project_id":79,"tracker_id":40,"status_id":1,"priority_id":2,"assigned_to_id":23,"start_date":"2016-11-28","description":"","custom_fields":[{"id":1,"name":"Subdivision","value":"EC"},{"id":4,"name":"Milepost","value":"23.3288"},{"id":17,"name":"Train ID","value":"207-28"},{"id":16,"name":"Locomotive ID","value":"4016"},{"id":130,"name":"Impact","value":""},{"id":150,"name":"Time of Event (Mountain Time)","value":"17:37:30"},{"id":151,"name":"Denver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574</v>
      </c>
      <c r="B121" s="7">
        <v>4015</v>
      </c>
      <c r="C121" s="22" t="s">
        <v>212</v>
      </c>
      <c r="D121" s="22" t="s">
        <v>311</v>
      </c>
      <c r="E121" s="13">
        <v>42702.742407407408</v>
      </c>
      <c r="F121" s="13">
        <v>42702.747395833336</v>
      </c>
      <c r="G121" s="7">
        <v>1</v>
      </c>
      <c r="H121" s="22" t="s">
        <v>192</v>
      </c>
      <c r="I121" s="13">
        <v>42702.777627314812</v>
      </c>
      <c r="J121" s="7">
        <v>0</v>
      </c>
      <c r="K121" s="109" t="str">
        <f t="shared" si="21"/>
        <v>4015/4016</v>
      </c>
      <c r="L121" s="22" t="str">
        <f>VLOOKUP(A121,'Trips&amp;Operators'!$C$1:$E$10000,3,FALSE)</f>
        <v>CLARK</v>
      </c>
      <c r="M121" s="6">
        <f t="shared" si="22"/>
        <v>3.0231481476221234E-2</v>
      </c>
      <c r="N121" s="7">
        <f t="shared" si="39"/>
        <v>43.533333325758576</v>
      </c>
      <c r="O121" s="7"/>
      <c r="P121" s="7"/>
      <c r="Q121" s="23"/>
      <c r="R121" s="23"/>
      <c r="S121" s="35">
        <f t="shared" si="40"/>
        <v>1</v>
      </c>
      <c r="T121" s="50" t="str">
        <f t="shared" si="24"/>
        <v>Southbound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16:49:04-700',mode:absolute,to:'2016-11-28 19:39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1" s="52" t="str">
        <f t="shared" si="26"/>
        <v>N</v>
      </c>
      <c r="X121" s="177">
        <f t="shared" si="27"/>
        <v>1</v>
      </c>
      <c r="Y121" s="67">
        <f t="shared" si="28"/>
        <v>23.296700000000001</v>
      </c>
      <c r="Z121" s="67">
        <f t="shared" si="29"/>
        <v>1.49E-2</v>
      </c>
      <c r="AA121" s="67">
        <f t="shared" si="30"/>
        <v>23.2818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1"/>
        <v>0208-28</v>
      </c>
      <c r="AE121" s="91" t="str">
        <f t="shared" si="32"/>
        <v>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 &amp; 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</v>
      </c>
      <c r="AF121" s="88" t="str">
        <f t="shared" si="33"/>
        <v>"C:\Program Files (x86)\AstroGrep\AstroGrep.exe" /spath="%USERPROFILE%\AppData\Local\Temp\OnboardLogs" /stypes="app*4015*20161129*" /stext=" 01:.+((SYSTEM_STATE.+slice.+state.+changed )|(ment ac)|(multiple cpu faults)|(system.+state.+changed )|(\[timeout)|(PRM\|1\|D)|(kpr)|(kdp)|(\|lc)|(penalty))" /e /r /s</v>
      </c>
      <c r="AG121" s="1" t="str">
        <f t="shared" si="34"/>
        <v>EC</v>
      </c>
      <c r="AH121" s="92" t="str">
        <f t="shared" si="35"/>
        <v>"%USERPROFILE%\Documents\GitHub\eaglep3\Utilities\RefineRTDCRunTimes.py" --tripid 208-28 --locoid 4015 --swversion DE.1.0.8.0 --startMP 204:232967 --initTime 2016-11-28T17:49:04 --startdatetime 2016-11-28T17:56:15 --delay 1 --endMP 204:149 --enddatetime 2016-11-28T18:39:47 --enforcementcount 0 &gt;&gt;C:\Users\stu\Documents\GitHub\eaglep3-reporting\EC\2016-11-28-refined-times.txt</v>
      </c>
      <c r="AI121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{"issue":{"subject":"","project_id":79,"tracker_id":40,"status_id":1,"priority_id":2,"assigned_to_id":23,"start_date":"2016-11-28","description":"","custom_fields":[{"id":1,"name":"Subdivision","value":"EC"},{"id":4,"name":"Milepost","value":"0.0149"},{"id":17,"name":"Train ID","value":"208-28"},{"id":16,"name":"Locomotive ID","value":"4015"},{"id":130,"name":"Impact","value":""},{"id":150,"name":"Time of Event (Mountain Time)","value":"18:39:47"},{"id":151,"name":"Denver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568</v>
      </c>
      <c r="B122" s="7">
        <v>4025</v>
      </c>
      <c r="C122" s="22" t="s">
        <v>212</v>
      </c>
      <c r="D122" s="22" t="s">
        <v>249</v>
      </c>
      <c r="E122" s="13">
        <v>42702.716261574074</v>
      </c>
      <c r="F122" s="13">
        <v>42702.719131944446</v>
      </c>
      <c r="G122" s="7">
        <v>2</v>
      </c>
      <c r="H122" s="22" t="s">
        <v>272</v>
      </c>
      <c r="I122" s="13">
        <v>42702.743657407409</v>
      </c>
      <c r="J122" s="7">
        <v>0</v>
      </c>
      <c r="K122" s="109" t="str">
        <f t="shared" si="21"/>
        <v>4025/4026</v>
      </c>
      <c r="L122" s="22" t="str">
        <f>VLOOKUP(A122,'Trips&amp;Operators'!$C$1:$E$10000,3,FALSE)</f>
        <v>LEVERE</v>
      </c>
      <c r="M122" s="6">
        <f t="shared" si="22"/>
        <v>2.4525462962628808E-2</v>
      </c>
      <c r="N122" s="7">
        <f t="shared" si="39"/>
        <v>35.316666666185483</v>
      </c>
      <c r="O122" s="7"/>
      <c r="P122" s="7"/>
      <c r="Q122" s="23"/>
      <c r="R122" s="23"/>
      <c r="S122" s="35">
        <f t="shared" si="40"/>
        <v>1</v>
      </c>
      <c r="T122" s="50" t="str">
        <f t="shared" si="24"/>
        <v>NorthBound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16:11:25-700',mode:absolute,to:'2016-11-28 18:50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2" s="52" t="str">
        <f t="shared" si="26"/>
        <v>N</v>
      </c>
      <c r="X122" s="177">
        <f t="shared" si="27"/>
        <v>1</v>
      </c>
      <c r="Y122" s="67">
        <f t="shared" si="28"/>
        <v>4.5499999999999999E-2</v>
      </c>
      <c r="Z122" s="67">
        <f t="shared" si="29"/>
        <v>23.3308</v>
      </c>
      <c r="AA122" s="67">
        <f t="shared" si="30"/>
        <v>23.285299999999999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1"/>
        <v>0209-28</v>
      </c>
      <c r="AE122" s="91" t="str">
        <f t="shared" si="32"/>
        <v>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 &amp; aws s3 cp s3://rtdc.mdm.uploadarchive.raw/RTDC4025/ "%USERPROFILE%\AppData\Local\Temp\OnboardLogs"\RTDC4025\2016-11-29 --exclude "*" --recursive --include "*20161129*" &amp; "%USERPROFILE%\Documents\GitHub\mrs-test-scripts\Headless Mode &amp; Sideloading\WalkAndUnGZ.bat" "%USERPROFILE%\AppData\Local\Temp\OnboardLogs"\RTDC4025\2016-11-29</v>
      </c>
      <c r="AF122" s="88" t="str">
        <f t="shared" si="33"/>
        <v>"C:\Program Files (x86)\AstroGrep\AstroGrep.exe" /spath="%USERPROFILE%\AppData\Local\Temp\OnboardLogs" /stypes="app*4025*20161129*" /stext=" 00:.+((SYSTEM_STATE.+slice.+state.+changed )|(ment ac)|(multiple cpu faults)|(system.+state.+changed )|(\[timeout)|(PRM\|1\|D)|(kpr)|(kdp)|(\|lc)|(penalty))" /e /r /s</v>
      </c>
      <c r="AG122" s="1" t="str">
        <f t="shared" si="34"/>
        <v>EC</v>
      </c>
      <c r="AH122" s="92" t="str">
        <f t="shared" si="35"/>
        <v>"%USERPROFILE%\Documents\GitHub\eaglep3\Utilities\RefineRTDCRunTimes.py" --tripid 209-28 --locoid 4025 --swversion DE.1.0.8.0 --startMP 204:455 --initTime 2016-11-28T17:11:25 --startdatetime 2016-11-28T17:15:33 --delay 2 --endMP 204:233308 --enddatetime 2016-11-28T17:50:52 --enforcementcount 0 &gt;&gt;C:\Users\stu\Documents\GitHub\eaglep3-reporting\EC\2016-11-28-refined-times.txt</v>
      </c>
      <c r="AI122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{"issue":{"subject":"","project_id":79,"tracker_id":40,"status_id":1,"priority_id":2,"assigned_to_id":23,"start_date":"2016-11-28","description":"","custom_fields":[{"id":1,"name":"Subdivision","value":"EC"},{"id":4,"name":"Milepost","value":"23.3308"},{"id":17,"name":"Train ID","value":"209-28"},{"id":16,"name":"Locomotive ID","value":"4025"},{"id":130,"name":"Impact","value":""},{"id":150,"name":"Time of Event (Mountain Time)","value":"17:50:52"},{"id":151,"name":"Denver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577</v>
      </c>
      <c r="B123" s="7">
        <v>4026</v>
      </c>
      <c r="C123" s="22" t="s">
        <v>212</v>
      </c>
      <c r="D123" s="22" t="s">
        <v>241</v>
      </c>
      <c r="E123" s="13">
        <v>42702.75204861111</v>
      </c>
      <c r="F123" s="13">
        <v>42702.757928240739</v>
      </c>
      <c r="G123" s="7">
        <v>1</v>
      </c>
      <c r="H123" s="22" t="s">
        <v>672</v>
      </c>
      <c r="I123" s="13">
        <v>42702.78434027778</v>
      </c>
      <c r="J123" s="7">
        <v>0</v>
      </c>
      <c r="K123" s="109" t="str">
        <f t="shared" si="21"/>
        <v>4025/4026</v>
      </c>
      <c r="L123" s="22" t="str">
        <f>VLOOKUP(A123,'Trips&amp;Operators'!$C$1:$E$10000,3,FALSE)</f>
        <v>LEVERE</v>
      </c>
      <c r="M123" s="6">
        <f t="shared" si="22"/>
        <v>2.641203704115469E-2</v>
      </c>
      <c r="N123" s="7">
        <f t="shared" si="39"/>
        <v>38.033333339262754</v>
      </c>
      <c r="O123" s="7"/>
      <c r="P123" s="7"/>
      <c r="Q123" s="23"/>
      <c r="R123" s="23"/>
      <c r="S123" s="35">
        <f t="shared" si="40"/>
        <v>1</v>
      </c>
      <c r="T123" s="50" t="str">
        <f t="shared" si="24"/>
        <v>Southbound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17:02:57-700',mode:absolute,to:'2016-11-28 19:49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3" s="52" t="str">
        <f t="shared" si="26"/>
        <v>N</v>
      </c>
      <c r="X123" s="177">
        <f t="shared" si="27"/>
        <v>1</v>
      </c>
      <c r="Y123" s="67">
        <f t="shared" si="28"/>
        <v>23.299399999999999</v>
      </c>
      <c r="Z123" s="67">
        <f t="shared" si="29"/>
        <v>1.3599999999999999E-2</v>
      </c>
      <c r="AA123" s="67">
        <f t="shared" si="30"/>
        <v>23.285799999999998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1"/>
        <v>0210-28</v>
      </c>
      <c r="AE123" s="91" t="str">
        <f t="shared" si="32"/>
        <v>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 &amp; aws s3 cp s3://rtdc.mdm.uploadarchive.raw/RTDC4026/ "%USERPROFILE%\AppData\Local\Temp\OnboardLogs"\RTDC4026\2016-11-29 --exclude "*" --recursive --include "*20161129*" &amp; "%USERPROFILE%\Documents\GitHub\mrs-test-scripts\Headless Mode &amp; Sideloading\WalkAndUnGZ.bat" "%USERPROFILE%\AppData\Local\Temp\OnboardLogs"\RTDC4026\2016-11-29</v>
      </c>
      <c r="AF123" s="88" t="str">
        <f t="shared" si="33"/>
        <v>"C:\Program Files (x86)\AstroGrep\AstroGrep.exe" /spath="%USERPROFILE%\AppData\Local\Temp\OnboardLogs" /stypes="app*4026*20161129*" /stext=" 01:.+((SYSTEM_STATE.+slice.+state.+changed )|(ment ac)|(multiple cpu faults)|(system.+state.+changed )|(\[timeout)|(PRM\|1\|D)|(kpr)|(kdp)|(\|lc)|(penalty))" /e /r /s</v>
      </c>
      <c r="AG123" s="1" t="str">
        <f t="shared" si="34"/>
        <v>EC</v>
      </c>
      <c r="AH123" s="92" t="str">
        <f t="shared" si="35"/>
        <v>"%USERPROFILE%\Documents\GitHub\eaglep3\Utilities\RefineRTDCRunTimes.py" --tripid 210-28 --locoid 4026 --swversion DE.1.0.8.0 --startMP 204:232994 --initTime 2016-11-28T18:02:57 --startdatetime 2016-11-28T18:11:25 --delay 1 --endMP 204:136 --enddatetime 2016-11-28T18:49:27 --enforcementcount 0 &gt;&gt;C:\Users\stu\Documents\GitHub\eaglep3-reporting\EC\2016-11-28-refined-times.txt</v>
      </c>
      <c r="AI123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{"issue":{"subject":"","project_id":79,"tracker_id":40,"status_id":1,"priority_id":2,"assigned_to_id":23,"start_date":"2016-11-28","description":"","custom_fields":[{"id":1,"name":"Subdivision","value":"EC"},{"id":4,"name":"Milepost","value":"0.0136"},{"id":17,"name":"Train ID","value":"210-28"},{"id":16,"name":"Locomotive ID","value":"4026"},{"id":130,"name":"Impact","value":""},{"id":150,"name":"Time of Event (Mountain Time)","value":"18:49:27"},{"id":151,"name":"Denver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570</v>
      </c>
      <c r="B124" s="7">
        <v>4014</v>
      </c>
      <c r="C124" s="22" t="s">
        <v>212</v>
      </c>
      <c r="D124" s="22" t="s">
        <v>629</v>
      </c>
      <c r="E124" s="13">
        <v>42702.725659722222</v>
      </c>
      <c r="F124" s="13">
        <v>42702.729525462964</v>
      </c>
      <c r="G124" s="7">
        <v>2</v>
      </c>
      <c r="H124" s="22" t="s">
        <v>262</v>
      </c>
      <c r="I124" s="13">
        <v>42702.756319444445</v>
      </c>
      <c r="J124" s="7">
        <v>0</v>
      </c>
      <c r="K124" s="109" t="str">
        <f t="shared" si="21"/>
        <v>4013/4014</v>
      </c>
      <c r="L124" s="22" t="str">
        <f>VLOOKUP(A124,'Trips&amp;Operators'!$C$1:$E$10000,3,FALSE)</f>
        <v>YOUNG</v>
      </c>
      <c r="M124" s="6">
        <f t="shared" si="22"/>
        <v>2.679398148029577E-2</v>
      </c>
      <c r="N124" s="7">
        <f t="shared" si="39"/>
        <v>38.583333331625909</v>
      </c>
      <c r="O124" s="7"/>
      <c r="P124" s="7"/>
      <c r="Q124" s="23"/>
      <c r="R124" s="23"/>
      <c r="S124" s="35">
        <f t="shared" si="40"/>
        <v>1</v>
      </c>
      <c r="T124" s="50" t="str">
        <f t="shared" si="24"/>
        <v>NorthBound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16:24:57-700',mode:absolute,to:'2016-11-28 19:09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4" s="52" t="str">
        <f t="shared" si="26"/>
        <v>N</v>
      </c>
      <c r="X124" s="177">
        <f t="shared" si="27"/>
        <v>1</v>
      </c>
      <c r="Y124" s="67">
        <f t="shared" si="28"/>
        <v>4.4400000000000002E-2</v>
      </c>
      <c r="Z124" s="67">
        <f t="shared" si="29"/>
        <v>23.3293</v>
      </c>
      <c r="AA124" s="67">
        <f t="shared" si="30"/>
        <v>23.2849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1"/>
        <v>0211-28</v>
      </c>
      <c r="AE124" s="91" t="str">
        <f t="shared" si="32"/>
        <v>aws s3 cp s3://rtdc.mdm.uploadarchive.raw/RTDC4014/ "%USERPROFILE%\AppData\Local\Temp\OnboardLogs"\RTDC4014\2016-11-28 --exclude "*" --recursive --include "*20161128*" &amp; "%USERPROFILE%\Documents\GitHub\mrs-test-scripts\Headless Mode &amp; Sideloading\WalkAndUnGZ.bat" "%USERPROFILE%\AppData\Local\Temp\OnboardLogs"\RTDC4014\2016-11-28 &amp; 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</v>
      </c>
      <c r="AF124" s="88" t="str">
        <f t="shared" si="33"/>
        <v>"C:\Program Files (x86)\AstroGrep\AstroGrep.exe" /spath="%USERPROFILE%\AppData\Local\Temp\OnboardLogs" /stypes="app*4014*20161129*" /stext=" 01:.+((SYSTEM_STATE.+slice.+state.+changed )|(ment ac)|(multiple cpu faults)|(system.+state.+changed )|(\[timeout)|(PRM\|1\|D)|(kpr)|(kdp)|(\|lc)|(penalty))" /e /r /s</v>
      </c>
      <c r="AG124" s="1" t="str">
        <f t="shared" si="34"/>
        <v>EC</v>
      </c>
      <c r="AH124" s="92" t="str">
        <f t="shared" si="35"/>
        <v>"%USERPROFILE%\Documents\GitHub\eaglep3\Utilities\RefineRTDCRunTimes.py" --tripid 211-28 --locoid 4014 --swversion DE.1.0.8.0 --startMP 204:444 --initTime 2016-11-28T17:24:57 --startdatetime 2016-11-28T17:30:31 --delay 2 --endMP 204:233293 --enddatetime 2016-11-28T18:09:06 --enforcementcount 0 &gt;&gt;C:\Users\stu\Documents\GitHub\eaglep3-reporting\EC\2016-11-28-refined-times.txt</v>
      </c>
      <c r="AI124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{"issue":{"subject":"","project_id":79,"tracker_id":40,"status_id":1,"priority_id":2,"assigned_to_id":23,"start_date":"2016-11-28","description":"","custom_fields":[{"id":1,"name":"Subdivision","value":"EC"},{"id":4,"name":"Milepost","value":"23.3293"},{"id":17,"name":"Train ID","value":"211-28"},{"id":16,"name":"Locomotive ID","value":"4014"},{"id":130,"name":"Impact","value":""},{"id":150,"name":"Time of Event (Mountain Time)","value":"18:09:06"},{"id":151,"name":"Denver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428</v>
      </c>
      <c r="B125" s="7">
        <v>4013</v>
      </c>
      <c r="C125" s="22" t="s">
        <v>212</v>
      </c>
      <c r="D125" s="22" t="s">
        <v>240</v>
      </c>
      <c r="E125" s="13">
        <v>42702.759120370371</v>
      </c>
      <c r="F125" s="13">
        <v>42702.768333333333</v>
      </c>
      <c r="G125" s="7">
        <v>1</v>
      </c>
      <c r="H125" s="22" t="s">
        <v>233</v>
      </c>
      <c r="I125" s="13">
        <v>42702.796493055554</v>
      </c>
      <c r="J125" s="7">
        <v>0</v>
      </c>
      <c r="K125" s="109" t="str">
        <f t="shared" si="21"/>
        <v>4013/4014</v>
      </c>
      <c r="L125" s="22" t="str">
        <f>VLOOKUP(A125,'Trips&amp;Operators'!$C$1:$E$10000,3,FALSE)</f>
        <v>YOUNG</v>
      </c>
      <c r="M125" s="6">
        <f t="shared" si="22"/>
        <v>2.8159722220152617E-2</v>
      </c>
      <c r="N125" s="7">
        <f t="shared" si="39"/>
        <v>40.549999997019768</v>
      </c>
      <c r="O125" s="7"/>
      <c r="P125" s="7"/>
      <c r="Q125" s="23"/>
      <c r="R125" s="23"/>
      <c r="S125" s="35">
        <f t="shared" si="40"/>
        <v>1</v>
      </c>
      <c r="T125" s="50" t="str">
        <f t="shared" si="24"/>
        <v>Southbound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17:13:08-700',mode:absolute,to:'2016-11-28 20:06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5" s="52" t="str">
        <f t="shared" si="26"/>
        <v>N</v>
      </c>
      <c r="X125" s="177">
        <f t="shared" si="27"/>
        <v>1</v>
      </c>
      <c r="Y125" s="67">
        <f t="shared" si="28"/>
        <v>23.297499999999999</v>
      </c>
      <c r="Z125" s="67">
        <f t="shared" si="29"/>
        <v>1.54E-2</v>
      </c>
      <c r="AA125" s="67">
        <f t="shared" si="30"/>
        <v>23.2821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1"/>
        <v>0212-28</v>
      </c>
      <c r="AE125" s="91" t="str">
        <f t="shared" si="32"/>
        <v>aws s3 cp s3://rtdc.mdm.uploadarchive.raw/RTDC4013/ "%USERPROFILE%\AppData\Local\Temp\OnboardLogs"\RTDC4013\2016-11-28 --exclude "*" --recursive --include "*20161128*" &amp; "%USERPROFILE%\Documents\GitHub\mrs-test-scripts\Headless Mode &amp; Sideloading\WalkAndUnGZ.bat" "%USERPROFILE%\AppData\Local\Temp\OnboardLogs"\RTDC4013\2016-11-28 &amp; 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</v>
      </c>
      <c r="AF125" s="88" t="str">
        <f t="shared" si="33"/>
        <v>"C:\Program Files (x86)\AstroGrep\AstroGrep.exe" /spath="%USERPROFILE%\AppData\Local\Temp\OnboardLogs" /stypes="app*4013*20161129*" /stext=" 02:.+((SYSTEM_STATE.+slice.+state.+changed )|(ment ac)|(multiple cpu faults)|(system.+state.+changed )|(\[timeout)|(PRM\|1\|D)|(kpr)|(kdp)|(\|lc)|(penalty))" /e /r /s</v>
      </c>
      <c r="AG125" s="1" t="str">
        <f t="shared" si="34"/>
        <v>EC</v>
      </c>
      <c r="AH125" s="92" t="str">
        <f t="shared" si="35"/>
        <v>"%USERPROFILE%\Documents\GitHub\eaglep3\Utilities\RefineRTDCRunTimes.py" --tripid 212-28 --locoid 4013 --swversion DE.1.0.8.0 --startMP 204:232975 --initTime 2016-11-28T18:13:08 --startdatetime 2016-11-28T18:26:24 --delay 1 --endMP 204:154 --enddatetime 2016-11-28T19:06:57 --enforcementcount 0 &gt;&gt;C:\Users\stu\Documents\GitHub\eaglep3-reporting\EC\2016-11-28-refined-times.txt</v>
      </c>
      <c r="AI125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{"issue":{"subject":"","project_id":79,"tracker_id":40,"status_id":1,"priority_id":2,"assigned_to_id":23,"start_date":"2016-11-28","description":"","custom_fields":[{"id":1,"name":"Subdivision","value":"EC"},{"id":4,"name":"Milepost","value":"0.0154"},{"id":17,"name":"Train ID","value":"212-28"},{"id":16,"name":"Locomotive ID","value":"4013"},{"id":130,"name":"Impact","value":""},{"id":150,"name":"Time of Event (Mountain Time)","value":"19:06:57"},{"id":151,"name":"Denver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x14ac:dyDescent="0.25">
      <c r="A126" s="37" t="s">
        <v>572</v>
      </c>
      <c r="B126" s="7">
        <v>4038</v>
      </c>
      <c r="C126" s="22" t="s">
        <v>212</v>
      </c>
      <c r="D126" s="22" t="s">
        <v>283</v>
      </c>
      <c r="E126" s="13">
        <v>42702.734166666669</v>
      </c>
      <c r="F126" s="13">
        <v>42702.739861111113</v>
      </c>
      <c r="G126" s="7">
        <v>2</v>
      </c>
      <c r="H126" s="22" t="s">
        <v>677</v>
      </c>
      <c r="I126" s="13">
        <v>42702.764108796298</v>
      </c>
      <c r="J126" s="7">
        <v>0</v>
      </c>
      <c r="K126" s="109" t="str">
        <f t="shared" si="21"/>
        <v>4037/4038</v>
      </c>
      <c r="L126" s="22" t="str">
        <f>VLOOKUP(A126,'Trips&amp;Operators'!$C$1:$E$10000,3,FALSE)</f>
        <v>NEWELL</v>
      </c>
      <c r="M126" s="6">
        <f t="shared" si="22"/>
        <v>2.4247685185400769E-2</v>
      </c>
      <c r="N126" s="7">
        <f t="shared" si="39"/>
        <v>34.916666666977108</v>
      </c>
      <c r="O126" s="7"/>
      <c r="P126" s="7"/>
      <c r="Q126" s="23"/>
      <c r="R126" s="23"/>
      <c r="S126" s="35">
        <f t="shared" si="40"/>
        <v>1</v>
      </c>
      <c r="T126" s="50" t="str">
        <f t="shared" si="24"/>
        <v>NorthBound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16:37:12-700',mode:absolute,to:'2016-11-28 19:20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6" s="52" t="str">
        <f t="shared" si="26"/>
        <v>N</v>
      </c>
      <c r="X126" s="177">
        <f t="shared" si="27"/>
        <v>1</v>
      </c>
      <c r="Y126" s="67">
        <f t="shared" si="28"/>
        <v>4.6699999999999998E-2</v>
      </c>
      <c r="Z126" s="67">
        <f t="shared" si="29"/>
        <v>23.328499999999998</v>
      </c>
      <c r="AA126" s="67">
        <f t="shared" si="30"/>
        <v>23.281799999999997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1"/>
        <v>0213-28</v>
      </c>
      <c r="AE126" s="91" t="str">
        <f t="shared" si="32"/>
        <v>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 &amp; aws s3 cp s3://rtdc.mdm.uploadarchive.raw/RTDC4038/ "%USERPROFILE%\AppData\Local\Temp\OnboardLogs"\RTDC4038\2016-11-29 --exclude "*" --recursive --include "*20161129*" &amp; "%USERPROFILE%\Documents\GitHub\mrs-test-scripts\Headless Mode &amp; Sideloading\WalkAndUnGZ.bat" "%USERPROFILE%\AppData\Local\Temp\OnboardLogs"\RTDC4038\2016-11-29</v>
      </c>
      <c r="AF126" s="88" t="str">
        <f t="shared" si="33"/>
        <v>"C:\Program Files (x86)\AstroGrep\AstroGrep.exe" /spath="%USERPROFILE%\AppData\Local\Temp\OnboardLogs" /stypes="app*4038*20161129*" /stext=" 01:.+((SYSTEM_STATE.+slice.+state.+changed )|(ment ac)|(multiple cpu faults)|(system.+state.+changed )|(\[timeout)|(PRM\|1\|D)|(kpr)|(kdp)|(\|lc)|(penalty))" /e /r /s</v>
      </c>
      <c r="AG126" s="1" t="str">
        <f t="shared" si="34"/>
        <v>EC</v>
      </c>
      <c r="AH126" s="92" t="str">
        <f t="shared" si="35"/>
        <v>"%USERPROFILE%\Documents\GitHub\eaglep3\Utilities\RefineRTDCRunTimes.py" --tripid 213-28 --locoid 4038 --swversion DE.1.0.8.0 --startMP 204:467 --initTime 2016-11-28T17:37:12 --startdatetime 2016-11-28T17:45:24 --delay 2 --endMP 204:233285 --enddatetime 2016-11-28T18:20:19 --enforcementcount 0 &gt;&gt;C:\Users\stu\Documents\GitHub\eaglep3-reporting\EC\2016-11-28-refined-times.txt</v>
      </c>
      <c r="AI126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{"issue":{"subject":"","project_id":79,"tracker_id":40,"status_id":1,"priority_id":2,"assigned_to_id":23,"start_date":"2016-11-28","description":"","custom_fields":[{"id":1,"name":"Subdivision","value":"EC"},{"id":4,"name":"Milepost","value":"23.3285"},{"id":17,"name":"Train ID","value":"213-28"},{"id":16,"name":"Locomotive ID","value":"4038"},{"id":130,"name":"Impact","value":""},{"id":150,"name":"Time of Event (Mountain Time)","value":"18:20:19"},{"id":151,"name":"Denver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</row>
    <row r="127" spans="1:91" s="21" customFormat="1" x14ac:dyDescent="0.25">
      <c r="A127" s="37" t="s">
        <v>582</v>
      </c>
      <c r="B127" s="7">
        <v>4037</v>
      </c>
      <c r="C127" s="22" t="s">
        <v>212</v>
      </c>
      <c r="D127" s="22" t="s">
        <v>250</v>
      </c>
      <c r="E127" s="13">
        <v>42702.768379629626</v>
      </c>
      <c r="F127" s="13">
        <v>42702.778668981482</v>
      </c>
      <c r="G127" s="7">
        <v>1</v>
      </c>
      <c r="H127" s="22" t="s">
        <v>233</v>
      </c>
      <c r="I127" s="13">
        <v>42702.804340277777</v>
      </c>
      <c r="J127" s="7">
        <v>0</v>
      </c>
      <c r="K127" s="109" t="str">
        <f t="shared" si="21"/>
        <v>4037/4038</v>
      </c>
      <c r="L127" s="22" t="str">
        <f>VLOOKUP(A127,'Trips&amp;Operators'!$C$1:$E$10000,3,FALSE)</f>
        <v>NEWELL</v>
      </c>
      <c r="M127" s="6">
        <f t="shared" si="22"/>
        <v>2.5671296294603962E-2</v>
      </c>
      <c r="N127" s="7">
        <f t="shared" si="39"/>
        <v>36.966666664229706</v>
      </c>
      <c r="O127" s="7"/>
      <c r="P127" s="7"/>
      <c r="Q127" s="23"/>
      <c r="R127" s="23"/>
      <c r="S127" s="35">
        <f t="shared" si="40"/>
        <v>1</v>
      </c>
      <c r="T127" s="50" t="str">
        <f t="shared" si="24"/>
        <v>Southbound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17:26:28-700',mode:absolute,to:'2016-11-28 20:18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7" s="52" t="str">
        <f t="shared" si="26"/>
        <v>N</v>
      </c>
      <c r="X127" s="177">
        <f t="shared" si="27"/>
        <v>1</v>
      </c>
      <c r="Y127" s="67">
        <f t="shared" si="28"/>
        <v>23.298300000000001</v>
      </c>
      <c r="Z127" s="67">
        <f t="shared" si="29"/>
        <v>1.54E-2</v>
      </c>
      <c r="AA127" s="67">
        <f t="shared" si="30"/>
        <v>23.282900000000001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31"/>
        <v>0214-28</v>
      </c>
      <c r="AE127" s="91" t="str">
        <f t="shared" si="32"/>
        <v>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 &amp; aws s3 cp s3://rtdc.mdm.uploadarchive.raw/RTDC4037/ "%USERPROFILE%\AppData\Local\Temp\OnboardLogs"\RTDC4037\2016-11-29 --exclude "*" --recursive --include "*20161129*" &amp; "%USERPROFILE%\Documents\GitHub\mrs-test-scripts\Headless Mode &amp; Sideloading\WalkAndUnGZ.bat" "%USERPROFILE%\AppData\Local\Temp\OnboardLogs"\RTDC4037\2016-11-29</v>
      </c>
      <c r="AF127" s="88" t="str">
        <f t="shared" si="33"/>
        <v>"C:\Program Files (x86)\AstroGrep\AstroGrep.exe" /spath="%USERPROFILE%\AppData\Local\Temp\OnboardLogs" /stypes="app*4037*20161129*" /stext=" 02:.+((SYSTEM_STATE.+slice.+state.+changed )|(ment ac)|(multiple cpu faults)|(system.+state.+changed )|(\[timeout)|(PRM\|1\|D)|(kpr)|(kdp)|(\|lc)|(penalty))" /e /r /s</v>
      </c>
      <c r="AG127" s="1" t="str">
        <f t="shared" si="34"/>
        <v>EC</v>
      </c>
      <c r="AH127" s="92" t="str">
        <f t="shared" si="35"/>
        <v>"%USERPROFILE%\Documents\GitHub\eaglep3\Utilities\RefineRTDCRunTimes.py" --tripid 214-28 --locoid 4037 --swversion DE.1.0.8.0 --startMP 204:232983 --initTime 2016-11-28T18:26:28 --startdatetime 2016-11-28T18:41:17 --delay 1 --endMP 204:154 --enddatetime 2016-11-28T19:18:15 --enforcementcount 0 &gt;&gt;C:\Users\stu\Documents\GitHub\eaglep3-reporting\EC\2016-11-28-refined-times.txt</v>
      </c>
      <c r="AI127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{"issue":{"subject":"","project_id":79,"tracker_id":40,"status_id":1,"priority_id":2,"assigned_to_id":23,"start_date":"2016-11-28","description":"","custom_fields":[{"id":1,"name":"Subdivision","value":"EC"},{"id":4,"name":"Milepost","value":"0.0154"},{"id":17,"name":"Train ID","value":"214-28"},{"id":16,"name":"Locomotive ID","value":"4037"},{"id":130,"name":"Impact","value":""},{"id":150,"name":"Time of Event (Mountain Time)","value":"19:18:15"},{"id":151,"name":"Denver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576</v>
      </c>
      <c r="B128" s="7">
        <v>4040</v>
      </c>
      <c r="C128" s="22" t="s">
        <v>212</v>
      </c>
      <c r="D128" s="22" t="s">
        <v>211</v>
      </c>
      <c r="E128" s="13">
        <v>42702.746504629627</v>
      </c>
      <c r="F128" s="13">
        <v>42702.750219907408</v>
      </c>
      <c r="G128" s="7">
        <v>2</v>
      </c>
      <c r="H128" s="22" t="s">
        <v>262</v>
      </c>
      <c r="I128" s="13">
        <v>42702.774236111109</v>
      </c>
      <c r="J128" s="7">
        <v>0</v>
      </c>
      <c r="K128" s="109" t="str">
        <f t="shared" si="21"/>
        <v>4039/4040</v>
      </c>
      <c r="L128" s="22" t="str">
        <f>VLOOKUP(A128,'Trips&amp;Operators'!$C$1:$E$10000,3,FALSE)</f>
        <v>ROMERO</v>
      </c>
      <c r="M128" s="6">
        <f t="shared" si="22"/>
        <v>2.4016203700739425E-2</v>
      </c>
      <c r="N128" s="7">
        <f t="shared" si="39"/>
        <v>34.583333329064772</v>
      </c>
      <c r="O128" s="7"/>
      <c r="P128" s="7"/>
      <c r="Q128" s="23"/>
      <c r="R128" s="23"/>
      <c r="S128" s="35">
        <f t="shared" si="40"/>
        <v>1</v>
      </c>
      <c r="T128" s="50" t="str">
        <f t="shared" si="24"/>
        <v>NorthBound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16:54:58-700',mode:absolute,to:'2016-11-28 19:34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8" s="52" t="str">
        <f t="shared" si="26"/>
        <v>N</v>
      </c>
      <c r="X128" s="177">
        <f t="shared" si="27"/>
        <v>1</v>
      </c>
      <c r="Y128" s="67">
        <f t="shared" si="28"/>
        <v>4.6399999999999997E-2</v>
      </c>
      <c r="Z128" s="67">
        <f t="shared" si="29"/>
        <v>23.3293</v>
      </c>
      <c r="AA128" s="67">
        <f t="shared" si="30"/>
        <v>23.282900000000001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1"/>
        <v>0215-28</v>
      </c>
      <c r="AE128" s="91" t="str">
        <f t="shared" si="32"/>
        <v>aws s3 cp s3://rtdc.mdm.uploadarchive.raw/RTDC4040/ "%USERPROFILE%\AppData\Local\Temp\OnboardLogs"\RTDC4040\2016-11-28 --exclude "*" --recursive --include "*20161128*" &amp; "%USERPROFILE%\Documents\GitHub\mrs-test-scripts\Headless Mode &amp; Sideloading\WalkAndUnGZ.bat" "%USERPROFILE%\AppData\Local\Temp\OnboardLogs"\RTDC4040\2016-11-28 &amp; 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</v>
      </c>
      <c r="AF128" s="88" t="str">
        <f t="shared" si="33"/>
        <v>"C:\Program Files (x86)\AstroGrep\AstroGrep.exe" /spath="%USERPROFILE%\AppData\Local\Temp\OnboardLogs" /stypes="app*4040*20161129*" /stext=" 01:.+((SYSTEM_STATE.+slice.+state.+changed )|(ment ac)|(multiple cpu faults)|(system.+state.+changed )|(\[timeout)|(PRM\|1\|D)|(kpr)|(kdp)|(\|lc)|(penalty))" /e /r /s</v>
      </c>
      <c r="AG128" s="1" t="str">
        <f t="shared" si="34"/>
        <v>EC</v>
      </c>
      <c r="AH128" s="92" t="str">
        <f t="shared" si="35"/>
        <v>"%USERPROFILE%\Documents\GitHub\eaglep3\Utilities\RefineRTDCRunTimes.py" --tripid 215-28 --locoid 4040 --swversion DE.1.0.8.0 --startMP 204:464 --initTime 2016-11-28T17:54:58 --startdatetime 2016-11-28T18:00:19 --delay 2 --endMP 204:233293 --enddatetime 2016-11-28T18:34:54 --enforcementcount 0 &gt;&gt;C:\Users\stu\Documents\GitHub\eaglep3-reporting\EC\2016-11-28-refined-times.txt</v>
      </c>
      <c r="AI128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{"issue":{"subject":"","project_id":79,"tracker_id":40,"status_id":1,"priority_id":2,"assigned_to_id":23,"start_date":"2016-11-28","description":"","custom_fields":[{"id":1,"name":"Subdivision","value":"EC"},{"id":4,"name":"Milepost","value":"23.3293"},{"id":17,"name":"Train ID","value":"215-28"},{"id":16,"name":"Locomotive ID","value":"4040"},{"id":130,"name":"Impact","value":""},{"id":150,"name":"Time of Event (Mountain Time)","value":"18:34:54"},{"id":151,"name":"Denver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585</v>
      </c>
      <c r="B129" s="7">
        <v>4039</v>
      </c>
      <c r="C129" s="22" t="s">
        <v>212</v>
      </c>
      <c r="D129" s="22" t="s">
        <v>278</v>
      </c>
      <c r="E129" s="13">
        <v>42702.779143518521</v>
      </c>
      <c r="F129" s="13">
        <v>42702.789143518516</v>
      </c>
      <c r="G129" s="7">
        <v>2</v>
      </c>
      <c r="H129" s="22" t="s">
        <v>636</v>
      </c>
      <c r="I129" s="13">
        <v>42702.814675925925</v>
      </c>
      <c r="J129" s="7">
        <v>0</v>
      </c>
      <c r="K129" s="109" t="str">
        <f t="shared" si="21"/>
        <v>4039/4040</v>
      </c>
      <c r="L129" s="22" t="str">
        <f>VLOOKUP(A129,'Trips&amp;Operators'!$C$1:$E$10000,3,FALSE)</f>
        <v>ROMERO</v>
      </c>
      <c r="M129" s="6">
        <f t="shared" si="22"/>
        <v>2.5532407409627922E-2</v>
      </c>
      <c r="N129" s="7">
        <f t="shared" si="39"/>
        <v>36.766666669864208</v>
      </c>
      <c r="O129" s="7"/>
      <c r="P129" s="7"/>
      <c r="Q129" s="23"/>
      <c r="R129" s="23"/>
      <c r="S129" s="35">
        <f t="shared" si="40"/>
        <v>1</v>
      </c>
      <c r="T129" s="50" t="str">
        <f t="shared" si="24"/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17:41:58-700',mode:absolute,to:'2016-11-28 20:33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9" s="52" t="str">
        <f t="shared" si="26"/>
        <v>N</v>
      </c>
      <c r="X129" s="177">
        <f t="shared" si="27"/>
        <v>1</v>
      </c>
      <c r="Y129" s="67">
        <f t="shared" si="28"/>
        <v>23.298400000000001</v>
      </c>
      <c r="Z129" s="67">
        <f t="shared" si="29"/>
        <v>1.52E-2</v>
      </c>
      <c r="AA129" s="67">
        <f t="shared" si="30"/>
        <v>23.283200000000001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31"/>
        <v>0216-28</v>
      </c>
      <c r="AE129" s="91" t="str">
        <f t="shared" si="32"/>
        <v>aws s3 cp s3://rtdc.mdm.uploadarchive.raw/RTDC4039/ "%USERPROFILE%\AppData\Local\Temp\OnboardLogs"\RTDC4039\2016-11-28 --exclude "*" --recursive --include "*20161128*" &amp; "%USERPROFILE%\Documents\GitHub\mrs-test-scripts\Headless Mode &amp; Sideloading\WalkAndUnGZ.bat" "%USERPROFILE%\AppData\Local\Temp\OnboardLogs"\RTDC4039\2016-11-28 &amp; 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</v>
      </c>
      <c r="AF129" s="88" t="str">
        <f t="shared" si="33"/>
        <v>"C:\Program Files (x86)\AstroGrep\AstroGrep.exe" /spath="%USERPROFILE%\AppData\Local\Temp\OnboardLogs" /stypes="app*4039*20161129*" /stext=" 02:.+((SYSTEM_STATE.+slice.+state.+changed )|(ment ac)|(multiple cpu faults)|(system.+state.+changed )|(\[timeout)|(PRM\|1\|D)|(kpr)|(kdp)|(\|lc)|(penalty))" /e /r /s</v>
      </c>
      <c r="AG129" s="1" t="str">
        <f t="shared" si="34"/>
        <v>EC</v>
      </c>
      <c r="AH129" s="92" t="str">
        <f t="shared" si="35"/>
        <v>"%USERPROFILE%\Documents\GitHub\eaglep3\Utilities\RefineRTDCRunTimes.py" --tripid 216-28 --locoid 4039 --swversion DE.1.0.8.0 --startMP 204:232984 --initTime 2016-11-28T18:41:58 --startdatetime 2016-11-28T18:56:22 --delay 2 --endMP 204:152 --enddatetime 2016-11-28T19:33:08 --enforcementcount 0 &gt;&gt;C:\Users\stu\Documents\GitHub\eaglep3-reporting\EC\2016-11-28-refined-times.txt</v>
      </c>
      <c r="AI129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{"issue":{"subject":"","project_id":79,"tracker_id":40,"status_id":1,"priority_id":2,"assigned_to_id":23,"start_date":"2016-11-28","description":"","custom_fields":[{"id":1,"name":"Subdivision","value":"EC"},{"id":4,"name":"Milepost","value":"0.0152"},{"id":17,"name":"Train ID","value":"216-28"},{"id":16,"name":"Locomotive ID","value":"4039"},{"id":130,"name":"Impact","value":""},{"id":150,"name":"Time of Event (Mountain Time)","value":"19:33:08"},{"id":151,"name":"Denver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580</v>
      </c>
      <c r="B130" s="7">
        <v>4002</v>
      </c>
      <c r="C130" s="22" t="s">
        <v>212</v>
      </c>
      <c r="D130" s="22" t="s">
        <v>667</v>
      </c>
      <c r="E130" s="13">
        <v>42702.756689814814</v>
      </c>
      <c r="F130" s="13">
        <v>42702.760567129626</v>
      </c>
      <c r="G130" s="7">
        <v>1</v>
      </c>
      <c r="H130" s="22" t="s">
        <v>262</v>
      </c>
      <c r="I130" s="13">
        <v>42702.784942129627</v>
      </c>
      <c r="J130" s="7">
        <v>0</v>
      </c>
      <c r="K130" s="109" t="str">
        <f t="shared" si="21"/>
        <v>4001/4002</v>
      </c>
      <c r="L130" s="22" t="str">
        <f>VLOOKUP(A130,'Trips&amp;Operators'!$C$1:$E$10000,3,FALSE)</f>
        <v>YANAI</v>
      </c>
      <c r="M130" s="6">
        <f t="shared" si="22"/>
        <v>2.4375000000873115E-2</v>
      </c>
      <c r="N130" s="7">
        <f t="shared" si="39"/>
        <v>35.100000001257285</v>
      </c>
      <c r="O130" s="7"/>
      <c r="P130" s="7"/>
      <c r="Q130" s="23"/>
      <c r="R130" s="23"/>
      <c r="S130" s="35">
        <f t="shared" si="40"/>
        <v>1</v>
      </c>
      <c r="T130" s="50" t="str">
        <f t="shared" si="24"/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17:09:38-700',mode:absolute,to:'2016-11-28 19:50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0" s="52" t="str">
        <f t="shared" si="26"/>
        <v>N</v>
      </c>
      <c r="X130" s="177">
        <f t="shared" si="27"/>
        <v>1</v>
      </c>
      <c r="Y130" s="67">
        <f t="shared" si="28"/>
        <v>4.8399999999999999E-2</v>
      </c>
      <c r="Z130" s="67">
        <f t="shared" si="29"/>
        <v>23.3293</v>
      </c>
      <c r="AA130" s="67">
        <f t="shared" si="30"/>
        <v>23.280899999999999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1"/>
        <v>0217-28</v>
      </c>
      <c r="AE130" s="91" t="str">
        <f t="shared" si="32"/>
        <v>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 &amp; aws s3 cp s3://rtdc.mdm.uploadarchive.raw/RTDC4002/ "%USERPROFILE%\AppData\Local\Temp\OnboardLogs"\RTDC4002\2016-11-29 --exclude "*" --recursive --include "*20161129*" &amp; "%USERPROFILE%\Documents\GitHub\mrs-test-scripts\Headless Mode &amp; Sideloading\WalkAndUnGZ.bat" "%USERPROFILE%\AppData\Local\Temp\OnboardLogs"\RTDC4002\2016-11-29</v>
      </c>
      <c r="AF130" s="88" t="str">
        <f t="shared" si="33"/>
        <v>"C:\Program Files (x86)\AstroGrep\AstroGrep.exe" /spath="%USERPROFILE%\AppData\Local\Temp\OnboardLogs" /stypes="app*4002*20161129*" /stext=" 01:.+((SYSTEM_STATE.+slice.+state.+changed )|(ment ac)|(multiple cpu faults)|(system.+state.+changed )|(\[timeout)|(PRM\|1\|D)|(kpr)|(kdp)|(\|lc)|(penalty))" /e /r /s</v>
      </c>
      <c r="AG130" s="1" t="str">
        <f t="shared" si="34"/>
        <v>EC</v>
      </c>
      <c r="AH130" s="92" t="str">
        <f t="shared" si="35"/>
        <v>"%USERPROFILE%\Documents\GitHub\eaglep3\Utilities\RefineRTDCRunTimes.py" --tripid 217-28 --locoid 4002 --swversion DE.1.0.8.0 --startMP 204:484 --initTime 2016-11-28T18:09:38 --startdatetime 2016-11-28T18:15:13 --delay 1 --endMP 204:233293 --enddatetime 2016-11-28T18:50:19 --enforcementcount 0 &gt;&gt;C:\Users\stu\Documents\GitHub\eaglep3-reporting\EC\2016-11-28-refined-times.txt</v>
      </c>
      <c r="AI130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{"issue":{"subject":"","project_id":79,"tracker_id":40,"status_id":1,"priority_id":2,"assigned_to_id":23,"start_date":"2016-11-28","description":"","custom_fields":[{"id":1,"name":"Subdivision","value":"EC"},{"id":4,"name":"Milepost","value":"23.3293"},{"id":17,"name":"Train ID","value":"217-28"},{"id":16,"name":"Locomotive ID","value":"4002"},{"id":130,"name":"Impact","value":""},{"id":150,"name":"Time of Event (Mountain Time)","value":"18:50:19"},{"id":151,"name":"Denver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589</v>
      </c>
      <c r="B131" s="7">
        <v>4001</v>
      </c>
      <c r="C131" s="22" t="s">
        <v>212</v>
      </c>
      <c r="D131" s="22" t="s">
        <v>281</v>
      </c>
      <c r="E131" s="13">
        <v>42702.788506944446</v>
      </c>
      <c r="F131" s="13">
        <v>42702.799537037034</v>
      </c>
      <c r="G131" s="7">
        <v>1</v>
      </c>
      <c r="H131" s="22" t="s">
        <v>236</v>
      </c>
      <c r="I131" s="13">
        <v>42702.825057870374</v>
      </c>
      <c r="J131" s="7">
        <v>0</v>
      </c>
      <c r="K131" s="109" t="str">
        <f t="shared" si="21"/>
        <v>4001/4002</v>
      </c>
      <c r="L131" s="22" t="str">
        <f>VLOOKUP(A131,'Trips&amp;Operators'!$C$1:$E$10000,3,FALSE)</f>
        <v>YANAI</v>
      </c>
      <c r="M131" s="6">
        <f t="shared" si="22"/>
        <v>2.5520833340124227E-2</v>
      </c>
      <c r="N131" s="7">
        <f t="shared" si="39"/>
        <v>36.750000009778887</v>
      </c>
      <c r="O131" s="7"/>
      <c r="P131" s="7"/>
      <c r="Q131" s="23"/>
      <c r="R131" s="23"/>
      <c r="S131" s="35">
        <f t="shared" si="40"/>
        <v>1</v>
      </c>
      <c r="T131" s="50" t="str">
        <f t="shared" si="24"/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17:55:27-700',mode:absolute,to:'2016-11-28 20:48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1" s="52" t="str">
        <f t="shared" si="26"/>
        <v>N</v>
      </c>
      <c r="X131" s="177">
        <f t="shared" si="27"/>
        <v>1</v>
      </c>
      <c r="Y131" s="67">
        <f t="shared" si="28"/>
        <v>23.299600000000002</v>
      </c>
      <c r="Z131" s="67">
        <f t="shared" si="29"/>
        <v>1.41E-2</v>
      </c>
      <c r="AA131" s="67">
        <f t="shared" si="30"/>
        <v>23.285500000000003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1"/>
        <v>0218-28</v>
      </c>
      <c r="AE131" s="91" t="str">
        <f t="shared" si="32"/>
        <v>aws s3 cp s3://rtdc.mdm.uploadarchive.raw/RTDC4001/ "%USERPROFILE%\AppData\Local\Temp\OnboardLogs"\RTDC4001\2016-11-28 --exclude "*" --recursive --include "*20161128*" &amp; "%USERPROFILE%\Documents\GitHub\mrs-test-scripts\Headless Mode &amp; Sideloading\WalkAndUnGZ.bat" "%USERPROFILE%\AppData\Local\Temp\OnboardLogs"\RTDC4001\2016-11-28 &amp; aws s3 cp s3://rtdc.mdm.uploadarchive.raw/RTDC4001/ "%USERPROFILE%\AppData\Local\Temp\OnboardLogs"\RTDC4001\2016-11-29 --exclude "*" --recursive --include "*20161129*" &amp; "%USERPROFILE%\Documents\GitHub\mrs-test-scripts\Headless Mode &amp; Sideloading\WalkAndUnGZ.bat" "%USERPROFILE%\AppData\Local\Temp\OnboardLogs"\RTDC4001\2016-11-29</v>
      </c>
      <c r="AF131" s="88" t="str">
        <f t="shared" si="33"/>
        <v>"C:\Program Files (x86)\AstroGrep\AstroGrep.exe" /spath="%USERPROFILE%\AppData\Local\Temp\OnboardLogs" /stypes="app*4001*20161129*" /stext=" 02:.+((SYSTEM_STATE.+slice.+state.+changed )|(ment ac)|(multiple cpu faults)|(system.+state.+changed )|(\[timeout)|(PRM\|1\|D)|(kpr)|(kdp)|(\|lc)|(penalty))" /e /r /s</v>
      </c>
      <c r="AG131" s="1" t="str">
        <f t="shared" si="34"/>
        <v>EC</v>
      </c>
      <c r="AH131" s="92" t="str">
        <f t="shared" si="35"/>
        <v>"%USERPROFILE%\Documents\GitHub\eaglep3\Utilities\RefineRTDCRunTimes.py" --tripid 218-28 --locoid 4001 --swversion DE.1.0.8.0 --startMP 204:232996 --initTime 2016-11-28T18:55:27 --startdatetime 2016-11-28T19:11:20 --delay 1 --endMP 204:141 --enddatetime 2016-11-28T19:48:05 --enforcementcount 0 &gt;&gt;C:\Users\stu\Documents\GitHub\eaglep3-reporting\EC\2016-11-28-refined-times.txt</v>
      </c>
      <c r="AI131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{"issue":{"subject":"","project_id":79,"tracker_id":40,"status_id":1,"priority_id":2,"assigned_to_id":23,"start_date":"2016-11-28","description":"","custom_fields":[{"id":1,"name":"Subdivision","value":"EC"},{"id":4,"name":"Milepost","value":"0.0141"},{"id":17,"name":"Train ID","value":"218-28"},{"id":16,"name":"Locomotive ID","value":"4001"},{"id":130,"name":"Impact","value":""},{"id":150,"name":"Time of Event (Mountain Time)","value":"19:48:05"},{"id":151,"name":"Denver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578</v>
      </c>
      <c r="B132" s="7">
        <v>4042</v>
      </c>
      <c r="C132" s="22" t="s">
        <v>212</v>
      </c>
      <c r="D132" s="22" t="s">
        <v>211</v>
      </c>
      <c r="E132" s="13">
        <v>42702.768993055557</v>
      </c>
      <c r="F132" s="13">
        <v>42702.771192129629</v>
      </c>
      <c r="G132" s="7">
        <v>1</v>
      </c>
      <c r="H132" s="22" t="s">
        <v>270</v>
      </c>
      <c r="I132" s="13">
        <v>42702.796296296299</v>
      </c>
      <c r="J132" s="7">
        <v>0</v>
      </c>
      <c r="K132" s="109" t="str">
        <f t="shared" si="21"/>
        <v>4041/4042</v>
      </c>
      <c r="L132" s="22" t="str">
        <f>VLOOKUP(A132,'Trips&amp;Operators'!$C$1:$E$10000,3,FALSE)</f>
        <v>YANAI</v>
      </c>
      <c r="M132" s="6">
        <f t="shared" si="22"/>
        <v>2.510416667064419E-2</v>
      </c>
      <c r="N132" s="7">
        <f t="shared" si="39"/>
        <v>36.150000005727634</v>
      </c>
      <c r="O132" s="7"/>
      <c r="P132" s="7"/>
      <c r="Q132" s="23"/>
      <c r="R132" s="23"/>
      <c r="S132" s="35">
        <f t="shared" si="40"/>
        <v>1</v>
      </c>
      <c r="T132" s="50" t="str">
        <f t="shared" si="24"/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17:27:21-700',mode:absolute,to:'2016-11-28 20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2" s="52" t="str">
        <f t="shared" si="26"/>
        <v>N</v>
      </c>
      <c r="X132" s="177">
        <f t="shared" si="27"/>
        <v>1</v>
      </c>
      <c r="Y132" s="67">
        <f t="shared" si="28"/>
        <v>4.6399999999999997E-2</v>
      </c>
      <c r="Z132" s="67">
        <f t="shared" si="29"/>
        <v>23.3307</v>
      </c>
      <c r="AA132" s="67">
        <f t="shared" si="30"/>
        <v>23.284300000000002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1"/>
        <v>0219-28</v>
      </c>
      <c r="AE132" s="91" t="str">
        <f t="shared" si="32"/>
        <v>aws s3 cp s3://rtdc.mdm.uploadarchive.raw/RTDC4042/ "%USERPROFILE%\AppData\Local\Temp\OnboardLogs"\RTDC4042\2016-11-28 --exclude "*" --recursive --include "*20161128*" &amp; "%USERPROFILE%\Documents\GitHub\mrs-test-scripts\Headless Mode &amp; Sideloading\WalkAndUnGZ.bat" "%USERPROFILE%\AppData\Local\Temp\OnboardLogs"\RTDC4042\2016-11-28 &amp; aws s3 cp s3://rtdc.mdm.uploadarchive.raw/RTDC4042/ "%USERPROFILE%\AppData\Local\Temp\OnboardLogs"\RTDC4042\2016-11-29 --exclude "*" --recursive --include "*20161129*" &amp; "%USERPROFILE%\Documents\GitHub\mrs-test-scripts\Headless Mode &amp; Sideloading\WalkAndUnGZ.bat" "%USERPROFILE%\AppData\Local\Temp\OnboardLogs"\RTDC4042\2016-11-29</v>
      </c>
      <c r="AF132" s="88" t="str">
        <f t="shared" si="33"/>
        <v>"C:\Program Files (x86)\AstroGrep\AstroGrep.exe" /spath="%USERPROFILE%\AppData\Local\Temp\OnboardLogs" /stypes="app*4042*20161129*" /stext=" 02:.+((SYSTEM_STATE.+slice.+state.+changed )|(ment ac)|(multiple cpu faults)|(system.+state.+changed )|(\[timeout)|(PRM\|1\|D)|(kpr)|(kdp)|(\|lc)|(penalty))" /e /r /s</v>
      </c>
      <c r="AG132" s="1" t="str">
        <f t="shared" si="34"/>
        <v>EC</v>
      </c>
      <c r="AH132" s="92" t="str">
        <f t="shared" si="35"/>
        <v>"%USERPROFILE%\Documents\GitHub\eaglep3\Utilities\RefineRTDCRunTimes.py" --tripid 219-28 --locoid 4042 --swversion DE.1.0.8.0 --startMP 204:464 --initTime 2016-11-28T18:27:21 --startdatetime 2016-11-28T18:30:31 --delay 1 --endMP 204:233307 --enddatetime 2016-11-28T19:06:40 --enforcementcount 0 &gt;&gt;C:\Users\stu\Documents\GitHub\eaglep3-reporting\EC\2016-11-28-refined-times.txt</v>
      </c>
      <c r="AI132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{"issue":{"subject":"","project_id":79,"tracker_id":40,"status_id":1,"priority_id":2,"assigned_to_id":23,"start_date":"2016-11-28","description":"","custom_fields":[{"id":1,"name":"Subdivision","value":"EC"},{"id":4,"name":"Milepost","value":"23.3307"},{"id":17,"name":"Train ID","value":"219-28"},{"id":16,"name":"Locomotive ID","value":"4042"},{"id":130,"name":"Impact","value":""},{"id":150,"name":"Time of Event (Mountain Time)","value":"19:06:40"},{"id":151,"name":"Denver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592</v>
      </c>
      <c r="B133" s="7">
        <v>4041</v>
      </c>
      <c r="C133" s="22" t="s">
        <v>212</v>
      </c>
      <c r="D133" s="22" t="s">
        <v>666</v>
      </c>
      <c r="E133" s="13">
        <v>42702.808078703703</v>
      </c>
      <c r="F133" s="13">
        <v>42702.810162037036</v>
      </c>
      <c r="G133" s="7">
        <v>1</v>
      </c>
      <c r="H133" s="22" t="s">
        <v>214</v>
      </c>
      <c r="I133" s="13">
        <v>42702.836956018517</v>
      </c>
      <c r="J133" s="7">
        <v>0</v>
      </c>
      <c r="K133" s="109" t="str">
        <f t="shared" si="21"/>
        <v>4041/4042</v>
      </c>
      <c r="L133" s="22" t="str">
        <f>VLOOKUP(A133,'Trips&amp;Operators'!$C$1:$E$10000,3,FALSE)</f>
        <v>CHANDLER</v>
      </c>
      <c r="M133" s="6">
        <f t="shared" si="22"/>
        <v>2.679398148029577E-2</v>
      </c>
      <c r="N133" s="7">
        <f t="shared" si="39"/>
        <v>38.583333331625909</v>
      </c>
      <c r="O133" s="7"/>
      <c r="P133" s="7"/>
      <c r="Q133" s="23"/>
      <c r="R133" s="23"/>
      <c r="S133" s="35">
        <f t="shared" si="40"/>
        <v>1</v>
      </c>
      <c r="T133" s="50" t="str">
        <f t="shared" si="24"/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18:23:38-700',mode:absolute,to:'2016-11-28 21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3" s="52" t="str">
        <f t="shared" si="26"/>
        <v>N</v>
      </c>
      <c r="X133" s="177">
        <f t="shared" si="27"/>
        <v>1</v>
      </c>
      <c r="Y133" s="67">
        <f t="shared" si="28"/>
        <v>23.297799999999999</v>
      </c>
      <c r="Z133" s="67">
        <f t="shared" si="29"/>
        <v>1.5800000000000002E-2</v>
      </c>
      <c r="AA133" s="67">
        <f t="shared" si="30"/>
        <v>23.282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1"/>
        <v>0220-28</v>
      </c>
      <c r="AE133" s="91" t="str">
        <f t="shared" si="32"/>
        <v>aws s3 cp s3://rtdc.mdm.uploadarchive.raw/RTDC4041/ "%USERPROFILE%\AppData\Local\Temp\OnboardLogs"\RTDC4041\2016-11-28 --exclude "*" --recursive --include "*20161128*" &amp; "%USERPROFILE%\Documents\GitHub\mrs-test-scripts\Headless Mode &amp; Sideloading\WalkAndUnGZ.bat" "%USERPROFILE%\AppData\Local\Temp\OnboardLogs"\RTDC4041\2016-11-28 &amp; 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</v>
      </c>
      <c r="AF133" s="88" t="str">
        <f t="shared" si="33"/>
        <v>"C:\Program Files (x86)\AstroGrep\AstroGrep.exe" /spath="%USERPROFILE%\AppData\Local\Temp\OnboardLogs" /stypes="app*4041*20161129*" /stext=" 03:.+((SYSTEM_STATE.+slice.+state.+changed )|(ment ac)|(multiple cpu faults)|(system.+state.+changed )|(\[timeout)|(PRM\|1\|D)|(kpr)|(kdp)|(\|lc)|(penalty))" /e /r /s</v>
      </c>
      <c r="AG133" s="1" t="str">
        <f t="shared" si="34"/>
        <v>EC</v>
      </c>
      <c r="AH133" s="92" t="str">
        <f t="shared" si="35"/>
        <v>"%USERPROFILE%\Documents\GitHub\eaglep3\Utilities\RefineRTDCRunTimes.py" --tripid 220-28 --locoid 4041 --swversion DE.1.0.8.0 --startMP 204:232978 --initTime 2016-11-28T19:23:38 --startdatetime 2016-11-28T19:26:38 --delay 1 --endMP 204:158 --enddatetime 2016-11-28T20:05:13 --enforcementcount 0 &gt;&gt;C:\Users\stu\Documents\GitHub\eaglep3-reporting\EC\2016-11-28-refined-times.txt</v>
      </c>
      <c r="AI133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{"issue":{"subject":"","project_id":79,"tracker_id":40,"status_id":1,"priority_id":2,"assigned_to_id":23,"start_date":"2016-11-28","description":"","custom_fields":[{"id":1,"name":"Subdivision","value":"EC"},{"id":4,"name":"Milepost","value":"0.0158"},{"id":17,"name":"Train ID","value":"220-28"},{"id":16,"name":"Locomotive ID","value":"4041"},{"id":130,"name":"Impact","value":""},{"id":150,"name":"Time of Event (Mountain Time)","value":"20:05:13"},{"id":151,"name":"Denver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588</v>
      </c>
      <c r="B134" s="7">
        <v>4025</v>
      </c>
      <c r="C134" s="22" t="s">
        <v>212</v>
      </c>
      <c r="D134" s="22" t="s">
        <v>211</v>
      </c>
      <c r="E134" s="13">
        <v>42702.786527777775</v>
      </c>
      <c r="F134" s="13">
        <v>42702.791863425926</v>
      </c>
      <c r="G134" s="7">
        <v>1</v>
      </c>
      <c r="H134" s="22" t="s">
        <v>356</v>
      </c>
      <c r="I134" s="13">
        <v>42702.816782407404</v>
      </c>
      <c r="J134" s="7">
        <v>0</v>
      </c>
      <c r="K134" s="109" t="str">
        <f t="shared" si="21"/>
        <v>4025/4026</v>
      </c>
      <c r="L134" s="22" t="str">
        <f>VLOOKUP(A134,'Trips&amp;Operators'!$C$1:$E$10000,3,FALSE)</f>
        <v>LEVERE</v>
      </c>
      <c r="M134" s="6">
        <f t="shared" si="22"/>
        <v>2.491898147854954E-2</v>
      </c>
      <c r="N134" s="7">
        <f t="shared" si="39"/>
        <v>35.883333329111338</v>
      </c>
      <c r="O134" s="7"/>
      <c r="P134" s="7"/>
      <c r="Q134" s="23"/>
      <c r="R134" s="23"/>
      <c r="S134" s="35">
        <f t="shared" si="40"/>
        <v>1</v>
      </c>
      <c r="T134" s="50" t="str">
        <f t="shared" si="24"/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17:52:36-700',mode:absolute,to:'2016-11-28 20:36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4" s="52" t="str">
        <f t="shared" si="26"/>
        <v>N</v>
      </c>
      <c r="X134" s="177">
        <f t="shared" si="27"/>
        <v>1</v>
      </c>
      <c r="Y134" s="67">
        <f t="shared" si="28"/>
        <v>4.6399999999999997E-2</v>
      </c>
      <c r="Z134" s="67">
        <f t="shared" si="29"/>
        <v>23.330400000000001</v>
      </c>
      <c r="AA134" s="67">
        <f t="shared" si="30"/>
        <v>23.284000000000002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1"/>
        <v>0221-28</v>
      </c>
      <c r="AE134" s="91" t="str">
        <f t="shared" si="32"/>
        <v>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 &amp; aws s3 cp s3://rtdc.mdm.uploadarchive.raw/RTDC4025/ "%USERPROFILE%\AppData\Local\Temp\OnboardLogs"\RTDC4025\2016-11-29 --exclude "*" --recursive --include "*20161129*" &amp; "%USERPROFILE%\Documents\GitHub\mrs-test-scripts\Headless Mode &amp; Sideloading\WalkAndUnGZ.bat" "%USERPROFILE%\AppData\Local\Temp\OnboardLogs"\RTDC4025\2016-11-29</v>
      </c>
      <c r="AF134" s="88" t="str">
        <f t="shared" si="33"/>
        <v>"C:\Program Files (x86)\AstroGrep\AstroGrep.exe" /spath="%USERPROFILE%\AppData\Local\Temp\OnboardLogs" /stypes="app*4025*20161129*" /stext=" 02:.+((SYSTEM_STATE.+slice.+state.+changed )|(ment ac)|(multiple cpu faults)|(system.+state.+changed )|(\[timeout)|(PRM\|1\|D)|(kpr)|(kdp)|(\|lc)|(penalty))" /e /r /s</v>
      </c>
      <c r="AG134" s="1" t="str">
        <f t="shared" si="34"/>
        <v>EC</v>
      </c>
      <c r="AH134" s="92" t="str">
        <f t="shared" si="35"/>
        <v>"%USERPROFILE%\Documents\GitHub\eaglep3\Utilities\RefineRTDCRunTimes.py" --tripid 221-28 --locoid 4025 --swversion DE.1.0.8.0 --startMP 204:464 --initTime 2016-11-28T18:52:36 --startdatetime 2016-11-28T19:00:17 --delay 1 --endMP 204:233304 --enddatetime 2016-11-28T19:36:10 --enforcementcount 0 &gt;&gt;C:\Users\stu\Documents\GitHub\eaglep3-reporting\EC\2016-11-28-refined-times.txt</v>
      </c>
      <c r="AI134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{"issue":{"subject":"","project_id":79,"tracker_id":40,"status_id":1,"priority_id":2,"assigned_to_id":23,"start_date":"2016-11-28","description":"","custom_fields":[{"id":1,"name":"Subdivision","value":"EC"},{"id":4,"name":"Milepost","value":"23.3304"},{"id":17,"name":"Train ID","value":"221-28"},{"id":16,"name":"Locomotive ID","value":"4025"},{"id":130,"name":"Impact","value":""},{"id":150,"name":"Time of Event (Mountain Time)","value":"19:36:10"},{"id":151,"name":"Denver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430</v>
      </c>
      <c r="B135" s="7">
        <v>4026</v>
      </c>
      <c r="C135" s="22" t="s">
        <v>212</v>
      </c>
      <c r="D135" s="22" t="s">
        <v>313</v>
      </c>
      <c r="E135" s="13">
        <v>42702.822569444441</v>
      </c>
      <c r="F135" s="13">
        <v>42702.831493055557</v>
      </c>
      <c r="G135" s="7">
        <v>1</v>
      </c>
      <c r="H135" s="22" t="s">
        <v>364</v>
      </c>
      <c r="I135" s="13">
        <v>42702.858587962961</v>
      </c>
      <c r="J135" s="7">
        <v>0</v>
      </c>
      <c r="K135" s="109" t="str">
        <f t="shared" si="21"/>
        <v>4025/4026</v>
      </c>
      <c r="L135" s="22" t="str">
        <f>VLOOKUP(A135,'Trips&amp;Operators'!$C$1:$E$10000,3,FALSE)</f>
        <v>LEVERE</v>
      </c>
      <c r="M135" s="6">
        <f t="shared" si="22"/>
        <v>2.7094907403807156E-2</v>
      </c>
      <c r="N135" s="7">
        <f t="shared" si="39"/>
        <v>39.016666661482304</v>
      </c>
      <c r="O135" s="7"/>
      <c r="P135" s="7"/>
      <c r="Q135" s="23"/>
      <c r="R135" s="23"/>
      <c r="S135" s="35">
        <f t="shared" si="40"/>
        <v>1</v>
      </c>
      <c r="T135" s="50" t="str">
        <f t="shared" si="24"/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18:44:30-700',mode:absolute,to:'2016-11-28 21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5" s="52" t="str">
        <f t="shared" si="26"/>
        <v>N</v>
      </c>
      <c r="X135" s="177">
        <f t="shared" si="27"/>
        <v>1</v>
      </c>
      <c r="Y135" s="67">
        <f t="shared" si="28"/>
        <v>23.298500000000001</v>
      </c>
      <c r="Z135" s="67">
        <f t="shared" si="29"/>
        <v>1.6299999999999999E-2</v>
      </c>
      <c r="AA135" s="67">
        <f t="shared" si="30"/>
        <v>23.2822</v>
      </c>
      <c r="AB135" s="64" t="str">
        <f>VLOOKUP(A135,Enforcements!$C$7:$K$20,8,0)</f>
        <v>Speed (6)</v>
      </c>
      <c r="AC135" s="60" t="str">
        <f>VLOOKUP(A135,Enforcements!$C$7:$E$20,3,0)</f>
        <v>PERMANENT SPEED RESTRICTION</v>
      </c>
      <c r="AD135" s="61" t="str">
        <f t="shared" si="31"/>
        <v>0222-28</v>
      </c>
      <c r="AE135" s="91" t="str">
        <f t="shared" si="32"/>
        <v>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 &amp; aws s3 cp s3://rtdc.mdm.uploadarchive.raw/RTDC4026/ "%USERPROFILE%\AppData\Local\Temp\OnboardLogs"\RTDC4026\2016-11-29 --exclude "*" --recursive --include "*20161129*" &amp; "%USERPROFILE%\Documents\GitHub\mrs-test-scripts\Headless Mode &amp; Sideloading\WalkAndUnGZ.bat" "%USERPROFILE%\AppData\Local\Temp\OnboardLogs"\RTDC4026\2016-11-29</v>
      </c>
      <c r="AF135" s="88" t="str">
        <f t="shared" si="33"/>
        <v>"C:\Program Files (x86)\AstroGrep\AstroGrep.exe" /spath="%USERPROFILE%\AppData\Local\Temp\OnboardLogs" /stypes="app*4026*20161129*" /stext=" 03:.+((SYSTEM_STATE.+slice.+state.+changed )|(ment ac)|(multiple cpu faults)|(system.+state.+changed )|(\[timeout)|(PRM\|1\|D)|(kpr)|(kdp)|(\|lc)|(penalty))" /e /r /s</v>
      </c>
      <c r="AG135" s="1" t="str">
        <f t="shared" si="34"/>
        <v>EC</v>
      </c>
      <c r="AH135" s="92" t="str">
        <f t="shared" si="35"/>
        <v>"%USERPROFILE%\Documents\GitHub\eaglep3\Utilities\RefineRTDCRunTimes.py" --tripid 222-28 --locoid 4026 --swversion DE.1.0.8.0 --startMP 204:232985 --initTime 2016-11-28T19:44:30 --startdatetime 2016-11-28T19:57:21 --delay 1 --endMP 204:163 --enddatetime 2016-11-28T20:36:22 --enforcementcount 0 &gt;&gt;C:\Users\stu\Documents\GitHub\eaglep3-reporting\EC\2016-11-28-refined-times.txt</v>
      </c>
      <c r="AI135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{"issue":{"subject":"","project_id":79,"tracker_id":40,"status_id":1,"priority_id":2,"assigned_to_id":23,"start_date":"2016-11-28","description":"","custom_fields":[{"id":1,"name":"Subdivision","value":"EC"},{"id":4,"name":"Milepost","value":"0.0163"},{"id":17,"name":"Train ID","value":"222-28"},{"id":16,"name":"Locomotive ID","value":"4026"},{"id":130,"name":"Impact","value":""},{"id":150,"name":"Time of Event (Mountain Time)","value":"20:36:22"},{"id":151,"name":"Denver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x14ac:dyDescent="0.25">
      <c r="A136" s="37" t="s">
        <v>593</v>
      </c>
      <c r="B136" s="7">
        <v>4038</v>
      </c>
      <c r="C136" s="22" t="s">
        <v>212</v>
      </c>
      <c r="D136" s="22" t="s">
        <v>261</v>
      </c>
      <c r="E136" s="13">
        <v>42702.810023148151</v>
      </c>
      <c r="F136" s="13">
        <v>42702.812800925924</v>
      </c>
      <c r="G136" s="7">
        <v>2</v>
      </c>
      <c r="H136" s="22" t="s">
        <v>678</v>
      </c>
      <c r="I136" s="13">
        <v>42702.838020833333</v>
      </c>
      <c r="J136" s="7">
        <v>0</v>
      </c>
      <c r="K136" s="109" t="str">
        <f t="shared" si="21"/>
        <v>4037/4038</v>
      </c>
      <c r="L136" s="22" t="str">
        <f>VLOOKUP(A136,'Trips&amp;Operators'!$C$1:$E$10000,3,FALSE)</f>
        <v>WHITED</v>
      </c>
      <c r="M136" s="6">
        <f t="shared" si="22"/>
        <v>2.5219907409336884E-2</v>
      </c>
      <c r="N136" s="7">
        <f t="shared" si="39"/>
        <v>36.316666669445112</v>
      </c>
      <c r="O136" s="7"/>
      <c r="P136" s="7"/>
      <c r="Q136" s="23"/>
      <c r="R136" s="23" t="s">
        <v>802</v>
      </c>
      <c r="S136" s="35">
        <f t="shared" si="40"/>
        <v>1</v>
      </c>
      <c r="T136" s="50" t="str">
        <f t="shared" si="24"/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18:26:26-700',mode:absolute,to:'2016-11-28 21:06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6" s="52" t="str">
        <f t="shared" si="26"/>
        <v>Y</v>
      </c>
      <c r="X136" s="177">
        <f t="shared" si="27"/>
        <v>1</v>
      </c>
      <c r="Y136" s="67">
        <f t="shared" si="28"/>
        <v>4.7100000000000003E-2</v>
      </c>
      <c r="Z136" s="67">
        <f t="shared" si="29"/>
        <v>22.798500000000001</v>
      </c>
      <c r="AA136" s="67">
        <f t="shared" si="30"/>
        <v>22.7514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1"/>
        <v>0223-28</v>
      </c>
      <c r="AE136" s="91" t="str">
        <f t="shared" si="32"/>
        <v>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 &amp; aws s3 cp s3://rtdc.mdm.uploadarchive.raw/RTDC4038/ "%USERPROFILE%\AppData\Local\Temp\OnboardLogs"\RTDC4038\2016-11-29 --exclude "*" --recursive --include "*20161129*" &amp; "%USERPROFILE%\Documents\GitHub\mrs-test-scripts\Headless Mode &amp; Sideloading\WalkAndUnGZ.bat" "%USERPROFILE%\AppData\Local\Temp\OnboardLogs"\RTDC4038\2016-11-29</v>
      </c>
      <c r="AF136" s="88" t="str">
        <f t="shared" si="33"/>
        <v>"C:\Program Files (x86)\AstroGrep\AstroGrep.exe" /spath="%USERPROFILE%\AppData\Local\Temp\OnboardLogs" /stypes="app*4038*20161129*" /stext=" 03:.+((SYSTEM_STATE.+slice.+state.+changed )|(ment ac)|(multiple cpu faults)|(system.+state.+changed )|(\[timeout)|(PRM\|1\|D)|(kpr)|(kdp)|(\|lc)|(penalty))" /e /r /s</v>
      </c>
      <c r="AG136" s="1" t="str">
        <f t="shared" si="34"/>
        <v>EC</v>
      </c>
      <c r="AH136" s="92" t="str">
        <f t="shared" si="35"/>
        <v>"%USERPROFILE%\Documents\GitHub\eaglep3\Utilities\RefineRTDCRunTimes.py" --tripid 223-28 --locoid 4038 --swversion DE.1.0.8.0 --startMP 204:471 --initTime 2016-11-28T19:26:26 --startdatetime 2016-11-28T19:30:26 --delay 2 --endMP 204:227985 --enddatetime 2016-11-28T20:06:45 --enforcementcount 0 &gt;&gt;C:\Users\stu\Documents\GitHub\eaglep3-reporting\EC\2016-11-28-refined-times.txt</v>
      </c>
      <c r="AI136" s="119" t="str">
        <f t="shared" si="36"/>
        <v>echo {"issue":{"subject":"Efficiency test","project_id":79,"tracker_id":40,"status_id":1,"priority_id":2,"assigned_to_id":23,"start_date":"2016-11-28","description":"DIA 2N didn't receive any clear controls in the 20:05 timeframe","custom_fields":[{"id":1,"name":"Subdivision","value":"EC"},{"id":4,"name":"Milepost","value":"22.7985"},{"id":17,"name":"Train ID","value":"223-28"},{"id":16,"name":"Locomotive ID","value":"4038"},{"id":130,"name":"Impact","value":"Unexpected Cut-Out or Disengaged"},{"id":150,"name":"Time of Event (Mountain Time)","value":"20:06:45"},{"id":151,"name":"Denver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AJ136" s="53" t="s">
        <v>801</v>
      </c>
      <c r="AK136" s="53" t="s">
        <v>131</v>
      </c>
      <c r="AL136" s="53" t="s">
        <v>216</v>
      </c>
    </row>
    <row r="137" spans="1:91" x14ac:dyDescent="0.25">
      <c r="A137" s="37" t="s">
        <v>598</v>
      </c>
      <c r="B137" s="7">
        <v>4037</v>
      </c>
      <c r="C137" s="22" t="s">
        <v>212</v>
      </c>
      <c r="D137" s="22" t="s">
        <v>240</v>
      </c>
      <c r="E137" s="13">
        <v>42702.847071759257</v>
      </c>
      <c r="F137" s="13">
        <v>42702.852094907408</v>
      </c>
      <c r="G137" s="7">
        <v>1</v>
      </c>
      <c r="H137" s="22" t="s">
        <v>358</v>
      </c>
      <c r="I137" s="13">
        <v>42702.880497685182</v>
      </c>
      <c r="J137" s="7">
        <v>0</v>
      </c>
      <c r="K137" s="109" t="str">
        <f t="shared" si="21"/>
        <v>4037/4038</v>
      </c>
      <c r="L137" s="22" t="str">
        <f>VLOOKUP(A137,'Trips&amp;Operators'!$C$1:$E$10000,3,FALSE)</f>
        <v>WHITED</v>
      </c>
      <c r="M137" s="6">
        <f t="shared" si="22"/>
        <v>2.8402777774317656E-2</v>
      </c>
      <c r="N137" s="7">
        <f t="shared" si="39"/>
        <v>40.899999995017424</v>
      </c>
      <c r="O137" s="7"/>
      <c r="P137" s="7"/>
      <c r="Q137" s="23"/>
      <c r="R137" s="23"/>
      <c r="S137" s="35">
        <f t="shared" si="40"/>
        <v>1</v>
      </c>
      <c r="T137" s="50" t="str">
        <f t="shared" si="24"/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19:19:47-700',mode:absolute,to:'2016-11-28 22:07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7" s="52" t="str">
        <f t="shared" si="26"/>
        <v>N</v>
      </c>
      <c r="X137" s="177">
        <f t="shared" si="27"/>
        <v>1</v>
      </c>
      <c r="Y137" s="67">
        <f t="shared" si="28"/>
        <v>23.297499999999999</v>
      </c>
      <c r="Z137" s="67">
        <f t="shared" si="29"/>
        <v>1.34E-2</v>
      </c>
      <c r="AA137" s="67">
        <f t="shared" si="30"/>
        <v>23.284099999999999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31"/>
        <v>0224-28</v>
      </c>
      <c r="AE137" s="91" t="str">
        <f t="shared" si="32"/>
        <v>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 &amp; aws s3 cp s3://rtdc.mdm.uploadarchive.raw/RTDC4037/ "%USERPROFILE%\AppData\Local\Temp\OnboardLogs"\RTDC4037\2016-11-29 --exclude "*" --recursive --include "*20161129*" &amp; "%USERPROFILE%\Documents\GitHub\mrs-test-scripts\Headless Mode &amp; Sideloading\WalkAndUnGZ.bat" "%USERPROFILE%\AppData\Local\Temp\OnboardLogs"\RTDC4037\2016-11-29</v>
      </c>
      <c r="AF137" s="88" t="str">
        <f t="shared" si="33"/>
        <v>"C:\Program Files (x86)\AstroGrep\AstroGrep.exe" /spath="%USERPROFILE%\AppData\Local\Temp\OnboardLogs" /stypes="app*4037*20161129*" /stext=" 04:.+((SYSTEM_STATE.+slice.+state.+changed )|(ment ac)|(multiple cpu faults)|(system.+state.+changed )|(\[timeout)|(PRM\|1\|D)|(kpr)|(kdp)|(\|lc)|(penalty))" /e /r /s</v>
      </c>
      <c r="AG137" s="1" t="str">
        <f t="shared" si="34"/>
        <v>EC</v>
      </c>
      <c r="AH137" s="92" t="str">
        <f t="shared" si="35"/>
        <v>"%USERPROFILE%\Documents\GitHub\eaglep3\Utilities\RefineRTDCRunTimes.py" --tripid 224-28 --locoid 4037 --swversion DE.1.0.8.0 --startMP 204:232975 --initTime 2016-11-28T20:19:47 --startdatetime 2016-11-28T20:27:01 --delay 1 --endMP 204:134 --enddatetime 2016-11-28T21:07:55 --enforcementcount 0 &gt;&gt;C:\Users\stu\Documents\GitHub\eaglep3-reporting\EC\2016-11-28-refined-times.txt</v>
      </c>
      <c r="AI137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{"issue":{"subject":"","project_id":79,"tracker_id":40,"status_id":1,"priority_id":2,"assigned_to_id":23,"start_date":"2016-11-28","description":"","custom_fields":[{"id":1,"name":"Subdivision","value":"EC"},{"id":4,"name":"Milepost","value":"0.0134"},{"id":17,"name":"Train ID","value":"224-28"},{"id":16,"name":"Locomotive ID","value":"4037"},{"id":130,"name":"Impact","value":""},{"id":150,"name":"Time of Event (Mountain Time)","value":"21:07:55"},{"id":151,"name":"Denver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x14ac:dyDescent="0.25">
      <c r="A138" s="37" t="s">
        <v>596</v>
      </c>
      <c r="B138" s="7">
        <v>4002</v>
      </c>
      <c r="C138" s="22" t="s">
        <v>212</v>
      </c>
      <c r="D138" s="22" t="s">
        <v>679</v>
      </c>
      <c r="E138" s="13">
        <v>42702.829282407409</v>
      </c>
      <c r="F138" s="13">
        <v>42702.833506944444</v>
      </c>
      <c r="G138" s="7">
        <v>1</v>
      </c>
      <c r="H138" s="22" t="s">
        <v>258</v>
      </c>
      <c r="I138" s="13">
        <v>42702.857673611114</v>
      </c>
      <c r="J138" s="7">
        <v>0</v>
      </c>
      <c r="K138" s="109" t="str">
        <f t="shared" si="21"/>
        <v>4001/4002</v>
      </c>
      <c r="L138" s="22" t="str">
        <f>VLOOKUP(A138,'Trips&amp;Operators'!$C$1:$E$10000,3,FALSE)</f>
        <v>YANAI</v>
      </c>
      <c r="M138" s="6">
        <f t="shared" si="22"/>
        <v>2.4166666669771075E-2</v>
      </c>
      <c r="N138" s="7">
        <f t="shared" si="39"/>
        <v>34.800000004470348</v>
      </c>
      <c r="O138" s="7"/>
      <c r="P138" s="7"/>
      <c r="Q138" s="23"/>
      <c r="R138" s="23"/>
      <c r="S138" s="35">
        <f t="shared" si="40"/>
        <v>1</v>
      </c>
      <c r="T138" s="50" t="str">
        <f t="shared" si="24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18:54:10-700',mode:absolute,to:'2016-11-28 21:35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8" s="52" t="str">
        <f t="shared" si="26"/>
        <v>N</v>
      </c>
      <c r="X138" s="177">
        <f t="shared" si="27"/>
        <v>1</v>
      </c>
      <c r="Y138" s="67">
        <f t="shared" si="28"/>
        <v>4.7500000000000001E-2</v>
      </c>
      <c r="Z138" s="67">
        <f t="shared" si="29"/>
        <v>23.330200000000001</v>
      </c>
      <c r="AA138" s="67">
        <f t="shared" si="30"/>
        <v>23.282700000000002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31"/>
        <v>0225-28</v>
      </c>
      <c r="AE138" s="91" t="str">
        <f t="shared" si="32"/>
        <v>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 &amp; aws s3 cp s3://rtdc.mdm.uploadarchive.raw/RTDC4002/ "%USERPROFILE%\AppData\Local\Temp\OnboardLogs"\RTDC4002\2016-11-29 --exclude "*" --recursive --include "*20161129*" &amp; "%USERPROFILE%\Documents\GitHub\mrs-test-scripts\Headless Mode &amp; Sideloading\WalkAndUnGZ.bat" "%USERPROFILE%\AppData\Local\Temp\OnboardLogs"\RTDC4002\2016-11-29</v>
      </c>
      <c r="AF138" s="88" t="str">
        <f t="shared" si="33"/>
        <v>"C:\Program Files (x86)\AstroGrep\AstroGrep.exe" /spath="%USERPROFILE%\AppData\Local\Temp\OnboardLogs" /stypes="app*4002*20161129*" /stext=" 03:.+((SYSTEM_STATE.+slice.+state.+changed )|(ment ac)|(multiple cpu faults)|(system.+state.+changed )|(\[timeout)|(PRM\|1\|D)|(kpr)|(kdp)|(\|lc)|(penalty))" /e /r /s</v>
      </c>
      <c r="AG138" s="1" t="str">
        <f t="shared" si="34"/>
        <v>EC</v>
      </c>
      <c r="AH138" s="92" t="str">
        <f t="shared" si="35"/>
        <v>"%USERPROFILE%\Documents\GitHub\eaglep3\Utilities\RefineRTDCRunTimes.py" --tripid 225-28 --locoid 4002 --swversion DE.1.0.8.0 --startMP 204:475 --initTime 2016-11-28T19:54:10 --startdatetime 2016-11-28T20:00:15 --delay 1 --endMP 204:233302 --enddatetime 2016-11-28T20:35:03 --enforcementcount 0 &gt;&gt;C:\Users\stu\Documents\GitHub\eaglep3-reporting\EC\2016-11-28-refined-times.txt</v>
      </c>
      <c r="AI138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{"issue":{"subject":"","project_id":79,"tracker_id":40,"status_id":1,"priority_id":2,"assigned_to_id":23,"start_date":"2016-11-28","description":"","custom_fields":[{"id":1,"name":"Subdivision","value":"EC"},{"id":4,"name":"Milepost","value":"23.3302"},{"id":17,"name":"Train ID","value":"225-28"},{"id":16,"name":"Locomotive ID","value":"4002"},{"id":130,"name":"Impact","value":""},{"id":150,"name":"Time of Event (Mountain Time)","value":"20:35:03"},{"id":151,"name":"Denver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91" s="21" customFormat="1" x14ac:dyDescent="0.25">
      <c r="A139" s="37" t="s">
        <v>601</v>
      </c>
      <c r="B139" s="7">
        <v>4001</v>
      </c>
      <c r="C139" s="22" t="s">
        <v>212</v>
      </c>
      <c r="D139" s="22" t="s">
        <v>635</v>
      </c>
      <c r="E139" s="13">
        <v>42702.867280092592</v>
      </c>
      <c r="F139" s="13">
        <v>42702.872407407405</v>
      </c>
      <c r="G139" s="7">
        <v>2</v>
      </c>
      <c r="H139" s="22" t="s">
        <v>362</v>
      </c>
      <c r="I139" s="13">
        <v>42702.898090277777</v>
      </c>
      <c r="J139" s="7">
        <v>0</v>
      </c>
      <c r="K139" s="109" t="str">
        <f t="shared" si="21"/>
        <v>4001/4002</v>
      </c>
      <c r="L139" s="22" t="str">
        <f>VLOOKUP(A139,'Trips&amp;Operators'!$C$1:$E$10000,3,FALSE)</f>
        <v>YANAI</v>
      </c>
      <c r="M139" s="6">
        <f t="shared" si="22"/>
        <v>2.5682870371383615E-2</v>
      </c>
      <c r="N139" s="7">
        <f t="shared" si="39"/>
        <v>36.983333334792405</v>
      </c>
      <c r="O139" s="7"/>
      <c r="P139" s="7"/>
      <c r="Q139" s="23"/>
      <c r="R139" s="23"/>
      <c r="S139" s="35">
        <f t="shared" si="40"/>
        <v>1</v>
      </c>
      <c r="T139" s="50" t="str">
        <f t="shared" si="24"/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19:48:53-700',mode:absolute,to:'2016-11-28 22:33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9" s="52" t="str">
        <f t="shared" si="26"/>
        <v>N</v>
      </c>
      <c r="X139" s="177">
        <f t="shared" si="27"/>
        <v>1</v>
      </c>
      <c r="Y139" s="67">
        <f t="shared" si="28"/>
        <v>23.297899999999998</v>
      </c>
      <c r="Z139" s="67">
        <f t="shared" si="29"/>
        <v>1.2999999999999999E-2</v>
      </c>
      <c r="AA139" s="67">
        <f t="shared" si="30"/>
        <v>23.284899999999997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31"/>
        <v>0226-28</v>
      </c>
      <c r="AE139" s="91" t="str">
        <f t="shared" si="32"/>
        <v>aws s3 cp s3://rtdc.mdm.uploadarchive.raw/RTDC4001/ "%USERPROFILE%\AppData\Local\Temp\OnboardLogs"\RTDC4001\2016-11-28 --exclude "*" --recursive --include "*20161128*" &amp; "%USERPROFILE%\Documents\GitHub\mrs-test-scripts\Headless Mode &amp; Sideloading\WalkAndUnGZ.bat" "%USERPROFILE%\AppData\Local\Temp\OnboardLogs"\RTDC4001\2016-11-28 &amp; aws s3 cp s3://rtdc.mdm.uploadarchive.raw/RTDC4001/ "%USERPROFILE%\AppData\Local\Temp\OnboardLogs"\RTDC4001\2016-11-29 --exclude "*" --recursive --include "*20161129*" &amp; "%USERPROFILE%\Documents\GitHub\mrs-test-scripts\Headless Mode &amp; Sideloading\WalkAndUnGZ.bat" "%USERPROFILE%\AppData\Local\Temp\OnboardLogs"\RTDC4001\2016-11-29</v>
      </c>
      <c r="AF139" s="88" t="str">
        <f t="shared" si="33"/>
        <v>"C:\Program Files (x86)\AstroGrep\AstroGrep.exe" /spath="%USERPROFILE%\AppData\Local\Temp\OnboardLogs" /stypes="app*4001*20161129*" /stext=" 04:.+((SYSTEM_STATE.+slice.+state.+changed )|(ment ac)|(multiple cpu faults)|(system.+state.+changed )|(\[timeout)|(PRM\|1\|D)|(kpr)|(kdp)|(\|lc)|(penalty))" /e /r /s</v>
      </c>
      <c r="AG139" s="1" t="str">
        <f t="shared" si="34"/>
        <v>EC</v>
      </c>
      <c r="AH139" s="92" t="str">
        <f t="shared" si="35"/>
        <v>"%USERPROFILE%\Documents\GitHub\eaglep3\Utilities\RefineRTDCRunTimes.py" --tripid 226-28 --locoid 4001 --swversion DE.1.0.8.0 --startMP 204:232979 --initTime 2016-11-28T20:48:53 --startdatetime 2016-11-28T20:56:16 --delay 2 --endMP 204:130 --enddatetime 2016-11-28T21:33:15 --enforcementcount 0 &gt;&gt;C:\Users\stu\Documents\GitHub\eaglep3-reporting\EC\2016-11-28-refined-times.txt</v>
      </c>
      <c r="AI139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{"issue":{"subject":"","project_id":79,"tracker_id":40,"status_id":1,"priority_id":2,"assigned_to_id":23,"start_date":"2016-11-28","description":"","custom_fields":[{"id":1,"name":"Subdivision","value":"EC"},{"id":4,"name":"Milepost","value":"0.013"},{"id":17,"name":"Train ID","value":"226-28"},{"id":16,"name":"Locomotive ID","value":"4001"},{"id":130,"name":"Impact","value":""},{"id":150,"name":"Time of Event (Mountain Time)","value":"21:33:15"},{"id":151,"name":"Denver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599</v>
      </c>
      <c r="B140" s="7">
        <v>4042</v>
      </c>
      <c r="C140" s="22" t="s">
        <v>212</v>
      </c>
      <c r="D140" s="22" t="s">
        <v>257</v>
      </c>
      <c r="E140" s="13">
        <v>42702.848379629628</v>
      </c>
      <c r="F140" s="13">
        <v>42702.854490740741</v>
      </c>
      <c r="G140" s="7">
        <v>1</v>
      </c>
      <c r="H140" s="22" t="s">
        <v>196</v>
      </c>
      <c r="I140" s="13">
        <v>42702.880324074074</v>
      </c>
      <c r="J140" s="7">
        <v>0</v>
      </c>
      <c r="K140" s="109" t="str">
        <f t="shared" si="21"/>
        <v>4041/4042</v>
      </c>
      <c r="L140" s="22" t="str">
        <f>VLOOKUP(A140,'Trips&amp;Operators'!$C$1:$E$10000,3,FALSE)</f>
        <v>CHANDLER</v>
      </c>
      <c r="M140" s="6">
        <f t="shared" si="22"/>
        <v>2.5833333333139308E-2</v>
      </c>
      <c r="N140" s="7">
        <f t="shared" si="39"/>
        <v>37.199999999720603</v>
      </c>
      <c r="O140" s="7"/>
      <c r="P140" s="7"/>
      <c r="Q140" s="23"/>
      <c r="R140" s="23"/>
      <c r="S140" s="35">
        <f t="shared" si="40"/>
        <v>1</v>
      </c>
      <c r="T140" s="50" t="str">
        <f t="shared" si="24"/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https://search-rtdc-monitor-bjffxe2xuh6vdkpspy63sjmuny.us-east-1.es.amazonaws.com/_plugin/kibana/#/discover/Steve-Slow-Train-Analysis-(2080s-and-2083s)?_g=(refreshInterval:(display:Off,section:0,value:0),time:(from:'2016-11-28 19:21:40-700',mode:absolute,to:'2016-11-28 22:07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0" s="52" t="str">
        <f t="shared" si="26"/>
        <v>N</v>
      </c>
      <c r="X140" s="177">
        <f t="shared" si="27"/>
        <v>1</v>
      </c>
      <c r="Y140" s="67">
        <f t="shared" si="28"/>
        <v>4.5999999999999999E-2</v>
      </c>
      <c r="Z140" s="67">
        <f t="shared" si="29"/>
        <v>23.329499999999999</v>
      </c>
      <c r="AA140" s="67">
        <f t="shared" si="30"/>
        <v>23.2835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31"/>
        <v>0227-28</v>
      </c>
      <c r="AE140" s="91" t="str">
        <f t="shared" si="32"/>
        <v>aws s3 cp s3://rtdc.mdm.uploadarchive.raw/RTDC4042/ "%USERPROFILE%\AppData\Local\Temp\OnboardLogs"\RTDC4042\2016-11-28 --exclude "*" --recursive --include "*20161128*" &amp; "%USERPROFILE%\Documents\GitHub\mrs-test-scripts\Headless Mode &amp; Sideloading\WalkAndUnGZ.bat" "%USERPROFILE%\AppData\Local\Temp\OnboardLogs"\RTDC4042\2016-11-28 &amp; aws s3 cp s3://rtdc.mdm.uploadarchive.raw/RTDC4042/ "%USERPROFILE%\AppData\Local\Temp\OnboardLogs"\RTDC4042\2016-11-29 --exclude "*" --recursive --include "*20161129*" &amp; "%USERPROFILE%\Documents\GitHub\mrs-test-scripts\Headless Mode &amp; Sideloading\WalkAndUnGZ.bat" "%USERPROFILE%\AppData\Local\Temp\OnboardLogs"\RTDC4042\2016-11-29</v>
      </c>
      <c r="AF140" s="88" t="str">
        <f t="shared" si="33"/>
        <v>"C:\Program Files (x86)\AstroGrep\AstroGrep.exe" /spath="%USERPROFILE%\AppData\Local\Temp\OnboardLogs" /stypes="app*4042*20161129*" /stext=" 04:.+((SYSTEM_STATE.+slice.+state.+changed )|(ment ac)|(multiple cpu faults)|(system.+state.+changed )|(\[timeout)|(PRM\|1\|D)|(kpr)|(kdp)|(\|lc)|(penalty))" /e /r /s</v>
      </c>
      <c r="AG140" s="1" t="str">
        <f t="shared" si="34"/>
        <v>EC</v>
      </c>
      <c r="AH140" s="92" t="str">
        <f t="shared" si="35"/>
        <v>"%USERPROFILE%\Documents\GitHub\eaglep3\Utilities\RefineRTDCRunTimes.py" --tripid 227-28 --locoid 4042 --swversion DE.1.0.8.0 --startMP 204:460 --initTime 2016-11-28T20:21:40 --startdatetime 2016-11-28T20:30:28 --delay 1 --endMP 204:233295 --enddatetime 2016-11-28T21:07:40 --enforcementcount 0 &gt;&gt;C:\Users\stu\Documents\GitHub\eaglep3-reporting\EC\2016-11-28-refined-times.txt</v>
      </c>
      <c r="AI140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{"issue":{"subject":"","project_id":79,"tracker_id":40,"status_id":1,"priority_id":2,"assigned_to_id":23,"start_date":"2016-11-28","description":"","custom_fields":[{"id":1,"name":"Subdivision","value":"EC"},{"id":4,"name":"Milepost","value":"23.3295"},{"id":17,"name":"Train ID","value":"227-28"},{"id":16,"name":"Locomotive ID","value":"4042"},{"id":130,"name":"Impact","value":""},{"id":150,"name":"Time of Event (Mountain Time)","value":"21:07:40"},{"id":151,"name":"Denver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604</v>
      </c>
      <c r="B141" s="7">
        <v>4041</v>
      </c>
      <c r="C141" s="22" t="s">
        <v>212</v>
      </c>
      <c r="D141" s="22" t="s">
        <v>276</v>
      </c>
      <c r="E141" s="13">
        <v>42702.889513888891</v>
      </c>
      <c r="F141" s="13">
        <v>42702.893275462964</v>
      </c>
      <c r="G141" s="7">
        <v>1</v>
      </c>
      <c r="H141" s="22" t="s">
        <v>219</v>
      </c>
      <c r="I141" s="13">
        <v>42702.920798611114</v>
      </c>
      <c r="J141" s="7">
        <v>0</v>
      </c>
      <c r="K141" s="109" t="str">
        <f t="shared" ref="K141:K203" si="41">IF(ISEVEN(B141),(B141-1)&amp;"/"&amp;B141,B141&amp;"/"&amp;(B141+1))</f>
        <v>4041/4042</v>
      </c>
      <c r="L141" s="22" t="str">
        <f>VLOOKUP(A141,'Trips&amp;Operators'!$C$1:$E$10000,3,FALSE)</f>
        <v>CHANDLER</v>
      </c>
      <c r="M141" s="6">
        <f t="shared" ref="M141:M203" si="42">I141-F141</f>
        <v>2.7523148150066845E-2</v>
      </c>
      <c r="N141" s="7">
        <f t="shared" si="39"/>
        <v>39.633333336096257</v>
      </c>
      <c r="O141" s="7"/>
      <c r="P141" s="7"/>
      <c r="Q141" s="23"/>
      <c r="R141" s="23"/>
      <c r="S141" s="35">
        <f t="shared" si="40"/>
        <v>1</v>
      </c>
      <c r="T141" s="50" t="str">
        <f t="shared" ref="T141:T203" si="43">IF(ISEVEN(LEFT(AD141,4)),"Southbound","NorthBound")</f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3" si="44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https://search-rtdc-monitor-bjffxe2xuh6vdkpspy63sjmuny.us-east-1.es.amazonaws.com/_plugin/kibana/#/discover/Steve-Slow-Train-Analysis-(2080s-and-2083s)?_g=(refreshInterval:(display:Off,section:0,value:0),time:(from:'2016-11-28 20:20:54-700',mode:absolute,to:'2016-11-28 23:05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1" s="52" t="str">
        <f t="shared" ref="W141:W203" si="45">IF(AA141&lt;IF(AG141="EC",23,5.65),"Y","N")</f>
        <v>N</v>
      </c>
      <c r="X141" s="177">
        <f t="shared" ref="X141:X203" si="46">VALUE(LEFT(AD141,4))-VALUE(LEFT(AD140,4))</f>
        <v>1</v>
      </c>
      <c r="Y141" s="67">
        <f t="shared" ref="Y141:Y203" si="47">RIGHT(D141,LEN(D141)-4)/10000</f>
        <v>23.2989</v>
      </c>
      <c r="Z141" s="67">
        <f t="shared" ref="Z141:Z203" si="48">RIGHT(H141,LEN(H141)-4)/10000</f>
        <v>1.4999999999999999E-2</v>
      </c>
      <c r="AA141" s="67">
        <f t="shared" ref="AA141:AA203" si="49">ABS(Z141-Y141)</f>
        <v>23.283899999999999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3" si="50">IF(LEN(A141)=6,"0"&amp;A141,A141)</f>
        <v>0228-28</v>
      </c>
      <c r="AE141" s="91" t="str">
        <f t="shared" ref="AE141:AE203" si="5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s3://rtdc.mdm.uploadarchive.raw/RTDC4041/ "%USERPROFILE%\AppData\Local\Temp\OnboardLogs"\RTDC4041\2016-11-28 --exclude "*" --recursive --include "*20161128*" &amp; "%USERPROFILE%\Documents\GitHub\mrs-test-scripts\Headless Mode &amp; Sideloading\WalkAndUnGZ.bat" "%USERPROFILE%\AppData\Local\Temp\OnboardLogs"\RTDC4041\2016-11-28 &amp; 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</v>
      </c>
      <c r="AF141" s="88" t="str">
        <f t="shared" ref="AF141:AF203" si="5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/stypes="app*4041*20161129*" /stext=" 05:.+((SYSTEM_STATE.+slice.+state.+changed )|(ment ac)|(multiple cpu faults)|(system.+state.+changed )|(\[timeout)|(PRM\|1\|D)|(kpr)|(kdp)|(\|lc)|(penalty))" /e /r /s</v>
      </c>
      <c r="AG141" s="1" t="str">
        <f t="shared" ref="AG141:AG203" si="53">IFERROR(IF(VALUE(LEFT(AD141,2))&lt;=2,"EC",IF(OR(VALUE(LEFT(AD141,2))=8,VALUE(LEFT(AD141,2))=18),"NW","Other")),"Other")</f>
        <v>EC</v>
      </c>
      <c r="AH141" s="92" t="str">
        <f t="shared" si="35"/>
        <v>"%USERPROFILE%\Documents\GitHub\eaglep3\Utilities\RefineRTDCRunTimes.py" --tripid 228-28 --locoid 4041 --swversion DE.1.0.8.0 --startMP 204:232989 --initTime 2016-11-28T21:20:54 --startdatetime 2016-11-28T21:26:19 --delay 1 --endMP 204:150 --enddatetime 2016-11-28T22:05:57 --enforcementcount 0 &gt;&gt;C:\Users\stu\Documents\GitHub\eaglep3-reporting\EC\2016-11-28-refined-times.txt</v>
      </c>
      <c r="AI141" s="119" t="str">
        <f t="shared" si="36"/>
        <v>echo {"issue":{"subject":"","project_id":79,"tracker_id":40,"status_id":1,"priority_id":2,"assigned_to_id":23,"start_date":"2016-11-28","description":"","custom_fields":[{"id":1,"name":"Subdivision","value":"EC"},{"id":4,"name":"Milepost","value":"0.015"},{"id":17,"name":"Train ID","value":"228-28"},{"id":16,"name":"Locomotive ID","value":"4041"},{"id":130,"name":"Impact","value":""},{"id":150,"name":"Time of Event (Mountain Time)","value":"22:05:57"},{"id":151,"name":"Denver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602</v>
      </c>
      <c r="B142" s="7">
        <v>4025</v>
      </c>
      <c r="C142" s="22" t="s">
        <v>212</v>
      </c>
      <c r="D142" s="22" t="s">
        <v>633</v>
      </c>
      <c r="E142" s="13">
        <v>42702.870775462965</v>
      </c>
      <c r="F142" s="13">
        <v>42702.875208333331</v>
      </c>
      <c r="G142" s="7">
        <v>1</v>
      </c>
      <c r="H142" s="22" t="s">
        <v>258</v>
      </c>
      <c r="I142" s="13">
        <v>42702.900266203702</v>
      </c>
      <c r="J142" s="7">
        <v>0</v>
      </c>
      <c r="K142" s="109" t="str">
        <f t="shared" si="41"/>
        <v>4025/4026</v>
      </c>
      <c r="L142" s="22" t="str">
        <f>VLOOKUP(A142,'Trips&amp;Operators'!$C$1:$E$10000,3,FALSE)</f>
        <v>LEVERE</v>
      </c>
      <c r="M142" s="6">
        <f t="shared" si="42"/>
        <v>2.5057870370801538E-2</v>
      </c>
      <c r="N142" s="7">
        <f t="shared" si="39"/>
        <v>36.083333333954215</v>
      </c>
      <c r="O142" s="7"/>
      <c r="P142" s="7"/>
      <c r="Q142" s="23"/>
      <c r="R142" s="23"/>
      <c r="S142" s="35">
        <f t="shared" si="40"/>
        <v>1</v>
      </c>
      <c r="T142" s="50" t="str">
        <f t="shared" si="43"/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19:53:55-700',mode:absolute,to:'2016-11-28 22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2" s="52" t="str">
        <f t="shared" si="45"/>
        <v>N</v>
      </c>
      <c r="X142" s="177">
        <f t="shared" si="46"/>
        <v>1</v>
      </c>
      <c r="Y142" s="67">
        <f t="shared" si="47"/>
        <v>4.4600000000000001E-2</v>
      </c>
      <c r="Z142" s="67">
        <f t="shared" si="48"/>
        <v>23.330200000000001</v>
      </c>
      <c r="AA142" s="67">
        <f t="shared" si="49"/>
        <v>23.285600000000002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50"/>
        <v>0229-28</v>
      </c>
      <c r="AE142" s="91" t="str">
        <f t="shared" si="51"/>
        <v>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 &amp; aws s3 cp s3://rtdc.mdm.uploadarchive.raw/RTDC4025/ "%USERPROFILE%\AppData\Local\Temp\OnboardLogs"\RTDC4025\2016-11-29 --exclude "*" --recursive --include "*20161129*" &amp; "%USERPROFILE%\Documents\GitHub\mrs-test-scripts\Headless Mode &amp; Sideloading\WalkAndUnGZ.bat" "%USERPROFILE%\AppData\Local\Temp\OnboardLogs"\RTDC4025\2016-11-29</v>
      </c>
      <c r="AF142" s="88" t="str">
        <f t="shared" si="52"/>
        <v>"C:\Program Files (x86)\AstroGrep\AstroGrep.exe" /spath="%USERPROFILE%\AppData\Local\Temp\OnboardLogs" /stypes="app*4025*20161129*" /stext=" 04:.+((SYSTEM_STATE.+slice.+state.+changed )|(ment ac)|(multiple cpu faults)|(system.+state.+changed )|(\[timeout)|(PRM\|1\|D)|(kpr)|(kdp)|(\|lc)|(penalty))" /e /r /s</v>
      </c>
      <c r="AG142" s="1" t="str">
        <f t="shared" si="53"/>
        <v>EC</v>
      </c>
      <c r="AH142" s="92" t="str">
        <f t="shared" ref="AH142:AH204" si="5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229-28 --locoid 4025 --swversion DE.1.0.8.0 --startMP 204:446 --initTime 2016-11-28T20:53:55 --startdatetime 2016-11-28T21:00:18 --delay 1 --endMP 204:233302 --enddatetime 2016-11-28T21:36:23 --enforcementcount 0 &gt;&gt;C:\Users\stu\Documents\GitHub\eaglep3-reporting\EC\2016-11-28-refined-times.txt</v>
      </c>
      <c r="AI142" s="119" t="str">
        <f t="shared" ref="AI142:AI204" si="5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{"issue":{"subject":"","project_id":79,"tracker_id":40,"status_id":1,"priority_id":2,"assigned_to_id":23,"start_date":"2016-11-28","description":"","custom_fields":[{"id":1,"name":"Subdivision","value":"EC"},{"id":4,"name":"Milepost","value":"23.3302"},{"id":17,"name":"Train ID","value":"229-28"},{"id":16,"name":"Locomotive ID","value":"4025"},{"id":130,"name":"Impact","value":""},{"id":150,"name":"Time of Event (Mountain Time)","value":"21:36:23"},{"id":151,"name":"Denver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607</v>
      </c>
      <c r="B143" s="7">
        <v>4026</v>
      </c>
      <c r="C143" s="22" t="s">
        <v>212</v>
      </c>
      <c r="D143" s="22" t="s">
        <v>281</v>
      </c>
      <c r="E143" s="13">
        <v>42702.905844907407</v>
      </c>
      <c r="F143" s="13">
        <v>42702.91443287037</v>
      </c>
      <c r="G143" s="7">
        <v>1</v>
      </c>
      <c r="H143" s="22" t="s">
        <v>331</v>
      </c>
      <c r="I143" s="13">
        <v>42702.941469907404</v>
      </c>
      <c r="J143" s="7">
        <v>0</v>
      </c>
      <c r="K143" s="109" t="str">
        <f t="shared" si="41"/>
        <v>4025/4026</v>
      </c>
      <c r="L143" s="22" t="str">
        <f>VLOOKUP(A143,'Trips&amp;Operators'!$C$1:$E$10000,3,FALSE)</f>
        <v>LEVERE</v>
      </c>
      <c r="M143" s="6">
        <f t="shared" si="42"/>
        <v>2.7037037034460809E-2</v>
      </c>
      <c r="N143" s="7">
        <f t="shared" si="39"/>
        <v>38.933333329623565</v>
      </c>
      <c r="O143" s="7"/>
      <c r="P143" s="7"/>
      <c r="Q143" s="23"/>
      <c r="R143" s="23"/>
      <c r="S143" s="35">
        <f t="shared" si="40"/>
        <v>1</v>
      </c>
      <c r="T143" s="50" t="str">
        <f t="shared" si="43"/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20:44:25-700',mode:absolute,to:'2016-11-28 23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3" s="52" t="str">
        <f t="shared" si="45"/>
        <v>N</v>
      </c>
      <c r="X143" s="177">
        <f t="shared" si="46"/>
        <v>1</v>
      </c>
      <c r="Y143" s="67">
        <f t="shared" si="47"/>
        <v>23.299600000000002</v>
      </c>
      <c r="Z143" s="67">
        <f t="shared" si="48"/>
        <v>1.6E-2</v>
      </c>
      <c r="AA143" s="67">
        <f t="shared" si="49"/>
        <v>23.283600000000003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50"/>
        <v>0230-28</v>
      </c>
      <c r="AE143" s="91" t="str">
        <f t="shared" si="51"/>
        <v>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 &amp; aws s3 cp s3://rtdc.mdm.uploadarchive.raw/RTDC4026/ "%USERPROFILE%\AppData\Local\Temp\OnboardLogs"\RTDC4026\2016-11-29 --exclude "*" --recursive --include "*20161129*" &amp; "%USERPROFILE%\Documents\GitHub\mrs-test-scripts\Headless Mode &amp; Sideloading\WalkAndUnGZ.bat" "%USERPROFILE%\AppData\Local\Temp\OnboardLogs"\RTDC4026\2016-11-29</v>
      </c>
      <c r="AF143" s="88" t="str">
        <f t="shared" si="52"/>
        <v>"C:\Program Files (x86)\AstroGrep\AstroGrep.exe" /spath="%USERPROFILE%\AppData\Local\Temp\OnboardLogs" /stypes="app*4026*20161129*" /stext=" 05:.+((SYSTEM_STATE.+slice.+state.+changed )|(ment ac)|(multiple cpu faults)|(system.+state.+changed )|(\[timeout)|(PRM\|1\|D)|(kpr)|(kdp)|(\|lc)|(penalty))" /e /r /s</v>
      </c>
      <c r="AG143" s="1" t="str">
        <f t="shared" si="53"/>
        <v>EC</v>
      </c>
      <c r="AH143" s="92" t="str">
        <f t="shared" si="54"/>
        <v>"%USERPROFILE%\Documents\GitHub\eaglep3\Utilities\RefineRTDCRunTimes.py" --tripid 230-28 --locoid 4026 --swversion DE.1.0.8.0 --startMP 204:232996 --initTime 2016-11-28T21:44:25 --startdatetime 2016-11-28T21:56:47 --delay 1 --endMP 204:160 --enddatetime 2016-11-28T22:35:43 --enforcementcount 0 &gt;&gt;C:\Users\stu\Documents\GitHub\eaglep3-reporting\EC\2016-11-28-refined-times.txt</v>
      </c>
      <c r="AI143" s="119" t="str">
        <f t="shared" si="55"/>
        <v>echo {"issue":{"subject":"","project_id":79,"tracker_id":40,"status_id":1,"priority_id":2,"assigned_to_id":23,"start_date":"2016-11-28","description":"","custom_fields":[{"id":1,"name":"Subdivision","value":"EC"},{"id":4,"name":"Milepost","value":"0.016"},{"id":17,"name":"Train ID","value":"230-28"},{"id":16,"name":"Locomotive ID","value":"4026"},{"id":130,"name":"Impact","value":""},{"id":150,"name":"Time of Event (Mountain Time)","value":"22:35:43"},{"id":151,"name":"Denver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603</v>
      </c>
      <c r="B144" s="7">
        <v>4038</v>
      </c>
      <c r="C144" s="22" t="s">
        <v>212</v>
      </c>
      <c r="D144" s="22" t="s">
        <v>680</v>
      </c>
      <c r="E144" s="13">
        <v>42702.882905092592</v>
      </c>
      <c r="F144" s="13">
        <v>42702.895972222221</v>
      </c>
      <c r="G144" s="7">
        <v>1</v>
      </c>
      <c r="H144" s="22" t="s">
        <v>644</v>
      </c>
      <c r="I144" s="13">
        <v>42702.920254629629</v>
      </c>
      <c r="J144" s="7">
        <v>0</v>
      </c>
      <c r="K144" s="109" t="str">
        <f t="shared" si="41"/>
        <v>4037/4038</v>
      </c>
      <c r="L144" s="22" t="str">
        <f>VLOOKUP(A144,'Trips&amp;Operators'!$C$1:$E$10000,3,FALSE)</f>
        <v>NEWELL</v>
      </c>
      <c r="M144" s="6">
        <f t="shared" si="42"/>
        <v>2.4282407408463769E-2</v>
      </c>
      <c r="N144" s="7">
        <f t="shared" si="39"/>
        <v>34.966666668187827</v>
      </c>
      <c r="O144" s="7"/>
      <c r="P144" s="7"/>
      <c r="Q144" s="23"/>
      <c r="R144" s="23"/>
      <c r="S144" s="35">
        <f t="shared" si="40"/>
        <v>1</v>
      </c>
      <c r="T144" s="50" t="str">
        <f t="shared" si="43"/>
        <v>NorthBound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20:11:23-700',mode:absolute,to:'2016-11-28 23:05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4" s="52" t="str">
        <f t="shared" si="45"/>
        <v>N</v>
      </c>
      <c r="X144" s="177">
        <f t="shared" si="46"/>
        <v>1</v>
      </c>
      <c r="Y144" s="67">
        <f t="shared" si="47"/>
        <v>4.3499999999999997E-2</v>
      </c>
      <c r="Z144" s="67">
        <f t="shared" si="48"/>
        <v>23.331700000000001</v>
      </c>
      <c r="AA144" s="67">
        <f t="shared" si="49"/>
        <v>23.2882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50"/>
        <v>0231-28</v>
      </c>
      <c r="AE144" s="91" t="str">
        <f t="shared" si="51"/>
        <v>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 &amp; aws s3 cp s3://rtdc.mdm.uploadarchive.raw/RTDC4038/ "%USERPROFILE%\AppData\Local\Temp\OnboardLogs"\RTDC4038\2016-11-29 --exclude "*" --recursive --include "*20161129*" &amp; "%USERPROFILE%\Documents\GitHub\mrs-test-scripts\Headless Mode &amp; Sideloading\WalkAndUnGZ.bat" "%USERPROFILE%\AppData\Local\Temp\OnboardLogs"\RTDC4038\2016-11-29</v>
      </c>
      <c r="AF144" s="88" t="str">
        <f t="shared" si="52"/>
        <v>"C:\Program Files (x86)\AstroGrep\AstroGrep.exe" /spath="%USERPROFILE%\AppData\Local\Temp\OnboardLogs" /stypes="app*4038*20161129*" /stext=" 05:.+((SYSTEM_STATE.+slice.+state.+changed )|(ment ac)|(multiple cpu faults)|(system.+state.+changed )|(\[timeout)|(PRM\|1\|D)|(kpr)|(kdp)|(\|lc)|(penalty))" /e /r /s</v>
      </c>
      <c r="AG144" s="1" t="str">
        <f t="shared" si="53"/>
        <v>EC</v>
      </c>
      <c r="AH144" s="92" t="str">
        <f t="shared" si="54"/>
        <v>"%USERPROFILE%\Documents\GitHub\eaglep3\Utilities\RefineRTDCRunTimes.py" --tripid 231-28 --locoid 4038 --swversion DE.1.0.8.0 --startMP 204:435 --initTime 2016-11-28T21:11:23 --startdatetime 2016-11-28T21:30:12 --delay 1 --endMP 204:233317 --enddatetime 2016-11-28T22:05:10 --enforcementcount 0 &gt;&gt;C:\Users\stu\Documents\GitHub\eaglep3-reporting\EC\2016-11-28-refined-times.txt</v>
      </c>
      <c r="AI144" s="119" t="str">
        <f t="shared" si="55"/>
        <v>echo {"issue":{"subject":"","project_id":79,"tracker_id":40,"status_id":1,"priority_id":2,"assigned_to_id":23,"start_date":"2016-11-28","description":"","custom_fields":[{"id":1,"name":"Subdivision","value":"EC"},{"id":4,"name":"Milepost","value":"23.3317"},{"id":17,"name":"Train ID","value":"231-28"},{"id":16,"name":"Locomotive ID","value":"4038"},{"id":130,"name":"Impact","value":""},{"id":150,"name":"Time of Event (Mountain Time)","value":"22:05:10"},{"id":151,"name":"Denver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608</v>
      </c>
      <c r="B145" s="7">
        <v>4037</v>
      </c>
      <c r="C145" s="22" t="s">
        <v>212</v>
      </c>
      <c r="D145" s="22" t="s">
        <v>246</v>
      </c>
      <c r="E145" s="13">
        <v>42702.926921296297</v>
      </c>
      <c r="F145" s="13">
        <v>42702.934976851851</v>
      </c>
      <c r="G145" s="7">
        <v>1</v>
      </c>
      <c r="H145" s="22" t="s">
        <v>193</v>
      </c>
      <c r="I145" s="13">
        <v>42702.960370370369</v>
      </c>
      <c r="J145" s="7">
        <v>0</v>
      </c>
      <c r="K145" s="109" t="str">
        <f t="shared" si="41"/>
        <v>4037/4038</v>
      </c>
      <c r="L145" s="22" t="str">
        <f>VLOOKUP(A145,'Trips&amp;Operators'!$C$1:$E$10000,3,FALSE)</f>
        <v>NEWELL</v>
      </c>
      <c r="M145" s="6">
        <f t="shared" si="42"/>
        <v>2.5393518517375924E-2</v>
      </c>
      <c r="N145" s="7">
        <f t="shared" si="39"/>
        <v>36.56666666502133</v>
      </c>
      <c r="O145" s="7"/>
      <c r="P145" s="7"/>
      <c r="Q145" s="23"/>
      <c r="R145" s="23"/>
      <c r="S145" s="35">
        <f t="shared" si="40"/>
        <v>1</v>
      </c>
      <c r="T145" s="50" t="str">
        <f t="shared" si="43"/>
        <v>Southbound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21:14:46-700',mode:absolute,to:'2016-11-29 00:02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5" s="52" t="str">
        <f t="shared" si="45"/>
        <v>N</v>
      </c>
      <c r="X145" s="177">
        <f t="shared" si="46"/>
        <v>1</v>
      </c>
      <c r="Y145" s="67">
        <f t="shared" si="47"/>
        <v>23.299299999999999</v>
      </c>
      <c r="Z145" s="67">
        <f t="shared" si="48"/>
        <v>1.43E-2</v>
      </c>
      <c r="AA145" s="67">
        <f t="shared" si="49"/>
        <v>23.285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50"/>
        <v>0232-28</v>
      </c>
      <c r="AE145" s="91" t="str">
        <f t="shared" si="51"/>
        <v>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 &amp; aws s3 cp s3://rtdc.mdm.uploadarchive.raw/RTDC4037/ "%USERPROFILE%\AppData\Local\Temp\OnboardLogs"\RTDC4037\2016-11-29 --exclude "*" --recursive --include "*20161129*" &amp; "%USERPROFILE%\Documents\GitHub\mrs-test-scripts\Headless Mode &amp; Sideloading\WalkAndUnGZ.bat" "%USERPROFILE%\AppData\Local\Temp\OnboardLogs"\RTDC4037\2016-11-29</v>
      </c>
      <c r="AF145" s="88" t="str">
        <f t="shared" si="52"/>
        <v>"C:\Program Files (x86)\AstroGrep\AstroGrep.exe" /spath="%USERPROFILE%\AppData\Local\Temp\OnboardLogs" /stypes="app*4037*20161129*" /stext=" 06:.+((SYSTEM_STATE.+slice.+state.+changed )|(ment ac)|(multiple cpu faults)|(system.+state.+changed )|(\[timeout)|(PRM\|1\|D)|(kpr)|(kdp)|(\|lc)|(penalty))" /e /r /s</v>
      </c>
      <c r="AG145" s="1" t="str">
        <f t="shared" si="53"/>
        <v>EC</v>
      </c>
      <c r="AH145" s="92" t="str">
        <f t="shared" si="54"/>
        <v>"%USERPROFILE%\Documents\GitHub\eaglep3\Utilities\RefineRTDCRunTimes.py" --tripid 232-28 --locoid 4037 --swversion DE.1.0.8.0 --startMP 204:232993 --initTime 2016-11-28T22:14:46 --startdatetime 2016-11-28T22:26:22 --delay 1 --endMP 204:143 --enddatetime 2016-11-28T23:02:56 --enforcementcount 0 &gt;&gt;C:\Users\stu\Documents\GitHub\eaglep3-reporting\EC\2016-11-28-refined-times.txt</v>
      </c>
      <c r="AI145" s="119" t="str">
        <f t="shared" si="55"/>
        <v>echo {"issue":{"subject":"","project_id":79,"tracker_id":40,"status_id":1,"priority_id":2,"assigned_to_id":23,"start_date":"2016-11-28","description":"","custom_fields":[{"id":1,"name":"Subdivision","value":"EC"},{"id":4,"name":"Milepost","value":"0.0143"},{"id":17,"name":"Train ID","value":"232-28"},{"id":16,"name":"Locomotive ID","value":"4037"},{"id":130,"name":"Impact","value":""},{"id":150,"name":"Time of Event (Mountain Time)","value":"23:02:56"},{"id":151,"name":"Denver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605</v>
      </c>
      <c r="B146" s="7">
        <v>4002</v>
      </c>
      <c r="C146" s="22" t="s">
        <v>212</v>
      </c>
      <c r="D146" s="22" t="s">
        <v>388</v>
      </c>
      <c r="E146" s="13">
        <v>42702.899421296293</v>
      </c>
      <c r="F146" s="13">
        <v>42702.916828703703</v>
      </c>
      <c r="G146" s="7">
        <v>1</v>
      </c>
      <c r="H146" s="22" t="s">
        <v>285</v>
      </c>
      <c r="I146" s="13">
        <v>42702.942210648151</v>
      </c>
      <c r="J146" s="7">
        <v>0</v>
      </c>
      <c r="K146" s="109" t="str">
        <f t="shared" si="41"/>
        <v>4001/4002</v>
      </c>
      <c r="L146" s="22" t="str">
        <f>VLOOKUP(A146,'Trips&amp;Operators'!$C$1:$E$10000,3,FALSE)</f>
        <v>YANAI</v>
      </c>
      <c r="M146" s="6">
        <f t="shared" si="42"/>
        <v>2.5381944447872229E-2</v>
      </c>
      <c r="N146" s="7">
        <f t="shared" si="39"/>
        <v>36.55000000493601</v>
      </c>
      <c r="O146" s="7"/>
      <c r="P146" s="7"/>
      <c r="Q146" s="23"/>
      <c r="R146" s="23"/>
      <c r="S146" s="35">
        <f t="shared" si="40"/>
        <v>1</v>
      </c>
      <c r="T146" s="50" t="str">
        <f t="shared" si="43"/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20:35:10-700',mode:absolute,to:'2016-11-28 23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6" s="52" t="str">
        <f t="shared" si="45"/>
        <v>N</v>
      </c>
      <c r="X146" s="177">
        <f t="shared" si="46"/>
        <v>1</v>
      </c>
      <c r="Y146" s="67">
        <f t="shared" si="47"/>
        <v>4.2599999999999999E-2</v>
      </c>
      <c r="Z146" s="67">
        <f t="shared" si="48"/>
        <v>23.329799999999999</v>
      </c>
      <c r="AA146" s="67">
        <f t="shared" si="49"/>
        <v>23.287199999999999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50"/>
        <v>0233-28</v>
      </c>
      <c r="AE146" s="91" t="str">
        <f t="shared" si="51"/>
        <v>aws s3 cp s3://rtdc.mdm.uploadarchive.raw/RTDC4002/ "%USERPROFILE%\AppData\Local\Temp\OnboardLogs"\RTDC4002\2016-11-28 --exclude "*" --recursive --include "*20161128*" &amp; "%USERPROFILE%\Documents\GitHub\mrs-test-scripts\Headless Mode &amp; Sideloading\WalkAndUnGZ.bat" "%USERPROFILE%\AppData\Local\Temp\OnboardLogs"\RTDC4002\2016-11-28 &amp; aws s3 cp s3://rtdc.mdm.uploadarchive.raw/RTDC4002/ "%USERPROFILE%\AppData\Local\Temp\OnboardLogs"\RTDC4002\2016-11-29 --exclude "*" --recursive --include "*20161129*" &amp; "%USERPROFILE%\Documents\GitHub\mrs-test-scripts\Headless Mode &amp; Sideloading\WalkAndUnGZ.bat" "%USERPROFILE%\AppData\Local\Temp\OnboardLogs"\RTDC4002\2016-11-29</v>
      </c>
      <c r="AF146" s="88" t="str">
        <f t="shared" si="52"/>
        <v>"C:\Program Files (x86)\AstroGrep\AstroGrep.exe" /spath="%USERPROFILE%\AppData\Local\Temp\OnboardLogs" /stypes="app*4002*20161129*" /stext=" 05:.+((SYSTEM_STATE.+slice.+state.+changed )|(ment ac)|(multiple cpu faults)|(system.+state.+changed )|(\[timeout)|(PRM\|1\|D)|(kpr)|(kdp)|(\|lc)|(penalty))" /e /r /s</v>
      </c>
      <c r="AG146" s="1" t="str">
        <f t="shared" si="53"/>
        <v>EC</v>
      </c>
      <c r="AH146" s="92" t="str">
        <f t="shared" si="54"/>
        <v>"%USERPROFILE%\Documents\GitHub\eaglep3\Utilities\RefineRTDCRunTimes.py" --tripid 233-28 --locoid 4002 --swversion DE.1.0.8.0 --startMP 204:426 --initTime 2016-11-28T21:35:10 --startdatetime 2016-11-28T22:00:14 --delay 1 --endMP 204:233298 --enddatetime 2016-11-28T22:36:47 --enforcementcount 0 &gt;&gt;C:\Users\stu\Documents\GitHub\eaglep3-reporting\EC\2016-11-28-refined-times.txt</v>
      </c>
      <c r="AI146" s="119" t="str">
        <f t="shared" si="55"/>
        <v>echo {"issue":{"subject":"","project_id":79,"tracker_id":40,"status_id":1,"priority_id":2,"assigned_to_id":23,"start_date":"2016-11-28","description":"","custom_fields":[{"id":1,"name":"Subdivision","value":"EC"},{"id":4,"name":"Milepost","value":"23.3298"},{"id":17,"name":"Train ID","value":"233-28"},{"id":16,"name":"Locomotive ID","value":"4002"},{"id":130,"name":"Impact","value":""},{"id":150,"name":"Time of Event (Mountain Time)","value":"22:36:47"},{"id":151,"name":"Denver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613</v>
      </c>
      <c r="B147" s="7">
        <v>4001</v>
      </c>
      <c r="C147" s="22" t="s">
        <v>212</v>
      </c>
      <c r="D147" s="22" t="s">
        <v>361</v>
      </c>
      <c r="E147" s="13">
        <v>42702.952696759261</v>
      </c>
      <c r="F147" s="13">
        <v>42702.955694444441</v>
      </c>
      <c r="G147" s="7">
        <v>1</v>
      </c>
      <c r="H147" s="22" t="s">
        <v>208</v>
      </c>
      <c r="I147" s="13">
        <v>42702.981550925928</v>
      </c>
      <c r="J147" s="7">
        <v>0</v>
      </c>
      <c r="K147" s="109" t="str">
        <f t="shared" si="41"/>
        <v>4001/4002</v>
      </c>
      <c r="L147" s="22" t="str">
        <f>VLOOKUP(A147,'Trips&amp;Operators'!$C$1:$E$10000,3,FALSE)</f>
        <v>YANAI</v>
      </c>
      <c r="M147" s="6">
        <f t="shared" si="42"/>
        <v>2.5856481486698613E-2</v>
      </c>
      <c r="N147" s="7">
        <f t="shared" si="39"/>
        <v>37.233333340846002</v>
      </c>
      <c r="O147" s="7"/>
      <c r="P147" s="7"/>
      <c r="Q147" s="23"/>
      <c r="R147" s="23"/>
      <c r="S147" s="35">
        <f t="shared" si="40"/>
        <v>1</v>
      </c>
      <c r="T147" s="50" t="str">
        <f t="shared" si="43"/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21:51:53-700',mode:absolute,to:'2016-11-29 00:33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7" s="52" t="str">
        <f t="shared" si="45"/>
        <v>N</v>
      </c>
      <c r="X147" s="177">
        <f t="shared" si="46"/>
        <v>1</v>
      </c>
      <c r="Y147" s="67">
        <f t="shared" si="47"/>
        <v>23.299099999999999</v>
      </c>
      <c r="Z147" s="67">
        <f t="shared" si="48"/>
        <v>1.5599999999999999E-2</v>
      </c>
      <c r="AA147" s="67">
        <f t="shared" si="49"/>
        <v>23.2835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50"/>
        <v>0234-28</v>
      </c>
      <c r="AE147" s="91" t="str">
        <f t="shared" si="51"/>
        <v>aws s3 cp s3://rtdc.mdm.uploadarchive.raw/RTDC4001/ "%USERPROFILE%\AppData\Local\Temp\OnboardLogs"\RTDC4001\2016-11-28 --exclude "*" --recursive --include "*20161128*" &amp; "%USERPROFILE%\Documents\GitHub\mrs-test-scripts\Headless Mode &amp; Sideloading\WalkAndUnGZ.bat" "%USERPROFILE%\AppData\Local\Temp\OnboardLogs"\RTDC4001\2016-11-28 &amp; aws s3 cp s3://rtdc.mdm.uploadarchive.raw/RTDC4001/ "%USERPROFILE%\AppData\Local\Temp\OnboardLogs"\RTDC4001\2016-11-29 --exclude "*" --recursive --include "*20161129*" &amp; "%USERPROFILE%\Documents\GitHub\mrs-test-scripts\Headless Mode &amp; Sideloading\WalkAndUnGZ.bat" "%USERPROFILE%\AppData\Local\Temp\OnboardLogs"\RTDC4001\2016-11-29</v>
      </c>
      <c r="AF147" s="88" t="str">
        <f t="shared" si="52"/>
        <v>"C:\Program Files (x86)\AstroGrep\AstroGrep.exe" /spath="%USERPROFILE%\AppData\Local\Temp\OnboardLogs" /stypes="app*4001*20161129*" /stext=" 06:.+((SYSTEM_STATE.+slice.+state.+changed )|(ment ac)|(multiple cpu faults)|(system.+state.+changed )|(\[timeout)|(PRM\|1\|D)|(kpr)|(kdp)|(\|lc)|(penalty))" /e /r /s</v>
      </c>
      <c r="AG147" s="1" t="str">
        <f t="shared" si="53"/>
        <v>EC</v>
      </c>
      <c r="AH147" s="92" t="str">
        <f t="shared" si="54"/>
        <v>"%USERPROFILE%\Documents\GitHub\eaglep3\Utilities\RefineRTDCRunTimes.py" --tripid 234-28 --locoid 4001 --swversion DE.1.0.8.0 --startMP 204:232991 --initTime 2016-11-28T22:51:53 --startdatetime 2016-11-28T22:56:12 --delay 1 --endMP 204:156 --enddatetime 2016-11-28T23:33:26 --enforcementcount 0 &gt;&gt;C:\Users\stu\Documents\GitHub\eaglep3-reporting\EC\2016-11-28-refined-times.txt</v>
      </c>
      <c r="AI147" s="119" t="str">
        <f t="shared" si="55"/>
        <v>echo {"issue":{"subject":"","project_id":79,"tracker_id":40,"status_id":1,"priority_id":2,"assigned_to_id":23,"start_date":"2016-11-28","description":"","custom_fields":[{"id":1,"name":"Subdivision","value":"EC"},{"id":4,"name":"Milepost","value":"0.0156"},{"id":17,"name":"Train ID","value":"234-28"},{"id":16,"name":"Locomotive ID","value":"4001"},{"id":130,"name":"Impact","value":""},{"id":150,"name":"Time of Event (Mountain Time)","value":"23:33:26"},{"id":151,"name":"Denver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610</v>
      </c>
      <c r="B148" s="7">
        <v>4042</v>
      </c>
      <c r="C148" s="22" t="s">
        <v>212</v>
      </c>
      <c r="D148" s="22" t="s">
        <v>315</v>
      </c>
      <c r="E148" s="13">
        <v>42702.932384259257</v>
      </c>
      <c r="F148" s="13">
        <v>42702.937754629631</v>
      </c>
      <c r="G148" s="7">
        <v>1</v>
      </c>
      <c r="H148" s="22" t="s">
        <v>285</v>
      </c>
      <c r="I148" s="13">
        <v>42702.963182870371</v>
      </c>
      <c r="J148" s="7">
        <v>0</v>
      </c>
      <c r="K148" s="109" t="str">
        <f t="shared" si="41"/>
        <v>4041/4042</v>
      </c>
      <c r="L148" s="22" t="str">
        <f>VLOOKUP(A148,'Trips&amp;Operators'!$C$1:$E$10000,3,FALSE)</f>
        <v>CHANDLER</v>
      </c>
      <c r="M148" s="6">
        <f t="shared" si="42"/>
        <v>2.5428240740438923E-2</v>
      </c>
      <c r="N148" s="7">
        <f t="shared" ref="N148:N179" si="56">24*60*SUM($M148:$M148)</f>
        <v>36.616666666232049</v>
      </c>
      <c r="O148" s="7"/>
      <c r="P148" s="7"/>
      <c r="Q148" s="23"/>
      <c r="R148" s="23"/>
      <c r="S148" s="35">
        <f t="shared" ref="S148:S179" si="57">SUM(U148:U148)/IF(AG148="EC",12,1)</f>
        <v>1</v>
      </c>
      <c r="T148" s="50" t="str">
        <f t="shared" si="43"/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21:22:38-700',mode:absolute,to:'2016-11-29 00:06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8" s="52" t="str">
        <f t="shared" si="45"/>
        <v>N</v>
      </c>
      <c r="X148" s="177">
        <f t="shared" si="46"/>
        <v>1</v>
      </c>
      <c r="Y148" s="67">
        <f t="shared" si="47"/>
        <v>4.7300000000000002E-2</v>
      </c>
      <c r="Z148" s="67">
        <f t="shared" si="48"/>
        <v>23.329799999999999</v>
      </c>
      <c r="AA148" s="67">
        <f t="shared" si="49"/>
        <v>23.282499999999999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50"/>
        <v>0235-28</v>
      </c>
      <c r="AE148" s="91" t="str">
        <f t="shared" si="51"/>
        <v>aws s3 cp s3://rtdc.mdm.uploadarchive.raw/RTDC4042/ "%USERPROFILE%\AppData\Local\Temp\OnboardLogs"\RTDC4042\2016-11-28 --exclude "*" --recursive --include "*20161128*" &amp; "%USERPROFILE%\Documents\GitHub\mrs-test-scripts\Headless Mode &amp; Sideloading\WalkAndUnGZ.bat" "%USERPROFILE%\AppData\Local\Temp\OnboardLogs"\RTDC4042\2016-11-28 &amp; aws s3 cp s3://rtdc.mdm.uploadarchive.raw/RTDC4042/ "%USERPROFILE%\AppData\Local\Temp\OnboardLogs"\RTDC4042\2016-11-29 --exclude "*" --recursive --include "*20161129*" &amp; "%USERPROFILE%\Documents\GitHub\mrs-test-scripts\Headless Mode &amp; Sideloading\WalkAndUnGZ.bat" "%USERPROFILE%\AppData\Local\Temp\OnboardLogs"\RTDC4042\2016-11-29</v>
      </c>
      <c r="AF148" s="88" t="str">
        <f t="shared" si="52"/>
        <v>"C:\Program Files (x86)\AstroGrep\AstroGrep.exe" /spath="%USERPROFILE%\AppData\Local\Temp\OnboardLogs" /stypes="app*4042*20161129*" /stext=" 06:.+((SYSTEM_STATE.+slice.+state.+changed )|(ment ac)|(multiple cpu faults)|(system.+state.+changed )|(\[timeout)|(PRM\|1\|D)|(kpr)|(kdp)|(\|lc)|(penalty))" /e /r /s</v>
      </c>
      <c r="AG148" s="1" t="str">
        <f t="shared" si="53"/>
        <v>EC</v>
      </c>
      <c r="AH148" s="92" t="str">
        <f t="shared" si="54"/>
        <v>"%USERPROFILE%\Documents\GitHub\eaglep3\Utilities\RefineRTDCRunTimes.py" --tripid 235-28 --locoid 4042 --swversion DE.1.0.8.0 --startMP 204:473 --initTime 2016-11-28T22:22:38 --startdatetime 2016-11-28T22:30:22 --delay 1 --endMP 204:233298 --enddatetime 2016-11-28T23:06:59 --enforcementcount 0 &gt;&gt;C:\Users\stu\Documents\GitHub\eaglep3-reporting\EC\2016-11-28-refined-times.txt</v>
      </c>
      <c r="AI148" s="119" t="str">
        <f t="shared" si="55"/>
        <v>echo {"issue":{"subject":"","project_id":79,"tracker_id":40,"status_id":1,"priority_id":2,"assigned_to_id":23,"start_date":"2016-11-28","description":"","custom_fields":[{"id":1,"name":"Subdivision","value":"EC"},{"id":4,"name":"Milepost","value":"23.3298"},{"id":17,"name":"Train ID","value":"235-28"},{"id":16,"name":"Locomotive ID","value":"4042"},{"id":130,"name":"Impact","value":""},{"id":150,"name":"Time of Event (Mountain Time)","value":"23:06:59"},{"id":151,"name":"Denver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615</v>
      </c>
      <c r="B149" s="7">
        <v>4041</v>
      </c>
      <c r="C149" s="22" t="s">
        <v>212</v>
      </c>
      <c r="D149" s="22" t="s">
        <v>313</v>
      </c>
      <c r="E149" s="13">
        <v>42702.974224537036</v>
      </c>
      <c r="F149" s="13">
        <v>42702.976712962962</v>
      </c>
      <c r="G149" s="7">
        <v>1</v>
      </c>
      <c r="H149" s="22" t="s">
        <v>364</v>
      </c>
      <c r="I149" s="13">
        <v>42703.00445601852</v>
      </c>
      <c r="J149" s="7">
        <v>0</v>
      </c>
      <c r="K149" s="109" t="str">
        <f t="shared" si="41"/>
        <v>4041/4042</v>
      </c>
      <c r="L149" s="22" t="str">
        <f>VLOOKUP(A149,'Trips&amp;Operators'!$C$1:$E$10000,3,FALSE)</f>
        <v>CHANDLER</v>
      </c>
      <c r="M149" s="6">
        <f t="shared" si="42"/>
        <v>2.7743055557948537E-2</v>
      </c>
      <c r="N149" s="7">
        <f t="shared" si="56"/>
        <v>39.950000003445894</v>
      </c>
      <c r="O149" s="7"/>
      <c r="P149" s="7"/>
      <c r="Q149" s="23"/>
      <c r="R149" s="23"/>
      <c r="S149" s="35">
        <f t="shared" si="57"/>
        <v>1</v>
      </c>
      <c r="T149" s="50" t="str">
        <f t="shared" si="43"/>
        <v>Southbound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22:22:53-700',mode:absolute,to:'2016-11-29 01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9" s="52" t="str">
        <f t="shared" si="45"/>
        <v>N</v>
      </c>
      <c r="X149" s="177">
        <f t="shared" si="46"/>
        <v>1</v>
      </c>
      <c r="Y149" s="67">
        <f t="shared" si="47"/>
        <v>23.298500000000001</v>
      </c>
      <c r="Z149" s="67">
        <f t="shared" si="48"/>
        <v>1.6299999999999999E-2</v>
      </c>
      <c r="AA149" s="67">
        <f t="shared" si="49"/>
        <v>23.2822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50"/>
        <v>0236-28</v>
      </c>
      <c r="AE149" s="91" t="str">
        <f t="shared" si="51"/>
        <v>aws s3 cp s3://rtdc.mdm.uploadarchive.raw/RTDC4041/ "%USERPROFILE%\AppData\Local\Temp\OnboardLogs"\RTDC4041\2016-11-28 --exclude "*" --recursive --include "*20161128*" &amp; "%USERPROFILE%\Documents\GitHub\mrs-test-scripts\Headless Mode &amp; Sideloading\WalkAndUnGZ.bat" "%USERPROFILE%\AppData\Local\Temp\OnboardLogs"\RTDC4041\2016-11-28 &amp; 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</v>
      </c>
      <c r="AF149" s="88" t="str">
        <f t="shared" si="52"/>
        <v>"C:\Program Files (x86)\AstroGrep\AstroGrep.exe" /spath="%USERPROFILE%\AppData\Local\Temp\OnboardLogs" /stypes="app*4041*20161129*" /stext=" 07:.+((SYSTEM_STATE.+slice.+state.+changed )|(ment ac)|(multiple cpu faults)|(system.+state.+changed )|(\[timeout)|(PRM\|1\|D)|(kpr)|(kdp)|(\|lc)|(penalty))" /e /r /s</v>
      </c>
      <c r="AG149" s="1" t="str">
        <f t="shared" si="53"/>
        <v>EC</v>
      </c>
      <c r="AH149" s="92" t="str">
        <f t="shared" si="54"/>
        <v>"%USERPROFILE%\Documents\GitHub\eaglep3\Utilities\RefineRTDCRunTimes.py" --tripid 236-28 --locoid 4041 --swversion DE.1.0.8.0 --startMP 204:232985 --initTime 2016-11-28T23:22:53 --startdatetime 2016-11-28T23:26:28 --delay 1 --endMP 204:163 --enddatetime 2016-11-29T00:06:25 --enforcementcount 0 &gt;&gt;C:\Users\stu\Documents\GitHub\eaglep3-reporting\EC\2016-11-28-refined-times.txt</v>
      </c>
      <c r="AI149" s="119" t="str">
        <f t="shared" si="55"/>
        <v>echo {"issue":{"subject":"","project_id":79,"tracker_id":40,"status_id":1,"priority_id":2,"assigned_to_id":23,"start_date":"2016-11-29","description":"","custom_fields":[{"id":1,"name":"Subdivision","value":"EC"},{"id":4,"name":"Milepost","value":"0.0163"},{"id":17,"name":"Train ID","value":"236-28"},{"id":16,"name":"Locomotive ID","value":"4041"},{"id":130,"name":"Impact","value":""},{"id":150,"name":"Time of Event (Mountain Time)","value":"00:06:25"},{"id":151,"name":"Denver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612</v>
      </c>
      <c r="B150" s="7">
        <v>4025</v>
      </c>
      <c r="C150" s="22" t="s">
        <v>212</v>
      </c>
      <c r="D150" s="22" t="s">
        <v>211</v>
      </c>
      <c r="E150" s="13">
        <v>42702.950787037036</v>
      </c>
      <c r="F150" s="13">
        <v>42702.958518518521</v>
      </c>
      <c r="G150" s="7">
        <v>1</v>
      </c>
      <c r="H150" s="22" t="s">
        <v>284</v>
      </c>
      <c r="I150" s="13">
        <v>42702.983587962961</v>
      </c>
      <c r="J150" s="7">
        <v>0</v>
      </c>
      <c r="K150" s="109" t="str">
        <f t="shared" si="41"/>
        <v>4025/4026</v>
      </c>
      <c r="L150" s="22" t="str">
        <f>VLOOKUP(A150,'Trips&amp;Operators'!$C$1:$E$10000,3,FALSE)</f>
        <v>LEVERE</v>
      </c>
      <c r="M150" s="6">
        <f t="shared" si="42"/>
        <v>2.5069444440305233E-2</v>
      </c>
      <c r="N150" s="7">
        <f t="shared" si="56"/>
        <v>36.099999994039536</v>
      </c>
      <c r="O150" s="7"/>
      <c r="P150" s="7"/>
      <c r="Q150" s="23"/>
      <c r="R150" s="23"/>
      <c r="S150" s="35">
        <f t="shared" si="57"/>
        <v>1</v>
      </c>
      <c r="T150" s="50" t="str">
        <f t="shared" si="43"/>
        <v>NorthBound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21:49:08-700',mode:absolute,to:'2016-11-29 00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0" s="52" t="str">
        <f t="shared" si="45"/>
        <v>N</v>
      </c>
      <c r="X150" s="177">
        <f t="shared" si="46"/>
        <v>1</v>
      </c>
      <c r="Y150" s="67">
        <f t="shared" si="47"/>
        <v>4.6399999999999997E-2</v>
      </c>
      <c r="Z150" s="67">
        <f t="shared" si="48"/>
        <v>23.331499999999998</v>
      </c>
      <c r="AA150" s="67">
        <f t="shared" si="49"/>
        <v>23.2851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50"/>
        <v>0237-28</v>
      </c>
      <c r="AE150" s="91" t="str">
        <f t="shared" si="51"/>
        <v>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 &amp; aws s3 cp s3://rtdc.mdm.uploadarchive.raw/RTDC4025/ "%USERPROFILE%\AppData\Local\Temp\OnboardLogs"\RTDC4025\2016-11-29 --exclude "*" --recursive --include "*20161129*" &amp; "%USERPROFILE%\Documents\GitHub\mrs-test-scripts\Headless Mode &amp; Sideloading\WalkAndUnGZ.bat" "%USERPROFILE%\AppData\Local\Temp\OnboardLogs"\RTDC4025\2016-11-29</v>
      </c>
      <c r="AF150" s="88" t="str">
        <f t="shared" si="52"/>
        <v>"C:\Program Files (x86)\AstroGrep\AstroGrep.exe" /spath="%USERPROFILE%\AppData\Local\Temp\OnboardLogs" /stypes="app*4025*20161129*" /stext=" 06:.+((SYSTEM_STATE.+slice.+state.+changed )|(ment ac)|(multiple cpu faults)|(system.+state.+changed )|(\[timeout)|(PRM\|1\|D)|(kpr)|(kdp)|(\|lc)|(penalty))" /e /r /s</v>
      </c>
      <c r="AG150" s="1" t="str">
        <f t="shared" si="53"/>
        <v>EC</v>
      </c>
      <c r="AH150" s="92" t="str">
        <f t="shared" si="54"/>
        <v>"%USERPROFILE%\Documents\GitHub\eaglep3\Utilities\RefineRTDCRunTimes.py" --tripid 237-28 --locoid 4025 --swversion DE.1.0.8.0 --startMP 204:464 --initTime 2016-11-28T22:49:08 --startdatetime 2016-11-28T23:00:16 --delay 1 --endMP 204:233315 --enddatetime 2016-11-28T23:36:22 --enforcementcount 0 &gt;&gt;C:\Users\stu\Documents\GitHub\eaglep3-reporting\EC\2016-11-28-refined-times.txt</v>
      </c>
      <c r="AI150" s="119" t="str">
        <f t="shared" si="55"/>
        <v>echo {"issue":{"subject":"","project_id":79,"tracker_id":40,"status_id":1,"priority_id":2,"assigned_to_id":23,"start_date":"2016-11-28","description":"","custom_fields":[{"id":1,"name":"Subdivision","value":"EC"},{"id":4,"name":"Milepost","value":"23.3315"},{"id":17,"name":"Train ID","value":"237-28"},{"id":16,"name":"Locomotive ID","value":"4025"},{"id":130,"name":"Impact","value":""},{"id":150,"name":"Time of Event (Mountain Time)","value":"23:36:22"},{"id":151,"name":"Denver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s="21" customFormat="1" x14ac:dyDescent="0.25">
      <c r="A151" s="37" t="s">
        <v>616</v>
      </c>
      <c r="B151" s="7">
        <v>4026</v>
      </c>
      <c r="C151" s="22" t="s">
        <v>212</v>
      </c>
      <c r="D151" s="22" t="s">
        <v>313</v>
      </c>
      <c r="E151" s="13">
        <v>42702.988229166665</v>
      </c>
      <c r="F151" s="13">
        <v>42702.997581018521</v>
      </c>
      <c r="G151" s="7">
        <v>1</v>
      </c>
      <c r="H151" s="22" t="s">
        <v>214</v>
      </c>
      <c r="I151" s="13">
        <v>42703.024930555555</v>
      </c>
      <c r="J151" s="7">
        <v>0</v>
      </c>
      <c r="K151" s="109" t="str">
        <f t="shared" si="41"/>
        <v>4025/4026</v>
      </c>
      <c r="L151" s="22" t="str">
        <f>VLOOKUP(A151,'Trips&amp;Operators'!$C$1:$E$10000,3,FALSE)</f>
        <v>LEVERE</v>
      </c>
      <c r="M151" s="6">
        <f t="shared" si="42"/>
        <v>2.7349537034751847E-2</v>
      </c>
      <c r="N151" s="7">
        <f t="shared" si="56"/>
        <v>39.38333333004266</v>
      </c>
      <c r="O151" s="7"/>
      <c r="P151" s="7"/>
      <c r="Q151" s="23"/>
      <c r="R151" s="23"/>
      <c r="S151" s="35">
        <f t="shared" si="57"/>
        <v>1</v>
      </c>
      <c r="T151" s="50" t="str">
        <f t="shared" si="43"/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22:43:03-700',mode:absolute,to:'2016-11-29 01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1" s="52" t="str">
        <f t="shared" si="45"/>
        <v>N</v>
      </c>
      <c r="X151" s="177">
        <f t="shared" si="46"/>
        <v>1</v>
      </c>
      <c r="Y151" s="67">
        <f t="shared" si="47"/>
        <v>23.298500000000001</v>
      </c>
      <c r="Z151" s="67">
        <f t="shared" si="48"/>
        <v>1.5800000000000002E-2</v>
      </c>
      <c r="AA151" s="67">
        <f t="shared" si="49"/>
        <v>23.282700000000002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50"/>
        <v>0238-28</v>
      </c>
      <c r="AE151" s="91" t="str">
        <f t="shared" si="51"/>
        <v>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 &amp; aws s3 cp s3://rtdc.mdm.uploadarchive.raw/RTDC4026/ "%USERPROFILE%\AppData\Local\Temp\OnboardLogs"\RTDC4026\2016-11-29 --exclude "*" --recursive --include "*20161129*" &amp; "%USERPROFILE%\Documents\GitHub\mrs-test-scripts\Headless Mode &amp; Sideloading\WalkAndUnGZ.bat" "%USERPROFILE%\AppData\Local\Temp\OnboardLogs"\RTDC4026\2016-11-29</v>
      </c>
      <c r="AF151" s="88" t="str">
        <f t="shared" si="52"/>
        <v>"C:\Program Files (x86)\AstroGrep\AstroGrep.exe" /spath="%USERPROFILE%\AppData\Local\Temp\OnboardLogs" /stypes="app*4026*20161129*" /stext=" 07:.+((SYSTEM_STATE.+slice.+state.+changed )|(ment ac)|(multiple cpu faults)|(system.+state.+changed )|(\[timeout)|(PRM\|1\|D)|(kpr)|(kdp)|(\|lc)|(penalty))" /e /r /s</v>
      </c>
      <c r="AG151" s="1" t="str">
        <f t="shared" si="53"/>
        <v>EC</v>
      </c>
      <c r="AH151" s="92" t="str">
        <f t="shared" si="54"/>
        <v>"%USERPROFILE%\Documents\GitHub\eaglep3\Utilities\RefineRTDCRunTimes.py" --tripid 238-28 --locoid 4026 --swversion DE.1.0.8.0 --startMP 204:232985 --initTime 2016-11-28T23:43:03 --startdatetime 2016-11-28T23:56:31 --delay 1 --endMP 204:158 --enddatetime 2016-11-29T00:35:54 --enforcementcount 0 &gt;&gt;C:\Users\stu\Documents\GitHub\eaglep3-reporting\EC\2016-11-28-refined-times.txt</v>
      </c>
      <c r="AI151" s="119" t="str">
        <f t="shared" si="55"/>
        <v>echo {"issue":{"subject":"","project_id":79,"tracker_id":40,"status_id":1,"priority_id":2,"assigned_to_id":23,"start_date":"2016-11-29","description":"","custom_fields":[{"id":1,"name":"Subdivision","value":"EC"},{"id":4,"name":"Milepost","value":"0.0158"},{"id":17,"name":"Train ID","value":"238-28"},{"id":16,"name":"Locomotive ID","value":"4026"},{"id":130,"name":"Impact","value":""},{"id":150,"name":"Time of Event (Mountain Time)","value":"00:35:54"},{"id":151,"name":"Denver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7" t="s">
        <v>614</v>
      </c>
      <c r="B152" s="7">
        <v>4038</v>
      </c>
      <c r="C152" s="22" t="s">
        <v>212</v>
      </c>
      <c r="D152" s="22" t="s">
        <v>211</v>
      </c>
      <c r="E152" s="13">
        <v>42702.961944444447</v>
      </c>
      <c r="F152" s="13">
        <v>42702.979386574072</v>
      </c>
      <c r="G152" s="7">
        <v>1</v>
      </c>
      <c r="H152" s="22" t="s">
        <v>272</v>
      </c>
      <c r="I152" s="13">
        <v>42703.003599537034</v>
      </c>
      <c r="J152" s="7">
        <v>0</v>
      </c>
      <c r="K152" s="109" t="str">
        <f t="shared" si="41"/>
        <v>4037/4038</v>
      </c>
      <c r="L152" s="22" t="str">
        <f>VLOOKUP(A152,'Trips&amp;Operators'!$C$1:$E$10000,3,FALSE)</f>
        <v>NEWELL</v>
      </c>
      <c r="M152" s="6">
        <f t="shared" si="42"/>
        <v>2.421296296233777E-2</v>
      </c>
      <c r="N152" s="7">
        <f t="shared" si="56"/>
        <v>34.866666665766388</v>
      </c>
      <c r="O152" s="7"/>
      <c r="P152" s="7"/>
      <c r="Q152" s="23"/>
      <c r="R152" s="23"/>
      <c r="S152" s="35">
        <f t="shared" si="57"/>
        <v>1</v>
      </c>
      <c r="T152" s="50" t="str">
        <f t="shared" si="43"/>
        <v>NorthBound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22:05:12-700',mode:absolute,to:'2016-11-29 01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2" s="52" t="str">
        <f t="shared" si="45"/>
        <v>N</v>
      </c>
      <c r="X152" s="177">
        <f t="shared" si="46"/>
        <v>1</v>
      </c>
      <c r="Y152" s="67">
        <f t="shared" si="47"/>
        <v>4.6399999999999997E-2</v>
      </c>
      <c r="Z152" s="67">
        <f t="shared" si="48"/>
        <v>23.3308</v>
      </c>
      <c r="AA152" s="67">
        <f t="shared" si="49"/>
        <v>23.284400000000002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50"/>
        <v>0239-28</v>
      </c>
      <c r="AE152" s="91" t="str">
        <f t="shared" si="51"/>
        <v>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 &amp; aws s3 cp s3://rtdc.mdm.uploadarchive.raw/RTDC4038/ "%USERPROFILE%\AppData\Local\Temp\OnboardLogs"\RTDC4038\2016-11-29 --exclude "*" --recursive --include "*20161129*" &amp; "%USERPROFILE%\Documents\GitHub\mrs-test-scripts\Headless Mode &amp; Sideloading\WalkAndUnGZ.bat" "%USERPROFILE%\AppData\Local\Temp\OnboardLogs"\RTDC4038\2016-11-29</v>
      </c>
      <c r="AF152" s="88" t="str">
        <f t="shared" si="52"/>
        <v>"C:\Program Files (x86)\AstroGrep\AstroGrep.exe" /spath="%USERPROFILE%\AppData\Local\Temp\OnboardLogs" /stypes="app*4038*20161129*" /stext=" 07:.+((SYSTEM_STATE.+slice.+state.+changed )|(ment ac)|(multiple cpu faults)|(system.+state.+changed )|(\[timeout)|(PRM\|1\|D)|(kpr)|(kdp)|(\|lc)|(penalty))" /e /r /s</v>
      </c>
      <c r="AG152" s="1" t="str">
        <f t="shared" si="53"/>
        <v>EC</v>
      </c>
      <c r="AH152" s="92" t="str">
        <f t="shared" si="54"/>
        <v>"%USERPROFILE%\Documents\GitHub\eaglep3\Utilities\RefineRTDCRunTimes.py" --tripid 239-28 --locoid 4038 --swversion DE.1.0.8.0 --startMP 204:464 --initTime 2016-11-28T23:05:12 --startdatetime 2016-11-28T23:30:19 --delay 1 --endMP 204:233308 --enddatetime 2016-11-29T00:05:11 --enforcementcount 0 &gt;&gt;C:\Users\stu\Documents\GitHub\eaglep3-reporting\EC\2016-11-28-refined-times.txt</v>
      </c>
      <c r="AI152" s="119" t="str">
        <f t="shared" si="55"/>
        <v>echo {"issue":{"subject":"","project_id":79,"tracker_id":40,"status_id":1,"priority_id":2,"assigned_to_id":23,"start_date":"2016-11-29","description":"","custom_fields":[{"id":1,"name":"Subdivision","value":"EC"},{"id":4,"name":"Milepost","value":"23.3308"},{"id":17,"name":"Train ID","value":"239-28"},{"id":16,"name":"Locomotive ID","value":"4038"},{"id":130,"name":"Impact","value":""},{"id":150,"name":"Time of Event (Mountain Time)","value":"00:05:11"},{"id":151,"name":"Denver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x14ac:dyDescent="0.25">
      <c r="A153" s="37" t="s">
        <v>617</v>
      </c>
      <c r="B153" s="7">
        <v>4037</v>
      </c>
      <c r="C153" s="22" t="s">
        <v>212</v>
      </c>
      <c r="D153" s="22" t="s">
        <v>271</v>
      </c>
      <c r="E153" s="13">
        <v>42703.013090277775</v>
      </c>
      <c r="F153" s="13">
        <v>42703.018206018518</v>
      </c>
      <c r="G153" s="7">
        <v>1</v>
      </c>
      <c r="H153" s="22" t="s">
        <v>219</v>
      </c>
      <c r="I153" s="13">
        <v>42703.043668981481</v>
      </c>
      <c r="J153" s="7">
        <v>0</v>
      </c>
      <c r="K153" s="109" t="str">
        <f t="shared" si="41"/>
        <v>4037/4038</v>
      </c>
      <c r="L153" s="22" t="str">
        <f>VLOOKUP(A153,'Trips&amp;Operators'!$C$1:$E$10000,3,FALSE)</f>
        <v>NEWELL</v>
      </c>
      <c r="M153" s="6">
        <f t="shared" si="42"/>
        <v>2.5462962963501923E-2</v>
      </c>
      <c r="N153" s="7">
        <f t="shared" si="56"/>
        <v>36.666666667442769</v>
      </c>
      <c r="O153" s="7"/>
      <c r="P153" s="7"/>
      <c r="Q153" s="23"/>
      <c r="R153" s="23"/>
      <c r="S153" s="35">
        <f t="shared" si="57"/>
        <v>1</v>
      </c>
      <c r="T153" s="50" t="str">
        <f t="shared" si="43"/>
        <v>Southbound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23:18:51-700',mode:absolute,to:'2016-11-29 02:02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3" s="52" t="str">
        <f t="shared" si="45"/>
        <v>N</v>
      </c>
      <c r="X153" s="177">
        <f t="shared" si="46"/>
        <v>1</v>
      </c>
      <c r="Y153" s="67">
        <f t="shared" si="47"/>
        <v>23.3</v>
      </c>
      <c r="Z153" s="67">
        <f t="shared" si="48"/>
        <v>1.4999999999999999E-2</v>
      </c>
      <c r="AA153" s="67">
        <f t="shared" si="49"/>
        <v>23.285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50"/>
        <v>0240-28</v>
      </c>
      <c r="AE153" s="91" t="str">
        <f t="shared" si="51"/>
        <v>aws s3 cp s3://rtdc.mdm.uploadarchive.raw/RTDC4037/ "%USERPROFILE%\AppData\Local\Temp\OnboardLogs"\RTDC4037\2016-11-29 --exclude "*" --recursive --include "*20161129*" &amp; "%USERPROFILE%\Documents\GitHub\mrs-test-scripts\Headless Mode &amp; Sideloading\WalkAndUnGZ.bat" "%USERPROFILE%\AppData\Local\Temp\OnboardLogs"\RTDC4037\2016-11-29 &amp; 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</v>
      </c>
      <c r="AF153" s="88" t="str">
        <f t="shared" si="52"/>
        <v>"C:\Program Files (x86)\AstroGrep\AstroGrep.exe" /spath="%USERPROFILE%\AppData\Local\Temp\OnboardLogs" /stypes="app*4037*20161129*" /stext=" 08:.+((SYSTEM_STATE.+slice.+state.+changed )|(ment ac)|(multiple cpu faults)|(system.+state.+changed )|(\[timeout)|(PRM\|1\|D)|(kpr)|(kdp)|(\|lc)|(penalty))" /e /r /s</v>
      </c>
      <c r="AG153" s="1" t="str">
        <f t="shared" si="53"/>
        <v>EC</v>
      </c>
      <c r="AH153" s="92" t="str">
        <f t="shared" si="54"/>
        <v>"%USERPROFILE%\Documents\GitHub\eaglep3\Utilities\RefineRTDCRunTimes.py" --tripid 240-28 --locoid 4037 --swversion DE.1.0.8.0 --startMP 204:233000 --initTime 2016-11-29T00:18:51 --startdatetime 2016-11-29T00:26:13 --delay 1 --endMP 204:150 --enddatetime 2016-11-29T01:02:53 --enforcementcount 0 &gt;&gt;C:\Users\stu\Documents\GitHub\eaglep3-reporting\EC\2016-11-28-refined-times.txt</v>
      </c>
      <c r="AI153" s="119" t="str">
        <f t="shared" si="55"/>
        <v>echo {"issue":{"subject":"","project_id":79,"tracker_id":40,"status_id":1,"priority_id":2,"assigned_to_id":23,"start_date":"2016-11-29","description":"","custom_fields":[{"id":1,"name":"Subdivision","value":"EC"},{"id":4,"name":"Milepost","value":"0.015"},{"id":17,"name":"Train ID","value":"240-28"},{"id":16,"name":"Locomotive ID","value":"4037"},{"id":130,"name":"Impact","value":""},{"id":150,"name":"Time of Event (Mountain Time)","value":"01:02:53"},{"id":151,"name":"Denver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s="21" customFormat="1" x14ac:dyDescent="0.25">
      <c r="A154" s="37" t="s">
        <v>432</v>
      </c>
      <c r="B154" s="7">
        <v>4002</v>
      </c>
      <c r="C154" s="22" t="s">
        <v>212</v>
      </c>
      <c r="D154" s="22" t="s">
        <v>257</v>
      </c>
      <c r="E154" s="13">
        <v>42702.983148148145</v>
      </c>
      <c r="F154" s="13">
        <v>42703.000150462962</v>
      </c>
      <c r="G154" s="7">
        <v>1</v>
      </c>
      <c r="H154" s="22" t="s">
        <v>681</v>
      </c>
      <c r="I154" s="13">
        <v>42703.024386574078</v>
      </c>
      <c r="J154" s="7">
        <v>0</v>
      </c>
      <c r="K154" s="109" t="str">
        <f t="shared" si="41"/>
        <v>4001/4002</v>
      </c>
      <c r="L154" s="22" t="str">
        <f>VLOOKUP(A154,'Trips&amp;Operators'!$C$1:$E$10000,3,FALSE)</f>
        <v>YANAI</v>
      </c>
      <c r="M154" s="6">
        <f t="shared" si="42"/>
        <v>2.4236111115897074E-2</v>
      </c>
      <c r="N154" s="7">
        <f t="shared" si="56"/>
        <v>34.900000006891787</v>
      </c>
      <c r="O154" s="7"/>
      <c r="P154" s="7"/>
      <c r="Q154" s="23"/>
      <c r="R154" s="23"/>
      <c r="S154" s="35">
        <f t="shared" si="57"/>
        <v>1</v>
      </c>
      <c r="T154" s="50" t="str">
        <f t="shared" si="43"/>
        <v>NorthBound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22:35:44-700',mode:absolute,to:'2016-11-29 01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4" s="52" t="str">
        <f t="shared" si="45"/>
        <v>N</v>
      </c>
      <c r="X154" s="177">
        <f t="shared" si="46"/>
        <v>1</v>
      </c>
      <c r="Y154" s="67">
        <f t="shared" si="47"/>
        <v>4.5999999999999999E-2</v>
      </c>
      <c r="Z154" s="67">
        <f t="shared" si="48"/>
        <v>23.33</v>
      </c>
      <c r="AA154" s="67">
        <f t="shared" si="49"/>
        <v>23.283999999999999</v>
      </c>
      <c r="AB154" s="64" t="str">
        <f>VLOOKUP(A154,Enforcements!$C$7:$K$20,8,0)</f>
        <v>Signal based authority (5)</v>
      </c>
      <c r="AC154" s="60" t="str">
        <f>VLOOKUP(A154,Enforcements!$C$7:$E$20,3,0)</f>
        <v>SIGNAL</v>
      </c>
      <c r="AD154" s="61" t="str">
        <f t="shared" si="50"/>
        <v>0241-28</v>
      </c>
      <c r="AE154" s="91" t="str">
        <f t="shared" si="51"/>
        <v>aws s3 cp s3://rtdc.mdm.uploadarchive.raw/RTDC4002/ "%USERPROFILE%\AppData\Local\Temp\OnboardLogs"\RTDC4002\2016-11-29 --exclude "*" --recursive --include "*20161129*" &amp; "%USERPROFILE%\Documents\GitHub\mrs-test-scripts\Headless Mode &amp; Sideloading\WalkAndUnGZ.bat" "%USERPROFILE%\AppData\Local\Temp\OnboardLogs"\RTDC4002\2016-11-29 &amp; aws s3 cp s3://rtdc.mdm.uploadarchive.raw/RTDC4002/ "%USERPROFILE%\AppData\Local\Temp\OnboardLogs"\RTDC4002\2016-11-30 --exclude "*" --recursive --include "*20161130*" &amp; "%USERPROFILE%\Documents\GitHub\mrs-test-scripts\Headless Mode &amp; Sideloading\WalkAndUnGZ.bat" "%USERPROFILE%\AppData\Local\Temp\OnboardLogs"\RTDC4002\2016-11-30</v>
      </c>
      <c r="AF154" s="88" t="str">
        <f t="shared" si="52"/>
        <v>"C:\Program Files (x86)\AstroGrep\AstroGrep.exe" /spath="%USERPROFILE%\AppData\Local\Temp\OnboardLogs" /stypes="app*4002*20161129*" /stext=" 07:.+((SYSTEM_STATE.+slice.+state.+changed )|(ment ac)|(multiple cpu faults)|(system.+state.+changed )|(\[timeout)|(PRM\|1\|D)|(kpr)|(kdp)|(\|lc)|(penalty))" /e /r /s</v>
      </c>
      <c r="AG154" s="1" t="str">
        <f t="shared" si="53"/>
        <v>EC</v>
      </c>
      <c r="AH154" s="92" t="str">
        <f t="shared" si="54"/>
        <v>"%USERPROFILE%\Documents\GitHub\eaglep3\Utilities\RefineRTDCRunTimes.py" --tripid 241-28 --locoid 4002 --swversion DE.1.0.8.0 --startMP 204:460 --initTime 2016-11-28T23:35:44 --startdatetime 2016-11-29T00:00:13 --delay 1 --endMP 204:233300 --enddatetime 2016-11-29T00:35:07 --enforcementcount 0 &gt;&gt;C:\Users\stu\Documents\GitHub\eaglep3-reporting\EC\2016-11-28-refined-times.txt</v>
      </c>
      <c r="AI154" s="119" t="str">
        <f t="shared" si="55"/>
        <v>echo {"issue":{"subject":"","project_id":79,"tracker_id":40,"status_id":1,"priority_id":2,"assigned_to_id":23,"start_date":"2016-11-29","description":"","custom_fields":[{"id":1,"name":"Subdivision","value":"EC"},{"id":4,"name":"Milepost","value":"23.33"},{"id":17,"name":"Train ID","value":"241-28"},{"id":16,"name":"Locomotive ID","value":"4002"},{"id":130,"name":"Impact","value":""},{"id":150,"name":"Time of Event (Mountain Time)","value":"00:35:07"},{"id":151,"name":"Denver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619</v>
      </c>
      <c r="B155" s="7">
        <v>4001</v>
      </c>
      <c r="C155" s="22" t="s">
        <v>212</v>
      </c>
      <c r="D155" s="22" t="s">
        <v>276</v>
      </c>
      <c r="E155" s="13">
        <v>42703.025717592594</v>
      </c>
      <c r="F155" s="13">
        <v>42703.039247685185</v>
      </c>
      <c r="G155" s="7">
        <v>1</v>
      </c>
      <c r="H155" s="22" t="s">
        <v>682</v>
      </c>
      <c r="I155" s="13">
        <v>42703.064317129632</v>
      </c>
      <c r="J155" s="7">
        <v>0</v>
      </c>
      <c r="K155" s="109" t="str">
        <f t="shared" si="41"/>
        <v>4001/4002</v>
      </c>
      <c r="L155" s="22" t="str">
        <f>VLOOKUP(A155,'Trips&amp;Operators'!$C$1:$E$10000,3,FALSE)</f>
        <v>YANAI</v>
      </c>
      <c r="M155" s="6">
        <f t="shared" si="42"/>
        <v>2.5069444447581191E-2</v>
      </c>
      <c r="N155" s="7">
        <f t="shared" si="56"/>
        <v>36.100000004516914</v>
      </c>
      <c r="O155" s="7"/>
      <c r="P155" s="7"/>
      <c r="Q155" s="23"/>
      <c r="R155" s="23"/>
      <c r="S155" s="35">
        <f t="shared" si="57"/>
        <v>1</v>
      </c>
      <c r="T155" s="50" t="str">
        <f t="shared" si="43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23:37:02-700',mode:absolute,to:'2016-11-29 02:32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5" s="52" t="str">
        <f t="shared" si="45"/>
        <v>N</v>
      </c>
      <c r="X155" s="177">
        <f t="shared" si="46"/>
        <v>1</v>
      </c>
      <c r="Y155" s="67">
        <f t="shared" si="47"/>
        <v>23.2989</v>
      </c>
      <c r="Z155" s="67">
        <f t="shared" si="48"/>
        <v>2.23E-2</v>
      </c>
      <c r="AA155" s="67">
        <f t="shared" si="49"/>
        <v>23.276599999999998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50"/>
        <v>0242-28</v>
      </c>
      <c r="AE155" s="91" t="str">
        <f t="shared" si="51"/>
        <v>aws s3 cp s3://rtdc.mdm.uploadarchive.raw/RTDC4001/ "%USERPROFILE%\AppData\Local\Temp\OnboardLogs"\RTDC4001\2016-11-29 --exclude "*" --recursive --include "*20161129*" &amp; "%USERPROFILE%\Documents\GitHub\mrs-test-scripts\Headless Mode &amp; Sideloading\WalkAndUnGZ.bat" "%USERPROFILE%\AppData\Local\Temp\OnboardLogs"\RTDC4001\2016-11-29 &amp; aws s3 cp s3://rtdc.mdm.uploadarchive.raw/RTDC4001/ "%USERPROFILE%\AppData\Local\Temp\OnboardLogs"\RTDC4001\2016-11-30 --exclude "*" --recursive --include "*20161130*" &amp; "%USERPROFILE%\Documents\GitHub\mrs-test-scripts\Headless Mode &amp; Sideloading\WalkAndUnGZ.bat" "%USERPROFILE%\AppData\Local\Temp\OnboardLogs"\RTDC4001\2016-11-30</v>
      </c>
      <c r="AF155" s="88" t="str">
        <f t="shared" si="52"/>
        <v>"C:\Program Files (x86)\AstroGrep\AstroGrep.exe" /spath="%USERPROFILE%\AppData\Local\Temp\OnboardLogs" /stypes="app*4001*20161129*" /stext=" 08:.+((SYSTEM_STATE.+slice.+state.+changed )|(ment ac)|(multiple cpu faults)|(system.+state.+changed )|(\[timeout)|(PRM\|1\|D)|(kpr)|(kdp)|(\|lc)|(penalty))" /e /r /s</v>
      </c>
      <c r="AG155" s="1" t="str">
        <f t="shared" si="53"/>
        <v>EC</v>
      </c>
      <c r="AH155" s="92" t="str">
        <f t="shared" si="54"/>
        <v>"%USERPROFILE%\Documents\GitHub\eaglep3\Utilities\RefineRTDCRunTimes.py" --tripid 242-28 --locoid 4001 --swversion DE.1.0.8.0 --startMP 204:232989 --initTime 2016-11-29T00:37:02 --startdatetime 2016-11-29T00:56:31 --delay 1 --endMP 204:223 --enddatetime 2016-11-29T01:32:37 --enforcementcount 0 &gt;&gt;C:\Users\stu\Documents\GitHub\eaglep3-reporting\EC\2016-11-28-refined-times.txt</v>
      </c>
      <c r="AI155" s="119" t="str">
        <f t="shared" si="55"/>
        <v>echo {"issue":{"subject":"","project_id":79,"tracker_id":40,"status_id":1,"priority_id":2,"assigned_to_id":23,"start_date":"2016-11-29","description":"","custom_fields":[{"id":1,"name":"Subdivision","value":"EC"},{"id":4,"name":"Milepost","value":"0.0223"},{"id":17,"name":"Train ID","value":"242-28"},{"id":16,"name":"Locomotive ID","value":"4001"},{"id":130,"name":"Impact","value":""},{"id":150,"name":"Time of Event (Mountain Time)","value":"01:32:37"},{"id":151,"name":"Denver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618</v>
      </c>
      <c r="B156" s="7">
        <v>4042</v>
      </c>
      <c r="C156" s="22" t="s">
        <v>212</v>
      </c>
      <c r="D156" s="22" t="s">
        <v>679</v>
      </c>
      <c r="E156" s="13">
        <v>42703.018275462964</v>
      </c>
      <c r="F156" s="13">
        <v>42703.021145833336</v>
      </c>
      <c r="G156" s="7">
        <v>1</v>
      </c>
      <c r="H156" s="22" t="s">
        <v>683</v>
      </c>
      <c r="I156" s="13">
        <v>42703.046435185184</v>
      </c>
      <c r="J156" s="7">
        <v>0</v>
      </c>
      <c r="K156" s="109" t="str">
        <f t="shared" si="41"/>
        <v>4041/4042</v>
      </c>
      <c r="L156" s="22" t="str">
        <f>VLOOKUP(A156,'Trips&amp;Operators'!$C$1:$E$10000,3,FALSE)</f>
        <v>CHANDLER</v>
      </c>
      <c r="M156" s="6">
        <f t="shared" si="42"/>
        <v>2.5289351848186925E-2</v>
      </c>
      <c r="N156" s="7">
        <f t="shared" si="56"/>
        <v>36.416666661389172</v>
      </c>
      <c r="O156" s="7"/>
      <c r="P156" s="7"/>
      <c r="Q156" s="23"/>
      <c r="R156" s="23"/>
      <c r="S156" s="35">
        <f t="shared" si="57"/>
        <v>1</v>
      </c>
      <c r="T156" s="50" t="str">
        <f t="shared" si="43"/>
        <v>NorthBound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23:26:19-700',mode:absolute,to:'2016-11-29 02:06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6" s="52" t="str">
        <f t="shared" si="45"/>
        <v>N</v>
      </c>
      <c r="X156" s="177">
        <f t="shared" si="46"/>
        <v>1</v>
      </c>
      <c r="Y156" s="67">
        <f t="shared" si="47"/>
        <v>4.7500000000000001E-2</v>
      </c>
      <c r="Z156" s="67">
        <f t="shared" si="48"/>
        <v>23.328399999999998</v>
      </c>
      <c r="AA156" s="67">
        <f t="shared" si="49"/>
        <v>23.280899999999999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50"/>
        <v>0243-28</v>
      </c>
      <c r="AE156" s="91" t="str">
        <f t="shared" si="51"/>
        <v>aws s3 cp s3://rtdc.mdm.uploadarchive.raw/RTDC4042/ "%USERPROFILE%\AppData\Local\Temp\OnboardLogs"\RTDC4042\2016-11-29 --exclude "*" --recursive --include "*20161129*" &amp; "%USERPROFILE%\Documents\GitHub\mrs-test-scripts\Headless Mode &amp; Sideloading\WalkAndUnGZ.bat" "%USERPROFILE%\AppData\Local\Temp\OnboardLogs"\RTDC4042\2016-11-29 &amp; 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</v>
      </c>
      <c r="AF156" s="88" t="str">
        <f t="shared" si="52"/>
        <v>"C:\Program Files (x86)\AstroGrep\AstroGrep.exe" /spath="%USERPROFILE%\AppData\Local\Temp\OnboardLogs" /stypes="app*4042*20161129*" /stext=" 08:.+((SYSTEM_STATE.+slice.+state.+changed )|(ment ac)|(multiple cpu faults)|(system.+state.+changed )|(\[timeout)|(PRM\|1\|D)|(kpr)|(kdp)|(\|lc)|(penalty))" /e /r /s</v>
      </c>
      <c r="AG156" s="1" t="str">
        <f t="shared" si="53"/>
        <v>EC</v>
      </c>
      <c r="AH156" s="92" t="str">
        <f t="shared" si="54"/>
        <v>"%USERPROFILE%\Documents\GitHub\eaglep3\Utilities\RefineRTDCRunTimes.py" --tripid 243-28 --locoid 4042 --swversion DE.1.0.8.0 --startMP 204:475 --initTime 2016-11-29T00:26:19 --startdatetime 2016-11-29T00:30:27 --delay 1 --endMP 204:233284 --enddatetime 2016-11-29T01:06:52 --enforcementcount 0 &gt;&gt;C:\Users\stu\Documents\GitHub\eaglep3-reporting\EC\2016-11-28-refined-times.txt</v>
      </c>
      <c r="AI156" s="119" t="str">
        <f t="shared" si="55"/>
        <v>echo {"issue":{"subject":"","project_id":79,"tracker_id":40,"status_id":1,"priority_id":2,"assigned_to_id":23,"start_date":"2016-11-29","description":"","custom_fields":[{"id":1,"name":"Subdivision","value":"EC"},{"id":4,"name":"Milepost","value":"23.3284"},{"id":17,"name":"Train ID","value":"243-28"},{"id":16,"name":"Locomotive ID","value":"4042"},{"id":130,"name":"Impact","value":""},{"id":150,"name":"Time of Event (Mountain Time)","value":"01:06:52"},{"id":151,"name":"Denver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622</v>
      </c>
      <c r="B157" s="7">
        <v>4041</v>
      </c>
      <c r="C157" s="22" t="s">
        <v>212</v>
      </c>
      <c r="D157" s="22" t="s">
        <v>684</v>
      </c>
      <c r="E157" s="13">
        <v>42703.057187500002</v>
      </c>
      <c r="F157" s="13">
        <v>42703.060324074075</v>
      </c>
      <c r="G157" s="7">
        <v>1</v>
      </c>
      <c r="H157" s="22" t="s">
        <v>192</v>
      </c>
      <c r="I157" s="13">
        <v>42703.087673611109</v>
      </c>
      <c r="J157" s="7">
        <v>0</v>
      </c>
      <c r="K157" s="109" t="str">
        <f t="shared" si="41"/>
        <v>4041/4042</v>
      </c>
      <c r="L157" s="22" t="str">
        <f>VLOOKUP(A157,'Trips&amp;Operators'!$C$1:$E$10000,3,FALSE)</f>
        <v>CHANDLER</v>
      </c>
      <c r="M157" s="6">
        <f t="shared" si="42"/>
        <v>2.7349537034751847E-2</v>
      </c>
      <c r="N157" s="7">
        <f t="shared" si="56"/>
        <v>39.38333333004266</v>
      </c>
      <c r="O157" s="7"/>
      <c r="P157" s="7"/>
      <c r="Q157" s="23"/>
      <c r="R157" s="23"/>
      <c r="S157" s="35">
        <f t="shared" si="57"/>
        <v>1</v>
      </c>
      <c r="T157" s="50" t="str">
        <f t="shared" si="43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https://search-rtdc-monitor-bjffxe2xuh6vdkpspy63sjmuny.us-east-1.es.amazonaws.com/_plugin/kibana/#/discover/Steve-Slow-Train-Analysis-(2080s-and-2083s)?_g=(refreshInterval:(display:Off,section:0,value:0),time:(from:'2016-11-29 00:22:21-700',mode:absolute,to:'2016-11-29 03:06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7" s="52" t="str">
        <f t="shared" si="45"/>
        <v>N</v>
      </c>
      <c r="X157" s="177">
        <f t="shared" si="46"/>
        <v>1</v>
      </c>
      <c r="Y157" s="67">
        <f t="shared" si="47"/>
        <v>23.2959</v>
      </c>
      <c r="Z157" s="67">
        <f t="shared" si="48"/>
        <v>1.49E-2</v>
      </c>
      <c r="AA157" s="67">
        <f t="shared" si="49"/>
        <v>23.280999999999999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50"/>
        <v>0244-28</v>
      </c>
      <c r="AE157" s="91" t="str">
        <f t="shared" si="51"/>
        <v>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 &amp; 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</v>
      </c>
      <c r="AF157" s="88" t="str">
        <f t="shared" si="52"/>
        <v>"C:\Program Files (x86)\AstroGrep\AstroGrep.exe" /spath="%USERPROFILE%\AppData\Local\Temp\OnboardLogs" /stypes="app*4041*20161129*" /stext=" 09:.+((SYSTEM_STATE.+slice.+state.+changed )|(ment ac)|(multiple cpu faults)|(system.+state.+changed )|(\[timeout)|(PRM\|1\|D)|(kpr)|(kdp)|(\|lc)|(penalty))" /e /r /s</v>
      </c>
      <c r="AG157" s="1" t="str">
        <f t="shared" si="53"/>
        <v>EC</v>
      </c>
      <c r="AH157" s="92" t="str">
        <f t="shared" si="54"/>
        <v>"%USERPROFILE%\Documents\GitHub\eaglep3\Utilities\RefineRTDCRunTimes.py" --tripid 244-28 --locoid 4041 --swversion DE.1.0.8.0 --startMP 204:232959 --initTime 2016-11-29T01:22:21 --startdatetime 2016-11-29T01:26:52 --delay 1 --endMP 204:149 --enddatetime 2016-11-29T02:06:15 --enforcementcount 0 &gt;&gt;C:\Users\stu\Documents\GitHub\eaglep3-reporting\EC\2016-11-28-refined-times.txt</v>
      </c>
      <c r="AI157" s="119" t="str">
        <f t="shared" si="55"/>
        <v>echo {"issue":{"subject":"","project_id":79,"tracker_id":40,"status_id":1,"priority_id":2,"assigned_to_id":23,"start_date":"2016-11-29","description":"","custom_fields":[{"id":1,"name":"Subdivision","value":"EC"},{"id":4,"name":"Milepost","value":"0.0149"},{"id":17,"name":"Train ID","value":"244-28"},{"id":16,"name":"Locomotive ID","value":"4041"},{"id":130,"name":"Impact","value":""},{"id":150,"name":"Time of Event (Mountain Time)","value":"02:06:15"},{"id":151,"name":"Denver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394</v>
      </c>
      <c r="B158" s="7">
        <v>4004</v>
      </c>
      <c r="C158" s="22" t="s">
        <v>212</v>
      </c>
      <c r="D158" s="22" t="s">
        <v>708</v>
      </c>
      <c r="E158" s="13">
        <v>42702.216967592591</v>
      </c>
      <c r="F158" s="13">
        <v>42702.218449074076</v>
      </c>
      <c r="G158" s="7">
        <v>1</v>
      </c>
      <c r="H158" s="22" t="s">
        <v>709</v>
      </c>
      <c r="I158" s="13">
        <v>42702.228136574071</v>
      </c>
      <c r="J158" s="7">
        <v>0</v>
      </c>
      <c r="K158" s="109" t="str">
        <f t="shared" si="41"/>
        <v>4003/4004</v>
      </c>
      <c r="L158" s="22" t="str">
        <f>VLOOKUP(A158,'Trips&amp;Operators'!$C$1:$E$10000,3,FALSE)</f>
        <v>DAVIS</v>
      </c>
      <c r="M158" s="6">
        <f t="shared" si="42"/>
        <v>9.6874999944702722E-3</v>
      </c>
      <c r="N158" s="7">
        <f t="shared" si="56"/>
        <v>13.949999992037192</v>
      </c>
      <c r="O158" s="7"/>
      <c r="P158" s="7"/>
      <c r="Q158" s="23"/>
      <c r="R158" s="23"/>
      <c r="S158" s="35">
        <f t="shared" si="57"/>
        <v>1</v>
      </c>
      <c r="T158" s="50" t="str">
        <f t="shared" si="43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04:12:26-700',mode:absolute,to:'2016-11-28 06:28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8" s="52" t="str">
        <f t="shared" si="45"/>
        <v>N</v>
      </c>
      <c r="X158" s="177">
        <f t="shared" si="46"/>
        <v>556</v>
      </c>
      <c r="Y158" s="67">
        <f t="shared" si="47"/>
        <v>5.8704000000000001</v>
      </c>
      <c r="Z158" s="67">
        <f t="shared" si="48"/>
        <v>7.0099999999999996E-2</v>
      </c>
      <c r="AA158" s="67">
        <f t="shared" si="49"/>
        <v>5.8003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50"/>
        <v>0800-28</v>
      </c>
      <c r="AE158" s="91" t="str">
        <f t="shared" si="51"/>
        <v>aws s3 cp s3://rtdc.mdm.uploadarchive.raw/RTDC4004/ "%USERPROFILE%\AppData\Local\Temp\OnboardLogs"\RTDC4004\2016-11-28 --exclude "*" --recursive --include "*20161128*" &amp; "%USERPROFILE%\Documents\GitHub\mrs-test-scripts\Headless Mode &amp; Sideloading\WalkAndUnGZ.bat" "%USERPROFILE%\AppData\Local\Temp\OnboardLogs"\RTDC4004\2016-11-28 &amp; 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</v>
      </c>
      <c r="AF158" s="88" t="str">
        <f t="shared" si="52"/>
        <v>"C:\Program Files (x86)\AstroGrep\AstroGrep.exe" /spath="%USERPROFILE%\AppData\Local\Temp\OnboardLogs" /stypes="app*4004*20161128*" /stext=" 12:.+((SYSTEM_STATE.+slice.+state.+changed )|(ment ac)|(multiple cpu faults)|(system.+state.+changed )|(\[timeout)|(PRM\|1\|D)|(kpr)|(kdp)|(\|lc)|(penalty))" /e /r /s</v>
      </c>
      <c r="AG158" s="1" t="str">
        <f t="shared" si="53"/>
        <v>NW</v>
      </c>
      <c r="AH158" s="92" t="str">
        <f t="shared" si="54"/>
        <v>"%USERPROFILE%\Documents\GitHub\eaglep3\Utilities\RefineRTDCRunTimes.py" --tripid 800-28 --locoid 4004 --swversion DE.1.0.8.0 --startMP 300:58704 --initTime 2016-11-28T05:12:26 --startdatetime 2016-11-28T05:14:34 --delay 1 --endMP 204:701 --enddatetime 2016-11-28T05:28:31 --enforcementcount 0 &gt;&gt;C:\Users\stu\Documents\GitHub\eaglep3-reporting\EC\2016-11-28-refined-times.txt</v>
      </c>
      <c r="AI158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{"issue":{"subject":"","project_id":79,"tracker_id":40,"status_id":1,"priority_id":2,"assigned_to_id":23,"start_date":"2016-11-28","description":"","custom_fields":[{"id":1,"name":"Subdivision","value":"NW"},{"id":4,"name":"Milepost","value":"0.0701"},{"id":17,"name":"Train ID","value":"800-28"},{"id":16,"name":"Locomotive ID","value":"4004"},{"id":130,"name":"Impact","value":""},{"id":150,"name":"Time of Event (Mountain Time)","value":"05:28:31"},{"id":151,"name":"Denver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397</v>
      </c>
      <c r="B159" s="7">
        <v>4003</v>
      </c>
      <c r="C159" s="22" t="s">
        <v>212</v>
      </c>
      <c r="D159" s="22" t="s">
        <v>710</v>
      </c>
      <c r="E159" s="13">
        <v>42702.239548611113</v>
      </c>
      <c r="F159" s="13">
        <v>42702.243969907409</v>
      </c>
      <c r="G159" s="7">
        <v>1</v>
      </c>
      <c r="H159" s="22" t="s">
        <v>711</v>
      </c>
      <c r="I159" s="13">
        <v>42702.254189814812</v>
      </c>
      <c r="J159" s="7">
        <v>0</v>
      </c>
      <c r="K159" s="109" t="str">
        <f t="shared" si="41"/>
        <v>4003/4004</v>
      </c>
      <c r="L159" s="22" t="str">
        <f>VLOOKUP(A159,'Trips&amp;Operators'!$C$1:$E$10000,3,FALSE)</f>
        <v>DAVIS</v>
      </c>
      <c r="M159" s="6">
        <f t="shared" si="42"/>
        <v>1.0219907402643003E-2</v>
      </c>
      <c r="N159" s="7">
        <f t="shared" si="56"/>
        <v>14.716666659805924</v>
      </c>
      <c r="O159" s="7"/>
      <c r="P159" s="7"/>
      <c r="Q159" s="23"/>
      <c r="R159" s="23"/>
      <c r="S159" s="35">
        <f t="shared" si="57"/>
        <v>1</v>
      </c>
      <c r="T159" s="50" t="str">
        <f t="shared" si="43"/>
        <v>NorthBound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04:44:57-700',mode:absolute,to:'2016-11-28 07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9" s="52" t="str">
        <f t="shared" si="45"/>
        <v>N</v>
      </c>
      <c r="X159" s="177">
        <f t="shared" si="46"/>
        <v>1</v>
      </c>
      <c r="Y159" s="67">
        <f t="shared" si="47"/>
        <v>9.8299999999999998E-2</v>
      </c>
      <c r="Z159" s="67">
        <f t="shared" si="48"/>
        <v>5.8532000000000002</v>
      </c>
      <c r="AA159" s="67">
        <f t="shared" si="49"/>
        <v>5.7549000000000001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50"/>
        <v>0801-28</v>
      </c>
      <c r="AE159" s="91" t="str">
        <f t="shared" si="51"/>
        <v>aws s3 cp s3://rtdc.mdm.uploadarchive.raw/RTDC4003/ "%USERPROFILE%\AppData\Local\Temp\OnboardLogs"\RTDC4003\2016-11-28 --exclude "*" --recursive --include "*20161128*" &amp; "%USERPROFILE%\Documents\GitHub\mrs-test-scripts\Headless Mode &amp; Sideloading\WalkAndUnGZ.bat" "%USERPROFILE%\AppData\Local\Temp\OnboardLogs"\RTDC4003\2016-11-28 &amp; 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</v>
      </c>
      <c r="AF159" s="88" t="str">
        <f t="shared" si="52"/>
        <v>"C:\Program Files (x86)\AstroGrep\AstroGrep.exe" /spath="%USERPROFILE%\AppData\Local\Temp\OnboardLogs" /stypes="app*4003*20161128*" /stext=" 13:.+((SYSTEM_STATE.+slice.+state.+changed )|(ment ac)|(multiple cpu faults)|(system.+state.+changed )|(\[timeout)|(PRM\|1\|D)|(kpr)|(kdp)|(\|lc)|(penalty))" /e /r /s</v>
      </c>
      <c r="AG159" s="1" t="str">
        <f t="shared" si="53"/>
        <v>NW</v>
      </c>
      <c r="AH159" s="92" t="str">
        <f t="shared" si="54"/>
        <v>"%USERPROFILE%\Documents\GitHub\eaglep3\Utilities\RefineRTDCRunTimes.py" --tripid 801-28 --locoid 4003 --swversion DE.1.0.8.0 --startMP 204:983 --initTime 2016-11-28T05:44:57 --startdatetime 2016-11-28T05:51:19 --delay 1 --endMP 300:58532 --enddatetime 2016-11-28T06:06:02 --enforcementcount 0 &gt;&gt;C:\Users\stu\Documents\GitHub\eaglep3-reporting\EC\2016-11-28-refined-times.txt</v>
      </c>
      <c r="AI159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{"issue":{"subject":"","project_id":79,"tracker_id":40,"status_id":1,"priority_id":2,"assigned_to_id":23,"start_date":"2016-11-28","description":"","custom_fields":[{"id":1,"name":"Subdivision","value":"NW"},{"id":4,"name":"Milepost","value":"5.8532"},{"id":17,"name":"Train ID","value":"801-28"},{"id":16,"name":"Locomotive ID","value":"4003"},{"id":130,"name":"Impact","value":""},{"id":150,"name":"Time of Event (Mountain Time)","value":"06:06:02"},{"id":151,"name":"Denver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398</v>
      </c>
      <c r="B160" s="7">
        <v>4004</v>
      </c>
      <c r="C160" s="22" t="s">
        <v>212</v>
      </c>
      <c r="D160" s="22" t="s">
        <v>712</v>
      </c>
      <c r="E160" s="13">
        <v>42702.254953703705</v>
      </c>
      <c r="F160" s="13">
        <v>42702.25608796296</v>
      </c>
      <c r="G160" s="7">
        <v>1</v>
      </c>
      <c r="H160" s="22" t="s">
        <v>713</v>
      </c>
      <c r="I160" s="13">
        <v>42702.268182870372</v>
      </c>
      <c r="J160" s="7">
        <v>0</v>
      </c>
      <c r="K160" s="109" t="str">
        <f t="shared" si="41"/>
        <v>4003/4004</v>
      </c>
      <c r="L160" s="22" t="str">
        <f>VLOOKUP(A160,'Trips&amp;Operators'!$C$1:$E$10000,3,FALSE)</f>
        <v>DAVIS</v>
      </c>
      <c r="M160" s="6">
        <f t="shared" si="42"/>
        <v>1.209490741166519E-2</v>
      </c>
      <c r="N160" s="7">
        <f t="shared" si="56"/>
        <v>17.416666672797874</v>
      </c>
      <c r="O160" s="7"/>
      <c r="P160" s="7"/>
      <c r="Q160" s="23"/>
      <c r="R160" s="23"/>
      <c r="S160" s="35">
        <f t="shared" si="57"/>
        <v>1</v>
      </c>
      <c r="T160" s="50" t="str">
        <f t="shared" si="43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05:07:08-700',mode:absolute,to:'2016-11-28 07:26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0" s="52" t="str">
        <f t="shared" si="45"/>
        <v>N</v>
      </c>
      <c r="X160" s="177">
        <f t="shared" si="46"/>
        <v>1</v>
      </c>
      <c r="Y160" s="67">
        <f t="shared" si="47"/>
        <v>5.8704999999999998</v>
      </c>
      <c r="Z160" s="67">
        <f t="shared" si="48"/>
        <v>6.4199999999999993E-2</v>
      </c>
      <c r="AA160" s="67">
        <f t="shared" si="49"/>
        <v>5.8063000000000002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50"/>
        <v>0802-28</v>
      </c>
      <c r="AE160" s="91" t="str">
        <f t="shared" si="51"/>
        <v>aws s3 cp s3://rtdc.mdm.uploadarchive.raw/RTDC4004/ "%USERPROFILE%\AppData\Local\Temp\OnboardLogs"\RTDC4004\2016-11-28 --exclude "*" --recursive --include "*20161128*" &amp; "%USERPROFILE%\Documents\GitHub\mrs-test-scripts\Headless Mode &amp; Sideloading\WalkAndUnGZ.bat" "%USERPROFILE%\AppData\Local\Temp\OnboardLogs"\RTDC4004\2016-11-28 &amp; 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</v>
      </c>
      <c r="AF160" s="88" t="str">
        <f t="shared" si="52"/>
        <v>"C:\Program Files (x86)\AstroGrep\AstroGrep.exe" /spath="%USERPROFILE%\AppData\Local\Temp\OnboardLogs" /stypes="app*4004*20161128*" /stext=" 13:.+((SYSTEM_STATE.+slice.+state.+changed )|(ment ac)|(multiple cpu faults)|(system.+state.+changed )|(\[timeout)|(PRM\|1\|D)|(kpr)|(kdp)|(\|lc)|(penalty))" /e /r /s</v>
      </c>
      <c r="AG160" s="1" t="str">
        <f t="shared" si="53"/>
        <v>NW</v>
      </c>
      <c r="AH160" s="92" t="str">
        <f t="shared" si="54"/>
        <v>"%USERPROFILE%\Documents\GitHub\eaglep3\Utilities\RefineRTDCRunTimes.py" --tripid 802-28 --locoid 4004 --swversion DE.1.0.8.0 --startMP 300:58705 --initTime 2016-11-28T06:07:08 --startdatetime 2016-11-28T06:08:46 --delay 1 --endMP 204:642 --enddatetime 2016-11-28T06:26:11 --enforcementcount 0 &gt;&gt;C:\Users\stu\Documents\GitHub\eaglep3-reporting\EC\2016-11-28-refined-times.txt</v>
      </c>
      <c r="AI160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{"issue":{"subject":"","project_id":79,"tracker_id":40,"status_id":1,"priority_id":2,"assigned_to_id":23,"start_date":"2016-11-28","description":"","custom_fields":[{"id":1,"name":"Subdivision","value":"NW"},{"id":4,"name":"Milepost","value":"0.0642"},{"id":17,"name":"Train ID","value":"802-28"},{"id":16,"name":"Locomotive ID","value":"4004"},{"id":130,"name":"Impact","value":""},{"id":150,"name":"Time of Event (Mountain Time)","value":"06:26:11"},{"id":151,"name":"Denver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457</v>
      </c>
      <c r="B161" s="7">
        <v>4031</v>
      </c>
      <c r="C161" s="22" t="s">
        <v>212</v>
      </c>
      <c r="D161" s="22" t="s">
        <v>714</v>
      </c>
      <c r="E161" s="13">
        <v>42702.2577662037</v>
      </c>
      <c r="F161" s="13">
        <v>42702.264768518522</v>
      </c>
      <c r="G161" s="7">
        <v>1</v>
      </c>
      <c r="H161" s="22" t="s">
        <v>715</v>
      </c>
      <c r="I161" s="13">
        <v>42702.274143518516</v>
      </c>
      <c r="J161" s="7">
        <v>0</v>
      </c>
      <c r="K161" s="109" t="str">
        <f t="shared" si="41"/>
        <v>4031/4032</v>
      </c>
      <c r="L161" s="22" t="str">
        <f>VLOOKUP(A161,'Trips&amp;Operators'!$C$1:$E$10000,3,FALSE)</f>
        <v>SAFIEF</v>
      </c>
      <c r="M161" s="6">
        <f t="shared" si="42"/>
        <v>9.3749999941792339E-3</v>
      </c>
      <c r="N161" s="7">
        <f t="shared" si="56"/>
        <v>13.499999991618097</v>
      </c>
      <c r="O161" s="7"/>
      <c r="P161" s="7"/>
      <c r="Q161" s="23"/>
      <c r="R161" s="23"/>
      <c r="S161" s="35">
        <f t="shared" si="57"/>
        <v>1</v>
      </c>
      <c r="T161" s="50" t="str">
        <f t="shared" si="43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05:11:11-700',mode:absolute,to:'2016-11-28 07:34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1" s="52" t="str">
        <f t="shared" si="45"/>
        <v>N</v>
      </c>
      <c r="X161" s="177">
        <f t="shared" si="46"/>
        <v>1</v>
      </c>
      <c r="Y161" s="67">
        <f t="shared" si="47"/>
        <v>9.7900000000000001E-2</v>
      </c>
      <c r="Z161" s="67">
        <f t="shared" si="48"/>
        <v>5.8920000000000003</v>
      </c>
      <c r="AA161" s="67">
        <f t="shared" si="49"/>
        <v>5.7941000000000003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50"/>
        <v>0803-28</v>
      </c>
      <c r="AE161" s="91" t="str">
        <f t="shared" si="51"/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AF161" s="88" t="str">
        <f t="shared" si="52"/>
        <v>"C:\Program Files (x86)\AstroGrep\AstroGrep.exe" /spath="%USERPROFILE%\AppData\Local\Temp\OnboardLogs" /stypes="app*4031*20161128*" /stext=" 13:.+((SYSTEM_STATE.+slice.+state.+changed )|(ment ac)|(multiple cpu faults)|(system.+state.+changed )|(\[timeout)|(PRM\|1\|D)|(kpr)|(kdp)|(\|lc)|(penalty))" /e /r /s</v>
      </c>
      <c r="AG161" s="1" t="str">
        <f t="shared" si="53"/>
        <v>NW</v>
      </c>
      <c r="AH161" s="92" t="str">
        <f t="shared" si="54"/>
        <v>"%USERPROFILE%\Documents\GitHub\eaglep3\Utilities\RefineRTDCRunTimes.py" --tripid 803-28 --locoid 4031 --swversion DE.1.0.8.0 --startMP 204:979 --initTime 2016-11-28T06:11:11 --startdatetime 2016-11-28T06:21:16 --delay 1 --endMP 300:58920 --enddatetime 2016-11-28T06:34:46 --enforcementcount 0 &gt;&gt;C:\Users\stu\Documents\GitHub\eaglep3-reporting\EC\2016-11-28-refined-times.txt</v>
      </c>
      <c r="AI161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{"issue":{"subject":"","project_id":79,"tracker_id":40,"status_id":1,"priority_id":2,"assigned_to_id":23,"start_date":"2016-11-28","description":"","custom_fields":[{"id":1,"name":"Subdivision","value":"NW"},{"id":4,"name":"Milepost","value":"5.892"},{"id":17,"name":"Train ID","value":"803-28"},{"id":16,"name":"Locomotive ID","value":"4031"},{"id":130,"name":"Impact","value":""},{"id":150,"name":"Time of Event (Mountain Time)","value":"06:34:46"},{"id":151,"name":"Denver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461</v>
      </c>
      <c r="B162" s="7">
        <v>4032</v>
      </c>
      <c r="C162" s="22" t="s">
        <v>212</v>
      </c>
      <c r="D162" s="22" t="s">
        <v>716</v>
      </c>
      <c r="E162" s="13">
        <v>42702.275416666664</v>
      </c>
      <c r="F162" s="13">
        <v>42702.277106481481</v>
      </c>
      <c r="G162" s="7">
        <v>1</v>
      </c>
      <c r="H162" s="22" t="s">
        <v>372</v>
      </c>
      <c r="I162" s="13">
        <v>42702.288599537038</v>
      </c>
      <c r="J162" s="7">
        <v>0</v>
      </c>
      <c r="K162" s="109" t="str">
        <f t="shared" si="41"/>
        <v>4031/4032</v>
      </c>
      <c r="L162" s="22" t="str">
        <f>VLOOKUP(A162,'Trips&amp;Operators'!$C$1:$E$10000,3,FALSE)</f>
        <v>SAFIEF</v>
      </c>
      <c r="M162" s="6">
        <f t="shared" si="42"/>
        <v>1.1493055557366461E-2</v>
      </c>
      <c r="N162" s="7">
        <f t="shared" si="56"/>
        <v>16.550000002607703</v>
      </c>
      <c r="O162" s="7"/>
      <c r="P162" s="7"/>
      <c r="Q162" s="23"/>
      <c r="R162" s="23"/>
      <c r="S162" s="35">
        <f t="shared" si="57"/>
        <v>1</v>
      </c>
      <c r="T162" s="50" t="str">
        <f t="shared" si="43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05:36:36-700',mode:absolute,to:'2016-11-28 07:55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2" s="52" t="str">
        <f t="shared" si="45"/>
        <v>N</v>
      </c>
      <c r="X162" s="177">
        <f t="shared" si="46"/>
        <v>1</v>
      </c>
      <c r="Y162" s="67">
        <f t="shared" si="47"/>
        <v>5.86</v>
      </c>
      <c r="Z162" s="67">
        <f t="shared" si="48"/>
        <v>6.8400000000000002E-2</v>
      </c>
      <c r="AA162" s="67">
        <f t="shared" si="49"/>
        <v>5.7916000000000007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50"/>
        <v>0804-28</v>
      </c>
      <c r="AE162" s="91" t="str">
        <f t="shared" si="51"/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AF162" s="88" t="str">
        <f t="shared" si="52"/>
        <v>"C:\Program Files (x86)\AstroGrep\AstroGrep.exe" /spath="%USERPROFILE%\AppData\Local\Temp\OnboardLogs" /stypes="app*4032*20161128*" /stext=" 13:.+((SYSTEM_STATE.+slice.+state.+changed )|(ment ac)|(multiple cpu faults)|(system.+state.+changed )|(\[timeout)|(PRM\|1\|D)|(kpr)|(kdp)|(\|lc)|(penalty))" /e /r /s</v>
      </c>
      <c r="AG162" s="1" t="str">
        <f t="shared" si="53"/>
        <v>NW</v>
      </c>
      <c r="AH162" s="92" t="str">
        <f t="shared" si="54"/>
        <v>"%USERPROFILE%\Documents\GitHub\eaglep3\Utilities\RefineRTDCRunTimes.py" --tripid 804-28 --locoid 4032 --swversion DE.1.0.8.0 --startMP 300:58600 --initTime 2016-11-28T06:36:36 --startdatetime 2016-11-28T06:39:02 --delay 1 --endMP 204:684 --enddatetime 2016-11-28T06:55:35 --enforcementcount 0 &gt;&gt;C:\Users\stu\Documents\GitHub\eaglep3-reporting\EC\2016-11-28-refined-times.txt</v>
      </c>
      <c r="AI162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{"issue":{"subject":"","project_id":79,"tracker_id":40,"status_id":1,"priority_id":2,"assigned_to_id":23,"start_date":"2016-11-28","description":"","custom_fields":[{"id":1,"name":"Subdivision","value":"NW"},{"id":4,"name":"Milepost","value":"0.0684"},{"id":17,"name":"Train ID","value":"804-28"},{"id":16,"name":"Locomotive ID","value":"4032"},{"id":130,"name":"Impact","value":""},{"id":150,"name":"Time of Event (Mountain Time)","value":"06:55:35"},{"id":151,"name":"Denver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399</v>
      </c>
      <c r="B163" s="7">
        <v>4003</v>
      </c>
      <c r="C163" s="22" t="s">
        <v>212</v>
      </c>
      <c r="D163" s="22" t="s">
        <v>717</v>
      </c>
      <c r="E163" s="13">
        <v>42702.282337962963</v>
      </c>
      <c r="F163" s="13">
        <v>42702.285590277781</v>
      </c>
      <c r="G163" s="7">
        <v>1</v>
      </c>
      <c r="H163" s="22" t="s">
        <v>718</v>
      </c>
      <c r="I163" s="13">
        <v>42702.295474537037</v>
      </c>
      <c r="J163" s="7">
        <v>0</v>
      </c>
      <c r="K163" s="109" t="str">
        <f t="shared" si="41"/>
        <v>4003/4004</v>
      </c>
      <c r="L163" s="22" t="str">
        <f>VLOOKUP(A163,'Trips&amp;Operators'!$C$1:$E$10000,3,FALSE)</f>
        <v>DAVIS</v>
      </c>
      <c r="M163" s="6">
        <f t="shared" si="42"/>
        <v>9.8842592560686171E-3</v>
      </c>
      <c r="N163" s="7">
        <f t="shared" si="56"/>
        <v>14.233333328738809</v>
      </c>
      <c r="O163" s="7"/>
      <c r="P163" s="7"/>
      <c r="Q163" s="23"/>
      <c r="R163" s="23"/>
      <c r="S163" s="35">
        <f t="shared" si="57"/>
        <v>1</v>
      </c>
      <c r="T163" s="50" t="str">
        <f t="shared" si="43"/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05:46:34-700',mode:absolute,to:'2016-11-28 08:05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3" s="52" t="str">
        <f t="shared" si="45"/>
        <v>N</v>
      </c>
      <c r="X163" s="177">
        <f t="shared" si="46"/>
        <v>1</v>
      </c>
      <c r="Y163" s="67">
        <f t="shared" si="47"/>
        <v>9.2700000000000005E-2</v>
      </c>
      <c r="Z163" s="67">
        <f t="shared" si="48"/>
        <v>5.9009999999999998</v>
      </c>
      <c r="AA163" s="67">
        <f t="shared" si="49"/>
        <v>5.8083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50"/>
        <v>0805-28</v>
      </c>
      <c r="AE163" s="91" t="str">
        <f t="shared" si="51"/>
        <v>aws s3 cp s3://rtdc.mdm.uploadarchive.raw/RTDC4003/ "%USERPROFILE%\AppData\Local\Temp\OnboardLogs"\RTDC4003\2016-11-28 --exclude "*" --recursive --include "*20161128*" &amp; "%USERPROFILE%\Documents\GitHub\mrs-test-scripts\Headless Mode &amp; Sideloading\WalkAndUnGZ.bat" "%USERPROFILE%\AppData\Local\Temp\OnboardLogs"\RTDC4003\2016-11-28 &amp; 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</v>
      </c>
      <c r="AF163" s="88" t="str">
        <f t="shared" si="52"/>
        <v>"C:\Program Files (x86)\AstroGrep\AstroGrep.exe" /spath="%USERPROFILE%\AppData\Local\Temp\OnboardLogs" /stypes="app*4003*20161128*" /stext=" 14:.+((SYSTEM_STATE.+slice.+state.+changed )|(ment ac)|(multiple cpu faults)|(system.+state.+changed )|(\[timeout)|(PRM\|1\|D)|(kpr)|(kdp)|(\|lc)|(penalty))" /e /r /s</v>
      </c>
      <c r="AG163" s="1" t="str">
        <f t="shared" si="53"/>
        <v>NW</v>
      </c>
      <c r="AH163" s="92" t="str">
        <f t="shared" si="54"/>
        <v>"%USERPROFILE%\Documents\GitHub\eaglep3\Utilities\RefineRTDCRunTimes.py" --tripid 805-28 --locoid 4003 --swversion DE.1.0.8.0 --startMP 204:927 --initTime 2016-11-28T06:46:34 --startdatetime 2016-11-28T06:51:15 --delay 1 --endMP 300:59010 --enddatetime 2016-11-28T07:05:29 --enforcementcount 0 &gt;&gt;C:\Users\stu\Documents\GitHub\eaglep3-reporting\EC\2016-11-28-refined-times.txt</v>
      </c>
      <c r="AI163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{"issue":{"subject":"","project_id":79,"tracker_id":40,"status_id":1,"priority_id":2,"assigned_to_id":23,"start_date":"2016-11-28","description":"","custom_fields":[{"id":1,"name":"Subdivision","value":"NW"},{"id":4,"name":"Milepost","value":"5.901"},{"id":17,"name":"Train ID","value":"805-28"},{"id":16,"name":"Locomotive ID","value":"4003"},{"id":130,"name":"Impact","value":""},{"id":150,"name":"Time of Event (Mountain Time)","value":"07:05:29"},{"id":151,"name":"Denver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465</v>
      </c>
      <c r="B164" s="7">
        <v>4004</v>
      </c>
      <c r="C164" s="22" t="s">
        <v>212</v>
      </c>
      <c r="D164" s="22" t="s">
        <v>719</v>
      </c>
      <c r="E164" s="13">
        <v>42702.296435185184</v>
      </c>
      <c r="F164" s="13">
        <v>42702.297754629632</v>
      </c>
      <c r="G164" s="7">
        <v>1</v>
      </c>
      <c r="H164" s="22" t="s">
        <v>720</v>
      </c>
      <c r="I164" s="13">
        <v>42702.309733796297</v>
      </c>
      <c r="J164" s="7">
        <v>0</v>
      </c>
      <c r="K164" s="109" t="str">
        <f t="shared" si="41"/>
        <v>4003/4004</v>
      </c>
      <c r="L164" s="22" t="str">
        <f>VLOOKUP(A164,'Trips&amp;Operators'!$C$1:$E$10000,3,FALSE)</f>
        <v>DAVIS</v>
      </c>
      <c r="M164" s="6">
        <f t="shared" si="42"/>
        <v>1.1979166665696539E-2</v>
      </c>
      <c r="N164" s="7">
        <f t="shared" si="56"/>
        <v>17.249999998603016</v>
      </c>
      <c r="O164" s="7"/>
      <c r="P164" s="7"/>
      <c r="Q164" s="23"/>
      <c r="R164" s="23"/>
      <c r="S164" s="35">
        <f t="shared" si="57"/>
        <v>1</v>
      </c>
      <c r="T164" s="50" t="str">
        <f t="shared" si="43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06:06:52-700',mode:absolute,to:'2016-11-28 08:26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4" s="52" t="str">
        <f t="shared" si="45"/>
        <v>N</v>
      </c>
      <c r="X164" s="177">
        <f t="shared" si="46"/>
        <v>1</v>
      </c>
      <c r="Y164" s="67">
        <f t="shared" si="47"/>
        <v>5.8711000000000002</v>
      </c>
      <c r="Z164" s="67">
        <f t="shared" si="48"/>
        <v>6.5600000000000006E-2</v>
      </c>
      <c r="AA164" s="67">
        <f t="shared" si="49"/>
        <v>5.8055000000000003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50"/>
        <v>0806-28</v>
      </c>
      <c r="AE164" s="91" t="str">
        <f t="shared" si="51"/>
        <v>aws s3 cp s3://rtdc.mdm.uploadarchive.raw/RTDC4004/ "%USERPROFILE%\AppData\Local\Temp\OnboardLogs"\RTDC4004\2016-11-28 --exclude "*" --recursive --include "*20161128*" &amp; "%USERPROFILE%\Documents\GitHub\mrs-test-scripts\Headless Mode &amp; Sideloading\WalkAndUnGZ.bat" "%USERPROFILE%\AppData\Local\Temp\OnboardLogs"\RTDC4004\2016-11-28 &amp; 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</v>
      </c>
      <c r="AF164" s="88" t="str">
        <f t="shared" si="52"/>
        <v>"C:\Program Files (x86)\AstroGrep\AstroGrep.exe" /spath="%USERPROFILE%\AppData\Local\Temp\OnboardLogs" /stypes="app*4004*20161128*" /stext=" 14:.+((SYSTEM_STATE.+slice.+state.+changed )|(ment ac)|(multiple cpu faults)|(system.+state.+changed )|(\[timeout)|(PRM\|1\|D)|(kpr)|(kdp)|(\|lc)|(penalty))" /e /r /s</v>
      </c>
      <c r="AG164" s="1" t="str">
        <f t="shared" si="53"/>
        <v>NW</v>
      </c>
      <c r="AH164" s="92" t="str">
        <f t="shared" si="54"/>
        <v>"%USERPROFILE%\Documents\GitHub\eaglep3\Utilities\RefineRTDCRunTimes.py" --tripid 806-28 --locoid 4004 --swversion DE.1.0.8.0 --startMP 300:58711 --initTime 2016-11-28T07:06:52 --startdatetime 2016-11-28T07:08:46 --delay 1 --endMP 204:656 --enddatetime 2016-11-28T07:26:01 --enforcementcount 0 &gt;&gt;C:\Users\stu\Documents\GitHub\eaglep3-reporting\EC\2016-11-28-refined-times.txt</v>
      </c>
      <c r="AI164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{"issue":{"subject":"","project_id":79,"tracker_id":40,"status_id":1,"priority_id":2,"assigned_to_id":23,"start_date":"2016-11-28","description":"","custom_fields":[{"id":1,"name":"Subdivision","value":"NW"},{"id":4,"name":"Milepost","value":"0.0656"},{"id":17,"name":"Train ID","value":"806-28"},{"id":16,"name":"Locomotive ID","value":"4004"},{"id":130,"name":"Impact","value":""},{"id":150,"name":"Time of Event (Mountain Time)","value":"07:26:01"},{"id":151,"name":"Denver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468</v>
      </c>
      <c r="B165" s="7">
        <v>4031</v>
      </c>
      <c r="C165" s="22" t="s">
        <v>212</v>
      </c>
      <c r="D165" s="22" t="s">
        <v>721</v>
      </c>
      <c r="E165" s="13">
        <v>42702.305821759262</v>
      </c>
      <c r="F165" s="13">
        <v>42702.306967592594</v>
      </c>
      <c r="G165" s="7">
        <v>1</v>
      </c>
      <c r="H165" s="22" t="s">
        <v>722</v>
      </c>
      <c r="I165" s="13">
        <v>42702.315717592595</v>
      </c>
      <c r="J165" s="7">
        <v>0</v>
      </c>
      <c r="K165" s="109" t="str">
        <f t="shared" si="41"/>
        <v>4031/4032</v>
      </c>
      <c r="L165" s="22" t="str">
        <f>VLOOKUP(A165,'Trips&amp;Operators'!$C$1:$E$10000,3,FALSE)</f>
        <v>SAFIEF</v>
      </c>
      <c r="M165" s="6">
        <f t="shared" si="42"/>
        <v>8.7500000008731149E-3</v>
      </c>
      <c r="N165" s="7">
        <f t="shared" si="56"/>
        <v>12.600000001257285</v>
      </c>
      <c r="O165" s="7"/>
      <c r="P165" s="7"/>
      <c r="Q165" s="23"/>
      <c r="R165" s="23"/>
      <c r="S165" s="35">
        <f t="shared" si="57"/>
        <v>1</v>
      </c>
      <c r="T165" s="50" t="str">
        <f t="shared" si="43"/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06:20:23-700',mode:absolute,to:'2016-11-28 08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5" s="52" t="str">
        <f t="shared" si="45"/>
        <v>N</v>
      </c>
      <c r="X165" s="177">
        <f t="shared" si="46"/>
        <v>1</v>
      </c>
      <c r="Y165" s="67">
        <f t="shared" si="47"/>
        <v>9.7799999999999998E-2</v>
      </c>
      <c r="Z165" s="67">
        <f t="shared" si="48"/>
        <v>5.8935000000000004</v>
      </c>
      <c r="AA165" s="67">
        <f t="shared" si="49"/>
        <v>5.7957000000000001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50"/>
        <v>0807-28</v>
      </c>
      <c r="AE165" s="91" t="str">
        <f t="shared" si="51"/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AF165" s="88" t="str">
        <f t="shared" si="52"/>
        <v>"C:\Program Files (x86)\AstroGrep\AstroGrep.exe" /spath="%USERPROFILE%\AppData\Local\Temp\OnboardLogs" /stypes="app*4031*20161128*" /stext=" 14:.+((SYSTEM_STATE.+slice.+state.+changed )|(ment ac)|(multiple cpu faults)|(system.+state.+changed )|(\[timeout)|(PRM\|1\|D)|(kpr)|(kdp)|(\|lc)|(penalty))" /e /r /s</v>
      </c>
      <c r="AG165" s="1" t="str">
        <f t="shared" si="53"/>
        <v>NW</v>
      </c>
      <c r="AH165" s="92" t="str">
        <f t="shared" si="54"/>
        <v>"%USERPROFILE%\Documents\GitHub\eaglep3\Utilities\RefineRTDCRunTimes.py" --tripid 807-28 --locoid 4031 --swversion DE.1.0.8.0 --startMP 204:978 --initTime 2016-11-28T07:20:23 --startdatetime 2016-11-28T07:22:02 --delay 1 --endMP 300:58935 --enddatetime 2016-11-28T07:34:38 --enforcementcount 0 &gt;&gt;C:\Users\stu\Documents\GitHub\eaglep3-reporting\EC\2016-11-28-refined-times.txt</v>
      </c>
      <c r="AI165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{"issue":{"subject":"","project_id":79,"tracker_id":40,"status_id":1,"priority_id":2,"assigned_to_id":23,"start_date":"2016-11-28","description":"","custom_fields":[{"id":1,"name":"Subdivision","value":"NW"},{"id":4,"name":"Milepost","value":"5.8935"},{"id":17,"name":"Train ID","value":"807-28"},{"id":16,"name":"Locomotive ID","value":"4031"},{"id":130,"name":"Impact","value":""},{"id":150,"name":"Time of Event (Mountain Time)","value":"07:34:38"},{"id":151,"name":"Denver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470</v>
      </c>
      <c r="B166" s="7">
        <v>4032</v>
      </c>
      <c r="C166" s="22" t="s">
        <v>212</v>
      </c>
      <c r="D166" s="22" t="s">
        <v>723</v>
      </c>
      <c r="E166" s="13">
        <v>42702.317083333335</v>
      </c>
      <c r="F166" s="13">
        <v>42702.318368055552</v>
      </c>
      <c r="G166" s="7">
        <v>1</v>
      </c>
      <c r="H166" s="22" t="s">
        <v>724</v>
      </c>
      <c r="I166" s="13">
        <v>42702.330208333333</v>
      </c>
      <c r="J166" s="7">
        <v>0</v>
      </c>
      <c r="K166" s="109" t="str">
        <f t="shared" si="41"/>
        <v>4031/4032</v>
      </c>
      <c r="L166" s="22" t="str">
        <f>VLOOKUP(A166,'Trips&amp;Operators'!$C$1:$E$10000,3,FALSE)</f>
        <v>SAFIEF</v>
      </c>
      <c r="M166" s="6">
        <f t="shared" si="42"/>
        <v>1.1840277780720498E-2</v>
      </c>
      <c r="N166" s="7">
        <f t="shared" si="56"/>
        <v>17.050000004237518</v>
      </c>
      <c r="O166" s="7"/>
      <c r="P166" s="7"/>
      <c r="Q166" s="23"/>
      <c r="R166" s="23"/>
      <c r="S166" s="35">
        <f t="shared" si="57"/>
        <v>1</v>
      </c>
      <c r="T166" s="50" t="str">
        <f t="shared" si="43"/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06:36:36-700',mode:absolute,to:'2016-11-28 08:55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6" s="52" t="str">
        <f t="shared" si="45"/>
        <v>N</v>
      </c>
      <c r="X166" s="177">
        <f t="shared" si="46"/>
        <v>1</v>
      </c>
      <c r="Y166" s="67">
        <f t="shared" si="47"/>
        <v>5.8635999999999999</v>
      </c>
      <c r="Z166" s="67">
        <f t="shared" si="48"/>
        <v>7.1499999999999994E-2</v>
      </c>
      <c r="AA166" s="67">
        <f t="shared" si="49"/>
        <v>5.7920999999999996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50"/>
        <v>0808-28</v>
      </c>
      <c r="AE166" s="91" t="str">
        <f t="shared" si="51"/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AF166" s="88" t="str">
        <f t="shared" si="52"/>
        <v>"C:\Program Files (x86)\AstroGrep\AstroGrep.exe" /spath="%USERPROFILE%\AppData\Local\Temp\OnboardLogs" /stypes="app*4032*20161128*" /stext=" 14:.+((SYSTEM_STATE.+slice.+state.+changed )|(ment ac)|(multiple cpu faults)|(system.+state.+changed )|(\[timeout)|(PRM\|1\|D)|(kpr)|(kdp)|(\|lc)|(penalty))" /e /r /s</v>
      </c>
      <c r="AG166" s="1" t="str">
        <f t="shared" si="53"/>
        <v>NW</v>
      </c>
      <c r="AH166" s="92" t="str">
        <f t="shared" si="54"/>
        <v>"%USERPROFILE%\Documents\GitHub\eaglep3\Utilities\RefineRTDCRunTimes.py" --tripid 808-28 --locoid 4032 --swversion DE.1.0.8.0 --startMP 300:58636 --initTime 2016-11-28T07:36:36 --startdatetime 2016-11-28T07:38:27 --delay 1 --endMP 204:715 --enddatetime 2016-11-28T07:55:30 --enforcementcount 0 &gt;&gt;C:\Users\stu\Documents\GitHub\eaglep3-reporting\EC\2016-11-28-refined-times.txt</v>
      </c>
      <c r="AI166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{"issue":{"subject":"","project_id":79,"tracker_id":40,"status_id":1,"priority_id":2,"assigned_to_id":23,"start_date":"2016-11-28","description":"","custom_fields":[{"id":1,"name":"Subdivision","value":"NW"},{"id":4,"name":"Milepost","value":"0.0715"},{"id":17,"name":"Train ID","value":"808-28"},{"id":16,"name":"Locomotive ID","value":"4032"},{"id":130,"name":"Impact","value":""},{"id":150,"name":"Time of Event (Mountain Time)","value":"07:55:30"},{"id":151,"name":"Denver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401</v>
      </c>
      <c r="B167" s="7">
        <v>4003</v>
      </c>
      <c r="C167" s="22" t="s">
        <v>212</v>
      </c>
      <c r="D167" s="22" t="s">
        <v>725</v>
      </c>
      <c r="E167" s="13">
        <v>42702.324502314812</v>
      </c>
      <c r="F167" s="13">
        <v>42702.327245370368</v>
      </c>
      <c r="G167" s="7">
        <v>1</v>
      </c>
      <c r="H167" s="22" t="s">
        <v>726</v>
      </c>
      <c r="I167" s="13">
        <v>42702.33761574074</v>
      </c>
      <c r="J167" s="7">
        <v>0</v>
      </c>
      <c r="K167" s="109" t="str">
        <f t="shared" si="41"/>
        <v>4003/4004</v>
      </c>
      <c r="L167" s="22" t="str">
        <f>VLOOKUP(A167,'Trips&amp;Operators'!$C$1:$E$10000,3,FALSE)</f>
        <v>DAVIS</v>
      </c>
      <c r="M167" s="6">
        <f t="shared" si="42"/>
        <v>1.0370370371674653E-2</v>
      </c>
      <c r="N167" s="7">
        <f t="shared" si="56"/>
        <v>14.933333335211501</v>
      </c>
      <c r="O167" s="7"/>
      <c r="P167" s="7"/>
      <c r="Q167" s="23"/>
      <c r="R167" s="23"/>
      <c r="S167" s="35">
        <f t="shared" si="57"/>
        <v>1</v>
      </c>
      <c r="T167" s="50" t="str">
        <f t="shared" si="43"/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06:47:17-700',mode:absolute,to:'2016-11-28 09:06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7" s="52" t="str">
        <f t="shared" si="45"/>
        <v>N</v>
      </c>
      <c r="X167" s="177">
        <f t="shared" si="46"/>
        <v>1</v>
      </c>
      <c r="Y167" s="67">
        <f t="shared" si="47"/>
        <v>9.4399999999999998E-2</v>
      </c>
      <c r="Z167" s="67">
        <f t="shared" si="48"/>
        <v>5.8070000000000004</v>
      </c>
      <c r="AA167" s="67">
        <f t="shared" si="49"/>
        <v>5.7126000000000001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50"/>
        <v>0809-28</v>
      </c>
      <c r="AE167" s="91" t="str">
        <f t="shared" si="51"/>
        <v>aws s3 cp s3://rtdc.mdm.uploadarchive.raw/RTDC4003/ "%USERPROFILE%\AppData\Local\Temp\OnboardLogs"\RTDC4003\2016-11-28 --exclude "*" --recursive --include "*20161128*" &amp; "%USERPROFILE%\Documents\GitHub\mrs-test-scripts\Headless Mode &amp; Sideloading\WalkAndUnGZ.bat" "%USERPROFILE%\AppData\Local\Temp\OnboardLogs"\RTDC4003\2016-11-28 &amp; 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</v>
      </c>
      <c r="AF167" s="88" t="str">
        <f t="shared" si="52"/>
        <v>"C:\Program Files (x86)\AstroGrep\AstroGrep.exe" /spath="%USERPROFILE%\AppData\Local\Temp\OnboardLogs" /stypes="app*4003*20161128*" /stext=" 15:.+((SYSTEM_STATE.+slice.+state.+changed )|(ment ac)|(multiple cpu faults)|(system.+state.+changed )|(\[timeout)|(PRM\|1\|D)|(kpr)|(kdp)|(\|lc)|(penalty))" /e /r /s</v>
      </c>
      <c r="AG167" s="1" t="str">
        <f t="shared" si="53"/>
        <v>NW</v>
      </c>
      <c r="AH167" s="92" t="str">
        <f t="shared" si="54"/>
        <v>"%USERPROFILE%\Documents\GitHub\eaglep3\Utilities\RefineRTDCRunTimes.py" --tripid 809-28 --locoid 4003 --swversion DE.1.0.8.0 --startMP 204:944 --initTime 2016-11-28T07:47:17 --startdatetime 2016-11-28T07:51:14 --delay 1 --endMP 300:58070 --enddatetime 2016-11-28T08:06:10 --enforcementcount 0 &gt;&gt;C:\Users\stu\Documents\GitHub\eaglep3-reporting\EC\2016-11-28-refined-times.txt</v>
      </c>
      <c r="AI167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{"issue":{"subject":"","project_id":79,"tracker_id":40,"status_id":1,"priority_id":2,"assigned_to_id":23,"start_date":"2016-11-28","description":"","custom_fields":[{"id":1,"name":"Subdivision","value":"NW"},{"id":4,"name":"Milepost","value":"5.807"},{"id":17,"name":"Train ID","value":"809-28"},{"id":16,"name":"Locomotive ID","value":"4003"},{"id":130,"name":"Impact","value":""},{"id":150,"name":"Time of Event (Mountain Time)","value":"08:06:10"},{"id":151,"name":"Denver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s="21" customFormat="1" x14ac:dyDescent="0.25">
      <c r="A168" s="37" t="s">
        <v>477</v>
      </c>
      <c r="B168" s="7">
        <v>4004</v>
      </c>
      <c r="C168" s="22" t="s">
        <v>212</v>
      </c>
      <c r="D168" s="22" t="s">
        <v>371</v>
      </c>
      <c r="E168" s="13">
        <v>42702.338680555556</v>
      </c>
      <c r="F168" s="13">
        <v>42702.340162037035</v>
      </c>
      <c r="G168" s="7">
        <v>1</v>
      </c>
      <c r="H168" s="22" t="s">
        <v>727</v>
      </c>
      <c r="I168" s="13">
        <v>42702.351388888892</v>
      </c>
      <c r="J168" s="7">
        <v>0</v>
      </c>
      <c r="K168" s="109" t="str">
        <f t="shared" si="41"/>
        <v>4003/4004</v>
      </c>
      <c r="L168" s="22" t="str">
        <f>VLOOKUP(A168,'Trips&amp;Operators'!$C$1:$E$10000,3,FALSE)</f>
        <v>DAVIS</v>
      </c>
      <c r="M168" s="6">
        <f t="shared" si="42"/>
        <v>1.1226851856918074E-2</v>
      </c>
      <c r="N168" s="7">
        <f t="shared" si="56"/>
        <v>16.166666673962027</v>
      </c>
      <c r="O168" s="7"/>
      <c r="P168" s="7"/>
      <c r="Q168" s="23"/>
      <c r="R168" s="23"/>
      <c r="S168" s="35">
        <f t="shared" si="57"/>
        <v>1</v>
      </c>
      <c r="T168" s="50" t="str">
        <f t="shared" si="43"/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07:07:42-700',mode:absolute,to:'2016-11-28 09:26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8" s="52" t="str">
        <f t="shared" si="45"/>
        <v>N</v>
      </c>
      <c r="X168" s="177">
        <f t="shared" si="46"/>
        <v>1</v>
      </c>
      <c r="Y168" s="67">
        <f t="shared" si="47"/>
        <v>5.8685</v>
      </c>
      <c r="Z168" s="67">
        <f t="shared" si="48"/>
        <v>6.54E-2</v>
      </c>
      <c r="AA168" s="67">
        <f t="shared" si="49"/>
        <v>5.8030999999999997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50"/>
        <v>0810-28</v>
      </c>
      <c r="AE168" s="91" t="str">
        <f t="shared" si="51"/>
        <v>aws s3 cp s3://rtdc.mdm.uploadarchive.raw/RTDC4004/ "%USERPROFILE%\AppData\Local\Temp\OnboardLogs"\RTDC4004\2016-11-28 --exclude "*" --recursive --include "*20161128*" &amp; "%USERPROFILE%\Documents\GitHub\mrs-test-scripts\Headless Mode &amp; Sideloading\WalkAndUnGZ.bat" "%USERPROFILE%\AppData\Local\Temp\OnboardLogs"\RTDC4004\2016-11-28 &amp; 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</v>
      </c>
      <c r="AF168" s="88" t="str">
        <f t="shared" si="52"/>
        <v>"C:\Program Files (x86)\AstroGrep\AstroGrep.exe" /spath="%USERPROFILE%\AppData\Local\Temp\OnboardLogs" /stypes="app*4004*20161128*" /stext=" 15:.+((SYSTEM_STATE.+slice.+state.+changed )|(ment ac)|(multiple cpu faults)|(system.+state.+changed )|(\[timeout)|(PRM\|1\|D)|(kpr)|(kdp)|(\|lc)|(penalty))" /e /r /s</v>
      </c>
      <c r="AG168" s="1" t="str">
        <f t="shared" si="53"/>
        <v>NW</v>
      </c>
      <c r="AH168" s="92" t="str">
        <f t="shared" si="54"/>
        <v>"%USERPROFILE%\Documents\GitHub\eaglep3\Utilities\RefineRTDCRunTimes.py" --tripid 810-28 --locoid 4004 --swversion DE.1.0.8.0 --startMP 300:58685 --initTime 2016-11-28T08:07:42 --startdatetime 2016-11-28T08:09:50 --delay 1 --endMP 204:654 --enddatetime 2016-11-28T08:26:00 --enforcementcount 0 &gt;&gt;C:\Users\stu\Documents\GitHub\eaglep3-reporting\EC\2016-11-28-refined-times.txt</v>
      </c>
      <c r="AI168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{"issue":{"subject":"","project_id":79,"tracker_id":40,"status_id":1,"priority_id":2,"assigned_to_id":23,"start_date":"2016-11-28","description":"","custom_fields":[{"id":1,"name":"Subdivision","value":"NW"},{"id":4,"name":"Milepost","value":"0.0654"},{"id":17,"name":"Train ID","value":"810-28"},{"id":16,"name":"Locomotive ID","value":"4004"},{"id":130,"name":"Impact","value":""},{"id":150,"name":"Time of Event (Mountain Time)","value":"08:26:00"},{"id":151,"name":"Denver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403</v>
      </c>
      <c r="B169" s="7">
        <v>4031</v>
      </c>
      <c r="C169" s="22" t="s">
        <v>212</v>
      </c>
      <c r="D169" s="22" t="s">
        <v>721</v>
      </c>
      <c r="E169" s="13">
        <v>42702.345925925925</v>
      </c>
      <c r="F169" s="13">
        <v>42702.348657407405</v>
      </c>
      <c r="G169" s="7">
        <v>1</v>
      </c>
      <c r="H169" s="22" t="s">
        <v>728</v>
      </c>
      <c r="I169" s="13">
        <v>42702.357476851852</v>
      </c>
      <c r="J169" s="7">
        <v>0</v>
      </c>
      <c r="K169" s="109" t="str">
        <f t="shared" si="41"/>
        <v>4031/4032</v>
      </c>
      <c r="L169" s="22" t="str">
        <f>VLOOKUP(A169,'Trips&amp;Operators'!$C$1:$E$10000,3,FALSE)</f>
        <v>SAFIEF</v>
      </c>
      <c r="M169" s="6">
        <f t="shared" si="42"/>
        <v>8.819444446999114E-3</v>
      </c>
      <c r="N169" s="7">
        <f t="shared" si="56"/>
        <v>12.700000003678724</v>
      </c>
      <c r="O169" s="7"/>
      <c r="P169" s="7"/>
      <c r="Q169" s="23"/>
      <c r="R169" s="23"/>
      <c r="S169" s="35">
        <f t="shared" si="57"/>
        <v>1</v>
      </c>
      <c r="T169" s="50" t="str">
        <f t="shared" si="43"/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07:18:08-700',mode:absolute,to:'2016-11-28 09:34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9" s="52" t="str">
        <f t="shared" si="45"/>
        <v>N</v>
      </c>
      <c r="X169" s="177">
        <f t="shared" si="46"/>
        <v>1</v>
      </c>
      <c r="Y169" s="67">
        <f t="shared" si="47"/>
        <v>9.7799999999999998E-2</v>
      </c>
      <c r="Z169" s="67">
        <f t="shared" si="48"/>
        <v>5.8924000000000003</v>
      </c>
      <c r="AA169" s="67">
        <f t="shared" si="49"/>
        <v>5.7946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50"/>
        <v>0811-28</v>
      </c>
      <c r="AE169" s="91" t="str">
        <f t="shared" si="51"/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AF169" s="88" t="str">
        <f t="shared" si="52"/>
        <v>"C:\Program Files (x86)\AstroGrep\AstroGrep.exe" /spath="%USERPROFILE%\AppData\Local\Temp\OnboardLogs" /stypes="app*4031*20161128*" /stext=" 15:.+((SYSTEM_STATE.+slice.+state.+changed )|(ment ac)|(multiple cpu faults)|(system.+state.+changed )|(\[timeout)|(PRM\|1\|D)|(kpr)|(kdp)|(\|lc)|(penalty))" /e /r /s</v>
      </c>
      <c r="AG169" s="1" t="str">
        <f t="shared" si="53"/>
        <v>NW</v>
      </c>
      <c r="AH169" s="92" t="str">
        <f t="shared" si="54"/>
        <v>"%USERPROFILE%\Documents\GitHub\eaglep3\Utilities\RefineRTDCRunTimes.py" --tripid 811-28 --locoid 4031 --swversion DE.1.0.8.0 --startMP 204:978 --initTime 2016-11-28T08:18:08 --startdatetime 2016-11-28T08:22:04 --delay 1 --endMP 300:58924 --enddatetime 2016-11-28T08:34:46 --enforcementcount 0 &gt;&gt;C:\Users\stu\Documents\GitHub\eaglep3-reporting\EC\2016-11-28-refined-times.txt</v>
      </c>
      <c r="AI169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{"issue":{"subject":"","project_id":79,"tracker_id":40,"status_id":1,"priority_id":2,"assigned_to_id":23,"start_date":"2016-11-28","description":"","custom_fields":[{"id":1,"name":"Subdivision","value":"NW"},{"id":4,"name":"Milepost","value":"5.8924"},{"id":17,"name":"Train ID","value":"811-28"},{"id":16,"name":"Locomotive ID","value":"4031"},{"id":130,"name":"Impact","value":""},{"id":150,"name":"Time of Event (Mountain Time)","value":"08:34:46"},{"id":151,"name":"Denver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482</v>
      </c>
      <c r="B170" s="7">
        <v>4032</v>
      </c>
      <c r="C170" s="22" t="s">
        <v>212</v>
      </c>
      <c r="D170" s="22" t="s">
        <v>729</v>
      </c>
      <c r="E170" s="13">
        <v>42702.358668981484</v>
      </c>
      <c r="F170" s="13">
        <v>42702.359976851854</v>
      </c>
      <c r="G170" s="7">
        <v>1</v>
      </c>
      <c r="H170" s="22" t="s">
        <v>730</v>
      </c>
      <c r="I170" s="13">
        <v>42702.371192129627</v>
      </c>
      <c r="J170" s="7">
        <v>0</v>
      </c>
      <c r="K170" s="109" t="str">
        <f t="shared" si="41"/>
        <v>4031/4032</v>
      </c>
      <c r="L170" s="22" t="str">
        <f>VLOOKUP(A170,'Trips&amp;Operators'!$C$1:$E$10000,3,FALSE)</f>
        <v>SAFIEF</v>
      </c>
      <c r="M170" s="6">
        <f t="shared" si="42"/>
        <v>1.1215277772862464E-2</v>
      </c>
      <c r="N170" s="7">
        <f t="shared" si="56"/>
        <v>16.149999992921948</v>
      </c>
      <c r="O170" s="7"/>
      <c r="P170" s="7"/>
      <c r="Q170" s="23"/>
      <c r="R170" s="23"/>
      <c r="S170" s="35">
        <f t="shared" si="57"/>
        <v>1</v>
      </c>
      <c r="T170" s="50" t="str">
        <f t="shared" si="43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07:36:29-700',mode:absolute,to:'2016-11-28 09:54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0" s="52" t="str">
        <f t="shared" si="45"/>
        <v>N</v>
      </c>
      <c r="X170" s="177">
        <f t="shared" si="46"/>
        <v>1</v>
      </c>
      <c r="Y170" s="67">
        <f t="shared" si="47"/>
        <v>5.8605999999999998</v>
      </c>
      <c r="Z170" s="67">
        <f t="shared" si="48"/>
        <v>6.9099999999999995E-2</v>
      </c>
      <c r="AA170" s="67">
        <f t="shared" si="49"/>
        <v>5.7915000000000001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50"/>
        <v>0812-28</v>
      </c>
      <c r="AE170" s="91" t="str">
        <f t="shared" si="51"/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AF170" s="88" t="str">
        <f t="shared" si="52"/>
        <v>"C:\Program Files (x86)\AstroGrep\AstroGrep.exe" /spath="%USERPROFILE%\AppData\Local\Temp\OnboardLogs" /stypes="app*4032*20161128*" /stext=" 15:.+((SYSTEM_STATE.+slice.+state.+changed )|(ment ac)|(multiple cpu faults)|(system.+state.+changed )|(\[timeout)|(PRM\|1\|D)|(kpr)|(kdp)|(\|lc)|(penalty))" /e /r /s</v>
      </c>
      <c r="AG170" s="1" t="str">
        <f t="shared" si="53"/>
        <v>NW</v>
      </c>
      <c r="AH170" s="92" t="str">
        <f t="shared" si="54"/>
        <v>"%USERPROFILE%\Documents\GitHub\eaglep3\Utilities\RefineRTDCRunTimes.py" --tripid 812-28 --locoid 4032 --swversion DE.1.0.8.0 --startMP 300:58606 --initTime 2016-11-28T08:36:29 --startdatetime 2016-11-28T08:38:22 --delay 1 --endMP 204:691 --enddatetime 2016-11-28T08:54:31 --enforcementcount 0 &gt;&gt;C:\Users\stu\Documents\GitHub\eaglep3-reporting\EC\2016-11-28-refined-times.txt</v>
      </c>
      <c r="AI170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{"issue":{"subject":"","project_id":79,"tracker_id":40,"status_id":1,"priority_id":2,"assigned_to_id":23,"start_date":"2016-11-28","description":"","custom_fields":[{"id":1,"name":"Subdivision","value":"NW"},{"id":4,"name":"Milepost","value":"0.0691"},{"id":17,"name":"Train ID","value":"812-28"},{"id":16,"name":"Locomotive ID","value":"4032"},{"id":130,"name":"Impact","value":""},{"id":150,"name":"Time of Event (Mountain Time)","value":"08:54:31"},{"id":151,"name":"Denver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488</v>
      </c>
      <c r="B171" s="7">
        <v>4031</v>
      </c>
      <c r="C171" s="22" t="s">
        <v>212</v>
      </c>
      <c r="D171" s="22" t="s">
        <v>731</v>
      </c>
      <c r="E171" s="13">
        <v>42702.388009259259</v>
      </c>
      <c r="F171" s="13">
        <v>42702.389756944445</v>
      </c>
      <c r="G171" s="7">
        <v>1</v>
      </c>
      <c r="H171" s="22" t="s">
        <v>732</v>
      </c>
      <c r="I171" s="13">
        <v>42702.398460648146</v>
      </c>
      <c r="J171" s="7">
        <v>0</v>
      </c>
      <c r="K171" s="109" t="str">
        <f t="shared" si="41"/>
        <v>4031/4032</v>
      </c>
      <c r="L171" s="22" t="str">
        <f>VLOOKUP(A171,'Trips&amp;Operators'!$C$1:$E$10000,3,FALSE)</f>
        <v>SAFIEF</v>
      </c>
      <c r="M171" s="6">
        <f t="shared" si="42"/>
        <v>8.703703701030463E-3</v>
      </c>
      <c r="N171" s="7">
        <f t="shared" si="56"/>
        <v>12.533333329483867</v>
      </c>
      <c r="O171" s="7"/>
      <c r="P171" s="7"/>
      <c r="Q171" s="23"/>
      <c r="R171" s="23"/>
      <c r="S171" s="35">
        <f t="shared" si="57"/>
        <v>1</v>
      </c>
      <c r="T171" s="50" t="str">
        <f t="shared" si="43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08:18:44-700',mode:absolute,to:'2016-11-28 10:33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1" s="52" t="str">
        <f t="shared" si="45"/>
        <v>N</v>
      </c>
      <c r="X171" s="177">
        <f t="shared" si="46"/>
        <v>1</v>
      </c>
      <c r="Y171" s="67">
        <f t="shared" si="47"/>
        <v>9.7100000000000006E-2</v>
      </c>
      <c r="Z171" s="67">
        <f t="shared" si="48"/>
        <v>5.8925999999999998</v>
      </c>
      <c r="AA171" s="67">
        <f t="shared" si="49"/>
        <v>5.7954999999999997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50"/>
        <v>0813-28</v>
      </c>
      <c r="AE171" s="91" t="str">
        <f t="shared" si="51"/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AF171" s="88" t="str">
        <f t="shared" si="52"/>
        <v>"C:\Program Files (x86)\AstroGrep\AstroGrep.exe" /spath="%USERPROFILE%\AppData\Local\Temp\OnboardLogs" /stypes="app*4031*20161128*" /stext=" 16:.+((SYSTEM_STATE.+slice.+state.+changed )|(ment ac)|(multiple cpu faults)|(system.+state.+changed )|(\[timeout)|(PRM\|1\|D)|(kpr)|(kdp)|(\|lc)|(penalty))" /e /r /s</v>
      </c>
      <c r="AG171" s="1" t="str">
        <f t="shared" si="53"/>
        <v>NW</v>
      </c>
      <c r="AH171" s="92" t="str">
        <f t="shared" si="54"/>
        <v>"%USERPROFILE%\Documents\GitHub\eaglep3\Utilities\RefineRTDCRunTimes.py" --tripid 813-28 --locoid 4031 --swversion DE.1.0.8.0 --startMP 204:971 --initTime 2016-11-28T09:18:44 --startdatetime 2016-11-28T09:21:15 --delay 1 --endMP 300:58926 --enddatetime 2016-11-28T09:33:47 --enforcementcount 0 &gt;&gt;C:\Users\stu\Documents\GitHub\eaglep3-reporting\EC\2016-11-28-refined-times.txt</v>
      </c>
      <c r="AI171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{"issue":{"subject":"","project_id":79,"tracker_id":40,"status_id":1,"priority_id":2,"assigned_to_id":23,"start_date":"2016-11-28","description":"","custom_fields":[{"id":1,"name":"Subdivision","value":"NW"},{"id":4,"name":"Milepost","value":"5.8926"},{"id":17,"name":"Train ID","value":"813-28"},{"id":16,"name":"Locomotive ID","value":"4031"},{"id":130,"name":"Impact","value":""},{"id":150,"name":"Time of Event (Mountain Time)","value":"09:33:47"},{"id":151,"name":"Denver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s="21" customFormat="1" x14ac:dyDescent="0.25">
      <c r="A172" s="37" t="s">
        <v>491</v>
      </c>
      <c r="B172" s="7">
        <v>4032</v>
      </c>
      <c r="C172" s="22" t="s">
        <v>212</v>
      </c>
      <c r="D172" s="22" t="s">
        <v>733</v>
      </c>
      <c r="E172" s="13">
        <v>42702.399537037039</v>
      </c>
      <c r="F172" s="13">
        <v>42702.400937500002</v>
      </c>
      <c r="G172" s="7">
        <v>1</v>
      </c>
      <c r="H172" s="22" t="s">
        <v>373</v>
      </c>
      <c r="I172" s="13">
        <v>42702.411759259259</v>
      </c>
      <c r="J172" s="7">
        <v>0</v>
      </c>
      <c r="K172" s="109" t="str">
        <f t="shared" si="41"/>
        <v>4031/4032</v>
      </c>
      <c r="L172" s="22" t="str">
        <f>VLOOKUP(A172,'Trips&amp;Operators'!$C$1:$E$10000,3,FALSE)</f>
        <v>SAFIEF</v>
      </c>
      <c r="M172" s="6">
        <f t="shared" si="42"/>
        <v>1.0821759256941732E-2</v>
      </c>
      <c r="N172" s="7">
        <f t="shared" si="56"/>
        <v>15.583333329996094</v>
      </c>
      <c r="O172" s="7"/>
      <c r="P172" s="7"/>
      <c r="Q172" s="23"/>
      <c r="R172" s="23"/>
      <c r="S172" s="35">
        <f t="shared" si="57"/>
        <v>1</v>
      </c>
      <c r="T172" s="50" t="str">
        <f t="shared" si="43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08:35:20-700',mode:absolute,to:'2016-11-28 10:52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2" s="52" t="str">
        <f t="shared" si="45"/>
        <v>N</v>
      </c>
      <c r="X172" s="177">
        <f t="shared" si="46"/>
        <v>1</v>
      </c>
      <c r="Y172" s="67">
        <f t="shared" si="47"/>
        <v>5.8623000000000003</v>
      </c>
      <c r="Z172" s="67">
        <f t="shared" si="48"/>
        <v>6.7299999999999999E-2</v>
      </c>
      <c r="AA172" s="67">
        <f t="shared" si="49"/>
        <v>5.7949999999999999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50"/>
        <v>0814-28</v>
      </c>
      <c r="AE172" s="91" t="str">
        <f t="shared" si="51"/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AF172" s="88" t="str">
        <f t="shared" si="52"/>
        <v>"C:\Program Files (x86)\AstroGrep\AstroGrep.exe" /spath="%USERPROFILE%\AppData\Local\Temp\OnboardLogs" /stypes="app*4032*20161128*" /stext=" 16:.+((SYSTEM_STATE.+slice.+state.+changed )|(ment ac)|(multiple cpu faults)|(system.+state.+changed )|(\[timeout)|(PRM\|1\|D)|(kpr)|(kdp)|(\|lc)|(penalty))" /e /r /s</v>
      </c>
      <c r="AG172" s="1" t="str">
        <f t="shared" si="53"/>
        <v>NW</v>
      </c>
      <c r="AH172" s="92" t="str">
        <f t="shared" si="54"/>
        <v>"%USERPROFILE%\Documents\GitHub\eaglep3\Utilities\RefineRTDCRunTimes.py" --tripid 814-28 --locoid 4032 --swversion DE.1.0.8.0 --startMP 300:58623 --initTime 2016-11-28T09:35:20 --startdatetime 2016-11-28T09:37:21 --delay 1 --endMP 204:673 --enddatetime 2016-11-28T09:52:56 --enforcementcount 0 &gt;&gt;C:\Users\stu\Documents\GitHub\eaglep3-reporting\EC\2016-11-28-refined-times.txt</v>
      </c>
      <c r="AI172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{"issue":{"subject":"","project_id":79,"tracker_id":40,"status_id":1,"priority_id":2,"assigned_to_id":23,"start_date":"2016-11-28","description":"","custom_fields":[{"id":1,"name":"Subdivision","value":"NW"},{"id":4,"name":"Milepost","value":"0.0673"},{"id":17,"name":"Train ID","value":"814-28"},{"id":16,"name":"Locomotive ID","value":"4032"},{"id":130,"name":"Impact","value":""},{"id":150,"name":"Time of Event (Mountain Time)","value":"09:52:56"},{"id":151,"name":"Denver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494</v>
      </c>
      <c r="B173" s="7">
        <v>4031</v>
      </c>
      <c r="C173" s="22" t="s">
        <v>212</v>
      </c>
      <c r="D173" s="22" t="s">
        <v>734</v>
      </c>
      <c r="E173" s="13">
        <v>42702.416041666664</v>
      </c>
      <c r="F173" s="13">
        <v>42702.431458333333</v>
      </c>
      <c r="G173" s="7">
        <v>2</v>
      </c>
      <c r="H173" s="22" t="s">
        <v>735</v>
      </c>
      <c r="I173" s="13">
        <v>42702.441319444442</v>
      </c>
      <c r="J173" s="7">
        <v>0</v>
      </c>
      <c r="K173" s="109" t="str">
        <f t="shared" si="41"/>
        <v>4031/4032</v>
      </c>
      <c r="L173" s="22" t="str">
        <f>VLOOKUP(A173,'Trips&amp;Operators'!$C$1:$E$10000,3,FALSE)</f>
        <v>SAFIEF</v>
      </c>
      <c r="M173" s="6">
        <f t="shared" si="42"/>
        <v>9.8611111097852699E-3</v>
      </c>
      <c r="N173" s="7">
        <f t="shared" si="56"/>
        <v>14.199999998090789</v>
      </c>
      <c r="O173" s="7"/>
      <c r="P173" s="7"/>
      <c r="Q173" s="23"/>
      <c r="R173" s="23"/>
      <c r="S173" s="35">
        <f t="shared" si="57"/>
        <v>1</v>
      </c>
      <c r="T173" s="50" t="str">
        <f t="shared" si="43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08:59:06-700',mode:absolute,to:'2016-11-28 11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3" s="52" t="str">
        <f t="shared" si="45"/>
        <v>N</v>
      </c>
      <c r="X173" s="177">
        <f t="shared" si="46"/>
        <v>1</v>
      </c>
      <c r="Y173" s="67">
        <f t="shared" si="47"/>
        <v>9.69E-2</v>
      </c>
      <c r="Z173" s="67">
        <f t="shared" si="48"/>
        <v>5.8928000000000003</v>
      </c>
      <c r="AA173" s="67">
        <f t="shared" si="49"/>
        <v>5.7959000000000005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50"/>
        <v>0815-28</v>
      </c>
      <c r="AE173" s="91" t="str">
        <f t="shared" si="51"/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AF173" s="88" t="str">
        <f t="shared" si="52"/>
        <v>"C:\Program Files (x86)\AstroGrep\AstroGrep.exe" /spath="%USERPROFILE%\AppData\Local\Temp\OnboardLogs" /stypes="app*4031*20161128*" /stext=" 17:.+((SYSTEM_STATE.+slice.+state.+changed )|(ment ac)|(multiple cpu faults)|(system.+state.+changed )|(\[timeout)|(PRM\|1\|D)|(kpr)|(kdp)|(\|lc)|(penalty))" /e /r /s</v>
      </c>
      <c r="AG173" s="1" t="str">
        <f t="shared" si="53"/>
        <v>NW</v>
      </c>
      <c r="AH173" s="92" t="str">
        <f t="shared" si="54"/>
        <v>"%USERPROFILE%\Documents\GitHub\eaglep3\Utilities\RefineRTDCRunTimes.py" --tripid 815-28 --locoid 4031 --swversion DE.1.0.8.0 --startMP 204:969 --initTime 2016-11-28T09:59:06 --startdatetime 2016-11-28T10:21:18 --delay 2 --endMP 300:58928 --enddatetime 2016-11-28T10:35:30 --enforcementcount 0 &gt;&gt;C:\Users\stu\Documents\GitHub\eaglep3-reporting\EC\2016-11-28-refined-times.txt</v>
      </c>
      <c r="AI173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{"issue":{"subject":"","project_id":79,"tracker_id":40,"status_id":1,"priority_id":2,"assigned_to_id":23,"start_date":"2016-11-28","description":"","custom_fields":[{"id":1,"name":"Subdivision","value":"NW"},{"id":4,"name":"Milepost","value":"5.8928"},{"id":17,"name":"Train ID","value":"815-28"},{"id":16,"name":"Locomotive ID","value":"4031"},{"id":130,"name":"Impact","value":""},{"id":150,"name":"Time of Event (Mountain Time)","value":"10:35:30"},{"id":151,"name":"Denver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501</v>
      </c>
      <c r="B174" s="7">
        <v>4032</v>
      </c>
      <c r="C174" s="22" t="s">
        <v>212</v>
      </c>
      <c r="D174" s="22" t="s">
        <v>286</v>
      </c>
      <c r="E174" s="13">
        <v>42702.44222222222</v>
      </c>
      <c r="F174" s="13">
        <v>42702.443715277775</v>
      </c>
      <c r="G174" s="7">
        <v>1</v>
      </c>
      <c r="H174" s="22" t="s">
        <v>736</v>
      </c>
      <c r="I174" s="13">
        <v>42702.455717592595</v>
      </c>
      <c r="J174" s="7">
        <v>0</v>
      </c>
      <c r="K174" s="109" t="str">
        <f t="shared" si="41"/>
        <v>4031/4032</v>
      </c>
      <c r="L174" s="22" t="str">
        <f>VLOOKUP(A174,'Trips&amp;Operators'!$C$1:$E$10000,3,FALSE)</f>
        <v>SAFIEF</v>
      </c>
      <c r="M174" s="6">
        <f t="shared" si="42"/>
        <v>1.2002314819255844E-2</v>
      </c>
      <c r="N174" s="7">
        <f t="shared" si="56"/>
        <v>17.283333339728415</v>
      </c>
      <c r="O174" s="7"/>
      <c r="P174" s="7"/>
      <c r="Q174" s="23"/>
      <c r="R174" s="23"/>
      <c r="S174" s="35">
        <f t="shared" si="57"/>
        <v>1</v>
      </c>
      <c r="T174" s="50" t="str">
        <f t="shared" si="43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09:36:48-700',mode:absolute,to:'2016-11-28 11:56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4" s="52" t="str">
        <f t="shared" si="45"/>
        <v>N</v>
      </c>
      <c r="X174" s="177">
        <f t="shared" si="46"/>
        <v>1</v>
      </c>
      <c r="Y174" s="67">
        <f t="shared" si="47"/>
        <v>5.8611000000000004</v>
      </c>
      <c r="Z174" s="67">
        <f t="shared" si="48"/>
        <v>6.6299999999999998E-2</v>
      </c>
      <c r="AA174" s="67">
        <f t="shared" si="49"/>
        <v>5.7948000000000004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50"/>
        <v>0816-28</v>
      </c>
      <c r="AE174" s="91" t="str">
        <f t="shared" si="51"/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AF174" s="88" t="str">
        <f t="shared" si="52"/>
        <v>"C:\Program Files (x86)\AstroGrep\AstroGrep.exe" /spath="%USERPROFILE%\AppData\Local\Temp\OnboardLogs" /stypes="app*4032*20161128*" /stext=" 17:.+((SYSTEM_STATE.+slice.+state.+changed )|(ment ac)|(multiple cpu faults)|(system.+state.+changed )|(\[timeout)|(PRM\|1\|D)|(kpr)|(kdp)|(\|lc)|(penalty))" /e /r /s</v>
      </c>
      <c r="AG174" s="1" t="str">
        <f t="shared" si="53"/>
        <v>NW</v>
      </c>
      <c r="AH174" s="92" t="str">
        <f t="shared" si="54"/>
        <v>"%USERPROFILE%\Documents\GitHub\eaglep3\Utilities\RefineRTDCRunTimes.py" --tripid 816-28 --locoid 4032 --swversion DE.1.0.8.0 --startMP 300:58611 --initTime 2016-11-28T10:36:48 --startdatetime 2016-11-28T10:38:57 --delay 1 --endMP 204:663 --enddatetime 2016-11-28T10:56:14 --enforcementcount 0 &gt;&gt;C:\Users\stu\Documents\GitHub\eaglep3-reporting\EC\2016-11-28-refined-times.txt</v>
      </c>
      <c r="AI174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{"issue":{"subject":"","project_id":79,"tracker_id":40,"status_id":1,"priority_id":2,"assigned_to_id":23,"start_date":"2016-11-28","description":"","custom_fields":[{"id":1,"name":"Subdivision","value":"NW"},{"id":4,"name":"Milepost","value":"0.0663"},{"id":17,"name":"Train ID","value":"816-28"},{"id":16,"name":"Locomotive ID","value":"4032"},{"id":130,"name":"Impact","value":""},{"id":150,"name":"Time of Event (Mountain Time)","value":"10:56:14"},{"id":151,"name":"Denver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7" t="s">
        <v>505</v>
      </c>
      <c r="B175" s="7">
        <v>4031</v>
      </c>
      <c r="C175" s="22" t="s">
        <v>212</v>
      </c>
      <c r="D175" s="22" t="s">
        <v>337</v>
      </c>
      <c r="E175" s="13">
        <v>42702.45789351852</v>
      </c>
      <c r="F175" s="13">
        <v>42702.473124999997</v>
      </c>
      <c r="G175" s="7">
        <v>1</v>
      </c>
      <c r="H175" s="22" t="s">
        <v>737</v>
      </c>
      <c r="I175" s="13">
        <v>42702.482916666668</v>
      </c>
      <c r="J175" s="7">
        <v>0</v>
      </c>
      <c r="K175" s="109" t="str">
        <f t="shared" si="41"/>
        <v>4031/4032</v>
      </c>
      <c r="L175" s="22" t="str">
        <f>VLOOKUP(A175,'Trips&amp;Operators'!$C$1:$E$10000,3,FALSE)</f>
        <v>SAFIEF</v>
      </c>
      <c r="M175" s="6">
        <f t="shared" si="42"/>
        <v>9.7916666709352285E-3</v>
      </c>
      <c r="N175" s="7">
        <f t="shared" si="56"/>
        <v>14.100000006146729</v>
      </c>
      <c r="O175" s="7"/>
      <c r="P175" s="7"/>
      <c r="Q175" s="23"/>
      <c r="R175" s="23"/>
      <c r="S175" s="35">
        <f t="shared" si="57"/>
        <v>1</v>
      </c>
      <c r="T175" s="50" t="str">
        <f t="shared" si="43"/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09:59:22-700',mode:absolute,to:'2016-11-28 12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5" s="52" t="str">
        <f t="shared" si="45"/>
        <v>N</v>
      </c>
      <c r="X175" s="177">
        <f t="shared" si="46"/>
        <v>1</v>
      </c>
      <c r="Y175" s="67">
        <f t="shared" si="47"/>
        <v>9.6199999999999994E-2</v>
      </c>
      <c r="Z175" s="67">
        <f t="shared" si="48"/>
        <v>5.8917999999999999</v>
      </c>
      <c r="AA175" s="67">
        <f t="shared" si="49"/>
        <v>5.7956000000000003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50"/>
        <v>0817-28</v>
      </c>
      <c r="AE175" s="91" t="str">
        <f t="shared" si="51"/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AF175" s="88" t="str">
        <f t="shared" si="52"/>
        <v>"C:\Program Files (x86)\AstroGrep\AstroGrep.exe" /spath="%USERPROFILE%\AppData\Local\Temp\OnboardLogs" /stypes="app*4031*20161128*" /stext=" 18:.+((SYSTEM_STATE.+slice.+state.+changed )|(ment ac)|(multiple cpu faults)|(system.+state.+changed )|(\[timeout)|(PRM\|1\|D)|(kpr)|(kdp)|(\|lc)|(penalty))" /e /r /s</v>
      </c>
      <c r="AG175" s="1" t="str">
        <f t="shared" si="53"/>
        <v>NW</v>
      </c>
      <c r="AH175" s="92" t="str">
        <f t="shared" si="54"/>
        <v>"%USERPROFILE%\Documents\GitHub\eaglep3\Utilities\RefineRTDCRunTimes.py" --tripid 817-28 --locoid 4031 --swversion DE.1.0.8.0 --startMP 204:962 --initTime 2016-11-28T10:59:22 --startdatetime 2016-11-28T11:21:18 --delay 1 --endMP 300:58918 --enddatetime 2016-11-28T11:35:24 --enforcementcount 0 &gt;&gt;C:\Users\stu\Documents\GitHub\eaglep3-reporting\EC\2016-11-28-refined-times.txt</v>
      </c>
      <c r="AI175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{"issue":{"subject":"","project_id":79,"tracker_id":40,"status_id":1,"priority_id":2,"assigned_to_id":23,"start_date":"2016-11-28","description":"","custom_fields":[{"id":1,"name":"Subdivision","value":"NW"},{"id":4,"name":"Milepost","value":"5.8918"},{"id":17,"name":"Train ID","value":"817-28"},{"id":16,"name":"Locomotive ID","value":"4031"},{"id":130,"name":"Impact","value":""},{"id":150,"name":"Time of Event (Mountain Time)","value":"11:35:24"},{"id":151,"name":"Denver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514</v>
      </c>
      <c r="B176" s="7">
        <v>4032</v>
      </c>
      <c r="C176" s="22" t="s">
        <v>212</v>
      </c>
      <c r="D176" s="22" t="s">
        <v>738</v>
      </c>
      <c r="E176" s="13">
        <v>42702.483807870369</v>
      </c>
      <c r="F176" s="13">
        <v>42702.485520833332</v>
      </c>
      <c r="G176" s="7">
        <v>1</v>
      </c>
      <c r="H176" s="22" t="s">
        <v>736</v>
      </c>
      <c r="I176" s="13">
        <v>42702.497187499997</v>
      </c>
      <c r="J176" s="7">
        <v>0</v>
      </c>
      <c r="K176" s="109" t="str">
        <f t="shared" si="41"/>
        <v>4031/4032</v>
      </c>
      <c r="L176" s="22" t="str">
        <f>VLOOKUP(A176,'Trips&amp;Operators'!$C$1:$E$10000,3,FALSE)</f>
        <v>SAFIEF</v>
      </c>
      <c r="M176" s="6">
        <f t="shared" si="42"/>
        <v>1.1666666665405501E-2</v>
      </c>
      <c r="N176" s="7">
        <f t="shared" si="56"/>
        <v>16.799999998183921</v>
      </c>
      <c r="O176" s="7"/>
      <c r="P176" s="7"/>
      <c r="Q176" s="23"/>
      <c r="R176" s="23"/>
      <c r="S176" s="35">
        <f t="shared" si="57"/>
        <v>1</v>
      </c>
      <c r="T176" s="50" t="str">
        <f t="shared" si="43"/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10:36:41-700',mode:absolute,to:'2016-11-28 12:55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6" s="52" t="str">
        <f t="shared" si="45"/>
        <v>N</v>
      </c>
      <c r="X176" s="177">
        <f t="shared" si="46"/>
        <v>1</v>
      </c>
      <c r="Y176" s="67">
        <f t="shared" si="47"/>
        <v>5.8596000000000004</v>
      </c>
      <c r="Z176" s="67">
        <f t="shared" si="48"/>
        <v>6.6299999999999998E-2</v>
      </c>
      <c r="AA176" s="67">
        <f t="shared" si="49"/>
        <v>5.7933000000000003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50"/>
        <v>0818-28</v>
      </c>
      <c r="AE176" s="91" t="str">
        <f t="shared" si="51"/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AF176" s="88" t="str">
        <f t="shared" si="52"/>
        <v>"C:\Program Files (x86)\AstroGrep\AstroGrep.exe" /spath="%USERPROFILE%\AppData\Local\Temp\OnboardLogs" /stypes="app*4032*20161128*" /stext=" 18:.+((SYSTEM_STATE.+slice.+state.+changed )|(ment ac)|(multiple cpu faults)|(system.+state.+changed )|(\[timeout)|(PRM\|1\|D)|(kpr)|(kdp)|(\|lc)|(penalty))" /e /r /s</v>
      </c>
      <c r="AG176" s="1" t="str">
        <f t="shared" si="53"/>
        <v>NW</v>
      </c>
      <c r="AH176" s="92" t="str">
        <f t="shared" si="54"/>
        <v>"%USERPROFILE%\Documents\GitHub\eaglep3\Utilities\RefineRTDCRunTimes.py" --tripid 818-28 --locoid 4032 --swversion DE.1.0.8.0 --startMP 300:58596 --initTime 2016-11-28T11:36:41 --startdatetime 2016-11-28T11:39:09 --delay 1 --endMP 204:663 --enddatetime 2016-11-28T11:55:57 --enforcementcount 0 &gt;&gt;C:\Users\stu\Documents\GitHub\eaglep3-reporting\EC\2016-11-28-refined-times.txt</v>
      </c>
      <c r="AI176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{"issue":{"subject":"","project_id":79,"tracker_id":40,"status_id":1,"priority_id":2,"assigned_to_id":23,"start_date":"2016-11-28","description":"","custom_fields":[{"id":1,"name":"Subdivision","value":"NW"},{"id":4,"name":"Milepost","value":"0.0663"},{"id":17,"name":"Train ID","value":"818-28"},{"id":16,"name":"Locomotive ID","value":"4032"},{"id":130,"name":"Impact","value":""},{"id":150,"name":"Time of Event (Mountain Time)","value":"11:55:57"},{"id":151,"name":"Denver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s="21" customFormat="1" x14ac:dyDescent="0.25">
      <c r="A177" s="37" t="s">
        <v>519</v>
      </c>
      <c r="B177" s="7">
        <v>4031</v>
      </c>
      <c r="C177" s="22" t="s">
        <v>212</v>
      </c>
      <c r="D177" s="22" t="s">
        <v>739</v>
      </c>
      <c r="E177" s="13">
        <v>42702.499351851853</v>
      </c>
      <c r="F177" s="13">
        <v>42702.515011574076</v>
      </c>
      <c r="G177" s="7">
        <v>1</v>
      </c>
      <c r="H177" s="22" t="s">
        <v>287</v>
      </c>
      <c r="I177" s="13">
        <v>42702.524351851855</v>
      </c>
      <c r="J177" s="7">
        <v>0</v>
      </c>
      <c r="K177" s="109" t="str">
        <f t="shared" si="41"/>
        <v>4031/4032</v>
      </c>
      <c r="L177" s="22" t="str">
        <f>VLOOKUP(A177,'Trips&amp;Operators'!$C$1:$E$10000,3,FALSE)</f>
        <v>SAFIEF</v>
      </c>
      <c r="M177" s="6">
        <f t="shared" si="42"/>
        <v>9.340277778392192E-3</v>
      </c>
      <c r="N177" s="7">
        <f t="shared" si="56"/>
        <v>13.450000000884756</v>
      </c>
      <c r="O177" s="7"/>
      <c r="P177" s="7"/>
      <c r="Q177" s="23"/>
      <c r="R177" s="23"/>
      <c r="S177" s="35">
        <f t="shared" si="57"/>
        <v>1</v>
      </c>
      <c r="T177" s="50" t="str">
        <f t="shared" si="43"/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10:59:04-700',mode:absolute,to:'2016-11-28 13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7" s="52" t="str">
        <f t="shared" si="45"/>
        <v>N</v>
      </c>
      <c r="X177" s="177">
        <f t="shared" si="46"/>
        <v>1</v>
      </c>
      <c r="Y177" s="67">
        <f t="shared" si="47"/>
        <v>9.64E-2</v>
      </c>
      <c r="Z177" s="67">
        <f t="shared" si="48"/>
        <v>5.8921999999999999</v>
      </c>
      <c r="AA177" s="67">
        <f t="shared" si="49"/>
        <v>5.7957999999999998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50"/>
        <v>0819-28</v>
      </c>
      <c r="AE177" s="91" t="str">
        <f t="shared" si="51"/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AF177" s="88" t="str">
        <f t="shared" si="52"/>
        <v>"C:\Program Files (x86)\AstroGrep\AstroGrep.exe" /spath="%USERPROFILE%\AppData\Local\Temp\OnboardLogs" /stypes="app*4031*20161128*" /stext=" 19:.+((SYSTEM_STATE.+slice.+state.+changed )|(ment ac)|(multiple cpu faults)|(system.+state.+changed )|(\[timeout)|(PRM\|1\|D)|(kpr)|(kdp)|(\|lc)|(penalty))" /e /r /s</v>
      </c>
      <c r="AG177" s="1" t="str">
        <f t="shared" si="53"/>
        <v>NW</v>
      </c>
      <c r="AH177" s="92" t="str">
        <f t="shared" si="54"/>
        <v>"%USERPROFILE%\Documents\GitHub\eaglep3\Utilities\RefineRTDCRunTimes.py" --tripid 819-28 --locoid 4031 --swversion DE.1.0.8.0 --startMP 204:964 --initTime 2016-11-28T11:59:04 --startdatetime 2016-11-28T12:21:37 --delay 1 --endMP 300:58922 --enddatetime 2016-11-28T12:35:04 --enforcementcount 0 &gt;&gt;C:\Users\stu\Documents\GitHub\eaglep3-reporting\EC\2016-11-28-refined-times.txt</v>
      </c>
      <c r="AI177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{"issue":{"subject":"","project_id":79,"tracker_id":40,"status_id":1,"priority_id":2,"assigned_to_id":23,"start_date":"2016-11-28","description":"","custom_fields":[{"id":1,"name":"Subdivision","value":"NW"},{"id":4,"name":"Milepost","value":"5.8922"},{"id":17,"name":"Train ID","value":"819-28"},{"id":16,"name":"Locomotive ID","value":"4031"},{"id":130,"name":"Impact","value":""},{"id":150,"name":"Time of Event (Mountain Time)","value":"12:35:04"},{"id":151,"name":"Denver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524</v>
      </c>
      <c r="B178" s="7">
        <v>4032</v>
      </c>
      <c r="C178" s="22" t="s">
        <v>212</v>
      </c>
      <c r="D178" s="22" t="s">
        <v>740</v>
      </c>
      <c r="E178" s="13">
        <v>42702.525358796294</v>
      </c>
      <c r="F178" s="13">
        <v>42702.526875000003</v>
      </c>
      <c r="G178" s="7">
        <v>0</v>
      </c>
      <c r="H178" s="22" t="s">
        <v>741</v>
      </c>
      <c r="I178" s="13">
        <v>42702.538946759261</v>
      </c>
      <c r="J178" s="7">
        <v>0</v>
      </c>
      <c r="K178" s="109" t="str">
        <f t="shared" si="41"/>
        <v>4031/4032</v>
      </c>
      <c r="L178" s="22" t="str">
        <f>VLOOKUP(A178,'Trips&amp;Operators'!$C$1:$E$10000,3,FALSE)</f>
        <v>SAFIEF</v>
      </c>
      <c r="M178" s="6">
        <f t="shared" si="42"/>
        <v>1.2071759258105885E-2</v>
      </c>
      <c r="N178" s="7">
        <f t="shared" si="56"/>
        <v>17.383333331672475</v>
      </c>
      <c r="O178" s="7"/>
      <c r="P178" s="7"/>
      <c r="Q178" s="23"/>
      <c r="R178" s="23"/>
      <c r="S178" s="35">
        <f t="shared" si="57"/>
        <v>1</v>
      </c>
      <c r="T178" s="50" t="str">
        <f t="shared" si="43"/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11:36:31-700',mode:absolute,to:'2016-11-28 13:56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8" s="52" t="str">
        <f t="shared" si="45"/>
        <v>N</v>
      </c>
      <c r="X178" s="177">
        <f t="shared" si="46"/>
        <v>1</v>
      </c>
      <c r="Y178" s="67">
        <f t="shared" si="47"/>
        <v>5.8609</v>
      </c>
      <c r="Z178" s="67">
        <f t="shared" si="48"/>
        <v>6.6799999999999998E-2</v>
      </c>
      <c r="AA178" s="67">
        <f t="shared" si="49"/>
        <v>5.7941000000000003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50"/>
        <v>0820-28</v>
      </c>
      <c r="AE178" s="91" t="str">
        <f t="shared" si="51"/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AF178" s="88" t="str">
        <f t="shared" si="52"/>
        <v>"C:\Program Files (x86)\AstroGrep\AstroGrep.exe" /spath="%USERPROFILE%\AppData\Local\Temp\OnboardLogs" /stypes="app*4032*20161128*" /stext=" 19:.+((SYSTEM_STATE.+slice.+state.+changed )|(ment ac)|(multiple cpu faults)|(system.+state.+changed )|(\[timeout)|(PRM\|1\|D)|(kpr)|(kdp)|(\|lc)|(penalty))" /e /r /s</v>
      </c>
      <c r="AG178" s="1" t="str">
        <f t="shared" si="53"/>
        <v>NW</v>
      </c>
      <c r="AH178" s="92" t="str">
        <f t="shared" si="54"/>
        <v>"%USERPROFILE%\Documents\GitHub\eaglep3\Utilities\RefineRTDCRunTimes.py" --tripid 820-28 --locoid 4032 --swversion DE.1.0.8.0 --startMP 300:58609 --initTime 2016-11-28T12:36:31 --startdatetime 2016-11-28T12:38:42 --delay 0 --endMP 204:668 --enddatetime 2016-11-28T12:56:05 --enforcementcount 0 &gt;&gt;C:\Users\stu\Documents\GitHub\eaglep3-reporting\EC\2016-11-28-refined-times.txt</v>
      </c>
      <c r="AI178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{"issue":{"subject":"","project_id":79,"tracker_id":40,"status_id":1,"priority_id":2,"assigned_to_id":23,"start_date":"2016-11-28","description":"","custom_fields":[{"id":1,"name":"Subdivision","value":"NW"},{"id":4,"name":"Milepost","value":"0.0668"},{"id":17,"name":"Train ID","value":"820-28"},{"id":16,"name":"Locomotive ID","value":"4032"},{"id":130,"name":"Impact","value":""},{"id":150,"name":"Time of Event (Mountain Time)","value":"12:56:05"},{"id":151,"name":"Denver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530</v>
      </c>
      <c r="B179" s="7">
        <v>4031</v>
      </c>
      <c r="C179" s="22" t="s">
        <v>212</v>
      </c>
      <c r="D179" s="22" t="s">
        <v>734</v>
      </c>
      <c r="E179" s="13">
        <v>42702.548726851855</v>
      </c>
      <c r="F179" s="13">
        <v>42702.556516203702</v>
      </c>
      <c r="G179" s="7">
        <v>2</v>
      </c>
      <c r="H179" s="22" t="s">
        <v>742</v>
      </c>
      <c r="I179" s="13">
        <v>42702.565879629627</v>
      </c>
      <c r="J179" s="7">
        <v>0</v>
      </c>
      <c r="K179" s="109" t="str">
        <f t="shared" si="41"/>
        <v>4031/4032</v>
      </c>
      <c r="L179" s="22" t="str">
        <f>VLOOKUP(A179,'Trips&amp;Operators'!$C$1:$E$10000,3,FALSE)</f>
        <v>DAVIS</v>
      </c>
      <c r="M179" s="6">
        <f t="shared" si="42"/>
        <v>9.3634259246755391E-3</v>
      </c>
      <c r="N179" s="7">
        <f t="shared" si="56"/>
        <v>13.483333331532776</v>
      </c>
      <c r="O179" s="7"/>
      <c r="P179" s="7"/>
      <c r="Q179" s="23"/>
      <c r="R179" s="23"/>
      <c r="S179" s="35">
        <f t="shared" si="57"/>
        <v>1</v>
      </c>
      <c r="T179" s="50" t="str">
        <f t="shared" si="43"/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12:10:10-700',mode:absolute,to:'2016-11-28 14:34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9" s="52" t="str">
        <f t="shared" si="45"/>
        <v>N</v>
      </c>
      <c r="X179" s="177">
        <f t="shared" si="46"/>
        <v>1</v>
      </c>
      <c r="Y179" s="67">
        <f t="shared" si="47"/>
        <v>9.69E-2</v>
      </c>
      <c r="Z179" s="67">
        <f t="shared" si="48"/>
        <v>5.8952</v>
      </c>
      <c r="AA179" s="67">
        <f t="shared" si="49"/>
        <v>5.7983000000000002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50"/>
        <v>0821-28</v>
      </c>
      <c r="AE179" s="91" t="str">
        <f t="shared" si="51"/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AF179" s="88" t="str">
        <f t="shared" si="52"/>
        <v>"C:\Program Files (x86)\AstroGrep\AstroGrep.exe" /spath="%USERPROFILE%\AppData\Local\Temp\OnboardLogs" /stypes="app*4031*20161128*" /stext=" 20:.+((SYSTEM_STATE.+slice.+state.+changed )|(ment ac)|(multiple cpu faults)|(system.+state.+changed )|(\[timeout)|(PRM\|1\|D)|(kpr)|(kdp)|(\|lc)|(penalty))" /e /r /s</v>
      </c>
      <c r="AG179" s="1" t="str">
        <f t="shared" si="53"/>
        <v>NW</v>
      </c>
      <c r="AH179" s="92" t="str">
        <f t="shared" si="54"/>
        <v>"%USERPROFILE%\Documents\GitHub\eaglep3\Utilities\RefineRTDCRunTimes.py" --tripid 821-28 --locoid 4031 --swversion DE.1.0.8.0 --startMP 204:969 --initTime 2016-11-28T13:10:10 --startdatetime 2016-11-28T13:21:23 --delay 2 --endMP 300:58952 --enddatetime 2016-11-28T13:34:52 --enforcementcount 0 &gt;&gt;C:\Users\stu\Documents\GitHub\eaglep3-reporting\EC\2016-11-28-refined-times.txt</v>
      </c>
      <c r="AI179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{"issue":{"subject":"","project_id":79,"tracker_id":40,"status_id":1,"priority_id":2,"assigned_to_id":23,"start_date":"2016-11-28","description":"","custom_fields":[{"id":1,"name":"Subdivision","value":"NW"},{"id":4,"name":"Milepost","value":"5.8952"},{"id":17,"name":"Train ID","value":"821-28"},{"id":16,"name":"Locomotive ID","value":"4031"},{"id":130,"name":"Impact","value":""},{"id":150,"name":"Time of Event (Mountain Time)","value":"13:34:52"},{"id":151,"name":"Denver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7" t="s">
        <v>414</v>
      </c>
      <c r="B180" s="7">
        <v>4032</v>
      </c>
      <c r="C180" s="22" t="s">
        <v>212</v>
      </c>
      <c r="D180" s="22" t="s">
        <v>723</v>
      </c>
      <c r="E180" s="13">
        <v>42702.567523148151</v>
      </c>
      <c r="F180" s="13">
        <v>42702.569745370369</v>
      </c>
      <c r="G180" s="7">
        <v>1</v>
      </c>
      <c r="H180" s="22" t="s">
        <v>327</v>
      </c>
      <c r="I180" s="13">
        <v>42702.579733796294</v>
      </c>
      <c r="J180" s="7">
        <v>0</v>
      </c>
      <c r="K180" s="109" t="str">
        <f t="shared" si="41"/>
        <v>4031/4032</v>
      </c>
      <c r="L180" s="22" t="str">
        <f>VLOOKUP(A180,'Trips&amp;Operators'!$C$1:$E$10000,3,FALSE)</f>
        <v>DAVIS</v>
      </c>
      <c r="M180" s="6">
        <f t="shared" si="42"/>
        <v>9.9884259252576157E-3</v>
      </c>
      <c r="N180" s="7">
        <f t="shared" ref="N180:N210" si="58">24*60*SUM($M180:$M180)</f>
        <v>14.383333332370967</v>
      </c>
      <c r="O180" s="7"/>
      <c r="P180" s="7"/>
      <c r="Q180" s="23"/>
      <c r="R180" s="23"/>
      <c r="S180" s="35">
        <f t="shared" ref="S180:S210" si="59">SUM(U180:U180)/IF(AG180="EC",12,1)</f>
        <v>1</v>
      </c>
      <c r="T180" s="50" t="str">
        <f t="shared" si="43"/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12:37:14-700',mode:absolute,to:'2016-11-28 14:54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0" s="52" t="str">
        <f t="shared" si="45"/>
        <v>N</v>
      </c>
      <c r="X180" s="177">
        <f t="shared" si="46"/>
        <v>1</v>
      </c>
      <c r="Y180" s="67">
        <f t="shared" si="47"/>
        <v>5.8635999999999999</v>
      </c>
      <c r="Z180" s="67">
        <f t="shared" si="48"/>
        <v>7.17E-2</v>
      </c>
      <c r="AA180" s="67">
        <f t="shared" si="49"/>
        <v>5.7919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50"/>
        <v>0822-28</v>
      </c>
      <c r="AE180" s="91" t="str">
        <f t="shared" si="51"/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AF180" s="88" t="str">
        <f t="shared" si="52"/>
        <v>"C:\Program Files (x86)\AstroGrep\AstroGrep.exe" /spath="%USERPROFILE%\AppData\Local\Temp\OnboardLogs" /stypes="app*4032*20161128*" /stext=" 20:.+((SYSTEM_STATE.+slice.+state.+changed )|(ment ac)|(multiple cpu faults)|(system.+state.+changed )|(\[timeout)|(PRM\|1\|D)|(kpr)|(kdp)|(\|lc)|(penalty))" /e /r /s</v>
      </c>
      <c r="AG180" s="1" t="str">
        <f t="shared" si="53"/>
        <v>NW</v>
      </c>
      <c r="AH180" s="92" t="str">
        <f t="shared" si="54"/>
        <v>"%USERPROFILE%\Documents\GitHub\eaglep3\Utilities\RefineRTDCRunTimes.py" --tripid 822-28 --locoid 4032 --swversion DE.1.0.8.0 --startMP 300:58636 --initTime 2016-11-28T13:37:14 --startdatetime 2016-11-28T13:40:26 --delay 1 --endMP 204:717 --enddatetime 2016-11-28T13:54:49 --enforcementcount 0 &gt;&gt;C:\Users\stu\Documents\GitHub\eaglep3-reporting\EC\2016-11-28-refined-times.txt</v>
      </c>
      <c r="AI180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{"issue":{"subject":"","project_id":79,"tracker_id":40,"status_id":1,"priority_id":2,"assigned_to_id":23,"start_date":"2016-11-28","description":"","custom_fields":[{"id":1,"name":"Subdivision","value":"NW"},{"id":4,"name":"Milepost","value":"0.0717"},{"id":17,"name":"Train ID","value":"822-28"},{"id":16,"name":"Locomotive ID","value":"4032"},{"id":130,"name":"Impact","value":""},{"id":150,"name":"Time of Event (Mountain Time)","value":"13:54:49"},{"id":151,"name":"Denver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s="21" customFormat="1" x14ac:dyDescent="0.25">
      <c r="A181" s="37" t="s">
        <v>536</v>
      </c>
      <c r="B181" s="7">
        <v>4031</v>
      </c>
      <c r="C181" s="22" t="s">
        <v>212</v>
      </c>
      <c r="D181" s="22" t="s">
        <v>743</v>
      </c>
      <c r="E181" s="13">
        <v>42702.5937037037</v>
      </c>
      <c r="F181" s="13">
        <v>42702.598136574074</v>
      </c>
      <c r="G181" s="7">
        <v>1</v>
      </c>
      <c r="H181" s="22" t="s">
        <v>744</v>
      </c>
      <c r="I181" s="13">
        <v>42702.607557870368</v>
      </c>
      <c r="J181" s="7">
        <v>0</v>
      </c>
      <c r="K181" s="109" t="str">
        <f t="shared" si="41"/>
        <v>4031/4032</v>
      </c>
      <c r="L181" s="22" t="str">
        <f>VLOOKUP(A181,'Trips&amp;Operators'!$C$1:$E$10000,3,FALSE)</f>
        <v>DAVIS</v>
      </c>
      <c r="M181" s="6">
        <f t="shared" si="42"/>
        <v>9.4212962940218858E-3</v>
      </c>
      <c r="N181" s="7">
        <f t="shared" si="58"/>
        <v>13.566666663391516</v>
      </c>
      <c r="O181" s="7"/>
      <c r="P181" s="7"/>
      <c r="Q181" s="23"/>
      <c r="R181" s="23"/>
      <c r="S181" s="35">
        <f t="shared" si="59"/>
        <v>1</v>
      </c>
      <c r="T181" s="50" t="str">
        <f t="shared" si="43"/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13:14:56-700',mode:absolute,to:'2016-11-28 15:34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1" s="52" t="str">
        <f t="shared" si="45"/>
        <v>N</v>
      </c>
      <c r="X181" s="177">
        <f t="shared" si="46"/>
        <v>1</v>
      </c>
      <c r="Y181" s="67">
        <f t="shared" si="47"/>
        <v>0.1011</v>
      </c>
      <c r="Z181" s="67">
        <f t="shared" si="48"/>
        <v>5.8958000000000004</v>
      </c>
      <c r="AA181" s="67">
        <f t="shared" si="49"/>
        <v>5.7947000000000006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50"/>
        <v>0823-28</v>
      </c>
      <c r="AE181" s="91" t="str">
        <f t="shared" si="51"/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AF181" s="88" t="str">
        <f t="shared" si="52"/>
        <v>"C:\Program Files (x86)\AstroGrep\AstroGrep.exe" /spath="%USERPROFILE%\AppData\Local\Temp\OnboardLogs" /stypes="app*4031*20161128*" /stext=" 21:.+((SYSTEM_STATE.+slice.+state.+changed )|(ment ac)|(multiple cpu faults)|(system.+state.+changed )|(\[timeout)|(PRM\|1\|D)|(kpr)|(kdp)|(\|lc)|(penalty))" /e /r /s</v>
      </c>
      <c r="AG181" s="1" t="str">
        <f t="shared" si="53"/>
        <v>NW</v>
      </c>
      <c r="AH181" s="92" t="str">
        <f t="shared" si="54"/>
        <v>"%USERPROFILE%\Documents\GitHub\eaglep3\Utilities\RefineRTDCRunTimes.py" --tripid 823-28 --locoid 4031 --swversion DE.1.0.8.0 --startMP 204:1011 --initTime 2016-11-28T14:14:56 --startdatetime 2016-11-28T14:21:19 --delay 1 --endMP 300:58958 --enddatetime 2016-11-28T14:34:53 --enforcementcount 0 &gt;&gt;C:\Users\stu\Documents\GitHub\eaglep3-reporting\EC\2016-11-28-refined-times.txt</v>
      </c>
      <c r="AI181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{"issue":{"subject":"","project_id":79,"tracker_id":40,"status_id":1,"priority_id":2,"assigned_to_id":23,"start_date":"2016-11-28","description":"","custom_fields":[{"id":1,"name":"Subdivision","value":"NW"},{"id":4,"name":"Milepost","value":"5.8958"},{"id":17,"name":"Train ID","value":"823-28"},{"id":16,"name":"Locomotive ID","value":"4031"},{"id":130,"name":"Impact","value":""},{"id":150,"name":"Time of Event (Mountain Time)","value":"14:34:53"},{"id":151,"name":"Denver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539</v>
      </c>
      <c r="B182" s="7">
        <v>4032</v>
      </c>
      <c r="C182" s="22" t="s">
        <v>212</v>
      </c>
      <c r="D182" s="22" t="s">
        <v>745</v>
      </c>
      <c r="E182" s="13">
        <v>42702.609212962961</v>
      </c>
      <c r="F182" s="13">
        <v>42702.610983796294</v>
      </c>
      <c r="G182" s="7">
        <v>1</v>
      </c>
      <c r="H182" s="22" t="s">
        <v>746</v>
      </c>
      <c r="I182" s="13">
        <v>42702.621631944443</v>
      </c>
      <c r="J182" s="7">
        <v>0</v>
      </c>
      <c r="K182" s="109" t="str">
        <f t="shared" si="41"/>
        <v>4031/4032</v>
      </c>
      <c r="L182" s="22" t="str">
        <f>VLOOKUP(A182,'Trips&amp;Operators'!$C$1:$E$10000,3,FALSE)</f>
        <v>DAVIS</v>
      </c>
      <c r="M182" s="6">
        <f t="shared" si="42"/>
        <v>1.0648148148902692E-2</v>
      </c>
      <c r="N182" s="7">
        <f t="shared" si="58"/>
        <v>15.333333334419876</v>
      </c>
      <c r="O182" s="7"/>
      <c r="P182" s="7"/>
      <c r="Q182" s="23"/>
      <c r="R182" s="23"/>
      <c r="S182" s="35">
        <f t="shared" si="59"/>
        <v>1</v>
      </c>
      <c r="T182" s="50" t="str">
        <f t="shared" si="43"/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13:37:16-700',mode:absolute,to:'2016-11-28 15:55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2" s="52" t="str">
        <f t="shared" si="45"/>
        <v>N</v>
      </c>
      <c r="X182" s="177">
        <f t="shared" si="46"/>
        <v>1</v>
      </c>
      <c r="Y182" s="67">
        <f t="shared" si="47"/>
        <v>5.8634000000000004</v>
      </c>
      <c r="Z182" s="67">
        <f t="shared" si="48"/>
        <v>6.9599999999999995E-2</v>
      </c>
      <c r="AA182" s="67">
        <f t="shared" si="49"/>
        <v>5.7938000000000001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50"/>
        <v>0824-28</v>
      </c>
      <c r="AE182" s="91" t="str">
        <f t="shared" si="51"/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AF182" s="88" t="str">
        <f t="shared" si="52"/>
        <v>"C:\Program Files (x86)\AstroGrep\AstroGrep.exe" /spath="%USERPROFILE%\AppData\Local\Temp\OnboardLogs" /stypes="app*4032*20161128*" /stext=" 21:.+((SYSTEM_STATE.+slice.+state.+changed )|(ment ac)|(multiple cpu faults)|(system.+state.+changed )|(\[timeout)|(PRM\|1\|D)|(kpr)|(kdp)|(\|lc)|(penalty))" /e /r /s</v>
      </c>
      <c r="AG182" s="1" t="str">
        <f t="shared" si="53"/>
        <v>NW</v>
      </c>
      <c r="AH182" s="92" t="str">
        <f t="shared" si="54"/>
        <v>"%USERPROFILE%\Documents\GitHub\eaglep3\Utilities\RefineRTDCRunTimes.py" --tripid 824-28 --locoid 4032 --swversion DE.1.0.8.0 --startMP 300:58634 --initTime 2016-11-28T14:37:16 --startdatetime 2016-11-28T14:39:49 --delay 1 --endMP 204:696 --enddatetime 2016-11-28T14:55:09 --enforcementcount 0 &gt;&gt;C:\Users\stu\Documents\GitHub\eaglep3-reporting\EC\2016-11-28-refined-times.txt</v>
      </c>
      <c r="AI182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{"issue":{"subject":"","project_id":79,"tracker_id":40,"status_id":1,"priority_id":2,"assigned_to_id":23,"start_date":"2016-11-28","description":"","custom_fields":[{"id":1,"name":"Subdivision","value":"NW"},{"id":4,"name":"Milepost","value":"0.0696"},{"id":17,"name":"Train ID","value":"824-28"},{"id":16,"name":"Locomotive ID","value":"4032"},{"id":130,"name":"Impact","value":""},{"id":150,"name":"Time of Event (Mountain Time)","value":"14:55:09"},{"id":151,"name":"Denver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421</v>
      </c>
      <c r="B183" s="7">
        <v>4031</v>
      </c>
      <c r="C183" s="22" t="s">
        <v>212</v>
      </c>
      <c r="D183" s="22" t="s">
        <v>739</v>
      </c>
      <c r="E183" s="13">
        <v>42702.636273148149</v>
      </c>
      <c r="F183" s="13">
        <v>42702.639837962961</v>
      </c>
      <c r="G183" s="7">
        <v>1</v>
      </c>
      <c r="H183" s="22" t="s">
        <v>370</v>
      </c>
      <c r="I183" s="13">
        <v>42702.653171296297</v>
      </c>
      <c r="J183" s="7">
        <v>0</v>
      </c>
      <c r="K183" s="109" t="str">
        <f t="shared" si="41"/>
        <v>4031/4032</v>
      </c>
      <c r="L183" s="22" t="str">
        <f>VLOOKUP(A183,'Trips&amp;Operators'!$C$1:$E$10000,3,FALSE)</f>
        <v>DAVIS</v>
      </c>
      <c r="M183" s="6">
        <f t="shared" si="42"/>
        <v>1.3333333336049691E-2</v>
      </c>
      <c r="N183" s="7">
        <f t="shared" si="58"/>
        <v>19.200000003911555</v>
      </c>
      <c r="O183" s="7"/>
      <c r="P183" s="7"/>
      <c r="Q183" s="23"/>
      <c r="R183" s="23"/>
      <c r="S183" s="35">
        <f t="shared" si="59"/>
        <v>1</v>
      </c>
      <c r="T183" s="50" t="str">
        <f t="shared" si="43"/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14:16:14-700',mode:absolute,to:'2016-11-28 16:40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3" s="52" t="str">
        <f t="shared" si="45"/>
        <v>N</v>
      </c>
      <c r="X183" s="177">
        <f t="shared" si="46"/>
        <v>1</v>
      </c>
      <c r="Y183" s="67">
        <f t="shared" si="47"/>
        <v>9.64E-2</v>
      </c>
      <c r="Z183" s="67">
        <f t="shared" si="48"/>
        <v>5.8949999999999996</v>
      </c>
      <c r="AA183" s="67">
        <f t="shared" si="49"/>
        <v>5.7985999999999995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50"/>
        <v>0825-28</v>
      </c>
      <c r="AE183" s="91" t="str">
        <f t="shared" si="51"/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AF183" s="88" t="str">
        <f t="shared" si="52"/>
        <v>"C:\Program Files (x86)\AstroGrep\AstroGrep.exe" /spath="%USERPROFILE%\AppData\Local\Temp\OnboardLogs" /stypes="app*4031*20161128*" /stext=" 22:.+((SYSTEM_STATE.+slice.+state.+changed )|(ment ac)|(multiple cpu faults)|(system.+state.+changed )|(\[timeout)|(PRM\|1\|D)|(kpr)|(kdp)|(\|lc)|(penalty))" /e /r /s</v>
      </c>
      <c r="AG183" s="1" t="str">
        <f t="shared" si="53"/>
        <v>NW</v>
      </c>
      <c r="AH183" s="92" t="str">
        <f t="shared" si="54"/>
        <v>"%USERPROFILE%\Documents\GitHub\eaglep3\Utilities\RefineRTDCRunTimes.py" --tripid 825-28 --locoid 4031 --swversion DE.1.0.8.0 --startMP 204:964 --initTime 2016-11-28T15:16:14 --startdatetime 2016-11-28T15:21:22 --delay 1 --endMP 300:58950 --enddatetime 2016-11-28T15:40:34 --enforcementcount 0 &gt;&gt;C:\Users\stu\Documents\GitHub\eaglep3-reporting\EC\2016-11-28-refined-times.txt</v>
      </c>
      <c r="AI183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{"issue":{"subject":"","project_id":79,"tracker_id":40,"status_id":1,"priority_id":2,"assigned_to_id":23,"start_date":"2016-11-28","description":"","custom_fields":[{"id":1,"name":"Subdivision","value":"NW"},{"id":4,"name":"Milepost","value":"5.895"},{"id":17,"name":"Train ID","value":"825-28"},{"id":16,"name":"Locomotive ID","value":"4031"},{"id":130,"name":"Impact","value":""},{"id":150,"name":"Time of Event (Mountain Time)","value":"15:40:34"},{"id":151,"name":"Denver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550</v>
      </c>
      <c r="B184" s="7">
        <v>4032</v>
      </c>
      <c r="C184" s="22" t="s">
        <v>212</v>
      </c>
      <c r="D184" s="22" t="s">
        <v>366</v>
      </c>
      <c r="E184" s="13">
        <v>42702.654166666667</v>
      </c>
      <c r="F184" s="13">
        <v>42702.655740740738</v>
      </c>
      <c r="G184" s="7">
        <v>1</v>
      </c>
      <c r="H184" s="22" t="s">
        <v>747</v>
      </c>
      <c r="I184" s="13">
        <v>42702.665532407409</v>
      </c>
      <c r="J184" s="7">
        <v>0</v>
      </c>
      <c r="K184" s="109" t="str">
        <f t="shared" si="41"/>
        <v>4031/4032</v>
      </c>
      <c r="L184" s="22" t="str">
        <f>VLOOKUP(A184,'Trips&amp;Operators'!$C$1:$E$10000,3,FALSE)</f>
        <v>DAVIS</v>
      </c>
      <c r="M184" s="6">
        <f t="shared" si="42"/>
        <v>9.7916666709352285E-3</v>
      </c>
      <c r="N184" s="7">
        <f t="shared" si="58"/>
        <v>14.100000006146729</v>
      </c>
      <c r="O184" s="7"/>
      <c r="P184" s="7"/>
      <c r="Q184" s="23"/>
      <c r="R184" s="23"/>
      <c r="S184" s="35">
        <f t="shared" si="59"/>
        <v>1</v>
      </c>
      <c r="T184" s="50" t="str">
        <f t="shared" si="43"/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14:42:00-700',mode:absolute,to:'2016-11-28 16:58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4" s="52" t="str">
        <f t="shared" si="45"/>
        <v>N</v>
      </c>
      <c r="X184" s="177">
        <f t="shared" si="46"/>
        <v>1</v>
      </c>
      <c r="Y184" s="67">
        <f t="shared" si="47"/>
        <v>5.8625999999999996</v>
      </c>
      <c r="Z184" s="67">
        <f t="shared" si="48"/>
        <v>6.8500000000000005E-2</v>
      </c>
      <c r="AA184" s="67">
        <f t="shared" si="49"/>
        <v>5.7940999999999994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50"/>
        <v>0826-28</v>
      </c>
      <c r="AE184" s="91" t="str">
        <f t="shared" si="51"/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AF184" s="88" t="str">
        <f t="shared" si="52"/>
        <v>"C:\Program Files (x86)\AstroGrep\AstroGrep.exe" /spath="%USERPROFILE%\AppData\Local\Temp\OnboardLogs" /stypes="app*4032*20161128*" /stext=" 22:.+((SYSTEM_STATE.+slice.+state.+changed )|(ment ac)|(multiple cpu faults)|(system.+state.+changed )|(\[timeout)|(PRM\|1\|D)|(kpr)|(kdp)|(\|lc)|(penalty))" /e /r /s</v>
      </c>
      <c r="AG184" s="1" t="str">
        <f t="shared" si="53"/>
        <v>NW</v>
      </c>
      <c r="AH184" s="92" t="str">
        <f t="shared" si="54"/>
        <v>"%USERPROFILE%\Documents\GitHub\eaglep3\Utilities\RefineRTDCRunTimes.py" --tripid 826-28 --locoid 4032 --swversion DE.1.0.8.0 --startMP 300:58626 --initTime 2016-11-28T15:42:00 --startdatetime 2016-11-28T15:44:16 --delay 1 --endMP 204:685 --enddatetime 2016-11-28T15:58:22 --enforcementcount 0 &gt;&gt;C:\Users\stu\Documents\GitHub\eaglep3-reporting\EC\2016-11-28-refined-times.txt</v>
      </c>
      <c r="AI184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{"issue":{"subject":"","project_id":79,"tracker_id":40,"status_id":1,"priority_id":2,"assigned_to_id":23,"start_date":"2016-11-28","description":"","custom_fields":[{"id":1,"name":"Subdivision","value":"NW"},{"id":4,"name":"Milepost","value":"0.0685"},{"id":17,"name":"Train ID","value":"826-28"},{"id":16,"name":"Locomotive ID","value":"4032"},{"id":130,"name":"Impact","value":""},{"id":150,"name":"Time of Event (Mountain Time)","value":"15:58:22"},{"id":151,"name":"Denver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551</v>
      </c>
      <c r="B185" s="7">
        <v>4003</v>
      </c>
      <c r="C185" s="22" t="s">
        <v>212</v>
      </c>
      <c r="D185" s="22" t="s">
        <v>680</v>
      </c>
      <c r="E185" s="13">
        <v>42702.657361111109</v>
      </c>
      <c r="F185" s="13">
        <v>42702.660752314812</v>
      </c>
      <c r="G185" s="7">
        <v>1</v>
      </c>
      <c r="H185" s="22" t="s">
        <v>375</v>
      </c>
      <c r="I185" s="13">
        <v>42702.671099537038</v>
      </c>
      <c r="J185" s="7">
        <v>0</v>
      </c>
      <c r="K185" s="109" t="str">
        <f t="shared" si="41"/>
        <v>4003/4004</v>
      </c>
      <c r="L185" s="22" t="str">
        <f>VLOOKUP(A185,'Trips&amp;Operators'!$C$1:$E$10000,3,FALSE)</f>
        <v>COOLAHAN</v>
      </c>
      <c r="M185" s="6">
        <f t="shared" si="42"/>
        <v>1.0347222225391306E-2</v>
      </c>
      <c r="N185" s="7">
        <f t="shared" si="58"/>
        <v>14.900000004563481</v>
      </c>
      <c r="O185" s="7"/>
      <c r="P185" s="7"/>
      <c r="Q185" s="23"/>
      <c r="R185" s="23"/>
      <c r="S185" s="35">
        <f t="shared" si="59"/>
        <v>1</v>
      </c>
      <c r="T185" s="50" t="str">
        <f t="shared" si="43"/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14:46:36-700',mode:absolute,to:'2016-11-28 17:06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5" s="52" t="str">
        <f t="shared" si="45"/>
        <v>N</v>
      </c>
      <c r="X185" s="177">
        <f t="shared" si="46"/>
        <v>1</v>
      </c>
      <c r="Y185" s="67">
        <f t="shared" si="47"/>
        <v>4.3499999999999997E-2</v>
      </c>
      <c r="Z185" s="67">
        <f t="shared" si="48"/>
        <v>5.8973000000000004</v>
      </c>
      <c r="AA185" s="67">
        <f t="shared" si="49"/>
        <v>5.8538000000000006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50"/>
        <v>0827-28</v>
      </c>
      <c r="AE185" s="91" t="str">
        <f t="shared" si="51"/>
        <v>aws s3 cp s3://rtdc.mdm.uploadarchive.raw/RTDC4003/ "%USERPROFILE%\AppData\Local\Temp\OnboardLogs"\RTDC4003\2016-11-28 --exclude "*" --recursive --include "*20161128*" &amp; "%USERPROFILE%\Documents\GitHub\mrs-test-scripts\Headless Mode &amp; Sideloading\WalkAndUnGZ.bat" "%USERPROFILE%\AppData\Local\Temp\OnboardLogs"\RTDC4003\2016-11-28 &amp; 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</v>
      </c>
      <c r="AF185" s="88" t="str">
        <f t="shared" si="52"/>
        <v>"C:\Program Files (x86)\AstroGrep\AstroGrep.exe" /spath="%USERPROFILE%\AppData\Local\Temp\OnboardLogs" /stypes="app*4003*20161128*" /stext=" 23:.+((SYSTEM_STATE.+slice.+state.+changed )|(ment ac)|(multiple cpu faults)|(system.+state.+changed )|(\[timeout)|(PRM\|1\|D)|(kpr)|(kdp)|(\|lc)|(penalty))" /e /r /s</v>
      </c>
      <c r="AG185" s="1" t="str">
        <f t="shared" si="53"/>
        <v>NW</v>
      </c>
      <c r="AH185" s="92" t="str">
        <f t="shared" si="54"/>
        <v>"%USERPROFILE%\Documents\GitHub\eaglep3\Utilities\RefineRTDCRunTimes.py" --tripid 827-28 --locoid 4003 --swversion DE.1.0.8.0 --startMP 204:435 --initTime 2016-11-28T15:46:36 --startdatetime 2016-11-28T15:51:29 --delay 1 --endMP 300:58973 --enddatetime 2016-11-28T16:06:23 --enforcementcount 0 &gt;&gt;C:\Users\stu\Documents\GitHub\eaglep3-reporting\EC\2016-11-28-refined-times.txt</v>
      </c>
      <c r="AI185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{"issue":{"subject":"","project_id":79,"tracker_id":40,"status_id":1,"priority_id":2,"assigned_to_id":23,"start_date":"2016-11-28","description":"","custom_fields":[{"id":1,"name":"Subdivision","value":"NW"},{"id":4,"name":"Milepost","value":"5.8973"},{"id":17,"name":"Train ID","value":"827-28"},{"id":16,"name":"Locomotive ID","value":"4003"},{"id":130,"name":"Impact","value":""},{"id":150,"name":"Time of Event (Mountain Time)","value":"16:06:23"},{"id":151,"name":"Denver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7" t="s">
        <v>554</v>
      </c>
      <c r="B186" s="7">
        <v>4004</v>
      </c>
      <c r="C186" s="22" t="s">
        <v>212</v>
      </c>
      <c r="D186" s="22" t="s">
        <v>368</v>
      </c>
      <c r="E186" s="13">
        <v>42702.672060185185</v>
      </c>
      <c r="F186" s="13">
        <v>42702.673506944448</v>
      </c>
      <c r="G186" s="7">
        <v>1</v>
      </c>
      <c r="H186" s="22" t="s">
        <v>748</v>
      </c>
      <c r="I186" s="13">
        <v>42702.684664351851</v>
      </c>
      <c r="J186" s="7">
        <v>0</v>
      </c>
      <c r="K186" s="109" t="str">
        <f t="shared" si="41"/>
        <v>4003/4004</v>
      </c>
      <c r="L186" s="22" t="str">
        <f>VLOOKUP(A186,'Trips&amp;Operators'!$C$1:$E$10000,3,FALSE)</f>
        <v>COOLAHAN</v>
      </c>
      <c r="M186" s="6">
        <f t="shared" si="42"/>
        <v>1.1157407403516117E-2</v>
      </c>
      <c r="N186" s="7">
        <f t="shared" si="58"/>
        <v>16.066666661063209</v>
      </c>
      <c r="O186" s="7"/>
      <c r="P186" s="7"/>
      <c r="Q186" s="23"/>
      <c r="R186" s="23"/>
      <c r="S186" s="35">
        <f t="shared" si="59"/>
        <v>1</v>
      </c>
      <c r="T186" s="50" t="str">
        <f t="shared" si="43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15:07:46-700',mode:absolute,to:'2016-11-28 17:25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6" s="52" t="str">
        <f t="shared" si="45"/>
        <v>N</v>
      </c>
      <c r="X186" s="177">
        <f t="shared" si="46"/>
        <v>1</v>
      </c>
      <c r="Y186" s="67">
        <f t="shared" si="47"/>
        <v>5.8644999999999996</v>
      </c>
      <c r="Z186" s="67">
        <f t="shared" si="48"/>
        <v>6.5699999999999995E-2</v>
      </c>
      <c r="AA186" s="67">
        <f t="shared" si="49"/>
        <v>5.7988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50"/>
        <v>0828-28</v>
      </c>
      <c r="AE186" s="91" t="str">
        <f t="shared" si="51"/>
        <v>aws s3 cp s3://rtdc.mdm.uploadarchive.raw/RTDC4004/ "%USERPROFILE%\AppData\Local\Temp\OnboardLogs"\RTDC4004\2016-11-28 --exclude "*" --recursive --include "*20161128*" &amp; "%USERPROFILE%\Documents\GitHub\mrs-test-scripts\Headless Mode &amp; Sideloading\WalkAndUnGZ.bat" "%USERPROFILE%\AppData\Local\Temp\OnboardLogs"\RTDC4004\2016-11-28 &amp; 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</v>
      </c>
      <c r="AF186" s="88" t="str">
        <f t="shared" si="52"/>
        <v>"C:\Program Files (x86)\AstroGrep\AstroGrep.exe" /spath="%USERPROFILE%\AppData\Local\Temp\OnboardLogs" /stypes="app*4004*20161128*" /stext=" 23:.+((SYSTEM_STATE.+slice.+state.+changed )|(ment ac)|(multiple cpu faults)|(system.+state.+changed )|(\[timeout)|(PRM\|1\|D)|(kpr)|(kdp)|(\|lc)|(penalty))" /e /r /s</v>
      </c>
      <c r="AG186" s="1" t="str">
        <f t="shared" si="53"/>
        <v>NW</v>
      </c>
      <c r="AH186" s="92" t="str">
        <f t="shared" si="54"/>
        <v>"%USERPROFILE%\Documents\GitHub\eaglep3\Utilities\RefineRTDCRunTimes.py" --tripid 828-28 --locoid 4004 --swversion DE.1.0.8.0 --startMP 300:58645 --initTime 2016-11-28T16:07:46 --startdatetime 2016-11-28T16:09:51 --delay 1 --endMP 204:657 --enddatetime 2016-11-28T16:25:55 --enforcementcount 0 &gt;&gt;C:\Users\stu\Documents\GitHub\eaglep3-reporting\EC\2016-11-28-refined-times.txt</v>
      </c>
      <c r="AI186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{"issue":{"subject":"","project_id":79,"tracker_id":40,"status_id":1,"priority_id":2,"assigned_to_id":23,"start_date":"2016-11-28","description":"","custom_fields":[{"id":1,"name":"Subdivision","value":"NW"},{"id":4,"name":"Milepost","value":"0.0657"},{"id":17,"name":"Train ID","value":"828-28"},{"id":16,"name":"Locomotive ID","value":"4004"},{"id":130,"name":"Impact","value":""},{"id":150,"name":"Time of Event (Mountain Time)","value":"16:25:55"},{"id":151,"name":"Denver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557</v>
      </c>
      <c r="B187" s="7">
        <v>4031</v>
      </c>
      <c r="C187" s="22" t="s">
        <v>212</v>
      </c>
      <c r="D187" s="22" t="s">
        <v>749</v>
      </c>
      <c r="E187" s="13">
        <v>42702.67559027778</v>
      </c>
      <c r="F187" s="13">
        <v>42702.681493055556</v>
      </c>
      <c r="G187" s="7">
        <v>1</v>
      </c>
      <c r="H187" s="22" t="s">
        <v>750</v>
      </c>
      <c r="I187" s="13">
        <v>42702.691377314812</v>
      </c>
      <c r="J187" s="7">
        <v>0</v>
      </c>
      <c r="K187" s="109" t="str">
        <f t="shared" si="41"/>
        <v>4031/4032</v>
      </c>
      <c r="L187" s="22" t="str">
        <f>VLOOKUP(A187,'Trips&amp;Operators'!$C$1:$E$10000,3,FALSE)</f>
        <v>DAVIS</v>
      </c>
      <c r="M187" s="6">
        <f t="shared" si="42"/>
        <v>9.8842592560686171E-3</v>
      </c>
      <c r="N187" s="7">
        <f t="shared" si="58"/>
        <v>14.233333328738809</v>
      </c>
      <c r="O187" s="7"/>
      <c r="P187" s="7"/>
      <c r="Q187" s="23"/>
      <c r="R187" s="23"/>
      <c r="S187" s="35">
        <f t="shared" si="59"/>
        <v>1</v>
      </c>
      <c r="T187" s="50" t="str">
        <f t="shared" si="43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15:12:51-700',mode:absolute,to:'2016-11-28 17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7" s="52" t="str">
        <f t="shared" si="45"/>
        <v>N</v>
      </c>
      <c r="X187" s="177">
        <f t="shared" si="46"/>
        <v>1</v>
      </c>
      <c r="Y187" s="67">
        <f t="shared" si="47"/>
        <v>9.74E-2</v>
      </c>
      <c r="Z187" s="67">
        <f t="shared" si="48"/>
        <v>5.8948</v>
      </c>
      <c r="AA187" s="67">
        <f t="shared" si="49"/>
        <v>5.7973999999999997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50"/>
        <v>0829-28</v>
      </c>
      <c r="AE187" s="91" t="str">
        <f t="shared" si="51"/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AF187" s="88" t="str">
        <f t="shared" si="52"/>
        <v>"C:\Program Files (x86)\AstroGrep\AstroGrep.exe" /spath="%USERPROFILE%\AppData\Local\Temp\OnboardLogs" /stypes="app*4031*20161128*" /stext=" 23:.+((SYSTEM_STATE.+slice.+state.+changed )|(ment ac)|(multiple cpu faults)|(system.+state.+changed )|(\[timeout)|(PRM\|1\|D)|(kpr)|(kdp)|(\|lc)|(penalty))" /e /r /s</v>
      </c>
      <c r="AG187" s="1" t="str">
        <f t="shared" si="53"/>
        <v>NW</v>
      </c>
      <c r="AH187" s="92" t="str">
        <f t="shared" si="54"/>
        <v>"%USERPROFILE%\Documents\GitHub\eaglep3\Utilities\RefineRTDCRunTimes.py" --tripid 829-28 --locoid 4031 --swversion DE.1.0.8.0 --startMP 204:974 --initTime 2016-11-28T16:12:51 --startdatetime 2016-11-28T16:21:21 --delay 1 --endMP 300:58948 --enddatetime 2016-11-28T16:35:35 --enforcementcount 0 &gt;&gt;C:\Users\stu\Documents\GitHub\eaglep3-reporting\EC\2016-11-28-refined-times.txt</v>
      </c>
      <c r="AI187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{"issue":{"subject":"","project_id":79,"tracker_id":40,"status_id":1,"priority_id":2,"assigned_to_id":23,"start_date":"2016-11-28","description":"","custom_fields":[{"id":1,"name":"Subdivision","value":"NW"},{"id":4,"name":"Milepost","value":"5.8948"},{"id":17,"name":"Train ID","value":"829-28"},{"id":16,"name":"Locomotive ID","value":"4031"},{"id":130,"name":"Impact","value":""},{"id":150,"name":"Time of Event (Mountain Time)","value":"16:35:35"},{"id":151,"name":"Denver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559</v>
      </c>
      <c r="B188" s="7">
        <v>4032</v>
      </c>
      <c r="C188" s="22" t="s">
        <v>212</v>
      </c>
      <c r="D188" s="22" t="s">
        <v>723</v>
      </c>
      <c r="E188" s="13">
        <v>42702.692881944444</v>
      </c>
      <c r="F188" s="13">
        <v>42702.695011574076</v>
      </c>
      <c r="G188" s="7">
        <v>1</v>
      </c>
      <c r="H188" s="22" t="s">
        <v>751</v>
      </c>
      <c r="I188" s="13">
        <v>42702.705833333333</v>
      </c>
      <c r="J188" s="7">
        <v>0</v>
      </c>
      <c r="K188" s="109" t="str">
        <f t="shared" si="41"/>
        <v>4031/4032</v>
      </c>
      <c r="L188" s="22" t="str">
        <f>VLOOKUP(A188,'Trips&amp;Operators'!$C$1:$E$10000,3,FALSE)</f>
        <v>DAVIS</v>
      </c>
      <c r="M188" s="6">
        <f t="shared" si="42"/>
        <v>1.0821759256941732E-2</v>
      </c>
      <c r="N188" s="7">
        <f t="shared" si="58"/>
        <v>15.583333329996094</v>
      </c>
      <c r="O188" s="7"/>
      <c r="P188" s="7"/>
      <c r="Q188" s="23"/>
      <c r="R188" s="23"/>
      <c r="S188" s="35">
        <f t="shared" si="59"/>
        <v>1</v>
      </c>
      <c r="T188" s="50" t="str">
        <f t="shared" si="43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15:37:45-700',mode:absolute,to:'2016-11-28 17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8" s="52" t="str">
        <f t="shared" si="45"/>
        <v>N</v>
      </c>
      <c r="X188" s="177">
        <f t="shared" si="46"/>
        <v>1</v>
      </c>
      <c r="Y188" s="67">
        <f t="shared" si="47"/>
        <v>5.8635999999999999</v>
      </c>
      <c r="Z188" s="67">
        <f t="shared" si="48"/>
        <v>7.0300000000000001E-2</v>
      </c>
      <c r="AA188" s="67">
        <f t="shared" si="49"/>
        <v>5.7933000000000003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50"/>
        <v>0830-28</v>
      </c>
      <c r="AE188" s="91" t="str">
        <f t="shared" si="51"/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AF188" s="88" t="str">
        <f t="shared" si="52"/>
        <v>"C:\Program Files (x86)\AstroGrep\AstroGrep.exe" /spath="%USERPROFILE%\AppData\Local\Temp\OnboardLogs" /stypes="app*4032*20161128*" /stext=" 23:.+((SYSTEM_STATE.+slice.+state.+changed )|(ment ac)|(multiple cpu faults)|(system.+state.+changed )|(\[timeout)|(PRM\|1\|D)|(kpr)|(kdp)|(\|lc)|(penalty))" /e /r /s</v>
      </c>
      <c r="AG188" s="1" t="str">
        <f t="shared" si="53"/>
        <v>NW</v>
      </c>
      <c r="AH188" s="92" t="str">
        <f t="shared" si="54"/>
        <v>"%USERPROFILE%\Documents\GitHub\eaglep3\Utilities\RefineRTDCRunTimes.py" --tripid 830-28 --locoid 4032 --swversion DE.1.0.8.0 --startMP 300:58636 --initTime 2016-11-28T16:37:45 --startdatetime 2016-11-28T16:40:49 --delay 1 --endMP 204:703 --enddatetime 2016-11-28T16:56:24 --enforcementcount 0 &gt;&gt;C:\Users\stu\Documents\GitHub\eaglep3-reporting\EC\2016-11-28-refined-times.txt</v>
      </c>
      <c r="AI188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{"issue":{"subject":"","project_id":79,"tracker_id":40,"status_id":1,"priority_id":2,"assigned_to_id":23,"start_date":"2016-11-28","description":"","custom_fields":[{"id":1,"name":"Subdivision","value":"NW"},{"id":4,"name":"Milepost","value":"0.0703"},{"id":17,"name":"Train ID","value":"830-28"},{"id":16,"name":"Locomotive ID","value":"4032"},{"id":130,"name":"Impact","value":""},{"id":150,"name":"Time of Event (Mountain Time)","value":"16:56:24"},{"id":151,"name":"Denver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562</v>
      </c>
      <c r="B189" s="7">
        <v>4003</v>
      </c>
      <c r="C189" s="22" t="s">
        <v>212</v>
      </c>
      <c r="D189" s="22" t="s">
        <v>752</v>
      </c>
      <c r="E189" s="13">
        <v>42702.696956018517</v>
      </c>
      <c r="F189" s="13">
        <v>42702.702418981484</v>
      </c>
      <c r="G189" s="7">
        <v>3</v>
      </c>
      <c r="H189" s="22" t="s">
        <v>387</v>
      </c>
      <c r="I189" s="13">
        <v>42702.712060185186</v>
      </c>
      <c r="J189" s="7">
        <v>0</v>
      </c>
      <c r="K189" s="109" t="str">
        <f t="shared" si="41"/>
        <v>4003/4004</v>
      </c>
      <c r="L189" s="22" t="str">
        <f>VLOOKUP(A189,'Trips&amp;Operators'!$C$1:$E$10000,3,FALSE)</f>
        <v>COOLAHAN</v>
      </c>
      <c r="M189" s="6">
        <f t="shared" si="42"/>
        <v>9.6412037019035779E-3</v>
      </c>
      <c r="N189" s="7">
        <f t="shared" si="58"/>
        <v>13.883333330741152</v>
      </c>
      <c r="O189" s="7"/>
      <c r="P189" s="7"/>
      <c r="Q189" s="23"/>
      <c r="R189" s="23"/>
      <c r="S189" s="35">
        <f t="shared" si="59"/>
        <v>1</v>
      </c>
      <c r="T189" s="50" t="str">
        <f t="shared" si="43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15:43:37-700',mode:absolute,to:'2016-11-28 18:05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9" s="52" t="str">
        <f t="shared" si="45"/>
        <v>N</v>
      </c>
      <c r="X189" s="177">
        <f t="shared" si="46"/>
        <v>1</v>
      </c>
      <c r="Y189" s="67">
        <f t="shared" si="47"/>
        <v>9.3200000000000005E-2</v>
      </c>
      <c r="Z189" s="67">
        <f t="shared" si="48"/>
        <v>5.8967000000000001</v>
      </c>
      <c r="AA189" s="67">
        <f t="shared" si="49"/>
        <v>5.8034999999999997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50"/>
        <v>0831-28</v>
      </c>
      <c r="AE189" s="91" t="str">
        <f t="shared" si="51"/>
        <v>aws s3 cp s3://rtdc.mdm.uploadarchive.raw/RTDC4003/ "%USERPROFILE%\AppData\Local\Temp\OnboardLogs"\RTDC4003\2016-11-28 --exclude "*" --recursive --include "*20161128*" &amp; "%USERPROFILE%\Documents\GitHub\mrs-test-scripts\Headless Mode &amp; Sideloading\WalkAndUnGZ.bat" "%USERPROFILE%\AppData\Local\Temp\OnboardLogs"\RTDC4003\2016-11-28 &amp; 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</v>
      </c>
      <c r="AF189" s="88" t="str">
        <f t="shared" si="52"/>
        <v>"C:\Program Files (x86)\AstroGrep\AstroGrep.exe" /spath="%USERPROFILE%\AppData\Local\Temp\OnboardLogs" /stypes="app*4003*20161129*" /stext=" 00:.+((SYSTEM_STATE.+slice.+state.+changed )|(ment ac)|(multiple cpu faults)|(system.+state.+changed )|(\[timeout)|(PRM\|1\|D)|(kpr)|(kdp)|(\|lc)|(penalty))" /e /r /s</v>
      </c>
      <c r="AG189" s="1" t="str">
        <f t="shared" si="53"/>
        <v>NW</v>
      </c>
      <c r="AH189" s="92" t="str">
        <f t="shared" si="54"/>
        <v>"%USERPROFILE%\Documents\GitHub\eaglep3\Utilities\RefineRTDCRunTimes.py" --tripid 831-28 --locoid 4003 --swversion DE.1.0.8.0 --startMP 204:932 --initTime 2016-11-28T16:43:37 --startdatetime 2016-11-28T16:51:29 --delay 3 --endMP 300:58967 --enddatetime 2016-11-28T17:05:22 --enforcementcount 0 &gt;&gt;C:\Users\stu\Documents\GitHub\eaglep3-reporting\EC\2016-11-28-refined-times.txt</v>
      </c>
      <c r="AI189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{"issue":{"subject":"","project_id":79,"tracker_id":40,"status_id":1,"priority_id":2,"assigned_to_id":23,"start_date":"2016-11-28","description":"","custom_fields":[{"id":1,"name":"Subdivision","value":"NW"},{"id":4,"name":"Milepost","value":"5.8967"},{"id":17,"name":"Train ID","value":"831-28"},{"id":16,"name":"Locomotive ID","value":"4003"},{"id":130,"name":"Impact","value":""},{"id":150,"name":"Time of Event (Mountain Time)","value":"17:05:22"},{"id":151,"name":"Denver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423</v>
      </c>
      <c r="B190" s="7">
        <v>4004</v>
      </c>
      <c r="C190" s="22" t="s">
        <v>212</v>
      </c>
      <c r="D190" s="22" t="s">
        <v>753</v>
      </c>
      <c r="E190" s="13">
        <v>42702.712962962964</v>
      </c>
      <c r="F190" s="13">
        <v>42702.714745370373</v>
      </c>
      <c r="G190" s="7">
        <v>2</v>
      </c>
      <c r="H190" s="22" t="s">
        <v>353</v>
      </c>
      <c r="I190" s="13">
        <v>42702.726388888892</v>
      </c>
      <c r="J190" s="7">
        <v>0</v>
      </c>
      <c r="K190" s="109" t="str">
        <f t="shared" si="41"/>
        <v>4003/4004</v>
      </c>
      <c r="L190" s="22" t="str">
        <f>VLOOKUP(A190,'Trips&amp;Operators'!$C$1:$E$10000,3,FALSE)</f>
        <v>COOLAHAN</v>
      </c>
      <c r="M190" s="6">
        <f t="shared" si="42"/>
        <v>1.1643518519122154E-2</v>
      </c>
      <c r="N190" s="7">
        <f t="shared" si="58"/>
        <v>16.766666667535901</v>
      </c>
      <c r="O190" s="7"/>
      <c r="P190" s="7"/>
      <c r="Q190" s="23"/>
      <c r="R190" s="23"/>
      <c r="S190" s="35">
        <f t="shared" si="59"/>
        <v>1</v>
      </c>
      <c r="T190" s="50" t="str">
        <f t="shared" si="43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16:06:40-700',mode:absolute,to:'2016-11-28 18:26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0" s="52" t="str">
        <f t="shared" si="45"/>
        <v>N</v>
      </c>
      <c r="X190" s="177">
        <f t="shared" si="46"/>
        <v>1</v>
      </c>
      <c r="Y190" s="67">
        <f t="shared" si="47"/>
        <v>5.8651</v>
      </c>
      <c r="Z190" s="67">
        <f t="shared" si="48"/>
        <v>7.5200000000000003E-2</v>
      </c>
      <c r="AA190" s="67">
        <f t="shared" si="49"/>
        <v>5.7899000000000003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50"/>
        <v>0832-28</v>
      </c>
      <c r="AE190" s="91" t="str">
        <f t="shared" si="51"/>
        <v>aws s3 cp s3://rtdc.mdm.uploadarchive.raw/RTDC4004/ "%USERPROFILE%\AppData\Local\Temp\OnboardLogs"\RTDC4004\2016-11-28 --exclude "*" --recursive --include "*20161128*" &amp; "%USERPROFILE%\Documents\GitHub\mrs-test-scripts\Headless Mode &amp; Sideloading\WalkAndUnGZ.bat" "%USERPROFILE%\AppData\Local\Temp\OnboardLogs"\RTDC4004\2016-11-28 &amp; 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</v>
      </c>
      <c r="AF190" s="88" t="str">
        <f t="shared" si="52"/>
        <v>"C:\Program Files (x86)\AstroGrep\AstroGrep.exe" /spath="%USERPROFILE%\AppData\Local\Temp\OnboardLogs" /stypes="app*4004*20161129*" /stext=" 00:.+((SYSTEM_STATE.+slice.+state.+changed )|(ment ac)|(multiple cpu faults)|(system.+state.+changed )|(\[timeout)|(PRM\|1\|D)|(kpr)|(kdp)|(\|lc)|(penalty))" /e /r /s</v>
      </c>
      <c r="AG190" s="1" t="str">
        <f t="shared" si="53"/>
        <v>NW</v>
      </c>
      <c r="AH190" s="92" t="str">
        <f t="shared" si="54"/>
        <v>"%USERPROFILE%\Documents\GitHub\eaglep3\Utilities\RefineRTDCRunTimes.py" --tripid 832-28 --locoid 4004 --swversion DE.1.0.8.0 --startMP 300:58651 --initTime 2016-11-28T17:06:40 --startdatetime 2016-11-28T17:09:14 --delay 2 --endMP 204:752 --enddatetime 2016-11-28T17:26:00 --enforcementcount 0 &gt;&gt;C:\Users\stu\Documents\GitHub\eaglep3-reporting\EC\2016-11-28-refined-times.txt</v>
      </c>
      <c r="AI190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{"issue":{"subject":"","project_id":79,"tracker_id":40,"status_id":1,"priority_id":2,"assigned_to_id":23,"start_date":"2016-11-28","description":"","custom_fields":[{"id":1,"name":"Subdivision","value":"NW"},{"id":4,"name":"Milepost","value":"0.0752"},{"id":17,"name":"Train ID","value":"832-28"},{"id":16,"name":"Locomotive ID","value":"4004"},{"id":130,"name":"Impact","value":""},{"id":150,"name":"Time of Event (Mountain Time)","value":"17:26:00"},{"id":151,"name":"Denver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s="21" customFormat="1" x14ac:dyDescent="0.25">
      <c r="A191" s="37" t="s">
        <v>569</v>
      </c>
      <c r="B191" s="7">
        <v>4031</v>
      </c>
      <c r="C191" s="22" t="s">
        <v>212</v>
      </c>
      <c r="D191" s="22" t="s">
        <v>731</v>
      </c>
      <c r="E191" s="13">
        <v>42702.719490740739</v>
      </c>
      <c r="F191" s="13">
        <v>42702.723495370374</v>
      </c>
      <c r="G191" s="7">
        <v>1</v>
      </c>
      <c r="H191" s="22" t="s">
        <v>754</v>
      </c>
      <c r="I191" s="13">
        <v>42702.733923611115</v>
      </c>
      <c r="J191" s="7">
        <v>0</v>
      </c>
      <c r="K191" s="109" t="str">
        <f t="shared" si="41"/>
        <v>4031/4032</v>
      </c>
      <c r="L191" s="22" t="str">
        <f>VLOOKUP(A191,'Trips&amp;Operators'!$C$1:$E$10000,3,FALSE)</f>
        <v>DAVIS</v>
      </c>
      <c r="M191" s="6">
        <f t="shared" si="42"/>
        <v>1.0428240741021E-2</v>
      </c>
      <c r="N191" s="7">
        <f t="shared" si="58"/>
        <v>15.01666666707024</v>
      </c>
      <c r="O191" s="7"/>
      <c r="P191" s="7"/>
      <c r="Q191" s="23"/>
      <c r="R191" s="23"/>
      <c r="S191" s="35">
        <f t="shared" si="59"/>
        <v>1</v>
      </c>
      <c r="T191" s="50" t="str">
        <f t="shared" si="43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16:16:04-700',mode:absolute,to:'2016-11-28 18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1" s="52" t="str">
        <f t="shared" si="45"/>
        <v>N</v>
      </c>
      <c r="X191" s="177">
        <f t="shared" si="46"/>
        <v>1</v>
      </c>
      <c r="Y191" s="67">
        <f t="shared" si="47"/>
        <v>9.7100000000000006E-2</v>
      </c>
      <c r="Z191" s="67">
        <f t="shared" si="48"/>
        <v>5.8945999999999996</v>
      </c>
      <c r="AA191" s="67">
        <f t="shared" si="49"/>
        <v>5.7974999999999994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50"/>
        <v>0833-28</v>
      </c>
      <c r="AE191" s="91" t="str">
        <f t="shared" si="51"/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AF191" s="88" t="str">
        <f t="shared" si="52"/>
        <v>"C:\Program Files (x86)\AstroGrep\AstroGrep.exe" /spath="%USERPROFILE%\AppData\Local\Temp\OnboardLogs" /stypes="app*4031*20161129*" /stext=" 00:.+((SYSTEM_STATE.+slice.+state.+changed )|(ment ac)|(multiple cpu faults)|(system.+state.+changed )|(\[timeout)|(PRM\|1\|D)|(kpr)|(kdp)|(\|lc)|(penalty))" /e /r /s</v>
      </c>
      <c r="AG191" s="1" t="str">
        <f t="shared" si="53"/>
        <v>NW</v>
      </c>
      <c r="AH191" s="92" t="str">
        <f t="shared" si="54"/>
        <v>"%USERPROFILE%\Documents\GitHub\eaglep3\Utilities\RefineRTDCRunTimes.py" --tripid 833-28 --locoid 4031 --swversion DE.1.0.8.0 --startMP 204:971 --initTime 2016-11-28T17:16:04 --startdatetime 2016-11-28T17:21:50 --delay 1 --endMP 300:58946 --enddatetime 2016-11-28T17:36:51 --enforcementcount 0 &gt;&gt;C:\Users\stu\Documents\GitHub\eaglep3-reporting\EC\2016-11-28-refined-times.txt</v>
      </c>
      <c r="AI191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{"issue":{"subject":"","project_id":79,"tracker_id":40,"status_id":1,"priority_id":2,"assigned_to_id":23,"start_date":"2016-11-28","description":"","custom_fields":[{"id":1,"name":"Subdivision","value":"NW"},{"id":4,"name":"Milepost","value":"5.8946"},{"id":17,"name":"Train ID","value":"833-28"},{"id":16,"name":"Locomotive ID","value":"4031"},{"id":130,"name":"Impact","value":""},{"id":150,"name":"Time of Event (Mountain Time)","value":"17:36:51"},{"id":151,"name":"Denver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7" t="s">
        <v>424</v>
      </c>
      <c r="B192" s="7">
        <v>4032</v>
      </c>
      <c r="C192" s="22" t="s">
        <v>212</v>
      </c>
      <c r="D192" s="22" t="s">
        <v>755</v>
      </c>
      <c r="E192" s="13">
        <v>42702.735127314816</v>
      </c>
      <c r="F192" s="13">
        <v>42702.736770833333</v>
      </c>
      <c r="G192" s="7">
        <v>1</v>
      </c>
      <c r="H192" s="22" t="s">
        <v>756</v>
      </c>
      <c r="I192" s="13">
        <v>42702.747673611113</v>
      </c>
      <c r="J192" s="7">
        <v>0</v>
      </c>
      <c r="K192" s="109" t="str">
        <f t="shared" si="41"/>
        <v>4031/4032</v>
      </c>
      <c r="L192" s="22" t="str">
        <f>VLOOKUP(A192,'Trips&amp;Operators'!$C$1:$E$10000,3,FALSE)</f>
        <v>DAVIS</v>
      </c>
      <c r="M192" s="6">
        <f t="shared" si="42"/>
        <v>1.0902777779847383E-2</v>
      </c>
      <c r="N192" s="7">
        <f t="shared" si="58"/>
        <v>15.700000002980232</v>
      </c>
      <c r="O192" s="7"/>
      <c r="P192" s="7"/>
      <c r="Q192" s="23"/>
      <c r="R192" s="23"/>
      <c r="S192" s="35">
        <f t="shared" si="59"/>
        <v>1</v>
      </c>
      <c r="T192" s="50" t="str">
        <f t="shared" si="43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16:38:35-700',mode:absolute,to:'2016-11-28 18:56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2" s="52" t="str">
        <f t="shared" si="45"/>
        <v>N</v>
      </c>
      <c r="X192" s="177">
        <f t="shared" si="46"/>
        <v>1</v>
      </c>
      <c r="Y192" s="67">
        <f t="shared" si="47"/>
        <v>5.8630000000000004</v>
      </c>
      <c r="Z192" s="67">
        <f t="shared" si="48"/>
        <v>7.3800000000000004E-2</v>
      </c>
      <c r="AA192" s="67">
        <f t="shared" si="49"/>
        <v>5.7892000000000001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50"/>
        <v>0834-28</v>
      </c>
      <c r="AE192" s="91" t="str">
        <f t="shared" si="51"/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AF192" s="88" t="str">
        <f t="shared" si="52"/>
        <v>"C:\Program Files (x86)\AstroGrep\AstroGrep.exe" /spath="%USERPROFILE%\AppData\Local\Temp\OnboardLogs" /stypes="app*4032*20161129*" /stext=" 00:.+((SYSTEM_STATE.+slice.+state.+changed )|(ment ac)|(multiple cpu faults)|(system.+state.+changed )|(\[timeout)|(PRM\|1\|D)|(kpr)|(kdp)|(\|lc)|(penalty))" /e /r /s</v>
      </c>
      <c r="AG192" s="1" t="str">
        <f t="shared" si="53"/>
        <v>NW</v>
      </c>
      <c r="AH192" s="92" t="str">
        <f t="shared" si="54"/>
        <v>"%USERPROFILE%\Documents\GitHub\eaglep3\Utilities\RefineRTDCRunTimes.py" --tripid 834-28 --locoid 4032 --swversion DE.1.0.8.0 --startMP 300:58630 --initTime 2016-11-28T17:38:35 --startdatetime 2016-11-28T17:40:57 --delay 1 --endMP 204:738 --enddatetime 2016-11-28T17:56:39 --enforcementcount 0 &gt;&gt;C:\Users\stu\Documents\GitHub\eaglep3-reporting\EC\2016-11-28-refined-times.txt</v>
      </c>
      <c r="AI192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{"issue":{"subject":"","project_id":79,"tracker_id":40,"status_id":1,"priority_id":2,"assigned_to_id":23,"start_date":"2016-11-28","description":"","custom_fields":[{"id":1,"name":"Subdivision","value":"NW"},{"id":4,"name":"Milepost","value":"0.0738"},{"id":17,"name":"Train ID","value":"834-28"},{"id":16,"name":"Locomotive ID","value":"4032"},{"id":130,"name":"Impact","value":""},{"id":150,"name":"Time of Event (Mountain Time)","value":"17:56:39"},{"id":151,"name":"Denver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425</v>
      </c>
      <c r="B193" s="7">
        <v>4003</v>
      </c>
      <c r="C193" s="22" t="s">
        <v>212</v>
      </c>
      <c r="D193" s="22" t="s">
        <v>757</v>
      </c>
      <c r="E193" s="13">
        <v>42702.739039351851</v>
      </c>
      <c r="F193" s="13">
        <v>42702.744120370371</v>
      </c>
      <c r="G193" s="7">
        <v>1</v>
      </c>
      <c r="H193" s="22" t="s">
        <v>758</v>
      </c>
      <c r="I193" s="13">
        <v>42702.754467592589</v>
      </c>
      <c r="J193" s="7">
        <v>0</v>
      </c>
      <c r="K193" s="109" t="str">
        <f t="shared" si="41"/>
        <v>4003/4004</v>
      </c>
      <c r="L193" s="22" t="str">
        <f>VLOOKUP(A193,'Trips&amp;Operators'!$C$1:$E$10000,3,FALSE)</f>
        <v>COOLAHAN</v>
      </c>
      <c r="M193" s="6">
        <f t="shared" si="42"/>
        <v>1.0347222218115348E-2</v>
      </c>
      <c r="N193" s="7">
        <f t="shared" si="58"/>
        <v>14.899999994086102</v>
      </c>
      <c r="O193" s="7"/>
      <c r="P193" s="7"/>
      <c r="Q193" s="23"/>
      <c r="R193" s="23"/>
      <c r="S193" s="35">
        <f t="shared" si="59"/>
        <v>1</v>
      </c>
      <c r="T193" s="50" t="str">
        <f t="shared" si="43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16:44:13-700',mode:absolute,to:'2016-11-28 19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3" s="52" t="str">
        <f t="shared" si="45"/>
        <v>N</v>
      </c>
      <c r="X193" s="177">
        <f t="shared" si="46"/>
        <v>1</v>
      </c>
      <c r="Y193" s="67">
        <f t="shared" si="47"/>
        <v>0.1027</v>
      </c>
      <c r="Z193" s="67">
        <f t="shared" si="48"/>
        <v>5.8959999999999999</v>
      </c>
      <c r="AA193" s="67">
        <f t="shared" si="49"/>
        <v>5.7933000000000003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50"/>
        <v>0835-28</v>
      </c>
      <c r="AE193" s="91" t="str">
        <f t="shared" si="51"/>
        <v>aws s3 cp s3://rtdc.mdm.uploadarchive.raw/RTDC4003/ "%USERPROFILE%\AppData\Local\Temp\OnboardLogs"\RTDC4003\2016-11-28 --exclude "*" --recursive --include "*20161128*" &amp; "%USERPROFILE%\Documents\GitHub\mrs-test-scripts\Headless Mode &amp; Sideloading\WalkAndUnGZ.bat" "%USERPROFILE%\AppData\Local\Temp\OnboardLogs"\RTDC4003\2016-11-28 &amp; 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</v>
      </c>
      <c r="AF193" s="88" t="str">
        <f t="shared" si="52"/>
        <v>"C:\Program Files (x86)\AstroGrep\AstroGrep.exe" /spath="%USERPROFILE%\AppData\Local\Temp\OnboardLogs" /stypes="app*4003*20161129*" /stext=" 01:.+((SYSTEM_STATE.+slice.+state.+changed )|(ment ac)|(multiple cpu faults)|(system.+state.+changed )|(\[timeout)|(PRM\|1\|D)|(kpr)|(kdp)|(\|lc)|(penalty))" /e /r /s</v>
      </c>
      <c r="AG193" s="1" t="str">
        <f t="shared" si="53"/>
        <v>NW</v>
      </c>
      <c r="AH193" s="92" t="str">
        <f t="shared" si="54"/>
        <v>"%USERPROFILE%\Documents\GitHub\eaglep3\Utilities\RefineRTDCRunTimes.py" --tripid 835-28 --locoid 4003 --swversion DE.1.0.8.0 --startMP 204:1027 --initTime 2016-11-28T17:44:13 --startdatetime 2016-11-28T17:51:32 --delay 1 --endMP 300:58960 --enddatetime 2016-11-28T18:06:26 --enforcementcount 0 &gt;&gt;C:\Users\stu\Documents\GitHub\eaglep3-reporting\EC\2016-11-28-refined-times.txt</v>
      </c>
      <c r="AI193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{"issue":{"subject":"","project_id":79,"tracker_id":40,"status_id":1,"priority_id":2,"assigned_to_id":23,"start_date":"2016-11-28","description":"","custom_fields":[{"id":1,"name":"Subdivision","value":"NW"},{"id":4,"name":"Milepost","value":"5.896"},{"id":17,"name":"Train ID","value":"835-28"},{"id":16,"name":"Locomotive ID","value":"4003"},{"id":130,"name":"Impact","value":""},{"id":150,"name":"Time of Event (Mountain Time)","value":"18:06:26"},{"id":151,"name":"Denver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427</v>
      </c>
      <c r="B194" s="7">
        <v>4004</v>
      </c>
      <c r="C194" s="22" t="s">
        <v>212</v>
      </c>
      <c r="D194" s="22" t="s">
        <v>759</v>
      </c>
      <c r="E194" s="13">
        <v>42702.755393518521</v>
      </c>
      <c r="F194" s="13">
        <v>42702.757002314815</v>
      </c>
      <c r="G194" s="7">
        <v>1</v>
      </c>
      <c r="H194" s="22" t="s">
        <v>760</v>
      </c>
      <c r="I194" s="13">
        <v>42702.768217592595</v>
      </c>
      <c r="J194" s="7">
        <v>0</v>
      </c>
      <c r="K194" s="109" t="str">
        <f t="shared" si="41"/>
        <v>4003/4004</v>
      </c>
      <c r="L194" s="22" t="str">
        <f>VLOOKUP(A194,'Trips&amp;Operators'!$C$1:$E$10000,3,FALSE)</f>
        <v>COOLAHAN</v>
      </c>
      <c r="M194" s="6">
        <f t="shared" si="42"/>
        <v>1.1215277780138422E-2</v>
      </c>
      <c r="N194" s="7">
        <f t="shared" si="58"/>
        <v>16.150000003399327</v>
      </c>
      <c r="O194" s="7"/>
      <c r="P194" s="7"/>
      <c r="Q194" s="23"/>
      <c r="R194" s="23"/>
      <c r="S194" s="35">
        <f t="shared" si="59"/>
        <v>1</v>
      </c>
      <c r="T194" s="50" t="str">
        <f t="shared" si="43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17:07:46-700',mode:absolute,to:'2016-11-28 19:26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4" s="52" t="str">
        <f t="shared" si="45"/>
        <v>N</v>
      </c>
      <c r="X194" s="177">
        <f t="shared" si="46"/>
        <v>1</v>
      </c>
      <c r="Y194" s="67">
        <f t="shared" si="47"/>
        <v>5.8648999999999996</v>
      </c>
      <c r="Z194" s="67">
        <f t="shared" si="48"/>
        <v>6.5199999999999994E-2</v>
      </c>
      <c r="AA194" s="67">
        <f t="shared" si="49"/>
        <v>5.7996999999999996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50"/>
        <v>0836-28</v>
      </c>
      <c r="AE194" s="91" t="str">
        <f t="shared" si="51"/>
        <v>aws s3 cp s3://rtdc.mdm.uploadarchive.raw/RTDC4004/ "%USERPROFILE%\AppData\Local\Temp\OnboardLogs"\RTDC4004\2016-11-28 --exclude "*" --recursive --include "*20161128*" &amp; "%USERPROFILE%\Documents\GitHub\mrs-test-scripts\Headless Mode &amp; Sideloading\WalkAndUnGZ.bat" "%USERPROFILE%\AppData\Local\Temp\OnboardLogs"\RTDC4004\2016-11-28 &amp; 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</v>
      </c>
      <c r="AF194" s="88" t="str">
        <f t="shared" si="52"/>
        <v>"C:\Program Files (x86)\AstroGrep\AstroGrep.exe" /spath="%USERPROFILE%\AppData\Local\Temp\OnboardLogs" /stypes="app*4004*20161129*" /stext=" 01:.+((SYSTEM_STATE.+slice.+state.+changed )|(ment ac)|(multiple cpu faults)|(system.+state.+changed )|(\[timeout)|(PRM\|1\|D)|(kpr)|(kdp)|(\|lc)|(penalty))" /e /r /s</v>
      </c>
      <c r="AG194" s="1" t="str">
        <f t="shared" si="53"/>
        <v>NW</v>
      </c>
      <c r="AH194" s="92" t="str">
        <f t="shared" si="54"/>
        <v>"%USERPROFILE%\Documents\GitHub\eaglep3\Utilities\RefineRTDCRunTimes.py" --tripid 836-28 --locoid 4004 --swversion DE.1.0.8.0 --startMP 300:58649 --initTime 2016-11-28T18:07:46 --startdatetime 2016-11-28T18:10:05 --delay 1 --endMP 204:652 --enddatetime 2016-11-28T18:26:14 --enforcementcount 0 &gt;&gt;C:\Users\stu\Documents\GitHub\eaglep3-reporting\EC\2016-11-28-refined-times.txt</v>
      </c>
      <c r="AI194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{"issue":{"subject":"","project_id":79,"tracker_id":40,"status_id":1,"priority_id":2,"assigned_to_id":23,"start_date":"2016-11-28","description":"","custom_fields":[{"id":1,"name":"Subdivision","value":"NW"},{"id":4,"name":"Milepost","value":"0.0652"},{"id":17,"name":"Train ID","value":"836-28"},{"id":16,"name":"Locomotive ID","value":"4004"},{"id":130,"name":"Impact","value":""},{"id":150,"name":"Time of Event (Mountain Time)","value":"18:26:14"},{"id":151,"name":"Denver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581</v>
      </c>
      <c r="B195" s="7">
        <v>4031</v>
      </c>
      <c r="C195" s="22" t="s">
        <v>212</v>
      </c>
      <c r="D195" s="22" t="s">
        <v>761</v>
      </c>
      <c r="E195" s="13">
        <v>42702.760034722225</v>
      </c>
      <c r="F195" s="13">
        <v>42702.76489583333</v>
      </c>
      <c r="G195" s="7">
        <v>1</v>
      </c>
      <c r="H195" s="22" t="s">
        <v>762</v>
      </c>
      <c r="I195" s="13">
        <v>42702.774699074071</v>
      </c>
      <c r="J195" s="7">
        <v>0</v>
      </c>
      <c r="K195" s="109" t="str">
        <f t="shared" si="41"/>
        <v>4031/4032</v>
      </c>
      <c r="L195" s="22" t="str">
        <f>VLOOKUP(A195,'Trips&amp;Operators'!$C$1:$E$10000,3,FALSE)</f>
        <v>DAVIS</v>
      </c>
      <c r="M195" s="6">
        <f t="shared" si="42"/>
        <v>9.8032407404389232E-3</v>
      </c>
      <c r="N195" s="7">
        <f t="shared" si="58"/>
        <v>14.116666666232049</v>
      </c>
      <c r="O195" s="7"/>
      <c r="P195" s="7"/>
      <c r="Q195" s="23"/>
      <c r="R195" s="23"/>
      <c r="S195" s="35">
        <f t="shared" si="59"/>
        <v>1</v>
      </c>
      <c r="T195" s="50" t="str">
        <f t="shared" si="43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17:14:27-700',mode:absolute,to:'2016-11-28 19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5" s="52" t="str">
        <f t="shared" si="45"/>
        <v>N</v>
      </c>
      <c r="X195" s="177">
        <f t="shared" si="46"/>
        <v>1</v>
      </c>
      <c r="Y195" s="67">
        <f t="shared" si="47"/>
        <v>0.1037</v>
      </c>
      <c r="Z195" s="67">
        <f t="shared" si="48"/>
        <v>5.8944000000000001</v>
      </c>
      <c r="AA195" s="67">
        <f t="shared" si="49"/>
        <v>5.7907000000000002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50"/>
        <v>0837-28</v>
      </c>
      <c r="AE195" s="91" t="str">
        <f t="shared" si="51"/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AF195" s="88" t="str">
        <f t="shared" si="52"/>
        <v>"C:\Program Files (x86)\AstroGrep\AstroGrep.exe" /spath="%USERPROFILE%\AppData\Local\Temp\OnboardLogs" /stypes="app*4031*20161129*" /stext=" 01:.+((SYSTEM_STATE.+slice.+state.+changed )|(ment ac)|(multiple cpu faults)|(system.+state.+changed )|(\[timeout)|(PRM\|1\|D)|(kpr)|(kdp)|(\|lc)|(penalty))" /e /r /s</v>
      </c>
      <c r="AG195" s="1" t="str">
        <f t="shared" si="53"/>
        <v>NW</v>
      </c>
      <c r="AH195" s="92" t="str">
        <f t="shared" si="54"/>
        <v>"%USERPROFILE%\Documents\GitHub\eaglep3\Utilities\RefineRTDCRunTimes.py" --tripid 837-28 --locoid 4031 --swversion DE.1.0.8.0 --startMP 204:1037 --initTime 2016-11-28T18:14:27 --startdatetime 2016-11-28T18:21:27 --delay 1 --endMP 300:58944 --enddatetime 2016-11-28T18:35:34 --enforcementcount 0 &gt;&gt;C:\Users\stu\Documents\GitHub\eaglep3-reporting\EC\2016-11-28-refined-times.txt</v>
      </c>
      <c r="AI195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{"issue":{"subject":"","project_id":79,"tracker_id":40,"status_id":1,"priority_id":2,"assigned_to_id":23,"start_date":"2016-11-28","description":"","custom_fields":[{"id":1,"name":"Subdivision","value":"NW"},{"id":4,"name":"Milepost","value":"5.8944"},{"id":17,"name":"Train ID","value":"837-28"},{"id":16,"name":"Locomotive ID","value":"4031"},{"id":130,"name":"Impact","value":""},{"id":150,"name":"Time of Event (Mountain Time)","value":"18:35:34"},{"id":151,"name":"Denver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584</v>
      </c>
      <c r="B196" s="7">
        <v>4032</v>
      </c>
      <c r="C196" s="22" t="s">
        <v>212</v>
      </c>
      <c r="D196" s="22" t="s">
        <v>763</v>
      </c>
      <c r="E196" s="13">
        <v>42702.775902777779</v>
      </c>
      <c r="F196" s="13">
        <v>42702.777685185189</v>
      </c>
      <c r="G196" s="7">
        <v>1</v>
      </c>
      <c r="H196" s="22" t="s">
        <v>764</v>
      </c>
      <c r="I196" s="13">
        <v>42702.789340277777</v>
      </c>
      <c r="J196" s="7">
        <v>0</v>
      </c>
      <c r="K196" s="109" t="str">
        <f t="shared" si="41"/>
        <v>4031/4032</v>
      </c>
      <c r="L196" s="22" t="str">
        <f>VLOOKUP(A196,'Trips&amp;Operators'!$C$1:$E$10000,3,FALSE)</f>
        <v>DAVIS</v>
      </c>
      <c r="M196" s="6">
        <f t="shared" si="42"/>
        <v>1.1655092588625848E-2</v>
      </c>
      <c r="N196" s="7">
        <f t="shared" si="58"/>
        <v>16.783333327621222</v>
      </c>
      <c r="O196" s="7"/>
      <c r="P196" s="7"/>
      <c r="Q196" s="23"/>
      <c r="R196" s="23"/>
      <c r="S196" s="35">
        <f t="shared" si="59"/>
        <v>1</v>
      </c>
      <c r="T196" s="50" t="str">
        <f t="shared" si="43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17:37:18-700',mode:absolute,to:'2016-11-28 19:56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6" s="52" t="str">
        <f t="shared" si="45"/>
        <v>N</v>
      </c>
      <c r="X196" s="177">
        <f t="shared" si="46"/>
        <v>1</v>
      </c>
      <c r="Y196" s="67">
        <f t="shared" si="47"/>
        <v>5.8624000000000001</v>
      </c>
      <c r="Z196" s="67">
        <f t="shared" si="48"/>
        <v>6.8900000000000003E-2</v>
      </c>
      <c r="AA196" s="67">
        <f t="shared" si="49"/>
        <v>5.7934999999999999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50"/>
        <v>0838-28</v>
      </c>
      <c r="AE196" s="91" t="str">
        <f t="shared" si="51"/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AF196" s="88" t="str">
        <f t="shared" si="52"/>
        <v>"C:\Program Files (x86)\AstroGrep\AstroGrep.exe" /spath="%USERPROFILE%\AppData\Local\Temp\OnboardLogs" /stypes="app*4032*20161129*" /stext=" 01:.+((SYSTEM_STATE.+slice.+state.+changed )|(ment ac)|(multiple cpu faults)|(system.+state.+changed )|(\[timeout)|(PRM\|1\|D)|(kpr)|(kdp)|(\|lc)|(penalty))" /e /r /s</v>
      </c>
      <c r="AG196" s="1" t="str">
        <f t="shared" si="53"/>
        <v>NW</v>
      </c>
      <c r="AH196" s="92" t="str">
        <f t="shared" si="54"/>
        <v>"%USERPROFILE%\Documents\GitHub\eaglep3\Utilities\RefineRTDCRunTimes.py" --tripid 838-28 --locoid 4032 --swversion DE.1.0.8.0 --startMP 300:58624 --initTime 2016-11-28T18:37:18 --startdatetime 2016-11-28T18:39:52 --delay 1 --endMP 204:689 --enddatetime 2016-11-28T18:56:39 --enforcementcount 0 &gt;&gt;C:\Users\stu\Documents\GitHub\eaglep3-reporting\EC\2016-11-28-refined-times.txt</v>
      </c>
      <c r="AI196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{"issue":{"subject":"","project_id":79,"tracker_id":40,"status_id":1,"priority_id":2,"assigned_to_id":23,"start_date":"2016-11-28","description":"","custom_fields":[{"id":1,"name":"Subdivision","value":"NW"},{"id":4,"name":"Milepost","value":"0.0689"},{"id":17,"name":"Train ID","value":"838-28"},{"id":16,"name":"Locomotive ID","value":"4032"},{"id":130,"name":"Impact","value":""},{"id":150,"name":"Time of Event (Mountain Time)","value":"18:56:39"},{"id":151,"name":"Denver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s="21" customFormat="1" x14ac:dyDescent="0.25">
      <c r="A197" s="37" t="s">
        <v>586</v>
      </c>
      <c r="B197" s="7">
        <v>4003</v>
      </c>
      <c r="C197" s="22" t="s">
        <v>212</v>
      </c>
      <c r="D197" s="22" t="s">
        <v>765</v>
      </c>
      <c r="E197" s="13">
        <v>42702.781493055554</v>
      </c>
      <c r="F197" s="13">
        <v>42702.785775462966</v>
      </c>
      <c r="G197" s="7">
        <v>1</v>
      </c>
      <c r="H197" s="22" t="s">
        <v>766</v>
      </c>
      <c r="I197" s="13">
        <v>42702.795775462961</v>
      </c>
      <c r="J197" s="7">
        <v>0</v>
      </c>
      <c r="K197" s="109" t="str">
        <f t="shared" si="41"/>
        <v>4003/4004</v>
      </c>
      <c r="L197" s="22" t="str">
        <f>VLOOKUP(A197,'Trips&amp;Operators'!$C$1:$E$10000,3,FALSE)</f>
        <v>COOLAHAN</v>
      </c>
      <c r="M197" s="6">
        <f t="shared" si="42"/>
        <v>9.9999999947613105E-3</v>
      </c>
      <c r="N197" s="7">
        <f t="shared" si="58"/>
        <v>14.399999992456287</v>
      </c>
      <c r="O197" s="7"/>
      <c r="P197" s="7"/>
      <c r="Q197" s="23"/>
      <c r="R197" s="23"/>
      <c r="S197" s="35">
        <f t="shared" si="59"/>
        <v>1</v>
      </c>
      <c r="T197" s="50" t="str">
        <f t="shared" si="43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17:45:21-700',mode:absolute,to:'2016-11-28 20:05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7" s="52" t="str">
        <f t="shared" si="45"/>
        <v>N</v>
      </c>
      <c r="X197" s="177">
        <f t="shared" si="46"/>
        <v>1</v>
      </c>
      <c r="Y197" s="67">
        <f t="shared" si="47"/>
        <v>9.5699999999999993E-2</v>
      </c>
      <c r="Z197" s="67">
        <f t="shared" si="48"/>
        <v>5.8940999999999999</v>
      </c>
      <c r="AA197" s="67">
        <f t="shared" si="49"/>
        <v>5.7984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50"/>
        <v>0839-28</v>
      </c>
      <c r="AE197" s="91" t="str">
        <f t="shared" si="51"/>
        <v>aws s3 cp s3://rtdc.mdm.uploadarchive.raw/RTDC4003/ "%USERPROFILE%\AppData\Local\Temp\OnboardLogs"\RTDC4003\2016-11-28 --exclude "*" --recursive --include "*20161128*" &amp; "%USERPROFILE%\Documents\GitHub\mrs-test-scripts\Headless Mode &amp; Sideloading\WalkAndUnGZ.bat" "%USERPROFILE%\AppData\Local\Temp\OnboardLogs"\RTDC4003\2016-11-28 &amp; 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</v>
      </c>
      <c r="AF197" s="88" t="str">
        <f t="shared" si="52"/>
        <v>"C:\Program Files (x86)\AstroGrep\AstroGrep.exe" /spath="%USERPROFILE%\AppData\Local\Temp\OnboardLogs" /stypes="app*4003*20161129*" /stext=" 02:.+((SYSTEM_STATE.+slice.+state.+changed )|(ment ac)|(multiple cpu faults)|(system.+state.+changed )|(\[timeout)|(PRM\|1\|D)|(kpr)|(kdp)|(\|lc)|(penalty))" /e /r /s</v>
      </c>
      <c r="AG197" s="1" t="str">
        <f t="shared" si="53"/>
        <v>NW</v>
      </c>
      <c r="AH197" s="92" t="str">
        <f t="shared" si="54"/>
        <v>"%USERPROFILE%\Documents\GitHub\eaglep3\Utilities\RefineRTDCRunTimes.py" --tripid 839-28 --locoid 4003 --swversion DE.1.0.8.0 --startMP 204:957 --initTime 2016-11-28T18:45:21 --startdatetime 2016-11-28T18:51:31 --delay 1 --endMP 300:58941 --enddatetime 2016-11-28T19:05:55 --enforcementcount 0 &gt;&gt;C:\Users\stu\Documents\GitHub\eaglep3-reporting\EC\2016-11-28-refined-times.txt</v>
      </c>
      <c r="AI197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{"issue":{"subject":"","project_id":79,"tracker_id":40,"status_id":1,"priority_id":2,"assigned_to_id":23,"start_date":"2016-11-28","description":"","custom_fields":[{"id":1,"name":"Subdivision","value":"NW"},{"id":4,"name":"Milepost","value":"5.8941"},{"id":17,"name":"Train ID","value":"839-28"},{"id":16,"name":"Locomotive ID","value":"4003"},{"id":130,"name":"Impact","value":""},{"id":150,"name":"Time of Event (Mountain Time)","value":"19:05:55"},{"id":151,"name":"Denver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595</v>
      </c>
      <c r="B198" s="7">
        <v>4032</v>
      </c>
      <c r="C198" s="22" t="s">
        <v>212</v>
      </c>
      <c r="D198" s="22" t="s">
        <v>767</v>
      </c>
      <c r="E198" s="13">
        <v>42702.818113425928</v>
      </c>
      <c r="F198" s="13">
        <v>42702.820150462961</v>
      </c>
      <c r="G198" s="7">
        <v>1</v>
      </c>
      <c r="H198" s="22" t="s">
        <v>768</v>
      </c>
      <c r="I198" s="13">
        <v>42702.829895833333</v>
      </c>
      <c r="J198" s="7">
        <v>0</v>
      </c>
      <c r="K198" s="109" t="str">
        <f t="shared" si="41"/>
        <v>4031/4032</v>
      </c>
      <c r="L198" s="22" t="str">
        <f>VLOOKUP(A198,'Trips&amp;Operators'!$C$1:$E$10000,3,FALSE)</f>
        <v>DAVIS</v>
      </c>
      <c r="M198" s="6">
        <f t="shared" si="42"/>
        <v>9.7453703710925765E-3</v>
      </c>
      <c r="N198" s="7">
        <f t="shared" si="58"/>
        <v>14.03333333437331</v>
      </c>
      <c r="O198" s="7"/>
      <c r="P198" s="7"/>
      <c r="Q198" s="23"/>
      <c r="R198" s="23"/>
      <c r="S198" s="35">
        <f t="shared" si="59"/>
        <v>1</v>
      </c>
      <c r="T198" s="50" t="str">
        <f t="shared" si="43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18:38:05-700',mode:absolute,to:'2016-11-28 20:55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8" s="52" t="str">
        <f t="shared" si="45"/>
        <v>N</v>
      </c>
      <c r="X198" s="177">
        <f t="shared" si="46"/>
        <v>1</v>
      </c>
      <c r="Y198" s="67">
        <f t="shared" si="47"/>
        <v>5.8654999999999999</v>
      </c>
      <c r="Z198" s="67">
        <f t="shared" si="48"/>
        <v>6.7799999999999999E-2</v>
      </c>
      <c r="AA198" s="67">
        <f t="shared" si="49"/>
        <v>5.7976999999999999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50"/>
        <v>0840-28</v>
      </c>
      <c r="AE198" s="91" t="str">
        <f t="shared" si="51"/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AF198" s="88" t="str">
        <f t="shared" si="52"/>
        <v>"C:\Program Files (x86)\AstroGrep\AstroGrep.exe" /spath="%USERPROFILE%\AppData\Local\Temp\OnboardLogs" /stypes="app*4032*20161129*" /stext=" 02:.+((SYSTEM_STATE.+slice.+state.+changed )|(ment ac)|(multiple cpu faults)|(system.+state.+changed )|(\[timeout)|(PRM\|1\|D)|(kpr)|(kdp)|(\|lc)|(penalty))" /e /r /s</v>
      </c>
      <c r="AG198" s="1" t="str">
        <f t="shared" si="53"/>
        <v>NW</v>
      </c>
      <c r="AH198" s="92" t="str">
        <f t="shared" si="54"/>
        <v>"%USERPROFILE%\Documents\GitHub\eaglep3\Utilities\RefineRTDCRunTimes.py" --tripid 840-28 --locoid 4032 --swversion DE.1.0.8.0 --startMP 300:58655 --initTime 2016-11-28T19:38:05 --startdatetime 2016-11-28T19:41:01 --delay 1 --endMP 204:678 --enddatetime 2016-11-28T19:55:03 --enforcementcount 0 &gt;&gt;C:\Users\stu\Documents\GitHub\eaglep3-reporting\EC\2016-11-28-refined-times.txt</v>
      </c>
      <c r="AI198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{"issue":{"subject":"","project_id":79,"tracker_id":40,"status_id":1,"priority_id":2,"assigned_to_id":23,"start_date":"2016-11-28","description":"","custom_fields":[{"id":1,"name":"Subdivision","value":"NW"},{"id":4,"name":"Milepost","value":"0.0678"},{"id":17,"name":"Train ID","value":"840-28"},{"id":16,"name":"Locomotive ID","value":"4032"},{"id":130,"name":"Impact","value":""},{"id":150,"name":"Time of Event (Mountain Time)","value":"19:55:03"},{"id":151,"name":"Denver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429</v>
      </c>
      <c r="B199" s="7">
        <v>4031</v>
      </c>
      <c r="C199" s="22" t="s">
        <v>212</v>
      </c>
      <c r="D199" s="22" t="s">
        <v>769</v>
      </c>
      <c r="E199" s="13">
        <v>42702.800891203704</v>
      </c>
      <c r="F199" s="13">
        <v>42702.806562500002</v>
      </c>
      <c r="G199" s="7">
        <v>2</v>
      </c>
      <c r="H199" s="22" t="s">
        <v>367</v>
      </c>
      <c r="I199" s="13">
        <v>42702.815787037034</v>
      </c>
      <c r="J199" s="7">
        <v>0</v>
      </c>
      <c r="K199" s="109" t="str">
        <f t="shared" si="41"/>
        <v>4031/4032</v>
      </c>
      <c r="L199" s="22" t="str">
        <f>VLOOKUP(A199,'Trips&amp;Operators'!$C$1:$E$10000,3,FALSE)</f>
        <v>DAVIS</v>
      </c>
      <c r="M199" s="6">
        <f t="shared" si="42"/>
        <v>9.2245370324235409E-3</v>
      </c>
      <c r="N199" s="7">
        <f t="shared" si="58"/>
        <v>13.283333326689899</v>
      </c>
      <c r="O199" s="7"/>
      <c r="P199" s="7"/>
      <c r="Q199" s="23"/>
      <c r="R199" s="23"/>
      <c r="S199" s="35">
        <f t="shared" si="59"/>
        <v>1</v>
      </c>
      <c r="T199" s="50" t="str">
        <f t="shared" si="43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18:13:17-700',mode:absolute,to:'2016-11-28 20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9" s="52" t="str">
        <f t="shared" si="45"/>
        <v>N</v>
      </c>
      <c r="X199" s="177">
        <f t="shared" si="46"/>
        <v>1</v>
      </c>
      <c r="Y199" s="67">
        <f t="shared" si="47"/>
        <v>9.6699999999999994E-2</v>
      </c>
      <c r="Z199" s="67">
        <f t="shared" si="48"/>
        <v>5.8956</v>
      </c>
      <c r="AA199" s="67">
        <f t="shared" si="49"/>
        <v>5.7988999999999997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50"/>
        <v>0841-28</v>
      </c>
      <c r="AE199" s="91" t="str">
        <f t="shared" si="51"/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AF199" s="88" t="str">
        <f t="shared" si="52"/>
        <v>"C:\Program Files (x86)\AstroGrep\AstroGrep.exe" /spath="%USERPROFILE%\AppData\Local\Temp\OnboardLogs" /stypes="app*4031*20161129*" /stext=" 02:.+((SYSTEM_STATE.+slice.+state.+changed )|(ment ac)|(multiple cpu faults)|(system.+state.+changed )|(\[timeout)|(PRM\|1\|D)|(kpr)|(kdp)|(\|lc)|(penalty))" /e /r /s</v>
      </c>
      <c r="AG199" s="1" t="str">
        <f t="shared" si="53"/>
        <v>NW</v>
      </c>
      <c r="AH199" s="92" t="str">
        <f t="shared" si="54"/>
        <v>"%USERPROFILE%\Documents\GitHub\eaglep3\Utilities\RefineRTDCRunTimes.py" --tripid 841-28 --locoid 4031 --swversion DE.1.0.8.0 --startMP 204:967 --initTime 2016-11-28T19:13:17 --startdatetime 2016-11-28T19:21:27 --delay 2 --endMP 300:58956 --enddatetime 2016-11-28T19:34:44 --enforcementcount 0 &gt;&gt;C:\Users\stu\Documents\GitHub\eaglep3-reporting\EC\2016-11-28-refined-times.txt</v>
      </c>
      <c r="AI199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{"issue":{"subject":"","project_id":79,"tracker_id":40,"status_id":1,"priority_id":2,"assigned_to_id":23,"start_date":"2016-11-28","description":"","custom_fields":[{"id":1,"name":"Subdivision","value":"NW"},{"id":4,"name":"Milepost","value":"5.8956"},{"id":17,"name":"Train ID","value":"841-28"},{"id":16,"name":"Locomotive ID","value":"4031"},{"id":130,"name":"Impact","value":""},{"id":150,"name":"Time of Event (Mountain Time)","value":"19:34:44"},{"id":151,"name":"Denver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7" t="s">
        <v>600</v>
      </c>
      <c r="B200" s="7">
        <v>4032</v>
      </c>
      <c r="C200" s="22" t="s">
        <v>212</v>
      </c>
      <c r="D200" s="22" t="s">
        <v>733</v>
      </c>
      <c r="E200" s="13">
        <v>42702.859432870369</v>
      </c>
      <c r="F200" s="13">
        <v>42702.860925925925</v>
      </c>
      <c r="G200" s="7">
        <v>1</v>
      </c>
      <c r="H200" s="22" t="s">
        <v>770</v>
      </c>
      <c r="I200" s="13">
        <v>42702.871435185189</v>
      </c>
      <c r="J200" s="7">
        <v>0</v>
      </c>
      <c r="K200" s="109" t="str">
        <f t="shared" si="41"/>
        <v>4031/4032</v>
      </c>
      <c r="L200" s="22" t="str">
        <f>VLOOKUP(A200,'Trips&amp;Operators'!$C$1:$E$10000,3,FALSE)</f>
        <v>DAVIS</v>
      </c>
      <c r="M200" s="6">
        <f t="shared" si="42"/>
        <v>1.0509259263926651E-2</v>
      </c>
      <c r="N200" s="7">
        <f t="shared" si="58"/>
        <v>15.133333340054378</v>
      </c>
      <c r="O200" s="7"/>
      <c r="P200" s="7"/>
      <c r="Q200" s="23"/>
      <c r="R200" s="23"/>
      <c r="S200" s="35">
        <f t="shared" si="59"/>
        <v>1</v>
      </c>
      <c r="T200" s="50" t="str">
        <f t="shared" si="43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19:37:35-700',mode:absolute,to:'2016-11-28 21:54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0" s="52" t="str">
        <f t="shared" si="45"/>
        <v>N</v>
      </c>
      <c r="X200" s="177">
        <f t="shared" si="46"/>
        <v>1</v>
      </c>
      <c r="Y200" s="67">
        <f t="shared" si="47"/>
        <v>5.8623000000000003</v>
      </c>
      <c r="Z200" s="67">
        <f t="shared" si="48"/>
        <v>7.0999999999999994E-2</v>
      </c>
      <c r="AA200" s="67">
        <f t="shared" si="49"/>
        <v>5.7913000000000006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50"/>
        <v>0842-28</v>
      </c>
      <c r="AE200" s="91" t="str">
        <f t="shared" si="51"/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AF200" s="88" t="str">
        <f t="shared" si="52"/>
        <v>"C:\Program Files (x86)\AstroGrep\AstroGrep.exe" /spath="%USERPROFILE%\AppData\Local\Temp\OnboardLogs" /stypes="app*4032*20161129*" /stext=" 03:.+((SYSTEM_STATE.+slice.+state.+changed )|(ment ac)|(multiple cpu faults)|(system.+state.+changed )|(\[timeout)|(PRM\|1\|D)|(kpr)|(kdp)|(\|lc)|(penalty))" /e /r /s</v>
      </c>
      <c r="AG200" s="1" t="str">
        <f t="shared" si="53"/>
        <v>NW</v>
      </c>
      <c r="AH200" s="92" t="str">
        <f t="shared" si="54"/>
        <v>"%USERPROFILE%\Documents\GitHub\eaglep3\Utilities\RefineRTDCRunTimes.py" --tripid 842-28 --locoid 4032 --swversion DE.1.0.8.0 --startMP 300:58623 --initTime 2016-11-28T20:37:35 --startdatetime 2016-11-28T20:39:44 --delay 1 --endMP 204:710 --enddatetime 2016-11-28T20:54:52 --enforcementcount 0 &gt;&gt;C:\Users\stu\Documents\GitHub\eaglep3-reporting\EC\2016-11-28-refined-times.txt</v>
      </c>
      <c r="AI200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{"issue":{"subject":"","project_id":79,"tracker_id":40,"status_id":1,"priority_id":2,"assigned_to_id":23,"start_date":"2016-11-28","description":"","custom_fields":[{"id":1,"name":"Subdivision","value":"NW"},{"id":4,"name":"Milepost","value":"0.071"},{"id":17,"name":"Train ID","value":"842-28"},{"id":16,"name":"Locomotive ID","value":"4032"},{"id":130,"name":"Impact","value":""},{"id":150,"name":"Time of Event (Mountain Time)","value":"20:54:52"},{"id":151,"name":"Denver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597</v>
      </c>
      <c r="B201" s="7">
        <v>4031</v>
      </c>
      <c r="C201" s="22" t="s">
        <v>212</v>
      </c>
      <c r="D201" s="22" t="s">
        <v>749</v>
      </c>
      <c r="E201" s="13">
        <v>42702.834386574075</v>
      </c>
      <c r="F201" s="13">
        <v>42702.848182870373</v>
      </c>
      <c r="G201" s="7">
        <v>1</v>
      </c>
      <c r="H201" s="22" t="s">
        <v>771</v>
      </c>
      <c r="I201" s="13">
        <v>42702.857766203706</v>
      </c>
      <c r="J201" s="7">
        <v>0</v>
      </c>
      <c r="K201" s="109" t="str">
        <f t="shared" si="41"/>
        <v>4031/4032</v>
      </c>
      <c r="L201" s="22" t="str">
        <f>VLOOKUP(A201,'Trips&amp;Operators'!$C$1:$E$10000,3,FALSE)</f>
        <v>DAVIS</v>
      </c>
      <c r="M201" s="6">
        <f t="shared" si="42"/>
        <v>9.5833333325572312E-3</v>
      </c>
      <c r="N201" s="7">
        <f t="shared" si="58"/>
        <v>13.799999998882413</v>
      </c>
      <c r="O201" s="7"/>
      <c r="P201" s="7"/>
      <c r="Q201" s="23"/>
      <c r="R201" s="23"/>
      <c r="S201" s="35">
        <f t="shared" si="59"/>
        <v>1</v>
      </c>
      <c r="T201" s="50" t="str">
        <f t="shared" si="43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19:01:31-700',mode:absolute,to:'2016-11-28 21:35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1" s="52" t="str">
        <f t="shared" si="45"/>
        <v>N</v>
      </c>
      <c r="X201" s="177">
        <f t="shared" si="46"/>
        <v>1</v>
      </c>
      <c r="Y201" s="67">
        <f t="shared" si="47"/>
        <v>9.74E-2</v>
      </c>
      <c r="Z201" s="67">
        <f t="shared" si="48"/>
        <v>5.8936999999999999</v>
      </c>
      <c r="AA201" s="67">
        <f t="shared" si="49"/>
        <v>5.7962999999999996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50"/>
        <v>0843-28</v>
      </c>
      <c r="AE201" s="91" t="str">
        <f t="shared" si="51"/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AF201" s="88" t="str">
        <f t="shared" si="52"/>
        <v>"C:\Program Files (x86)\AstroGrep\AstroGrep.exe" /spath="%USERPROFILE%\AppData\Local\Temp\OnboardLogs" /stypes="app*4031*20161129*" /stext=" 03:.+((SYSTEM_STATE.+slice.+state.+changed )|(ment ac)|(multiple cpu faults)|(system.+state.+changed )|(\[timeout)|(PRM\|1\|D)|(kpr)|(kdp)|(\|lc)|(penalty))" /e /r /s</v>
      </c>
      <c r="AG201" s="1" t="str">
        <f t="shared" si="53"/>
        <v>NW</v>
      </c>
      <c r="AH201" s="92" t="str">
        <f t="shared" si="54"/>
        <v>"%USERPROFILE%\Documents\GitHub\eaglep3\Utilities\RefineRTDCRunTimes.py" --tripid 843-28 --locoid 4031 --swversion DE.1.0.8.0 --startMP 204:974 --initTime 2016-11-28T20:01:31 --startdatetime 2016-11-28T20:21:23 --delay 1 --endMP 300:58937 --enddatetime 2016-11-28T20:35:11 --enforcementcount 0 &gt;&gt;C:\Users\stu\Documents\GitHub\eaglep3-reporting\EC\2016-11-28-refined-times.txt</v>
      </c>
      <c r="AI201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{"issue":{"subject":"","project_id":79,"tracker_id":40,"status_id":1,"priority_id":2,"assigned_to_id":23,"start_date":"2016-11-28","description":"","custom_fields":[{"id":1,"name":"Subdivision","value":"NW"},{"id":4,"name":"Milepost","value":"5.8937"},{"id":17,"name":"Train ID","value":"843-28"},{"id":16,"name":"Locomotive ID","value":"4031"},{"id":130,"name":"Impact","value":""},{"id":150,"name":"Time of Event (Mountain Time)","value":"20:35:11"},{"id":151,"name":"Denver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606</v>
      </c>
      <c r="B202" s="7">
        <v>4032</v>
      </c>
      <c r="C202" s="22" t="s">
        <v>212</v>
      </c>
      <c r="D202" s="22" t="s">
        <v>385</v>
      </c>
      <c r="E202" s="13">
        <v>42702.900439814817</v>
      </c>
      <c r="F202" s="13">
        <v>42702.902118055557</v>
      </c>
      <c r="G202" s="7">
        <v>1</v>
      </c>
      <c r="H202" s="22" t="s">
        <v>772</v>
      </c>
      <c r="I202" s="13">
        <v>42702.913263888891</v>
      </c>
      <c r="J202" s="7">
        <v>0</v>
      </c>
      <c r="K202" s="109" t="str">
        <f t="shared" si="41"/>
        <v>4031/4032</v>
      </c>
      <c r="L202" s="22" t="str">
        <f>VLOOKUP(A202,'Trips&amp;Operators'!$C$1:$E$10000,3,FALSE)</f>
        <v>COOLAHAN</v>
      </c>
      <c r="M202" s="6">
        <f t="shared" si="42"/>
        <v>1.1145833334012423E-2</v>
      </c>
      <c r="N202" s="7">
        <f t="shared" si="58"/>
        <v>16.050000000977889</v>
      </c>
      <c r="O202" s="7"/>
      <c r="P202" s="7"/>
      <c r="Q202" s="23"/>
      <c r="R202" s="23"/>
      <c r="S202" s="35">
        <f t="shared" si="59"/>
        <v>1</v>
      </c>
      <c r="T202" s="50" t="str">
        <f t="shared" si="43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20:36:38-700',mode:absolute,to:'2016-11-28 22:55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2" s="52" t="str">
        <f t="shared" si="45"/>
        <v>N</v>
      </c>
      <c r="X202" s="177">
        <f t="shared" si="46"/>
        <v>1</v>
      </c>
      <c r="Y202" s="67">
        <f t="shared" si="47"/>
        <v>5.8639999999999999</v>
      </c>
      <c r="Z202" s="67">
        <f t="shared" si="48"/>
        <v>6.6100000000000006E-2</v>
      </c>
      <c r="AA202" s="67">
        <f t="shared" si="49"/>
        <v>5.7979000000000003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50"/>
        <v>0844-28</v>
      </c>
      <c r="AE202" s="91" t="str">
        <f t="shared" si="51"/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AF202" s="88" t="str">
        <f t="shared" si="52"/>
        <v>"C:\Program Files (x86)\AstroGrep\AstroGrep.exe" /spath="%USERPROFILE%\AppData\Local\Temp\OnboardLogs" /stypes="app*4032*20161129*" /stext=" 04:.+((SYSTEM_STATE.+slice.+state.+changed )|(ment ac)|(multiple cpu faults)|(system.+state.+changed )|(\[timeout)|(PRM\|1\|D)|(kpr)|(kdp)|(\|lc)|(penalty))" /e /r /s</v>
      </c>
      <c r="AG202" s="1" t="str">
        <f t="shared" si="53"/>
        <v>NW</v>
      </c>
      <c r="AH202" s="92" t="str">
        <f t="shared" si="54"/>
        <v>"%USERPROFILE%\Documents\GitHub\eaglep3\Utilities\RefineRTDCRunTimes.py" --tripid 844-28 --locoid 4032 --swversion DE.1.0.8.0 --startMP 300:58640 --initTime 2016-11-28T21:36:38 --startdatetime 2016-11-28T21:39:03 --delay 1 --endMP 204:661 --enddatetime 2016-11-28T21:55:06 --enforcementcount 0 &gt;&gt;C:\Users\stu\Documents\GitHub\eaglep3-reporting\EC\2016-11-28-refined-times.txt</v>
      </c>
      <c r="AI202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{"issue":{"subject":"","project_id":79,"tracker_id":40,"status_id":1,"priority_id":2,"assigned_to_id":23,"start_date":"2016-11-28","description":"","custom_fields":[{"id":1,"name":"Subdivision","value":"NW"},{"id":4,"name":"Milepost","value":"0.0661"},{"id":17,"name":"Train ID","value":"844-28"},{"id":16,"name":"Locomotive ID","value":"4032"},{"id":130,"name":"Impact","value":""},{"id":150,"name":"Time of Event (Mountain Time)","value":"21:55:06"},{"id":151,"name":"Denver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431</v>
      </c>
      <c r="B203" s="7">
        <v>4031</v>
      </c>
      <c r="C203" s="22" t="s">
        <v>212</v>
      </c>
      <c r="D203" s="22" t="s">
        <v>773</v>
      </c>
      <c r="E203" s="13">
        <v>42702.885358796295</v>
      </c>
      <c r="F203" s="13">
        <v>42702.889907407407</v>
      </c>
      <c r="G203" s="7">
        <v>2</v>
      </c>
      <c r="H203" s="22" t="s">
        <v>369</v>
      </c>
      <c r="I203" s="13">
        <v>42702.899537037039</v>
      </c>
      <c r="J203" s="7">
        <v>0</v>
      </c>
      <c r="K203" s="109" t="str">
        <f t="shared" si="41"/>
        <v>4031/4032</v>
      </c>
      <c r="L203" s="22" t="str">
        <f>VLOOKUP(A203,'Trips&amp;Operators'!$C$1:$E$10000,3,FALSE)</f>
        <v>COOLAHAN</v>
      </c>
      <c r="M203" s="6">
        <f t="shared" si="42"/>
        <v>9.6296296323998831E-3</v>
      </c>
      <c r="N203" s="7">
        <f t="shared" si="58"/>
        <v>13.866666670655832</v>
      </c>
      <c r="O203" s="7"/>
      <c r="P203" s="7"/>
      <c r="Q203" s="23"/>
      <c r="R203" s="23"/>
      <c r="S203" s="35">
        <f t="shared" si="59"/>
        <v>1</v>
      </c>
      <c r="T203" s="50" t="str">
        <f t="shared" si="43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https://search-rtdc-monitor-bjffxe2xuh6vdkpspy63sjmuny.us-east-1.es.amazonaws.com/_plugin/kibana/#/discover/Steve-Slow-Train-Analysis-(2080s-and-2083s)?_g=(refreshInterval:(display:Off,section:0,value:0),time:(from:'2016-11-28 20:14:55-700',mode:absolute,to:'2016-11-28 22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3" s="52" t="str">
        <f t="shared" si="45"/>
        <v>N</v>
      </c>
      <c r="X203" s="177">
        <f t="shared" si="46"/>
        <v>1</v>
      </c>
      <c r="Y203" s="67">
        <f t="shared" si="47"/>
        <v>9.9000000000000005E-2</v>
      </c>
      <c r="Z203" s="67">
        <f t="shared" si="48"/>
        <v>5.8963000000000001</v>
      </c>
      <c r="AA203" s="67">
        <f t="shared" si="49"/>
        <v>5.7972999999999999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50"/>
        <v>0845-28</v>
      </c>
      <c r="AE203" s="91" t="str">
        <f t="shared" si="51"/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AF203" s="88" t="str">
        <f t="shared" si="52"/>
        <v>"C:\Program Files (x86)\AstroGrep\AstroGrep.exe" /spath="%USERPROFILE%\AppData\Local\Temp\OnboardLogs" /stypes="app*4031*20161129*" /stext=" 04:.+((SYSTEM_STATE.+slice.+state.+changed )|(ment ac)|(multiple cpu faults)|(system.+state.+changed )|(\[timeout)|(PRM\|1\|D)|(kpr)|(kdp)|(\|lc)|(penalty))" /e /r /s</v>
      </c>
      <c r="AG203" s="1" t="str">
        <f t="shared" si="53"/>
        <v>NW</v>
      </c>
      <c r="AH203" s="92" t="str">
        <f t="shared" si="54"/>
        <v>"%USERPROFILE%\Documents\GitHub\eaglep3\Utilities\RefineRTDCRunTimes.py" --tripid 845-28 --locoid 4031 --swversion DE.1.0.8.0 --startMP 204:990 --initTime 2016-11-28T21:14:55 --startdatetime 2016-11-28T21:21:28 --delay 2 --endMP 300:58963 --enddatetime 2016-11-28T21:35:20 --enforcementcount 0 &gt;&gt;C:\Users\stu\Documents\GitHub\eaglep3-reporting\EC\2016-11-28-refined-times.txt</v>
      </c>
      <c r="AI203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{"issue":{"subject":"","project_id":79,"tracker_id":40,"status_id":1,"priority_id":2,"assigned_to_id":23,"start_date":"2016-11-28","description":"","custom_fields":[{"id":1,"name":"Subdivision","value":"NW"},{"id":4,"name":"Milepost","value":"5.8963"},{"id":17,"name":"Train ID","value":"845-28"},{"id":16,"name":"Locomotive ID","value":"4031"},{"id":130,"name":"Impact","value":""},{"id":150,"name":"Time of Event (Mountain Time)","value":"21:35:20"},{"id":151,"name":"Denver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609</v>
      </c>
      <c r="B204" s="7">
        <v>4031</v>
      </c>
      <c r="C204" s="22" t="s">
        <v>212</v>
      </c>
      <c r="D204" s="22" t="s">
        <v>316</v>
      </c>
      <c r="E204" s="13">
        <v>42702.927175925928</v>
      </c>
      <c r="F204" s="13">
        <v>42702.931550925925</v>
      </c>
      <c r="G204" s="7">
        <v>1</v>
      </c>
      <c r="H204" s="22" t="s">
        <v>754</v>
      </c>
      <c r="I204" s="13">
        <v>42702.941203703704</v>
      </c>
      <c r="J204" s="7">
        <v>0</v>
      </c>
      <c r="K204" s="109" t="str">
        <f t="shared" ref="K204:K231" si="60">IF(ISEVEN(B204),(B204-1)&amp;"/"&amp;B204,B204&amp;"/"&amp;(B204+1))</f>
        <v>4031/4032</v>
      </c>
      <c r="L204" s="22" t="str">
        <f>VLOOKUP(A204,'Trips&amp;Operators'!$C$1:$E$10000,3,FALSE)</f>
        <v>COOLAHAN</v>
      </c>
      <c r="M204" s="6">
        <f t="shared" ref="M204:M231" si="61">I204-F204</f>
        <v>9.6527777786832303E-3</v>
      </c>
      <c r="N204" s="7">
        <f t="shared" si="58"/>
        <v>13.900000001303852</v>
      </c>
      <c r="O204" s="7"/>
      <c r="P204" s="7"/>
      <c r="Q204" s="23"/>
      <c r="R204" s="23"/>
      <c r="S204" s="35">
        <f t="shared" si="59"/>
        <v>1</v>
      </c>
      <c r="T204" s="50" t="str">
        <f t="shared" ref="T204:T231" si="62">IF(ISEVEN(LEFT(AD204,4)),"Southbound","NorthBound")</f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ref="V204:V231" si="63">"https://search-rtdc-monitor-bjffxe2xuh6vdkpspy63sjmuny.us-east-1.es.amazonaws.com/_plugin/kibana/#/discover/Steve-Slow-Train-Analysis-(2080s-and-2083s)?_g=(refreshInterval:(display:Off,section:0,value:0),time:(from:'"&amp;TEXT(E204-1/24,"yyyy-MM-DD hh:mm:ss")&amp;utc_offset&amp;"00',mode:absolute,to:'"&amp;TEXT(I204+1/24,"yyyy-MM-DD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https://search-rtdc-monitor-bjffxe2xuh6vdkpspy63sjmuny.us-east-1.es.amazonaws.com/_plugin/kibana/#/discover/Steve-Slow-Train-Analysis-(2080s-and-2083s)?_g=(refreshInterval:(display:Off,section:0,value:0),time:(from:'2016-11-28 21:15:08-700',mode:absolute,to:'2016-11-28 23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4" s="52" t="str">
        <f t="shared" ref="W204:W231" si="64">IF(AA204&lt;IF(AG204="EC",23,5.65),"Y","N")</f>
        <v>N</v>
      </c>
      <c r="X204" s="177">
        <f t="shared" ref="X204:X231" si="65">VALUE(LEFT(AD204,4))-VALUE(LEFT(AD203,4))</f>
        <v>2</v>
      </c>
      <c r="Y204" s="67">
        <f t="shared" ref="Y204:Y231" si="66">RIGHT(D204,LEN(D204)-4)/10000</f>
        <v>9.6500000000000002E-2</v>
      </c>
      <c r="Z204" s="67">
        <f t="shared" ref="Z204:Z231" si="67">RIGHT(H204,LEN(H204)-4)/10000</f>
        <v>5.8945999999999996</v>
      </c>
      <c r="AA204" s="67">
        <f t="shared" ref="AA204:AA231" si="68">ABS(Z204-Y204)</f>
        <v>5.7980999999999998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ref="AD204:AD231" si="69">IF(LEN(A204)=6,"0"&amp;A204,A204)</f>
        <v>0847-28</v>
      </c>
      <c r="AE204" s="91" t="str">
        <f t="shared" ref="AE204:AE231" si="70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AF204" s="88" t="str">
        <f t="shared" ref="AF204:AF231" si="71"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/stypes="app*4031*20161129*" /stext=" 05:.+((SYSTEM_STATE.+slice.+state.+changed )|(ment ac)|(multiple cpu faults)|(system.+state.+changed )|(\[timeout)|(PRM\|1\|D)|(kpr)|(kdp)|(\|lc)|(penalty))" /e /r /s</v>
      </c>
      <c r="AG204" s="1" t="str">
        <f t="shared" ref="AG204:AG231" si="72">IFERROR(IF(VALUE(LEFT(AD204,2))&lt;=2,"EC",IF(OR(VALUE(LEFT(AD204,2))=8,VALUE(LEFT(AD204,2))=18),"NW","Other")),"Other")</f>
        <v>NW</v>
      </c>
      <c r="AH204" s="92" t="str">
        <f t="shared" si="54"/>
        <v>"%USERPROFILE%\Documents\GitHub\eaglep3\Utilities\RefineRTDCRunTimes.py" --tripid 847-28 --locoid 4031 --swversion DE.1.0.8.0 --startMP 204:965 --initTime 2016-11-28T22:15:08 --startdatetime 2016-11-28T22:21:26 --delay 1 --endMP 300:58946 --enddatetime 2016-11-28T22:35:20 --enforcementcount 0 &gt;&gt;C:\Users\stu\Documents\GitHub\eaglep3-reporting\EC\2016-11-28-refined-times.txt</v>
      </c>
      <c r="AI204" s="119" t="str">
        <f t="shared" si="55"/>
        <v>echo {"issue":{"subject":"","project_id":79,"tracker_id":40,"status_id":1,"priority_id":2,"assigned_to_id":23,"start_date":"2016-11-28","description":"","custom_fields":[{"id":1,"name":"Subdivision","value":"NW"},{"id":4,"name":"Milepost","value":"5.8946"},{"id":17,"name":"Train ID","value":"847-28"},{"id":16,"name":"Locomotive ID","value":"4031"},{"id":130,"name":"Impact","value":""},{"id":150,"name":"Time of Event (Mountain Time)","value":"22:35:20"},{"id":151,"name":"Denver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433</v>
      </c>
      <c r="B205" s="7">
        <v>4013</v>
      </c>
      <c r="C205" s="22" t="s">
        <v>212</v>
      </c>
      <c r="D205" s="22" t="s">
        <v>685</v>
      </c>
      <c r="E205" s="13">
        <v>42702.118055555555</v>
      </c>
      <c r="F205" s="13">
        <v>42702.119618055556</v>
      </c>
      <c r="G205" s="7">
        <v>1</v>
      </c>
      <c r="H205" s="22" t="s">
        <v>214</v>
      </c>
      <c r="I205" s="13">
        <v>42702.126793981479</v>
      </c>
      <c r="J205" s="7">
        <v>0</v>
      </c>
      <c r="K205" s="109" t="str">
        <f t="shared" si="60"/>
        <v>4013/4014</v>
      </c>
      <c r="L205" s="22" t="str">
        <f>VLOOKUP(A205,'Trips&amp;Operators'!$C$1:$E$10000,3,FALSE)</f>
        <v>KILLION</v>
      </c>
      <c r="M205" s="6">
        <f t="shared" si="61"/>
        <v>7.175925922638271E-3</v>
      </c>
      <c r="N205" s="7">
        <f t="shared" si="58"/>
        <v>10.33333332859911</v>
      </c>
      <c r="O205" s="7"/>
      <c r="P205" s="7"/>
      <c r="Q205" s="23"/>
      <c r="R205" s="23"/>
      <c r="S205" s="35">
        <f t="shared" si="59"/>
        <v>1</v>
      </c>
      <c r="T205" s="50" t="str">
        <f t="shared" si="62"/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01:50:00-700',mode:absolute,to:'2016-11-28 04:02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5" s="52" t="str">
        <f t="shared" si="64"/>
        <v>Y</v>
      </c>
      <c r="X205" s="177">
        <f t="shared" si="65"/>
        <v>-545</v>
      </c>
      <c r="Y205" s="67">
        <f t="shared" si="66"/>
        <v>2.3090999999999999</v>
      </c>
      <c r="Z205" s="67">
        <f t="shared" si="67"/>
        <v>1.5800000000000002E-2</v>
      </c>
      <c r="AA205" s="67">
        <f t="shared" si="68"/>
        <v>2.2932999999999999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si="69"/>
        <v>0302-28</v>
      </c>
      <c r="AE205" s="91" t="str">
        <f t="shared" si="70"/>
        <v>aws s3 cp s3://rtdc.mdm.uploadarchive.raw/RTDC4013/ "%USERPROFILE%\AppData\Local\Temp\OnboardLogs"\RTDC4013\2016-11-28 --exclude "*" --recursive --include "*20161128*" &amp; "%USERPROFILE%\Documents\GitHub\mrs-test-scripts\Headless Mode &amp; Sideloading\WalkAndUnGZ.bat" "%USERPROFILE%\AppData\Local\Temp\OnboardLogs"\RTDC4013\2016-11-28 &amp; 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</v>
      </c>
      <c r="AF205" s="88" t="str">
        <f t="shared" si="71"/>
        <v>"C:\Program Files (x86)\AstroGrep\AstroGrep.exe" /spath="%USERPROFILE%\AppData\Local\Temp\OnboardLogs" /stypes="app*4013*20161128*" /stext=" 10:.+((SYSTEM_STATE.+slice.+state.+changed )|(ment ac)|(multiple cpu faults)|(system.+state.+changed )|(\[timeout)|(PRM\|1\|D)|(kpr)|(kdp)|(\|lc)|(penalty))" /e /r /s</v>
      </c>
      <c r="AG205" s="1" t="str">
        <f t="shared" si="72"/>
        <v>Other</v>
      </c>
      <c r="AH205" s="92" t="str">
        <f t="shared" ref="AH205:AH231" si="73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302-28 --locoid 4013 --swversion DE.1.0.8.0 --startMP 300:23091 --initTime 2016-11-28T02:50:00 --startdatetime 2016-11-28T02:52:15 --delay 1 --endMP 204:158 --enddatetime 2016-11-28T03:02:35 --enforcementcount 0 &gt;&gt;C:\Users\stu\Documents\GitHub\eaglep3-reporting\EC\2016-11-28-refined-times.txt</v>
      </c>
      <c r="AI205" s="119" t="str">
        <f t="shared" ref="AI205:AI231" si="74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{"issue":{"subject":"","project_id":79,"tracker_id":40,"status_id":1,"priority_id":2,"assigned_to_id":23,"start_date":"2016-11-28","description":"","custom_fields":[{"id":1,"name":"Subdivision","value":"Other"},{"id":4,"name":"Milepost","value":"0.0158"},{"id":17,"name":"Train ID","value":"302-28"},{"id":16,"name":"Locomotive ID","value":"4013"},{"id":130,"name":"Impact","value":""},{"id":150,"name":"Time of Event (Mountain Time)","value":"03:02:35"},{"id":151,"name":"Denver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587</v>
      </c>
      <c r="B206" s="7">
        <v>4016</v>
      </c>
      <c r="C206" s="22" t="s">
        <v>212</v>
      </c>
      <c r="D206" s="22" t="s">
        <v>283</v>
      </c>
      <c r="E206" s="13">
        <v>42702.782546296294</v>
      </c>
      <c r="F206" s="13">
        <v>25568.708333333332</v>
      </c>
      <c r="G206" s="7">
        <v>1</v>
      </c>
      <c r="H206" s="22" t="s">
        <v>380</v>
      </c>
      <c r="I206" s="13">
        <v>25568.708333333332</v>
      </c>
      <c r="J206" s="7">
        <v>0</v>
      </c>
      <c r="K206" s="109" t="str">
        <f t="shared" si="60"/>
        <v>4015/4016</v>
      </c>
      <c r="L206" s="22" t="str">
        <f>VLOOKUP(A206,'Trips&amp;Operators'!$C$1:$E$10000,3,FALSE)</f>
        <v>CLARK</v>
      </c>
      <c r="M206" s="6">
        <f t="shared" si="61"/>
        <v>0</v>
      </c>
      <c r="N206" s="7">
        <f t="shared" si="58"/>
        <v>0</v>
      </c>
      <c r="O206" s="7"/>
      <c r="P206" s="7"/>
      <c r="Q206" s="23"/>
      <c r="R206" s="23"/>
      <c r="S206" s="35">
        <f t="shared" si="59"/>
        <v>1</v>
      </c>
      <c r="T206" s="50" t="str">
        <f t="shared" si="62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17:46:52-700',mode:absolute,to:'1969-12-31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6" s="52" t="str">
        <f t="shared" si="64"/>
        <v>Y</v>
      </c>
      <c r="X206" s="177">
        <f t="shared" si="65"/>
        <v>1</v>
      </c>
      <c r="Y206" s="67">
        <f t="shared" si="66"/>
        <v>4.6699999999999998E-2</v>
      </c>
      <c r="Z206" s="67">
        <f t="shared" si="67"/>
        <v>2.3311999999999999</v>
      </c>
      <c r="AA206" s="67">
        <f t="shared" si="68"/>
        <v>2.2845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69"/>
        <v>0303-28</v>
      </c>
      <c r="AE206" s="91" t="str">
        <f t="shared" si="70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6" s="88" t="str">
        <f t="shared" si="71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06" s="1" t="str">
        <f t="shared" si="72"/>
        <v>Other</v>
      </c>
      <c r="AH206" s="92" t="str">
        <f t="shared" si="73"/>
        <v>"%USERPROFILE%\Documents\GitHub\eaglep3\Utilities\RefineRTDCRunTimes.py" --tripid 303-28 --locoid 4016 --swversion DE.1.0.8.0 --startMP 204:467 --initTime 2016-11-28T18:46:52 --startdatetime 1969-12-31T17:00:00 --delay 1 --endMP 300:23312 --enddatetime 1969-12-31T17:00:00 --enforcementcount 0 &gt;&gt;C:\Users\stu\Documents\GitHub\eaglep3-reporting\EC\2016-11-28-refined-times.txt</v>
      </c>
      <c r="AI206" s="119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ID","value":"303-28"},{"id":16,"name":"Locomotive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391</v>
      </c>
      <c r="B207" s="7">
        <v>4039</v>
      </c>
      <c r="C207" s="22" t="s">
        <v>212</v>
      </c>
      <c r="D207" s="22" t="s">
        <v>686</v>
      </c>
      <c r="E207" s="13">
        <v>42702.140601851854</v>
      </c>
      <c r="F207" s="13">
        <v>42702.142118055555</v>
      </c>
      <c r="G207" s="7">
        <v>1</v>
      </c>
      <c r="H207" s="22" t="s">
        <v>332</v>
      </c>
      <c r="I207" s="13">
        <v>42702.148252314815</v>
      </c>
      <c r="J207" s="7">
        <v>0</v>
      </c>
      <c r="K207" s="109" t="str">
        <f t="shared" si="60"/>
        <v>4039/4040</v>
      </c>
      <c r="L207" s="22" t="str">
        <f>VLOOKUP(A207,'Trips&amp;Operators'!$C$1:$E$10000,3,FALSE)</f>
        <v>MAGEE</v>
      </c>
      <c r="M207" s="6">
        <f t="shared" si="61"/>
        <v>6.1342592598521151E-3</v>
      </c>
      <c r="N207" s="7">
        <f t="shared" si="58"/>
        <v>8.8333333341870457</v>
      </c>
      <c r="O207" s="7"/>
      <c r="P207" s="7"/>
      <c r="Q207" s="23"/>
      <c r="R207" s="23"/>
      <c r="S207" s="35">
        <f t="shared" si="59"/>
        <v>1</v>
      </c>
      <c r="T207" s="50" t="str">
        <f t="shared" si="62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02:22:28-700',mode:absolute,to:'2016-11-28 04:33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7" s="52" t="str">
        <f t="shared" si="64"/>
        <v>Y</v>
      </c>
      <c r="X207" s="177">
        <f t="shared" si="65"/>
        <v>1</v>
      </c>
      <c r="Y207" s="67">
        <f t="shared" si="66"/>
        <v>2.3117999999999999</v>
      </c>
      <c r="Z207" s="67">
        <f t="shared" si="67"/>
        <v>1.7000000000000001E-2</v>
      </c>
      <c r="AA207" s="67">
        <f t="shared" si="68"/>
        <v>2.2948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69"/>
        <v>0304-28</v>
      </c>
      <c r="AE207" s="91" t="str">
        <f t="shared" si="70"/>
        <v>aws s3 cp s3://rtdc.mdm.uploadarchive.raw/RTDC4039/ "%USERPROFILE%\AppData\Local\Temp\OnboardLogs"\RTDC4039\2016-11-28 --exclude "*" --recursive --include "*20161128*" &amp; "%USERPROFILE%\Documents\GitHub\mrs-test-scripts\Headless Mode &amp; Sideloading\WalkAndUnGZ.bat" "%USERPROFILE%\AppData\Local\Temp\OnboardLogs"\RTDC4039\2016-11-28 &amp; 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</v>
      </c>
      <c r="AF207" s="88" t="str">
        <f t="shared" si="71"/>
        <v>"C:\Program Files (x86)\AstroGrep\AstroGrep.exe" /spath="%USERPROFILE%\AppData\Local\Temp\OnboardLogs" /stypes="app*4039*20161128*" /stext=" 10:.+((SYSTEM_STATE.+slice.+state.+changed )|(ment ac)|(multiple cpu faults)|(system.+state.+changed )|(\[timeout)|(PRM\|1\|D)|(kpr)|(kdp)|(\|lc)|(penalty))" /e /r /s</v>
      </c>
      <c r="AG207" s="1" t="str">
        <f t="shared" si="72"/>
        <v>Other</v>
      </c>
      <c r="AH207" s="92" t="str">
        <f t="shared" si="73"/>
        <v>"%USERPROFILE%\Documents\GitHub\eaglep3\Utilities\RefineRTDCRunTimes.py" --tripid 304-28 --locoid 4039 --swversion DE.1.0.8.0 --startMP 300:23118 --initTime 2016-11-28T03:22:28 --startdatetime 2016-11-28T03:24:39 --delay 1 --endMP 204:170 --enddatetime 2016-11-28T03:33:29 --enforcementcount 0 &gt;&gt;C:\Users\stu\Documents\GitHub\eaglep3-reporting\EC\2016-11-28-refined-times.txt</v>
      </c>
      <c r="AI207" s="119" t="str">
        <f t="shared" si="74"/>
        <v>echo {"issue":{"subject":"","project_id":79,"tracker_id":40,"status_id":1,"priority_id":2,"assigned_to_id":23,"start_date":"2016-11-28","description":"","custom_fields":[{"id":1,"name":"Subdivision","value":"Other"},{"id":4,"name":"Milepost","value":"0.017"},{"id":17,"name":"Train ID","value":"304-28"},{"id":16,"name":"Locomotive ID","value":"4039"},{"id":130,"name":"Impact","value":""},{"id":150,"name":"Time of Event (Mountain Time)","value":"03:33:29"},{"id":151,"name":"Denver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591</v>
      </c>
      <c r="B208" s="7">
        <v>4014</v>
      </c>
      <c r="C208" s="22" t="s">
        <v>212</v>
      </c>
      <c r="D208" s="22" t="s">
        <v>195</v>
      </c>
      <c r="E208" s="13">
        <v>42702.799907407411</v>
      </c>
      <c r="F208" s="13">
        <v>42702.804050925923</v>
      </c>
      <c r="G208" s="7">
        <v>1</v>
      </c>
      <c r="H208" s="22" t="s">
        <v>687</v>
      </c>
      <c r="I208" s="13">
        <v>42702.810057870367</v>
      </c>
      <c r="J208" s="7">
        <v>0</v>
      </c>
      <c r="K208" s="109" t="str">
        <f t="shared" si="60"/>
        <v>4013/4014</v>
      </c>
      <c r="L208" s="22" t="str">
        <f>VLOOKUP(A208,'Trips&amp;Operators'!$C$1:$E$10000,3,FALSE)</f>
        <v>YOUNG</v>
      </c>
      <c r="M208" s="6">
        <f t="shared" si="61"/>
        <v>6.0069444443797693E-3</v>
      </c>
      <c r="N208" s="7">
        <f t="shared" si="58"/>
        <v>8.6499999999068677</v>
      </c>
      <c r="O208" s="7"/>
      <c r="P208" s="7"/>
      <c r="Q208" s="23"/>
      <c r="R208" s="23"/>
      <c r="S208" s="35">
        <f t="shared" si="59"/>
        <v>1</v>
      </c>
      <c r="T208" s="50" t="str">
        <f t="shared" si="62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18:11:52-700',mode:absolute,to:'2016-11-28 20:26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8" s="52" t="str">
        <f t="shared" si="64"/>
        <v>Y</v>
      </c>
      <c r="X208" s="177">
        <f t="shared" si="65"/>
        <v>1</v>
      </c>
      <c r="Y208" s="67">
        <f t="shared" si="66"/>
        <v>4.53E-2</v>
      </c>
      <c r="Z208" s="67">
        <f t="shared" si="67"/>
        <v>2.2854000000000001</v>
      </c>
      <c r="AA208" s="67">
        <f t="shared" si="68"/>
        <v>2.2401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69"/>
        <v>0305-28</v>
      </c>
      <c r="AE208" s="91" t="str">
        <f t="shared" si="70"/>
        <v>aws s3 cp s3://rtdc.mdm.uploadarchive.raw/RTDC4014/ "%USERPROFILE%\AppData\Local\Temp\OnboardLogs"\RTDC4014\2016-11-28 --exclude "*" --recursive --include "*20161128*" &amp; "%USERPROFILE%\Documents\GitHub\mrs-test-scripts\Headless Mode &amp; Sideloading\WalkAndUnGZ.bat" "%USERPROFILE%\AppData\Local\Temp\OnboardLogs"\RTDC4014\2016-11-28 &amp; 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</v>
      </c>
      <c r="AF208" s="88" t="str">
        <f t="shared" si="71"/>
        <v>"C:\Program Files (x86)\AstroGrep\AstroGrep.exe" /spath="%USERPROFILE%\AppData\Local\Temp\OnboardLogs" /stypes="app*4014*20161129*" /stext=" 02:.+((SYSTEM_STATE.+slice.+state.+changed )|(ment ac)|(multiple cpu faults)|(system.+state.+changed )|(\[timeout)|(PRM\|1\|D)|(kpr)|(kdp)|(\|lc)|(penalty))" /e /r /s</v>
      </c>
      <c r="AG208" s="1" t="str">
        <f t="shared" si="72"/>
        <v>Other</v>
      </c>
      <c r="AH208" s="92" t="str">
        <f t="shared" si="73"/>
        <v>"%USERPROFILE%\Documents\GitHub\eaglep3\Utilities\RefineRTDCRunTimes.py" --tripid 305-28 --locoid 4014 --swversion DE.1.0.8.0 --startMP 204:453 --initTime 2016-11-28T19:11:52 --startdatetime 2016-11-28T19:17:50 --delay 1 --endMP 300:22854 --enddatetime 2016-11-28T19:26:29 --enforcementcount 0 &gt;&gt;C:\Users\stu\Documents\GitHub\eaglep3-reporting\EC\2016-11-28-refined-times.txt</v>
      </c>
      <c r="AI208" s="119" t="str">
        <f t="shared" si="74"/>
        <v>echo {"issue":{"subject":"","project_id":79,"tracker_id":40,"status_id":1,"priority_id":2,"assigned_to_id":23,"start_date":"2016-11-28","description":"","custom_fields":[{"id":1,"name":"Subdivision","value":"Other"},{"id":4,"name":"Milepost","value":"2.2854"},{"id":17,"name":"Train ID","value":"305-28"},{"id":16,"name":"Locomotive ID","value":"4014"},{"id":130,"name":"Impact","value":""},{"id":150,"name":"Time of Event (Mountain Time)","value":"19:26:29"},{"id":151,"name":"Denver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436</v>
      </c>
      <c r="B209" s="7">
        <v>4041</v>
      </c>
      <c r="C209" s="22" t="s">
        <v>212</v>
      </c>
      <c r="D209" s="22" t="s">
        <v>688</v>
      </c>
      <c r="E209" s="13">
        <v>42702.155532407407</v>
      </c>
      <c r="F209" s="13">
        <v>42702.157048611109</v>
      </c>
      <c r="G209" s="7">
        <v>1</v>
      </c>
      <c r="H209" s="22" t="s">
        <v>259</v>
      </c>
      <c r="I209" s="13">
        <v>42702.163391203707</v>
      </c>
      <c r="J209" s="7">
        <v>0</v>
      </c>
      <c r="K209" s="109" t="str">
        <f t="shared" si="60"/>
        <v>4041/4042</v>
      </c>
      <c r="L209" s="22" t="str">
        <f>VLOOKUP(A209,'Trips&amp;Operators'!$C$1:$E$10000,3,FALSE)</f>
        <v>PERKINS</v>
      </c>
      <c r="M209" s="6">
        <f t="shared" si="61"/>
        <v>6.3425925982301123E-3</v>
      </c>
      <c r="N209" s="7">
        <f t="shared" si="58"/>
        <v>9.1333333414513618</v>
      </c>
      <c r="O209" s="7"/>
      <c r="P209" s="7"/>
      <c r="Q209" s="23"/>
      <c r="R209" s="23"/>
      <c r="S209" s="35">
        <f t="shared" si="59"/>
        <v>1</v>
      </c>
      <c r="T209" s="50" t="str">
        <f t="shared" si="62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02:43:58-700',mode:absolute,to:'2016-11-28 04:55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9" s="52" t="str">
        <f t="shared" si="64"/>
        <v>Y</v>
      </c>
      <c r="X209" s="177">
        <f t="shared" si="65"/>
        <v>1</v>
      </c>
      <c r="Y209" s="67">
        <f t="shared" si="66"/>
        <v>2.2787000000000002</v>
      </c>
      <c r="Z209" s="67">
        <f t="shared" si="67"/>
        <v>1.3899999999999999E-2</v>
      </c>
      <c r="AA209" s="67">
        <f t="shared" si="68"/>
        <v>2.2648000000000001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69"/>
        <v>0306-28</v>
      </c>
      <c r="AE209" s="91" t="str">
        <f t="shared" si="70"/>
        <v>aws s3 cp s3://rtdc.mdm.uploadarchive.raw/RTDC4041/ "%USERPROFILE%\AppData\Local\Temp\OnboardLogs"\RTDC4041\2016-11-28 --exclude "*" --recursive --include "*20161128*" &amp; "%USERPROFILE%\Documents\GitHub\mrs-test-scripts\Headless Mode &amp; Sideloading\WalkAndUnGZ.bat" "%USERPROFILE%\AppData\Local\Temp\OnboardLogs"\RTDC4041\2016-11-28 &amp; 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</v>
      </c>
      <c r="AF209" s="88" t="str">
        <f t="shared" si="71"/>
        <v>"C:\Program Files (x86)\AstroGrep\AstroGrep.exe" /spath="%USERPROFILE%\AppData\Local\Temp\OnboardLogs" /stypes="app*4041*20161128*" /stext=" 10:.+((SYSTEM_STATE.+slice.+state.+changed )|(ment ac)|(multiple cpu faults)|(system.+state.+changed )|(\[timeout)|(PRM\|1\|D)|(kpr)|(kdp)|(\|lc)|(penalty))" /e /r /s</v>
      </c>
      <c r="AG209" s="1" t="str">
        <f t="shared" si="72"/>
        <v>Other</v>
      </c>
      <c r="AH209" s="92" t="str">
        <f t="shared" si="73"/>
        <v>"%USERPROFILE%\Documents\GitHub\eaglep3\Utilities\RefineRTDCRunTimes.py" --tripid 306-28 --locoid 4041 --swversion DE.1.0.8.0 --startMP 300:22787 --initTime 2016-11-28T03:43:58 --startdatetime 2016-11-28T03:46:09 --delay 1 --endMP 204:139 --enddatetime 2016-11-28T03:55:17 --enforcementcount 0 &gt;&gt;C:\Users\stu\Documents\GitHub\eaglep3-reporting\EC\2016-11-28-refined-times.txt</v>
      </c>
      <c r="AI209" s="119" t="str">
        <f t="shared" si="74"/>
        <v>echo {"issue":{"subject":"","project_id":79,"tracker_id":40,"status_id":1,"priority_id":2,"assigned_to_id":23,"start_date":"2016-11-28","description":"","custom_fields":[{"id":1,"name":"Subdivision","value":"Other"},{"id":4,"name":"Milepost","value":"0.0139"},{"id":17,"name":"Train ID","value":"306-28"},{"id":16,"name":"Locomotive ID","value":"4041"},{"id":130,"name":"Impact","value":""},{"id":150,"name":"Time of Event (Mountain Time)","value":"03:55:17"},{"id":151,"name":"Denver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594</v>
      </c>
      <c r="B210" s="7">
        <v>4040</v>
      </c>
      <c r="C210" s="22" t="s">
        <v>212</v>
      </c>
      <c r="D210" s="22" t="s">
        <v>260</v>
      </c>
      <c r="E210" s="13">
        <v>42702.816620370373</v>
      </c>
      <c r="F210" s="13">
        <v>25568.708333333332</v>
      </c>
      <c r="G210" s="7">
        <v>1</v>
      </c>
      <c r="H210" s="22" t="s">
        <v>380</v>
      </c>
      <c r="I210" s="13">
        <v>25568.708333333332</v>
      </c>
      <c r="J210" s="7">
        <v>0</v>
      </c>
      <c r="K210" s="109" t="str">
        <f t="shared" si="60"/>
        <v>4039/4040</v>
      </c>
      <c r="L210" s="22" t="str">
        <f>VLOOKUP(A210,'Trips&amp;Operators'!$C$1:$E$10000,3,FALSE)</f>
        <v>ROMERO</v>
      </c>
      <c r="M210" s="6">
        <f t="shared" si="61"/>
        <v>0</v>
      </c>
      <c r="N210" s="7">
        <f t="shared" si="58"/>
        <v>0</v>
      </c>
      <c r="O210" s="7"/>
      <c r="P210" s="7"/>
      <c r="Q210" s="23"/>
      <c r="R210" s="23"/>
      <c r="S210" s="35">
        <f t="shared" si="59"/>
        <v>1</v>
      </c>
      <c r="T210" s="50" t="str">
        <f t="shared" si="62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18:35:56-700',mode:absolute,to:'1969-12-31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0" s="52" t="str">
        <f t="shared" si="64"/>
        <v>Y</v>
      </c>
      <c r="X210" s="177">
        <f t="shared" si="65"/>
        <v>1</v>
      </c>
      <c r="Y210" s="67">
        <f t="shared" si="66"/>
        <v>4.5699999999999998E-2</v>
      </c>
      <c r="Z210" s="67">
        <f t="shared" si="67"/>
        <v>2.3311999999999999</v>
      </c>
      <c r="AA210" s="67">
        <f t="shared" si="68"/>
        <v>2.2854999999999999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69"/>
        <v>0307-28</v>
      </c>
      <c r="AE210" s="91" t="str">
        <f t="shared" si="70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10" s="88" t="str">
        <f t="shared" si="71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10" s="1" t="str">
        <f t="shared" si="72"/>
        <v>Other</v>
      </c>
      <c r="AH210" s="92" t="str">
        <f t="shared" si="73"/>
        <v>"%USERPROFILE%\Documents\GitHub\eaglep3\Utilities\RefineRTDCRunTimes.py" --tripid 307-28 --locoid 4040 --swversion DE.1.0.8.0 --startMP 204:457 --initTime 2016-11-28T19:35:56 --startdatetime 1969-12-31T17:00:00 --delay 1 --endMP 300:23312 --enddatetime 1969-12-31T17:00:00 --enforcementcount 0 &gt;&gt;C:\Users\stu\Documents\GitHub\eaglep3-reporting\EC\2016-11-28-refined-times.txt</v>
      </c>
      <c r="AI210" s="119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ID","value":"307-28"},{"id":16,"name":"Locomotive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439</v>
      </c>
      <c r="B211" s="7">
        <v>4010</v>
      </c>
      <c r="C211" s="22" t="s">
        <v>212</v>
      </c>
      <c r="D211" s="22" t="s">
        <v>689</v>
      </c>
      <c r="E211" s="13">
        <v>42702.170624999999</v>
      </c>
      <c r="F211" s="13">
        <v>42702.172754629632</v>
      </c>
      <c r="G211" s="7">
        <v>1</v>
      </c>
      <c r="H211" s="22" t="s">
        <v>193</v>
      </c>
      <c r="I211" s="13">
        <v>42702.179456018515</v>
      </c>
      <c r="J211" s="7">
        <v>0</v>
      </c>
      <c r="K211" s="109" t="str">
        <f t="shared" si="60"/>
        <v>4009/4010</v>
      </c>
      <c r="L211" s="22" t="str">
        <f>VLOOKUP(A211,'Trips&amp;Operators'!$C$1:$E$10000,3,FALSE)</f>
        <v>SPECTOR</v>
      </c>
      <c r="M211" s="6">
        <f t="shared" si="61"/>
        <v>6.7013888838118874E-3</v>
      </c>
      <c r="N211" s="7">
        <f t="shared" ref="N211:N231" si="75">24*60*SUM($M211:$M211)</f>
        <v>9.6499999926891178</v>
      </c>
      <c r="O211" s="7"/>
      <c r="P211" s="7"/>
      <c r="Q211" s="23"/>
      <c r="R211" s="23"/>
      <c r="S211" s="35">
        <f t="shared" ref="S211:S231" si="76">SUM(U211:U211)/IF(AG211="EC",12,1)</f>
        <v>1</v>
      </c>
      <c r="T211" s="50" t="str">
        <f t="shared" si="62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03:05:42-700',mode:absolute,to:'2016-11-28 05:18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1" s="52" t="str">
        <f t="shared" si="64"/>
        <v>Y</v>
      </c>
      <c r="X211" s="177">
        <f t="shared" si="65"/>
        <v>1</v>
      </c>
      <c r="Y211" s="67">
        <f t="shared" si="66"/>
        <v>2.3323999999999998</v>
      </c>
      <c r="Z211" s="67">
        <f t="shared" si="67"/>
        <v>1.43E-2</v>
      </c>
      <c r="AA211" s="67">
        <f t="shared" si="68"/>
        <v>2.3180999999999998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69"/>
        <v>0308-28</v>
      </c>
      <c r="AE211" s="91" t="str">
        <f t="shared" si="70"/>
        <v>aws s3 cp s3://rtdc.mdm.uploadarchive.raw/RTDC4010/ "%USERPROFILE%\AppData\Local\Temp\OnboardLogs"\RTDC4010\2016-11-28 --exclude "*" --recursive --include "*20161128*" &amp; "%USERPROFILE%\Documents\GitHub\mrs-test-scripts\Headless Mode &amp; Sideloading\WalkAndUnGZ.bat" "%USERPROFILE%\AppData\Local\Temp\OnboardLogs"\RTDC4010\2016-11-28 &amp; aws s3 cp s3://rtdc.mdm.uploadarchive.raw/RTDC4010/ "%USERPROFILE%\AppData\Local\Temp\OnboardLogs"\RTDC4010\2016-11-29 --exclude "*" --recursive --include "*20161129*" &amp; "%USERPROFILE%\Documents\GitHub\mrs-test-scripts\Headless Mode &amp; Sideloading\WalkAndUnGZ.bat" "%USERPROFILE%\AppData\Local\Temp\OnboardLogs"\RTDC4010\2016-11-29</v>
      </c>
      <c r="AF211" s="88" t="str">
        <f t="shared" si="71"/>
        <v>"C:\Program Files (x86)\AstroGrep\AstroGrep.exe" /spath="%USERPROFILE%\AppData\Local\Temp\OnboardLogs" /stypes="app*4010*20161128*" /stext=" 11:.+((SYSTEM_STATE.+slice.+state.+changed )|(ment ac)|(multiple cpu faults)|(system.+state.+changed )|(\[timeout)|(PRM\|1\|D)|(kpr)|(kdp)|(\|lc)|(penalty))" /e /r /s</v>
      </c>
      <c r="AG211" s="1" t="str">
        <f t="shared" si="72"/>
        <v>Other</v>
      </c>
      <c r="AH211" s="92" t="str">
        <f t="shared" si="73"/>
        <v>"%USERPROFILE%\Documents\GitHub\eaglep3\Utilities\RefineRTDCRunTimes.py" --tripid 308-28 --locoid 4010 --swversion DE.1.0.8.0 --startMP 300:23324 --initTime 2016-11-28T04:05:42 --startdatetime 2016-11-28T04:08:46 --delay 1 --endMP 204:143 --enddatetime 2016-11-28T04:18:25 --enforcementcount 0 &gt;&gt;C:\Users\stu\Documents\GitHub\eaglep3-reporting\EC\2016-11-28-refined-times.txt</v>
      </c>
      <c r="AI211" s="119" t="str">
        <f t="shared" si="74"/>
        <v>echo {"issue":{"subject":"","project_id":79,"tracker_id":40,"status_id":1,"priority_id":2,"assigned_to_id":23,"start_date":"2016-11-28","description":"","custom_fields":[{"id":1,"name":"Subdivision","value":"Other"},{"id":4,"name":"Milepost","value":"0.0143"},{"id":17,"name":"Train ID","value":"308-28"},{"id":16,"name":"Locomotive ID","value":"4010"},{"id":130,"name":"Impact","value":""},{"id":150,"name":"Time of Event (Mountain Time)","value":"04:18:25"},{"id":151,"name":"Denver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620</v>
      </c>
      <c r="B212" s="7">
        <v>4025</v>
      </c>
      <c r="C212" s="22" t="s">
        <v>212</v>
      </c>
      <c r="D212" s="22" t="s">
        <v>234</v>
      </c>
      <c r="E212" s="13">
        <v>42703.027789351851</v>
      </c>
      <c r="F212" s="13">
        <v>42703.031041666669</v>
      </c>
      <c r="G212" s="7">
        <v>2</v>
      </c>
      <c r="H212" s="22" t="s">
        <v>690</v>
      </c>
      <c r="I212" s="13">
        <v>42703.037372685183</v>
      </c>
      <c r="J212" s="7">
        <v>0</v>
      </c>
      <c r="K212" s="109" t="str">
        <f t="shared" si="60"/>
        <v>4025/4026</v>
      </c>
      <c r="L212" s="22" t="str">
        <f>VLOOKUP(A212,'Trips&amp;Operators'!$C$1:$E$10000,3,FALSE)</f>
        <v>LEVERE</v>
      </c>
      <c r="M212" s="6">
        <f t="shared" si="61"/>
        <v>6.3310185141745023E-3</v>
      </c>
      <c r="N212" s="7">
        <f t="shared" si="75"/>
        <v>9.1166666604112834</v>
      </c>
      <c r="O212" s="7"/>
      <c r="P212" s="7"/>
      <c r="Q212" s="23"/>
      <c r="R212" s="23"/>
      <c r="S212" s="35">
        <f t="shared" si="76"/>
        <v>1</v>
      </c>
      <c r="T212" s="50" t="str">
        <f t="shared" si="62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23:40:01-700',mode:absolute,to:'2016-11-29 01:53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12" s="52" t="str">
        <f t="shared" si="64"/>
        <v>Y</v>
      </c>
      <c r="X212" s="177">
        <f t="shared" si="65"/>
        <v>1</v>
      </c>
      <c r="Y212" s="67">
        <f t="shared" si="66"/>
        <v>4.6600000000000003E-2</v>
      </c>
      <c r="Z212" s="67">
        <f t="shared" si="67"/>
        <v>2.2850000000000001</v>
      </c>
      <c r="AA212" s="67">
        <f t="shared" si="68"/>
        <v>2.2383999999999999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69"/>
        <v>0309-28</v>
      </c>
      <c r="AE212" s="91" t="str">
        <f t="shared" si="70"/>
        <v>aws s3 cp s3://rtdc.mdm.uploadarchive.raw/RTDC4025/ "%USERPROFILE%\AppData\Local\Temp\OnboardLogs"\RTDC4025\2016-11-29 --exclude "*" --recursive --include "*20161129*" &amp; "%USERPROFILE%\Documents\GitHub\mrs-test-scripts\Headless Mode &amp; Sideloading\WalkAndUnGZ.bat" "%USERPROFILE%\AppData\Local\Temp\OnboardLogs"\RTDC4025\2016-11-29 &amp; 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</v>
      </c>
      <c r="AF212" s="88" t="str">
        <f t="shared" si="71"/>
        <v>"C:\Program Files (x86)\AstroGrep\AstroGrep.exe" /spath="%USERPROFILE%\AppData\Local\Temp\OnboardLogs" /stypes="app*4025*20161129*" /stext=" 07:.+((SYSTEM_STATE.+slice.+state.+changed )|(ment ac)|(multiple cpu faults)|(system.+state.+changed )|(\[timeout)|(PRM\|1\|D)|(kpr)|(kdp)|(\|lc)|(penalty))" /e /r /s</v>
      </c>
      <c r="AG212" s="1" t="str">
        <f t="shared" si="72"/>
        <v>Other</v>
      </c>
      <c r="AH212" s="92" t="str">
        <f t="shared" si="73"/>
        <v>"%USERPROFILE%\Documents\GitHub\eaglep3\Utilities\RefineRTDCRunTimes.py" --tripid 309-28 --locoid 4025 --swversion DE.1.0.8.0 --startMP 204:466 --initTime 2016-11-29T00:40:01 --startdatetime 2016-11-29T00:44:42 --delay 2 --endMP 300:22850 --enddatetime 2016-11-29T00:53:49 --enforcementcount 0 &gt;&gt;C:\Users\stu\Documents\GitHub\eaglep3-reporting\EC\2016-11-28-refined-times.txt</v>
      </c>
      <c r="AI212" s="119" t="str">
        <f t="shared" si="74"/>
        <v>echo {"issue":{"subject":"","project_id":79,"tracker_id":40,"status_id":1,"priority_id":2,"assigned_to_id":23,"start_date":"2016-11-29","description":"","custom_fields":[{"id":1,"name":"Subdivision","value":"Other"},{"id":4,"name":"Milepost","value":"2.285"},{"id":17,"name":"Train ID","value":"309-28"},{"id":16,"name":"Locomotive ID","value":"4025"},{"id":130,"name":"Impact","value":""},{"id":150,"name":"Time of Event (Mountain Time)","value":"00:53:49"},{"id":151,"name":"Denver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441</v>
      </c>
      <c r="B213" s="7">
        <v>4015</v>
      </c>
      <c r="C213" s="22" t="s">
        <v>212</v>
      </c>
      <c r="D213" s="22" t="s">
        <v>691</v>
      </c>
      <c r="E213" s="13">
        <v>42702.178472222222</v>
      </c>
      <c r="F213" s="13">
        <v>42702.179930555554</v>
      </c>
      <c r="G213" s="7">
        <v>1</v>
      </c>
      <c r="H213" s="22" t="s">
        <v>236</v>
      </c>
      <c r="I213" s="13">
        <v>42702.186215277776</v>
      </c>
      <c r="J213" s="7">
        <v>0</v>
      </c>
      <c r="K213" s="109" t="str">
        <f t="shared" si="60"/>
        <v>4015/4016</v>
      </c>
      <c r="L213" s="22" t="str">
        <f>VLOOKUP(A213,'Trips&amp;Operators'!$C$1:$E$10000,3,FALSE)</f>
        <v>CRAYTON</v>
      </c>
      <c r="M213" s="6">
        <f t="shared" si="61"/>
        <v>6.284722221607808E-3</v>
      </c>
      <c r="N213" s="7">
        <f t="shared" si="75"/>
        <v>9.0499999991152436</v>
      </c>
      <c r="O213" s="7"/>
      <c r="P213" s="7"/>
      <c r="Q213" s="23"/>
      <c r="R213" s="23"/>
      <c r="S213" s="35">
        <f t="shared" si="76"/>
        <v>1</v>
      </c>
      <c r="T213" s="50" t="str">
        <f t="shared" si="62"/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03:17:00-700',mode:absolute,to:'2016-11-28 05:28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13" s="52" t="str">
        <f t="shared" si="64"/>
        <v>Y</v>
      </c>
      <c r="X213" s="177">
        <f t="shared" si="65"/>
        <v>1</v>
      </c>
      <c r="Y213" s="67">
        <f t="shared" si="66"/>
        <v>2.3534999999999999</v>
      </c>
      <c r="Z213" s="67">
        <f t="shared" si="67"/>
        <v>1.41E-2</v>
      </c>
      <c r="AA213" s="67">
        <f t="shared" si="68"/>
        <v>2.3393999999999999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69"/>
        <v>0310-28</v>
      </c>
      <c r="AE213" s="91" t="str">
        <f t="shared" si="70"/>
        <v>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 &amp; 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</v>
      </c>
      <c r="AF213" s="88" t="str">
        <f t="shared" si="71"/>
        <v>"C:\Program Files (x86)\AstroGrep\AstroGrep.exe" /spath="%USERPROFILE%\AppData\Local\Temp\OnboardLogs" /stypes="app*4015*20161128*" /stext=" 11:.+((SYSTEM_STATE.+slice.+state.+changed )|(ment ac)|(multiple cpu faults)|(system.+state.+changed )|(\[timeout)|(PRM\|1\|D)|(kpr)|(kdp)|(\|lc)|(penalty))" /e /r /s</v>
      </c>
      <c r="AG213" s="1" t="str">
        <f t="shared" si="72"/>
        <v>Other</v>
      </c>
      <c r="AH213" s="92" t="str">
        <f t="shared" si="73"/>
        <v>"%USERPROFILE%\Documents\GitHub\eaglep3\Utilities\RefineRTDCRunTimes.py" --tripid 310-28 --locoid 4015 --swversion DE.1.0.8.0 --startMP 300:23535 --initTime 2016-11-28T04:17:00 --startdatetime 2016-11-28T04:19:06 --delay 1 --endMP 204:141 --enddatetime 2016-11-28T04:28:09 --enforcementcount 0 &gt;&gt;C:\Users\stu\Documents\GitHub\eaglep3-reporting\EC\2016-11-28-refined-times.txt</v>
      </c>
      <c r="AI213" s="119" t="str">
        <f t="shared" si="74"/>
        <v>echo {"issue":{"subject":"","project_id":79,"tracker_id":40,"status_id":1,"priority_id":2,"assigned_to_id":23,"start_date":"2016-11-28","description":"","custom_fields":[{"id":1,"name":"Subdivision","value":"Other"},{"id":4,"name":"Milepost","value":"0.0141"},{"id":17,"name":"Train ID","value":"310-28"},{"id":16,"name":"Locomotive ID","value":"4015"},{"id":130,"name":"Impact","value":""},{"id":150,"name":"Time of Event (Mountain Time)","value":"04:28:09"},{"id":151,"name":"Denver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621</v>
      </c>
      <c r="B214" s="7">
        <v>4038</v>
      </c>
      <c r="C214" s="22" t="s">
        <v>212</v>
      </c>
      <c r="D214" s="22" t="s">
        <v>249</v>
      </c>
      <c r="E214" s="13">
        <v>42703.046932870369</v>
      </c>
      <c r="F214" s="13">
        <v>25568.708333333332</v>
      </c>
      <c r="G214" s="7">
        <v>0</v>
      </c>
      <c r="H214" s="22" t="s">
        <v>692</v>
      </c>
      <c r="I214" s="13">
        <v>25568.708333333332</v>
      </c>
      <c r="J214" s="7">
        <v>0</v>
      </c>
      <c r="K214" s="109" t="str">
        <f t="shared" si="60"/>
        <v>4037/4038</v>
      </c>
      <c r="L214" s="22" t="str">
        <f>VLOOKUP(A214,'Trips&amp;Operators'!$C$1:$E$10000,3,FALSE)</f>
        <v>NEWELL</v>
      </c>
      <c r="M214" s="6">
        <f t="shared" si="61"/>
        <v>0</v>
      </c>
      <c r="N214" s="7">
        <f t="shared" si="75"/>
        <v>0</v>
      </c>
      <c r="O214" s="7"/>
      <c r="P214" s="7"/>
      <c r="Q214" s="23"/>
      <c r="R214" s="23"/>
      <c r="S214" s="35">
        <f t="shared" si="76"/>
        <v>1</v>
      </c>
      <c r="T214" s="50" t="str">
        <f t="shared" si="62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https://search-rtdc-monitor-bjffxe2xuh6vdkpspy63sjmuny.us-east-1.es.amazonaws.com/_plugin/kibana/#/discover/Steve-Slow-Train-Analysis-(2080s-and-2083s)?_g=(refreshInterval:(display:Off,section:0,value:0),time:(from:'2016-11-29 00:07:35-700',mode:absolute,to:'1969-12-31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4" s="52" t="str">
        <f t="shared" si="64"/>
        <v>Y</v>
      </c>
      <c r="X214" s="177">
        <f t="shared" si="65"/>
        <v>1</v>
      </c>
      <c r="Y214" s="67">
        <f t="shared" si="66"/>
        <v>4.5499999999999999E-2</v>
      </c>
      <c r="Z214" s="67">
        <f t="shared" si="67"/>
        <v>2.331</v>
      </c>
      <c r="AA214" s="67">
        <f t="shared" si="68"/>
        <v>2.2854999999999999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69"/>
        <v>0311-28</v>
      </c>
      <c r="AE214" s="91" t="str">
        <f t="shared" si="70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4" s="88" t="str">
        <f t="shared" si="71"/>
        <v>"C:\Program Files (x86)\AstroGrep\AstroGrep.exe" /spath="%USERPROFILE%\AppData\Local\Temp\OnboardLogs" /stypes="app*4038*19700101*" /stext=" 00:.+((SYSTEM_STATE.+slice.+state.+changed )|(ment ac)|(multiple cpu faults)|(system.+state.+changed )|(\[timeout)|(PRM\|1\|D)|(kpr)|(kdp)|(\|lc)|(penalty))" /e /r /s</v>
      </c>
      <c r="AG214" s="1" t="str">
        <f t="shared" si="72"/>
        <v>Other</v>
      </c>
      <c r="AH214" s="92" t="str">
        <f t="shared" si="73"/>
        <v>"%USERPROFILE%\Documents\GitHub\eaglep3\Utilities\RefineRTDCRunTimes.py" --tripid 311-28 --locoid 4038 --swversion DE.1.0.8.0 --startMP 204:455 --initTime 2016-11-29T01:07:35 --startdatetime 1969-12-31T17:00:00 --delay 0 --endMP 300:23310 --enddatetime 1969-12-31T17:00:00 --enforcementcount 0 &gt;&gt;C:\Users\stu\Documents\GitHub\eaglep3-reporting\EC\2016-11-28-refined-times.txt</v>
      </c>
      <c r="AI214" s="119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ID","value":"311-28"},{"id":16,"name":"Locomotive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351</v>
      </c>
      <c r="B215" s="7">
        <v>4022</v>
      </c>
      <c r="C215" s="22" t="s">
        <v>212</v>
      </c>
      <c r="D215" s="22" t="s">
        <v>381</v>
      </c>
      <c r="E215" s="13">
        <v>42702.092048611114</v>
      </c>
      <c r="F215" s="13">
        <v>42702.094525462962</v>
      </c>
      <c r="G215" s="7">
        <v>1</v>
      </c>
      <c r="H215" s="22" t="s">
        <v>382</v>
      </c>
      <c r="I215" s="13">
        <v>42702.100462962961</v>
      </c>
      <c r="J215" s="7">
        <v>0</v>
      </c>
      <c r="K215" s="109" t="str">
        <f t="shared" si="60"/>
        <v>4021/4022</v>
      </c>
      <c r="L215" s="22" t="str">
        <f>VLOOKUP(A215,'Trips&amp;Operators'!$C$1:$E$10000,3,FALSE)</f>
        <v>BADERTSCHER</v>
      </c>
      <c r="M215" s="6">
        <f t="shared" si="61"/>
        <v>5.9374999982537702E-3</v>
      </c>
      <c r="N215" s="7">
        <f t="shared" si="75"/>
        <v>8.549999997485429</v>
      </c>
      <c r="O215" s="7"/>
      <c r="P215" s="7"/>
      <c r="Q215" s="23"/>
      <c r="R215" s="23"/>
      <c r="S215" s="35">
        <f t="shared" si="76"/>
        <v>1</v>
      </c>
      <c r="T215" s="50" t="str">
        <f t="shared" si="62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01:12:33-700',mode:absolute,to:'2016-11-28 03:24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5" s="52" t="str">
        <f t="shared" si="64"/>
        <v>Y</v>
      </c>
      <c r="X215" s="177">
        <f t="shared" si="65"/>
        <v>2</v>
      </c>
      <c r="Y215" s="67">
        <f t="shared" si="66"/>
        <v>7.5499999999999998E-2</v>
      </c>
      <c r="Z215" s="67">
        <f t="shared" si="67"/>
        <v>2.3298999999999999</v>
      </c>
      <c r="AA215" s="67">
        <f t="shared" si="68"/>
        <v>2.2544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69"/>
        <v>0313-27</v>
      </c>
      <c r="AE215" s="91" t="str">
        <f t="shared" si="70"/>
        <v>aws s3 cp s3://rtdc.mdm.uploadarchive.raw/RTDC4022/ "%USERPROFILE%\AppData\Local\Temp\OnboardLogs"\RTDC4022\2016-11-28 --exclude "*" --recursive --include "*20161128*" &amp; "%USERPROFILE%\Documents\GitHub\mrs-test-scripts\Headless Mode &amp; Sideloading\WalkAndUnGZ.bat" "%USERPROFILE%\AppData\Local\Temp\OnboardLogs"\RTDC4022\2016-11-28 &amp; aws s3 cp s3://rtdc.mdm.uploadarchive.raw/RTDC4022/ "%USERPROFILE%\AppData\Local\Temp\OnboardLogs"\RTDC4022\2016-11-29 --exclude "*" --recursive --include "*20161129*" &amp; "%USERPROFILE%\Documents\GitHub\mrs-test-scripts\Headless Mode &amp; Sideloading\WalkAndUnGZ.bat" "%USERPROFILE%\AppData\Local\Temp\OnboardLogs"\RTDC4022\2016-11-29</v>
      </c>
      <c r="AF215" s="88" t="str">
        <f t="shared" si="71"/>
        <v>"C:\Program Files (x86)\AstroGrep\AstroGrep.exe" /spath="%USERPROFILE%\AppData\Local\Temp\OnboardLogs" /stypes="app*4022*20161128*" /stext=" 09:.+((SYSTEM_STATE.+slice.+state.+changed )|(ment ac)|(multiple cpu faults)|(system.+state.+changed )|(\[timeout)|(PRM\|1\|D)|(kpr)|(kdp)|(\|lc)|(penalty))" /e /r /s</v>
      </c>
      <c r="AG215" s="1" t="str">
        <f t="shared" si="72"/>
        <v>Other</v>
      </c>
      <c r="AH215" s="92" t="str">
        <f t="shared" si="73"/>
        <v>"%USERPROFILE%\Documents\GitHub\eaglep3\Utilities\RefineRTDCRunTimes.py" --tripid 313-27 --locoid 4022 --swversion DE.1.0.8.0 --startMP 204:755 --initTime 2016-11-28T02:12:33 --startdatetime 2016-11-28T02:16:07 --delay 1 --endMP 300:23299 --enddatetime 2016-11-28T02:24:40 --enforcementcount 0 &gt;&gt;C:\Users\stu\Documents\GitHub\eaglep3-reporting\EC\2016-11-28-refined-times.txt</v>
      </c>
      <c r="AI215" s="119" t="str">
        <f t="shared" si="74"/>
        <v>echo {"issue":{"subject":"","project_id":79,"tracker_id":40,"status_id":1,"priority_id":2,"assigned_to_id":23,"start_date":"2016-11-28","description":"","custom_fields":[{"id":1,"name":"Subdivision","value":"Other"},{"id":4,"name":"Milepost","value":"2.3299"},{"id":17,"name":"Train ID","value":"313-27"},{"id":16,"name":"Locomotive ID","value":"4022"},{"id":130,"name":"Impact","value":""},{"id":150,"name":"Time of Event (Mountain Time)","value":"02:24:40"},{"id":151,"name":"Denver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623</v>
      </c>
      <c r="B216" s="7">
        <v>4002</v>
      </c>
      <c r="C216" s="22" t="s">
        <v>212</v>
      </c>
      <c r="D216" s="22" t="s">
        <v>693</v>
      </c>
      <c r="E216" s="13">
        <v>42703.066550925927</v>
      </c>
      <c r="F216" s="13">
        <v>25568.708333333332</v>
      </c>
      <c r="G216" s="7">
        <v>1</v>
      </c>
      <c r="H216" s="22" t="s">
        <v>694</v>
      </c>
      <c r="I216" s="13">
        <v>25568.708333333332</v>
      </c>
      <c r="J216" s="7">
        <v>0</v>
      </c>
      <c r="K216" s="109" t="str">
        <f t="shared" si="60"/>
        <v>4001/4002</v>
      </c>
      <c r="L216" s="22" t="str">
        <f>VLOOKUP(A216,'Trips&amp;Operators'!$C$1:$E$10000,3,FALSE)</f>
        <v>YANAI</v>
      </c>
      <c r="M216" s="6">
        <f t="shared" si="61"/>
        <v>0</v>
      </c>
      <c r="N216" s="7">
        <f t="shared" si="75"/>
        <v>0</v>
      </c>
      <c r="O216" s="7"/>
      <c r="P216" s="7"/>
      <c r="Q216" s="23"/>
      <c r="R216" s="23"/>
      <c r="S216" s="35">
        <f t="shared" si="76"/>
        <v>1</v>
      </c>
      <c r="T216" s="50" t="str">
        <f t="shared" si="62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https://search-rtdc-monitor-bjffxe2xuh6vdkpspy63sjmuny.us-east-1.es.amazonaws.com/_plugin/kibana/#/discover/Steve-Slow-Train-Analysis-(2080s-and-2083s)?_g=(refreshInterval:(display:Off,section:0,value:0),time:(from:'2016-11-29 00:35:50-700',mode:absolute,to:'1969-12-31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6" s="52" t="str">
        <f t="shared" si="64"/>
        <v>Y</v>
      </c>
      <c r="X216" s="177">
        <f t="shared" si="65"/>
        <v>0</v>
      </c>
      <c r="Y216" s="67">
        <f t="shared" si="66"/>
        <v>5.1900000000000002E-2</v>
      </c>
      <c r="Z216" s="67">
        <f t="shared" si="67"/>
        <v>2.3149000000000002</v>
      </c>
      <c r="AA216" s="67">
        <f t="shared" si="68"/>
        <v>2.2630000000000003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69"/>
        <v>0313-28</v>
      </c>
      <c r="AE216" s="91" t="str">
        <f t="shared" si="70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6" s="88" t="str">
        <f t="shared" si="71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16" s="1" t="str">
        <f t="shared" si="72"/>
        <v>Other</v>
      </c>
      <c r="AH216" s="92" t="str">
        <f t="shared" si="73"/>
        <v>"%USERPROFILE%\Documents\GitHub\eaglep3\Utilities\RefineRTDCRunTimes.py" --tripid 313-28 --locoid 4002 --swversion DE.1.0.8.0 --startMP 204:519 --initTime 2016-11-29T01:35:50 --startdatetime 1969-12-31T17:00:00 --delay 1 --endMP 300:23149 --enddatetime 1969-12-31T17:00:00 --enforcementcount 0 &gt;&gt;C:\Users\stu\Documents\GitHub\eaglep3-reporting\EC\2016-11-28-refined-times.txt</v>
      </c>
      <c r="AI216" s="119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{"issue":{"subject":"","project_id":79,"tracker_id":40,"status_id":1,"priority_id":2,"assigned_to_id":23,"start_date":"1969-12-31","description":"","custom_fields":[{"id":1,"name":"Subdivision","value":"Other"},{"id":4,"name":"Milepost","value":"2.3149"},{"id":17,"name":"Train ID","value":"313-28"},{"id":16,"name":"Locomotive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352</v>
      </c>
      <c r="B217" s="7">
        <v>4044</v>
      </c>
      <c r="C217" s="22" t="s">
        <v>212</v>
      </c>
      <c r="D217" s="22" t="s">
        <v>383</v>
      </c>
      <c r="E217" s="13">
        <v>42702.09233796296</v>
      </c>
      <c r="F217" s="13">
        <v>42702.093692129631</v>
      </c>
      <c r="G217" s="7">
        <v>1</v>
      </c>
      <c r="H217" s="22" t="s">
        <v>384</v>
      </c>
      <c r="I217" s="13">
        <v>42702.106574074074</v>
      </c>
      <c r="J217" s="7">
        <v>0</v>
      </c>
      <c r="K217" s="109" t="str">
        <f t="shared" si="60"/>
        <v>4043/4044</v>
      </c>
      <c r="L217" s="22" t="str">
        <f>VLOOKUP(A217,'Trips&amp;Operators'!$C$1:$E$10000,3,FALSE)</f>
        <v>CHANDLER</v>
      </c>
      <c r="M217" s="6">
        <f t="shared" si="61"/>
        <v>1.2881944443506654E-2</v>
      </c>
      <c r="N217" s="7">
        <f t="shared" si="75"/>
        <v>18.549999998649582</v>
      </c>
      <c r="O217" s="7"/>
      <c r="P217" s="7"/>
      <c r="Q217" s="23"/>
      <c r="R217" s="23"/>
      <c r="S217" s="35">
        <f t="shared" si="76"/>
        <v>1</v>
      </c>
      <c r="T217" s="50" t="str">
        <f t="shared" si="62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01:12:58-700',mode:absolute,to:'2016-11-28 03:33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7" s="52" t="str">
        <f t="shared" si="64"/>
        <v>Y</v>
      </c>
      <c r="X217" s="177">
        <f t="shared" si="65"/>
        <v>2</v>
      </c>
      <c r="Y217" s="67">
        <f t="shared" si="66"/>
        <v>6.83E-2</v>
      </c>
      <c r="Z217" s="67">
        <f t="shared" si="67"/>
        <v>2.2839</v>
      </c>
      <c r="AA217" s="67">
        <f t="shared" si="68"/>
        <v>2.2156000000000002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69"/>
        <v>0315-27</v>
      </c>
      <c r="AE217" s="91" t="str">
        <f t="shared" si="70"/>
        <v>aws s3 cp s3://rtdc.mdm.uploadarchive.raw/RTDC4044/ "%USERPROFILE%\AppData\Local\Temp\OnboardLogs"\RTDC4044\2016-11-28 --exclude "*" --recursive --include "*20161128*" &amp; "%USERPROFILE%\Documents\GitHub\mrs-test-scripts\Headless Mode &amp; Sideloading\WalkAndUnGZ.bat" "%USERPROFILE%\AppData\Local\Temp\OnboardLogs"\RTDC4044\2016-11-28 &amp; aws s3 cp s3://rtdc.mdm.uploadarchive.raw/RTDC4044/ "%USERPROFILE%\AppData\Local\Temp\OnboardLogs"\RTDC4044\2016-11-29 --exclude "*" --recursive --include "*20161129*" &amp; "%USERPROFILE%\Documents\GitHub\mrs-test-scripts\Headless Mode &amp; Sideloading\WalkAndUnGZ.bat" "%USERPROFILE%\AppData\Local\Temp\OnboardLogs"\RTDC4044\2016-11-29</v>
      </c>
      <c r="AF217" s="88" t="str">
        <f t="shared" si="71"/>
        <v>"C:\Program Files (x86)\AstroGrep\AstroGrep.exe" /spath="%USERPROFILE%\AppData\Local\Temp\OnboardLogs" /stypes="app*4044*20161128*" /stext=" 09:.+((SYSTEM_STATE.+slice.+state.+changed )|(ment ac)|(multiple cpu faults)|(system.+state.+changed )|(\[timeout)|(PRM\|1\|D)|(kpr)|(kdp)|(\|lc)|(penalty))" /e /r /s</v>
      </c>
      <c r="AG217" s="1" t="str">
        <f t="shared" si="72"/>
        <v>Other</v>
      </c>
      <c r="AH217" s="92" t="str">
        <f t="shared" si="73"/>
        <v>"%USERPROFILE%\Documents\GitHub\eaglep3\Utilities\RefineRTDCRunTimes.py" --tripid 315-27 --locoid 4044 --swversion DE.1.0.8.0 --startMP 204:683 --initTime 2016-11-28T02:12:58 --startdatetime 2016-11-28T02:14:55 --delay 1 --endMP 300:22839 --enddatetime 2016-11-28T02:33:28 --enforcementcount 0 &gt;&gt;C:\Users\stu\Documents\GitHub\eaglep3-reporting\EC\2016-11-28-refined-times.txt</v>
      </c>
      <c r="AI217" s="119" t="str">
        <f t="shared" si="74"/>
        <v>echo {"issue":{"subject":"","project_id":79,"tracker_id":40,"status_id":1,"priority_id":2,"assigned_to_id":23,"start_date":"2016-11-28","description":"","custom_fields":[{"id":1,"name":"Subdivision","value":"Other"},{"id":4,"name":"Milepost","value":"2.2839"},{"id":17,"name":"Train ID","value":"315-27"},{"id":16,"name":"Locomotive ID","value":"4044"},{"id":130,"name":"Impact","value":""},{"id":150,"name":"Time of Event (Mountain Time)","value":"02:33:28"},{"id":151,"name":"Denver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393</v>
      </c>
      <c r="B218" s="7">
        <v>4003</v>
      </c>
      <c r="C218" s="22" t="s">
        <v>212</v>
      </c>
      <c r="D218" s="22" t="s">
        <v>774</v>
      </c>
      <c r="E218" s="13">
        <v>42702.208414351851</v>
      </c>
      <c r="F218" s="13">
        <v>42702.209699074076</v>
      </c>
      <c r="G218" s="7">
        <v>1</v>
      </c>
      <c r="H218" s="22" t="s">
        <v>775</v>
      </c>
      <c r="I218" s="13">
        <v>42702.215520833335</v>
      </c>
      <c r="J218" s="7">
        <v>0</v>
      </c>
      <c r="K218" s="109" t="str">
        <f t="shared" si="60"/>
        <v>4003/4004</v>
      </c>
      <c r="L218" s="22" t="str">
        <f>VLOOKUP(A218,'Trips&amp;Operators'!$C$1:$E$10000,3,FALSE)</f>
        <v>DAVIS</v>
      </c>
      <c r="M218" s="6">
        <f t="shared" si="61"/>
        <v>5.8217592595610768E-3</v>
      </c>
      <c r="N218" s="7">
        <f t="shared" si="75"/>
        <v>8.3833333337679505</v>
      </c>
      <c r="O218" s="7"/>
      <c r="P218" s="7"/>
      <c r="Q218" s="23"/>
      <c r="R218" s="23"/>
      <c r="S218" s="35">
        <f t="shared" si="76"/>
        <v>0</v>
      </c>
      <c r="T218" s="50" t="str">
        <f t="shared" si="62"/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04:00:07-700',mode:absolute,to:'2016-11-28 06:10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8" s="52" t="str">
        <f t="shared" si="64"/>
        <v>Y</v>
      </c>
      <c r="X218" s="177">
        <f t="shared" si="65"/>
        <v>586</v>
      </c>
      <c r="Y218" s="67">
        <f t="shared" si="66"/>
        <v>3.0312999999999999</v>
      </c>
      <c r="Z218" s="67">
        <f t="shared" si="67"/>
        <v>5.9013999999999998</v>
      </c>
      <c r="AA218" s="67">
        <f t="shared" si="68"/>
        <v>2.8700999999999999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69"/>
        <v>0901-28</v>
      </c>
      <c r="AE218" s="91" t="str">
        <f t="shared" si="70"/>
        <v>aws s3 cp s3://rtdc.mdm.uploadarchive.raw/RTDC4003/ "%USERPROFILE%\AppData\Local\Temp\OnboardLogs"\RTDC4003\2016-11-28 --exclude "*" --recursive --include "*20161128*" &amp; "%USERPROFILE%\Documents\GitHub\mrs-test-scripts\Headless Mode &amp; Sideloading\WalkAndUnGZ.bat" "%USERPROFILE%\AppData\Local\Temp\OnboardLogs"\RTDC4003\2016-11-28 &amp; 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</v>
      </c>
      <c r="AF218" s="88" t="str">
        <f t="shared" si="71"/>
        <v>"C:\Program Files (x86)\AstroGrep\AstroGrep.exe" /spath="%USERPROFILE%\AppData\Local\Temp\OnboardLogs" /stypes="app*4003*20161128*" /stext=" 12:.+((SYSTEM_STATE.+slice.+state.+changed )|(ment ac)|(multiple cpu faults)|(system.+state.+changed )|(\[timeout)|(PRM\|1\|D)|(kpr)|(kdp)|(\|lc)|(penalty))" /e /r /s</v>
      </c>
      <c r="AG218" s="1" t="str">
        <f t="shared" si="72"/>
        <v>Other</v>
      </c>
      <c r="AH218" s="92" t="str">
        <f t="shared" si="73"/>
        <v>"%USERPROFILE%\Documents\GitHub\eaglep3\Utilities\RefineRTDCRunTimes.py" --tripid 901-28 --locoid 4003 --swversion DE.1.0.8.0 --startMP 300:30313 --initTime 2016-11-28T05:00:07 --startdatetime 2016-11-28T05:01:58 --delay 1 --endMP 300:59014 --enddatetime 2016-11-28T05:10:21 --enforcementcount 0 &gt;&gt;C:\Users\stu\Documents\GitHub\eaglep3-reporting\EC\2016-11-28-refined-times.txt</v>
      </c>
      <c r="AI218" s="119" t="str">
        <f t="shared" si="74"/>
        <v>echo {"issue":{"subject":"","project_id":79,"tracker_id":40,"status_id":1,"priority_id":2,"assigned_to_id":23,"start_date":"2016-11-28","description":"","custom_fields":[{"id":1,"name":"Subdivision","value":"Other"},{"id":4,"name":"Milepost","value":"5.9014"},{"id":17,"name":"Train ID","value":"901-28"},{"id":16,"name":"Locomotive ID","value":"4003"},{"id":130,"name":"Impact","value":""},{"id":150,"name":"Time of Event (Mountain Time)","value":"05:10:21"},{"id":151,"name":"Denver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454</v>
      </c>
      <c r="B219" s="7">
        <v>4032</v>
      </c>
      <c r="C219" s="22" t="s">
        <v>212</v>
      </c>
      <c r="D219" s="22" t="s">
        <v>776</v>
      </c>
      <c r="E219" s="13">
        <v>42702.249305555553</v>
      </c>
      <c r="F219" s="13">
        <v>42702.250613425924</v>
      </c>
      <c r="G219" s="7">
        <v>1</v>
      </c>
      <c r="H219" s="22" t="s">
        <v>777</v>
      </c>
      <c r="I219" s="13">
        <v>42702.255937499998</v>
      </c>
      <c r="J219" s="7">
        <v>0</v>
      </c>
      <c r="K219" s="109" t="str">
        <f t="shared" si="60"/>
        <v>4031/4032</v>
      </c>
      <c r="L219" s="22" t="str">
        <f>VLOOKUP(A219,'Trips&amp;Operators'!$C$1:$E$10000,3,FALSE)</f>
        <v>SAFIEF</v>
      </c>
      <c r="M219" s="6">
        <f t="shared" si="61"/>
        <v>5.324074074451346E-3</v>
      </c>
      <c r="N219" s="7">
        <f t="shared" si="75"/>
        <v>7.6666666672099382</v>
      </c>
      <c r="O219" s="7"/>
      <c r="P219" s="7"/>
      <c r="Q219" s="23"/>
      <c r="R219" s="23"/>
      <c r="S219" s="35">
        <f t="shared" si="76"/>
        <v>1</v>
      </c>
      <c r="T219" s="50" t="str">
        <f t="shared" si="62"/>
        <v>Southbound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04:59:00-700',mode:absolute,to:'2016-11-28 07:08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9" s="52" t="str">
        <f t="shared" si="64"/>
        <v>Y</v>
      </c>
      <c r="X219" s="177">
        <f t="shared" si="65"/>
        <v>1</v>
      </c>
      <c r="Y219" s="67">
        <f t="shared" si="66"/>
        <v>2.3033000000000001</v>
      </c>
      <c r="Z219" s="67">
        <f t="shared" si="67"/>
        <v>6.8199999999999997E-2</v>
      </c>
      <c r="AA219" s="67">
        <f t="shared" si="68"/>
        <v>2.2351000000000001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69"/>
        <v>0902-28</v>
      </c>
      <c r="AE219" s="91" t="str">
        <f t="shared" si="70"/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AF219" s="88" t="str">
        <f t="shared" si="71"/>
        <v>"C:\Program Files (x86)\AstroGrep\AstroGrep.exe" /spath="%USERPROFILE%\AppData\Local\Temp\OnboardLogs" /stypes="app*4032*20161128*" /stext=" 13:.+((SYSTEM_STATE.+slice.+state.+changed )|(ment ac)|(multiple cpu faults)|(system.+state.+changed )|(\[timeout)|(PRM\|1\|D)|(kpr)|(kdp)|(\|lc)|(penalty))" /e /r /s</v>
      </c>
      <c r="AG219" s="1" t="str">
        <f t="shared" si="72"/>
        <v>Other</v>
      </c>
      <c r="AH219" s="92" t="str">
        <f t="shared" si="73"/>
        <v>"%USERPROFILE%\Documents\GitHub\eaglep3\Utilities\RefineRTDCRunTimes.py" --tripid 902-28 --locoid 4032 --swversion DE.1.0.8.0 --startMP 300:23033 --initTime 2016-11-28T05:59:00 --startdatetime 2016-11-28T06:00:53 --delay 1 --endMP 204:682 --enddatetime 2016-11-28T06:08:33 --enforcementcount 0 &gt;&gt;C:\Users\stu\Documents\GitHub\eaglep3-reporting\EC\2016-11-28-refined-times.txt</v>
      </c>
      <c r="AI219" s="119" t="str">
        <f t="shared" si="74"/>
        <v>echo {"issue":{"subject":"","project_id":79,"tracker_id":40,"status_id":1,"priority_id":2,"assigned_to_id":23,"start_date":"2016-11-28","description":"","custom_fields":[{"id":1,"name":"Subdivision","value":"Other"},{"id":4,"name":"Milepost","value":"0.0682"},{"id":17,"name":"Train ID","value":"902-28"},{"id":16,"name":"Locomotive ID","value":"4032"},{"id":130,"name":"Impact","value":""},{"id":150,"name":"Time of Event (Mountain Time)","value":"06:08:33"},{"id":151,"name":"Denver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480</v>
      </c>
      <c r="B220" s="7">
        <v>4003</v>
      </c>
      <c r="C220" s="22" t="s">
        <v>212</v>
      </c>
      <c r="D220" s="22" t="s">
        <v>778</v>
      </c>
      <c r="E220" s="13">
        <v>42702.353113425925</v>
      </c>
      <c r="F220" s="13">
        <v>42702.354212962964</v>
      </c>
      <c r="G220" s="7">
        <v>1</v>
      </c>
      <c r="H220" s="22" t="s">
        <v>779</v>
      </c>
      <c r="I220" s="13">
        <v>42702.361041666663</v>
      </c>
      <c r="J220" s="7">
        <v>0</v>
      </c>
      <c r="K220" s="109" t="str">
        <f t="shared" si="60"/>
        <v>4003/4004</v>
      </c>
      <c r="L220" s="22" t="str">
        <f>VLOOKUP(A220,'Trips&amp;Operators'!$C$1:$E$10000,3,FALSE)</f>
        <v>DAVIS</v>
      </c>
      <c r="M220" s="6">
        <f t="shared" si="61"/>
        <v>6.8287036992842332E-3</v>
      </c>
      <c r="N220" s="7">
        <f t="shared" si="75"/>
        <v>9.8333333269692957</v>
      </c>
      <c r="O220" s="7"/>
      <c r="P220" s="7"/>
      <c r="Q220" s="23"/>
      <c r="R220" s="23"/>
      <c r="S220" s="35">
        <f t="shared" si="76"/>
        <v>1</v>
      </c>
      <c r="T220" s="50" t="str">
        <f t="shared" si="62"/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07:28:29-700',mode:absolute,to:'2016-11-28 09:39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20" s="52" t="str">
        <f t="shared" si="64"/>
        <v>Y</v>
      </c>
      <c r="X220" s="177">
        <f t="shared" si="65"/>
        <v>1</v>
      </c>
      <c r="Y220" s="67">
        <f t="shared" si="66"/>
        <v>9.5500000000000002E-2</v>
      </c>
      <c r="Z220" s="67">
        <f t="shared" si="67"/>
        <v>2.5436000000000001</v>
      </c>
      <c r="AA220" s="67">
        <f t="shared" si="68"/>
        <v>2.4481000000000002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69"/>
        <v>0903-28</v>
      </c>
      <c r="AE220" s="91" t="str">
        <f t="shared" si="70"/>
        <v>aws s3 cp s3://rtdc.mdm.uploadarchive.raw/RTDC4003/ "%USERPROFILE%\AppData\Local\Temp\OnboardLogs"\RTDC4003\2016-11-28 --exclude "*" --recursive --include "*20161128*" &amp; "%USERPROFILE%\Documents\GitHub\mrs-test-scripts\Headless Mode &amp; Sideloading\WalkAndUnGZ.bat" "%USERPROFILE%\AppData\Local\Temp\OnboardLogs"\RTDC4003\2016-11-28 &amp; 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</v>
      </c>
      <c r="AF220" s="88" t="str">
        <f t="shared" si="71"/>
        <v>"C:\Program Files (x86)\AstroGrep\AstroGrep.exe" /spath="%USERPROFILE%\AppData\Local\Temp\OnboardLogs" /stypes="app*4003*20161128*" /stext=" 15:.+((SYSTEM_STATE.+slice.+state.+changed )|(ment ac)|(multiple cpu faults)|(system.+state.+changed )|(\[timeout)|(PRM\|1\|D)|(kpr)|(kdp)|(\|lc)|(penalty))" /e /r /s</v>
      </c>
      <c r="AG220" s="1" t="str">
        <f t="shared" si="72"/>
        <v>Other</v>
      </c>
      <c r="AH220" s="92" t="str">
        <f t="shared" si="73"/>
        <v>"%USERPROFILE%\Documents\GitHub\eaglep3\Utilities\RefineRTDCRunTimes.py" --tripid 903-28 --locoid 4003 --swversion DE.1.0.8.0 --startMP 204:955 --initTime 2016-11-28T08:28:29 --startdatetime 2016-11-28T08:30:04 --delay 1 --endMP 300:25436 --enddatetime 2016-11-28T08:39:54 --enforcementcount 0 &gt;&gt;C:\Users\stu\Documents\GitHub\eaglep3-reporting\EC\2016-11-28-refined-times.txt</v>
      </c>
      <c r="AI220" s="119" t="str">
        <f t="shared" si="74"/>
        <v>echo {"issue":{"subject":"","project_id":79,"tracker_id":40,"status_id":1,"priority_id":2,"assigned_to_id":23,"start_date":"2016-11-28","description":"","custom_fields":[{"id":1,"name":"Subdivision","value":"Other"},{"id":4,"name":"Milepost","value":"2.5436"},{"id":17,"name":"Train ID","value":"903-28"},{"id":16,"name":"Locomotive ID","value":"4003"},{"id":130,"name":"Impact","value":""},{"id":150,"name":"Time of Event (Mountain Time)","value":"08:39:54"},{"id":151,"name":"Denver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544</v>
      </c>
      <c r="B221" s="7">
        <v>4004</v>
      </c>
      <c r="C221" s="22" t="s">
        <v>212</v>
      </c>
      <c r="D221" s="22" t="s">
        <v>780</v>
      </c>
      <c r="E221" s="13">
        <v>42702.636932870373</v>
      </c>
      <c r="F221" s="13">
        <v>42702.64135416667</v>
      </c>
      <c r="G221" s="7">
        <v>5</v>
      </c>
      <c r="H221" s="22" t="s">
        <v>192</v>
      </c>
      <c r="I221" s="13">
        <v>42702.648784722223</v>
      </c>
      <c r="J221" s="7">
        <v>0</v>
      </c>
      <c r="K221" s="109" t="str">
        <f t="shared" si="60"/>
        <v>4003/4004</v>
      </c>
      <c r="L221" s="22" t="str">
        <f>VLOOKUP(A221,'Trips&amp;Operators'!$C$1:$E$10000,3,FALSE)</f>
        <v>COOLAHAN</v>
      </c>
      <c r="M221" s="6">
        <f t="shared" si="61"/>
        <v>7.4305555535829626E-3</v>
      </c>
      <c r="N221" s="7">
        <f t="shared" si="75"/>
        <v>10.699999997159466</v>
      </c>
      <c r="O221" s="7"/>
      <c r="P221" s="7"/>
      <c r="Q221" s="23"/>
      <c r="R221" s="23"/>
      <c r="S221" s="35">
        <f t="shared" si="76"/>
        <v>1</v>
      </c>
      <c r="T221" s="50" t="str">
        <f t="shared" si="62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14:17:11-700',mode:absolute,to:'2016-11-28 16:34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1" s="52" t="str">
        <f t="shared" si="64"/>
        <v>Y</v>
      </c>
      <c r="X221" s="177">
        <f t="shared" si="65"/>
        <v>1</v>
      </c>
      <c r="Y221" s="67">
        <f t="shared" si="66"/>
        <v>2.2951000000000001</v>
      </c>
      <c r="Z221" s="67">
        <f t="shared" si="67"/>
        <v>1.49E-2</v>
      </c>
      <c r="AA221" s="67">
        <f t="shared" si="68"/>
        <v>2.2802000000000002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69"/>
        <v>0904-28</v>
      </c>
      <c r="AE221" s="91" t="str">
        <f t="shared" si="70"/>
        <v>aws s3 cp s3://rtdc.mdm.uploadarchive.raw/RTDC4004/ "%USERPROFILE%\AppData\Local\Temp\OnboardLogs"\RTDC4004\2016-11-28 --exclude "*" --recursive --include "*20161128*" &amp; "%USERPROFILE%\Documents\GitHub\mrs-test-scripts\Headless Mode &amp; Sideloading\WalkAndUnGZ.bat" "%USERPROFILE%\AppData\Local\Temp\OnboardLogs"\RTDC4004\2016-11-28 &amp; 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</v>
      </c>
      <c r="AF221" s="88" t="str">
        <f t="shared" si="71"/>
        <v>"C:\Program Files (x86)\AstroGrep\AstroGrep.exe" /spath="%USERPROFILE%\AppData\Local\Temp\OnboardLogs" /stypes="app*4004*20161128*" /stext=" 22:.+((SYSTEM_STATE.+slice.+state.+changed )|(ment ac)|(multiple cpu faults)|(system.+state.+changed )|(\[timeout)|(PRM\|1\|D)|(kpr)|(kdp)|(\|lc)|(penalty))" /e /r /s</v>
      </c>
      <c r="AG221" s="1" t="str">
        <f t="shared" si="72"/>
        <v>Other</v>
      </c>
      <c r="AH221" s="92" t="str">
        <f t="shared" si="73"/>
        <v>"%USERPROFILE%\Documents\GitHub\eaglep3\Utilities\RefineRTDCRunTimes.py" --tripid 904-28 --locoid 4004 --swversion DE.1.0.8.0 --startMP 300:22951 --initTime 2016-11-28T15:17:11 --startdatetime 2016-11-28T15:23:33 --delay 5 --endMP 204:149 --enddatetime 2016-11-28T15:34:15 --enforcementcount 0 &gt;&gt;C:\Users\stu\Documents\GitHub\eaglep3-reporting\EC\2016-11-28-refined-times.txt</v>
      </c>
      <c r="AI221" s="119" t="str">
        <f t="shared" si="74"/>
        <v>echo {"issue":{"subject":"","project_id":79,"tracker_id":40,"status_id":1,"priority_id":2,"assigned_to_id":23,"start_date":"2016-11-28","description":"","custom_fields":[{"id":1,"name":"Subdivision","value":"Other"},{"id":4,"name":"Milepost","value":"0.0149"},{"id":17,"name":"Train ID","value":"904-28"},{"id":16,"name":"Locomotive ID","value":"4004"},{"id":130,"name":"Impact","value":""},{"id":150,"name":"Time of Event (Mountain Time)","value":"15:34:15"},{"id":151,"name":"Denver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590</v>
      </c>
      <c r="B222" s="7">
        <v>4004</v>
      </c>
      <c r="C222" s="22" t="s">
        <v>212</v>
      </c>
      <c r="D222" s="22" t="s">
        <v>755</v>
      </c>
      <c r="E222" s="13">
        <v>42702.796840277777</v>
      </c>
      <c r="F222" s="13">
        <v>25568.708333333332</v>
      </c>
      <c r="G222" s="7">
        <v>1</v>
      </c>
      <c r="H222" s="22" t="s">
        <v>386</v>
      </c>
      <c r="I222" s="13">
        <v>25568.708333333332</v>
      </c>
      <c r="J222" s="7">
        <v>0</v>
      </c>
      <c r="K222" s="109" t="str">
        <f t="shared" si="60"/>
        <v>4003/4004</v>
      </c>
      <c r="L222" s="22" t="str">
        <f>VLOOKUP(A222,'Trips&amp;Operators'!$C$1:$E$10000,3,FALSE)</f>
        <v>COOLAHAN</v>
      </c>
      <c r="M222" s="6">
        <f t="shared" si="61"/>
        <v>0</v>
      </c>
      <c r="N222" s="7">
        <f t="shared" si="75"/>
        <v>0</v>
      </c>
      <c r="O222" s="7"/>
      <c r="P222" s="7"/>
      <c r="Q222" s="23"/>
      <c r="R222" s="23"/>
      <c r="S222" s="35">
        <f t="shared" si="76"/>
        <v>0</v>
      </c>
      <c r="T222" s="50" t="str">
        <f t="shared" si="62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18:07:27-700',mode:absolute,to:'1969-12-31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2" s="52" t="str">
        <f t="shared" si="64"/>
        <v>Y</v>
      </c>
      <c r="X222" s="177">
        <f t="shared" si="65"/>
        <v>2</v>
      </c>
      <c r="Y222" s="67">
        <f t="shared" si="66"/>
        <v>5.8630000000000004</v>
      </c>
      <c r="Z222" s="67">
        <f t="shared" si="67"/>
        <v>2.8795000000000002</v>
      </c>
      <c r="AA222" s="67">
        <f t="shared" si="68"/>
        <v>2.9835000000000003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69"/>
        <v>0906-28</v>
      </c>
      <c r="AE222" s="91" t="str">
        <f t="shared" si="70"/>
        <v>aws s3 cp s3://rtdc.mdm.uploadarchive.raw/RTDC4004/ "%USERPROFILE%\AppData\Local\Temp\OnboardLogs"\RTDC4004\1969-12-31 --exclude "*" --recursive --include "*19691231*" &amp; "%USERPROFILE%\Documents\GitHub\mrs-test-scripts\Headless Mode &amp; Sideloading\WalkAndUnGZ.bat" "%USERPROFILE%\AppData\Local\Temp\OnboardLogs"\RTDC4004\1969-12-31 &amp; aws s3 cp s3://rtdc.mdm.uploadarchive.raw/RTDC4004/ "%USERPROFILE%\AppData\Local\Temp\OnboardLogs"\RTDC4004\1970-01-01 --exclude "*" --recursive --include "*19700101*" &amp; "%USERPROFILE%\Documents\GitHub\mrs-test-scripts\Headless Mode &amp; Sideloading\WalkAndUnGZ.bat" "%USERPROFILE%\AppData\Local\Temp\OnboardLogs"\RTDC4004\1970-01-01</v>
      </c>
      <c r="AF222" s="88" t="str">
        <f t="shared" si="71"/>
        <v>"C:\Program Files (x86)\AstroGrep\AstroGrep.exe" /spath="%USERPROFILE%\AppData\Local\Temp\OnboardLogs" /stypes="app*4004*19700101*" /stext=" 00:.+((SYSTEM_STATE.+slice.+state.+changed )|(ment ac)|(multiple cpu faults)|(system.+state.+changed )|(\[timeout)|(PRM\|1\|D)|(kpr)|(kdp)|(\|lc)|(penalty))" /e /r /s</v>
      </c>
      <c r="AG222" s="1" t="str">
        <f t="shared" si="72"/>
        <v>Other</v>
      </c>
      <c r="AH222" s="92" t="str">
        <f t="shared" si="73"/>
        <v>"%USERPROFILE%\Documents\GitHub\eaglep3\Utilities\RefineRTDCRunTimes.py" --tripid 906-28 --locoid 4004 --swversion DE.1.0.8.0 --startMP 300:58630 --initTime 2016-11-28T19:07:27 --startdatetime 1969-12-31T17:00:00 --delay 1 --endMP 300:28795 --enddatetime 1969-12-31T17:00:00 --enforcementcount 0 &gt;&gt;C:\Users\stu\Documents\GitHub\eaglep3-reporting\EC\2016-11-28-refined-times.txt</v>
      </c>
      <c r="AI222" s="119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{"issue":{"subject":"","project_id":79,"tracker_id":40,"status_id":1,"priority_id":2,"assigned_to_id":23,"start_date":"1969-12-31","description":"","custom_fields":[{"id":1,"name":"Subdivision","value":"Other"},{"id":4,"name":"Milepost","value":"2.8795"},{"id":17,"name":"Train ID","value":"906-28"},{"id":16,"name":"Locomotive ID","value":"4004"},{"id":130,"name":"Impact","value":""},{"id":150,"name":"Time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611</v>
      </c>
      <c r="B223" s="7">
        <v>4032</v>
      </c>
      <c r="C223" s="22" t="s">
        <v>212</v>
      </c>
      <c r="D223" s="22" t="s">
        <v>745</v>
      </c>
      <c r="E223" s="13">
        <v>42702.942314814813</v>
      </c>
      <c r="F223" s="13">
        <v>42702.944907407407</v>
      </c>
      <c r="G223" s="7">
        <v>1</v>
      </c>
      <c r="H223" s="22" t="s">
        <v>781</v>
      </c>
      <c r="I223" s="13">
        <v>42702.950613425928</v>
      </c>
      <c r="J223" s="7">
        <v>0</v>
      </c>
      <c r="K223" s="109" t="str">
        <f t="shared" si="60"/>
        <v>4031/4032</v>
      </c>
      <c r="L223" s="22" t="str">
        <f>VLOOKUP(A223,'Trips&amp;Operators'!$C$1:$E$10000,3,FALSE)</f>
        <v>COOLAHAN</v>
      </c>
      <c r="M223" s="6">
        <f t="shared" si="61"/>
        <v>5.7060185208683833E-3</v>
      </c>
      <c r="N223" s="7">
        <f t="shared" si="75"/>
        <v>8.216666670050472</v>
      </c>
      <c r="O223" s="7"/>
      <c r="P223" s="7"/>
      <c r="Q223" s="23"/>
      <c r="R223" s="23"/>
      <c r="S223" s="35">
        <f t="shared" si="76"/>
        <v>0</v>
      </c>
      <c r="T223" s="50" t="str">
        <f t="shared" si="62"/>
        <v>Southbound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21:36:56-700',mode:absolute,to:'2016-11-28 23:48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3" s="52" t="str">
        <f t="shared" si="64"/>
        <v>Y</v>
      </c>
      <c r="X223" s="177">
        <f t="shared" si="65"/>
        <v>2</v>
      </c>
      <c r="Y223" s="67">
        <f t="shared" si="66"/>
        <v>5.8634000000000004</v>
      </c>
      <c r="Z223" s="67">
        <f t="shared" si="67"/>
        <v>2.1492</v>
      </c>
      <c r="AA223" s="67">
        <f t="shared" si="68"/>
        <v>3.7142000000000004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69"/>
        <v>0908-28</v>
      </c>
      <c r="AE223" s="91" t="str">
        <f t="shared" si="70"/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AF223" s="88" t="str">
        <f t="shared" si="71"/>
        <v>"C:\Program Files (x86)\AstroGrep\AstroGrep.exe" /spath="%USERPROFILE%\AppData\Local\Temp\OnboardLogs" /stypes="app*4032*20161129*" /stext=" 05:.+((SYSTEM_STATE.+slice.+state.+changed )|(ment ac)|(multiple cpu faults)|(system.+state.+changed )|(\[timeout)|(PRM\|1\|D)|(kpr)|(kdp)|(\|lc)|(penalty))" /e /r /s</v>
      </c>
      <c r="AG223" s="1" t="str">
        <f t="shared" si="72"/>
        <v>Other</v>
      </c>
      <c r="AH223" s="92" t="str">
        <f t="shared" si="73"/>
        <v>"%USERPROFILE%\Documents\GitHub\eaglep3\Utilities\RefineRTDCRunTimes.py" --tripid 908-28 --locoid 4032 --swversion DE.1.0.8.0 --startMP 300:58634 --initTime 2016-11-28T22:36:56 --startdatetime 2016-11-28T22:40:40 --delay 1 --endMP 300:21492 --enddatetime 2016-11-28T22:48:53 --enforcementcount 0 &gt;&gt;C:\Users\stu\Documents\GitHub\eaglep3-reporting\EC\2016-11-28-refined-times.txt</v>
      </c>
      <c r="AI223" s="119" t="str">
        <f t="shared" si="74"/>
        <v>echo {"issue":{"subject":"","project_id":79,"tracker_id":40,"status_id":1,"priority_id":2,"assigned_to_id":23,"start_date":"2016-11-28","description":"","custom_fields":[{"id":1,"name":"Subdivision","value":"Other"},{"id":4,"name":"Milepost","value":"2.1492"},{"id":17,"name":"Train ID","value":"908-28"},{"id":16,"name":"Locomotive ID","value":"4032"},{"id":130,"name":"Impact","value":""},{"id":150,"name":"Time of Event (Mountain Time)","value":"22:48:53"},{"id":151,"name":"Denver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498</v>
      </c>
      <c r="B224" s="7">
        <v>4008</v>
      </c>
      <c r="C224" s="22" t="s">
        <v>212</v>
      </c>
      <c r="D224" s="22" t="s">
        <v>695</v>
      </c>
      <c r="E224" s="13">
        <v>42702.435011574074</v>
      </c>
      <c r="F224" s="13">
        <v>42702.436423611114</v>
      </c>
      <c r="G224" s="7">
        <v>1</v>
      </c>
      <c r="H224" s="22" t="s">
        <v>192</v>
      </c>
      <c r="I224" s="13">
        <v>42702.44295138889</v>
      </c>
      <c r="J224" s="7">
        <v>0</v>
      </c>
      <c r="K224" s="109" t="str">
        <f t="shared" si="60"/>
        <v>4007/4008</v>
      </c>
      <c r="L224" s="22" t="str">
        <f>VLOOKUP(A224,'Trips&amp;Operators'!$C$1:$E$10000,3,FALSE)</f>
        <v>BRANDNER</v>
      </c>
      <c r="M224" s="6">
        <f t="shared" si="61"/>
        <v>6.5277777757728472E-3</v>
      </c>
      <c r="N224" s="7">
        <f t="shared" si="75"/>
        <v>9.3999999971129</v>
      </c>
      <c r="O224" s="7"/>
      <c r="P224" s="7"/>
      <c r="Q224" s="23"/>
      <c r="R224" s="23"/>
      <c r="S224" s="35">
        <f t="shared" si="76"/>
        <v>0</v>
      </c>
      <c r="T224" s="50" t="e">
        <f t="shared" si="62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09:26:25-700',mode:absolute,to:'2016-11-28 11:37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4" s="52" t="str">
        <f t="shared" si="64"/>
        <v>Y</v>
      </c>
      <c r="X224" s="177" t="e">
        <f t="shared" si="65"/>
        <v>#VALUE!</v>
      </c>
      <c r="Y224" s="67">
        <f t="shared" si="66"/>
        <v>2.3127</v>
      </c>
      <c r="Z224" s="67">
        <f t="shared" si="67"/>
        <v>1.49E-2</v>
      </c>
      <c r="AA224" s="67">
        <f t="shared" si="68"/>
        <v>2.2978000000000001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69"/>
        <v>50-28</v>
      </c>
      <c r="AE224" s="91" t="str">
        <f t="shared" si="70"/>
        <v>aws s3 cp s3://rtdc.mdm.uploadarchive.raw/RTDC4008/ "%USERPROFILE%\AppData\Local\Temp\OnboardLogs"\RTDC4008\2016-11-28 --exclude "*" --recursive --include "*20161128*" &amp; "%USERPROFILE%\Documents\GitHub\mrs-test-scripts\Headless Mode &amp; Sideloading\WalkAndUnGZ.bat" "%USERPROFILE%\AppData\Local\Temp\OnboardLogs"\RTDC4008\2016-11-28 &amp; aws s3 cp s3://rtdc.mdm.uploadarchive.raw/RTDC4008/ "%USERPROFILE%\AppData\Local\Temp\OnboardLogs"\RTDC4008\2016-11-29 --exclude "*" --recursive --include "*20161129*" &amp; "%USERPROFILE%\Documents\GitHub\mrs-test-scripts\Headless Mode &amp; Sideloading\WalkAndUnGZ.bat" "%USERPROFILE%\AppData\Local\Temp\OnboardLogs"\RTDC4008\2016-11-29</v>
      </c>
      <c r="AF224" s="88" t="str">
        <f t="shared" si="71"/>
        <v>"C:\Program Files (x86)\AstroGrep\AstroGrep.exe" /spath="%USERPROFILE%\AppData\Local\Temp\OnboardLogs" /stypes="app*4008*20161128*" /stext=" 17:.+((SYSTEM_STATE.+slice.+state.+changed )|(ment ac)|(multiple cpu faults)|(system.+state.+changed )|(\[timeout)|(PRM\|1\|D)|(kpr)|(kdp)|(\|lc)|(penalty))" /e /r /s</v>
      </c>
      <c r="AG224" s="1" t="str">
        <f t="shared" si="72"/>
        <v>Other</v>
      </c>
      <c r="AH224" s="92" t="str">
        <f t="shared" si="73"/>
        <v>"%USERPROFILE%\Documents\GitHub\eaglep3\Utilities\RefineRTDCRunTimes.py" --tripid 50-28 --locoid 4008 --swversion DE.1.0.8.0 --startMP 300:23127 --initTime 2016-11-28T10:26:25 --startdatetime 2016-11-28T10:28:27 --delay 1 --endMP 204:149 --enddatetime 2016-11-28T10:37:51 --enforcementcount 0 &gt;&gt;C:\Users\stu\Documents\GitHub\eaglep3-reporting\EC\2016-11-28-refined-times.txt</v>
      </c>
      <c r="AI224" s="119" t="str">
        <f t="shared" si="74"/>
        <v>echo {"issue":{"subject":"","project_id":79,"tracker_id":40,"status_id":1,"priority_id":2,"assigned_to_id":23,"start_date":"2016-11-28","description":"","custom_fields":[{"id":1,"name":"Subdivision","value":"Other"},{"id":4,"name":"Milepost","value":"0.0149"},{"id":17,"name":"Train ID","value":"50-28"},{"id":16,"name":"Locomotive ID","value":"4008"},{"id":130,"name":"Impact","value":""},{"id":150,"name":"Time of Event (Mountain Time)","value":"10:37:51"},{"id":151,"name":"Denver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508</v>
      </c>
      <c r="B225" s="7">
        <v>4007</v>
      </c>
      <c r="C225" s="22" t="s">
        <v>212</v>
      </c>
      <c r="D225" s="22" t="s">
        <v>249</v>
      </c>
      <c r="E225" s="13">
        <v>42702.468229166669</v>
      </c>
      <c r="F225" s="13">
        <v>42702.469525462962</v>
      </c>
      <c r="G225" s="7">
        <v>1</v>
      </c>
      <c r="H225" s="22" t="s">
        <v>696</v>
      </c>
      <c r="I225" s="13">
        <v>42702.474386574075</v>
      </c>
      <c r="J225" s="7">
        <v>0</v>
      </c>
      <c r="K225" s="109" t="str">
        <f t="shared" si="60"/>
        <v>4007/4008</v>
      </c>
      <c r="L225" s="22" t="str">
        <f>VLOOKUP(A225,'Trips&amp;Operators'!$C$1:$E$10000,3,FALSE)</f>
        <v>GRASTON</v>
      </c>
      <c r="M225" s="6">
        <f t="shared" si="61"/>
        <v>4.8611111124046147E-3</v>
      </c>
      <c r="N225" s="7">
        <f t="shared" si="75"/>
        <v>7.0000000018626451</v>
      </c>
      <c r="O225" s="7"/>
      <c r="P225" s="7"/>
      <c r="Q225" s="23"/>
      <c r="R225" s="23"/>
      <c r="S225" s="35">
        <f t="shared" si="76"/>
        <v>0</v>
      </c>
      <c r="T225" s="50" t="e">
        <f t="shared" si="62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10:14:15-700',mode:absolute,to:'2016-11-28 12:23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5" s="52" t="str">
        <f t="shared" si="64"/>
        <v>Y</v>
      </c>
      <c r="X225" s="177" t="e">
        <f t="shared" si="65"/>
        <v>#VALUE!</v>
      </c>
      <c r="Y225" s="67">
        <f t="shared" si="66"/>
        <v>4.5499999999999999E-2</v>
      </c>
      <c r="Z225" s="67">
        <f t="shared" si="67"/>
        <v>2.4222000000000001</v>
      </c>
      <c r="AA225" s="67">
        <f t="shared" si="68"/>
        <v>2.3767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 t="shared" si="69"/>
        <v>51-28</v>
      </c>
      <c r="AE225" s="91" t="str">
        <f t="shared" si="70"/>
        <v>aws s3 cp s3://rtdc.mdm.uploadarchive.raw/RTDC4007/ "%USERPROFILE%\AppData\Local\Temp\OnboardLogs"\RTDC4007\2016-11-28 --exclude "*" --recursive --include "*20161128*" &amp; "%USERPROFILE%\Documents\GitHub\mrs-test-scripts\Headless Mode &amp; Sideloading\WalkAndUnGZ.bat" "%USERPROFILE%\AppData\Local\Temp\OnboardLogs"\RTDC4007\2016-11-28 &amp; aws s3 cp s3://rtdc.mdm.uploadarchive.raw/RTDC4007/ "%USERPROFILE%\AppData\Local\Temp\OnboardLogs"\RTDC4007\2016-11-29 --exclude "*" --recursive --include "*20161129*" &amp; "%USERPROFILE%\Documents\GitHub\mrs-test-scripts\Headless Mode &amp; Sideloading\WalkAndUnGZ.bat" "%USERPROFILE%\AppData\Local\Temp\OnboardLogs"\RTDC4007\2016-11-29</v>
      </c>
      <c r="AF225" s="88" t="str">
        <f t="shared" si="71"/>
        <v>"C:\Program Files (x86)\AstroGrep\AstroGrep.exe" /spath="%USERPROFILE%\AppData\Local\Temp\OnboardLogs" /stypes="app*4007*20161128*" /stext=" 18:.+((SYSTEM_STATE.+slice.+state.+changed )|(ment ac)|(multiple cpu faults)|(system.+state.+changed )|(\[timeout)|(PRM\|1\|D)|(kpr)|(kdp)|(\|lc)|(penalty))" /e /r /s</v>
      </c>
      <c r="AG225" s="1" t="str">
        <f t="shared" si="72"/>
        <v>Other</v>
      </c>
      <c r="AH225" s="92" t="str">
        <f t="shared" si="73"/>
        <v>"%USERPROFILE%\Documents\GitHub\eaglep3\Utilities\RefineRTDCRunTimes.py" --tripid 51-28 --locoid 4007 --swversion DE.1.0.8.0 --startMP 204:455 --initTime 2016-11-28T11:14:15 --startdatetime 2016-11-28T11:16:07 --delay 1 --endMP 300:24222 --enddatetime 2016-11-28T11:23:07 --enforcementcount 0 &gt;&gt;C:\Users\stu\Documents\GitHub\eaglep3-reporting\EC\2016-11-28-refined-times.txt</v>
      </c>
      <c r="AI225" s="119" t="str">
        <f t="shared" si="74"/>
        <v>echo {"issue":{"subject":"","project_id":79,"tracker_id":40,"status_id":1,"priority_id":2,"assigned_to_id":23,"start_date":"2016-11-28","description":"","custom_fields":[{"id":1,"name":"Subdivision","value":"Other"},{"id":4,"name":"Milepost","value":"2.4222"},{"id":17,"name":"Train ID","value":"51-28"},{"id":16,"name":"Locomotive ID","value":"4007"},{"id":130,"name":"Impact","value":""},{"id":150,"name":"Time of Event (Mountain Time)","value":"11:23:07"},{"id":151,"name":"Denver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409</v>
      </c>
      <c r="B226" s="7">
        <v>4008</v>
      </c>
      <c r="C226" s="22" t="s">
        <v>212</v>
      </c>
      <c r="D226" s="22" t="s">
        <v>697</v>
      </c>
      <c r="E226" s="13">
        <v>42702.483969907407</v>
      </c>
      <c r="F226" s="13">
        <v>42702.485254629632</v>
      </c>
      <c r="G226" s="7">
        <v>1</v>
      </c>
      <c r="H226" s="22" t="s">
        <v>698</v>
      </c>
      <c r="I226" s="13">
        <v>42702.490451388891</v>
      </c>
      <c r="J226" s="7">
        <v>0</v>
      </c>
      <c r="K226" s="109" t="str">
        <f t="shared" si="60"/>
        <v>4007/4008</v>
      </c>
      <c r="L226" s="22" t="str">
        <f>VLOOKUP(A226,'Trips&amp;Operators'!$C$1:$E$10000,3,FALSE)</f>
        <v>DAVIDSON</v>
      </c>
      <c r="M226" s="6">
        <f t="shared" si="61"/>
        <v>5.1967592589790002E-3</v>
      </c>
      <c r="N226" s="7">
        <f t="shared" si="75"/>
        <v>7.4833333329297602</v>
      </c>
      <c r="O226" s="7"/>
      <c r="P226" s="7"/>
      <c r="Q226" s="23"/>
      <c r="R226" s="23"/>
      <c r="S226" s="35">
        <f t="shared" si="76"/>
        <v>0</v>
      </c>
      <c r="T226" s="50" t="e">
        <f t="shared" si="62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10:36:55-700',mode:absolute,to:'2016-11-28 12:46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6" s="52" t="str">
        <f t="shared" si="64"/>
        <v>Y</v>
      </c>
      <c r="X226" s="177" t="e">
        <f t="shared" si="65"/>
        <v>#VALUE!</v>
      </c>
      <c r="Y226" s="67">
        <f t="shared" si="66"/>
        <v>2.3121999999999998</v>
      </c>
      <c r="Z226" s="67">
        <f t="shared" si="67"/>
        <v>1.4200000000000001E-2</v>
      </c>
      <c r="AA226" s="67">
        <f t="shared" si="68"/>
        <v>2.2979999999999996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 t="shared" si="69"/>
        <v>52-28</v>
      </c>
      <c r="AE226" s="91" t="str">
        <f t="shared" si="70"/>
        <v>aws s3 cp s3://rtdc.mdm.uploadarchive.raw/RTDC4008/ "%USERPROFILE%\AppData\Local\Temp\OnboardLogs"\RTDC4008\2016-11-28 --exclude "*" --recursive --include "*20161128*" &amp; "%USERPROFILE%\Documents\GitHub\mrs-test-scripts\Headless Mode &amp; Sideloading\WalkAndUnGZ.bat" "%USERPROFILE%\AppData\Local\Temp\OnboardLogs"\RTDC4008\2016-11-28 &amp; aws s3 cp s3://rtdc.mdm.uploadarchive.raw/RTDC4008/ "%USERPROFILE%\AppData\Local\Temp\OnboardLogs"\RTDC4008\2016-11-29 --exclude "*" --recursive --include "*20161129*" &amp; "%USERPROFILE%\Documents\GitHub\mrs-test-scripts\Headless Mode &amp; Sideloading\WalkAndUnGZ.bat" "%USERPROFILE%\AppData\Local\Temp\OnboardLogs"\RTDC4008\2016-11-29</v>
      </c>
      <c r="AF226" s="88" t="str">
        <f t="shared" si="71"/>
        <v>"C:\Program Files (x86)\AstroGrep\AstroGrep.exe" /spath="%USERPROFILE%\AppData\Local\Temp\OnboardLogs" /stypes="app*4008*20161128*" /stext=" 18:.+((SYSTEM_STATE.+slice.+state.+changed )|(ment ac)|(multiple cpu faults)|(system.+state.+changed )|(\[timeout)|(PRM\|1\|D)|(kpr)|(kdp)|(\|lc)|(penalty))" /e /r /s</v>
      </c>
      <c r="AG226" s="1" t="str">
        <f t="shared" si="72"/>
        <v>Other</v>
      </c>
      <c r="AH226" s="92" t="str">
        <f t="shared" si="73"/>
        <v>"%USERPROFILE%\Documents\GitHub\eaglep3\Utilities\RefineRTDCRunTimes.py" --tripid 52-28 --locoid 4008 --swversion DE.1.0.8.0 --startMP 300:23122 --initTime 2016-11-28T11:36:55 --startdatetime 2016-11-28T11:38:46 --delay 1 --endMP 204:142 --enddatetime 2016-11-28T11:46:15 --enforcementcount 0 &gt;&gt;C:\Users\stu\Documents\GitHub\eaglep3-reporting\EC\2016-11-28-refined-times.txt</v>
      </c>
      <c r="AI226" s="119" t="str">
        <f t="shared" si="74"/>
        <v>echo {"issue":{"subject":"","project_id":79,"tracker_id":40,"status_id":1,"priority_id":2,"assigned_to_id":23,"start_date":"2016-11-28","description":"","custom_fields":[{"id":1,"name":"Subdivision","value":"Other"},{"id":4,"name":"Milepost","value":"0.0142"},{"id":17,"name":"Train ID","value":"52-28"},{"id":16,"name":"Locomotive ID","value":"4008"},{"id":130,"name":"Impact","value":""},{"id":150,"name":"Time of Event (Mountain Time)","value":"11:46:15"},{"id":151,"name":"Denver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411</v>
      </c>
      <c r="B227" s="7">
        <v>4007</v>
      </c>
      <c r="C227" s="22" t="s">
        <v>212</v>
      </c>
      <c r="D227" s="22" t="s">
        <v>195</v>
      </c>
      <c r="E227" s="13">
        <v>42702.51190972222</v>
      </c>
      <c r="F227" s="13">
        <v>42702.513171296298</v>
      </c>
      <c r="G227" s="7">
        <v>1</v>
      </c>
      <c r="H227" s="22" t="s">
        <v>699</v>
      </c>
      <c r="I227" s="13">
        <v>42702.519548611112</v>
      </c>
      <c r="J227" s="7">
        <v>0</v>
      </c>
      <c r="K227" s="109" t="str">
        <f t="shared" si="60"/>
        <v>4007/4008</v>
      </c>
      <c r="L227" s="22" t="str">
        <f>VLOOKUP(A227,'Trips&amp;Operators'!$C$1:$E$10000,3,FALSE)</f>
        <v>DAVIS</v>
      </c>
      <c r="M227" s="6">
        <f t="shared" si="61"/>
        <v>6.3773148140171543E-3</v>
      </c>
      <c r="N227" s="7">
        <f t="shared" si="75"/>
        <v>9.1833333321847022</v>
      </c>
      <c r="O227" s="7"/>
      <c r="P227" s="7"/>
      <c r="Q227" s="23"/>
      <c r="R227" s="23"/>
      <c r="S227" s="35">
        <f t="shared" si="76"/>
        <v>0</v>
      </c>
      <c r="T227" s="50" t="e">
        <f t="shared" si="62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11:17:09-700',mode:absolute,to:'2016-11-28 13:28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7" s="52" t="str">
        <f t="shared" si="64"/>
        <v>Y</v>
      </c>
      <c r="X227" s="177" t="e">
        <f t="shared" si="65"/>
        <v>#VALUE!</v>
      </c>
      <c r="Y227" s="67">
        <f t="shared" si="66"/>
        <v>4.53E-2</v>
      </c>
      <c r="Z227" s="67">
        <f t="shared" si="67"/>
        <v>2.5668000000000002</v>
      </c>
      <c r="AA227" s="67">
        <f t="shared" si="68"/>
        <v>2.5215000000000001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 t="shared" si="69"/>
        <v>53-28</v>
      </c>
      <c r="AE227" s="91" t="str">
        <f t="shared" si="70"/>
        <v>aws s3 cp s3://rtdc.mdm.uploadarchive.raw/RTDC4007/ "%USERPROFILE%\AppData\Local\Temp\OnboardLogs"\RTDC4007\2016-11-28 --exclude "*" --recursive --include "*20161128*" &amp; "%USERPROFILE%\Documents\GitHub\mrs-test-scripts\Headless Mode &amp; Sideloading\WalkAndUnGZ.bat" "%USERPROFILE%\AppData\Local\Temp\OnboardLogs"\RTDC4007\2016-11-28 &amp; aws s3 cp s3://rtdc.mdm.uploadarchive.raw/RTDC4007/ "%USERPROFILE%\AppData\Local\Temp\OnboardLogs"\RTDC4007\2016-11-29 --exclude "*" --recursive --include "*20161129*" &amp; "%USERPROFILE%\Documents\GitHub\mrs-test-scripts\Headless Mode &amp; Sideloading\WalkAndUnGZ.bat" "%USERPROFILE%\AppData\Local\Temp\OnboardLogs"\RTDC4007\2016-11-29</v>
      </c>
      <c r="AF227" s="88" t="str">
        <f t="shared" si="71"/>
        <v>"C:\Program Files (x86)\AstroGrep\AstroGrep.exe" /spath="%USERPROFILE%\AppData\Local\Temp\OnboardLogs" /stypes="app*4007*20161128*" /stext=" 19:.+((SYSTEM_STATE.+slice.+state.+changed )|(ment ac)|(multiple cpu faults)|(system.+state.+changed )|(\[timeout)|(PRM\|1\|D)|(kpr)|(kdp)|(\|lc)|(penalty))" /e /r /s</v>
      </c>
      <c r="AG227" s="1" t="str">
        <f t="shared" si="72"/>
        <v>Other</v>
      </c>
      <c r="AH227" s="92" t="str">
        <f t="shared" si="73"/>
        <v>"%USERPROFILE%\Documents\GitHub\eaglep3\Utilities\RefineRTDCRunTimes.py" --tripid 53-28 --locoid 4007 --swversion DE.1.0.8.0 --startMP 204:453 --initTime 2016-11-28T12:17:09 --startdatetime 2016-11-28T12:18:58 --delay 1 --endMP 300:25668 --enddatetime 2016-11-28T12:28:09 --enforcementcount 0 &gt;&gt;C:\Users\stu\Documents\GitHub\eaglep3-reporting\EC\2016-11-28-refined-times.txt</v>
      </c>
      <c r="AI227" s="119" t="str">
        <f t="shared" si="74"/>
        <v>echo {"issue":{"subject":"","project_id":79,"tracker_id":40,"status_id":1,"priority_id":2,"assigned_to_id":23,"start_date":"2016-11-28","description":"","custom_fields":[{"id":1,"name":"Subdivision","value":"Other"},{"id":4,"name":"Milepost","value":"2.5668"},{"id":17,"name":"Train ID","value":"53-28"},{"id":16,"name":"Locomotive ID","value":"4007"},{"id":130,"name":"Impact","value":""},{"id":150,"name":"Time of Event (Mountain Time)","value":"12:28:09"},{"id":151,"name":"Denver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426</v>
      </c>
      <c r="B228" s="7">
        <v>4008</v>
      </c>
      <c r="C228" s="22" t="s">
        <v>212</v>
      </c>
      <c r="D228" s="22" t="s">
        <v>700</v>
      </c>
      <c r="E228" s="13">
        <v>42702.739224537036</v>
      </c>
      <c r="F228" s="13">
        <v>42702.74800925926</v>
      </c>
      <c r="G228" s="7">
        <v>12</v>
      </c>
      <c r="H228" s="22" t="s">
        <v>701</v>
      </c>
      <c r="I228" s="13">
        <v>42702.754849537036</v>
      </c>
      <c r="J228" s="7">
        <v>0</v>
      </c>
      <c r="K228" s="109" t="str">
        <f t="shared" si="60"/>
        <v>4007/4008</v>
      </c>
      <c r="L228" s="22" t="str">
        <f>VLOOKUP(A228,'Trips&amp;Operators'!$C$1:$E$10000,3,FALSE)</f>
        <v>CHANDLER</v>
      </c>
      <c r="M228" s="6">
        <f t="shared" si="61"/>
        <v>6.8402777760638855E-3</v>
      </c>
      <c r="N228" s="7">
        <f t="shared" si="75"/>
        <v>9.8499999975319952</v>
      </c>
      <c r="O228" s="7"/>
      <c r="P228" s="7"/>
      <c r="Q228" s="23"/>
      <c r="R228" s="23"/>
      <c r="S228" s="35">
        <f t="shared" si="76"/>
        <v>0</v>
      </c>
      <c r="T228" s="50" t="e">
        <f t="shared" si="62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16:44:29-700',mode:absolute,to:'2016-11-28 19:06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8" s="52" t="str">
        <f t="shared" si="64"/>
        <v>Y</v>
      </c>
      <c r="X228" s="177" t="e">
        <f t="shared" si="65"/>
        <v>#VALUE!</v>
      </c>
      <c r="Y228" s="67">
        <f t="shared" si="66"/>
        <v>2.214</v>
      </c>
      <c r="Z228" s="67">
        <f t="shared" si="67"/>
        <v>9.5799999999999996E-2</v>
      </c>
      <c r="AA228" s="67">
        <f t="shared" si="68"/>
        <v>2.1181999999999999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 t="shared" si="69"/>
        <v>54-28</v>
      </c>
      <c r="AE228" s="91" t="str">
        <f t="shared" si="70"/>
        <v>aws s3 cp s3://rtdc.mdm.uploadarchive.raw/RTDC4008/ "%USERPROFILE%\AppData\Local\Temp\OnboardLogs"\RTDC4008\2016-11-28 --exclude "*" --recursive --include "*20161128*" &amp; "%USERPROFILE%\Documents\GitHub\mrs-test-scripts\Headless Mode &amp; Sideloading\WalkAndUnGZ.bat" "%USERPROFILE%\AppData\Local\Temp\OnboardLogs"\RTDC4008\2016-11-28 &amp; aws s3 cp s3://rtdc.mdm.uploadarchive.raw/RTDC4008/ "%USERPROFILE%\AppData\Local\Temp\OnboardLogs"\RTDC4008\2016-11-29 --exclude "*" --recursive --include "*20161129*" &amp; "%USERPROFILE%\Documents\GitHub\mrs-test-scripts\Headless Mode &amp; Sideloading\WalkAndUnGZ.bat" "%USERPROFILE%\AppData\Local\Temp\OnboardLogs"\RTDC4008\2016-11-29</v>
      </c>
      <c r="AF228" s="88" t="str">
        <f t="shared" si="71"/>
        <v>"C:\Program Files (x86)\AstroGrep\AstroGrep.exe" /spath="%USERPROFILE%\AppData\Local\Temp\OnboardLogs" /stypes="app*4008*20161129*" /stext=" 01:.+((SYSTEM_STATE.+slice.+state.+changed )|(ment ac)|(multiple cpu faults)|(system.+state.+changed )|(\[timeout)|(PRM\|1\|D)|(kpr)|(kdp)|(\|lc)|(penalty))" /e /r /s</v>
      </c>
      <c r="AG228" s="1" t="str">
        <f t="shared" si="72"/>
        <v>Other</v>
      </c>
      <c r="AH228" s="92" t="str">
        <f t="shared" si="73"/>
        <v>"%USERPROFILE%\Documents\GitHub\eaglep3\Utilities\RefineRTDCRunTimes.py" --tripid 54-28 --locoid 4008 --swversion DE.1.0.8.0 --startMP 300:22140 --initTime 2016-11-28T17:44:29 --startdatetime 2016-11-28T17:57:08 --delay 12 --endMP 204:958 --enddatetime 2016-11-28T18:06:59 --enforcementcount 0 &gt;&gt;C:\Users\stu\Documents\GitHub\eaglep3-reporting\EC\2016-11-28-refined-times.txt</v>
      </c>
      <c r="AI228" s="119" t="str">
        <f t="shared" si="74"/>
        <v>echo {"issue":{"subject":"","project_id":79,"tracker_id":40,"status_id":1,"priority_id":2,"assigned_to_id":23,"start_date":"2016-11-28","description":"","custom_fields":[{"id":1,"name":"Subdivision","value":"Other"},{"id":4,"name":"Milepost","value":"0.0958"},{"id":17,"name":"Train ID","value":"54-28"},{"id":16,"name":"Locomotive ID","value":"4008"},{"id":130,"name":"Impact","value":""},{"id":150,"name":"Time of Event (Mountain Time)","value":"18:06:59"},{"id":151,"name":"Denver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564</v>
      </c>
      <c r="B229" s="7">
        <v>4009</v>
      </c>
      <c r="C229" s="22" t="s">
        <v>212</v>
      </c>
      <c r="D229" s="22" t="s">
        <v>702</v>
      </c>
      <c r="E229" s="13">
        <v>42702.708124999997</v>
      </c>
      <c r="F229" s="13">
        <v>25568.708333333332</v>
      </c>
      <c r="G229" s="7">
        <v>3</v>
      </c>
      <c r="H229" s="22" t="s">
        <v>703</v>
      </c>
      <c r="I229" s="13">
        <v>25568.708333333332</v>
      </c>
      <c r="J229" s="7">
        <v>0</v>
      </c>
      <c r="K229" s="109" t="str">
        <f t="shared" si="60"/>
        <v>4009/4010</v>
      </c>
      <c r="L229" s="22" t="str">
        <f>VLOOKUP(A229,'Trips&amp;Operators'!$C$1:$E$10000,3,FALSE)</f>
        <v>BERLING</v>
      </c>
      <c r="M229" s="6">
        <f t="shared" si="61"/>
        <v>0</v>
      </c>
      <c r="N229" s="7">
        <f t="shared" si="75"/>
        <v>0</v>
      </c>
      <c r="O229" s="7"/>
      <c r="P229" s="7"/>
      <c r="Q229" s="23"/>
      <c r="R229" s="23"/>
      <c r="S229" s="35">
        <f t="shared" si="76"/>
        <v>0</v>
      </c>
      <c r="T229" s="50" t="e">
        <f t="shared" si="62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15:59:42-700',mode:absolute,to:'1969-12-31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29" s="52" t="str">
        <f t="shared" si="64"/>
        <v>Y</v>
      </c>
      <c r="X229" s="177" t="e">
        <f t="shared" si="65"/>
        <v>#VALUE!</v>
      </c>
      <c r="Y229" s="67">
        <f t="shared" si="66"/>
        <v>0.14729999999999999</v>
      </c>
      <c r="Z229" s="67">
        <f t="shared" si="67"/>
        <v>2.3346</v>
      </c>
      <c r="AA229" s="67">
        <f t="shared" si="68"/>
        <v>2.1873</v>
      </c>
      <c r="AB229" s="64" t="e">
        <f>VLOOKUP(A229,Enforcements!$C$7:$K$20,8,0)</f>
        <v>#N/A</v>
      </c>
      <c r="AC229" s="60" t="e">
        <f>VLOOKUP(A229,Enforcements!$C$7:$E$20,3,0)</f>
        <v>#N/A</v>
      </c>
      <c r="AD229" s="61" t="str">
        <f t="shared" si="69"/>
        <v>73-28</v>
      </c>
      <c r="AE229" s="91" t="str">
        <f t="shared" si="70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29" s="88" t="str">
        <f t="shared" si="71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29" s="1" t="str">
        <f t="shared" si="72"/>
        <v>Other</v>
      </c>
      <c r="AH229" s="92" t="str">
        <f t="shared" si="73"/>
        <v>"%USERPROFILE%\Documents\GitHub\eaglep3\Utilities\RefineRTDCRunTimes.py" --tripid 73-28 --locoid 4009 --swversion DE.1.0.8.0 --startMP 204:1473 --initTime 2016-11-28T16:59:42 --startdatetime 1969-12-31T17:00:00 --delay 3 --endMP 300:23346 --enddatetime 1969-12-31T17:00:00 --enforcementcount 0 &gt;&gt;C:\Users\stu\Documents\GitHub\eaglep3-reporting\EC\2016-11-28-refined-times.txt</v>
      </c>
      <c r="AI229" s="119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ID","value":"73-28"},{"id":16,"name":"Locomotive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575</v>
      </c>
      <c r="B230" s="7">
        <v>4045</v>
      </c>
      <c r="C230" s="22" t="s">
        <v>212</v>
      </c>
      <c r="D230" s="22" t="s">
        <v>704</v>
      </c>
      <c r="E230" s="13">
        <v>42702.743668981479</v>
      </c>
      <c r="F230" s="13">
        <v>42702.744953703703</v>
      </c>
      <c r="G230" s="7">
        <v>1</v>
      </c>
      <c r="H230" s="22" t="s">
        <v>705</v>
      </c>
      <c r="I230" s="13">
        <v>42702.752418981479</v>
      </c>
      <c r="J230" s="7">
        <v>0</v>
      </c>
      <c r="K230" s="109" t="str">
        <f t="shared" si="60"/>
        <v>4045/4046</v>
      </c>
      <c r="L230" s="22" t="str">
        <f>VLOOKUP(A230,'Trips&amp;Operators'!$C$1:$E$10000,3,FALSE)</f>
        <v>MCREYNOLDS</v>
      </c>
      <c r="M230" s="6">
        <f t="shared" si="61"/>
        <v>7.4652777766459621E-3</v>
      </c>
      <c r="N230" s="7">
        <f t="shared" si="75"/>
        <v>10.749999998370185</v>
      </c>
      <c r="O230" s="7"/>
      <c r="P230" s="7"/>
      <c r="Q230" s="23"/>
      <c r="R230" s="23"/>
      <c r="S230" s="35">
        <f t="shared" si="76"/>
        <v>0</v>
      </c>
      <c r="T230" s="50" t="e">
        <f t="shared" si="62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16:50:53-700',mode:absolute,to:'2016-11-28 19:03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30" s="52" t="str">
        <f t="shared" si="64"/>
        <v>Y</v>
      </c>
      <c r="X230" s="177" t="e">
        <f t="shared" si="65"/>
        <v>#VALUE!</v>
      </c>
      <c r="Y230" s="67">
        <f t="shared" si="66"/>
        <v>2.2035999999999998</v>
      </c>
      <c r="Z230" s="67">
        <f t="shared" si="67"/>
        <v>7.9000000000000008E-3</v>
      </c>
      <c r="AA230" s="67">
        <f t="shared" si="68"/>
        <v>2.1957</v>
      </c>
      <c r="AB230" s="64" t="e">
        <f>VLOOKUP(A230,Enforcements!$C$7:$K$20,8,0)</f>
        <v>#N/A</v>
      </c>
      <c r="AC230" s="60" t="e">
        <f>VLOOKUP(A230,Enforcements!$C$7:$E$20,3,0)</f>
        <v>#N/A</v>
      </c>
      <c r="AD230" s="61" t="str">
        <f t="shared" si="69"/>
        <v>76-28</v>
      </c>
      <c r="AE230" s="91" t="str">
        <f t="shared" si="70"/>
        <v>aws s3 cp s3://rtdc.mdm.uploadarchive.raw/RTDC4045/ "%USERPROFILE%\AppData\Local\Temp\OnboardLogs"\RTDC4045\2016-11-28 --exclude "*" --recursive --include "*20161128*" &amp; "%USERPROFILE%\Documents\GitHub\mrs-test-scripts\Headless Mode &amp; Sideloading\WalkAndUnGZ.bat" "%USERPROFILE%\AppData\Local\Temp\OnboardLogs"\RTDC4045\2016-11-28 &amp; aws s3 cp s3://rtdc.mdm.uploadarchive.raw/RTDC4045/ "%USERPROFILE%\AppData\Local\Temp\OnboardLogs"\RTDC4045\2016-11-29 --exclude "*" --recursive --include "*20161129*" &amp; "%USERPROFILE%\Documents\GitHub\mrs-test-scripts\Headless Mode &amp; Sideloading\WalkAndUnGZ.bat" "%USERPROFILE%\AppData\Local\Temp\OnboardLogs"\RTDC4045\2016-11-29</v>
      </c>
      <c r="AF230" s="88" t="str">
        <f t="shared" si="71"/>
        <v>"C:\Program Files (x86)\AstroGrep\AstroGrep.exe" /spath="%USERPROFILE%\AppData\Local\Temp\OnboardLogs" /stypes="app*4045*20161129*" /stext=" 01:.+((SYSTEM_STATE.+slice.+state.+changed )|(ment ac)|(multiple cpu faults)|(system.+state.+changed )|(\[timeout)|(PRM\|1\|D)|(kpr)|(kdp)|(\|lc)|(penalty))" /e /r /s</v>
      </c>
      <c r="AG230" s="1" t="str">
        <f t="shared" si="72"/>
        <v>Other</v>
      </c>
      <c r="AH230" s="92" t="str">
        <f t="shared" si="73"/>
        <v>"%USERPROFILE%\Documents\GitHub\eaglep3\Utilities\RefineRTDCRunTimes.py" --tripid 76-28 --locoid 4045 --swversion DE.1.0.8.0 --startMP 300:22036 --initTime 2016-11-28T17:50:53 --startdatetime 2016-11-28T17:52:44 --delay 1 --endMP 204:79 --enddatetime 2016-11-28T18:03:29 --enforcementcount 0 &gt;&gt;C:\Users\stu\Documents\GitHub\eaglep3-reporting\EC\2016-11-28-refined-times.txt</v>
      </c>
      <c r="AI230" s="119" t="str">
        <f t="shared" si="74"/>
        <v>echo {"issue":{"subject":"","project_id":79,"tracker_id":40,"status_id":1,"priority_id":2,"assigned_to_id":23,"start_date":"2016-11-28","description":"","custom_fields":[{"id":1,"name":"Subdivision","value":"Other"},{"id":4,"name":"Milepost","value":"0.0079"},{"id":17,"name":"Train ID","value":"76-28"},{"id":16,"name":"Locomotive ID","value":"4045"},{"id":130,"name":"Impact","value":""},{"id":150,"name":"Time of Event (Mountain Time)","value":"18:03:29"},{"id":151,"name":"Denver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583</v>
      </c>
      <c r="B231" s="7">
        <v>4007</v>
      </c>
      <c r="C231" s="22" t="s">
        <v>212</v>
      </c>
      <c r="D231" s="22" t="s">
        <v>706</v>
      </c>
      <c r="E231" s="13">
        <v>42702.772337962961</v>
      </c>
      <c r="F231" s="13">
        <v>42702.7734837963</v>
      </c>
      <c r="G231" s="7">
        <v>0</v>
      </c>
      <c r="H231" s="22" t="s">
        <v>707</v>
      </c>
      <c r="I231" s="13">
        <v>42702.779895833337</v>
      </c>
      <c r="J231" s="7">
        <v>0</v>
      </c>
      <c r="K231" s="109" t="str">
        <f t="shared" si="60"/>
        <v>4007/4008</v>
      </c>
      <c r="L231" s="22" t="str">
        <f>VLOOKUP(A231,'Trips&amp;Operators'!$C$1:$E$10000,3,FALSE)</f>
        <v>BONDS</v>
      </c>
      <c r="M231" s="6">
        <f t="shared" si="61"/>
        <v>6.4120370370801538E-3</v>
      </c>
      <c r="N231" s="7">
        <f t="shared" si="75"/>
        <v>9.2333333333954215</v>
      </c>
      <c r="O231" s="7"/>
      <c r="P231" s="7"/>
      <c r="Q231" s="23"/>
      <c r="R231" s="23"/>
      <c r="S231" s="35">
        <f t="shared" si="76"/>
        <v>0</v>
      </c>
      <c r="T231" s="50" t="e">
        <f t="shared" si="62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63"/>
        <v>https://search-rtdc-monitor-bjffxe2xuh6vdkpspy63sjmuny.us-east-1.es.amazonaws.com/_plugin/kibana/#/discover/Steve-Slow-Train-Analysis-(2080s-and-2083s)?_g=(refreshInterval:(display:Off,section:0,value:0),time:(from:'2016-11-28 17:32:10-700',mode:absolute,to:'2016-11-28 19:43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31" s="52" t="str">
        <f t="shared" si="64"/>
        <v>Y</v>
      </c>
      <c r="X231" s="177" t="e">
        <f t="shared" si="65"/>
        <v>#VALUE!</v>
      </c>
      <c r="Y231" s="67">
        <f t="shared" si="66"/>
        <v>0.1268</v>
      </c>
      <c r="Z231" s="67">
        <f t="shared" si="67"/>
        <v>2.4262999999999999</v>
      </c>
      <c r="AA231" s="67">
        <f t="shared" si="68"/>
        <v>2.2995000000000001</v>
      </c>
      <c r="AB231" s="64" t="e">
        <f>VLOOKUP(A231,Enforcements!$C$7:$K$20,8,0)</f>
        <v>#N/A</v>
      </c>
      <c r="AC231" s="60" t="e">
        <f>VLOOKUP(A231,Enforcements!$C$7:$E$20,3,0)</f>
        <v>#N/A</v>
      </c>
      <c r="AD231" s="61" t="str">
        <f t="shared" si="69"/>
        <v>77-28</v>
      </c>
      <c r="AE231" s="91" t="str">
        <f t="shared" si="70"/>
        <v>aws s3 cp s3://rtdc.mdm.uploadarchive.raw/RTDC4007/ "%USERPROFILE%\AppData\Local\Temp\OnboardLogs"\RTDC4007\2016-11-28 --exclude "*" --recursive --include "*20161128*" &amp; "%USERPROFILE%\Documents\GitHub\mrs-test-scripts\Headless Mode &amp; Sideloading\WalkAndUnGZ.bat" "%USERPROFILE%\AppData\Local\Temp\OnboardLogs"\RTDC4007\2016-11-28 &amp; aws s3 cp s3://rtdc.mdm.uploadarchive.raw/RTDC4007/ "%USERPROFILE%\AppData\Local\Temp\OnboardLogs"\RTDC4007\2016-11-29 --exclude "*" --recursive --include "*20161129*" &amp; "%USERPROFILE%\Documents\GitHub\mrs-test-scripts\Headless Mode &amp; Sideloading\WalkAndUnGZ.bat" "%USERPROFILE%\AppData\Local\Temp\OnboardLogs"\RTDC4007\2016-11-29</v>
      </c>
      <c r="AF231" s="88" t="str">
        <f t="shared" si="71"/>
        <v>"C:\Program Files (x86)\AstroGrep\AstroGrep.exe" /spath="%USERPROFILE%\AppData\Local\Temp\OnboardLogs" /stypes="app*4007*20161129*" /stext=" 01:.+((SYSTEM_STATE.+slice.+state.+changed )|(ment ac)|(multiple cpu faults)|(system.+state.+changed )|(\[timeout)|(PRM\|1\|D)|(kpr)|(kdp)|(\|lc)|(penalty))" /e /r /s</v>
      </c>
      <c r="AG231" s="1" t="str">
        <f t="shared" si="72"/>
        <v>Other</v>
      </c>
      <c r="AH231" s="92" t="str">
        <f t="shared" si="73"/>
        <v>"%USERPROFILE%\Documents\GitHub\eaglep3\Utilities\RefineRTDCRunTimes.py" --tripid 77-28 --locoid 4007 --swversion DE.1.0.8.0 --startMP 204:1268 --initTime 2016-11-28T18:32:10 --startdatetime 2016-11-28T18:33:49 --delay 0 --endMP 300:24263 --enddatetime 2016-11-28T18:43:03 --enforcementcount 0 &gt;&gt;C:\Users\stu\Documents\GitHub\eaglep3-reporting\EC\2016-11-28-refined-times.txt</v>
      </c>
      <c r="AI231" s="119" t="str">
        <f t="shared" si="74"/>
        <v>echo {"issue":{"subject":"","project_id":79,"tracker_id":40,"status_id":1,"priority_id":2,"assigned_to_id":23,"start_date":"2016-11-28","description":"","custom_fields":[{"id":1,"name":"Subdivision","value":"Other"},{"id":4,"name":"Milepost","value":"2.4263"},{"id":17,"name":"Train ID","value":"77-28"},{"id":16,"name":"Locomotive ID","value":"4007"},{"id":130,"name":"Impact","value":""},{"id":150,"name":"Time of Event (Mountain Time)","value":"18:43:03"},{"id":151,"name":"Denver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</sheetData>
  <autoFilter ref="A12:AG242">
    <sortState ref="A13:AG243">
      <sortCondition ref="AG13:AG232"/>
      <sortCondition ref="AD13:AD232"/>
    </sortState>
  </autoFilter>
  <sortState ref="A13:AH200">
    <sortCondition ref="AG13:AG200"/>
    <sortCondition ref="AD13:AD200"/>
  </sortState>
  <mergeCells count="1">
    <mergeCell ref="A11:P11"/>
  </mergeCells>
  <conditionalFormatting sqref="W11:W12 W252:X1048576 W13:X231">
    <cfRule type="cellIs" dxfId="10" priority="344" operator="equal">
      <formula>"Y"</formula>
    </cfRule>
  </conditionalFormatting>
  <conditionalFormatting sqref="X252:X1048576 X13:X231">
    <cfRule type="cellIs" dxfId="9" priority="327" operator="greaterThan">
      <formula>1</formula>
    </cfRule>
  </conditionalFormatting>
  <conditionalFormatting sqref="X252:X1048576 X12:X231">
    <cfRule type="cellIs" dxfId="8" priority="324" operator="equal">
      <formula>0</formula>
    </cfRule>
  </conditionalFormatting>
  <conditionalFormatting sqref="A13:S231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AK13:AK231</xm:sqref>
        </x14:dataValidation>
        <x14:dataValidation type="list" allowBlank="1" showInputMessage="1" showErrorMessage="1">
          <x14:formula1>
            <xm:f>'Redmine List Values'!$C$2:$C$15</xm:f>
          </x14:formula1>
          <xm:sqref>AL13:AL231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abSelected="1" topLeftCell="A2" workbookViewId="0">
      <selection activeCell="S16" sqref="S16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3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44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- 2016-11-28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242</v>
      </c>
    </row>
    <row r="7" spans="1:30" s="1" customFormat="1" x14ac:dyDescent="0.25">
      <c r="A7" s="36">
        <v>42702.230787037035</v>
      </c>
      <c r="B7" s="31" t="s">
        <v>225</v>
      </c>
      <c r="C7" s="31" t="s">
        <v>395</v>
      </c>
      <c r="D7" s="31" t="s">
        <v>98</v>
      </c>
      <c r="E7" s="31" t="s">
        <v>199</v>
      </c>
      <c r="F7" s="47">
        <v>200</v>
      </c>
      <c r="G7" s="47">
        <v>255</v>
      </c>
      <c r="H7" s="47">
        <v>5299</v>
      </c>
      <c r="I7" s="47">
        <v>5826</v>
      </c>
      <c r="J7" s="31" t="s">
        <v>200</v>
      </c>
      <c r="K7" s="47">
        <v>4677</v>
      </c>
      <c r="L7" s="154" t="s">
        <v>50</v>
      </c>
      <c r="M7" s="155">
        <f t="shared" ref="M7:M53" si="0">CONVERT((I7-K7)/10000,"mi","ft")*IF(L7="Increasing Mileposts (1)",-1,1)</f>
        <v>-606.67200000000003</v>
      </c>
      <c r="N7" s="156" t="str">
        <f>VLOOKUP(C7,'Trips&amp;Operators'!$C$1:$E$99999,3,FALSE)</f>
        <v>HAITHCOX</v>
      </c>
      <c r="O7" s="182" t="s">
        <v>198</v>
      </c>
      <c r="P7" s="157"/>
      <c r="Q7" s="31"/>
      <c r="R7" s="100" t="str">
        <f>VLOOKUP(C7,'Train Runs'!$A$13:$AE$9986,31,0)</f>
        <v>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 &amp; aws s3 cp s3://rtdc.mdm.uploadarchive.raw/RTDC4038/ "%USERPROFILE%\AppData\Local\Temp\OnboardLogs"\RTDC4038\2016-11-29 --exclude "*" --recursive --include "*20161129*" &amp; "%USERPROFILE%\Documents\GitHub\mrs-test-scripts\Headless Mode &amp; Sideloading\WalkAndUnGZ.bat" "%USERPROFILE%\AppData\Local\Temp\OnboardLogs"\RTDC4038\2016-11-29</v>
      </c>
      <c r="S7" s="103" t="str">
        <f>VLOOKUP(C7,'Train Runs'!$A$13:$AE$9986,22,0)</f>
        <v>https://search-rtdc-monitor-bjffxe2xuh6vdkpspy63sjmuny.us-east-1.es.amazonaws.com/_plugin/kibana/#/discover/Steve-Slow-Train-Analysis-(2080s-and-2083s)?_g=(refreshInterval:(display:Off,section:0,value:0),time:(from:'2016-11-28 04:25:48-700',mode:absolute,to:'2016-11-28 07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7" s="105" t="str">
        <f t="shared" ref="T7:T53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/stypes="*4038*201611281*" /stext=" 12:.+((SYSTEM_STATE.+slice.+state.+changed )|(ment ac)|(multiple cpu faults)|(system.+state.+changed )|(\[timeout)|(PRM\|1\|D)|(kpr)|(kdp)|(\|lc)|(penalty))" /e /r /s</v>
      </c>
      <c r="U7" s="9" t="str">
        <f t="shared" ref="U7:U53" si="2">MID(B7,13,4)</f>
        <v>4038</v>
      </c>
      <c r="V7" s="36">
        <f t="shared" ref="V7:V53" si="3">A7-utc_offset/24</f>
        <v>42702.522453703699</v>
      </c>
      <c r="W7" s="50" t="str">
        <f t="shared" ref="W7:W53" si="4">IF(VALUE(LEFT(IF(LEN(C7)=6,"0"&amp;C7,C7),2))&lt;=2,"EC",IF(OR(VALUE(LEFT(IF(LEN(C7)=6,"0"&amp;C7,C7),2))=8,VALUE(LEFT(IF(LEN(C7)=6,"0"&amp;C7,C7),2))=18),"NW","Other"))</f>
        <v>EC</v>
      </c>
      <c r="X7" s="50" t="str">
        <f t="shared" ref="X7:X53" si="5">IF(AND(E7="TRACK WARRANT AUTHORITY",G7&lt;10),"OMIT","KEEP")</f>
        <v>KEEP</v>
      </c>
      <c r="Y7" s="119" t="str">
        <f t="shared" ref="Y7:Y5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{"issue":{"subject":"","project_id":79,"tracker_id":40,"status_id":1,"priority_id":2,"assigned_to_id":23,"start_date":"2016-11-28","description":"","custom_fields":[{"id":1,"name":"Subdivision","value":"EC"},{"id":4,"name":"Milepost","value":"0.4677"},{"id":17,"name":"Train ID","value":"115-28"},{"id":16,"name":"Locomotive ID","value":"4038"},{"id":130,"name":"Impact","value":""},{"id":150,"name":"Time of Event (Mountain Time)","value":"05:32:20"},{"id":151,"name":"Denver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53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"%USERPROFILE%\AppData\Local\Temp\OnboardLogs"\RTDC4038\*4038*201611281*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"%USERPROFILE%\AppData\Local\Temp\OnboardLogs"\RTDC4038\*4038*201611281* &gt;&gt; 42702-slicedisagreementcheck.txt</v>
      </c>
    </row>
    <row r="8" spans="1:30" s="1" customFormat="1" x14ac:dyDescent="0.25">
      <c r="A8" s="36">
        <v>42702.336539351854</v>
      </c>
      <c r="B8" s="31" t="s">
        <v>277</v>
      </c>
      <c r="C8" s="31" t="s">
        <v>400</v>
      </c>
      <c r="D8" s="31" t="s">
        <v>49</v>
      </c>
      <c r="E8" s="31" t="s">
        <v>199</v>
      </c>
      <c r="F8" s="47">
        <v>200</v>
      </c>
      <c r="G8" s="47">
        <v>259</v>
      </c>
      <c r="H8" s="47">
        <v>6095</v>
      </c>
      <c r="I8" s="47">
        <v>5519</v>
      </c>
      <c r="J8" s="31" t="s">
        <v>200</v>
      </c>
      <c r="K8" s="47">
        <v>5457</v>
      </c>
      <c r="L8" s="154" t="s">
        <v>51</v>
      </c>
      <c r="M8" s="155">
        <f t="shared" si="0"/>
        <v>32.735999999999997</v>
      </c>
      <c r="N8" s="156" t="str">
        <f>VLOOKUP(C8,'Trips&amp;Operators'!$C$1:$E$99999,3,FALSE)</f>
        <v>SPECTOR</v>
      </c>
      <c r="O8" s="182" t="s">
        <v>198</v>
      </c>
      <c r="P8" s="157"/>
      <c r="Q8" s="31"/>
      <c r="R8" s="100" t="str">
        <f>VLOOKUP(C8,'Train Runs'!$A$13:$AE$9986,31,0)</f>
        <v>aws s3 cp s3://rtdc.mdm.uploadarchive.raw/RTDC4010/ "%USERPROFILE%\AppData\Local\Temp\OnboardLogs"\RTDC4010\2016-11-28 --exclude "*" --recursive --include "*20161128*" &amp; "%USERPROFILE%\Documents\GitHub\mrs-test-scripts\Headless Mode &amp; Sideloading\WalkAndUnGZ.bat" "%USERPROFILE%\AppData\Local\Temp\OnboardLogs"\RTDC4010\2016-11-28 &amp; aws s3 cp s3://rtdc.mdm.uploadarchive.raw/RTDC4010/ "%USERPROFILE%\AppData\Local\Temp\OnboardLogs"\RTDC4010\2016-11-29 --exclude "*" --recursive --include "*20161129*" &amp; "%USERPROFILE%\Documents\GitHub\mrs-test-scripts\Headless Mode &amp; Sideloading\WalkAndUnGZ.bat" "%USERPROFILE%\AppData\Local\Temp\OnboardLogs"\RTDC4010\2016-11-29</v>
      </c>
      <c r="S8" s="103" t="str">
        <f>VLOOKUP(C8,'Train Runs'!$A$13:$AE$9986,22,0)</f>
        <v>https://search-rtdc-monitor-bjffxe2xuh6vdkpspy63sjmuny.us-east-1.es.amazonaws.com/_plugin/kibana/#/discover/Steve-Slow-Train-Analysis-(2080s-and-2083s)?_g=(refreshInterval:(display:Off,section:0,value:0),time:(from:'2016-11-28 06:03:50-700',mode:absolute,to:'2016-11-28 09:07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8" s="105" t="str">
        <f t="shared" si="1"/>
        <v>"C:\Program Files (x86)\AstroGrep\AstroGrep.exe" /spath="%USERPROFILE%\AppData\Local\Temp\OnboardLogs" /stypes="*4010*201611281*" /stext=" 15:.+((SYSTEM_STATE.+slice.+state.+changed )|(ment ac)|(multiple cpu faults)|(system.+state.+changed )|(\[timeout)|(PRM\|1\|D)|(kpr)|(kdp)|(\|lc)|(penalty))" /e /r /s</v>
      </c>
      <c r="U8" s="9" t="str">
        <f t="shared" si="2"/>
        <v>4010</v>
      </c>
      <c r="V8" s="36">
        <f t="shared" si="3"/>
        <v>42702.628206018519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{"issue":{"subject":"","project_id":79,"tracker_id":40,"status_id":1,"priority_id":2,"assigned_to_id":23,"start_date":"2016-11-28","description":"","custom_fields":[{"id":1,"name":"Subdivision","value":"EC"},{"id":4,"name":"Milepost","value":"0.5457"},{"id":17,"name":"Train ID","value":"122-28"},{"id":16,"name":"Locomotive ID","value":"4010"},{"id":130,"name":"Impact","value":""},{"id":150,"name":"Time of Event (Mountain Time)","value":"08:04:37"},{"id":151,"name":"Denver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"%USERPROFILE%\AppData\Local\Temp\OnboardLogs"\RTDC4010\*4010*201611281*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"%USERPROFILE%\AppData\Local\Temp\OnboardLogs"\RTDC4010\*4010*201611281* &gt;&gt; 42702-slicedisagreementcheck.txt</v>
      </c>
    </row>
    <row r="9" spans="1:30" s="1" customFormat="1" x14ac:dyDescent="0.25">
      <c r="A9" s="36">
        <v>42702.718263888892</v>
      </c>
      <c r="B9" s="31" t="s">
        <v>239</v>
      </c>
      <c r="C9" s="31" t="s">
        <v>422</v>
      </c>
      <c r="D9" s="31" t="s">
        <v>49</v>
      </c>
      <c r="E9" s="31" t="s">
        <v>199</v>
      </c>
      <c r="F9" s="47">
        <v>300</v>
      </c>
      <c r="G9" s="47">
        <v>394</v>
      </c>
      <c r="H9" s="47">
        <v>22601</v>
      </c>
      <c r="I9" s="47">
        <v>21597</v>
      </c>
      <c r="J9" s="31" t="s">
        <v>200</v>
      </c>
      <c r="K9" s="47">
        <v>21848</v>
      </c>
      <c r="L9" s="154" t="s">
        <v>51</v>
      </c>
      <c r="M9" s="155">
        <f t="shared" si="0"/>
        <v>-132.52799999999999</v>
      </c>
      <c r="N9" s="156" t="str">
        <f>VLOOKUP(C9,'Trips&amp;Operators'!$C$1:$E$99999,3,FALSE)</f>
        <v>DAVIDSON</v>
      </c>
      <c r="O9" s="182" t="s">
        <v>198</v>
      </c>
      <c r="P9" s="157"/>
      <c r="Q9" s="31"/>
      <c r="R9" s="100" t="str">
        <f>VLOOKUP(C9,'Train Runs'!$A$13:$AE$9986,31,0)</f>
        <v>aws s3 cp s3://rtdc.mdm.uploadarchive.raw/RTDC4013/ "%USERPROFILE%\AppData\Local\Temp\OnboardLogs"\RTDC4013\2016-11-28 --exclude "*" --recursive --include "*20161128*" &amp; "%USERPROFILE%\Documents\GitHub\mrs-test-scripts\Headless Mode &amp; Sideloading\WalkAndUnGZ.bat" "%USERPROFILE%\AppData\Local\Temp\OnboardLogs"\RTDC4013\2016-11-28 &amp; 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</v>
      </c>
      <c r="S9" s="103" t="str">
        <f>VLOOKUP(C9,'Train Runs'!$A$13:$AE$9986,22,0)</f>
        <v>https://search-rtdc-monitor-bjffxe2xuh6vdkpspy63sjmuny.us-east-1.es.amazonaws.com/_plugin/kibana/#/discover/Steve-Slow-Train-Analysis-(2080s-and-2083s)?_g=(refreshInterval:(display:Off,section:0,value:0),time:(from:'2016-11-28 15:25:16-700',mode:absolute,to:'2016-11-28 18:21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9" s="105" t="str">
        <f t="shared" si="1"/>
        <v>"C:\Program Files (x86)\AstroGrep\AstroGrep.exe" /spath="%USERPROFILE%\AppData\Local\Temp\OnboardLogs" /stypes="*4013*201611290*" /stext=" 00:.+((SYSTEM_STATE.+slice.+state.+changed )|(ment ac)|(multiple cpu faults)|(system.+state.+changed )|(\[timeout)|(PRM\|1\|D)|(kpr)|(kdp)|(\|lc)|(penalty))" /e /r /s</v>
      </c>
      <c r="U9" s="9" t="str">
        <f t="shared" si="2"/>
        <v>4013</v>
      </c>
      <c r="V9" s="36">
        <f t="shared" si="3"/>
        <v>42703.009930555556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{"issue":{"subject":"","project_id":79,"tracker_id":40,"status_id":1,"priority_id":2,"assigned_to_id":23,"start_date":"2016-11-28","description":"","custom_fields":[{"id":1,"name":"Subdivision","value":"EC"},{"id":4,"name":"Milepost","value":"2.1848"},{"id":17,"name":"Train ID","value":"198-28"},{"id":16,"name":"Locomotive ID","value":"4013"},{"id":130,"name":"Impact","value":""},{"id":150,"name":"Time of Event (Mountain Time)","value":"17:14:18"},{"id":151,"name":"Denver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"%USERPROFILE%\AppData\Local\Temp\OnboardLogs"\RTDC4013\*4013*201611290*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"%USERPROFILE%\AppData\Local\Temp\OnboardLogs"\RTDC4013\*4013*201611290* &gt;&gt; 42702-slicedisagreementcheck.txt</v>
      </c>
    </row>
    <row r="10" spans="1:30" s="1" customFormat="1" x14ac:dyDescent="0.25">
      <c r="A10" s="36">
        <v>42702.533807870372</v>
      </c>
      <c r="B10" s="31" t="s">
        <v>238</v>
      </c>
      <c r="C10" s="31" t="s">
        <v>412</v>
      </c>
      <c r="D10" s="31" t="s">
        <v>49</v>
      </c>
      <c r="E10" s="31" t="s">
        <v>199</v>
      </c>
      <c r="F10" s="47">
        <v>350</v>
      </c>
      <c r="G10" s="47">
        <v>528</v>
      </c>
      <c r="H10" s="47">
        <v>222954</v>
      </c>
      <c r="I10" s="47">
        <v>224596</v>
      </c>
      <c r="J10" s="31" t="s">
        <v>200</v>
      </c>
      <c r="K10" s="47">
        <v>224578</v>
      </c>
      <c r="L10" s="154" t="s">
        <v>50</v>
      </c>
      <c r="M10" s="155">
        <f t="shared" si="0"/>
        <v>-9.5039999999999996</v>
      </c>
      <c r="N10" s="156" t="str">
        <f>VLOOKUP(C10,'Trips&amp;Operators'!$C$1:$E$99999,3,FALSE)</f>
        <v>DAVIDSON</v>
      </c>
      <c r="O10" s="182" t="s">
        <v>198</v>
      </c>
      <c r="P10" s="157"/>
      <c r="Q10" s="31"/>
      <c r="R10" s="100" t="str">
        <f>VLOOKUP(C10,'Train Runs'!$A$13:$AE$9986,31,0)</f>
        <v>aws s3 cp s3://rtdc.mdm.uploadarchive.raw/RTDC4014/ "%USERPROFILE%\AppData\Local\Temp\OnboardLogs"\RTDC4014\2016-11-28 --exclude "*" --recursive --include "*20161128*" &amp; "%USERPROFILE%\Documents\GitHub\mrs-test-scripts\Headless Mode &amp; Sideloading\WalkAndUnGZ.bat" "%USERPROFILE%\AppData\Local\Temp\OnboardLogs"\RTDC4014\2016-11-28 &amp; 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</v>
      </c>
      <c r="S10" s="103" t="str">
        <f>VLOOKUP(C10,'Train Runs'!$A$13:$AE$9986,22,0)</f>
        <v>https://search-rtdc-monitor-bjffxe2xuh6vdkpspy63sjmuny.us-east-1.es.amazonaws.com/_plugin/kibana/#/discover/Steve-Slow-Train-Analysis-(2080s-and-2083s)?_g=(refreshInterval:(display:Off,section:0,value:0),time:(from:'2016-11-28 11:09:32-700',mode:absolute,to:'2016-11-28 13:52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0" s="105" t="str">
        <f t="shared" si="1"/>
        <v>"C:\Program Files (x86)\AstroGrep\AstroGrep.exe" /spath="%USERPROFILE%\AppData\Local\Temp\OnboardLogs" /stypes="*4014*201611281*" /stext=" 19:.+((SYSTEM_STATE.+slice.+state.+changed )|(ment ac)|(multiple cpu faults)|(system.+state.+changed )|(\[timeout)|(PRM\|1\|D)|(kpr)|(kdp)|(\|lc)|(penalty))" /e /r /s</v>
      </c>
      <c r="U10" s="9" t="str">
        <f t="shared" si="2"/>
        <v>4014</v>
      </c>
      <c r="V10" s="36">
        <f t="shared" si="3"/>
        <v>42702.825474537036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{"issue":{"subject":"","project_id":79,"tracker_id":40,"status_id":1,"priority_id":2,"assigned_to_id":23,"start_date":"2016-11-28","description":"","custom_fields":[{"id":1,"name":"Subdivision","value":"EC"},{"id":4,"name":"Milepost","value":"22.4578"},{"id":17,"name":"Train ID","value":"169-28"},{"id":16,"name":"Locomotive ID","value":"4014"},{"id":130,"name":"Impact","value":""},{"id":150,"name":"Time of Event (Mountain Time)","value":"12:48:41"},{"id":151,"name":"Denver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"%USERPROFILE%\AppData\Local\Temp\OnboardLogs"\RTDC4014\*4014*201611281*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"%USERPROFILE%\AppData\Local\Temp\OnboardLogs"\RTDC4014\*4014*201611281* &gt;&gt; 42702-slicedisagreementcheck.txt</v>
      </c>
    </row>
    <row r="11" spans="1:30" s="1" customFormat="1" x14ac:dyDescent="0.25">
      <c r="A11" s="36">
        <v>42702.243344907409</v>
      </c>
      <c r="B11" s="31" t="s">
        <v>238</v>
      </c>
      <c r="C11" s="31" t="s">
        <v>396</v>
      </c>
      <c r="D11" s="31" t="s">
        <v>49</v>
      </c>
      <c r="E11" s="31" t="s">
        <v>199</v>
      </c>
      <c r="F11" s="47">
        <v>150</v>
      </c>
      <c r="G11" s="47">
        <v>350</v>
      </c>
      <c r="H11" s="47">
        <v>229034</v>
      </c>
      <c r="I11" s="47">
        <v>229933</v>
      </c>
      <c r="J11" s="31" t="s">
        <v>200</v>
      </c>
      <c r="K11" s="47">
        <v>230436</v>
      </c>
      <c r="L11" s="154" t="s">
        <v>50</v>
      </c>
      <c r="M11" s="155">
        <f t="shared" si="0"/>
        <v>265.584</v>
      </c>
      <c r="N11" s="156" t="str">
        <f>VLOOKUP(C11,'Trips&amp;Operators'!$C$1:$E$99999,3,FALSE)</f>
        <v>KILLION</v>
      </c>
      <c r="O11" s="182" t="s">
        <v>198</v>
      </c>
      <c r="P11" s="157"/>
      <c r="Q11" s="31"/>
      <c r="R11" s="100" t="str">
        <f>VLOOKUP(C11,'Train Runs'!$A$13:$AE$9986,31,0)</f>
        <v>aws s3 cp s3://rtdc.mdm.uploadarchive.raw/RTDC4014/ "%USERPROFILE%\AppData\Local\Temp\OnboardLogs"\RTDC4014\2016-11-28 --exclude "*" --recursive --include "*20161128*" &amp; "%USERPROFILE%\Documents\GitHub\mrs-test-scripts\Headless Mode &amp; Sideloading\WalkAndUnGZ.bat" "%USERPROFILE%\AppData\Local\Temp\OnboardLogs"\RTDC4014\2016-11-28 &amp; 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</v>
      </c>
      <c r="S11" s="103" t="str">
        <f>VLOOKUP(C11,'Train Runs'!$A$13:$AE$9986,22,0)</f>
        <v>https://search-rtdc-monitor-bjffxe2xuh6vdkpspy63sjmuny.us-east-1.es.amazonaws.com/_plugin/kibana/#/discover/Steve-Slow-Train-Analysis-(2080s-and-2083s)?_g=(refreshInterval:(display:Off,section:0,value:0),time:(from:'2016-11-28 03:54:10-700',mode:absolute,to:'2016-11-28 06:52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1" s="105" t="str">
        <f t="shared" si="1"/>
        <v>"C:\Program Files (x86)\AstroGrep\AstroGrep.exe" /spath="%USERPROFILE%\AppData\Local\Temp\OnboardLogs" /stypes="*4014*201611281*" /stext=" 12:.+((SYSTEM_STATE.+slice.+state.+changed )|(ment ac)|(multiple cpu faults)|(system.+state.+changed )|(\[timeout)|(PRM\|1\|D)|(kpr)|(kdp)|(\|lc)|(penalty))" /e /r /s</v>
      </c>
      <c r="U11" s="9" t="str">
        <f t="shared" si="2"/>
        <v>4014</v>
      </c>
      <c r="V11" s="36">
        <f t="shared" si="3"/>
        <v>42702.535011574073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{"issue":{"subject":"","project_id":79,"tracker_id":40,"status_id":1,"priority_id":2,"assigned_to_id":23,"start_date":"2016-11-28","description":"","custom_fields":[{"id":1,"name":"Subdivision","value":"EC"},{"id":4,"name":"Milepost","value":"23.0436"},{"id":17,"name":"Train ID","value":"113-28"},{"id":16,"name":"Locomotive ID","value":"4014"},{"id":130,"name":"Impact","value":""},{"id":150,"name":"Time of Event (Mountain Time)","value":"05:50:25"},{"id":151,"name":"Denver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"%USERPROFILE%\AppData\Local\Temp\OnboardLogs"\RTDC4014\*4014*201611281*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"%USERPROFILE%\AppData\Local\Temp\OnboardLogs"\RTDC4014\*4014*201611281* &gt;&gt; 42702-slicedisagreementcheck.txt</v>
      </c>
    </row>
    <row r="12" spans="1:30" s="1" customFormat="1" x14ac:dyDescent="0.25">
      <c r="A12" s="36">
        <v>42702.832106481481</v>
      </c>
      <c r="B12" s="31" t="s">
        <v>317</v>
      </c>
      <c r="C12" s="31" t="s">
        <v>430</v>
      </c>
      <c r="D12" s="31" t="s">
        <v>98</v>
      </c>
      <c r="E12" s="31" t="s">
        <v>199</v>
      </c>
      <c r="F12" s="47">
        <v>150</v>
      </c>
      <c r="G12" s="47">
        <v>207</v>
      </c>
      <c r="H12" s="47">
        <v>231226</v>
      </c>
      <c r="I12" s="47">
        <v>230786</v>
      </c>
      <c r="J12" s="31" t="s">
        <v>200</v>
      </c>
      <c r="K12" s="47">
        <v>231269</v>
      </c>
      <c r="L12" s="154" t="s">
        <v>51</v>
      </c>
      <c r="M12" s="155">
        <f t="shared" si="0"/>
        <v>-255.024</v>
      </c>
      <c r="N12" s="156" t="str">
        <f>VLOOKUP(C12,'Trips&amp;Operators'!$C$1:$E$99999,3,FALSE)</f>
        <v>LEVERE</v>
      </c>
      <c r="O12" s="182" t="s">
        <v>198</v>
      </c>
      <c r="P12" s="157"/>
      <c r="Q12" s="31"/>
      <c r="R12" s="100" t="str">
        <f>VLOOKUP(C12,'Train Runs'!$A$13:$AE$9986,31,0)</f>
        <v>aws s3 cp s3://rtdc.mdm.uploadarchive.raw/RTDC4026/ "%USERPROFILE%\AppData\Local\Temp\OnboardLogs"\RTDC4026\2016-11-28 --exclude "*" --recursive --include "*20161128*" &amp; "%USERPROFILE%\Documents\GitHub\mrs-test-scripts\Headless Mode &amp; Sideloading\WalkAndUnGZ.bat" "%USERPROFILE%\AppData\Local\Temp\OnboardLogs"\RTDC4026\2016-11-28 &amp; aws s3 cp s3://rtdc.mdm.uploadarchive.raw/RTDC4026/ "%USERPROFILE%\AppData\Local\Temp\OnboardLogs"\RTDC4026\2016-11-29 --exclude "*" --recursive --include "*20161129*" &amp; "%USERPROFILE%\Documents\GitHub\mrs-test-scripts\Headless Mode &amp; Sideloading\WalkAndUnGZ.bat" "%USERPROFILE%\AppData\Local\Temp\OnboardLogs"\RTDC4026\2016-11-29</v>
      </c>
      <c r="S12" s="103" t="str">
        <f>VLOOKUP(C12,'Train Runs'!$A$13:$AE$9986,22,0)</f>
        <v>https://search-rtdc-monitor-bjffxe2xuh6vdkpspy63sjmuny.us-east-1.es.amazonaws.com/_plugin/kibana/#/discover/Steve-Slow-Train-Analysis-(2080s-and-2083s)?_g=(refreshInterval:(display:Off,section:0,value:0),time:(from:'2016-11-28 18:44:30-700',mode:absolute,to:'2016-11-28 21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2" s="105" t="str">
        <f t="shared" si="1"/>
        <v>"C:\Program Files (x86)\AstroGrep\AstroGrep.exe" /spath="%USERPROFILE%\AppData\Local\Temp\OnboardLogs" /stypes="*4026*201611290*" /stext=" 02:.+((SYSTEM_STATE.+slice.+state.+changed )|(ment ac)|(multiple cpu faults)|(system.+state.+changed )|(\[timeout)|(PRM\|1\|D)|(kpr)|(kdp)|(\|lc)|(penalty))" /e /r /s</v>
      </c>
      <c r="U12" s="9" t="str">
        <f t="shared" si="2"/>
        <v>4026</v>
      </c>
      <c r="V12" s="36">
        <f t="shared" si="3"/>
        <v>42703.123773148145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{"issue":{"subject":"","project_id":79,"tracker_id":40,"status_id":1,"priority_id":2,"assigned_to_id":23,"start_date":"2016-11-28","description":"","custom_fields":[{"id":1,"name":"Subdivision","value":"EC"},{"id":4,"name":"Milepost","value":"23.1269"},{"id":17,"name":"Train ID","value":"222-28"},{"id":16,"name":"Locomotive ID","value":"4026"},{"id":130,"name":"Impact","value":""},{"id":150,"name":"Time of Event (Mountain Time)","value":"19:58:14"},{"id":151,"name":"Denver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"%USERPROFILE%\AppData\Local\Temp\OnboardLogs"\RTDC4026\*4026*201611290*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"%USERPROFILE%\AppData\Local\Temp\OnboardLogs"\RTDC4026\*4026*201611290* &gt;&gt; 42702-slicedisagreementcheck.txt</v>
      </c>
    </row>
    <row r="13" spans="1:30" s="1" customFormat="1" x14ac:dyDescent="0.25">
      <c r="A13" s="36">
        <v>42702.355034722219</v>
      </c>
      <c r="B13" s="31" t="s">
        <v>322</v>
      </c>
      <c r="C13" s="31" t="s">
        <v>402</v>
      </c>
      <c r="D13" s="31" t="s">
        <v>49</v>
      </c>
      <c r="E13" s="31" t="s">
        <v>201</v>
      </c>
      <c r="F13" s="47">
        <v>0</v>
      </c>
      <c r="G13" s="47">
        <v>129</v>
      </c>
      <c r="H13" s="47">
        <v>828</v>
      </c>
      <c r="I13" s="47">
        <v>939</v>
      </c>
      <c r="J13" s="31" t="s">
        <v>202</v>
      </c>
      <c r="K13" s="47">
        <v>1692</v>
      </c>
      <c r="L13" s="154" t="s">
        <v>50</v>
      </c>
      <c r="M13" s="155">
        <f t="shared" si="0"/>
        <v>397.584</v>
      </c>
      <c r="N13" s="156" t="str">
        <f>VLOOKUP(C13,'Trips&amp;Operators'!$C$1:$E$99999,3,FALSE)</f>
        <v>STARKS</v>
      </c>
      <c r="O13" s="182" t="s">
        <v>198</v>
      </c>
      <c r="P13" s="157" t="s">
        <v>807</v>
      </c>
      <c r="Q13" s="31"/>
      <c r="R13" s="100" t="str">
        <f>VLOOKUP(C13,'Train Runs'!$A$13:$AE$9986,31,0)</f>
        <v>aws s3 cp s3://rtdc.mdm.uploadarchive.raw/RTDC4025/ "%USERPROFILE%\AppData\Local\Temp\OnboardLogs"\RTDC4025\2016-11-28 --exclude "*" --recursive --include "*20161128*" &amp; "%USERPROFILE%\Documents\GitHub\mrs-test-scripts\Headless Mode &amp; Sideloading\WalkAndUnGZ.bat" "%USERPROFILE%\AppData\Local\Temp\OnboardLogs"\RTDC4025\2016-11-28 &amp; aws s3 cp s3://rtdc.mdm.uploadarchive.raw/RTDC4025/ "%USERPROFILE%\AppData\Local\Temp\OnboardLogs"\RTDC4025\2016-11-29 --exclude "*" --recursive --include "*20161129*" &amp; "%USERPROFILE%\Documents\GitHub\mrs-test-scripts\Headless Mode &amp; Sideloading\WalkAndUnGZ.bat" "%USERPROFILE%\AppData\Local\Temp\OnboardLogs"\RTDC4025\2016-11-29</v>
      </c>
      <c r="S13" s="103" t="str">
        <f>VLOOKUP(C13,'Train Runs'!$A$13:$AE$9986,22,0)</f>
        <v>https://search-rtdc-monitor-bjffxe2xuh6vdkpspy63sjmuny.us-east-1.es.amazonaws.com/_plugin/kibana/#/discover/Steve-Slow-Train-Analysis-(2080s-and-2083s)?_g=(refreshInterval:(display:Off,section:0,value:0),time:(from:'2016-11-28 07:24:28-700',mode:absolute,to:'2016-11-28 10:07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3" s="105" t="str">
        <f t="shared" si="1"/>
        <v>"C:\Program Files (x86)\AstroGrep\AstroGrep.exe" /spath="%USERPROFILE%\AppData\Local\Temp\OnboardLogs" /stypes="*4025*201611281*" /stext=" 15:.+((SYSTEM_STATE.+slice.+state.+changed )|(ment ac)|(multiple cpu faults)|(system.+state.+changed )|(\[timeout)|(PRM\|1\|D)|(kpr)|(kdp)|(\|lc)|(penalty))" /e /r /s</v>
      </c>
      <c r="U13" s="9" t="str">
        <f t="shared" si="2"/>
        <v>4025</v>
      </c>
      <c r="V13" s="36">
        <f t="shared" si="3"/>
        <v>42702.646701388883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{"issue":{"subject":"Operator selected wrong track (should have been Main 2)","project_id":79,"tracker_id":40,"status_id":1,"priority_id":2,"assigned_to_id":23,"start_date":"2016-11-28","description":"","custom_fields":[{"id":1,"name":"Subdivision","value":"EC"},{"id":4,"name":"Milepost","value":"0.1692"},{"id":17,"name":"Train ID","value":"139-28"},{"id":16,"name":"Locomotive ID","value":"4025"},{"id":130,"name":"Impact","value":""},{"id":150,"name":"Time of Event (Mountain Time)","value":"08:31:15"},{"id":151,"name":"Denver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"%USERPROFILE%\AppData\Local\Temp\OnboardLogs"\RTDC4025\*4025*201611281*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"%USERPROFILE%\AppData\Local\Temp\OnboardLogs"\RTDC4025\*4025*201611281* &gt;&gt; 42702-slicedisagreementcheck.txt</v>
      </c>
    </row>
    <row r="14" spans="1:30" s="1" customFormat="1" x14ac:dyDescent="0.25">
      <c r="A14" s="36">
        <v>42702.650706018518</v>
      </c>
      <c r="B14" s="31" t="s">
        <v>226</v>
      </c>
      <c r="C14" s="31" t="s">
        <v>420</v>
      </c>
      <c r="D14" s="31" t="s">
        <v>49</v>
      </c>
      <c r="E14" s="31" t="s">
        <v>201</v>
      </c>
      <c r="F14" s="47">
        <v>0</v>
      </c>
      <c r="G14" s="47">
        <v>280</v>
      </c>
      <c r="H14" s="47">
        <v>59306</v>
      </c>
      <c r="I14" s="47">
        <v>58780</v>
      </c>
      <c r="J14" s="31" t="s">
        <v>202</v>
      </c>
      <c r="K14" s="47">
        <v>57897</v>
      </c>
      <c r="L14" s="154" t="s">
        <v>51</v>
      </c>
      <c r="M14" s="155">
        <f t="shared" si="0"/>
        <v>466.22399999999999</v>
      </c>
      <c r="N14" s="156" t="str">
        <f>VLOOKUP(C14,'Trips&amp;Operators'!$C$1:$E$99999,3,FALSE)</f>
        <v>ROMERO</v>
      </c>
      <c r="O14" s="182" t="s">
        <v>198</v>
      </c>
      <c r="P14" s="157" t="s">
        <v>808</v>
      </c>
      <c r="Q14" s="31"/>
      <c r="R14" s="100" t="str">
        <f>VLOOKUP(C14,'Train Runs'!$A$13:$AE$9986,31,0)</f>
        <v>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 &amp; aws s3 cp s3://rtdc.mdm.uploadarchive.raw/RTDC4037/ "%USERPROFILE%\AppData\Local\Temp\OnboardLogs"\RTDC4037\2016-11-29 --exclude "*" --recursive --include "*20161129*" &amp; "%USERPROFILE%\Documents\GitHub\mrs-test-scripts\Headless Mode &amp; Sideloading\WalkAndUnGZ.bat" "%USERPROFILE%\AppData\Local\Temp\OnboardLogs"\RTDC4037\2016-11-29</v>
      </c>
      <c r="S14" s="103" t="str">
        <f>VLOOKUP(C14,'Train Runs'!$A$13:$AE$9986,22,0)</f>
        <v>https://search-rtdc-monitor-bjffxe2xuh6vdkpspy63sjmuny.us-east-1.es.amazonaws.com/_plugin/kibana/#/discover/Steve-Slow-Train-Analysis-(2080s-and-2083s)?_g=(refreshInterval:(display:Off,section:0,value:0),time:(from:'2016-11-28 13:53:25-700',mode:absolute,to:'2016-11-28 16:56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4" s="105" t="str">
        <f t="shared" si="1"/>
        <v>"C:\Program Files (x86)\AstroGrep\AstroGrep.exe" /spath="%USERPROFILE%\AppData\Local\Temp\OnboardLogs" /stypes="*4037*201611282*" /stext=" 22:.+((SYSTEM_STATE.+slice.+state.+changed )|(ment ac)|(multiple cpu faults)|(system.+state.+changed )|(\[timeout)|(PRM\|1\|D)|(kpr)|(kdp)|(\|lc)|(penalty))" /e /r /s</v>
      </c>
      <c r="U14" s="9" t="str">
        <f t="shared" si="2"/>
        <v>4037</v>
      </c>
      <c r="V14" s="36">
        <f t="shared" si="3"/>
        <v>42702.942372685182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{"issue":{"subject":"Quebec 4S STOP","project_id":79,"tracker_id":40,"status_id":1,"priority_id":2,"assigned_to_id":23,"start_date":"2016-11-28","description":"","custom_fields":[{"id":1,"name":"Subdivision","value":"EC"},{"id":4,"name":"Milepost","value":"5.7897"},{"id":17,"name":"Train ID","value":"186-28"},{"id":16,"name":"Locomotive ID","value":"4037"},{"id":130,"name":"Impact","value":""},{"id":150,"name":"Time of Event (Mountain Time)","value":"15:37:01"},{"id":151,"name":"Denver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"%USERPROFILE%\AppData\Local\Temp\OnboardLogs"\RTDC4037\*4037*201611282*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"%USERPROFILE%\AppData\Local\Temp\OnboardLogs"\RTDC4037\*4037*201611282* &gt;&gt; 42702-slicedisagreementcheck.txt</v>
      </c>
    </row>
    <row r="15" spans="1:30" s="1" customFormat="1" x14ac:dyDescent="0.25">
      <c r="A15" s="36">
        <v>42702.651678240742</v>
      </c>
      <c r="B15" s="31" t="s">
        <v>226</v>
      </c>
      <c r="C15" s="31" t="s">
        <v>420</v>
      </c>
      <c r="D15" s="31" t="s">
        <v>49</v>
      </c>
      <c r="E15" s="31" t="s">
        <v>201</v>
      </c>
      <c r="F15" s="47">
        <v>0</v>
      </c>
      <c r="G15" s="47">
        <v>45</v>
      </c>
      <c r="H15" s="47">
        <v>58149</v>
      </c>
      <c r="I15" s="47">
        <v>58125</v>
      </c>
      <c r="J15" s="31" t="s">
        <v>202</v>
      </c>
      <c r="K15" s="47">
        <v>57897</v>
      </c>
      <c r="L15" s="154" t="s">
        <v>51</v>
      </c>
      <c r="M15" s="155">
        <f t="shared" si="0"/>
        <v>120.384</v>
      </c>
      <c r="N15" s="156" t="str">
        <f>VLOOKUP(C15,'Trips&amp;Operators'!$C$1:$E$99999,3,FALSE)</f>
        <v>ROMERO</v>
      </c>
      <c r="O15" s="182" t="s">
        <v>198</v>
      </c>
      <c r="P15" s="157" t="s">
        <v>808</v>
      </c>
      <c r="Q15" s="31"/>
      <c r="R15" s="100" t="str">
        <f>VLOOKUP(C15,'Train Runs'!$A$13:$AE$9986,31,0)</f>
        <v>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 &amp; aws s3 cp s3://rtdc.mdm.uploadarchive.raw/RTDC4037/ "%USERPROFILE%\AppData\Local\Temp\OnboardLogs"\RTDC4037\2016-11-29 --exclude "*" --recursive --include "*20161129*" &amp; "%USERPROFILE%\Documents\GitHub\mrs-test-scripts\Headless Mode &amp; Sideloading\WalkAndUnGZ.bat" "%USERPROFILE%\AppData\Local\Temp\OnboardLogs"\RTDC4037\2016-11-29</v>
      </c>
      <c r="S15" s="103" t="str">
        <f>VLOOKUP(C15,'Train Runs'!$A$13:$AE$9986,22,0)</f>
        <v>https://search-rtdc-monitor-bjffxe2xuh6vdkpspy63sjmuny.us-east-1.es.amazonaws.com/_plugin/kibana/#/discover/Steve-Slow-Train-Analysis-(2080s-and-2083s)?_g=(refreshInterval:(display:Off,section:0,value:0),time:(from:'2016-11-28 13:53:25-700',mode:absolute,to:'2016-11-28 16:56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5" s="105" t="str">
        <f t="shared" si="1"/>
        <v>"C:\Program Files (x86)\AstroGrep\AstroGrep.exe" /spath="%USERPROFILE%\AppData\Local\Temp\OnboardLogs" /stypes="*4037*201611282*" /stext=" 22:.+((SYSTEM_STATE.+slice.+state.+changed )|(ment ac)|(multiple cpu faults)|(system.+state.+changed )|(\[timeout)|(PRM\|1\|D)|(kpr)|(kdp)|(\|lc)|(penalty))" /e /r /s</v>
      </c>
      <c r="U15" s="9" t="str">
        <f t="shared" si="2"/>
        <v>4037</v>
      </c>
      <c r="V15" s="36">
        <f t="shared" si="3"/>
        <v>42702.943344907406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{"issue":{"subject":"Quebec 4S STOP","project_id":79,"tracker_id":40,"status_id":1,"priority_id":2,"assigned_to_id":23,"start_date":"2016-11-28","description":"","custom_fields":[{"id":1,"name":"Subdivision","value":"EC"},{"id":4,"name":"Milepost","value":"5.7897"},{"id":17,"name":"Train ID","value":"186-28"},{"id":16,"name":"Locomotive ID","value":"4037"},{"id":130,"name":"Impact","value":""},{"id":150,"name":"Time of Event (Mountain Time)","value":"15:38:25"},{"id":151,"name":"Denver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"%USERPROFILE%\AppData\Local\Temp\OnboardLogs"\RTDC4037\*4037*201611282*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"%USERPROFILE%\AppData\Local\Temp\OnboardLogs"\RTDC4037\*4037*201611282* &gt;&gt; 42702-slicedisagreementcheck.txt</v>
      </c>
    </row>
    <row r="16" spans="1:30" s="1" customFormat="1" x14ac:dyDescent="0.25">
      <c r="A16" s="36">
        <v>42702.387037037035</v>
      </c>
      <c r="B16" s="31" t="s">
        <v>225</v>
      </c>
      <c r="C16" s="31" t="s">
        <v>404</v>
      </c>
      <c r="D16" s="31" t="s">
        <v>49</v>
      </c>
      <c r="E16" s="31" t="s">
        <v>201</v>
      </c>
      <c r="F16" s="47">
        <v>0</v>
      </c>
      <c r="G16" s="47">
        <v>529</v>
      </c>
      <c r="H16" s="47">
        <v>81230</v>
      </c>
      <c r="I16" s="47">
        <v>83108</v>
      </c>
      <c r="J16" s="31" t="s">
        <v>202</v>
      </c>
      <c r="K16" s="47">
        <v>81738</v>
      </c>
      <c r="L16" s="154" t="s">
        <v>50</v>
      </c>
      <c r="M16" s="155">
        <f t="shared" si="0"/>
        <v>-723.36</v>
      </c>
      <c r="N16" s="156" t="str">
        <f>VLOOKUP(C16,'Trips&amp;Operators'!$C$1:$E$99999,3,FALSE)</f>
        <v>HAITHCOX</v>
      </c>
      <c r="O16" s="182" t="s">
        <v>244</v>
      </c>
      <c r="P16" s="157" t="s">
        <v>809</v>
      </c>
      <c r="Q16" s="31"/>
      <c r="R16" s="100" t="str">
        <f>VLOOKUP(C16,'Train Runs'!$A$13:$AE$9986,31,0)</f>
        <v>aws s3 cp s3://rtdc.mdm.uploadarchive.raw/RTDC4038/ "%USERPROFILE%\AppData\Local\Temp\OnboardLogs"\RTDC4038\2016-11-28 --exclude "*" --recursive --include "*20161128*" &amp; "%USERPROFILE%\Documents\GitHub\mrs-test-scripts\Headless Mode &amp; Sideloading\WalkAndUnGZ.bat" "%USERPROFILE%\AppData\Local\Temp\OnboardLogs"\RTDC4038\2016-11-28 &amp; aws s3 cp s3://rtdc.mdm.uploadarchive.raw/RTDC4038/ "%USERPROFILE%\AppData\Local\Temp\OnboardLogs"\RTDC4038\2016-11-29 --exclude "*" --recursive --include "*20161129*" &amp; "%USERPROFILE%\Documents\GitHub\mrs-test-scripts\Headless Mode &amp; Sideloading\WalkAndUnGZ.bat" "%USERPROFILE%\AppData\Local\Temp\OnboardLogs"\RTDC4038\2016-11-29</v>
      </c>
      <c r="S16" s="103" t="str">
        <f>VLOOKUP(C16,'Train Runs'!$A$13:$AE$9986,22,0)</f>
        <v>https://search-rtdc-monitor-bjffxe2xuh6vdkpspy63sjmuny.us-east-1.es.amazonaws.com/_plugin/kibana/#/discover/Steve-Slow-Train-Analysis-(2080s-and-2083s)?_g=(refreshInterval:(display:Off,section:0,value:0),time:(from:'2016-11-28 07:53:16-700',mode:absolute,to:'2016-11-28 10:39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6" s="105" t="str">
        <f t="shared" si="1"/>
        <v>"C:\Program Files (x86)\AstroGrep\AstroGrep.exe" /spath="%USERPROFILE%\AppData\Local\Temp\OnboardLogs" /stypes="*4038*201611281*" /stext=" 16:.+((SYSTEM_STATE.+slice.+state.+changed )|(ment ac)|(multiple cpu faults)|(system.+state.+changed )|(\[timeout)|(PRM\|1\|D)|(kpr)|(kdp)|(\|lc)|(penalty))" /e /r /s</v>
      </c>
      <c r="U16" s="9" t="str">
        <f t="shared" si="2"/>
        <v>4038</v>
      </c>
      <c r="V16" s="36">
        <f t="shared" si="3"/>
        <v>42702.678703703699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{"issue":{"subject":"Premature downgrade at EC0816RH 75-1T 1N","project_id":79,"tracker_id":40,"status_id":1,"priority_id":2,"assigned_to_id":23,"start_date":"2016-11-28","description":"At 09:16:56, EC0816RH 75-1T 1N dropped from 270 to 0. Do logs show us anything?","custom_fields":[{"id":1,"name":"Subdivision","value":"EC"},{"id":4,"name":"Milepost","value":"8.1738"},{"id":17,"name":"Train ID","value":"143-28"},{"id":16,"name":"Locomotive ID","value":"4038"},{"id":130,"name":"Impact","value":"Enforcement"},{"id":150,"name":"Time of Event (Mountain Time)","value":"09:17:20"},{"id":151,"name":"Denver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6" s="53" t="s">
        <v>810</v>
      </c>
      <c r="AA16" s="53" t="s">
        <v>125</v>
      </c>
      <c r="AB16" s="53" t="s">
        <v>130</v>
      </c>
      <c r="AC16" s="138" t="str">
        <f t="shared" si="7"/>
        <v>grep -hSE -A100 "Enforcement Action" "%USERPROFILE%\AppData\Local\Temp\OnboardLogs"\RTDC4038\*4038*201611281*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"%USERPROFILE%\AppData\Local\Temp\OnboardLogs"\RTDC4038\*4038*201611281* &gt;&gt; 42702-slicedisagreementcheck.txt</v>
      </c>
    </row>
    <row r="17" spans="1:30" s="1" customFormat="1" x14ac:dyDescent="0.25">
      <c r="A17" s="36">
        <v>42703.010787037034</v>
      </c>
      <c r="B17" s="31" t="s">
        <v>220</v>
      </c>
      <c r="C17" s="31" t="s">
        <v>432</v>
      </c>
      <c r="D17" s="31" t="s">
        <v>49</v>
      </c>
      <c r="E17" s="31" t="s">
        <v>201</v>
      </c>
      <c r="F17" s="47">
        <v>0</v>
      </c>
      <c r="G17" s="47">
        <v>774</v>
      </c>
      <c r="H17" s="47">
        <v>77891</v>
      </c>
      <c r="I17" s="47">
        <v>81789</v>
      </c>
      <c r="J17" s="31" t="s">
        <v>202</v>
      </c>
      <c r="K17" s="47">
        <v>81738</v>
      </c>
      <c r="L17" s="154" t="s">
        <v>50</v>
      </c>
      <c r="M17" s="155">
        <f t="shared" si="0"/>
        <v>-26.928000000000001</v>
      </c>
      <c r="N17" s="156" t="str">
        <f>VLOOKUP(C17,'Trips&amp;Operators'!$C$1:$E$99999,3,FALSE)</f>
        <v>YANAI</v>
      </c>
      <c r="O17" s="182" t="s">
        <v>244</v>
      </c>
      <c r="P17" s="157" t="s">
        <v>809</v>
      </c>
      <c r="Q17" s="31"/>
      <c r="R17" s="100" t="str">
        <f>VLOOKUP(C17,'Train Runs'!$A$13:$AE$9986,31,0)</f>
        <v>aws s3 cp s3://rtdc.mdm.uploadarchive.raw/RTDC4002/ "%USERPROFILE%\AppData\Local\Temp\OnboardLogs"\RTDC4002\2016-11-29 --exclude "*" --recursive --include "*20161129*" &amp; "%USERPROFILE%\Documents\GitHub\mrs-test-scripts\Headless Mode &amp; Sideloading\WalkAndUnGZ.bat" "%USERPROFILE%\AppData\Local\Temp\OnboardLogs"\RTDC4002\2016-11-29 &amp; aws s3 cp s3://rtdc.mdm.uploadarchive.raw/RTDC4002/ "%USERPROFILE%\AppData\Local\Temp\OnboardLogs"\RTDC4002\2016-11-30 --exclude "*" --recursive --include "*20161130*" &amp; "%USERPROFILE%\Documents\GitHub\mrs-test-scripts\Headless Mode &amp; Sideloading\WalkAndUnGZ.bat" "%USERPROFILE%\AppData\Local\Temp\OnboardLogs"\RTDC4002\2016-11-30</v>
      </c>
      <c r="S17" s="103" t="str">
        <f>VLOOKUP(C17,'Train Runs'!$A$13:$AE$9986,22,0)</f>
        <v>https://search-rtdc-monitor-bjffxe2xuh6vdkpspy63sjmuny.us-east-1.es.amazonaws.com/_plugin/kibana/#/discover/Steve-Slow-Train-Analysis-(2080s-and-2083s)?_g=(refreshInterval:(display:Off,section:0,value:0),time:(from:'2016-11-28 22:35:44-700',mode:absolute,to:'2016-11-29 01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7" s="105" t="str">
        <f t="shared" si="1"/>
        <v>"C:\Program Files (x86)\AstroGrep\AstroGrep.exe" /spath="%USERPROFILE%\AppData\Local\Temp\OnboardLogs" /stypes="*4002*201611290*" /stext=" 07:.+((SYSTEM_STATE.+slice.+state.+changed )|(ment ac)|(multiple cpu faults)|(system.+state.+changed )|(\[timeout)|(PRM\|1\|D)|(kpr)|(kdp)|(\|lc)|(penalty))" /e /r /s</v>
      </c>
      <c r="U17" s="9" t="str">
        <f t="shared" si="2"/>
        <v>4002</v>
      </c>
      <c r="V17" s="36">
        <f t="shared" si="3"/>
        <v>42703.302453703698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{"issue":{"subject":"Premature downgrade at EC0816RH 75-1T 1N","project_id":79,"tracker_id":40,"status_id":1,"priority_id":2,"assigned_to_id":23,"start_date":"2016-11-29","description":"","custom_fields":[{"id":1,"name":"Subdivision","value":"EC"},{"id":4,"name":"Milepost","value":"8.1738"},{"id":17,"name":"Train ID","value":"241-28"},{"id":16,"name":"Locomotive ID","value":"4002"},{"id":130,"name":"Impact","value":""},{"id":150,"name":"Time of Event (Mountain Time)","value":"00:15:32"},{"id":151,"name":"Denver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"%USERPROFILE%\AppData\Local\Temp\OnboardLogs"\RTDC4002\*4002*201611290*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"%USERPROFILE%\AppData\Local\Temp\OnboardLogs"\RTDC4002\*4002*201611290* &gt;&gt; 42702-slicedisagreementcheck.txt</v>
      </c>
    </row>
    <row r="18" spans="1:30" s="1" customFormat="1" x14ac:dyDescent="0.25">
      <c r="A18" s="36">
        <v>42702.177800925929</v>
      </c>
      <c r="B18" s="31" t="s">
        <v>239</v>
      </c>
      <c r="C18" s="31" t="s">
        <v>392</v>
      </c>
      <c r="D18" s="31" t="s">
        <v>49</v>
      </c>
      <c r="E18" s="31" t="s">
        <v>201</v>
      </c>
      <c r="F18" s="47">
        <v>0</v>
      </c>
      <c r="G18" s="47">
        <v>505</v>
      </c>
      <c r="H18" s="47">
        <v>194675</v>
      </c>
      <c r="I18" s="47">
        <v>193105</v>
      </c>
      <c r="J18" s="31" t="s">
        <v>202</v>
      </c>
      <c r="K18" s="47">
        <v>191723</v>
      </c>
      <c r="L18" s="154" t="s">
        <v>51</v>
      </c>
      <c r="M18" s="155">
        <f t="shared" si="0"/>
        <v>729.69600000000003</v>
      </c>
      <c r="N18" s="156" t="str">
        <f>VLOOKUP(C18,'Trips&amp;Operators'!$C$1:$E$99999,3,FALSE)</f>
        <v>KILLION</v>
      </c>
      <c r="O18" s="182" t="s">
        <v>198</v>
      </c>
      <c r="P18" s="157" t="s">
        <v>804</v>
      </c>
      <c r="Q18" s="31"/>
      <c r="R18" s="100" t="str">
        <f>VLOOKUP(C18,'Train Runs'!$A$13:$AE$9986,31,0)</f>
        <v>aws s3 cp s3://rtdc.mdm.uploadarchive.raw/RTDC4013/ "%USERPROFILE%\AppData\Local\Temp\OnboardLogs"\RTDC4013\2016-11-28 --exclude "*" --recursive --include "*20161128*" &amp; "%USERPROFILE%\Documents\GitHub\mrs-test-scripts\Headless Mode &amp; Sideloading\WalkAndUnGZ.bat" "%USERPROFILE%\AppData\Local\Temp\OnboardLogs"\RTDC4013\2016-11-28 &amp; 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</v>
      </c>
      <c r="S18" s="103" t="str">
        <f>VLOOKUP(C18,'Train Runs'!$A$13:$AE$9986,22,0)</f>
        <v>https://search-rtdc-monitor-bjffxe2xuh6vdkpspy63sjmuny.us-east-1.es.amazonaws.com/_plugin/kibana/#/discover/Steve-Slow-Train-Analysis-(2080s-and-2083s)?_g=(refreshInterval:(display:Off,section:0,value:0),time:(from:'2016-11-28 03:01:50-700',mode:absolute,to:'2016-11-28 05:49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8" s="105" t="str">
        <f t="shared" si="1"/>
        <v>"C:\Program Files (x86)\AstroGrep\AstroGrep.exe" /spath="%USERPROFILE%\AppData\Local\Temp\OnboardLogs" /stypes="*4013*201611281*" /stext=" 11:.+((SYSTEM_STATE.+slice.+state.+changed )|(ment ac)|(multiple cpu faults)|(system.+state.+changed )|(\[timeout)|(PRM\|1\|D)|(kpr)|(kdp)|(\|lc)|(penalty))" /e /r /s</v>
      </c>
      <c r="U18" s="9" t="str">
        <f t="shared" si="2"/>
        <v>4013</v>
      </c>
      <c r="V18" s="36">
        <f t="shared" si="3"/>
        <v>42702.469467592593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{"issue":{"subject":"Pena 4S STOP","project_id":79,"tracker_id":40,"status_id":1,"priority_id":2,"assigned_to_id":23,"start_date":"2016-11-28","description":"","custom_fields":[{"id":1,"name":"Subdivision","value":"EC"},{"id":4,"name":"Milepost","value":"19.1723"},{"id":17,"name":"Train ID","value":"102-28"},{"id":16,"name":"Locomotive ID","value":"4013"},{"id":130,"name":"Impact","value":""},{"id":150,"name":"Time of Event (Mountain Time)","value":"04:16:02"},{"id":151,"name":"Denver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"%USERPROFILE%\AppData\Local\Temp\OnboardLogs"\RTDC4013\*4013*201611281*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"%USERPROFILE%\AppData\Local\Temp\OnboardLogs"\RTDC4013\*4013*201611281* &gt;&gt; 42702-slicedisagreementcheck.txt</v>
      </c>
    </row>
    <row r="19" spans="1:30" s="1" customFormat="1" x14ac:dyDescent="0.25">
      <c r="A19" s="36">
        <v>42702.407187500001</v>
      </c>
      <c r="B19" s="31" t="s">
        <v>239</v>
      </c>
      <c r="C19" s="31" t="s">
        <v>405</v>
      </c>
      <c r="D19" s="31" t="s">
        <v>49</v>
      </c>
      <c r="E19" s="31" t="s">
        <v>201</v>
      </c>
      <c r="F19" s="47">
        <v>0</v>
      </c>
      <c r="G19" s="47">
        <v>461</v>
      </c>
      <c r="H19" s="47">
        <v>195107</v>
      </c>
      <c r="I19" s="47">
        <v>193768</v>
      </c>
      <c r="J19" s="31" t="s">
        <v>202</v>
      </c>
      <c r="K19" s="47">
        <v>191723</v>
      </c>
      <c r="L19" s="154" t="s">
        <v>51</v>
      </c>
      <c r="M19" s="155">
        <f t="shared" si="0"/>
        <v>1079.76</v>
      </c>
      <c r="N19" s="156" t="str">
        <f>VLOOKUP(C19,'Trips&amp;Operators'!$C$1:$E$99999,3,FALSE)</f>
        <v>JOHNSON</v>
      </c>
      <c r="O19" s="182" t="s">
        <v>198</v>
      </c>
      <c r="P19" s="157" t="s">
        <v>804</v>
      </c>
      <c r="Q19" s="31"/>
      <c r="R19" s="100" t="str">
        <f>VLOOKUP(C19,'Train Runs'!$A$13:$AE$9986,31,0)</f>
        <v>aws s3 cp s3://rtdc.mdm.uploadarchive.raw/RTDC4013/ "%USERPROFILE%\AppData\Local\Temp\OnboardLogs"\RTDC4013\2016-11-28 --exclude "*" --recursive --include "*20161128*" &amp; "%USERPROFILE%\Documents\GitHub\mrs-test-scripts\Headless Mode &amp; Sideloading\WalkAndUnGZ.bat" "%USERPROFILE%\AppData\Local\Temp\OnboardLogs"\RTDC4013\2016-11-28 &amp; 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</v>
      </c>
      <c r="S19" s="103" t="str">
        <f>VLOOKUP(C19,'Train Runs'!$A$13:$AE$9986,22,0)</f>
        <v>https://search-rtdc-monitor-bjffxe2xuh6vdkpspy63sjmuny.us-east-1.es.amazonaws.com/_plugin/kibana/#/discover/Steve-Slow-Train-Analysis-(2080s-and-2083s)?_g=(refreshInterval:(display:Off,section:0,value:0),time:(from:'2016-11-28 08:27:01-700',mode:absolute,to:'2016-11-28 11:23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9" s="105" t="str">
        <f t="shared" si="1"/>
        <v>"C:\Program Files (x86)\AstroGrep\AstroGrep.exe" /spath="%USERPROFILE%\AppData\Local\Temp\OnboardLogs" /stypes="*4013*201611281*" /stext=" 16:.+((SYSTEM_STATE.+slice.+state.+changed )|(ment ac)|(multiple cpu faults)|(system.+state.+changed )|(\[timeout)|(PRM\|1\|D)|(kpr)|(kdp)|(\|lc)|(penalty))" /e /r /s</v>
      </c>
      <c r="U19" s="9" t="str">
        <f t="shared" si="2"/>
        <v>4013</v>
      </c>
      <c r="V19" s="36">
        <f t="shared" si="3"/>
        <v>42702.698854166665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{"issue":{"subject":"Pena 4S STOP","project_id":79,"tracker_id":40,"status_id":1,"priority_id":2,"assigned_to_id":23,"start_date":"2016-11-28","description":"","custom_fields":[{"id":1,"name":"Subdivision","value":"EC"},{"id":4,"name":"Milepost","value":"19.1723"},{"id":17,"name":"Train ID","value":"142-28"},{"id":16,"name":"Locomotive ID","value":"4013"},{"id":130,"name":"Impact","value":""},{"id":150,"name":"Time of Event (Mountain Time)","value":"09:46:21"},{"id":151,"name":"Denver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"%USERPROFILE%\AppData\Local\Temp\OnboardLogs"\RTDC4013\*4013*201611281*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"%USERPROFILE%\AppData\Local\Temp\OnboardLogs"\RTDC4013\*4013*201611281* &gt;&gt; 42702-slicedisagreementcheck.txt</v>
      </c>
    </row>
    <row r="20" spans="1:30" s="1" customFormat="1" x14ac:dyDescent="0.25">
      <c r="A20" s="36">
        <v>42702.636180555557</v>
      </c>
      <c r="B20" s="31" t="s">
        <v>226</v>
      </c>
      <c r="C20" s="31" t="s">
        <v>420</v>
      </c>
      <c r="D20" s="31" t="s">
        <v>49</v>
      </c>
      <c r="E20" s="31" t="s">
        <v>201</v>
      </c>
      <c r="F20" s="47">
        <v>0</v>
      </c>
      <c r="G20" s="47">
        <v>382</v>
      </c>
      <c r="H20" s="47">
        <v>194194</v>
      </c>
      <c r="I20" s="47">
        <v>193011</v>
      </c>
      <c r="J20" s="31" t="s">
        <v>202</v>
      </c>
      <c r="K20" s="47">
        <v>191723</v>
      </c>
      <c r="L20" s="154" t="s">
        <v>51</v>
      </c>
      <c r="M20" s="155">
        <f t="shared" si="0"/>
        <v>680.06399999999996</v>
      </c>
      <c r="N20" s="156" t="str">
        <f>VLOOKUP(C20,'Trips&amp;Operators'!$C$1:$E$99999,3,FALSE)</f>
        <v>ROMERO</v>
      </c>
      <c r="O20" s="182" t="s">
        <v>198</v>
      </c>
      <c r="P20" s="157" t="s">
        <v>804</v>
      </c>
      <c r="Q20" s="31"/>
      <c r="R20" s="100" t="str">
        <f>VLOOKUP(C20,'Train Runs'!$A$13:$AE$9986,31,0)</f>
        <v>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 &amp; aws s3 cp s3://rtdc.mdm.uploadarchive.raw/RTDC4037/ "%USERPROFILE%\AppData\Local\Temp\OnboardLogs"\RTDC4037\2016-11-29 --exclude "*" --recursive --include "*20161129*" &amp; "%USERPROFILE%\Documents\GitHub\mrs-test-scripts\Headless Mode &amp; Sideloading\WalkAndUnGZ.bat" "%USERPROFILE%\AppData\Local\Temp\OnboardLogs"\RTDC4037\2016-11-29</v>
      </c>
      <c r="S20" s="103" t="str">
        <f>VLOOKUP(C20,'Train Runs'!$A$13:$AE$9986,22,0)</f>
        <v>https://search-rtdc-monitor-bjffxe2xuh6vdkpspy63sjmuny.us-east-1.es.amazonaws.com/_plugin/kibana/#/discover/Steve-Slow-Train-Analysis-(2080s-and-2083s)?_g=(refreshInterval:(display:Off,section:0,value:0),time:(from:'2016-11-28 13:53:25-700',mode:absolute,to:'2016-11-28 16:56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0" s="105" t="str">
        <f t="shared" si="1"/>
        <v>"C:\Program Files (x86)\AstroGrep\AstroGrep.exe" /spath="%USERPROFILE%\AppData\Local\Temp\OnboardLogs" /stypes="*4037*201611282*" /stext=" 22:.+((SYSTEM_STATE.+slice.+state.+changed )|(ment ac)|(multiple cpu faults)|(system.+state.+changed )|(\[timeout)|(PRM\|1\|D)|(kpr)|(kdp)|(\|lc)|(penalty))" /e /r /s</v>
      </c>
      <c r="U20" s="9" t="str">
        <f t="shared" si="2"/>
        <v>4037</v>
      </c>
      <c r="V20" s="36">
        <f t="shared" si="3"/>
        <v>42702.927847222221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{"issue":{"subject":"Pena 4S STOP","project_id":79,"tracker_id":40,"status_id":1,"priority_id":2,"assigned_to_id":23,"start_date":"2016-11-28","description":"","custom_fields":[{"id":1,"name":"Subdivision","value":"EC"},{"id":4,"name":"Milepost","value":"19.1723"},{"id":17,"name":"Train ID","value":"186-28"},{"id":16,"name":"Locomotive ID","value":"4037"},{"id":130,"name":"Impact","value":""},{"id":150,"name":"Time of Event (Mountain Time)","value":"15:16:06"},{"id":151,"name":"Denver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"%USERPROFILE%\AppData\Local\Temp\OnboardLogs"\RTDC4037\*4037*201611282*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"%USERPROFILE%\AppData\Local\Temp\OnboardLogs"\RTDC4037\*4037*201611282* &gt;&gt; 42702-slicedisagreementcheck.txt</v>
      </c>
    </row>
    <row r="21" spans="1:30" x14ac:dyDescent="0.25">
      <c r="A21" s="36">
        <v>42702.604780092595</v>
      </c>
      <c r="B21" s="31" t="s">
        <v>238</v>
      </c>
      <c r="C21" s="31" t="s">
        <v>415</v>
      </c>
      <c r="D21" s="31" t="s">
        <v>49</v>
      </c>
      <c r="E21" s="31" t="s">
        <v>416</v>
      </c>
      <c r="F21" s="47">
        <v>0</v>
      </c>
      <c r="G21" s="47">
        <v>608</v>
      </c>
      <c r="H21" s="47">
        <v>187051</v>
      </c>
      <c r="I21" s="47">
        <v>189802</v>
      </c>
      <c r="J21" s="31" t="s">
        <v>417</v>
      </c>
      <c r="K21" s="47">
        <v>190834</v>
      </c>
      <c r="L21" s="154" t="s">
        <v>50</v>
      </c>
      <c r="M21" s="155">
        <f t="shared" si="0"/>
        <v>544.89599999999996</v>
      </c>
      <c r="N21" s="156" t="str">
        <f>VLOOKUP(C21,'Trips&amp;Operators'!$C$1:$E$99999,3,FALSE)</f>
        <v>DAVIDSON</v>
      </c>
      <c r="O21" s="182" t="s">
        <v>244</v>
      </c>
      <c r="P21" s="157" t="s">
        <v>805</v>
      </c>
      <c r="Q21" s="31"/>
      <c r="R21" s="100" t="str">
        <f>VLOOKUP(C21,'Train Runs'!$A$13:$AE$9986,31,0)</f>
        <v>aws s3 cp s3://rtdc.mdm.uploadarchive.raw/RTDC4014/ "%USERPROFILE%\AppData\Local\Temp\OnboardLogs"\RTDC4014\2016-11-28 --exclude "*" --recursive --include "*20161128*" &amp; "%USERPROFILE%\Documents\GitHub\mrs-test-scripts\Headless Mode &amp; Sideloading\WalkAndUnGZ.bat" "%USERPROFILE%\AppData\Local\Temp\OnboardLogs"\RTDC4014\2016-11-28 &amp; 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</v>
      </c>
      <c r="S21" s="103" t="str">
        <f>VLOOKUP(C21,'Train Runs'!$A$13:$AE$9986,22,0)</f>
        <v>https://search-rtdc-monitor-bjffxe2xuh6vdkpspy63sjmuny.us-east-1.es.amazonaws.com/_plugin/kibana/#/discover/Steve-Slow-Train-Analysis-(2080s-and-2083s)?_g=(refreshInterval:(display:Off,section:0,value:0),time:(from:'2016-11-28 12:55:14-700',mode:absolute,to:'2016-11-28 15:37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1" s="105" t="str">
        <f t="shared" si="1"/>
        <v>"C:\Program Files (x86)\AstroGrep\AstroGrep.exe" /spath="%USERPROFILE%\AppData\Local\Temp\OnboardLogs" /stypes="*4014*201611282*" /stext=" 21:.+((SYSTEM_STATE.+slice.+state.+changed )|(ment ac)|(multiple cpu faults)|(system.+state.+changed )|(\[timeout)|(PRM\|1\|D)|(kpr)|(kdp)|(\|lc)|(penalty))" /e /r /s</v>
      </c>
      <c r="U21" s="9" t="str">
        <f t="shared" si="2"/>
        <v>4014</v>
      </c>
      <c r="V21" s="36">
        <f t="shared" si="3"/>
        <v>42702.89644675926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{"issue":{"subject":"Wi-MAX data drop","project_id":79,"tracker_id":40,"status_id":1,"priority_id":2,"assigned_to_id":23,"start_date":"2016-11-28","description":"http://stevetu21.github.io/eaglep3/load_kml.html?kml=http://rtdc.gmaps-snips.s3.amazonaws.com/7bb415cc-66da-4ab6-af76-4f18169df5ef.kml","custom_fields":[{"id":1,"name":"Subdivision","value":"EC"},{"id":4,"name":"Milepost","value":"19.0834"},{"id":17,"name":"Train ID","value":"183-28"},{"id":16,"name":"Locomotive ID","value":"4014"},{"id":130,"name":"Impact","value":"Enforcement"},{"id":150,"name":"Time of Event (Mountain Time)","value":"14:30:53"},{"id":151,"name":"Denver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1" s="183" t="s">
        <v>806</v>
      </c>
      <c r="AA21" s="53" t="s">
        <v>125</v>
      </c>
      <c r="AB21" s="53" t="s">
        <v>138</v>
      </c>
      <c r="AC21" s="138" t="str">
        <f t="shared" si="7"/>
        <v>grep -hSE -A100 "Enforcement Action" "%USERPROFILE%\AppData\Local\Temp\OnboardLogs"\RTDC4014\*4014*201611282*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"%USERPROFILE%\AppData\Local\Temp\OnboardLogs"\RTDC4014\*4014*201611282* &gt;&gt; 42702-slicedisagreementcheck.txt</v>
      </c>
    </row>
    <row r="22" spans="1:30" x14ac:dyDescent="0.25">
      <c r="A22" s="36">
        <v>42702.433298611111</v>
      </c>
      <c r="B22" s="31" t="s">
        <v>239</v>
      </c>
      <c r="C22" s="31" t="s">
        <v>405</v>
      </c>
      <c r="D22" s="31" t="s">
        <v>49</v>
      </c>
      <c r="E22" s="31" t="s">
        <v>203</v>
      </c>
      <c r="F22" s="47">
        <v>0</v>
      </c>
      <c r="G22" s="47">
        <v>36</v>
      </c>
      <c r="H22" s="47">
        <v>107</v>
      </c>
      <c r="I22" s="47">
        <v>96</v>
      </c>
      <c r="J22" s="31" t="s">
        <v>204</v>
      </c>
      <c r="K22" s="47">
        <v>1</v>
      </c>
      <c r="L22" s="154" t="s">
        <v>51</v>
      </c>
      <c r="M22" s="155">
        <f t="shared" si="0"/>
        <v>50.16</v>
      </c>
      <c r="N22" s="156" t="str">
        <f>VLOOKUP(C22,'Trips&amp;Operators'!$C$1:$E$99999,3,FALSE)</f>
        <v>JOHNSON</v>
      </c>
      <c r="O22" s="182" t="s">
        <v>198</v>
      </c>
      <c r="P22" s="157"/>
      <c r="Q22" s="31"/>
      <c r="R22" s="100" t="str">
        <f>VLOOKUP(C22,'Train Runs'!$A$13:$AE$9986,31,0)</f>
        <v>aws s3 cp s3://rtdc.mdm.uploadarchive.raw/RTDC4013/ "%USERPROFILE%\AppData\Local\Temp\OnboardLogs"\RTDC4013\2016-11-28 --exclude "*" --recursive --include "*20161128*" &amp; "%USERPROFILE%\Documents\GitHub\mrs-test-scripts\Headless Mode &amp; Sideloading\WalkAndUnGZ.bat" "%USERPROFILE%\AppData\Local\Temp\OnboardLogs"\RTDC4013\2016-11-28 &amp; 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</v>
      </c>
      <c r="S22" s="103" t="str">
        <f>VLOOKUP(C22,'Train Runs'!$A$13:$AE$9986,22,0)</f>
        <v>https://search-rtdc-monitor-bjffxe2xuh6vdkpspy63sjmuny.us-east-1.es.amazonaws.com/_plugin/kibana/#/discover/Steve-Slow-Train-Analysis-(2080s-and-2083s)?_g=(refreshInterval:(display:Off,section:0,value:0),time:(from:'2016-11-28 08:27:01-700',mode:absolute,to:'2016-11-28 11:23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2" s="105" t="str">
        <f t="shared" si="1"/>
        <v>"C:\Program Files (x86)\AstroGrep\AstroGrep.exe" /spath="%USERPROFILE%\AppData\Local\Temp\OnboardLogs" /stypes="*4013*201611281*" /stext=" 17:.+((SYSTEM_STATE.+slice.+state.+changed )|(ment ac)|(multiple cpu faults)|(system.+state.+changed )|(\[timeout)|(PRM\|1\|D)|(kpr)|(kdp)|(\|lc)|(penalty))" /e /r /s</v>
      </c>
      <c r="U22" s="9" t="str">
        <f t="shared" si="2"/>
        <v>4013</v>
      </c>
      <c r="V22" s="36">
        <f t="shared" si="3"/>
        <v>42702.724965277775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{"issue":{"subject":"","project_id":79,"tracker_id":40,"status_id":1,"priority_id":2,"assigned_to_id":23,"start_date":"2016-11-28","description":"","custom_fields":[{"id":1,"name":"Subdivision","value":"EC"},{"id":4,"name":"Milepost","value":"0.0001"},{"id":17,"name":"Train ID","value":"142-28"},{"id":16,"name":"Locomotive ID","value":"4013"},{"id":130,"name":"Impact","value":""},{"id":150,"name":"Time of Event (Mountain Time)","value":"10:23:57"},{"id":151,"name":"Denver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"%USERPROFILE%\AppData\Local\Temp\OnboardLogs"\RTDC4013\*4013*201611281*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"%USERPROFILE%\AppData\Local\Temp\OnboardLogs"\RTDC4013\*4013*201611281* &gt;&gt; 42702-slicedisagreementcheck.txt</v>
      </c>
    </row>
    <row r="23" spans="1:30" x14ac:dyDescent="0.25">
      <c r="A23" s="36">
        <v>42702.576064814813</v>
      </c>
      <c r="B23" s="31" t="s">
        <v>239</v>
      </c>
      <c r="C23" s="31" t="s">
        <v>413</v>
      </c>
      <c r="D23" s="31" t="s">
        <v>49</v>
      </c>
      <c r="E23" s="31" t="s">
        <v>203</v>
      </c>
      <c r="F23" s="47">
        <v>0</v>
      </c>
      <c r="G23" s="47">
        <v>82</v>
      </c>
      <c r="H23" s="47">
        <v>293</v>
      </c>
      <c r="I23" s="47">
        <v>192</v>
      </c>
      <c r="J23" s="31" t="s">
        <v>204</v>
      </c>
      <c r="K23" s="47">
        <v>1</v>
      </c>
      <c r="L23" s="154" t="s">
        <v>51</v>
      </c>
      <c r="M23" s="155">
        <f t="shared" si="0"/>
        <v>100.848</v>
      </c>
      <c r="N23" s="156" t="str">
        <f>VLOOKUP(C23,'Trips&amp;Operators'!$C$1:$E$99999,3,FALSE)</f>
        <v>DAVIDSON</v>
      </c>
      <c r="O23" s="182" t="s">
        <v>198</v>
      </c>
      <c r="P23" s="157"/>
      <c r="Q23" s="31"/>
      <c r="R23" s="100" t="str">
        <f>VLOOKUP(C23,'Train Runs'!$A$13:$AE$9986,31,0)</f>
        <v>aws s3 cp s3://rtdc.mdm.uploadarchive.raw/RTDC4013/ "%USERPROFILE%\AppData\Local\Temp\OnboardLogs"\RTDC4013\2016-11-28 --exclude "*" --recursive --include "*20161128*" &amp; "%USERPROFILE%\Documents\GitHub\mrs-test-scripts\Headless Mode &amp; Sideloading\WalkAndUnGZ.bat" "%USERPROFILE%\AppData\Local\Temp\OnboardLogs"\RTDC4013\2016-11-28 &amp; 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</v>
      </c>
      <c r="S23" s="103" t="str">
        <f>VLOOKUP(C23,'Train Runs'!$A$13:$AE$9986,22,0)</f>
        <v>https://search-rtdc-monitor-bjffxe2xuh6vdkpspy63sjmuny.us-east-1.es.amazonaws.com/_plugin/kibana/#/discover/Steve-Slow-Train-Analysis-(2080s-and-2083s)?_g=(refreshInterval:(display:Off,section:0,value:0),time:(from:'2016-11-28 11:56:09-700',mode:absolute,to:'2016-11-28 14:49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3" s="105" t="str">
        <f t="shared" si="1"/>
        <v>"C:\Program Files (x86)\AstroGrep\AstroGrep.exe" /spath="%USERPROFILE%\AppData\Local\Temp\OnboardLogs" /stypes="*4013*201611282*" /stext=" 20:.+((SYSTEM_STATE.+slice.+state.+changed )|(ment ac)|(multiple cpu faults)|(system.+state.+changed )|(\[timeout)|(PRM\|1\|D)|(kpr)|(kdp)|(\|lc)|(penalty))" /e /r /s</v>
      </c>
      <c r="U23" s="9" t="str">
        <f t="shared" si="2"/>
        <v>4013</v>
      </c>
      <c r="V23" s="36">
        <f t="shared" si="3"/>
        <v>42702.867731481478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{"issue":{"subject":"","project_id":79,"tracker_id":40,"status_id":1,"priority_id":2,"assigned_to_id":23,"start_date":"2016-11-28","description":"","custom_fields":[{"id":1,"name":"Subdivision","value":"EC"},{"id":4,"name":"Milepost","value":"0.0001"},{"id":17,"name":"Train ID","value":"170-28"},{"id":16,"name":"Locomotive ID","value":"4013"},{"id":130,"name":"Impact","value":""},{"id":150,"name":"Time of Event (Mountain Time)","value":"13:49:32"},{"id":151,"name":"Denver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"%USERPROFILE%\AppData\Local\Temp\OnboardLogs"\RTDC4013\*4013*201611282*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"%USERPROFILE%\AppData\Local\Temp\OnboardLogs"\RTDC4013\*4013*201611282* &gt;&gt; 42702-slicedisagreementcheck.txt</v>
      </c>
    </row>
    <row r="24" spans="1:30" ht="15" customHeight="1" x14ac:dyDescent="0.25">
      <c r="A24" s="36">
        <v>42702.61787037037</v>
      </c>
      <c r="B24" s="31" t="s">
        <v>265</v>
      </c>
      <c r="C24" s="31" t="s">
        <v>418</v>
      </c>
      <c r="D24" s="31" t="s">
        <v>49</v>
      </c>
      <c r="E24" s="31" t="s">
        <v>203</v>
      </c>
      <c r="F24" s="47">
        <v>0</v>
      </c>
      <c r="G24" s="47">
        <v>47</v>
      </c>
      <c r="H24" s="47">
        <v>163</v>
      </c>
      <c r="I24" s="47">
        <v>114</v>
      </c>
      <c r="J24" s="31" t="s">
        <v>204</v>
      </c>
      <c r="K24" s="47">
        <v>1</v>
      </c>
      <c r="L24" s="154" t="s">
        <v>51</v>
      </c>
      <c r="M24" s="155">
        <f t="shared" si="0"/>
        <v>59.664000000000001</v>
      </c>
      <c r="N24" s="156" t="str">
        <f>VLOOKUP(C24,'Trips&amp;Operators'!$C$1:$E$99999,3,FALSE)</f>
        <v>BONDS</v>
      </c>
      <c r="O24" s="182" t="s">
        <v>198</v>
      </c>
      <c r="P24" s="157"/>
      <c r="Q24" s="31"/>
      <c r="R24" s="100" t="str">
        <f>VLOOKUP(C24,'Train Runs'!$A$13:$AE$9986,31,0)</f>
        <v>aws s3 cp s3://rtdc.mdm.uploadarchive.raw/RTDC4041/ "%USERPROFILE%\AppData\Local\Temp\OnboardLogs"\RTDC4041\2016-11-28 --exclude "*" --recursive --include "*20161128*" &amp; "%USERPROFILE%\Documents\GitHub\mrs-test-scripts\Headless Mode &amp; Sideloading\WalkAndUnGZ.bat" "%USERPROFILE%\AppData\Local\Temp\OnboardLogs"\RTDC4041\2016-11-28 &amp; 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</v>
      </c>
      <c r="S24" s="103" t="str">
        <f>VLOOKUP(C24,'Train Runs'!$A$13:$AE$9986,22,0)</f>
        <v>https://search-rtdc-monitor-bjffxe2xuh6vdkpspy63sjmuny.us-east-1.es.amazonaws.com/_plugin/kibana/#/discover/Steve-Slow-Train-Analysis-(2080s-and-2083s)?_g=(refreshInterval:(display:Off,section:0,value:0),time:(from:'2016-11-28 12:57:25-700',mode:absolute,to:'2016-11-28 15:49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4" s="105" t="str">
        <f t="shared" si="1"/>
        <v>"C:\Program Files (x86)\AstroGrep\AstroGrep.exe" /spath="%USERPROFILE%\AppData\Local\Temp\OnboardLogs" /stypes="*4041*201611282*" /stext=" 21:.+((SYSTEM_STATE.+slice.+state.+changed )|(ment ac)|(multiple cpu faults)|(system.+state.+changed )|(\[timeout)|(PRM\|1\|D)|(kpr)|(kdp)|(\|lc)|(penalty))" /e /r /s</v>
      </c>
      <c r="U24" s="9" t="str">
        <f t="shared" si="2"/>
        <v>4041</v>
      </c>
      <c r="V24" s="36">
        <f t="shared" si="3"/>
        <v>42702.909537037034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{"issue":{"subject":"","project_id":79,"tracker_id":40,"status_id":1,"priority_id":2,"assigned_to_id":23,"start_date":"2016-11-28","description":"","custom_fields":[{"id":1,"name":"Subdivision","value":"EC"},{"id":4,"name":"Milepost","value":"0.0001"},{"id":17,"name":"Train ID","value":"178-28"},{"id":16,"name":"Locomotive ID","value":"4041"},{"id":130,"name":"Impact","value":""},{"id":150,"name":"Time of Event (Mountain Time)","value":"14:49:44"},{"id":151,"name":"Denver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"%USERPROFILE%\AppData\Local\Temp\OnboardLogs"\RTDC4041\*4041*201611282*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"%USERPROFILE%\AppData\Local\Temp\OnboardLogs"\RTDC4041\*4041*201611282* &gt;&gt; 42702-slicedisagreementcheck.txt</v>
      </c>
    </row>
    <row r="25" spans="1:30" x14ac:dyDescent="0.25">
      <c r="A25" s="36">
        <v>42702.629884259259</v>
      </c>
      <c r="B25" s="31" t="s">
        <v>343</v>
      </c>
      <c r="C25" s="31" t="s">
        <v>419</v>
      </c>
      <c r="D25" s="31" t="s">
        <v>49</v>
      </c>
      <c r="E25" s="31" t="s">
        <v>203</v>
      </c>
      <c r="F25" s="47">
        <v>0</v>
      </c>
      <c r="G25" s="47">
        <v>70</v>
      </c>
      <c r="H25" s="47">
        <v>234</v>
      </c>
      <c r="I25" s="47">
        <v>174</v>
      </c>
      <c r="J25" s="31" t="s">
        <v>204</v>
      </c>
      <c r="K25" s="47">
        <v>1</v>
      </c>
      <c r="L25" s="154" t="s">
        <v>51</v>
      </c>
      <c r="M25" s="155">
        <f t="shared" si="0"/>
        <v>91.343999999999994</v>
      </c>
      <c r="N25" s="156" t="str">
        <f>VLOOKUP(C25,'Trips&amp;Operators'!$C$1:$E$99999,3,FALSE)</f>
        <v>CLARK</v>
      </c>
      <c r="O25" s="182" t="s">
        <v>198</v>
      </c>
      <c r="P25" s="157"/>
      <c r="Q25" s="31"/>
      <c r="R25" s="100" t="str">
        <f>VLOOKUP(C25,'Train Runs'!$A$13:$AE$9986,31,0)</f>
        <v>aws s3 cp s3://rtdc.mdm.uploadarchive.raw/RTDC4015/ "%USERPROFILE%\AppData\Local\Temp\OnboardLogs"\RTDC4015\2016-11-28 --exclude "*" --recursive --include "*20161128*" &amp; "%USERPROFILE%\Documents\GitHub\mrs-test-scripts\Headless Mode &amp; Sideloading\WalkAndUnGZ.bat" "%USERPROFILE%\AppData\Local\Temp\OnboardLogs"\RTDC4015\2016-11-28 &amp; 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</v>
      </c>
      <c r="S25" s="103" t="str">
        <f>VLOOKUP(C25,'Train Runs'!$A$13:$AE$9986,22,0)</f>
        <v>https://search-rtdc-monitor-bjffxe2xuh6vdkpspy63sjmuny.us-east-1.es.amazonaws.com/_plugin/kibana/#/discover/Steve-Slow-Train-Analysis-(2080s-and-2083s)?_g=(refreshInterval:(display:Off,section:0,value:0),time:(from:'2016-11-28 13:19:15-700',mode:absolute,to:'2016-11-28 16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5" s="105" t="str">
        <f t="shared" si="1"/>
        <v>"C:\Program Files (x86)\AstroGrep\AstroGrep.exe" /spath="%USERPROFILE%\AppData\Local\Temp\OnboardLogs" /stypes="*4015*201611282*" /stext=" 22:.+((SYSTEM_STATE.+slice.+state.+changed )|(ment ac)|(multiple cpu faults)|(system.+state.+changed )|(\[timeout)|(PRM\|1\|D)|(kpr)|(kdp)|(\|lc)|(penalty))" /e /r /s</v>
      </c>
      <c r="U25" s="9" t="str">
        <f t="shared" si="2"/>
        <v>4015</v>
      </c>
      <c r="V25" s="36">
        <f t="shared" si="3"/>
        <v>42702.921550925923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{"issue":{"subject":"","project_id":79,"tracker_id":40,"status_id":1,"priority_id":2,"assigned_to_id":23,"start_date":"2016-11-28","description":"","custom_fields":[{"id":1,"name":"Subdivision","value":"EC"},{"id":4,"name":"Milepost","value":"0.0001"},{"id":17,"name":"Train ID","value":"180-28"},{"id":16,"name":"Locomotive ID","value":"4015"},{"id":130,"name":"Impact","value":""},{"id":150,"name":"Time of Event (Mountain Time)","value":"15:07:02"},{"id":151,"name":"Denver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"%USERPROFILE%\AppData\Local\Temp\OnboardLogs"\RTDC4015\*4015*201611282*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"%USERPROFILE%\AppData\Local\Temp\OnboardLogs"\RTDC4015\*4015*201611282* &gt;&gt; 42702-slicedisagreementcheck.txt</v>
      </c>
    </row>
    <row r="26" spans="1:30" x14ac:dyDescent="0.25">
      <c r="A26" s="36">
        <v>42702.79650462963</v>
      </c>
      <c r="B26" s="31" t="s">
        <v>239</v>
      </c>
      <c r="C26" s="31" t="s">
        <v>428</v>
      </c>
      <c r="D26" s="31" t="s">
        <v>49</v>
      </c>
      <c r="E26" s="31" t="s">
        <v>203</v>
      </c>
      <c r="F26" s="47">
        <v>0</v>
      </c>
      <c r="G26" s="47">
        <v>53</v>
      </c>
      <c r="H26" s="47">
        <v>178</v>
      </c>
      <c r="I26" s="47">
        <v>134</v>
      </c>
      <c r="J26" s="31" t="s">
        <v>204</v>
      </c>
      <c r="K26" s="47">
        <v>1</v>
      </c>
      <c r="L26" s="154" t="s">
        <v>51</v>
      </c>
      <c r="M26" s="155">
        <f t="shared" si="0"/>
        <v>70.224000000000004</v>
      </c>
      <c r="N26" s="156" t="str">
        <f>VLOOKUP(C26,'Trips&amp;Operators'!$C$1:$E$99999,3,FALSE)</f>
        <v>YOUNG</v>
      </c>
      <c r="O26" s="182" t="s">
        <v>198</v>
      </c>
      <c r="P26" s="157"/>
      <c r="Q26" s="31"/>
      <c r="R26" s="100" t="str">
        <f>VLOOKUP(C26,'Train Runs'!$A$13:$AE$9986,31,0)</f>
        <v>aws s3 cp s3://rtdc.mdm.uploadarchive.raw/RTDC4013/ "%USERPROFILE%\AppData\Local\Temp\OnboardLogs"\RTDC4013\2016-11-28 --exclude "*" --recursive --include "*20161128*" &amp; "%USERPROFILE%\Documents\GitHub\mrs-test-scripts\Headless Mode &amp; Sideloading\WalkAndUnGZ.bat" "%USERPROFILE%\AppData\Local\Temp\OnboardLogs"\RTDC4013\2016-11-28 &amp; 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</v>
      </c>
      <c r="S26" s="103" t="str">
        <f>VLOOKUP(C26,'Train Runs'!$A$13:$AE$9986,22,0)</f>
        <v>https://search-rtdc-monitor-bjffxe2xuh6vdkpspy63sjmuny.us-east-1.es.amazonaws.com/_plugin/kibana/#/discover/Steve-Slow-Train-Analysis-(2080s-and-2083s)?_g=(refreshInterval:(display:Off,section:0,value:0),time:(from:'2016-11-28 17:13:08-700',mode:absolute,to:'2016-11-28 20:06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6" s="105" t="str">
        <f t="shared" si="1"/>
        <v>"C:\Program Files (x86)\AstroGrep\AstroGrep.exe" /spath="%USERPROFILE%\AppData\Local\Temp\OnboardLogs" /stypes="*4013*201611290*" /stext=" 02:.+((SYSTEM_STATE.+slice.+state.+changed )|(ment ac)|(multiple cpu faults)|(system.+state.+changed )|(\[timeout)|(PRM\|1\|D)|(kpr)|(kdp)|(\|lc)|(penalty))" /e /r /s</v>
      </c>
      <c r="U26" s="9" t="str">
        <f t="shared" si="2"/>
        <v>4013</v>
      </c>
      <c r="V26" s="36">
        <f t="shared" si="3"/>
        <v>42703.088171296295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{"issue":{"subject":"","project_id":79,"tracker_id":40,"status_id":1,"priority_id":2,"assigned_to_id":23,"start_date":"2016-11-28","description":"","custom_fields":[{"id":1,"name":"Subdivision","value":"EC"},{"id":4,"name":"Milepost","value":"0.0001"},{"id":17,"name":"Train ID","value":"212-28"},{"id":16,"name":"Locomotive ID","value":"4013"},{"id":130,"name":"Impact","value":""},{"id":150,"name":"Time of Event (Mountain Time)","value":"19:06:58"},{"id":151,"name":"Denver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"%USERPROFILE%\AppData\Local\Temp\OnboardLogs"\RTDC4013\*4013*201611290*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"%USERPROFILE%\AppData\Local\Temp\OnboardLogs"\RTDC4013\*4013*201611290* &gt;&gt; 42702-slicedisagreementcheck.txt</v>
      </c>
    </row>
    <row r="27" spans="1:30" x14ac:dyDescent="0.25">
      <c r="A27" s="36">
        <v>42702.431585648148</v>
      </c>
      <c r="B27" s="31" t="s">
        <v>264</v>
      </c>
      <c r="C27" s="31" t="s">
        <v>406</v>
      </c>
      <c r="D27" s="31" t="s">
        <v>49</v>
      </c>
      <c r="E27" s="31" t="s">
        <v>203</v>
      </c>
      <c r="F27" s="47">
        <v>0</v>
      </c>
      <c r="G27" s="47">
        <v>133</v>
      </c>
      <c r="H27" s="47">
        <v>232885</v>
      </c>
      <c r="I27" s="47">
        <v>233064</v>
      </c>
      <c r="J27" s="31" t="s">
        <v>204</v>
      </c>
      <c r="K27" s="47">
        <v>233491</v>
      </c>
      <c r="L27" s="154" t="s">
        <v>50</v>
      </c>
      <c r="M27" s="155">
        <f t="shared" si="0"/>
        <v>225.45599999999999</v>
      </c>
      <c r="N27" s="156" t="str">
        <f>VLOOKUP(C27,'Trips&amp;Operators'!$C$1:$E$99999,3,FALSE)</f>
        <v>SPECTOR</v>
      </c>
      <c r="O27" s="182" t="s">
        <v>198</v>
      </c>
      <c r="P27" s="157"/>
      <c r="Q27" s="31"/>
      <c r="R27" s="100" t="str">
        <f>VLOOKUP(C27,'Train Runs'!$A$13:$AE$9986,31,0)</f>
        <v>aws s3 cp s3://rtdc.mdm.uploadarchive.raw/RTDC4042/ "%USERPROFILE%\AppData\Local\Temp\OnboardLogs"\RTDC4042\2016-11-28 --exclude "*" --recursive --include "*20161128*" &amp; "%USERPROFILE%\Documents\GitHub\mrs-test-scripts\Headless Mode &amp; Sideloading\WalkAndUnGZ.bat" "%USERPROFILE%\AppData\Local\Temp\OnboardLogs"\RTDC4042\2016-11-28 &amp; aws s3 cp s3://rtdc.mdm.uploadarchive.raw/RTDC4042/ "%USERPROFILE%\AppData\Local\Temp\OnboardLogs"\RTDC4042\2016-11-29 --exclude "*" --recursive --include "*20161129*" &amp; "%USERPROFILE%\Documents\GitHub\mrs-test-scripts\Headless Mode &amp; Sideloading\WalkAndUnGZ.bat" "%USERPROFILE%\AppData\Local\Temp\OnboardLogs"\RTDC4042\2016-11-29</v>
      </c>
      <c r="S27" s="103" t="str">
        <f>VLOOKUP(C27,'Train Runs'!$A$13:$AE$9986,22,0)</f>
        <v>https://search-rtdc-monitor-bjffxe2xuh6vdkpspy63sjmuny.us-east-1.es.amazonaws.com/_plugin/kibana/#/discover/Steve-Slow-Train-Analysis-(2080s-and-2083s)?_g=(refreshInterval:(display:Off,section:0,value:0),time:(from:'2016-11-28 08:42:00-700',mode:absolute,to:'2016-11-28 11:21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7" s="105" t="str">
        <f t="shared" si="1"/>
        <v>"C:\Program Files (x86)\AstroGrep\AstroGrep.exe" /spath="%USERPROFILE%\AppData\Local\Temp\OnboardLogs" /stypes="*4042*201611281*" /stext=" 17:.+((SYSTEM_STATE.+slice.+state.+changed )|(ment ac)|(multiple cpu faults)|(system.+state.+changed )|(\[timeout)|(PRM\|1\|D)|(kpr)|(kdp)|(\|lc)|(penalty))" /e /r /s</v>
      </c>
      <c r="U27" s="9" t="str">
        <f t="shared" si="2"/>
        <v>4042</v>
      </c>
      <c r="V27" s="36">
        <f t="shared" si="3"/>
        <v>42702.723252314812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{"issue":{"subject":"","project_id":79,"tracker_id":40,"status_id":1,"priority_id":2,"assigned_to_id":23,"start_date":"2016-11-28","description":"","custom_fields":[{"id":1,"name":"Subdivision","value":"EC"},{"id":4,"name":"Milepost","value":"23.3491"},{"id":17,"name":"Train ID","value":"149-28"},{"id":16,"name":"Locomotive ID","value":"4042"},{"id":130,"name":"Impact","value":""},{"id":150,"name":"Time of Event (Mountain Time)","value":"10:21:29"},{"id":151,"name":"Denver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"%USERPROFILE%\AppData\Local\Temp\OnboardLogs"\RTDC4042\*4042*201611281*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"%USERPROFILE%\AppData\Local\Temp\OnboardLogs"\RTDC4042\*4042*201611281* &gt;&gt; 42702-slicedisagreementcheck.txt</v>
      </c>
    </row>
    <row r="28" spans="1:30" x14ac:dyDescent="0.25">
      <c r="A28" s="36">
        <v>42702.432152777779</v>
      </c>
      <c r="B28" s="31" t="s">
        <v>264</v>
      </c>
      <c r="C28" s="31" t="s">
        <v>406</v>
      </c>
      <c r="D28" s="31" t="s">
        <v>49</v>
      </c>
      <c r="E28" s="31" t="s">
        <v>203</v>
      </c>
      <c r="F28" s="47">
        <v>0</v>
      </c>
      <c r="G28" s="47">
        <v>48</v>
      </c>
      <c r="H28" s="47">
        <v>233291</v>
      </c>
      <c r="I28" s="47">
        <v>233334</v>
      </c>
      <c r="J28" s="31" t="s">
        <v>204</v>
      </c>
      <c r="K28" s="47">
        <v>233491</v>
      </c>
      <c r="L28" s="154" t="s">
        <v>50</v>
      </c>
      <c r="M28" s="155">
        <f t="shared" si="0"/>
        <v>82.895999999999987</v>
      </c>
      <c r="N28" s="156" t="str">
        <f>VLOOKUP(C28,'Trips&amp;Operators'!$C$1:$E$99999,3,FALSE)</f>
        <v>SPECTOR</v>
      </c>
      <c r="O28" s="182" t="s">
        <v>198</v>
      </c>
      <c r="P28" s="157"/>
      <c r="Q28" s="31"/>
      <c r="R28" s="100" t="str">
        <f>VLOOKUP(C28,'Train Runs'!$A$13:$AE$9986,31,0)</f>
        <v>aws s3 cp s3://rtdc.mdm.uploadarchive.raw/RTDC4042/ "%USERPROFILE%\AppData\Local\Temp\OnboardLogs"\RTDC4042\2016-11-28 --exclude "*" --recursive --include "*20161128*" &amp; "%USERPROFILE%\Documents\GitHub\mrs-test-scripts\Headless Mode &amp; Sideloading\WalkAndUnGZ.bat" "%USERPROFILE%\AppData\Local\Temp\OnboardLogs"\RTDC4042\2016-11-28 &amp; aws s3 cp s3://rtdc.mdm.uploadarchive.raw/RTDC4042/ "%USERPROFILE%\AppData\Local\Temp\OnboardLogs"\RTDC4042\2016-11-29 --exclude "*" --recursive --include "*20161129*" &amp; "%USERPROFILE%\Documents\GitHub\mrs-test-scripts\Headless Mode &amp; Sideloading\WalkAndUnGZ.bat" "%USERPROFILE%\AppData\Local\Temp\OnboardLogs"\RTDC4042\2016-11-29</v>
      </c>
      <c r="S28" s="103" t="str">
        <f>VLOOKUP(C28,'Train Runs'!$A$13:$AE$9986,22,0)</f>
        <v>https://search-rtdc-monitor-bjffxe2xuh6vdkpspy63sjmuny.us-east-1.es.amazonaws.com/_plugin/kibana/#/discover/Steve-Slow-Train-Analysis-(2080s-and-2083s)?_g=(refreshInterval:(display:Off,section:0,value:0),time:(from:'2016-11-28 08:42:00-700',mode:absolute,to:'2016-11-28 11:21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8" s="105" t="str">
        <f t="shared" si="1"/>
        <v>"C:\Program Files (x86)\AstroGrep\AstroGrep.exe" /spath="%USERPROFILE%\AppData\Local\Temp\OnboardLogs" /stypes="*4042*201611281*" /stext=" 17:.+((SYSTEM_STATE.+slice.+state.+changed )|(ment ac)|(multiple cpu faults)|(system.+state.+changed )|(\[timeout)|(PRM\|1\|D)|(kpr)|(kdp)|(\|lc)|(penalty))" /e /r /s</v>
      </c>
      <c r="U28" s="9" t="str">
        <f t="shared" si="2"/>
        <v>4042</v>
      </c>
      <c r="V28" s="36">
        <f t="shared" si="3"/>
        <v>42702.723819444444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{"issue":{"subject":"","project_id":79,"tracker_id":40,"status_id":1,"priority_id":2,"assigned_to_id":23,"start_date":"2016-11-28","description":"","custom_fields":[{"id":1,"name":"Subdivision","value":"EC"},{"id":4,"name":"Milepost","value":"23.3491"},{"id":17,"name":"Train ID","value":"149-28"},{"id":16,"name":"Locomotive ID","value":"4042"},{"id":130,"name":"Impact","value":""},{"id":150,"name":"Time of Event (Mountain Time)","value":"10:22:18"},{"id":151,"name":"Denver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"%USERPROFILE%\AppData\Local\Temp\OnboardLogs"\RTDC4042\*4042*201611281*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"%USERPROFILE%\AppData\Local\Temp\OnboardLogs"\RTDC4042\*4042*201611281* &gt;&gt; 42702-slicedisagreementcheck.txt</v>
      </c>
    </row>
    <row r="29" spans="1:30" x14ac:dyDescent="0.25">
      <c r="A29" s="36">
        <v>42702.463217592594</v>
      </c>
      <c r="B29" s="31" t="s">
        <v>238</v>
      </c>
      <c r="C29" s="31" t="s">
        <v>407</v>
      </c>
      <c r="D29" s="31" t="s">
        <v>49</v>
      </c>
      <c r="E29" s="31" t="s">
        <v>203</v>
      </c>
      <c r="F29" s="47">
        <v>0</v>
      </c>
      <c r="G29" s="47">
        <v>110</v>
      </c>
      <c r="H29" s="47">
        <v>233057</v>
      </c>
      <c r="I29" s="47">
        <v>233224</v>
      </c>
      <c r="J29" s="31" t="s">
        <v>204</v>
      </c>
      <c r="K29" s="47">
        <v>233491</v>
      </c>
      <c r="L29" s="154" t="s">
        <v>50</v>
      </c>
      <c r="M29" s="155">
        <f t="shared" si="0"/>
        <v>140.976</v>
      </c>
      <c r="N29" s="156" t="str">
        <f>VLOOKUP(C29,'Trips&amp;Operators'!$C$1:$E$99999,3,FALSE)</f>
        <v>DAVIS</v>
      </c>
      <c r="O29" s="182" t="s">
        <v>198</v>
      </c>
      <c r="P29" s="157"/>
      <c r="Q29" s="31"/>
      <c r="R29" s="100" t="str">
        <f>VLOOKUP(C29,'Train Runs'!$A$13:$AE$9986,31,0)</f>
        <v>aws s3 cp s3://rtdc.mdm.uploadarchive.raw/RTDC4014/ "%USERPROFILE%\AppData\Local\Temp\OnboardLogs"\RTDC4014\2016-11-28 --exclude "*" --recursive --include "*20161128*" &amp; "%USERPROFILE%\Documents\GitHub\mrs-test-scripts\Headless Mode &amp; Sideloading\WalkAndUnGZ.bat" "%USERPROFILE%\AppData\Local\Temp\OnboardLogs"\RTDC4014\2016-11-28 &amp; 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</v>
      </c>
      <c r="S29" s="103" t="str">
        <f>VLOOKUP(C29,'Train Runs'!$A$13:$AE$9986,22,0)</f>
        <v>https://search-rtdc-monitor-bjffxe2xuh6vdkpspy63sjmuny.us-east-1.es.amazonaws.com/_plugin/kibana/#/discover/Steve-Slow-Train-Analysis-(2080s-and-2083s)?_g=(refreshInterval:(display:Off,section:0,value:0),time:(from:'2016-11-28 09:26:59-700',mode:absolute,to:'2016-11-28 12:07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9" s="105" t="str">
        <f t="shared" si="1"/>
        <v>"C:\Program Files (x86)\AstroGrep\AstroGrep.exe" /spath="%USERPROFILE%\AppData\Local\Temp\OnboardLogs" /stypes="*4014*201611281*" /stext=" 18:.+((SYSTEM_STATE.+slice.+state.+changed )|(ment ac)|(multiple cpu faults)|(system.+state.+changed )|(\[timeout)|(PRM\|1\|D)|(kpr)|(kdp)|(\|lc)|(penalty))" /e /r /s</v>
      </c>
      <c r="U29" s="9" t="str">
        <f t="shared" si="2"/>
        <v>4014</v>
      </c>
      <c r="V29" s="36">
        <f t="shared" si="3"/>
        <v>42702.754884259259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{"issue":{"subject":"","project_id":79,"tracker_id":40,"status_id":1,"priority_id":2,"assigned_to_id":23,"start_date":"2016-11-28","description":"","custom_fields":[{"id":1,"name":"Subdivision","value":"EC"},{"id":4,"name":"Milepost","value":"23.3491"},{"id":17,"name":"Train ID","value":"155-28"},{"id":16,"name":"Locomotive ID","value":"4014"},{"id":130,"name":"Impact","value":""},{"id":150,"name":"Time of Event (Mountain Time)","value":"11:07:02"},{"id":151,"name":"Denver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"%USERPROFILE%\AppData\Local\Temp\OnboardLogs"\RTDC4014\*4014*201611281*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"%USERPROFILE%\AppData\Local\Temp\OnboardLogs"\RTDC4014\*4014*201611281* &gt;&gt; 42702-slicedisagreementcheck.txt</v>
      </c>
    </row>
    <row r="30" spans="1:30" ht="15" customHeight="1" x14ac:dyDescent="0.25">
      <c r="A30" s="36">
        <v>42702.644918981481</v>
      </c>
      <c r="B30" s="31" t="s">
        <v>251</v>
      </c>
      <c r="C30" s="31" t="s">
        <v>421</v>
      </c>
      <c r="D30" s="31" t="s">
        <v>49</v>
      </c>
      <c r="E30" s="31" t="s">
        <v>199</v>
      </c>
      <c r="F30" s="47">
        <v>300</v>
      </c>
      <c r="G30" s="47">
        <v>402</v>
      </c>
      <c r="H30" s="47">
        <v>19137</v>
      </c>
      <c r="I30" s="47">
        <v>20390</v>
      </c>
      <c r="J30" s="31" t="s">
        <v>200</v>
      </c>
      <c r="K30" s="47">
        <v>21299</v>
      </c>
      <c r="L30" s="154" t="s">
        <v>50</v>
      </c>
      <c r="M30" s="155">
        <f t="shared" si="0"/>
        <v>479.952</v>
      </c>
      <c r="N30" s="156" t="str">
        <f>VLOOKUP(C30,'Trips&amp;Operators'!$C$1:$E$99999,3,FALSE)</f>
        <v>DAVIS</v>
      </c>
      <c r="O30" s="182" t="s">
        <v>198</v>
      </c>
      <c r="P30" s="157"/>
      <c r="Q30" s="31"/>
      <c r="R30" s="100" t="str">
        <f>VLOOKUP(C30,'Train Runs'!$A$13:$AE$9986,31,0)</f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S30" s="103" t="str">
        <f>VLOOKUP(C30,'Train Runs'!$A$13:$AE$9986,22,0)</f>
        <v>https://search-rtdc-monitor-bjffxe2xuh6vdkpspy63sjmuny.us-east-1.es.amazonaws.com/_plugin/kibana/#/discover/Steve-Slow-Train-Analysis-(2080s-and-2083s)?_g=(refreshInterval:(display:Off,section:0,value:0),time:(from:'2016-11-28 14:16:14-700',mode:absolute,to:'2016-11-28 16:40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0" s="105" t="str">
        <f t="shared" si="1"/>
        <v>"C:\Program Files (x86)\AstroGrep\AstroGrep.exe" /spath="%USERPROFILE%\AppData\Local\Temp\OnboardLogs" /stypes="*4031*201611282*" /stext=" 22:.+((SYSTEM_STATE.+slice.+state.+changed )|(ment ac)|(multiple cpu faults)|(system.+state.+changed )|(\[timeout)|(PRM\|1\|D)|(kpr)|(kdp)|(\|lc)|(penalty))" /e /r /s</v>
      </c>
      <c r="U30" s="9" t="str">
        <f t="shared" si="2"/>
        <v>4031</v>
      </c>
      <c r="V30" s="36">
        <f t="shared" si="3"/>
        <v>42702.936585648145</v>
      </c>
      <c r="W30" s="50" t="str">
        <f t="shared" si="4"/>
        <v>NW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{"issue":{"subject":"","project_id":79,"tracker_id":40,"status_id":1,"priority_id":2,"assigned_to_id":23,"start_date":"2016-11-28","description":"","custom_fields":[{"id":1,"name":"Subdivision","value":"NW"},{"id":4,"name":"Milepost","value":"2.1299"},{"id":17,"name":"Train ID","value":"825-28"},{"id":16,"name":"Locomotive ID","value":"4031"},{"id":130,"name":"Impact","value":""},{"id":150,"name":"Time of Event (Mountain Time)","value":"15:28:41"},{"id":151,"name":"Denver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"%USERPROFILE%\AppData\Local\Temp\OnboardLogs"\RTDC4031\*4031*201611282*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"%USERPROFILE%\AppData\Local\Temp\OnboardLogs"\RTDC4031\*4031*201611282* &gt;&gt; 42702-slicedisagreementcheck.txt</v>
      </c>
    </row>
    <row r="31" spans="1:30" ht="15" customHeight="1" x14ac:dyDescent="0.25">
      <c r="A31" s="36">
        <v>42702.752106481479</v>
      </c>
      <c r="B31" s="31" t="s">
        <v>273</v>
      </c>
      <c r="C31" s="31" t="s">
        <v>425</v>
      </c>
      <c r="D31" s="31" t="s">
        <v>49</v>
      </c>
      <c r="E31" s="31" t="s">
        <v>199</v>
      </c>
      <c r="F31" s="47">
        <v>150</v>
      </c>
      <c r="G31" s="47">
        <v>239</v>
      </c>
      <c r="H31" s="47">
        <v>56481</v>
      </c>
      <c r="I31" s="47">
        <v>56889</v>
      </c>
      <c r="J31" s="31" t="s">
        <v>200</v>
      </c>
      <c r="K31" s="47">
        <v>57008</v>
      </c>
      <c r="L31" s="154" t="s">
        <v>50</v>
      </c>
      <c r="M31" s="155">
        <f t="shared" si="0"/>
        <v>62.832000000000001</v>
      </c>
      <c r="N31" s="156" t="str">
        <f>VLOOKUP(C31,'Trips&amp;Operators'!$C$1:$E$99999,3,FALSE)</f>
        <v>COOLAHAN</v>
      </c>
      <c r="O31" s="182" t="s">
        <v>198</v>
      </c>
      <c r="P31" s="157"/>
      <c r="Q31" s="31"/>
      <c r="R31" s="100" t="str">
        <f>VLOOKUP(C31,'Train Runs'!$A$13:$AE$9986,31,0)</f>
        <v>aws s3 cp s3://rtdc.mdm.uploadarchive.raw/RTDC4003/ "%USERPROFILE%\AppData\Local\Temp\OnboardLogs"\RTDC4003\2016-11-28 --exclude "*" --recursive --include "*20161128*" &amp; "%USERPROFILE%\Documents\GitHub\mrs-test-scripts\Headless Mode &amp; Sideloading\WalkAndUnGZ.bat" "%USERPROFILE%\AppData\Local\Temp\OnboardLogs"\RTDC4003\2016-11-28 &amp; 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</v>
      </c>
      <c r="S31" s="103" t="str">
        <f>VLOOKUP(C31,'Train Runs'!$A$13:$AE$9986,22,0)</f>
        <v>https://search-rtdc-monitor-bjffxe2xuh6vdkpspy63sjmuny.us-east-1.es.amazonaws.com/_plugin/kibana/#/discover/Steve-Slow-Train-Analysis-(2080s-and-2083s)?_g=(refreshInterval:(display:Off,section:0,value:0),time:(from:'2016-11-28 16:44:13-700',mode:absolute,to:'2016-11-28 19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1" s="105" t="str">
        <f t="shared" si="1"/>
        <v>"C:\Program Files (x86)\AstroGrep\AstroGrep.exe" /spath="%USERPROFILE%\AppData\Local\Temp\OnboardLogs" /stypes="*4003*201611290*" /stext=" 01:.+((SYSTEM_STATE.+slice.+state.+changed )|(ment ac)|(multiple cpu faults)|(system.+state.+changed )|(\[timeout)|(PRM\|1\|D)|(kpr)|(kdp)|(\|lc)|(penalty))" /e /r /s</v>
      </c>
      <c r="U31" s="9" t="str">
        <f t="shared" si="2"/>
        <v>4003</v>
      </c>
      <c r="V31" s="36">
        <f t="shared" si="3"/>
        <v>42703.043773148143</v>
      </c>
      <c r="W31" s="50" t="str">
        <f t="shared" si="4"/>
        <v>NW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{"issue":{"subject":"","project_id":79,"tracker_id":40,"status_id":1,"priority_id":2,"assigned_to_id":23,"start_date":"2016-11-28","description":"","custom_fields":[{"id":1,"name":"Subdivision","value":"NW"},{"id":4,"name":"Milepost","value":"5.7008"},{"id":17,"name":"Train ID","value":"835-28"},{"id":16,"name":"Locomotive ID","value":"4003"},{"id":130,"name":"Impact","value":""},{"id":150,"name":"Time of Event (Mountain Time)","value":"18:03:02"},{"id":151,"name":"Denver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"%USERPROFILE%\AppData\Local\Temp\OnboardLogs"\RTDC4003\*4003*201611290*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"%USERPROFILE%\AppData\Local\Temp\OnboardLogs"\RTDC4003\*4003*201611290* &gt;&gt; 42702-slicedisagreementcheck.txt</v>
      </c>
    </row>
    <row r="32" spans="1:30" x14ac:dyDescent="0.25">
      <c r="A32" s="36">
        <v>42702.219606481478</v>
      </c>
      <c r="B32" s="31" t="s">
        <v>274</v>
      </c>
      <c r="C32" s="31" t="s">
        <v>394</v>
      </c>
      <c r="D32" s="31" t="s">
        <v>98</v>
      </c>
      <c r="E32" s="31" t="s">
        <v>199</v>
      </c>
      <c r="F32" s="47">
        <v>150</v>
      </c>
      <c r="G32" s="47">
        <v>211</v>
      </c>
      <c r="H32" s="47">
        <v>56942</v>
      </c>
      <c r="I32" s="47">
        <v>56593</v>
      </c>
      <c r="J32" s="31" t="s">
        <v>200</v>
      </c>
      <c r="K32" s="47">
        <v>59050</v>
      </c>
      <c r="L32" s="154" t="s">
        <v>51</v>
      </c>
      <c r="M32" s="155">
        <f t="shared" si="0"/>
        <v>-1297.296</v>
      </c>
      <c r="N32" s="156" t="str">
        <f>VLOOKUP(C32,'Trips&amp;Operators'!$C$1:$E$99999,3,FALSE)</f>
        <v>DAVIS</v>
      </c>
      <c r="O32" s="182" t="s">
        <v>198</v>
      </c>
      <c r="P32" s="157"/>
      <c r="Q32" s="31"/>
      <c r="R32" s="100" t="str">
        <f>VLOOKUP(C32,'Train Runs'!$A$13:$AE$9986,31,0)</f>
        <v>aws s3 cp s3://rtdc.mdm.uploadarchive.raw/RTDC4004/ "%USERPROFILE%\AppData\Local\Temp\OnboardLogs"\RTDC4004\2016-11-28 --exclude "*" --recursive --include "*20161128*" &amp; "%USERPROFILE%\Documents\GitHub\mrs-test-scripts\Headless Mode &amp; Sideloading\WalkAndUnGZ.bat" "%USERPROFILE%\AppData\Local\Temp\OnboardLogs"\RTDC4004\2016-11-28 &amp; 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</v>
      </c>
      <c r="S32" s="103" t="str">
        <f>VLOOKUP(C32,'Train Runs'!$A$13:$AE$9986,22,0)</f>
        <v>https://search-rtdc-monitor-bjffxe2xuh6vdkpspy63sjmuny.us-east-1.es.amazonaws.com/_plugin/kibana/#/discover/Steve-Slow-Train-Analysis-(2080s-and-2083s)?_g=(refreshInterval:(display:Off,section:0,value:0),time:(from:'2016-11-28 04:12:26-700',mode:absolute,to:'2016-11-28 06:28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2" s="105" t="str">
        <f t="shared" si="1"/>
        <v>"C:\Program Files (x86)\AstroGrep\AstroGrep.exe" /spath="%USERPROFILE%\AppData\Local\Temp\OnboardLogs" /stypes="*4004*201611281*" /stext=" 12:.+((SYSTEM_STATE.+slice.+state.+changed )|(ment ac)|(multiple cpu faults)|(system.+state.+changed )|(\[timeout)|(PRM\|1\|D)|(kpr)|(kdp)|(\|lc)|(penalty))" /e /r /s</v>
      </c>
      <c r="U32" s="9" t="str">
        <f t="shared" si="2"/>
        <v>4004</v>
      </c>
      <c r="V32" s="36">
        <f t="shared" si="3"/>
        <v>42702.511273148142</v>
      </c>
      <c r="W32" s="50" t="str">
        <f t="shared" si="4"/>
        <v>NW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{"issue":{"subject":"","project_id":79,"tracker_id":40,"status_id":1,"priority_id":2,"assigned_to_id":23,"start_date":"2016-11-28","description":"","custom_fields":[{"id":1,"name":"Subdivision","value":"NW"},{"id":4,"name":"Milepost","value":"5.905"},{"id":17,"name":"Train ID","value":"800-28"},{"id":16,"name":"Locomotive ID","value":"4004"},{"id":130,"name":"Impact","value":""},{"id":150,"name":"Time of Event (Mountain Time)","value":"05:16:14"},{"id":151,"name":"Denver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"%USERPROFILE%\AppData\Local\Temp\OnboardLogs"\RTDC4004\*4004*201611281*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"%USERPROFILE%\AppData\Local\Temp\OnboardLogs"\RTDC4004\*4004*201611281* &gt;&gt; 42702-slicedisagreementcheck.txt</v>
      </c>
    </row>
    <row r="33" spans="1:30" x14ac:dyDescent="0.25">
      <c r="A33" s="36">
        <v>42702.744699074072</v>
      </c>
      <c r="B33" s="31" t="s">
        <v>288</v>
      </c>
      <c r="C33" s="31" t="s">
        <v>424</v>
      </c>
      <c r="D33" s="31" t="s">
        <v>98</v>
      </c>
      <c r="E33" s="31" t="s">
        <v>201</v>
      </c>
      <c r="F33" s="47">
        <v>200</v>
      </c>
      <c r="G33" s="47">
        <v>262</v>
      </c>
      <c r="H33" s="47">
        <v>9286</v>
      </c>
      <c r="I33" s="47">
        <v>8775</v>
      </c>
      <c r="J33" s="31" t="s">
        <v>202</v>
      </c>
      <c r="K33" s="47">
        <v>9680</v>
      </c>
      <c r="L33" s="154" t="s">
        <v>51</v>
      </c>
      <c r="M33" s="155">
        <f t="shared" si="0"/>
        <v>-477.84</v>
      </c>
      <c r="N33" s="156" t="str">
        <f>VLOOKUP(C33,'Trips&amp;Operators'!$C$1:$E$99999,3,FALSE)</f>
        <v>DAVIS</v>
      </c>
      <c r="O33" s="182" t="s">
        <v>198</v>
      </c>
      <c r="P33" s="157" t="s">
        <v>803</v>
      </c>
      <c r="Q33" s="31"/>
      <c r="R33" s="100" t="str">
        <f>VLOOKUP(C33,'Train Runs'!$A$13:$AE$9986,31,0)</f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S33" s="103" t="str">
        <f>VLOOKUP(C33,'Train Runs'!$A$13:$AE$9986,22,0)</f>
        <v>https://search-rtdc-monitor-bjffxe2xuh6vdkpspy63sjmuny.us-east-1.es.amazonaws.com/_plugin/kibana/#/discover/Steve-Slow-Train-Analysis-(2080s-and-2083s)?_g=(refreshInterval:(display:Off,section:0,value:0),time:(from:'2016-11-28 16:38:35-700',mode:absolute,to:'2016-11-28 18:56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3" s="105" t="str">
        <f t="shared" si="1"/>
        <v>"C:\Program Files (x86)\AstroGrep\AstroGrep.exe" /spath="%USERPROFILE%\AppData\Local\Temp\OnboardLogs" /stypes="*4032*201611290*" /stext=" 00:.+((SYSTEM_STATE.+slice.+state.+changed )|(ment ac)|(multiple cpu faults)|(system.+state.+changed )|(\[timeout)|(PRM\|1\|D)|(kpr)|(kdp)|(\|lc)|(penalty))" /e /r /s</v>
      </c>
      <c r="U33" s="9" t="str">
        <f t="shared" si="2"/>
        <v>4032</v>
      </c>
      <c r="V33" s="36">
        <f t="shared" si="3"/>
        <v>42703.036365740736</v>
      </c>
      <c r="W33" s="50" t="str">
        <f t="shared" si="4"/>
        <v>NW</v>
      </c>
      <c r="X33" s="50" t="str">
        <f t="shared" si="5"/>
        <v>KEEP</v>
      </c>
      <c r="Y33" s="119" t="str">
        <f t="shared" si="6"/>
        <v>echo {"issue":{"subject":"Overspeed","project_id":79,"tracker_id":40,"status_id":1,"priority_id":2,"assigned_to_id":23,"start_date":"2016-11-28","description":"","custom_fields":[{"id":1,"name":"Subdivision","value":"NW"},{"id":4,"name":"Milepost","value":"0.968"},{"id":17,"name":"Train ID","value":"834-28"},{"id":16,"name":"Locomotive ID","value":"4032"},{"id":130,"name":"Impact","value":""},{"id":150,"name":"Time of Event (Mountain Time)","value":"17:52:22"},{"id":151,"name":"Denver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"%USERPROFILE%\AppData\Local\Temp\OnboardLogs"\RTDC4032\*4032*201611290*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"%USERPROFILE%\AppData\Local\Temp\OnboardLogs"\RTDC4032\*4032*201611290* &gt;&gt; 42702-slicedisagreementcheck.txt</v>
      </c>
    </row>
    <row r="34" spans="1:30" x14ac:dyDescent="0.25">
      <c r="A34" s="36">
        <v>42702.228148148148</v>
      </c>
      <c r="B34" s="31" t="s">
        <v>274</v>
      </c>
      <c r="C34" s="31" t="s">
        <v>394</v>
      </c>
      <c r="D34" s="31" t="s">
        <v>49</v>
      </c>
      <c r="E34" s="31" t="s">
        <v>203</v>
      </c>
      <c r="F34" s="47">
        <v>0</v>
      </c>
      <c r="G34" s="47">
        <v>43</v>
      </c>
      <c r="H34" s="47">
        <v>713</v>
      </c>
      <c r="I34" s="47">
        <v>671</v>
      </c>
      <c r="J34" s="31" t="s">
        <v>204</v>
      </c>
      <c r="K34" s="47">
        <v>575</v>
      </c>
      <c r="L34" s="154" t="s">
        <v>51</v>
      </c>
      <c r="M34" s="155">
        <f t="shared" si="0"/>
        <v>50.688000000000002</v>
      </c>
      <c r="N34" s="156" t="str">
        <f>VLOOKUP(C34,'Trips&amp;Operators'!$C$1:$E$99999,3,FALSE)</f>
        <v>DAVIS</v>
      </c>
      <c r="O34" s="182" t="s">
        <v>198</v>
      </c>
      <c r="P34" s="157"/>
      <c r="Q34" s="31"/>
      <c r="R34" s="100" t="str">
        <f>VLOOKUP(C34,'Train Runs'!$A$13:$AE$9986,31,0)</f>
        <v>aws s3 cp s3://rtdc.mdm.uploadarchive.raw/RTDC4004/ "%USERPROFILE%\AppData\Local\Temp\OnboardLogs"\RTDC4004\2016-11-28 --exclude "*" --recursive --include "*20161128*" &amp; "%USERPROFILE%\Documents\GitHub\mrs-test-scripts\Headless Mode &amp; Sideloading\WalkAndUnGZ.bat" "%USERPROFILE%\AppData\Local\Temp\OnboardLogs"\RTDC4004\2016-11-28 &amp; 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</v>
      </c>
      <c r="S34" s="103" t="str">
        <f>VLOOKUP(C34,'Train Runs'!$A$13:$AE$9986,22,0)</f>
        <v>https://search-rtdc-monitor-bjffxe2xuh6vdkpspy63sjmuny.us-east-1.es.amazonaws.com/_plugin/kibana/#/discover/Steve-Slow-Train-Analysis-(2080s-and-2083s)?_g=(refreshInterval:(display:Off,section:0,value:0),time:(from:'2016-11-28 04:12:26-700',mode:absolute,to:'2016-11-28 06:28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4" s="105" t="str">
        <f t="shared" si="1"/>
        <v>"C:\Program Files (x86)\AstroGrep\AstroGrep.exe" /spath="%USERPROFILE%\AppData\Local\Temp\OnboardLogs" /stypes="*4004*201611281*" /stext=" 12:.+((SYSTEM_STATE.+slice.+state.+changed )|(ment ac)|(multiple cpu faults)|(system.+state.+changed )|(\[timeout)|(PRM\|1\|D)|(kpr)|(kdp)|(\|lc)|(penalty))" /e /r /s</v>
      </c>
      <c r="U34" s="9" t="str">
        <f t="shared" si="2"/>
        <v>4004</v>
      </c>
      <c r="V34" s="36">
        <f t="shared" si="3"/>
        <v>42702.519814814812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{"issue":{"subject":"","project_id":79,"tracker_id":40,"status_id":1,"priority_id":2,"assigned_to_id":23,"start_date":"2016-11-28","description":"","custom_fields":[{"id":1,"name":"Subdivision","value":"NW"},{"id":4,"name":"Milepost","value":"0.0575"},{"id":17,"name":"Train ID","value":"800-28"},{"id":16,"name":"Locomotive ID","value":"4004"},{"id":130,"name":"Impact","value":""},{"id":150,"name":"Time of Event (Mountain Time)","value":"05:28:32"},{"id":151,"name":"Denver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"%USERPROFILE%\AppData\Local\Temp\OnboardLogs"\RTDC4004\*4004*201611281*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"%USERPROFILE%\AppData\Local\Temp\OnboardLogs"\RTDC4004\*4004*201611281* &gt;&gt; 42702-slicedisagreementcheck.txt</v>
      </c>
    </row>
    <row r="35" spans="1:30" x14ac:dyDescent="0.25">
      <c r="A35" s="36">
        <v>42702.268194444441</v>
      </c>
      <c r="B35" s="31" t="s">
        <v>274</v>
      </c>
      <c r="C35" s="31" t="s">
        <v>398</v>
      </c>
      <c r="D35" s="31" t="s">
        <v>49</v>
      </c>
      <c r="E35" s="31" t="s">
        <v>203</v>
      </c>
      <c r="F35" s="47">
        <v>0</v>
      </c>
      <c r="G35" s="47">
        <v>21</v>
      </c>
      <c r="H35" s="47">
        <v>626</v>
      </c>
      <c r="I35" s="47">
        <v>610</v>
      </c>
      <c r="J35" s="31" t="s">
        <v>204</v>
      </c>
      <c r="K35" s="47">
        <v>575</v>
      </c>
      <c r="L35" s="154" t="s">
        <v>51</v>
      </c>
      <c r="M35" s="155">
        <f t="shared" si="0"/>
        <v>18.48</v>
      </c>
      <c r="N35" s="156" t="str">
        <f>VLOOKUP(C35,'Trips&amp;Operators'!$C$1:$E$99999,3,FALSE)</f>
        <v>DAVIS</v>
      </c>
      <c r="O35" s="182" t="s">
        <v>198</v>
      </c>
      <c r="P35" s="157"/>
      <c r="Q35" s="31"/>
      <c r="R35" s="100" t="str">
        <f>VLOOKUP(C35,'Train Runs'!$A$13:$AE$9986,31,0)</f>
        <v>aws s3 cp s3://rtdc.mdm.uploadarchive.raw/RTDC4004/ "%USERPROFILE%\AppData\Local\Temp\OnboardLogs"\RTDC4004\2016-11-28 --exclude "*" --recursive --include "*20161128*" &amp; "%USERPROFILE%\Documents\GitHub\mrs-test-scripts\Headless Mode &amp; Sideloading\WalkAndUnGZ.bat" "%USERPROFILE%\AppData\Local\Temp\OnboardLogs"\RTDC4004\2016-11-28 &amp; 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</v>
      </c>
      <c r="S35" s="103" t="str">
        <f>VLOOKUP(C35,'Train Runs'!$A$13:$AE$9986,22,0)</f>
        <v>https://search-rtdc-monitor-bjffxe2xuh6vdkpspy63sjmuny.us-east-1.es.amazonaws.com/_plugin/kibana/#/discover/Steve-Slow-Train-Analysis-(2080s-and-2083s)?_g=(refreshInterval:(display:Off,section:0,value:0),time:(from:'2016-11-28 05:07:08-700',mode:absolute,to:'2016-11-28 07:26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5" s="105" t="str">
        <f t="shared" si="1"/>
        <v>"C:\Program Files (x86)\AstroGrep\AstroGrep.exe" /spath="%USERPROFILE%\AppData\Local\Temp\OnboardLogs" /stypes="*4004*201611281*" /stext=" 13:.+((SYSTEM_STATE.+slice.+state.+changed )|(ment ac)|(multiple cpu faults)|(system.+state.+changed )|(\[timeout)|(PRM\|1\|D)|(kpr)|(kdp)|(\|lc)|(penalty))" /e /r /s</v>
      </c>
      <c r="U35" s="9" t="str">
        <f t="shared" si="2"/>
        <v>4004</v>
      </c>
      <c r="V35" s="36">
        <f t="shared" si="3"/>
        <v>42702.559861111105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{"issue":{"subject":"","project_id":79,"tracker_id":40,"status_id":1,"priority_id":2,"assigned_to_id":23,"start_date":"2016-11-28","description":"","custom_fields":[{"id":1,"name":"Subdivision","value":"NW"},{"id":4,"name":"Milepost","value":"0.0575"},{"id":17,"name":"Train ID","value":"802-28"},{"id":16,"name":"Locomotive ID","value":"4004"},{"id":130,"name":"Impact","value":""},{"id":150,"name":"Time of Event (Mountain Time)","value":"06:26:12"},{"id":151,"name":"Denver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"%USERPROFILE%\AppData\Local\Temp\OnboardLogs"\RTDC4004\*4004*201611281*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"%USERPROFILE%\AppData\Local\Temp\OnboardLogs"\RTDC4004\*4004*201611281* &gt;&gt; 42702-slicedisagreementcheck.txt</v>
      </c>
    </row>
    <row r="36" spans="1:30" x14ac:dyDescent="0.25">
      <c r="A36" s="36">
        <v>42702.579733796294</v>
      </c>
      <c r="B36" s="31" t="s">
        <v>288</v>
      </c>
      <c r="C36" s="31" t="s">
        <v>414</v>
      </c>
      <c r="D36" s="31" t="s">
        <v>49</v>
      </c>
      <c r="E36" s="31" t="s">
        <v>203</v>
      </c>
      <c r="F36" s="47">
        <v>0</v>
      </c>
      <c r="G36" s="47">
        <v>43</v>
      </c>
      <c r="H36" s="47">
        <v>724</v>
      </c>
      <c r="I36" s="47">
        <v>691</v>
      </c>
      <c r="J36" s="31" t="s">
        <v>204</v>
      </c>
      <c r="K36" s="47">
        <v>575</v>
      </c>
      <c r="L36" s="154" t="s">
        <v>51</v>
      </c>
      <c r="M36" s="155">
        <f t="shared" si="0"/>
        <v>61.247999999999998</v>
      </c>
      <c r="N36" s="156" t="str">
        <f>VLOOKUP(C36,'Trips&amp;Operators'!$C$1:$E$99999,3,FALSE)</f>
        <v>DAVIS</v>
      </c>
      <c r="O36" s="182" t="s">
        <v>198</v>
      </c>
      <c r="P36" s="157"/>
      <c r="Q36" s="31"/>
      <c r="R36" s="100" t="str">
        <f>VLOOKUP(C36,'Train Runs'!$A$13:$AE$9986,31,0)</f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S36" s="103" t="str">
        <f>VLOOKUP(C36,'Train Runs'!$A$13:$AE$9986,22,0)</f>
        <v>https://search-rtdc-monitor-bjffxe2xuh6vdkpspy63sjmuny.us-east-1.es.amazonaws.com/_plugin/kibana/#/discover/Steve-Slow-Train-Analysis-(2080s-and-2083s)?_g=(refreshInterval:(display:Off,section:0,value:0),time:(from:'2016-11-28 12:37:14-700',mode:absolute,to:'2016-11-28 14:54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6" s="105" t="str">
        <f t="shared" si="1"/>
        <v>"C:\Program Files (x86)\AstroGrep\AstroGrep.exe" /spath="%USERPROFILE%\AppData\Local\Temp\OnboardLogs" /stypes="*4032*201611282*" /stext=" 20:.+((SYSTEM_STATE.+slice.+state.+changed )|(ment ac)|(multiple cpu faults)|(system.+state.+changed )|(\[timeout)|(PRM\|1\|D)|(kpr)|(kdp)|(\|lc)|(penalty))" /e /r /s</v>
      </c>
      <c r="U36" s="9" t="str">
        <f t="shared" si="2"/>
        <v>4032</v>
      </c>
      <c r="V36" s="36">
        <f t="shared" si="3"/>
        <v>42702.871400462958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{"issue":{"subject":"","project_id":79,"tracker_id":40,"status_id":1,"priority_id":2,"assigned_to_id":23,"start_date":"2016-11-28","description":"","custom_fields":[{"id":1,"name":"Subdivision","value":"NW"},{"id":4,"name":"Milepost","value":"0.0575"},{"id":17,"name":"Train ID","value":"822-28"},{"id":16,"name":"Locomotive ID","value":"4032"},{"id":130,"name":"Impact","value":""},{"id":150,"name":"Time of Event (Mountain Time)","value":"13:54:49"},{"id":151,"name":"Denver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"%USERPROFILE%\AppData\Local\Temp\OnboardLogs"\RTDC4032\*4032*201611282*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"%USERPROFILE%\AppData\Local\Temp\OnboardLogs"\RTDC4032\*4032*201611282* &gt;&gt; 42702-slicedisagreementcheck.txt</v>
      </c>
    </row>
    <row r="37" spans="1:30" x14ac:dyDescent="0.25">
      <c r="A37" s="36">
        <v>42702.726400462961</v>
      </c>
      <c r="B37" s="31" t="s">
        <v>274</v>
      </c>
      <c r="C37" s="31" t="s">
        <v>423</v>
      </c>
      <c r="D37" s="31" t="s">
        <v>49</v>
      </c>
      <c r="E37" s="31" t="s">
        <v>203</v>
      </c>
      <c r="F37" s="47">
        <v>0</v>
      </c>
      <c r="G37" s="47">
        <v>79</v>
      </c>
      <c r="H37" s="47">
        <v>806</v>
      </c>
      <c r="I37" s="47">
        <v>722</v>
      </c>
      <c r="J37" s="31" t="s">
        <v>204</v>
      </c>
      <c r="K37" s="47">
        <v>575</v>
      </c>
      <c r="L37" s="154" t="s">
        <v>51</v>
      </c>
      <c r="M37" s="155">
        <f t="shared" si="0"/>
        <v>77.616</v>
      </c>
      <c r="N37" s="156" t="str">
        <f>VLOOKUP(C37,'Trips&amp;Operators'!$C$1:$E$99999,3,FALSE)</f>
        <v>COOLAHAN</v>
      </c>
      <c r="O37" s="182" t="s">
        <v>198</v>
      </c>
      <c r="P37" s="157"/>
      <c r="Q37" s="31"/>
      <c r="R37" s="100" t="str">
        <f>VLOOKUP(C37,'Train Runs'!$A$13:$AE$9986,31,0)</f>
        <v>aws s3 cp s3://rtdc.mdm.uploadarchive.raw/RTDC4004/ "%USERPROFILE%\AppData\Local\Temp\OnboardLogs"\RTDC4004\2016-11-28 --exclude "*" --recursive --include "*20161128*" &amp; "%USERPROFILE%\Documents\GitHub\mrs-test-scripts\Headless Mode &amp; Sideloading\WalkAndUnGZ.bat" "%USERPROFILE%\AppData\Local\Temp\OnboardLogs"\RTDC4004\2016-11-28 &amp; 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</v>
      </c>
      <c r="S37" s="103" t="str">
        <f>VLOOKUP(C37,'Train Runs'!$A$13:$AE$9986,22,0)</f>
        <v>https://search-rtdc-monitor-bjffxe2xuh6vdkpspy63sjmuny.us-east-1.es.amazonaws.com/_plugin/kibana/#/discover/Steve-Slow-Train-Analysis-(2080s-and-2083s)?_g=(refreshInterval:(display:Off,section:0,value:0),time:(from:'2016-11-28 16:06:40-700',mode:absolute,to:'2016-11-28 18:26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7" s="105" t="str">
        <f t="shared" si="1"/>
        <v>"C:\Program Files (x86)\AstroGrep\AstroGrep.exe" /spath="%USERPROFILE%\AppData\Local\Temp\OnboardLogs" /stypes="*4004*201611290*" /stext=" 00:.+((SYSTEM_STATE.+slice.+state.+changed )|(ment ac)|(multiple cpu faults)|(system.+state.+changed )|(\[timeout)|(PRM\|1\|D)|(kpr)|(kdp)|(\|lc)|(penalty))" /e /r /s</v>
      </c>
      <c r="U37" s="9" t="str">
        <f t="shared" si="2"/>
        <v>4004</v>
      </c>
      <c r="V37" s="36">
        <f t="shared" si="3"/>
        <v>42703.018067129626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{"issue":{"subject":"","project_id":79,"tracker_id":40,"status_id":1,"priority_id":2,"assigned_to_id":23,"start_date":"2016-11-28","description":"","custom_fields":[{"id":1,"name":"Subdivision","value":"NW"},{"id":4,"name":"Milepost","value":"0.0575"},{"id":17,"name":"Train ID","value":"832-28"},{"id":16,"name":"Locomotive ID","value":"4004"},{"id":130,"name":"Impact","value":""},{"id":150,"name":"Time of Event (Mountain Time)","value":"17:26:01"},{"id":151,"name":"Denver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"%USERPROFILE%\AppData\Local\Temp\OnboardLogs"\RTDC4004\*4004*201611290*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"%USERPROFILE%\AppData\Local\Temp\OnboardLogs"\RTDC4004\*4004*201611290* &gt;&gt; 42702-slicedisagreementcheck.txt</v>
      </c>
    </row>
    <row r="38" spans="1:30" x14ac:dyDescent="0.25">
      <c r="A38" s="36">
        <v>42702.747673611113</v>
      </c>
      <c r="B38" s="31" t="s">
        <v>288</v>
      </c>
      <c r="C38" s="31" t="s">
        <v>424</v>
      </c>
      <c r="D38" s="31" t="s">
        <v>49</v>
      </c>
      <c r="E38" s="31" t="s">
        <v>203</v>
      </c>
      <c r="F38" s="47">
        <v>0</v>
      </c>
      <c r="G38" s="47">
        <v>90</v>
      </c>
      <c r="H38" s="47">
        <v>930</v>
      </c>
      <c r="I38" s="47">
        <v>845</v>
      </c>
      <c r="J38" s="31" t="s">
        <v>204</v>
      </c>
      <c r="K38" s="47">
        <v>575</v>
      </c>
      <c r="L38" s="154" t="s">
        <v>51</v>
      </c>
      <c r="M38" s="155">
        <f t="shared" si="0"/>
        <v>142.56</v>
      </c>
      <c r="N38" s="156" t="str">
        <f>VLOOKUP(C38,'Trips&amp;Operators'!$C$1:$E$99999,3,FALSE)</f>
        <v>DAVIS</v>
      </c>
      <c r="O38" s="182" t="s">
        <v>198</v>
      </c>
      <c r="P38" s="157"/>
      <c r="Q38" s="31"/>
      <c r="R38" s="100" t="str">
        <f>VLOOKUP(C38,'Train Runs'!$A$13:$AE$9986,31,0)</f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S38" s="103" t="str">
        <f>VLOOKUP(C38,'Train Runs'!$A$13:$AE$9986,22,0)</f>
        <v>https://search-rtdc-monitor-bjffxe2xuh6vdkpspy63sjmuny.us-east-1.es.amazonaws.com/_plugin/kibana/#/discover/Steve-Slow-Train-Analysis-(2080s-and-2083s)?_g=(refreshInterval:(display:Off,section:0,value:0),time:(from:'2016-11-28 16:38:35-700',mode:absolute,to:'2016-11-28 18:56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8" s="105" t="str">
        <f t="shared" si="1"/>
        <v>"C:\Program Files (x86)\AstroGrep\AstroGrep.exe" /spath="%USERPROFILE%\AppData\Local\Temp\OnboardLogs" /stypes="*4032*201611290*" /stext=" 00:.+((SYSTEM_STATE.+slice.+state.+changed )|(ment ac)|(multiple cpu faults)|(system.+state.+changed )|(\[timeout)|(PRM\|1\|D)|(kpr)|(kdp)|(\|lc)|(penalty))" /e /r /s</v>
      </c>
      <c r="U38" s="9" t="str">
        <f t="shared" si="2"/>
        <v>4032</v>
      </c>
      <c r="V38" s="36">
        <f t="shared" si="3"/>
        <v>42703.039340277777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{"issue":{"subject":"","project_id":79,"tracker_id":40,"status_id":1,"priority_id":2,"assigned_to_id":23,"start_date":"2016-11-28","description":"","custom_fields":[{"id":1,"name":"Subdivision","value":"NW"},{"id":4,"name":"Milepost","value":"0.0575"},{"id":17,"name":"Train ID","value":"834-28"},{"id":16,"name":"Locomotive ID","value":"4032"},{"id":130,"name":"Impact","value":""},{"id":150,"name":"Time of Event (Mountain Time)","value":"17:56:39"},{"id":151,"name":"Denver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"%USERPROFILE%\AppData\Local\Temp\OnboardLogs"\RTDC4032\*4032*201611290*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"%USERPROFILE%\AppData\Local\Temp\OnboardLogs"\RTDC4032\*4032*201611290* &gt;&gt; 42702-slicedisagreementcheck.txt</v>
      </c>
    </row>
    <row r="39" spans="1:30" x14ac:dyDescent="0.25">
      <c r="A39" s="36">
        <v>42702.748090277775</v>
      </c>
      <c r="B39" s="31" t="s">
        <v>288</v>
      </c>
      <c r="C39" s="31" t="s">
        <v>424</v>
      </c>
      <c r="D39" s="31" t="s">
        <v>49</v>
      </c>
      <c r="E39" s="31" t="s">
        <v>203</v>
      </c>
      <c r="F39" s="47">
        <v>0</v>
      </c>
      <c r="G39" s="47">
        <v>47</v>
      </c>
      <c r="H39" s="47">
        <v>743</v>
      </c>
      <c r="I39" s="47">
        <v>717</v>
      </c>
      <c r="J39" s="31" t="s">
        <v>204</v>
      </c>
      <c r="K39" s="47">
        <v>575</v>
      </c>
      <c r="L39" s="154" t="s">
        <v>51</v>
      </c>
      <c r="M39" s="155">
        <f t="shared" si="0"/>
        <v>74.975999999999999</v>
      </c>
      <c r="N39" s="156" t="str">
        <f>VLOOKUP(C39,'Trips&amp;Operators'!$C$1:$E$99999,3,FALSE)</f>
        <v>DAVIS</v>
      </c>
      <c r="O39" s="182" t="s">
        <v>198</v>
      </c>
      <c r="P39" s="157"/>
      <c r="Q39" s="31"/>
      <c r="R39" s="100" t="str">
        <f>VLOOKUP(C39,'Train Runs'!$A$13:$AE$9986,31,0)</f>
        <v>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 &amp; 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</v>
      </c>
      <c r="S39" s="103" t="str">
        <f>VLOOKUP(C39,'Train Runs'!$A$13:$AE$9986,22,0)</f>
        <v>https://search-rtdc-monitor-bjffxe2xuh6vdkpspy63sjmuny.us-east-1.es.amazonaws.com/_plugin/kibana/#/discover/Steve-Slow-Train-Analysis-(2080s-and-2083s)?_g=(refreshInterval:(display:Off,section:0,value:0),time:(from:'2016-11-28 16:38:35-700',mode:absolute,to:'2016-11-28 18:56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9" s="105" t="str">
        <f t="shared" si="1"/>
        <v>"C:\Program Files (x86)\AstroGrep\AstroGrep.exe" /spath="%USERPROFILE%\AppData\Local\Temp\OnboardLogs" /stypes="*4032*201611290*" /stext=" 00:.+((SYSTEM_STATE.+slice.+state.+changed )|(ment ac)|(multiple cpu faults)|(system.+state.+changed )|(\[timeout)|(PRM\|1\|D)|(kpr)|(kdp)|(\|lc)|(penalty))" /e /r /s</v>
      </c>
      <c r="U39" s="9" t="str">
        <f t="shared" si="2"/>
        <v>4032</v>
      </c>
      <c r="V39" s="36">
        <f t="shared" si="3"/>
        <v>42703.039756944439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{"issue":{"subject":"","project_id":79,"tracker_id":40,"status_id":1,"priority_id":2,"assigned_to_id":23,"start_date":"2016-11-28","description":"","custom_fields":[{"id":1,"name":"Subdivision","value":"NW"},{"id":4,"name":"Milepost","value":"0.0575"},{"id":17,"name":"Train ID","value":"834-28"},{"id":16,"name":"Locomotive ID","value":"4032"},{"id":130,"name":"Impact","value":""},{"id":150,"name":"Time of Event (Mountain Time)","value":"17:57:15"},{"id":151,"name":"Denver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"%USERPROFILE%\AppData\Local\Temp\OnboardLogs"\RTDC4032\*4032*201611290*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"%USERPROFILE%\AppData\Local\Temp\OnboardLogs"\RTDC4032\*4032*201611290* &gt;&gt; 42702-slicedisagreementcheck.txt</v>
      </c>
    </row>
    <row r="40" spans="1:30" x14ac:dyDescent="0.25">
      <c r="A40" s="36">
        <v>42702.768229166664</v>
      </c>
      <c r="B40" s="31" t="s">
        <v>274</v>
      </c>
      <c r="C40" s="31" t="s">
        <v>427</v>
      </c>
      <c r="D40" s="31" t="s">
        <v>49</v>
      </c>
      <c r="E40" s="31" t="s">
        <v>203</v>
      </c>
      <c r="F40" s="47">
        <v>0</v>
      </c>
      <c r="G40" s="47">
        <v>37</v>
      </c>
      <c r="H40" s="47">
        <v>663</v>
      </c>
      <c r="I40" s="47">
        <v>629</v>
      </c>
      <c r="J40" s="31" t="s">
        <v>204</v>
      </c>
      <c r="K40" s="47">
        <v>575</v>
      </c>
      <c r="L40" s="154" t="s">
        <v>51</v>
      </c>
      <c r="M40" s="155">
        <f t="shared" si="0"/>
        <v>28.512</v>
      </c>
      <c r="N40" s="156" t="str">
        <f>VLOOKUP(C40,'Trips&amp;Operators'!$C$1:$E$99999,3,FALSE)</f>
        <v>COOLAHAN</v>
      </c>
      <c r="O40" s="182" t="s">
        <v>198</v>
      </c>
      <c r="P40" s="157"/>
      <c r="Q40" s="31"/>
      <c r="R40" s="100" t="str">
        <f>VLOOKUP(C40,'Train Runs'!$A$13:$AE$9986,31,0)</f>
        <v>aws s3 cp s3://rtdc.mdm.uploadarchive.raw/RTDC4004/ "%USERPROFILE%\AppData\Local\Temp\OnboardLogs"\RTDC4004\2016-11-28 --exclude "*" --recursive --include "*20161128*" &amp; "%USERPROFILE%\Documents\GitHub\mrs-test-scripts\Headless Mode &amp; Sideloading\WalkAndUnGZ.bat" "%USERPROFILE%\AppData\Local\Temp\OnboardLogs"\RTDC4004\2016-11-28 &amp; 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</v>
      </c>
      <c r="S40" s="103" t="str">
        <f>VLOOKUP(C40,'Train Runs'!$A$13:$AE$9986,22,0)</f>
        <v>https://search-rtdc-monitor-bjffxe2xuh6vdkpspy63sjmuny.us-east-1.es.amazonaws.com/_plugin/kibana/#/discover/Steve-Slow-Train-Analysis-(2080s-and-2083s)?_g=(refreshInterval:(display:Off,section:0,value:0),time:(from:'2016-11-28 17:07:46-700',mode:absolute,to:'2016-11-28 19:26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0" s="105" t="str">
        <f t="shared" si="1"/>
        <v>"C:\Program Files (x86)\AstroGrep\AstroGrep.exe" /spath="%USERPROFILE%\AppData\Local\Temp\OnboardLogs" /stypes="*4004*201611290*" /stext=" 01:.+((SYSTEM_STATE.+slice.+state.+changed )|(ment ac)|(multiple cpu faults)|(system.+state.+changed )|(\[timeout)|(PRM\|1\|D)|(kpr)|(kdp)|(\|lc)|(penalty))" /e /r /s</v>
      </c>
      <c r="U40" s="9" t="str">
        <f t="shared" si="2"/>
        <v>4004</v>
      </c>
      <c r="V40" s="36">
        <f t="shared" si="3"/>
        <v>42703.059895833328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{"issue":{"subject":"","project_id":79,"tracker_id":40,"status_id":1,"priority_id":2,"assigned_to_id":23,"start_date":"2016-11-28","description":"","custom_fields":[{"id":1,"name":"Subdivision","value":"NW"},{"id":4,"name":"Milepost","value":"0.0575"},{"id":17,"name":"Train ID","value":"836-28"},{"id":16,"name":"Locomotive ID","value":"4004"},{"id":130,"name":"Impact","value":""},{"id":150,"name":"Time of Event (Mountain Time)","value":"18:26:15"},{"id":151,"name":"Denver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"%USERPROFILE%\AppData\Local\Temp\OnboardLogs"\RTDC4004\*4004*201611290*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"%USERPROFILE%\AppData\Local\Temp\OnboardLogs"\RTDC4004\*4004*201611290* &gt;&gt; 42702-slicedisagreementcheck.txt</v>
      </c>
    </row>
    <row r="41" spans="1:30" x14ac:dyDescent="0.25">
      <c r="A41" s="36">
        <v>42702.254189814812</v>
      </c>
      <c r="B41" s="31" t="s">
        <v>273</v>
      </c>
      <c r="C41" s="31" t="s">
        <v>397</v>
      </c>
      <c r="D41" s="31" t="s">
        <v>98</v>
      </c>
      <c r="E41" s="31" t="s">
        <v>203</v>
      </c>
      <c r="F41" s="47">
        <v>0</v>
      </c>
      <c r="G41" s="47">
        <v>6</v>
      </c>
      <c r="H41" s="47">
        <v>59048</v>
      </c>
      <c r="I41" s="47">
        <v>0</v>
      </c>
      <c r="J41" s="31" t="s">
        <v>204</v>
      </c>
      <c r="K41" s="47">
        <v>59048</v>
      </c>
      <c r="L41" s="154" t="s">
        <v>50</v>
      </c>
      <c r="M41" s="155">
        <f t="shared" si="0"/>
        <v>31177.344000000001</v>
      </c>
      <c r="N41" s="156" t="str">
        <f>VLOOKUP(C41,'Trips&amp;Operators'!$C$1:$E$99999,3,FALSE)</f>
        <v>DAVIS</v>
      </c>
      <c r="O41" s="182" t="s">
        <v>198</v>
      </c>
      <c r="P41" s="157"/>
      <c r="Q41" s="31"/>
      <c r="R41" s="100" t="str">
        <f>VLOOKUP(C41,'Train Runs'!$A$13:$AE$9986,31,0)</f>
        <v>aws s3 cp s3://rtdc.mdm.uploadarchive.raw/RTDC4003/ "%USERPROFILE%\AppData\Local\Temp\OnboardLogs"\RTDC4003\2016-11-28 --exclude "*" --recursive --include "*20161128*" &amp; "%USERPROFILE%\Documents\GitHub\mrs-test-scripts\Headless Mode &amp; Sideloading\WalkAndUnGZ.bat" "%USERPROFILE%\AppData\Local\Temp\OnboardLogs"\RTDC4003\2016-11-28 &amp; 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</v>
      </c>
      <c r="S41" s="103" t="str">
        <f>VLOOKUP(C41,'Train Runs'!$A$13:$AE$9986,22,0)</f>
        <v>https://search-rtdc-monitor-bjffxe2xuh6vdkpspy63sjmuny.us-east-1.es.amazonaws.com/_plugin/kibana/#/discover/Steve-Slow-Train-Analysis-(2080s-and-2083s)?_g=(refreshInterval:(display:Off,section:0,value:0),time:(from:'2016-11-28 04:44:57-700',mode:absolute,to:'2016-11-28 07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41" s="105" t="str">
        <f t="shared" si="1"/>
        <v>"C:\Program Files (x86)\AstroGrep\AstroGrep.exe" /spath="%USERPROFILE%\AppData\Local\Temp\OnboardLogs" /stypes="*4003*201611281*" /stext=" 13:.+((SYSTEM_STATE.+slice.+state.+changed )|(ment ac)|(multiple cpu faults)|(system.+state.+changed )|(\[timeout)|(PRM\|1\|D)|(kpr)|(kdp)|(\|lc)|(penalty))" /e /r /s</v>
      </c>
      <c r="U41" s="9" t="str">
        <f t="shared" si="2"/>
        <v>4003</v>
      </c>
      <c r="V41" s="36">
        <f t="shared" si="3"/>
        <v>42702.545856481476</v>
      </c>
      <c r="W41" s="50" t="str">
        <f t="shared" si="4"/>
        <v>NW</v>
      </c>
      <c r="X41" s="50" t="str">
        <f t="shared" si="5"/>
        <v>OMIT</v>
      </c>
      <c r="Y41" s="119" t="str">
        <f t="shared" si="6"/>
        <v>echo {"issue":{"subject":"","project_id":79,"tracker_id":40,"status_id":1,"priority_id":2,"assigned_to_id":23,"start_date":"2016-11-28","description":"","custom_fields":[{"id":1,"name":"Subdivision","value":"NW"},{"id":4,"name":"Milepost","value":"5.9048"},{"id":17,"name":"Train ID","value":"801-28"},{"id":16,"name":"Locomotive ID","value":"4003"},{"id":130,"name":"Impact","value":""},{"id":150,"name":"Time of Event (Mountain Time)","value":"06:06:02"},{"id":151,"name":"Denver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"%USERPROFILE%\AppData\Local\Temp\OnboardLogs"\RTDC4003\*4003*201611281*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"%USERPROFILE%\AppData\Local\Temp\OnboardLogs"\RTDC4003\*4003*201611281* &gt;&gt; 42702-slicedisagreementcheck.txt</v>
      </c>
    </row>
    <row r="42" spans="1:30" x14ac:dyDescent="0.25">
      <c r="A42" s="36">
        <v>42702.295416666668</v>
      </c>
      <c r="B42" s="31" t="s">
        <v>273</v>
      </c>
      <c r="C42" s="31" t="s">
        <v>399</v>
      </c>
      <c r="D42" s="31" t="s">
        <v>98</v>
      </c>
      <c r="E42" s="31" t="s">
        <v>203</v>
      </c>
      <c r="F42" s="47">
        <v>0</v>
      </c>
      <c r="G42" s="47">
        <v>1</v>
      </c>
      <c r="H42" s="47">
        <v>59048</v>
      </c>
      <c r="I42" s="47">
        <v>59044</v>
      </c>
      <c r="J42" s="31" t="s">
        <v>204</v>
      </c>
      <c r="K42" s="47">
        <v>59048</v>
      </c>
      <c r="L42" s="154" t="s">
        <v>50</v>
      </c>
      <c r="M42" s="155">
        <f t="shared" si="0"/>
        <v>2.1120000000000001</v>
      </c>
      <c r="N42" s="156" t="str">
        <f>VLOOKUP(C42,'Trips&amp;Operators'!$C$1:$E$99999,3,FALSE)</f>
        <v>DAVIS</v>
      </c>
      <c r="O42" s="182" t="s">
        <v>198</v>
      </c>
      <c r="P42" s="157"/>
      <c r="Q42" s="31"/>
      <c r="R42" s="100" t="str">
        <f>VLOOKUP(C42,'Train Runs'!$A$13:$AE$9986,31,0)</f>
        <v>aws s3 cp s3://rtdc.mdm.uploadarchive.raw/RTDC4003/ "%USERPROFILE%\AppData\Local\Temp\OnboardLogs"\RTDC4003\2016-11-28 --exclude "*" --recursive --include "*20161128*" &amp; "%USERPROFILE%\Documents\GitHub\mrs-test-scripts\Headless Mode &amp; Sideloading\WalkAndUnGZ.bat" "%USERPROFILE%\AppData\Local\Temp\OnboardLogs"\RTDC4003\2016-11-28 &amp; 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</v>
      </c>
      <c r="S42" s="103" t="str">
        <f>VLOOKUP(C42,'Train Runs'!$A$13:$AE$9986,22,0)</f>
        <v>https://search-rtdc-monitor-bjffxe2xuh6vdkpspy63sjmuny.us-east-1.es.amazonaws.com/_plugin/kibana/#/discover/Steve-Slow-Train-Analysis-(2080s-and-2083s)?_g=(refreshInterval:(display:Off,section:0,value:0),time:(from:'2016-11-28 05:46:34-700',mode:absolute,to:'2016-11-28 08:05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42" s="105" t="str">
        <f t="shared" si="1"/>
        <v>"C:\Program Files (x86)\AstroGrep\AstroGrep.exe" /spath="%USERPROFILE%\AppData\Local\Temp\OnboardLogs" /stypes="*4003*201611281*" /stext=" 14:.+((SYSTEM_STATE.+slice.+state.+changed )|(ment ac)|(multiple cpu faults)|(system.+state.+changed )|(\[timeout)|(PRM\|1\|D)|(kpr)|(kdp)|(\|lc)|(penalty))" /e /r /s</v>
      </c>
      <c r="U42" s="9" t="str">
        <f t="shared" si="2"/>
        <v>4003</v>
      </c>
      <c r="V42" s="36">
        <f t="shared" si="3"/>
        <v>42702.587083333332</v>
      </c>
      <c r="W42" s="50" t="str">
        <f t="shared" si="4"/>
        <v>NW</v>
      </c>
      <c r="X42" s="50" t="str">
        <f t="shared" si="5"/>
        <v>OMIT</v>
      </c>
      <c r="Y42" s="119" t="str">
        <f t="shared" si="6"/>
        <v>echo {"issue":{"subject":"","project_id":79,"tracker_id":40,"status_id":1,"priority_id":2,"assigned_to_id":23,"start_date":"2016-11-28","description":"","custom_fields":[{"id":1,"name":"Subdivision","value":"NW"},{"id":4,"name":"Milepost","value":"5.9048"},{"id":17,"name":"Train ID","value":"805-28"},{"id":16,"name":"Locomotive ID","value":"4003"},{"id":130,"name":"Impact","value":""},{"id":150,"name":"Time of Event (Mountain Time)","value":"07:05:24"},{"id":151,"name":"Denver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"%USERPROFILE%\AppData\Local\Temp\OnboardLogs"\RTDC4003\*4003*201611281*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"%USERPROFILE%\AppData\Local\Temp\OnboardLogs"\RTDC4003\*4003*201611281* &gt;&gt; 42702-slicedisagreementcheck.txt</v>
      </c>
    </row>
    <row r="43" spans="1:30" x14ac:dyDescent="0.25">
      <c r="A43" s="36">
        <v>42702.337777777779</v>
      </c>
      <c r="B43" s="31" t="s">
        <v>273</v>
      </c>
      <c r="C43" s="31" t="s">
        <v>401</v>
      </c>
      <c r="D43" s="31" t="s">
        <v>98</v>
      </c>
      <c r="E43" s="31" t="s">
        <v>203</v>
      </c>
      <c r="F43" s="47">
        <v>0</v>
      </c>
      <c r="G43" s="47">
        <v>7</v>
      </c>
      <c r="H43" s="47">
        <v>59048</v>
      </c>
      <c r="I43" s="47">
        <v>0</v>
      </c>
      <c r="J43" s="31" t="s">
        <v>204</v>
      </c>
      <c r="K43" s="47">
        <v>59048</v>
      </c>
      <c r="L43" s="154" t="s">
        <v>50</v>
      </c>
      <c r="M43" s="155">
        <f t="shared" si="0"/>
        <v>31177.344000000001</v>
      </c>
      <c r="N43" s="156" t="str">
        <f>VLOOKUP(C43,'Trips&amp;Operators'!$C$1:$E$99999,3,FALSE)</f>
        <v>DAVIS</v>
      </c>
      <c r="O43" s="182" t="s">
        <v>198</v>
      </c>
      <c r="P43" s="157"/>
      <c r="Q43" s="31"/>
      <c r="R43" s="100" t="str">
        <f>VLOOKUP(C43,'Train Runs'!$A$13:$AE$9986,31,0)</f>
        <v>aws s3 cp s3://rtdc.mdm.uploadarchive.raw/RTDC4003/ "%USERPROFILE%\AppData\Local\Temp\OnboardLogs"\RTDC4003\2016-11-28 --exclude "*" --recursive --include "*20161128*" &amp; "%USERPROFILE%\Documents\GitHub\mrs-test-scripts\Headless Mode &amp; Sideloading\WalkAndUnGZ.bat" "%USERPROFILE%\AppData\Local\Temp\OnboardLogs"\RTDC4003\2016-11-28 &amp; 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</v>
      </c>
      <c r="S43" s="103" t="str">
        <f>VLOOKUP(C43,'Train Runs'!$A$13:$AE$9986,22,0)</f>
        <v>https://search-rtdc-monitor-bjffxe2xuh6vdkpspy63sjmuny.us-east-1.es.amazonaws.com/_plugin/kibana/#/discover/Steve-Slow-Train-Analysis-(2080s-and-2083s)?_g=(refreshInterval:(display:Off,section:0,value:0),time:(from:'2016-11-28 06:47:17-700',mode:absolute,to:'2016-11-28 09:06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43" s="105" t="str">
        <f t="shared" si="1"/>
        <v>"C:\Program Files (x86)\AstroGrep\AstroGrep.exe" /spath="%USERPROFILE%\AppData\Local\Temp\OnboardLogs" /stypes="*4003*201611281*" /stext=" 15:.+((SYSTEM_STATE.+slice.+state.+changed )|(ment ac)|(multiple cpu faults)|(system.+state.+changed )|(\[timeout)|(PRM\|1\|D)|(kpr)|(kdp)|(\|lc)|(penalty))" /e /r /s</v>
      </c>
      <c r="U43" s="9" t="str">
        <f t="shared" si="2"/>
        <v>4003</v>
      </c>
      <c r="V43" s="36">
        <f t="shared" si="3"/>
        <v>42702.629444444443</v>
      </c>
      <c r="W43" s="50" t="str">
        <f t="shared" si="4"/>
        <v>NW</v>
      </c>
      <c r="X43" s="50" t="str">
        <f t="shared" si="5"/>
        <v>OMIT</v>
      </c>
      <c r="Y43" s="119" t="str">
        <f t="shared" si="6"/>
        <v>echo {"issue":{"subject":"","project_id":79,"tracker_id":40,"status_id":1,"priority_id":2,"assigned_to_id":23,"start_date":"2016-11-28","description":"","custom_fields":[{"id":1,"name":"Subdivision","value":"NW"},{"id":4,"name":"Milepost","value":"5.9048"},{"id":17,"name":"Train ID","value":"809-28"},{"id":16,"name":"Locomotive ID","value":"4003"},{"id":130,"name":"Impact","value":""},{"id":150,"name":"Time of Event (Mountain Time)","value":"08:06:24"},{"id":151,"name":"Denver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"%USERPROFILE%\AppData\Local\Temp\OnboardLogs"\RTDC4003\*4003*201611281*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"%USERPROFILE%\AppData\Local\Temp\OnboardLogs"\RTDC4003\*4003*201611281* &gt;&gt; 42702-slicedisagreementcheck.txt</v>
      </c>
    </row>
    <row r="44" spans="1:30" x14ac:dyDescent="0.25">
      <c r="A44" s="36">
        <v>42702.357476851852</v>
      </c>
      <c r="B44" s="31" t="s">
        <v>251</v>
      </c>
      <c r="C44" s="31" t="s">
        <v>403</v>
      </c>
      <c r="D44" s="31" t="s">
        <v>49</v>
      </c>
      <c r="E44" s="31" t="s">
        <v>203</v>
      </c>
      <c r="F44" s="47">
        <v>0</v>
      </c>
      <c r="G44" s="47">
        <v>31</v>
      </c>
      <c r="H44" s="47">
        <v>58937</v>
      </c>
      <c r="I44" s="47">
        <v>58956</v>
      </c>
      <c r="J44" s="31" t="s">
        <v>204</v>
      </c>
      <c r="K44" s="47">
        <v>59048</v>
      </c>
      <c r="L44" s="154" t="s">
        <v>50</v>
      </c>
      <c r="M44" s="155">
        <f t="shared" si="0"/>
        <v>48.576000000000001</v>
      </c>
      <c r="N44" s="156" t="str">
        <f>VLOOKUP(C44,'Trips&amp;Operators'!$C$1:$E$99999,3,FALSE)</f>
        <v>SAFIEF</v>
      </c>
      <c r="O44" s="182" t="s">
        <v>198</v>
      </c>
      <c r="P44" s="157"/>
      <c r="Q44" s="31"/>
      <c r="R44" s="100" t="str">
        <f>VLOOKUP(C44,'Train Runs'!$A$13:$AE$9986,31,0)</f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S44" s="103" t="str">
        <f>VLOOKUP(C44,'Train Runs'!$A$13:$AE$9986,22,0)</f>
        <v>https://search-rtdc-monitor-bjffxe2xuh6vdkpspy63sjmuny.us-east-1.es.amazonaws.com/_plugin/kibana/#/discover/Steve-Slow-Train-Analysis-(2080s-and-2083s)?_g=(refreshInterval:(display:Off,section:0,value:0),time:(from:'2016-11-28 07:18:08-700',mode:absolute,to:'2016-11-28 09:34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44" s="105" t="str">
        <f t="shared" si="1"/>
        <v>"C:\Program Files (x86)\AstroGrep\AstroGrep.exe" /spath="%USERPROFILE%\AppData\Local\Temp\OnboardLogs" /stypes="*4031*201611281*" /stext=" 15:.+((SYSTEM_STATE.+slice.+state.+changed )|(ment ac)|(multiple cpu faults)|(system.+state.+changed )|(\[timeout)|(PRM\|1\|D)|(kpr)|(kdp)|(\|lc)|(penalty))" /e /r /s</v>
      </c>
      <c r="U44" s="9" t="str">
        <f t="shared" si="2"/>
        <v>4031</v>
      </c>
      <c r="V44" s="36">
        <f t="shared" si="3"/>
        <v>42702.649143518516</v>
      </c>
      <c r="W44" s="50" t="str">
        <f t="shared" si="4"/>
        <v>NW</v>
      </c>
      <c r="X44" s="50" t="str">
        <f t="shared" si="5"/>
        <v>KEEP</v>
      </c>
      <c r="Y44" s="119" t="str">
        <f t="shared" si="6"/>
        <v>echo {"issue":{"subject":"","project_id":79,"tracker_id":40,"status_id":1,"priority_id":2,"assigned_to_id":23,"start_date":"2016-11-28","description":"","custom_fields":[{"id":1,"name":"Subdivision","value":"NW"},{"id":4,"name":"Milepost","value":"5.9048"},{"id":17,"name":"Train ID","value":"811-28"},{"id":16,"name":"Locomotive ID","value":"4031"},{"id":130,"name":"Impact","value":""},{"id":150,"name":"Time of Event (Mountain Time)","value":"08:34:46"},{"id":151,"name":"Denver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7"/>
        <v>grep -hSE -A100 "Enforcement Action" "%USERPROFILE%\AppData\Local\Temp\OnboardLogs"\RTDC4031\*4031*201611281*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"%USERPROFILE%\AppData\Local\Temp\OnboardLogs"\RTDC4031\*4031*201611281* &gt;&gt; 42702-slicedisagreementcheck.txt</v>
      </c>
    </row>
    <row r="45" spans="1:30" x14ac:dyDescent="0.25">
      <c r="A45" s="36">
        <v>42702.652604166666</v>
      </c>
      <c r="B45" s="31" t="s">
        <v>251</v>
      </c>
      <c r="C45" s="31" t="s">
        <v>421</v>
      </c>
      <c r="D45" s="31" t="s">
        <v>49</v>
      </c>
      <c r="E45" s="31" t="s">
        <v>203</v>
      </c>
      <c r="F45" s="47">
        <v>0</v>
      </c>
      <c r="G45" s="47">
        <v>46</v>
      </c>
      <c r="H45" s="47">
        <v>58864</v>
      </c>
      <c r="I45" s="47">
        <v>58892</v>
      </c>
      <c r="J45" s="31" t="s">
        <v>204</v>
      </c>
      <c r="K45" s="47">
        <v>59048</v>
      </c>
      <c r="L45" s="154" t="s">
        <v>50</v>
      </c>
      <c r="M45" s="155">
        <f t="shared" si="0"/>
        <v>82.367999999999995</v>
      </c>
      <c r="N45" s="156" t="str">
        <f>VLOOKUP(C45,'Trips&amp;Operators'!$C$1:$E$99999,3,FALSE)</f>
        <v>DAVIS</v>
      </c>
      <c r="O45" s="182" t="s">
        <v>198</v>
      </c>
      <c r="P45" s="157"/>
      <c r="Q45" s="31"/>
      <c r="R45" s="100" t="str">
        <f>VLOOKUP(C45,'Train Runs'!$A$13:$AE$9986,31,0)</f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S45" s="103" t="str">
        <f>VLOOKUP(C45,'Train Runs'!$A$13:$AE$9986,22,0)</f>
        <v>https://search-rtdc-monitor-bjffxe2xuh6vdkpspy63sjmuny.us-east-1.es.amazonaws.com/_plugin/kibana/#/discover/Steve-Slow-Train-Analysis-(2080s-and-2083s)?_g=(refreshInterval:(display:Off,section:0,value:0),time:(from:'2016-11-28 14:16:14-700',mode:absolute,to:'2016-11-28 16:40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45" s="105" t="str">
        <f t="shared" si="1"/>
        <v>"C:\Program Files (x86)\AstroGrep\AstroGrep.exe" /spath="%USERPROFILE%\AppData\Local\Temp\OnboardLogs" /stypes="*4031*201611282*" /stext=" 22:.+((SYSTEM_STATE.+slice.+state.+changed )|(ment ac)|(multiple cpu faults)|(system.+state.+changed )|(\[timeout)|(PRM\|1\|D)|(kpr)|(kdp)|(\|lc)|(penalty))" /e /r /s</v>
      </c>
      <c r="U45" s="9" t="str">
        <f t="shared" si="2"/>
        <v>4031</v>
      </c>
      <c r="V45" s="36">
        <f t="shared" si="3"/>
        <v>42702.94427083333</v>
      </c>
      <c r="W45" s="50" t="str">
        <f t="shared" si="4"/>
        <v>NW</v>
      </c>
      <c r="X45" s="50" t="str">
        <f t="shared" si="5"/>
        <v>KEEP</v>
      </c>
      <c r="Y45" s="119" t="str">
        <f t="shared" si="6"/>
        <v>echo {"issue":{"subject":"","project_id":79,"tracker_id":40,"status_id":1,"priority_id":2,"assigned_to_id":23,"start_date":"2016-11-28","description":"","custom_fields":[{"id":1,"name":"Subdivision","value":"NW"},{"id":4,"name":"Milepost","value":"5.9048"},{"id":17,"name":"Train ID","value":"825-28"},{"id":16,"name":"Locomotive ID","value":"4031"},{"id":130,"name":"Impact","value":""},{"id":150,"name":"Time of Event (Mountain Time)","value":"15:39:45"},{"id":151,"name":"Denver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7"/>
        <v>grep -hSE -A100 "Enforcement Action" "%USERPROFILE%\AppData\Local\Temp\OnboardLogs"\RTDC4031\*4031*201611282*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"%USERPROFILE%\AppData\Local\Temp\OnboardLogs"\RTDC4031\*4031*201611282* &gt;&gt; 42702-slicedisagreementcheck.txt</v>
      </c>
    </row>
    <row r="46" spans="1:30" x14ac:dyDescent="0.25">
      <c r="A46" s="36">
        <v>42702.815787037034</v>
      </c>
      <c r="B46" s="31" t="s">
        <v>251</v>
      </c>
      <c r="C46" s="31" t="s">
        <v>429</v>
      </c>
      <c r="D46" s="31" t="s">
        <v>49</v>
      </c>
      <c r="E46" s="31" t="s">
        <v>203</v>
      </c>
      <c r="F46" s="47">
        <v>0</v>
      </c>
      <c r="G46" s="47">
        <v>53</v>
      </c>
      <c r="H46" s="47">
        <v>58901</v>
      </c>
      <c r="I46" s="47">
        <v>58941</v>
      </c>
      <c r="J46" s="31" t="s">
        <v>204</v>
      </c>
      <c r="K46" s="47">
        <v>59048</v>
      </c>
      <c r="L46" s="154" t="s">
        <v>50</v>
      </c>
      <c r="M46" s="155">
        <f t="shared" si="0"/>
        <v>56.496000000000002</v>
      </c>
      <c r="N46" s="156" t="str">
        <f>VLOOKUP(C46,'Trips&amp;Operators'!$C$1:$E$99999,3,FALSE)</f>
        <v>DAVIS</v>
      </c>
      <c r="O46" s="182" t="s">
        <v>198</v>
      </c>
      <c r="P46" s="157"/>
      <c r="Q46" s="31"/>
      <c r="R46" s="100" t="str">
        <f>VLOOKUP(C46,'Train Runs'!$A$13:$AE$9986,31,0)</f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S46" s="103" t="str">
        <f>VLOOKUP(C46,'Train Runs'!$A$13:$AE$9986,22,0)</f>
        <v>https://search-rtdc-monitor-bjffxe2xuh6vdkpspy63sjmuny.us-east-1.es.amazonaws.com/_plugin/kibana/#/discover/Steve-Slow-Train-Analysis-(2080s-and-2083s)?_g=(refreshInterval:(display:Off,section:0,value:0),time:(from:'2016-11-28 18:13:17-700',mode:absolute,to:'2016-11-28 20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46" s="105" t="str">
        <f t="shared" si="1"/>
        <v>"C:\Program Files (x86)\AstroGrep\AstroGrep.exe" /spath="%USERPROFILE%\AppData\Local\Temp\OnboardLogs" /stypes="*4031*201611290*" /stext=" 02:.+((SYSTEM_STATE.+slice.+state.+changed )|(ment ac)|(multiple cpu faults)|(system.+state.+changed )|(\[timeout)|(PRM\|1\|D)|(kpr)|(kdp)|(\|lc)|(penalty))" /e /r /s</v>
      </c>
      <c r="U46" s="9" t="str">
        <f t="shared" si="2"/>
        <v>4031</v>
      </c>
      <c r="V46" s="36">
        <f t="shared" si="3"/>
        <v>42703.107453703698</v>
      </c>
      <c r="W46" s="50" t="str">
        <f t="shared" si="4"/>
        <v>NW</v>
      </c>
      <c r="X46" s="50" t="str">
        <f t="shared" si="5"/>
        <v>KEEP</v>
      </c>
      <c r="Y46" s="119" t="str">
        <f t="shared" si="6"/>
        <v>echo {"issue":{"subject":"","project_id":79,"tracker_id":40,"status_id":1,"priority_id":2,"assigned_to_id":23,"start_date":"2016-11-28","description":"","custom_fields":[{"id":1,"name":"Subdivision","value":"NW"},{"id":4,"name":"Milepost","value":"5.9048"},{"id":17,"name":"Train ID","value":"841-28"},{"id":16,"name":"Locomotive ID","value":"4031"},{"id":130,"name":"Impact","value":""},{"id":150,"name":"Time of Event (Mountain Time)","value":"19:34:44"},{"id":151,"name":"Denver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7"/>
        <v>grep -hSE -A100 "Enforcement Action" "%USERPROFILE%\AppData\Local\Temp\OnboardLogs"\RTDC4031\*4031*201611290*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"%USERPROFILE%\AppData\Local\Temp\OnboardLogs"\RTDC4031\*4031*201611290* &gt;&gt; 42702-slicedisagreementcheck.txt</v>
      </c>
    </row>
    <row r="47" spans="1:30" x14ac:dyDescent="0.25">
      <c r="A47" s="36">
        <v>42702.816180555557</v>
      </c>
      <c r="B47" s="31" t="s">
        <v>251</v>
      </c>
      <c r="C47" s="31" t="s">
        <v>429</v>
      </c>
      <c r="D47" s="31" t="s">
        <v>49</v>
      </c>
      <c r="E47" s="31" t="s">
        <v>203</v>
      </c>
      <c r="F47" s="47">
        <v>0</v>
      </c>
      <c r="G47" s="47">
        <v>20</v>
      </c>
      <c r="H47" s="47">
        <v>58988</v>
      </c>
      <c r="I47" s="47">
        <v>58993</v>
      </c>
      <c r="J47" s="31" t="s">
        <v>204</v>
      </c>
      <c r="K47" s="47">
        <v>59048</v>
      </c>
      <c r="L47" s="154" t="s">
        <v>50</v>
      </c>
      <c r="M47" s="155">
        <f t="shared" si="0"/>
        <v>29.04</v>
      </c>
      <c r="N47" s="156" t="str">
        <f>VLOOKUP(C47,'Trips&amp;Operators'!$C$1:$E$99999,3,FALSE)</f>
        <v>DAVIS</v>
      </c>
      <c r="O47" s="182" t="s">
        <v>198</v>
      </c>
      <c r="P47" s="157"/>
      <c r="Q47" s="31"/>
      <c r="R47" s="100" t="str">
        <f>VLOOKUP(C47,'Train Runs'!$A$13:$AE$9986,31,0)</f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S47" s="103" t="str">
        <f>VLOOKUP(C47,'Train Runs'!$A$13:$AE$9986,22,0)</f>
        <v>https://search-rtdc-monitor-bjffxe2xuh6vdkpspy63sjmuny.us-east-1.es.amazonaws.com/_plugin/kibana/#/discover/Steve-Slow-Train-Analysis-(2080s-and-2083s)?_g=(refreshInterval:(display:Off,section:0,value:0),time:(from:'2016-11-28 18:13:17-700',mode:absolute,to:'2016-11-28 20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47" s="105" t="str">
        <f t="shared" si="1"/>
        <v>"C:\Program Files (x86)\AstroGrep\AstroGrep.exe" /spath="%USERPROFILE%\AppData\Local\Temp\OnboardLogs" /stypes="*4031*201611290*" /stext=" 02:.+((SYSTEM_STATE.+slice.+state.+changed )|(ment ac)|(multiple cpu faults)|(system.+state.+changed )|(\[timeout)|(PRM\|1\|D)|(kpr)|(kdp)|(\|lc)|(penalty))" /e /r /s</v>
      </c>
      <c r="U47" s="9" t="str">
        <f t="shared" si="2"/>
        <v>4031</v>
      </c>
      <c r="V47" s="36">
        <f t="shared" si="3"/>
        <v>42703.107847222222</v>
      </c>
      <c r="W47" s="50" t="str">
        <f t="shared" si="4"/>
        <v>NW</v>
      </c>
      <c r="X47" s="50" t="str">
        <f t="shared" si="5"/>
        <v>KEEP</v>
      </c>
      <c r="Y47" s="119" t="str">
        <f t="shared" si="6"/>
        <v>echo {"issue":{"subject":"","project_id":79,"tracker_id":40,"status_id":1,"priority_id":2,"assigned_to_id":23,"start_date":"2016-11-28","description":"","custom_fields":[{"id":1,"name":"Subdivision","value":"NW"},{"id":4,"name":"Milepost","value":"5.9048"},{"id":17,"name":"Train ID","value":"841-28"},{"id":16,"name":"Locomotive ID","value":"4031"},{"id":130,"name":"Impact","value":""},{"id":150,"name":"Time of Event (Mountain Time)","value":"19:35:18"},{"id":151,"name":"Denver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7"/>
        <v>grep -hSE -A100 "Enforcement Action" "%USERPROFILE%\AppData\Local\Temp\OnboardLogs"\RTDC4031\*4031*201611290*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"%USERPROFILE%\AppData\Local\Temp\OnboardLogs"\RTDC4031\*4031*201611290* &gt;&gt; 42702-slicedisagreementcheck.txt</v>
      </c>
    </row>
    <row r="48" spans="1:30" x14ac:dyDescent="0.25">
      <c r="A48" s="36">
        <v>42702.899537037039</v>
      </c>
      <c r="B48" s="31" t="s">
        <v>251</v>
      </c>
      <c r="C48" s="31" t="s">
        <v>431</v>
      </c>
      <c r="D48" s="31" t="s">
        <v>49</v>
      </c>
      <c r="E48" s="31" t="s">
        <v>203</v>
      </c>
      <c r="F48" s="47">
        <v>0</v>
      </c>
      <c r="G48" s="47">
        <v>20</v>
      </c>
      <c r="H48" s="47">
        <v>58986</v>
      </c>
      <c r="I48" s="47">
        <v>58995</v>
      </c>
      <c r="J48" s="31" t="s">
        <v>204</v>
      </c>
      <c r="K48" s="47">
        <v>59048</v>
      </c>
      <c r="L48" s="154" t="s">
        <v>50</v>
      </c>
      <c r="M48" s="155">
        <f t="shared" si="0"/>
        <v>27.984000000000002</v>
      </c>
      <c r="N48" s="156" t="str">
        <f>VLOOKUP(C48,'Trips&amp;Operators'!$C$1:$E$99999,3,FALSE)</f>
        <v>COOLAHAN</v>
      </c>
      <c r="O48" s="182" t="s">
        <v>198</v>
      </c>
      <c r="P48" s="157"/>
      <c r="Q48" s="31"/>
      <c r="R48" s="100" t="str">
        <f>VLOOKUP(C48,'Train Runs'!$A$13:$AE$9986,31,0)</f>
        <v>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 &amp; 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</v>
      </c>
      <c r="S48" s="103" t="str">
        <f>VLOOKUP(C48,'Train Runs'!$A$13:$AE$9986,22,0)</f>
        <v>https://search-rtdc-monitor-bjffxe2xuh6vdkpspy63sjmuny.us-east-1.es.amazonaws.com/_plugin/kibana/#/discover/Steve-Slow-Train-Analysis-(2080s-and-2083s)?_g=(refreshInterval:(display:Off,section:0,value:0),time:(from:'2016-11-28 20:14:55-700',mode:absolute,to:'2016-11-28 22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48" s="105" t="str">
        <f t="shared" si="1"/>
        <v>"C:\Program Files (x86)\AstroGrep\AstroGrep.exe" /spath="%USERPROFILE%\AppData\Local\Temp\OnboardLogs" /stypes="*4031*201611290*" /stext=" 04:.+((SYSTEM_STATE.+slice.+state.+changed )|(ment ac)|(multiple cpu faults)|(system.+state.+changed )|(\[timeout)|(PRM\|1\|D)|(kpr)|(kdp)|(\|lc)|(penalty))" /e /r /s</v>
      </c>
      <c r="U48" s="9" t="str">
        <f t="shared" si="2"/>
        <v>4031</v>
      </c>
      <c r="V48" s="36">
        <f t="shared" si="3"/>
        <v>42703.191203703704</v>
      </c>
      <c r="W48" s="50" t="str">
        <f t="shared" si="4"/>
        <v>NW</v>
      </c>
      <c r="X48" s="50" t="str">
        <f t="shared" si="5"/>
        <v>KEEP</v>
      </c>
      <c r="Y48" s="119" t="str">
        <f t="shared" si="6"/>
        <v>echo {"issue":{"subject":"","project_id":79,"tracker_id":40,"status_id":1,"priority_id":2,"assigned_to_id":23,"start_date":"2016-11-28","description":"","custom_fields":[{"id":1,"name":"Subdivision","value":"NW"},{"id":4,"name":"Milepost","value":"5.9048"},{"id":17,"name":"Train ID","value":"845-28"},{"id":16,"name":"Locomotive ID","value":"4031"},{"id":130,"name":"Impact","value":""},{"id":150,"name":"Time of Event (Mountain Time)","value":"21:35:20"},{"id":151,"name":"Denver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7"/>
        <v>grep -hSE -A100 "Enforcement Action" "%USERPROFILE%\AppData\Local\Temp\OnboardLogs"\RTDC4031\*4031*201611290*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"%USERPROFILE%\AppData\Local\Temp\OnboardLogs"\RTDC4031\*4031*201611290* &gt;&gt; 42702-slicedisagreementcheck.txt</v>
      </c>
    </row>
    <row r="49" spans="1:30" x14ac:dyDescent="0.25">
      <c r="A49" s="36">
        <v>42702.520891203705</v>
      </c>
      <c r="B49" s="31" t="s">
        <v>410</v>
      </c>
      <c r="C49" s="31" t="s">
        <v>411</v>
      </c>
      <c r="D49" s="31" t="s">
        <v>49</v>
      </c>
      <c r="E49" s="31" t="s">
        <v>201</v>
      </c>
      <c r="F49" s="47">
        <v>0</v>
      </c>
      <c r="G49" s="47">
        <v>15</v>
      </c>
      <c r="H49" s="47">
        <v>25671</v>
      </c>
      <c r="I49" s="47">
        <v>25702</v>
      </c>
      <c r="J49" s="31" t="s">
        <v>202</v>
      </c>
      <c r="K49" s="47">
        <v>25696</v>
      </c>
      <c r="L49" s="154" t="s">
        <v>50</v>
      </c>
      <c r="M49" s="155">
        <f t="shared" si="0"/>
        <v>-3.1680000000000001</v>
      </c>
      <c r="N49" s="156" t="str">
        <f>VLOOKUP(C49,'Trips&amp;Operators'!$C$1:$E$99999,3,FALSE)</f>
        <v>DAVIS</v>
      </c>
      <c r="O49" s="182" t="s">
        <v>198</v>
      </c>
      <c r="P49" s="157"/>
      <c r="Q49" s="31"/>
      <c r="R49" s="100" t="str">
        <f>VLOOKUP(C49,'Train Runs'!$A$13:$AE$9986,31,0)</f>
        <v>aws s3 cp s3://rtdc.mdm.uploadarchive.raw/RTDC4007/ "%USERPROFILE%\AppData\Local\Temp\OnboardLogs"\RTDC4007\2016-11-28 --exclude "*" --recursive --include "*20161128*" &amp; "%USERPROFILE%\Documents\GitHub\mrs-test-scripts\Headless Mode &amp; Sideloading\WalkAndUnGZ.bat" "%USERPROFILE%\AppData\Local\Temp\OnboardLogs"\RTDC4007\2016-11-28 &amp; aws s3 cp s3://rtdc.mdm.uploadarchive.raw/RTDC4007/ "%USERPROFILE%\AppData\Local\Temp\OnboardLogs"\RTDC4007\2016-11-29 --exclude "*" --recursive --include "*20161129*" &amp; "%USERPROFILE%\Documents\GitHub\mrs-test-scripts\Headless Mode &amp; Sideloading\WalkAndUnGZ.bat" "%USERPROFILE%\AppData\Local\Temp\OnboardLogs"\RTDC4007\2016-11-29</v>
      </c>
      <c r="S49" s="103" t="str">
        <f>VLOOKUP(C49,'Train Runs'!$A$13:$AE$9986,22,0)</f>
        <v>https://search-rtdc-monitor-bjffxe2xuh6vdkpspy63sjmuny.us-east-1.es.amazonaws.com/_plugin/kibana/#/discover/Steve-Slow-Train-Analysis-(2080s-and-2083s)?_g=(refreshInterval:(display:Off,section:0,value:0),time:(from:'2016-11-28 11:17:09-700',mode:absolute,to:'2016-11-28 13:28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49" s="105" t="str">
        <f t="shared" si="1"/>
        <v>"C:\Program Files (x86)\AstroGrep\AstroGrep.exe" /spath="%USERPROFILE%\AppData\Local\Temp\OnboardLogs" /stypes="*4007*201611281*" /stext=" 19:.+((SYSTEM_STATE.+slice.+state.+changed )|(ment ac)|(multiple cpu faults)|(system.+state.+changed )|(\[timeout)|(PRM\|1\|D)|(kpr)|(kdp)|(\|lc)|(penalty))" /e /r /s</v>
      </c>
      <c r="U49" s="9" t="str">
        <f t="shared" si="2"/>
        <v>4007</v>
      </c>
      <c r="V49" s="36">
        <f t="shared" si="3"/>
        <v>42702.812557870369</v>
      </c>
      <c r="W49" s="50" t="str">
        <f t="shared" si="4"/>
        <v>Other</v>
      </c>
      <c r="X49" s="50" t="str">
        <f t="shared" si="5"/>
        <v>KEEP</v>
      </c>
      <c r="Y49" s="119" t="str">
        <f t="shared" si="6"/>
        <v>echo {"issue":{"subject":"","project_id":79,"tracker_id":40,"status_id":1,"priority_id":2,"assigned_to_id":23,"start_date":"2016-11-28","description":"","custom_fields":[{"id":1,"name":"Subdivision","value":"Other"},{"id":4,"name":"Milepost","value":"2.5696"},{"id":17,"name":"Train ID","value":"53-28"},{"id":16,"name":"Locomotive ID","value":"4007"},{"id":130,"name":"Impact","value":""},{"id":150,"name":"Time of Event (Mountain Time)","value":"12:30:05"},{"id":151,"name":"Denver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7"/>
        <v>grep -hSE -A100 "Enforcement Action" "%USERPROFILE%\AppData\Local\Temp\OnboardLogs"\RTDC4007\*4007*201611281*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"%USERPROFILE%\AppData\Local\Temp\OnboardLogs"\RTDC4007\*4007*201611281* &gt;&gt; 42702-slicedisagreementcheck.txt</v>
      </c>
    </row>
    <row r="50" spans="1:30" x14ac:dyDescent="0.25">
      <c r="A50" s="36">
        <v>42702.148252314815</v>
      </c>
      <c r="B50" s="31" t="s">
        <v>215</v>
      </c>
      <c r="C50" s="31" t="s">
        <v>391</v>
      </c>
      <c r="D50" s="31" t="s">
        <v>49</v>
      </c>
      <c r="E50" s="31" t="s">
        <v>203</v>
      </c>
      <c r="F50" s="47">
        <v>0</v>
      </c>
      <c r="G50" s="47">
        <v>42</v>
      </c>
      <c r="H50" s="47">
        <v>167</v>
      </c>
      <c r="I50" s="47">
        <v>138</v>
      </c>
      <c r="J50" s="31" t="s">
        <v>204</v>
      </c>
      <c r="K50" s="47">
        <v>1</v>
      </c>
      <c r="L50" s="154" t="s">
        <v>51</v>
      </c>
      <c r="M50" s="155">
        <f t="shared" si="0"/>
        <v>72.335999999999999</v>
      </c>
      <c r="N50" s="156" t="str">
        <f>VLOOKUP(C50,'Trips&amp;Operators'!$C$1:$E$99999,3,FALSE)</f>
        <v>MAGEE</v>
      </c>
      <c r="O50" s="182" t="s">
        <v>198</v>
      </c>
      <c r="P50" s="157"/>
      <c r="Q50" s="31"/>
      <c r="R50" s="100" t="str">
        <f>VLOOKUP(C50,'Train Runs'!$A$13:$AE$9986,31,0)</f>
        <v>aws s3 cp s3://rtdc.mdm.uploadarchive.raw/RTDC4039/ "%USERPROFILE%\AppData\Local\Temp\OnboardLogs"\RTDC4039\2016-11-28 --exclude "*" --recursive --include "*20161128*" &amp; "%USERPROFILE%\Documents\GitHub\mrs-test-scripts\Headless Mode &amp; Sideloading\WalkAndUnGZ.bat" "%USERPROFILE%\AppData\Local\Temp\OnboardLogs"\RTDC4039\2016-11-28 &amp; 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</v>
      </c>
      <c r="S50" s="103" t="str">
        <f>VLOOKUP(C50,'Train Runs'!$A$13:$AE$9986,22,0)</f>
        <v>https://search-rtdc-monitor-bjffxe2xuh6vdkpspy63sjmuny.us-east-1.es.amazonaws.com/_plugin/kibana/#/discover/Steve-Slow-Train-Analysis-(2080s-and-2083s)?_g=(refreshInterval:(display:Off,section:0,value:0),time:(from:'2016-11-28 02:22:28-700',mode:absolute,to:'2016-11-28 04:33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50" s="105" t="str">
        <f t="shared" si="1"/>
        <v>"C:\Program Files (x86)\AstroGrep\AstroGrep.exe" /spath="%USERPROFILE%\AppData\Local\Temp\OnboardLogs" /stypes="*4039*201611281*" /stext=" 10:.+((SYSTEM_STATE.+slice.+state.+changed )|(ment ac)|(multiple cpu faults)|(system.+state.+changed )|(\[timeout)|(PRM\|1\|D)|(kpr)|(kdp)|(\|lc)|(penalty))" /e /r /s</v>
      </c>
      <c r="U50" s="9" t="str">
        <f t="shared" si="2"/>
        <v>4039</v>
      </c>
      <c r="V50" s="36">
        <f t="shared" si="3"/>
        <v>42702.439918981479</v>
      </c>
      <c r="W50" s="50" t="str">
        <f t="shared" si="4"/>
        <v>Other</v>
      </c>
      <c r="X50" s="50" t="str">
        <f t="shared" si="5"/>
        <v>KEEP</v>
      </c>
      <c r="Y50" s="119" t="str">
        <f t="shared" si="6"/>
        <v>echo {"issue":{"subject":"","project_id":79,"tracker_id":40,"status_id":1,"priority_id":2,"assigned_to_id":23,"start_date":"2016-11-28","description":"","custom_fields":[{"id":1,"name":"Subdivision","value":"Other"},{"id":4,"name":"Milepost","value":"0.0001"},{"id":17,"name":"Train ID","value":"304-28"},{"id":16,"name":"Locomotive ID","value":"4039"},{"id":130,"name":"Impact","value":""},{"id":150,"name":"Time of Event (Mountain Time)","value":"03:33:29"},{"id":151,"name":"Denver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8" t="str">
        <f t="shared" si="7"/>
        <v>grep -hSE -A100 "Enforcement Action" "%USERPROFILE%\AppData\Local\Temp\OnboardLogs"\RTDC4039\*4039*201611281*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"&amp;Variables!$A$2&amp;"-slicedisagreementcheck.txt"</f>
        <v>grep -hSE "Enforcement Action" "%USERPROFILE%\AppData\Local\Temp\OnboardLogs"\RTDC4039\*4039*201611281* &gt;&gt; 42702-slicedisagreementcheck.txt</v>
      </c>
    </row>
    <row r="51" spans="1:30" x14ac:dyDescent="0.25">
      <c r="A51" s="36">
        <v>42702.490439814814</v>
      </c>
      <c r="B51" s="31" t="s">
        <v>408</v>
      </c>
      <c r="C51" s="31" t="s">
        <v>409</v>
      </c>
      <c r="D51" s="31" t="s">
        <v>49</v>
      </c>
      <c r="E51" s="31" t="s">
        <v>203</v>
      </c>
      <c r="F51" s="47">
        <v>0</v>
      </c>
      <c r="G51" s="47">
        <v>53</v>
      </c>
      <c r="H51" s="47">
        <v>187</v>
      </c>
      <c r="I51" s="47">
        <v>142</v>
      </c>
      <c r="J51" s="31" t="s">
        <v>204</v>
      </c>
      <c r="K51" s="47">
        <v>1</v>
      </c>
      <c r="L51" s="154" t="s">
        <v>51</v>
      </c>
      <c r="M51" s="155">
        <f t="shared" si="0"/>
        <v>74.447999999999993</v>
      </c>
      <c r="N51" s="156" t="str">
        <f>VLOOKUP(C51,'Trips&amp;Operators'!$C$1:$E$99999,3,FALSE)</f>
        <v>DAVIDSON</v>
      </c>
      <c r="O51" s="182" t="s">
        <v>198</v>
      </c>
      <c r="P51" s="157"/>
      <c r="Q51" s="31"/>
      <c r="R51" s="100" t="str">
        <f>VLOOKUP(C51,'Train Runs'!$A$13:$AE$9986,31,0)</f>
        <v>aws s3 cp s3://rtdc.mdm.uploadarchive.raw/RTDC4008/ "%USERPROFILE%\AppData\Local\Temp\OnboardLogs"\RTDC4008\2016-11-28 --exclude "*" --recursive --include "*20161128*" &amp; "%USERPROFILE%\Documents\GitHub\mrs-test-scripts\Headless Mode &amp; Sideloading\WalkAndUnGZ.bat" "%USERPROFILE%\AppData\Local\Temp\OnboardLogs"\RTDC4008\2016-11-28 &amp; aws s3 cp s3://rtdc.mdm.uploadarchive.raw/RTDC4008/ "%USERPROFILE%\AppData\Local\Temp\OnboardLogs"\RTDC4008\2016-11-29 --exclude "*" --recursive --include "*20161129*" &amp; "%USERPROFILE%\Documents\GitHub\mrs-test-scripts\Headless Mode &amp; Sideloading\WalkAndUnGZ.bat" "%USERPROFILE%\AppData\Local\Temp\OnboardLogs"\RTDC4008\2016-11-29</v>
      </c>
      <c r="S51" s="103" t="str">
        <f>VLOOKUP(C51,'Train Runs'!$A$13:$AE$9986,22,0)</f>
        <v>https://search-rtdc-monitor-bjffxe2xuh6vdkpspy63sjmuny.us-east-1.es.amazonaws.com/_plugin/kibana/#/discover/Steve-Slow-Train-Analysis-(2080s-and-2083s)?_g=(refreshInterval:(display:Off,section:0,value:0),time:(from:'2016-11-28 10:36:55-700',mode:absolute,to:'2016-11-28 12:46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51" s="105" t="str">
        <f t="shared" si="1"/>
        <v>"C:\Program Files (x86)\AstroGrep\AstroGrep.exe" /spath="%USERPROFILE%\AppData\Local\Temp\OnboardLogs" /stypes="*4008*201611281*" /stext=" 18:.+((SYSTEM_STATE.+slice.+state.+changed )|(ment ac)|(multiple cpu faults)|(system.+state.+changed )|(\[timeout)|(PRM\|1\|D)|(kpr)|(kdp)|(\|lc)|(penalty))" /e /r /s</v>
      </c>
      <c r="U51" s="9" t="str">
        <f t="shared" si="2"/>
        <v>4008</v>
      </c>
      <c r="V51" s="36">
        <f t="shared" si="3"/>
        <v>42702.782106481478</v>
      </c>
      <c r="W51" s="50" t="str">
        <f t="shared" si="4"/>
        <v>Other</v>
      </c>
      <c r="X51" s="50" t="str">
        <f t="shared" si="5"/>
        <v>KEEP</v>
      </c>
      <c r="Y51" s="119" t="str">
        <f t="shared" si="6"/>
        <v>echo {"issue":{"subject":"","project_id":79,"tracker_id":40,"status_id":1,"priority_id":2,"assigned_to_id":23,"start_date":"2016-11-28","description":"","custom_fields":[{"id":1,"name":"Subdivision","value":"Other"},{"id":4,"name":"Milepost","value":"0.0001"},{"id":17,"name":"Train ID","value":"52-28"},{"id":16,"name":"Locomotive ID","value":"4008"},{"id":130,"name":"Impact","value":""},{"id":150,"name":"Time of Event (Mountain Time)","value":"11:46:14"},{"id":151,"name":"Denver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38" t="str">
        <f t="shared" si="7"/>
        <v>grep -hSE -A100 "Enforcement Action" "%USERPROFILE%\AppData\Local\Temp\OnboardLogs"\RTDC4008\*4008*201611281*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"&amp;Variables!$A$2&amp;"-slicedisagreementcheck.txt"</f>
        <v>grep -hSE "Enforcement Action" "%USERPROFILE%\AppData\Local\Temp\OnboardLogs"\RTDC4008\*4008*201611281* &gt;&gt; 42702-slicedisagreementcheck.txt</v>
      </c>
    </row>
    <row r="52" spans="1:30" x14ac:dyDescent="0.25">
      <c r="A52" s="36">
        <v>42702.754837962966</v>
      </c>
      <c r="B52" s="31" t="s">
        <v>408</v>
      </c>
      <c r="C52" s="31" t="s">
        <v>426</v>
      </c>
      <c r="D52" s="31" t="s">
        <v>49</v>
      </c>
      <c r="E52" s="31" t="s">
        <v>203</v>
      </c>
      <c r="F52" s="47">
        <v>0</v>
      </c>
      <c r="G52" s="47">
        <v>29</v>
      </c>
      <c r="H52" s="47">
        <v>958</v>
      </c>
      <c r="I52" s="47">
        <v>924</v>
      </c>
      <c r="J52" s="31" t="s">
        <v>204</v>
      </c>
      <c r="K52" s="47">
        <v>826</v>
      </c>
      <c r="L52" s="154" t="s">
        <v>51</v>
      </c>
      <c r="M52" s="155">
        <f t="shared" si="0"/>
        <v>51.744</v>
      </c>
      <c r="N52" s="156" t="str">
        <f>VLOOKUP(C52,'Trips&amp;Operators'!$C$1:$E$99999,3,FALSE)</f>
        <v>CHANDLER</v>
      </c>
      <c r="O52" s="182" t="s">
        <v>198</v>
      </c>
      <c r="P52" s="157"/>
      <c r="Q52" s="31"/>
      <c r="R52" s="100" t="str">
        <f>VLOOKUP(C52,'Train Runs'!$A$13:$AE$9986,31,0)</f>
        <v>aws s3 cp s3://rtdc.mdm.uploadarchive.raw/RTDC4008/ "%USERPROFILE%\AppData\Local\Temp\OnboardLogs"\RTDC4008\2016-11-28 --exclude "*" --recursive --include "*20161128*" &amp; "%USERPROFILE%\Documents\GitHub\mrs-test-scripts\Headless Mode &amp; Sideloading\WalkAndUnGZ.bat" "%USERPROFILE%\AppData\Local\Temp\OnboardLogs"\RTDC4008\2016-11-28 &amp; aws s3 cp s3://rtdc.mdm.uploadarchive.raw/RTDC4008/ "%USERPROFILE%\AppData\Local\Temp\OnboardLogs"\RTDC4008\2016-11-29 --exclude "*" --recursive --include "*20161129*" &amp; "%USERPROFILE%\Documents\GitHub\mrs-test-scripts\Headless Mode &amp; Sideloading\WalkAndUnGZ.bat" "%USERPROFILE%\AppData\Local\Temp\OnboardLogs"\RTDC4008\2016-11-29</v>
      </c>
      <c r="S52" s="103" t="str">
        <f>VLOOKUP(C52,'Train Runs'!$A$13:$AE$9986,22,0)</f>
        <v>https://search-rtdc-monitor-bjffxe2xuh6vdkpspy63sjmuny.us-east-1.es.amazonaws.com/_plugin/kibana/#/discover/Steve-Slow-Train-Analysis-(2080s-and-2083s)?_g=(refreshInterval:(display:Off,section:0,value:0),time:(from:'2016-11-28 16:44:29-700',mode:absolute,to:'2016-11-28 19:06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52" s="105" t="str">
        <f t="shared" si="1"/>
        <v>"C:\Program Files (x86)\AstroGrep\AstroGrep.exe" /spath="%USERPROFILE%\AppData\Local\Temp\OnboardLogs" /stypes="*4008*201611290*" /stext=" 01:.+((SYSTEM_STATE.+slice.+state.+changed )|(ment ac)|(multiple cpu faults)|(system.+state.+changed )|(\[timeout)|(PRM\|1\|D)|(kpr)|(kdp)|(\|lc)|(penalty))" /e /r /s</v>
      </c>
      <c r="U52" s="9" t="str">
        <f t="shared" si="2"/>
        <v>4008</v>
      </c>
      <c r="V52" s="36">
        <f t="shared" si="3"/>
        <v>42703.04650462963</v>
      </c>
      <c r="W52" s="50" t="str">
        <f t="shared" si="4"/>
        <v>Other</v>
      </c>
      <c r="X52" s="50" t="str">
        <f t="shared" si="5"/>
        <v>KEEP</v>
      </c>
      <c r="Y52" s="119" t="str">
        <f t="shared" si="6"/>
        <v>echo {"issue":{"subject":"","project_id":79,"tracker_id":40,"status_id":1,"priority_id":2,"assigned_to_id":23,"start_date":"2016-11-28","description":"","custom_fields":[{"id":1,"name":"Subdivision","value":"Other"},{"id":4,"name":"Milepost","value":"0.0826"},{"id":17,"name":"Train ID","value":"54-28"},{"id":16,"name":"Locomotive ID","value":"4008"},{"id":130,"name":"Impact","value":""},{"id":150,"name":"Time of Event (Mountain Time)","value":"18:06:58"},{"id":151,"name":"Denver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38" t="str">
        <f t="shared" si="7"/>
        <v>grep -hSE -A100 "Enforcement Action" "%USERPROFILE%\AppData\Local\Temp\OnboardLogs"\RTDC4008\*4008*201611290*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"&amp;Variables!$A$2&amp;"-slicedisagreementcheck.txt"</f>
        <v>grep -hSE "Enforcement Action" "%USERPROFILE%\AppData\Local\Temp\OnboardLogs"\RTDC4008\*4008*201611290* &gt;&gt; 42702-slicedisagreementcheck.txt</v>
      </c>
    </row>
    <row r="53" spans="1:30" x14ac:dyDescent="0.25">
      <c r="A53" s="36">
        <v>42702.215578703705</v>
      </c>
      <c r="B53" s="31" t="s">
        <v>273</v>
      </c>
      <c r="C53" s="31" t="s">
        <v>393</v>
      </c>
      <c r="D53" s="31" t="s">
        <v>98</v>
      </c>
      <c r="E53" s="31" t="s">
        <v>203</v>
      </c>
      <c r="F53" s="47">
        <v>0</v>
      </c>
      <c r="G53" s="47">
        <v>7</v>
      </c>
      <c r="H53" s="47">
        <v>59048</v>
      </c>
      <c r="I53" s="47">
        <v>0</v>
      </c>
      <c r="J53" s="31" t="s">
        <v>204</v>
      </c>
      <c r="K53" s="47">
        <v>59048</v>
      </c>
      <c r="L53" s="154" t="s">
        <v>50</v>
      </c>
      <c r="M53" s="155">
        <f t="shared" si="0"/>
        <v>31177.344000000001</v>
      </c>
      <c r="N53" s="156" t="str">
        <f>VLOOKUP(C53,'Trips&amp;Operators'!$C$1:$E$99999,3,FALSE)</f>
        <v>DAVIS</v>
      </c>
      <c r="O53" s="182" t="s">
        <v>198</v>
      </c>
      <c r="P53" s="157"/>
      <c r="Q53" s="31"/>
      <c r="R53" s="100" t="str">
        <f>VLOOKUP(C53,'Train Runs'!$A$13:$AE$9986,31,0)</f>
        <v>aws s3 cp s3://rtdc.mdm.uploadarchive.raw/RTDC4003/ "%USERPROFILE%\AppData\Local\Temp\OnboardLogs"\RTDC4003\2016-11-28 --exclude "*" --recursive --include "*20161128*" &amp; "%USERPROFILE%\Documents\GitHub\mrs-test-scripts\Headless Mode &amp; Sideloading\WalkAndUnGZ.bat" "%USERPROFILE%\AppData\Local\Temp\OnboardLogs"\RTDC4003\2016-11-28 &amp; 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</v>
      </c>
      <c r="S53" s="103" t="str">
        <f>VLOOKUP(C53,'Train Runs'!$A$13:$AE$9986,22,0)</f>
        <v>https://search-rtdc-monitor-bjffxe2xuh6vdkpspy63sjmuny.us-east-1.es.amazonaws.com/_plugin/kibana/#/discover/Steve-Slow-Train-Analysis-(2080s-and-2083s)?_g=(refreshInterval:(display:Off,section:0,value:0),time:(from:'2016-11-28 04:00:07-700',mode:absolute,to:'2016-11-28 06:10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3" s="105" t="str">
        <f t="shared" si="1"/>
        <v>"C:\Program Files (x86)\AstroGrep\AstroGrep.exe" /spath="%USERPROFILE%\AppData\Local\Temp\OnboardLogs" /stypes="*4003*201611281*" /stext=" 12:.+((SYSTEM_STATE.+slice.+state.+changed )|(ment ac)|(multiple cpu faults)|(system.+state.+changed )|(\[timeout)|(PRM\|1\|D)|(kpr)|(kdp)|(\|lc)|(penalty))" /e /r /s</v>
      </c>
      <c r="U53" s="9" t="str">
        <f t="shared" si="2"/>
        <v>4003</v>
      </c>
      <c r="V53" s="36">
        <f t="shared" si="3"/>
        <v>42702.507245370369</v>
      </c>
      <c r="W53" s="50" t="str">
        <f t="shared" si="4"/>
        <v>Other</v>
      </c>
      <c r="X53" s="50" t="str">
        <f t="shared" si="5"/>
        <v>OMIT</v>
      </c>
      <c r="Y53" s="119" t="str">
        <f t="shared" si="6"/>
        <v>echo {"issue":{"subject":"","project_id":79,"tracker_id":40,"status_id":1,"priority_id":2,"assigned_to_id":23,"start_date":"2016-11-28","description":"","custom_fields":[{"id":1,"name":"Subdivision","value":"Other"},{"id":4,"name":"Milepost","value":"5.9048"},{"id":17,"name":"Train ID","value":"901-28"},{"id":16,"name":"Locomotive ID","value":"4003"},{"id":130,"name":"Impact","value":""},{"id":150,"name":"Time of Event (Mountain Time)","value":"05:10:26"},{"id":151,"name":"Denver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38" t="str">
        <f t="shared" si="7"/>
        <v>grep -hSE -A100 "Enforcement Action" "%USERPROFILE%\AppData\Local\Temp\OnboardLogs"\RTDC4003\*4003*201611281*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"&amp;Variables!$A$2&amp;"-slicedisagreementcheck.txt"</f>
        <v>grep -hSE "Enforcement Action" "%USERPROFILE%\AppData\Local\Temp\OnboardLogs"\RTDC4003\*4003*201611281* &gt;&gt; 42702-slicedisagreementcheck.txt</v>
      </c>
    </row>
    <row r="54" spans="1:30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30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30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30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30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30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53">
      <sortCondition ref="V6:V46"/>
    </sortState>
  </autoFilter>
  <sortState ref="A7:AD53">
    <sortCondition ref="W7:W53"/>
    <sortCondition ref="E7:E53"/>
    <sortCondition ref="K7:K53"/>
    <sortCondition ref="C7:C53"/>
    <sortCondition ref="F7:F53"/>
  </sortState>
  <mergeCells count="1">
    <mergeCell ref="A5:O5"/>
  </mergeCells>
  <conditionalFormatting sqref="O6:P6 R6 O76:O1048576 O7:O5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3">
    <cfRule type="expression" dxfId="1" priority="20">
      <formula>$O7="Y"</formula>
    </cfRule>
  </conditionalFormatting>
  <hyperlinks>
    <hyperlink ref="Z2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AA7:AA53</xm:sqref>
        </x14:dataValidation>
        <x14:dataValidation type="list" allowBlank="1" showInputMessage="1" showErrorMessage="1">
          <x14:formula1>
            <xm:f>'Redmine List Values'!$C$2:$C$15</xm:f>
          </x14:formula1>
          <xm:sqref>AB7:AB53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5" t="str">
        <f>"Trips that did not appear in PTC Data "&amp;TEXT(Variables!$A$2,"YYYY-mm-dd")</f>
        <v>Trips that did not appear in PTC Data 2016-11-28</v>
      </c>
      <c r="C1" s="185"/>
      <c r="D1" s="185"/>
      <c r="E1" s="185"/>
      <c r="F1" s="185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/>
      <c r="B3" s="47" t="str">
        <f>A3&amp;"-"&amp;IF(DAY(Variables!$A$2)&lt;10,0,"")&amp;DAY(Variables!$A$2)</f>
        <v>-28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3" s="31" t="e">
        <f>VLOOKUP(B3,'Train Runs'!$A$13:$A$99983,1,FALSE)</f>
        <v>#N/A</v>
      </c>
      <c r="K3" s="31" t="e">
        <f>IF(VLOOKUP(A3,$K$40:$K$63,1,FALSE),"Cancelled")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-28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4" s="31" t="e">
        <f>VLOOKUP(B4,'Train Runs'!$A$13:$A$99983,1,FALSE)</f>
        <v>#N/A</v>
      </c>
      <c r="K4" s="31" t="e">
        <f>IF(VLOOKUP(A4,$K$40:$K$63,1,FALSE),"Cancelled")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-28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5" s="31" t="e">
        <f>VLOOKUP(B5,'Train Runs'!$A$13:$A$99983,1,FALSE)</f>
        <v>#N/A</v>
      </c>
      <c r="K5" s="31" t="e">
        <f>IF(VLOOKUP(A5,$K$40:$K$63,1,FALSE),"Cancelled")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-28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0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6" s="31" t="e">
        <f>VLOOKUP(B6,'Train Runs'!$A$13:$A$99983,1,FALSE)</f>
        <v>#N/A</v>
      </c>
      <c r="K6" s="31" t="e">
        <f t="shared" ref="K6:K10" si="2">IF(VLOOKUP(A6,$K$40:$K$63,1,FALSE),"Cancelled")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-28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7" s="31" t="e">
        <f>VLOOKUP(B7,'Train Runs'!$A$13:$A$99983,1,FALSE)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-28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8" s="31" t="e">
        <f>VLOOKUP(B8,'Train Runs'!$A$13:$A$99983,1,FALSE)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-28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9" s="31" t="e">
        <f>VLOOKUP(B9,'Train Runs'!$A$13:$A$99983,1,FALSE)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-28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0" s="31" t="e">
        <f>VLOOKUP(B10,'Train Runs'!$A$13:$A$99983,1,FALSE)</f>
        <v>#N/A</v>
      </c>
      <c r="K10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activeCell="E1" sqref="E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21" t="s">
        <v>179</v>
      </c>
      <c r="E1" s="21" t="s">
        <v>180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42702.031793981485</v>
      </c>
      <c r="B2" s="21" t="s">
        <v>253</v>
      </c>
      <c r="C2" s="21" t="s">
        <v>348</v>
      </c>
      <c r="D2" s="21">
        <v>2550000</v>
      </c>
      <c r="E2" s="21" t="s">
        <v>221</v>
      </c>
      <c r="F2" s="21" t="str">
        <f t="shared" ref="F2:F65" si="0">B2</f>
        <v>rtdc.l.rtdc.4045:itc</v>
      </c>
      <c r="G2" s="8">
        <f t="shared" ref="G2:G65" si="1">A2</f>
        <v>42702.031793981485</v>
      </c>
    </row>
    <row r="3" spans="1:7" x14ac:dyDescent="0.25">
      <c r="A3" s="8">
        <v>42702.050393518519</v>
      </c>
      <c r="B3" s="21" t="s">
        <v>341</v>
      </c>
      <c r="C3" s="21" t="s">
        <v>349</v>
      </c>
      <c r="D3" s="21">
        <v>1290000</v>
      </c>
      <c r="E3" s="21" t="s">
        <v>347</v>
      </c>
      <c r="F3" s="21" t="str">
        <f t="shared" si="0"/>
        <v>rtdc.l.rtdc.4016:itc</v>
      </c>
      <c r="G3" s="8">
        <f t="shared" si="1"/>
        <v>42702.050393518519</v>
      </c>
    </row>
    <row r="4" spans="1:7" x14ac:dyDescent="0.25">
      <c r="A4" s="8">
        <v>42702.051099537035</v>
      </c>
      <c r="B4" s="21" t="s">
        <v>218</v>
      </c>
      <c r="C4" s="21" t="s">
        <v>350</v>
      </c>
      <c r="D4" s="21">
        <v>1800000</v>
      </c>
      <c r="E4" s="21" t="s">
        <v>291</v>
      </c>
      <c r="F4" s="21" t="str">
        <f t="shared" si="0"/>
        <v>rtdc.l.rtdc.4012:itc</v>
      </c>
      <c r="G4" s="8">
        <f t="shared" si="1"/>
        <v>42702.051099537035</v>
      </c>
    </row>
    <row r="5" spans="1:7" x14ac:dyDescent="0.25">
      <c r="A5" s="8">
        <v>42702.092407407406</v>
      </c>
      <c r="B5" s="21" t="s">
        <v>223</v>
      </c>
      <c r="C5" s="21" t="s">
        <v>351</v>
      </c>
      <c r="D5" s="21">
        <v>2550000</v>
      </c>
      <c r="E5" s="21" t="s">
        <v>221</v>
      </c>
      <c r="F5" s="21" t="str">
        <f t="shared" si="0"/>
        <v>rtdc.l.rtdc.4022:itc</v>
      </c>
      <c r="G5" s="8">
        <f t="shared" si="1"/>
        <v>42702.092407407406</v>
      </c>
    </row>
    <row r="6" spans="1:7" x14ac:dyDescent="0.25">
      <c r="A6" s="8">
        <v>42702.092847222222</v>
      </c>
      <c r="B6" s="21" t="s">
        <v>184</v>
      </c>
      <c r="C6" s="21" t="s">
        <v>352</v>
      </c>
      <c r="D6" s="21">
        <v>1800000</v>
      </c>
      <c r="E6" s="21" t="s">
        <v>291</v>
      </c>
      <c r="F6" s="21" t="str">
        <f t="shared" si="0"/>
        <v>rtdc.l.rtdc.4044:itc</v>
      </c>
      <c r="G6" s="8">
        <f t="shared" si="1"/>
        <v>42702.092847222222</v>
      </c>
    </row>
    <row r="7" spans="1:7" x14ac:dyDescent="0.25">
      <c r="A7" s="8">
        <v>42702.118773148148</v>
      </c>
      <c r="B7" s="21" t="s">
        <v>239</v>
      </c>
      <c r="C7" s="21" t="s">
        <v>433</v>
      </c>
      <c r="D7" s="21">
        <v>2030000</v>
      </c>
      <c r="E7" s="21" t="s">
        <v>318</v>
      </c>
      <c r="F7" s="21" t="str">
        <f t="shared" si="0"/>
        <v>rtdc.l.rtdc.4013:itc</v>
      </c>
      <c r="G7" s="8">
        <f t="shared" si="1"/>
        <v>42702.118773148148</v>
      </c>
    </row>
    <row r="8" spans="1:7" x14ac:dyDescent="0.25">
      <c r="A8" s="8">
        <v>42702.130671296298</v>
      </c>
      <c r="B8" s="21" t="s">
        <v>322</v>
      </c>
      <c r="C8" s="21" t="s">
        <v>434</v>
      </c>
      <c r="D8" s="21">
        <v>2030000</v>
      </c>
      <c r="E8" s="21" t="s">
        <v>318</v>
      </c>
      <c r="F8" s="21" t="str">
        <f t="shared" si="0"/>
        <v>rtdc.l.rtdc.4025:itc</v>
      </c>
      <c r="G8" s="8">
        <f t="shared" si="1"/>
        <v>42702.130671296298</v>
      </c>
    </row>
    <row r="9" spans="1:7" ht="15.75" thickBot="1" x14ac:dyDescent="0.3">
      <c r="A9" s="25">
        <v>42702.132025462961</v>
      </c>
      <c r="B9" s="21" t="s">
        <v>322</v>
      </c>
      <c r="C9" s="21" t="s">
        <v>434</v>
      </c>
      <c r="D9" s="21">
        <v>2030000</v>
      </c>
      <c r="E9" s="21" t="s">
        <v>318</v>
      </c>
      <c r="F9" s="21" t="str">
        <f t="shared" si="0"/>
        <v>rtdc.l.rtdc.4025:itc</v>
      </c>
      <c r="G9" s="8">
        <f t="shared" si="1"/>
        <v>42702.132025462961</v>
      </c>
    </row>
    <row r="10" spans="1:7" x14ac:dyDescent="0.25">
      <c r="A10" s="8">
        <v>42702.141296296293</v>
      </c>
      <c r="B10" s="21" t="s">
        <v>215</v>
      </c>
      <c r="C10" s="21" t="s">
        <v>391</v>
      </c>
      <c r="D10" s="21">
        <v>2610000</v>
      </c>
      <c r="E10" s="21" t="s">
        <v>222</v>
      </c>
      <c r="F10" s="21" t="str">
        <f t="shared" si="0"/>
        <v>rtdc.l.rtdc.4039:itc</v>
      </c>
      <c r="G10" s="8">
        <f t="shared" si="1"/>
        <v>42702.141296296293</v>
      </c>
    </row>
    <row r="11" spans="1:7" x14ac:dyDescent="0.25">
      <c r="A11" s="8">
        <v>42702.151006944441</v>
      </c>
      <c r="B11" s="21" t="s">
        <v>225</v>
      </c>
      <c r="C11" s="21" t="s">
        <v>435</v>
      </c>
      <c r="D11" s="21">
        <v>2610000</v>
      </c>
      <c r="E11" s="21" t="s">
        <v>222</v>
      </c>
      <c r="F11" s="21" t="str">
        <f t="shared" si="0"/>
        <v>rtdc.l.rtdc.4038:itc</v>
      </c>
      <c r="G11" s="8">
        <f t="shared" si="1"/>
        <v>42702.151006944441</v>
      </c>
    </row>
    <row r="12" spans="1:7" x14ac:dyDescent="0.25">
      <c r="A12" s="8">
        <v>42702.156122685185</v>
      </c>
      <c r="B12" s="21" t="s">
        <v>265</v>
      </c>
      <c r="C12" s="21" t="s">
        <v>436</v>
      </c>
      <c r="D12" s="21">
        <v>2620000</v>
      </c>
      <c r="E12" s="21" t="s">
        <v>437</v>
      </c>
      <c r="F12" s="21" t="str">
        <f t="shared" si="0"/>
        <v>rtdc.l.rtdc.4041:itc</v>
      </c>
      <c r="G12" s="8">
        <f t="shared" si="1"/>
        <v>42702.156122685185</v>
      </c>
    </row>
    <row r="13" spans="1:7" x14ac:dyDescent="0.25">
      <c r="A13" s="8">
        <v>42702.166562500002</v>
      </c>
      <c r="B13" s="21" t="s">
        <v>220</v>
      </c>
      <c r="C13" s="21" t="s">
        <v>438</v>
      </c>
      <c r="D13" s="21">
        <v>2620000</v>
      </c>
      <c r="E13" s="21" t="s">
        <v>437</v>
      </c>
      <c r="F13" s="21" t="str">
        <f t="shared" si="0"/>
        <v>rtdc.l.rtdc.4002:itc</v>
      </c>
      <c r="G13" s="8">
        <f t="shared" si="1"/>
        <v>42702.166562500002</v>
      </c>
    </row>
    <row r="14" spans="1:7" x14ac:dyDescent="0.25">
      <c r="A14" s="8">
        <v>42702.167511574073</v>
      </c>
      <c r="B14" s="21" t="s">
        <v>220</v>
      </c>
      <c r="C14" s="21" t="s">
        <v>438</v>
      </c>
      <c r="D14" s="21">
        <v>2620000</v>
      </c>
      <c r="E14" s="21" t="s">
        <v>437</v>
      </c>
      <c r="F14" s="21" t="str">
        <f t="shared" si="0"/>
        <v>rtdc.l.rtdc.4002:itc</v>
      </c>
      <c r="G14" s="8">
        <f t="shared" si="1"/>
        <v>42702.167511574073</v>
      </c>
    </row>
    <row r="15" spans="1:7" x14ac:dyDescent="0.25">
      <c r="A15" s="8">
        <v>42702.168587962966</v>
      </c>
      <c r="B15" s="21" t="s">
        <v>239</v>
      </c>
      <c r="C15" s="21" t="s">
        <v>392</v>
      </c>
      <c r="D15" s="21">
        <v>2030000</v>
      </c>
      <c r="E15" s="21" t="s">
        <v>318</v>
      </c>
      <c r="F15" s="21" t="str">
        <f t="shared" si="0"/>
        <v>rtdc.l.rtdc.4013:itc</v>
      </c>
      <c r="G15" s="8">
        <f t="shared" si="1"/>
        <v>42702.168587962966</v>
      </c>
    </row>
    <row r="16" spans="1:7" x14ac:dyDescent="0.25">
      <c r="A16" s="8">
        <v>42702.169768518521</v>
      </c>
      <c r="B16" s="21" t="s">
        <v>220</v>
      </c>
      <c r="C16" s="21" t="s">
        <v>438</v>
      </c>
      <c r="D16" s="21">
        <v>2620000</v>
      </c>
      <c r="E16" s="21" t="s">
        <v>437</v>
      </c>
      <c r="F16" s="21" t="str">
        <f t="shared" si="0"/>
        <v>rtdc.l.rtdc.4002:itc</v>
      </c>
      <c r="G16" s="8">
        <f t="shared" si="1"/>
        <v>42702.169768518521</v>
      </c>
    </row>
    <row r="17" spans="1:7" x14ac:dyDescent="0.25">
      <c r="A17" s="8">
        <v>42702.171249999999</v>
      </c>
      <c r="B17" s="21" t="s">
        <v>277</v>
      </c>
      <c r="C17" s="21" t="s">
        <v>439</v>
      </c>
      <c r="D17" s="21">
        <v>1090000</v>
      </c>
      <c r="E17" s="21" t="s">
        <v>440</v>
      </c>
      <c r="F17" s="21" t="str">
        <f t="shared" si="0"/>
        <v>rtdc.l.rtdc.4010:itc</v>
      </c>
      <c r="G17" s="8">
        <f t="shared" si="1"/>
        <v>42702.171249999999</v>
      </c>
    </row>
    <row r="18" spans="1:7" x14ac:dyDescent="0.25">
      <c r="A18" s="8">
        <v>42702.179027777776</v>
      </c>
      <c r="B18" s="21" t="s">
        <v>343</v>
      </c>
      <c r="C18" s="21" t="s">
        <v>441</v>
      </c>
      <c r="D18" s="21">
        <v>2250000</v>
      </c>
      <c r="E18" s="21" t="s">
        <v>442</v>
      </c>
      <c r="F18" s="21" t="str">
        <f t="shared" si="0"/>
        <v>rtdc.l.rtdc.4015:itc</v>
      </c>
      <c r="G18" s="8">
        <f t="shared" si="1"/>
        <v>42702.179027777776</v>
      </c>
    </row>
    <row r="19" spans="1:7" x14ac:dyDescent="0.25">
      <c r="A19" s="8">
        <v>42702.186099537037</v>
      </c>
      <c r="B19" s="21" t="s">
        <v>183</v>
      </c>
      <c r="C19" s="21" t="s">
        <v>443</v>
      </c>
      <c r="D19" s="21">
        <v>1090000</v>
      </c>
      <c r="E19" s="21" t="s">
        <v>440</v>
      </c>
      <c r="F19" s="21" t="str">
        <f t="shared" si="0"/>
        <v>rtdc.l.rtdc.4009:itc</v>
      </c>
      <c r="G19" s="8">
        <f t="shared" si="1"/>
        <v>42702.186099537037</v>
      </c>
    </row>
    <row r="20" spans="1:7" x14ac:dyDescent="0.25">
      <c r="A20" s="8">
        <v>42702.189560185187</v>
      </c>
      <c r="B20" s="21" t="s">
        <v>341</v>
      </c>
      <c r="C20" s="21" t="s">
        <v>444</v>
      </c>
      <c r="D20" s="21">
        <v>2250000</v>
      </c>
      <c r="E20" s="21" t="s">
        <v>442</v>
      </c>
      <c r="F20" s="21" t="str">
        <f t="shared" si="0"/>
        <v>rtdc.l.rtdc.4016:itc</v>
      </c>
      <c r="G20" s="8">
        <f t="shared" si="1"/>
        <v>42702.189560185187</v>
      </c>
    </row>
    <row r="21" spans="1:7" x14ac:dyDescent="0.25">
      <c r="A21" s="8">
        <v>42702.191331018519</v>
      </c>
      <c r="B21" s="21" t="s">
        <v>215</v>
      </c>
      <c r="C21" s="21" t="s">
        <v>445</v>
      </c>
      <c r="D21" s="21">
        <v>2610000</v>
      </c>
      <c r="E21" s="21" t="s">
        <v>222</v>
      </c>
      <c r="F21" s="21" t="str">
        <f t="shared" si="0"/>
        <v>rtdc.l.rtdc.4039:itc</v>
      </c>
      <c r="G21" s="8">
        <f t="shared" si="1"/>
        <v>42702.191331018519</v>
      </c>
    </row>
    <row r="22" spans="1:7" x14ac:dyDescent="0.25">
      <c r="A22" s="27">
        <v>42702.204039351855</v>
      </c>
      <c r="B22" s="21" t="s">
        <v>322</v>
      </c>
      <c r="C22" s="21" t="s">
        <v>446</v>
      </c>
      <c r="D22" s="21">
        <v>1110000</v>
      </c>
      <c r="E22" s="21" t="s">
        <v>344</v>
      </c>
      <c r="F22" s="21" t="str">
        <f t="shared" si="0"/>
        <v>rtdc.l.rtdc.4025:itc</v>
      </c>
      <c r="G22" s="8">
        <f t="shared" si="1"/>
        <v>42702.204039351855</v>
      </c>
    </row>
    <row r="23" spans="1:7" x14ac:dyDescent="0.25">
      <c r="A23" s="8">
        <v>42702.204837962963</v>
      </c>
      <c r="B23" s="21" t="s">
        <v>238</v>
      </c>
      <c r="C23" s="21" t="s">
        <v>396</v>
      </c>
      <c r="D23" s="21">
        <v>2030000</v>
      </c>
      <c r="E23" s="21" t="s">
        <v>318</v>
      </c>
      <c r="F23" s="21" t="str">
        <f t="shared" si="0"/>
        <v>rtdc.l.rtdc.4014:itc</v>
      </c>
      <c r="G23" s="8">
        <f t="shared" si="1"/>
        <v>42702.204837962963</v>
      </c>
    </row>
    <row r="24" spans="1:7" x14ac:dyDescent="0.25">
      <c r="A24" s="8">
        <v>42702.20722222222</v>
      </c>
      <c r="B24" s="21" t="s">
        <v>265</v>
      </c>
      <c r="C24" s="21" t="s">
        <v>447</v>
      </c>
      <c r="D24" s="21">
        <v>2620000</v>
      </c>
      <c r="E24" s="21" t="s">
        <v>437</v>
      </c>
      <c r="F24" s="21" t="str">
        <f t="shared" si="0"/>
        <v>rtdc.l.rtdc.4041:itc</v>
      </c>
      <c r="G24" s="8">
        <f t="shared" si="1"/>
        <v>42702.20722222222</v>
      </c>
    </row>
    <row r="25" spans="1:7" x14ac:dyDescent="0.25">
      <c r="A25" s="8">
        <v>42702.208483796298</v>
      </c>
      <c r="B25" s="21" t="s">
        <v>265</v>
      </c>
      <c r="C25" s="21" t="s">
        <v>447</v>
      </c>
      <c r="D25" s="21">
        <v>2620000</v>
      </c>
      <c r="E25" s="21" t="s">
        <v>437</v>
      </c>
      <c r="F25" s="21" t="str">
        <f t="shared" si="0"/>
        <v>rtdc.l.rtdc.4041:itc</v>
      </c>
      <c r="G25" s="8">
        <f t="shared" si="1"/>
        <v>42702.208483796298</v>
      </c>
    </row>
    <row r="26" spans="1:7" x14ac:dyDescent="0.25">
      <c r="A26" s="8">
        <v>42702.20890046296</v>
      </c>
      <c r="B26" s="21" t="s">
        <v>273</v>
      </c>
      <c r="C26" s="21" t="s">
        <v>393</v>
      </c>
      <c r="D26" s="21">
        <v>1990000</v>
      </c>
      <c r="E26" s="21" t="s">
        <v>255</v>
      </c>
      <c r="F26" s="21" t="str">
        <f t="shared" si="0"/>
        <v>rtdc.l.rtdc.4003:itc</v>
      </c>
      <c r="G26" s="8">
        <f t="shared" si="1"/>
        <v>42702.20890046296</v>
      </c>
    </row>
    <row r="27" spans="1:7" x14ac:dyDescent="0.25">
      <c r="A27" s="8">
        <v>42702.217534722222</v>
      </c>
      <c r="B27" s="21" t="s">
        <v>274</v>
      </c>
      <c r="C27" s="21" t="s">
        <v>394</v>
      </c>
      <c r="D27" s="21">
        <v>1990000</v>
      </c>
      <c r="E27" s="21" t="s">
        <v>255</v>
      </c>
      <c r="F27" s="21" t="str">
        <f t="shared" si="0"/>
        <v>rtdc.l.rtdc.4004:itc</v>
      </c>
      <c r="G27" s="8">
        <f t="shared" si="1"/>
        <v>42702.217534722222</v>
      </c>
    </row>
    <row r="28" spans="1:7" x14ac:dyDescent="0.25">
      <c r="A28" s="8">
        <v>42702.221724537034</v>
      </c>
      <c r="B28" s="21" t="s">
        <v>277</v>
      </c>
      <c r="C28" s="21" t="s">
        <v>448</v>
      </c>
      <c r="D28" s="21">
        <v>1090000</v>
      </c>
      <c r="E28" s="21" t="s">
        <v>440</v>
      </c>
      <c r="F28" s="21" t="str">
        <f t="shared" si="0"/>
        <v>rtdc.l.rtdc.4010:itc</v>
      </c>
      <c r="G28" s="8">
        <f t="shared" si="1"/>
        <v>42702.221724537034</v>
      </c>
    </row>
    <row r="29" spans="1:7" x14ac:dyDescent="0.25">
      <c r="A29" s="8">
        <v>42702.226840277777</v>
      </c>
      <c r="B29" s="21" t="s">
        <v>225</v>
      </c>
      <c r="C29" s="21" t="s">
        <v>395</v>
      </c>
      <c r="D29" s="21">
        <v>2090000</v>
      </c>
      <c r="E29" s="21" t="s">
        <v>449</v>
      </c>
      <c r="F29" s="21" t="str">
        <f t="shared" si="0"/>
        <v>rtdc.l.rtdc.4038:itc</v>
      </c>
      <c r="G29" s="8">
        <f t="shared" si="1"/>
        <v>42702.226840277777</v>
      </c>
    </row>
    <row r="30" spans="1:7" x14ac:dyDescent="0.25">
      <c r="A30" s="8">
        <v>42702.229583333334</v>
      </c>
      <c r="B30" s="21" t="s">
        <v>343</v>
      </c>
      <c r="C30" s="21" t="s">
        <v>450</v>
      </c>
      <c r="D30" s="21">
        <v>2250000</v>
      </c>
      <c r="E30" s="21" t="s">
        <v>442</v>
      </c>
      <c r="F30" s="21" t="str">
        <f t="shared" si="0"/>
        <v>rtdc.l.rtdc.4015:itc</v>
      </c>
      <c r="G30" s="8">
        <f t="shared" si="1"/>
        <v>42702.229583333334</v>
      </c>
    </row>
    <row r="31" spans="1:7" x14ac:dyDescent="0.25">
      <c r="A31" s="8">
        <v>42702.232685185183</v>
      </c>
      <c r="B31" s="21" t="s">
        <v>213</v>
      </c>
      <c r="C31" s="21" t="s">
        <v>451</v>
      </c>
      <c r="D31" s="21">
        <v>2610000</v>
      </c>
      <c r="E31" s="21" t="s">
        <v>222</v>
      </c>
      <c r="F31" s="21" t="str">
        <f t="shared" si="0"/>
        <v>rtdc.l.rtdc.4040:itc</v>
      </c>
      <c r="G31" s="8">
        <f t="shared" si="1"/>
        <v>42702.232685185183</v>
      </c>
    </row>
    <row r="32" spans="1:7" x14ac:dyDescent="0.25">
      <c r="A32" s="8">
        <v>42702.239849537036</v>
      </c>
      <c r="B32" s="21" t="s">
        <v>273</v>
      </c>
      <c r="C32" s="21" t="s">
        <v>397</v>
      </c>
      <c r="D32" s="21">
        <v>1990000</v>
      </c>
      <c r="E32" s="21" t="s">
        <v>255</v>
      </c>
      <c r="F32" s="21" t="str">
        <f t="shared" si="0"/>
        <v>rtdc.l.rtdc.4003:itc</v>
      </c>
      <c r="G32" s="8">
        <f t="shared" si="1"/>
        <v>42702.239849537036</v>
      </c>
    </row>
    <row r="33" spans="1:7" x14ac:dyDescent="0.25">
      <c r="A33" s="8">
        <v>42702.246041666665</v>
      </c>
      <c r="B33" s="21" t="s">
        <v>317</v>
      </c>
      <c r="C33" s="21" t="s">
        <v>452</v>
      </c>
      <c r="D33" s="21">
        <v>1110000</v>
      </c>
      <c r="E33" s="21" t="s">
        <v>344</v>
      </c>
      <c r="F33" s="21" t="str">
        <f t="shared" si="0"/>
        <v>rtdc.l.rtdc.4026:itc</v>
      </c>
      <c r="G33" s="8">
        <f t="shared" si="1"/>
        <v>42702.246041666665</v>
      </c>
    </row>
    <row r="34" spans="1:7" x14ac:dyDescent="0.25">
      <c r="A34" s="8">
        <v>42702.24894675926</v>
      </c>
      <c r="B34" s="21" t="s">
        <v>220</v>
      </c>
      <c r="C34" s="21" t="s">
        <v>453</v>
      </c>
      <c r="D34" s="21">
        <v>2620000</v>
      </c>
      <c r="E34" s="21" t="s">
        <v>437</v>
      </c>
      <c r="F34" s="21" t="str">
        <f t="shared" si="0"/>
        <v>rtdc.l.rtdc.4002:itc</v>
      </c>
      <c r="G34" s="8">
        <f t="shared" si="1"/>
        <v>42702.24894675926</v>
      </c>
    </row>
    <row r="35" spans="1:7" x14ac:dyDescent="0.25">
      <c r="A35" s="8">
        <v>42702.249756944446</v>
      </c>
      <c r="B35" s="21" t="s">
        <v>288</v>
      </c>
      <c r="C35" s="21" t="s">
        <v>454</v>
      </c>
      <c r="D35" s="21">
        <v>2630000</v>
      </c>
      <c r="E35" s="21" t="s">
        <v>267</v>
      </c>
      <c r="F35" s="21" t="str">
        <f t="shared" si="0"/>
        <v>rtdc.l.rtdc.4032:itc</v>
      </c>
      <c r="G35" s="8">
        <f t="shared" si="1"/>
        <v>42702.249756944446</v>
      </c>
    </row>
    <row r="36" spans="1:7" x14ac:dyDescent="0.25">
      <c r="A36" s="8">
        <v>42702.249965277777</v>
      </c>
      <c r="B36" s="21" t="s">
        <v>220</v>
      </c>
      <c r="C36" s="21" t="s">
        <v>453</v>
      </c>
      <c r="D36" s="21">
        <v>2620000</v>
      </c>
      <c r="E36" s="21" t="s">
        <v>437</v>
      </c>
      <c r="F36" s="21" t="str">
        <f t="shared" si="0"/>
        <v>rtdc.l.rtdc.4002:itc</v>
      </c>
      <c r="G36" s="8">
        <f t="shared" si="1"/>
        <v>42702.249965277777</v>
      </c>
    </row>
    <row r="37" spans="1:7" x14ac:dyDescent="0.25">
      <c r="A37" s="8">
        <v>42702.251701388886</v>
      </c>
      <c r="B37" s="21" t="s">
        <v>239</v>
      </c>
      <c r="C37" s="21" t="s">
        <v>455</v>
      </c>
      <c r="D37" s="21">
        <v>2030000</v>
      </c>
      <c r="E37" s="21" t="s">
        <v>318</v>
      </c>
      <c r="F37" s="21" t="str">
        <f t="shared" si="0"/>
        <v>rtdc.l.rtdc.4013:itc</v>
      </c>
      <c r="G37" s="8">
        <f t="shared" si="1"/>
        <v>42702.251701388886</v>
      </c>
    </row>
    <row r="38" spans="1:7" x14ac:dyDescent="0.25">
      <c r="A38" s="8">
        <v>42702.255370370367</v>
      </c>
      <c r="B38" s="21" t="s">
        <v>274</v>
      </c>
      <c r="C38" s="21" t="s">
        <v>398</v>
      </c>
      <c r="D38" s="21">
        <v>1990000</v>
      </c>
      <c r="E38" s="21" t="s">
        <v>255</v>
      </c>
      <c r="F38" s="21" t="str">
        <f t="shared" si="0"/>
        <v>rtdc.l.rtdc.4004:itc</v>
      </c>
      <c r="G38" s="8">
        <f t="shared" si="1"/>
        <v>42702.255370370367</v>
      </c>
    </row>
    <row r="39" spans="1:7" x14ac:dyDescent="0.25">
      <c r="A39" s="8">
        <v>42702.258067129631</v>
      </c>
      <c r="B39" s="21" t="s">
        <v>183</v>
      </c>
      <c r="C39" s="21" t="s">
        <v>456</v>
      </c>
      <c r="D39" s="21">
        <v>1090000</v>
      </c>
      <c r="E39" s="21" t="s">
        <v>440</v>
      </c>
      <c r="F39" s="21" t="str">
        <f t="shared" si="0"/>
        <v>rtdc.l.rtdc.4009:itc</v>
      </c>
      <c r="G39" s="8">
        <f t="shared" si="1"/>
        <v>42702.258067129631</v>
      </c>
    </row>
    <row r="40" spans="1:7" x14ac:dyDescent="0.25">
      <c r="A40" s="8">
        <v>42702.258622685185</v>
      </c>
      <c r="B40" s="26" t="s">
        <v>251</v>
      </c>
      <c r="C40" s="21" t="s">
        <v>457</v>
      </c>
      <c r="D40" s="21">
        <v>2630000</v>
      </c>
      <c r="E40" s="21" t="s">
        <v>267</v>
      </c>
      <c r="F40" s="21" t="str">
        <f t="shared" si="0"/>
        <v>rtdc.l.rtdc.4031:itc</v>
      </c>
      <c r="G40" s="8">
        <f t="shared" si="1"/>
        <v>42702.258622685185</v>
      </c>
    </row>
    <row r="41" spans="1:7" x14ac:dyDescent="0.25">
      <c r="A41" s="8">
        <v>42702.2659375</v>
      </c>
      <c r="B41" s="21" t="s">
        <v>226</v>
      </c>
      <c r="C41" s="21" t="s">
        <v>458</v>
      </c>
      <c r="D41" s="21">
        <v>2090000</v>
      </c>
      <c r="E41" s="21" t="s">
        <v>449</v>
      </c>
      <c r="F41" s="21" t="str">
        <f t="shared" si="0"/>
        <v>rtdc.l.rtdc.4037:itc</v>
      </c>
      <c r="G41" s="8">
        <f t="shared" si="1"/>
        <v>42702.2659375</v>
      </c>
    </row>
    <row r="42" spans="1:7" x14ac:dyDescent="0.25">
      <c r="A42" s="8">
        <v>42702.266273148147</v>
      </c>
      <c r="B42" s="21" t="s">
        <v>341</v>
      </c>
      <c r="C42" s="21" t="s">
        <v>459</v>
      </c>
      <c r="D42" s="21">
        <v>2250000</v>
      </c>
      <c r="E42" s="21" t="s">
        <v>442</v>
      </c>
      <c r="F42" s="21" t="str">
        <f t="shared" si="0"/>
        <v>rtdc.l.rtdc.4016:itc</v>
      </c>
      <c r="G42" s="8">
        <f t="shared" si="1"/>
        <v>42702.266273148147</v>
      </c>
    </row>
    <row r="43" spans="1:7" x14ac:dyDescent="0.25">
      <c r="A43" s="8">
        <v>42702.274548611109</v>
      </c>
      <c r="B43" s="21" t="s">
        <v>215</v>
      </c>
      <c r="C43" s="21" t="s">
        <v>460</v>
      </c>
      <c r="D43" s="21">
        <v>2610000</v>
      </c>
      <c r="E43" s="21" t="s">
        <v>222</v>
      </c>
      <c r="F43" s="21" t="str">
        <f t="shared" si="0"/>
        <v>rtdc.l.rtdc.4039:itc</v>
      </c>
      <c r="G43" s="8">
        <f t="shared" si="1"/>
        <v>42702.274548611109</v>
      </c>
    </row>
    <row r="44" spans="1:7" x14ac:dyDescent="0.25">
      <c r="A44" s="8">
        <v>42702.275879629633</v>
      </c>
      <c r="B44" s="21" t="s">
        <v>288</v>
      </c>
      <c r="C44" s="21" t="s">
        <v>461</v>
      </c>
      <c r="D44" s="21">
        <v>2630000</v>
      </c>
      <c r="E44" s="21" t="s">
        <v>267</v>
      </c>
      <c r="F44" s="21" t="str">
        <f t="shared" si="0"/>
        <v>rtdc.l.rtdc.4032:itc</v>
      </c>
      <c r="G44" s="8">
        <f t="shared" si="1"/>
        <v>42702.275879629633</v>
      </c>
    </row>
    <row r="45" spans="1:7" x14ac:dyDescent="0.25">
      <c r="A45" s="8">
        <v>42702.279224537036</v>
      </c>
      <c r="B45" s="21" t="s">
        <v>342</v>
      </c>
      <c r="C45" s="21" t="s">
        <v>462</v>
      </c>
      <c r="D45" s="21">
        <v>2620000</v>
      </c>
      <c r="E45" s="21" t="s">
        <v>437</v>
      </c>
      <c r="F45" s="21" t="str">
        <f t="shared" si="0"/>
        <v>rtdc.l.rtdc.4001:itc</v>
      </c>
      <c r="G45" s="8">
        <f t="shared" si="1"/>
        <v>42702.279224537036</v>
      </c>
    </row>
    <row r="46" spans="1:7" x14ac:dyDescent="0.25">
      <c r="A46" s="8">
        <v>42702.279548611114</v>
      </c>
      <c r="B46" s="21" t="s">
        <v>322</v>
      </c>
      <c r="C46" s="21" t="s">
        <v>463</v>
      </c>
      <c r="D46" s="21">
        <v>1110000</v>
      </c>
      <c r="E46" s="21" t="s">
        <v>344</v>
      </c>
      <c r="F46" s="21" t="str">
        <f t="shared" si="0"/>
        <v>rtdc.l.rtdc.4025:itc</v>
      </c>
      <c r="G46" s="8">
        <f t="shared" si="1"/>
        <v>42702.279548611114</v>
      </c>
    </row>
    <row r="47" spans="1:7" x14ac:dyDescent="0.25">
      <c r="A47" s="8">
        <v>42702.280219907407</v>
      </c>
      <c r="B47" s="21" t="s">
        <v>342</v>
      </c>
      <c r="C47" s="21" t="s">
        <v>462</v>
      </c>
      <c r="D47" s="21">
        <v>2620000</v>
      </c>
      <c r="E47" s="21" t="s">
        <v>437</v>
      </c>
      <c r="F47" s="21" t="str">
        <f t="shared" si="0"/>
        <v>rtdc.l.rtdc.4001:itc</v>
      </c>
      <c r="G47" s="8">
        <f t="shared" si="1"/>
        <v>42702.280219907407</v>
      </c>
    </row>
    <row r="48" spans="1:7" x14ac:dyDescent="0.25">
      <c r="A48" s="8">
        <v>42702.28266203704</v>
      </c>
      <c r="B48" s="21" t="s">
        <v>273</v>
      </c>
      <c r="C48" s="21" t="s">
        <v>399</v>
      </c>
      <c r="D48" s="21">
        <v>1990000</v>
      </c>
      <c r="E48" s="21" t="s">
        <v>255</v>
      </c>
      <c r="F48" s="21" t="str">
        <f t="shared" si="0"/>
        <v>rtdc.l.rtdc.4003:itc</v>
      </c>
      <c r="G48" s="8">
        <f t="shared" si="1"/>
        <v>42702.28266203704</v>
      </c>
    </row>
    <row r="49" spans="1:7" x14ac:dyDescent="0.25">
      <c r="A49" s="8">
        <v>42702.287592592591</v>
      </c>
      <c r="B49" s="21" t="s">
        <v>238</v>
      </c>
      <c r="C49" s="21" t="s">
        <v>464</v>
      </c>
      <c r="D49" s="21">
        <v>2030000</v>
      </c>
      <c r="E49" s="21" t="s">
        <v>318</v>
      </c>
      <c r="F49" s="21" t="str">
        <f t="shared" si="0"/>
        <v>rtdc.l.rtdc.4014:itc</v>
      </c>
      <c r="G49" s="8">
        <f t="shared" si="1"/>
        <v>42702.287592592591</v>
      </c>
    </row>
    <row r="50" spans="1:7" x14ac:dyDescent="0.25">
      <c r="A50" s="8">
        <v>42702.294942129629</v>
      </c>
      <c r="B50" s="21" t="s">
        <v>277</v>
      </c>
      <c r="C50" s="21" t="s">
        <v>400</v>
      </c>
      <c r="D50" s="21">
        <v>1090000</v>
      </c>
      <c r="E50" s="21" t="s">
        <v>440</v>
      </c>
      <c r="F50" s="21" t="str">
        <f t="shared" si="0"/>
        <v>rtdc.l.rtdc.4010:itc</v>
      </c>
      <c r="G50" s="8">
        <f t="shared" si="1"/>
        <v>42702.294942129629</v>
      </c>
    </row>
    <row r="51" spans="1:7" x14ac:dyDescent="0.25">
      <c r="A51" s="8">
        <v>42702.296875</v>
      </c>
      <c r="B51" s="21" t="s">
        <v>274</v>
      </c>
      <c r="C51" s="21" t="s">
        <v>465</v>
      </c>
      <c r="D51" s="21">
        <v>1990000</v>
      </c>
      <c r="E51" s="21" t="s">
        <v>255</v>
      </c>
      <c r="F51" s="21" t="str">
        <f t="shared" si="0"/>
        <v>rtdc.l.rtdc.4004:itc</v>
      </c>
      <c r="G51" s="8">
        <f t="shared" si="1"/>
        <v>42702.296875</v>
      </c>
    </row>
    <row r="52" spans="1:7" x14ac:dyDescent="0.25">
      <c r="A52" s="8">
        <v>42702.29791666667</v>
      </c>
      <c r="B52" s="21" t="s">
        <v>225</v>
      </c>
      <c r="C52" s="21" t="s">
        <v>466</v>
      </c>
      <c r="D52" s="21">
        <v>2090000</v>
      </c>
      <c r="E52" s="21" t="s">
        <v>449</v>
      </c>
      <c r="F52" s="21" t="str">
        <f t="shared" si="0"/>
        <v>rtdc.l.rtdc.4038:itc</v>
      </c>
      <c r="G52" s="8">
        <f t="shared" si="1"/>
        <v>42702.29791666667</v>
      </c>
    </row>
    <row r="53" spans="1:7" x14ac:dyDescent="0.25">
      <c r="A53" s="8">
        <v>42702.300046296295</v>
      </c>
      <c r="B53" s="21" t="s">
        <v>343</v>
      </c>
      <c r="C53" s="21" t="s">
        <v>467</v>
      </c>
      <c r="D53" s="21">
        <v>2250000</v>
      </c>
      <c r="E53" s="21" t="s">
        <v>442</v>
      </c>
      <c r="F53" s="21" t="str">
        <f t="shared" si="0"/>
        <v>rtdc.l.rtdc.4015:itc</v>
      </c>
      <c r="G53" s="8">
        <f t="shared" si="1"/>
        <v>42702.300046296295</v>
      </c>
    </row>
    <row r="54" spans="1:7" x14ac:dyDescent="0.25">
      <c r="A54" s="8">
        <v>42702.306168981479</v>
      </c>
      <c r="B54" s="21" t="s">
        <v>251</v>
      </c>
      <c r="C54" s="21" t="s">
        <v>468</v>
      </c>
      <c r="D54" s="21">
        <v>2630000</v>
      </c>
      <c r="E54" s="21" t="s">
        <v>267</v>
      </c>
      <c r="F54" s="21" t="str">
        <f t="shared" si="0"/>
        <v>rtdc.l.rtdc.4031:itc</v>
      </c>
      <c r="G54" s="8">
        <f t="shared" si="1"/>
        <v>42702.306168981479</v>
      </c>
    </row>
    <row r="55" spans="1:7" x14ac:dyDescent="0.25">
      <c r="A55" s="8">
        <v>42702.309108796297</v>
      </c>
      <c r="B55" s="21" t="s">
        <v>213</v>
      </c>
      <c r="C55" s="21" t="s">
        <v>469</v>
      </c>
      <c r="D55" s="21">
        <v>2610000</v>
      </c>
      <c r="E55" s="21" t="s">
        <v>222</v>
      </c>
      <c r="F55" s="21" t="str">
        <f t="shared" si="0"/>
        <v>rtdc.l.rtdc.4040:itc</v>
      </c>
      <c r="G55" s="8">
        <f t="shared" si="1"/>
        <v>42702.309108796297</v>
      </c>
    </row>
    <row r="56" spans="1:7" x14ac:dyDescent="0.25">
      <c r="A56" s="8">
        <v>42702.317407407405</v>
      </c>
      <c r="B56" s="21" t="s">
        <v>288</v>
      </c>
      <c r="C56" s="21" t="s">
        <v>470</v>
      </c>
      <c r="D56" s="21">
        <v>2630000</v>
      </c>
      <c r="E56" s="21" t="s">
        <v>267</v>
      </c>
      <c r="F56" s="21" t="str">
        <f t="shared" si="0"/>
        <v>rtdc.l.rtdc.4032:itc</v>
      </c>
      <c r="G56" s="8">
        <f t="shared" si="1"/>
        <v>42702.317407407405</v>
      </c>
    </row>
    <row r="57" spans="1:7" x14ac:dyDescent="0.25">
      <c r="A57" s="8">
        <v>42702.317893518521</v>
      </c>
      <c r="B57" s="21" t="s">
        <v>220</v>
      </c>
      <c r="C57" s="21" t="s">
        <v>471</v>
      </c>
      <c r="D57" s="21">
        <v>2620000</v>
      </c>
      <c r="E57" s="21" t="s">
        <v>437</v>
      </c>
      <c r="F57" s="21" t="str">
        <f t="shared" si="0"/>
        <v>rtdc.l.rtdc.4002:itc</v>
      </c>
      <c r="G57" s="8">
        <f t="shared" si="1"/>
        <v>42702.317893518521</v>
      </c>
    </row>
    <row r="58" spans="1:7" x14ac:dyDescent="0.25">
      <c r="A58" s="8">
        <v>42702.318761574075</v>
      </c>
      <c r="B58" s="21" t="s">
        <v>317</v>
      </c>
      <c r="C58" s="21" t="s">
        <v>472</v>
      </c>
      <c r="D58" s="21">
        <v>1110000</v>
      </c>
      <c r="E58" s="21" t="s">
        <v>344</v>
      </c>
      <c r="F58" s="21" t="str">
        <f t="shared" si="0"/>
        <v>rtdc.l.rtdc.4026:itc</v>
      </c>
      <c r="G58" s="8">
        <f t="shared" si="1"/>
        <v>42702.318761574075</v>
      </c>
    </row>
    <row r="59" spans="1:7" x14ac:dyDescent="0.25">
      <c r="A59" s="8">
        <v>42702.324490740742</v>
      </c>
      <c r="B59" s="21" t="s">
        <v>239</v>
      </c>
      <c r="C59" s="21" t="s">
        <v>473</v>
      </c>
      <c r="D59" s="21">
        <v>2030000</v>
      </c>
      <c r="E59" s="21" t="s">
        <v>318</v>
      </c>
      <c r="F59" s="21" t="str">
        <f t="shared" si="0"/>
        <v>rtdc.l.rtdc.4013:itc</v>
      </c>
      <c r="G59" s="8">
        <f t="shared" si="1"/>
        <v>42702.324490740742</v>
      </c>
    </row>
    <row r="60" spans="1:7" x14ac:dyDescent="0.25">
      <c r="A60" s="8">
        <v>42702.324814814812</v>
      </c>
      <c r="B60" s="21" t="s">
        <v>273</v>
      </c>
      <c r="C60" s="21" t="s">
        <v>401</v>
      </c>
      <c r="D60" s="21">
        <v>1990000</v>
      </c>
      <c r="E60" s="21" t="s">
        <v>255</v>
      </c>
      <c r="F60" s="21" t="str">
        <f t="shared" si="0"/>
        <v>rtdc.l.rtdc.4003:itc</v>
      </c>
      <c r="G60" s="8">
        <f t="shared" si="1"/>
        <v>42702.324814814812</v>
      </c>
    </row>
    <row r="61" spans="1:7" x14ac:dyDescent="0.25">
      <c r="A61" s="8">
        <v>42702.325844907406</v>
      </c>
      <c r="B61" s="21" t="s">
        <v>264</v>
      </c>
      <c r="C61" s="21" t="s">
        <v>474</v>
      </c>
      <c r="D61" s="21">
        <v>1200000</v>
      </c>
      <c r="E61" s="21" t="s">
        <v>475</v>
      </c>
      <c r="F61" s="21" t="str">
        <f t="shared" si="0"/>
        <v>rtdc.l.rtdc.4042:itc</v>
      </c>
      <c r="G61" s="8">
        <f t="shared" si="1"/>
        <v>42702.325844907406</v>
      </c>
    </row>
    <row r="62" spans="1:7" x14ac:dyDescent="0.25">
      <c r="A62" s="8">
        <v>42702.337129629632</v>
      </c>
      <c r="B62" s="21" t="s">
        <v>226</v>
      </c>
      <c r="C62" s="21" t="s">
        <v>476</v>
      </c>
      <c r="D62" s="21">
        <v>2090000</v>
      </c>
      <c r="E62" s="21" t="s">
        <v>449</v>
      </c>
      <c r="F62" s="21" t="str">
        <f t="shared" si="0"/>
        <v>rtdc.l.rtdc.4037:itc</v>
      </c>
      <c r="G62" s="8">
        <f t="shared" si="1"/>
        <v>42702.337129629632</v>
      </c>
    </row>
    <row r="63" spans="1:7" x14ac:dyDescent="0.25">
      <c r="A63" s="8">
        <v>42702.33902777778</v>
      </c>
      <c r="B63" s="21" t="s">
        <v>274</v>
      </c>
      <c r="C63" s="21" t="s">
        <v>477</v>
      </c>
      <c r="D63" s="21">
        <v>1990000</v>
      </c>
      <c r="E63" s="21" t="s">
        <v>255</v>
      </c>
      <c r="F63" s="21" t="str">
        <f t="shared" si="0"/>
        <v>rtdc.l.rtdc.4004:itc</v>
      </c>
      <c r="G63" s="8">
        <f t="shared" si="1"/>
        <v>42702.33902777778</v>
      </c>
    </row>
    <row r="64" spans="1:7" x14ac:dyDescent="0.25">
      <c r="A64" s="27">
        <v>42702.343784722223</v>
      </c>
      <c r="B64" s="21" t="s">
        <v>341</v>
      </c>
      <c r="C64" s="21" t="s">
        <v>478</v>
      </c>
      <c r="D64" s="21">
        <v>2250000</v>
      </c>
      <c r="E64" s="21" t="s">
        <v>442</v>
      </c>
      <c r="F64" s="21" t="str">
        <f t="shared" si="0"/>
        <v>rtdc.l.rtdc.4016:itc</v>
      </c>
      <c r="G64" s="8">
        <f t="shared" si="1"/>
        <v>42702.343784722223</v>
      </c>
    </row>
    <row r="65" spans="1:7" x14ac:dyDescent="0.25">
      <c r="A65" s="8">
        <v>42702.346597222226</v>
      </c>
      <c r="B65" s="21" t="s">
        <v>251</v>
      </c>
      <c r="C65" s="21" t="s">
        <v>403</v>
      </c>
      <c r="D65" s="21">
        <v>2630000</v>
      </c>
      <c r="E65" s="21" t="s">
        <v>267</v>
      </c>
      <c r="F65" s="21" t="str">
        <f t="shared" si="0"/>
        <v>rtdc.l.rtdc.4031:itc</v>
      </c>
      <c r="G65" s="8">
        <f t="shared" si="1"/>
        <v>42702.346597222226</v>
      </c>
    </row>
    <row r="66" spans="1:7" x14ac:dyDescent="0.25">
      <c r="A66" s="8">
        <v>42702.348703703705</v>
      </c>
      <c r="B66" s="21" t="s">
        <v>215</v>
      </c>
      <c r="C66" s="21" t="s">
        <v>479</v>
      </c>
      <c r="D66" s="21">
        <v>2610000</v>
      </c>
      <c r="E66" s="21" t="s">
        <v>222</v>
      </c>
      <c r="F66" s="21" t="str">
        <f t="shared" ref="F66:F129" si="2">B66</f>
        <v>rtdc.l.rtdc.4039:itc</v>
      </c>
      <c r="G66" s="8">
        <f t="shared" ref="G66:G129" si="3">A66</f>
        <v>42702.348703703705</v>
      </c>
    </row>
    <row r="67" spans="1:7" x14ac:dyDescent="0.25">
      <c r="A67" s="8">
        <v>42702.350914351853</v>
      </c>
      <c r="B67" s="21" t="s">
        <v>322</v>
      </c>
      <c r="C67" s="21" t="s">
        <v>402</v>
      </c>
      <c r="D67" s="21">
        <v>1110000</v>
      </c>
      <c r="E67" s="21" t="s">
        <v>344</v>
      </c>
      <c r="F67" s="21" t="str">
        <f t="shared" si="2"/>
        <v>rtdc.l.rtdc.4025:itc</v>
      </c>
      <c r="G67" s="8">
        <f t="shared" si="3"/>
        <v>42702.350914351853</v>
      </c>
    </row>
    <row r="68" spans="1:7" x14ac:dyDescent="0.25">
      <c r="A68" s="8">
        <v>42702.353460648148</v>
      </c>
      <c r="B68" s="21" t="s">
        <v>273</v>
      </c>
      <c r="C68" s="21" t="s">
        <v>480</v>
      </c>
      <c r="D68" s="21">
        <v>1990000</v>
      </c>
      <c r="E68" s="21" t="s">
        <v>255</v>
      </c>
      <c r="F68" s="21" t="str">
        <f t="shared" si="2"/>
        <v>rtdc.l.rtdc.4003:itc</v>
      </c>
      <c r="G68" s="8">
        <f t="shared" si="3"/>
        <v>42702.353460648148</v>
      </c>
    </row>
    <row r="69" spans="1:7" x14ac:dyDescent="0.25">
      <c r="A69" s="8">
        <v>42702.356851851851</v>
      </c>
      <c r="B69" s="21" t="s">
        <v>342</v>
      </c>
      <c r="C69" s="21" t="s">
        <v>481</v>
      </c>
      <c r="D69" s="21">
        <v>2620000</v>
      </c>
      <c r="E69" s="21" t="s">
        <v>437</v>
      </c>
      <c r="F69" s="21" t="str">
        <f t="shared" si="2"/>
        <v>rtdc.l.rtdc.4001:itc</v>
      </c>
      <c r="G69" s="8">
        <f t="shared" si="3"/>
        <v>42702.356851851851</v>
      </c>
    </row>
    <row r="70" spans="1:7" x14ac:dyDescent="0.25">
      <c r="A70" s="8">
        <v>42702.35900462963</v>
      </c>
      <c r="B70" s="21" t="s">
        <v>288</v>
      </c>
      <c r="C70" s="21" t="s">
        <v>482</v>
      </c>
      <c r="D70" s="21">
        <v>2630000</v>
      </c>
      <c r="E70" s="21" t="s">
        <v>267</v>
      </c>
      <c r="F70" s="21" t="str">
        <f t="shared" si="2"/>
        <v>rtdc.l.rtdc.4032:itc</v>
      </c>
      <c r="G70" s="8">
        <f t="shared" si="3"/>
        <v>42702.35900462963</v>
      </c>
    </row>
    <row r="71" spans="1:7" x14ac:dyDescent="0.25">
      <c r="A71" s="8">
        <v>42702.364074074074</v>
      </c>
      <c r="B71" s="21" t="s">
        <v>238</v>
      </c>
      <c r="C71" s="21" t="s">
        <v>483</v>
      </c>
      <c r="D71" s="21">
        <v>2430000</v>
      </c>
      <c r="E71" s="21" t="s">
        <v>484</v>
      </c>
      <c r="F71" s="21" t="str">
        <f t="shared" si="2"/>
        <v>rtdc.l.rtdc.4014:itc</v>
      </c>
      <c r="G71" s="8">
        <f t="shared" si="3"/>
        <v>42702.364074074074</v>
      </c>
    </row>
    <row r="72" spans="1:7" x14ac:dyDescent="0.25">
      <c r="A72" s="8">
        <v>42702.366365740738</v>
      </c>
      <c r="B72" s="21" t="s">
        <v>265</v>
      </c>
      <c r="C72" s="21" t="s">
        <v>485</v>
      </c>
      <c r="D72" s="21">
        <v>1200000</v>
      </c>
      <c r="E72" s="21" t="s">
        <v>475</v>
      </c>
      <c r="F72" s="21" t="str">
        <f t="shared" si="2"/>
        <v>rtdc.l.rtdc.4041:itc</v>
      </c>
      <c r="G72" s="8">
        <f t="shared" si="3"/>
        <v>42702.366365740738</v>
      </c>
    </row>
    <row r="73" spans="1:7" x14ac:dyDescent="0.25">
      <c r="A73" s="8">
        <v>42702.370717592596</v>
      </c>
      <c r="B73" s="21" t="s">
        <v>225</v>
      </c>
      <c r="C73" s="21" t="s">
        <v>404</v>
      </c>
      <c r="D73" s="21">
        <v>2090000</v>
      </c>
      <c r="E73" s="21" t="s">
        <v>449</v>
      </c>
      <c r="F73" s="21" t="str">
        <f t="shared" si="2"/>
        <v>rtdc.l.rtdc.4038:itc</v>
      </c>
      <c r="G73" s="8">
        <f t="shared" si="3"/>
        <v>42702.370717592596</v>
      </c>
    </row>
    <row r="74" spans="1:7" x14ac:dyDescent="0.25">
      <c r="A74" s="8">
        <v>42702.378310185188</v>
      </c>
      <c r="B74" s="21" t="s">
        <v>343</v>
      </c>
      <c r="C74" s="21" t="s">
        <v>486</v>
      </c>
      <c r="D74" s="21">
        <v>2250000</v>
      </c>
      <c r="E74" s="21" t="s">
        <v>442</v>
      </c>
      <c r="F74" s="21" t="str">
        <f t="shared" si="2"/>
        <v>rtdc.l.rtdc.4015:itc</v>
      </c>
      <c r="G74" s="8">
        <f t="shared" si="3"/>
        <v>42702.378310185188</v>
      </c>
    </row>
    <row r="75" spans="1:7" x14ac:dyDescent="0.25">
      <c r="A75" s="8">
        <v>42702.380578703705</v>
      </c>
      <c r="B75" s="21" t="s">
        <v>213</v>
      </c>
      <c r="C75" s="21" t="s">
        <v>487</v>
      </c>
      <c r="D75" s="21">
        <v>2610000</v>
      </c>
      <c r="E75" s="21" t="s">
        <v>222</v>
      </c>
      <c r="F75" s="21" t="str">
        <f t="shared" si="2"/>
        <v>rtdc.l.rtdc.4040:itc</v>
      </c>
      <c r="G75" s="8">
        <f t="shared" si="3"/>
        <v>42702.380578703705</v>
      </c>
    </row>
    <row r="76" spans="1:7" x14ac:dyDescent="0.25">
      <c r="A76" s="8">
        <v>42702.388449074075</v>
      </c>
      <c r="B76" s="21" t="s">
        <v>251</v>
      </c>
      <c r="C76" s="21" t="s">
        <v>488</v>
      </c>
      <c r="D76" s="21">
        <v>2630000</v>
      </c>
      <c r="E76" s="21" t="s">
        <v>267</v>
      </c>
      <c r="F76" s="21" t="str">
        <f t="shared" si="2"/>
        <v>rtdc.l.rtdc.4031:itc</v>
      </c>
      <c r="G76" s="8">
        <f t="shared" si="3"/>
        <v>42702.388449074075</v>
      </c>
    </row>
    <row r="77" spans="1:7" x14ac:dyDescent="0.25">
      <c r="A77" s="8">
        <v>42702.3908912037</v>
      </c>
      <c r="B77" s="21" t="s">
        <v>220</v>
      </c>
      <c r="C77" s="21" t="s">
        <v>489</v>
      </c>
      <c r="D77" s="21">
        <v>2620000</v>
      </c>
      <c r="E77" s="21" t="s">
        <v>437</v>
      </c>
      <c r="F77" s="21" t="str">
        <f t="shared" si="2"/>
        <v>rtdc.l.rtdc.4002:itc</v>
      </c>
      <c r="G77" s="8">
        <f t="shared" si="3"/>
        <v>42702.3908912037</v>
      </c>
    </row>
    <row r="78" spans="1:7" x14ac:dyDescent="0.25">
      <c r="A78" s="8">
        <v>42702.39166666667</v>
      </c>
      <c r="B78" s="21" t="s">
        <v>317</v>
      </c>
      <c r="C78" s="21" t="s">
        <v>490</v>
      </c>
      <c r="D78" s="21">
        <v>1110000</v>
      </c>
      <c r="E78" s="21" t="s">
        <v>344</v>
      </c>
      <c r="F78" s="21" t="str">
        <f t="shared" si="2"/>
        <v>rtdc.l.rtdc.4026:itc</v>
      </c>
      <c r="G78" s="8">
        <f t="shared" si="3"/>
        <v>42702.39166666667</v>
      </c>
    </row>
    <row r="79" spans="1:7" x14ac:dyDescent="0.25">
      <c r="A79" s="8">
        <v>42702.394571759258</v>
      </c>
      <c r="B79" s="21" t="s">
        <v>239</v>
      </c>
      <c r="C79" s="21" t="s">
        <v>405</v>
      </c>
      <c r="D79" s="21">
        <v>2430000</v>
      </c>
      <c r="E79" s="21" t="s">
        <v>484</v>
      </c>
      <c r="F79" s="21" t="str">
        <f t="shared" si="2"/>
        <v>rtdc.l.rtdc.4013:itc</v>
      </c>
      <c r="G79" s="8">
        <f t="shared" si="3"/>
        <v>42702.394571759258</v>
      </c>
    </row>
    <row r="80" spans="1:7" x14ac:dyDescent="0.25">
      <c r="A80" s="8">
        <v>42702.399953703702</v>
      </c>
      <c r="B80" s="21" t="s">
        <v>288</v>
      </c>
      <c r="C80" s="21" t="s">
        <v>491</v>
      </c>
      <c r="D80" s="21">
        <v>2630000</v>
      </c>
      <c r="E80" s="21" t="s">
        <v>267</v>
      </c>
      <c r="F80" s="21" t="str">
        <f t="shared" si="2"/>
        <v>rtdc.l.rtdc.4032:itc</v>
      </c>
      <c r="G80" s="8">
        <f t="shared" si="3"/>
        <v>42702.399953703702</v>
      </c>
    </row>
    <row r="81" spans="1:7" x14ac:dyDescent="0.25">
      <c r="A81" s="8">
        <v>42702.405995370369</v>
      </c>
      <c r="B81" s="21" t="s">
        <v>264</v>
      </c>
      <c r="C81" s="21" t="s">
        <v>406</v>
      </c>
      <c r="D81" s="21">
        <v>1090000</v>
      </c>
      <c r="E81" s="21" t="s">
        <v>440</v>
      </c>
      <c r="F81" s="21" t="str">
        <f t="shared" si="2"/>
        <v>rtdc.l.rtdc.4042:itc</v>
      </c>
      <c r="G81" s="8">
        <f t="shared" si="3"/>
        <v>42702.405995370369</v>
      </c>
    </row>
    <row r="82" spans="1:7" x14ac:dyDescent="0.25">
      <c r="A82" s="8">
        <v>42702.410243055558</v>
      </c>
      <c r="B82" s="21" t="s">
        <v>226</v>
      </c>
      <c r="C82" s="21" t="s">
        <v>492</v>
      </c>
      <c r="D82" s="21">
        <v>2090000</v>
      </c>
      <c r="E82" s="21" t="s">
        <v>449</v>
      </c>
      <c r="F82" s="21" t="str">
        <f t="shared" si="2"/>
        <v>rtdc.l.rtdc.4037:itc</v>
      </c>
      <c r="G82" s="8">
        <f t="shared" si="3"/>
        <v>42702.410243055558</v>
      </c>
    </row>
    <row r="83" spans="1:7" x14ac:dyDescent="0.25">
      <c r="A83" s="8">
        <v>42702.412708333337</v>
      </c>
      <c r="B83" s="21" t="s">
        <v>341</v>
      </c>
      <c r="C83" s="21" t="s">
        <v>493</v>
      </c>
      <c r="D83" s="21">
        <v>2250000</v>
      </c>
      <c r="E83" s="21" t="s">
        <v>442</v>
      </c>
      <c r="F83" s="21" t="str">
        <f t="shared" si="2"/>
        <v>rtdc.l.rtdc.4016:itc</v>
      </c>
      <c r="G83" s="8">
        <f t="shared" si="3"/>
        <v>42702.412708333337</v>
      </c>
    </row>
    <row r="84" spans="1:7" x14ac:dyDescent="0.25">
      <c r="A84" s="8">
        <v>42702.417037037034</v>
      </c>
      <c r="B84" s="21" t="s">
        <v>251</v>
      </c>
      <c r="C84" s="21" t="s">
        <v>494</v>
      </c>
      <c r="D84" s="21">
        <v>2630000</v>
      </c>
      <c r="E84" s="21" t="s">
        <v>267</v>
      </c>
      <c r="F84" s="21" t="str">
        <f t="shared" si="2"/>
        <v>rtdc.l.rtdc.4031:itc</v>
      </c>
      <c r="G84" s="8">
        <f t="shared" si="3"/>
        <v>42702.417037037034</v>
      </c>
    </row>
    <row r="85" spans="1:7" x14ac:dyDescent="0.25">
      <c r="A85" s="8">
        <v>42702.41715277778</v>
      </c>
      <c r="B85" s="21" t="s">
        <v>215</v>
      </c>
      <c r="C85" s="21" t="s">
        <v>495</v>
      </c>
      <c r="D85" s="21">
        <v>2610000</v>
      </c>
      <c r="E85" s="21" t="s">
        <v>222</v>
      </c>
      <c r="F85" s="21" t="str">
        <f t="shared" si="2"/>
        <v>rtdc.l.rtdc.4039:itc</v>
      </c>
      <c r="G85" s="8">
        <f t="shared" si="3"/>
        <v>42702.41715277778</v>
      </c>
    </row>
    <row r="86" spans="1:7" x14ac:dyDescent="0.25">
      <c r="A86" s="8">
        <v>42702.424803240741</v>
      </c>
      <c r="B86" s="21" t="s">
        <v>322</v>
      </c>
      <c r="C86" s="21" t="s">
        <v>496</v>
      </c>
      <c r="D86" s="21">
        <v>1110000</v>
      </c>
      <c r="E86" s="21" t="s">
        <v>344</v>
      </c>
      <c r="F86" s="21" t="str">
        <f t="shared" si="2"/>
        <v>rtdc.l.rtdc.4025:itc</v>
      </c>
      <c r="G86" s="8">
        <f t="shared" si="3"/>
        <v>42702.424803240741</v>
      </c>
    </row>
    <row r="87" spans="1:7" x14ac:dyDescent="0.25">
      <c r="A87" s="8">
        <v>42702.428078703706</v>
      </c>
      <c r="B87" s="21" t="s">
        <v>342</v>
      </c>
      <c r="C87" s="21" t="s">
        <v>497</v>
      </c>
      <c r="D87" s="21">
        <v>2620000</v>
      </c>
      <c r="E87" s="21" t="s">
        <v>437</v>
      </c>
      <c r="F87" s="21" t="str">
        <f t="shared" si="2"/>
        <v>rtdc.l.rtdc.4001:itc</v>
      </c>
      <c r="G87" s="8">
        <f t="shared" si="3"/>
        <v>42702.428078703706</v>
      </c>
    </row>
    <row r="88" spans="1:7" x14ac:dyDescent="0.25">
      <c r="A88" s="8">
        <v>42702.435520833336</v>
      </c>
      <c r="B88" s="21" t="s">
        <v>408</v>
      </c>
      <c r="C88" s="21" t="s">
        <v>498</v>
      </c>
      <c r="D88" s="21">
        <v>2360000</v>
      </c>
      <c r="E88" s="21" t="s">
        <v>499</v>
      </c>
      <c r="F88" s="21" t="str">
        <f t="shared" si="2"/>
        <v>rtdc.l.rtdc.4008:itc</v>
      </c>
      <c r="G88" s="8">
        <f t="shared" si="3"/>
        <v>42702.435520833336</v>
      </c>
    </row>
    <row r="89" spans="1:7" x14ac:dyDescent="0.25">
      <c r="A89" s="8">
        <v>42702.436168981483</v>
      </c>
      <c r="B89" s="21" t="s">
        <v>238</v>
      </c>
      <c r="C89" s="21" t="s">
        <v>407</v>
      </c>
      <c r="D89" s="21">
        <v>1990000</v>
      </c>
      <c r="E89" s="21" t="s">
        <v>255</v>
      </c>
      <c r="F89" s="21" t="str">
        <f t="shared" si="2"/>
        <v>rtdc.l.rtdc.4014:itc</v>
      </c>
      <c r="G89" s="8">
        <f t="shared" si="3"/>
        <v>42702.436168981483</v>
      </c>
    </row>
    <row r="90" spans="1:7" x14ac:dyDescent="0.25">
      <c r="A90" s="8">
        <v>42702.438680555555</v>
      </c>
      <c r="B90" s="21" t="s">
        <v>265</v>
      </c>
      <c r="C90" s="21" t="s">
        <v>500</v>
      </c>
      <c r="D90" s="21">
        <v>1090000</v>
      </c>
      <c r="E90" s="21" t="s">
        <v>440</v>
      </c>
      <c r="F90" s="21" t="str">
        <f t="shared" si="2"/>
        <v>rtdc.l.rtdc.4041:itc</v>
      </c>
      <c r="G90" s="8">
        <f t="shared" si="3"/>
        <v>42702.438680555555</v>
      </c>
    </row>
    <row r="91" spans="1:7" x14ac:dyDescent="0.25">
      <c r="A91" s="8">
        <v>42702.442662037036</v>
      </c>
      <c r="B91" s="21" t="s">
        <v>288</v>
      </c>
      <c r="C91" s="21" t="s">
        <v>501</v>
      </c>
      <c r="D91" s="21">
        <v>2630000</v>
      </c>
      <c r="E91" s="21" t="s">
        <v>267</v>
      </c>
      <c r="F91" s="21" t="str">
        <f t="shared" si="2"/>
        <v>rtdc.l.rtdc.4032:itc</v>
      </c>
      <c r="G91" s="8">
        <f t="shared" si="3"/>
        <v>42702.442662037036</v>
      </c>
    </row>
    <row r="92" spans="1:7" x14ac:dyDescent="0.25">
      <c r="A92" s="8">
        <v>42702.445057870369</v>
      </c>
      <c r="B92" s="21" t="s">
        <v>225</v>
      </c>
      <c r="C92" s="21" t="s">
        <v>502</v>
      </c>
      <c r="D92" s="21">
        <v>2090000</v>
      </c>
      <c r="E92" s="21" t="s">
        <v>449</v>
      </c>
      <c r="F92" s="21" t="str">
        <f t="shared" si="2"/>
        <v>rtdc.l.rtdc.4038:itc</v>
      </c>
      <c r="G92" s="8">
        <f t="shared" si="3"/>
        <v>42702.445057870369</v>
      </c>
    </row>
    <row r="93" spans="1:7" x14ac:dyDescent="0.25">
      <c r="A93" s="8">
        <v>42702.447523148148</v>
      </c>
      <c r="B93" s="21" t="s">
        <v>343</v>
      </c>
      <c r="C93" s="21" t="s">
        <v>503</v>
      </c>
      <c r="D93" s="21">
        <v>2250000</v>
      </c>
      <c r="E93" s="21" t="s">
        <v>442</v>
      </c>
      <c r="F93" s="21" t="str">
        <f t="shared" si="2"/>
        <v>rtdc.l.rtdc.4015:itc</v>
      </c>
      <c r="G93" s="8">
        <f t="shared" si="3"/>
        <v>42702.447523148148</v>
      </c>
    </row>
    <row r="94" spans="1:7" x14ac:dyDescent="0.25">
      <c r="A94" s="8">
        <v>42702.454675925925</v>
      </c>
      <c r="B94" s="21" t="s">
        <v>213</v>
      </c>
      <c r="C94" s="21" t="s">
        <v>504</v>
      </c>
      <c r="D94" s="21">
        <v>880000</v>
      </c>
      <c r="E94" s="21" t="s">
        <v>320</v>
      </c>
      <c r="F94" s="21" t="str">
        <f t="shared" si="2"/>
        <v>rtdc.l.rtdc.4040:itc</v>
      </c>
      <c r="G94" s="8">
        <f t="shared" si="3"/>
        <v>42702.454675925925</v>
      </c>
    </row>
    <row r="95" spans="1:7" x14ac:dyDescent="0.25">
      <c r="A95" s="8">
        <v>42702.458472222221</v>
      </c>
      <c r="B95" s="21" t="s">
        <v>251</v>
      </c>
      <c r="C95" s="21" t="s">
        <v>505</v>
      </c>
      <c r="D95" s="21">
        <v>2630000</v>
      </c>
      <c r="E95" s="21" t="s">
        <v>267</v>
      </c>
      <c r="F95" s="21" t="str">
        <f t="shared" si="2"/>
        <v>rtdc.l.rtdc.4031:itc</v>
      </c>
      <c r="G95" s="8">
        <f t="shared" si="3"/>
        <v>42702.458472222221</v>
      </c>
    </row>
    <row r="96" spans="1:7" x14ac:dyDescent="0.25">
      <c r="A96" s="8">
        <v>42702.463564814818</v>
      </c>
      <c r="B96" s="21" t="s">
        <v>317</v>
      </c>
      <c r="C96" s="21" t="s">
        <v>506</v>
      </c>
      <c r="D96" s="21">
        <v>1110000</v>
      </c>
      <c r="E96" s="21" t="s">
        <v>344</v>
      </c>
      <c r="F96" s="21" t="str">
        <f t="shared" si="2"/>
        <v>rtdc.l.rtdc.4026:itc</v>
      </c>
      <c r="G96" s="8">
        <f t="shared" si="3"/>
        <v>42702.463564814818</v>
      </c>
    </row>
    <row r="97" spans="1:7" x14ac:dyDescent="0.25">
      <c r="A97" s="8">
        <v>42702.465324074074</v>
      </c>
      <c r="B97" s="21" t="s">
        <v>220</v>
      </c>
      <c r="C97" s="21" t="s">
        <v>507</v>
      </c>
      <c r="D97" s="21">
        <v>1280000</v>
      </c>
      <c r="E97" s="21" t="s">
        <v>321</v>
      </c>
      <c r="F97" s="21" t="str">
        <f t="shared" si="2"/>
        <v>rtdc.l.rtdc.4002:itc</v>
      </c>
      <c r="G97" s="8">
        <f t="shared" si="3"/>
        <v>42702.465324074074</v>
      </c>
    </row>
    <row r="98" spans="1:7" x14ac:dyDescent="0.25">
      <c r="A98" s="8">
        <v>42702.468587962961</v>
      </c>
      <c r="B98" s="21" t="s">
        <v>410</v>
      </c>
      <c r="C98" s="21" t="s">
        <v>508</v>
      </c>
      <c r="D98" s="21">
        <v>1240000</v>
      </c>
      <c r="E98" s="21" t="s">
        <v>509</v>
      </c>
      <c r="F98" s="21" t="str">
        <f t="shared" si="2"/>
        <v>rtdc.l.rtdc.4007:itc</v>
      </c>
      <c r="G98" s="8">
        <f t="shared" si="3"/>
        <v>42702.468587962961</v>
      </c>
    </row>
    <row r="99" spans="1:7" x14ac:dyDescent="0.25">
      <c r="A99" s="8">
        <v>42702.471655092595</v>
      </c>
      <c r="B99" s="21" t="s">
        <v>239</v>
      </c>
      <c r="C99" s="21" t="s">
        <v>510</v>
      </c>
      <c r="D99" s="21">
        <v>1990000</v>
      </c>
      <c r="E99" s="21" t="s">
        <v>255</v>
      </c>
      <c r="F99" s="21" t="str">
        <f t="shared" si="2"/>
        <v>rtdc.l.rtdc.4013:itc</v>
      </c>
      <c r="G99" s="8">
        <f t="shared" si="3"/>
        <v>42702.471655092595</v>
      </c>
    </row>
    <row r="100" spans="1:7" x14ac:dyDescent="0.25">
      <c r="A100" s="8">
        <v>42702.47451388889</v>
      </c>
      <c r="B100" s="21" t="s">
        <v>264</v>
      </c>
      <c r="C100" s="21" t="s">
        <v>511</v>
      </c>
      <c r="D100" s="21">
        <v>940000</v>
      </c>
      <c r="E100" s="21" t="s">
        <v>512</v>
      </c>
      <c r="F100" s="21" t="str">
        <f t="shared" si="2"/>
        <v>rtdc.l.rtdc.4042:itc</v>
      </c>
      <c r="G100" s="8">
        <f t="shared" si="3"/>
        <v>42702.47451388889</v>
      </c>
    </row>
    <row r="101" spans="1:7" x14ac:dyDescent="0.25">
      <c r="A101" s="8">
        <v>42702.483055555553</v>
      </c>
      <c r="B101" s="21" t="s">
        <v>408</v>
      </c>
      <c r="C101" s="21" t="s">
        <v>412</v>
      </c>
      <c r="D101" s="21">
        <v>2600000</v>
      </c>
      <c r="E101" s="21" t="s">
        <v>266</v>
      </c>
      <c r="F101" s="21" t="str">
        <f t="shared" si="2"/>
        <v>rtdc.l.rtdc.4008:itc</v>
      </c>
      <c r="G101" s="8">
        <f t="shared" si="3"/>
        <v>42702.483055555553</v>
      </c>
    </row>
    <row r="102" spans="1:7" x14ac:dyDescent="0.25">
      <c r="A102" s="8">
        <v>42702.483368055553</v>
      </c>
      <c r="B102" s="21" t="s">
        <v>226</v>
      </c>
      <c r="C102" s="21" t="s">
        <v>513</v>
      </c>
      <c r="D102" s="21">
        <v>2090000</v>
      </c>
      <c r="E102" s="21" t="s">
        <v>449</v>
      </c>
      <c r="F102" s="21" t="str">
        <f t="shared" si="2"/>
        <v>rtdc.l.rtdc.4037:itc</v>
      </c>
      <c r="G102" s="8">
        <f t="shared" si="3"/>
        <v>42702.483368055553</v>
      </c>
    </row>
    <row r="103" spans="1:7" x14ac:dyDescent="0.25">
      <c r="A103" s="8">
        <v>42702.484259259261</v>
      </c>
      <c r="B103" s="21" t="s">
        <v>288</v>
      </c>
      <c r="C103" s="21" t="s">
        <v>514</v>
      </c>
      <c r="D103" s="21">
        <v>2630000</v>
      </c>
      <c r="E103" s="21" t="s">
        <v>267</v>
      </c>
      <c r="F103" s="21" t="str">
        <f t="shared" si="2"/>
        <v>rtdc.l.rtdc.4032:itc</v>
      </c>
      <c r="G103" s="8">
        <f t="shared" si="3"/>
        <v>42702.484259259261</v>
      </c>
    </row>
    <row r="104" spans="1:7" x14ac:dyDescent="0.25">
      <c r="A104" s="8">
        <v>42702.484386574077</v>
      </c>
      <c r="B104" s="21" t="s">
        <v>408</v>
      </c>
      <c r="C104" s="21" t="s">
        <v>409</v>
      </c>
      <c r="D104" s="21">
        <v>2600000</v>
      </c>
      <c r="E104" s="21" t="s">
        <v>266</v>
      </c>
      <c r="F104" s="21" t="str">
        <f t="shared" si="2"/>
        <v>rtdc.l.rtdc.4008:itc</v>
      </c>
      <c r="G104" s="8">
        <f t="shared" si="3"/>
        <v>42702.484386574077</v>
      </c>
    </row>
    <row r="105" spans="1:7" x14ac:dyDescent="0.25">
      <c r="A105" s="8">
        <v>42702.485011574077</v>
      </c>
      <c r="B105" s="21" t="s">
        <v>341</v>
      </c>
      <c r="C105" s="21" t="s">
        <v>515</v>
      </c>
      <c r="D105" s="21">
        <v>930000</v>
      </c>
      <c r="E105" s="21" t="s">
        <v>319</v>
      </c>
      <c r="F105" s="21" t="str">
        <f t="shared" si="2"/>
        <v>rtdc.l.rtdc.4016:itc</v>
      </c>
      <c r="G105" s="8">
        <f t="shared" si="3"/>
        <v>42702.485011574077</v>
      </c>
    </row>
    <row r="106" spans="1:7" x14ac:dyDescent="0.25">
      <c r="A106" s="8">
        <v>42702.494895833333</v>
      </c>
      <c r="B106" s="21" t="s">
        <v>215</v>
      </c>
      <c r="C106" s="21" t="s">
        <v>516</v>
      </c>
      <c r="D106" s="21">
        <v>880000</v>
      </c>
      <c r="E106" s="21" t="s">
        <v>320</v>
      </c>
      <c r="F106" s="21" t="str">
        <f t="shared" si="2"/>
        <v>rtdc.l.rtdc.4039:itc</v>
      </c>
      <c r="G106" s="8">
        <f t="shared" si="3"/>
        <v>42702.494895833333</v>
      </c>
    </row>
    <row r="107" spans="1:7" x14ac:dyDescent="0.25">
      <c r="A107" s="8">
        <v>42702.497187499997</v>
      </c>
      <c r="B107" s="21" t="s">
        <v>342</v>
      </c>
      <c r="C107" s="21" t="s">
        <v>517</v>
      </c>
      <c r="D107" s="21">
        <v>1280000</v>
      </c>
      <c r="E107" s="21" t="s">
        <v>321</v>
      </c>
      <c r="F107" s="21" t="str">
        <f t="shared" si="2"/>
        <v>rtdc.l.rtdc.4001:itc</v>
      </c>
      <c r="G107" s="8">
        <f t="shared" si="3"/>
        <v>42702.497187499997</v>
      </c>
    </row>
    <row r="108" spans="1:7" x14ac:dyDescent="0.25">
      <c r="A108" s="8">
        <v>42702.497210648151</v>
      </c>
      <c r="B108" s="21" t="s">
        <v>322</v>
      </c>
      <c r="C108" s="21" t="s">
        <v>518</v>
      </c>
      <c r="D108" s="21">
        <v>1140000</v>
      </c>
      <c r="E108" s="21" t="s">
        <v>345</v>
      </c>
      <c r="F108" s="21" t="str">
        <f t="shared" si="2"/>
        <v>rtdc.l.rtdc.4025:itc</v>
      </c>
      <c r="G108" s="8">
        <f t="shared" si="3"/>
        <v>42702.497210648151</v>
      </c>
    </row>
    <row r="109" spans="1:7" x14ac:dyDescent="0.25">
      <c r="A109" s="8">
        <v>42702.500011574077</v>
      </c>
      <c r="B109" s="21" t="s">
        <v>251</v>
      </c>
      <c r="C109" s="21" t="s">
        <v>519</v>
      </c>
      <c r="D109" s="21">
        <v>2630000</v>
      </c>
      <c r="E109" s="21" t="s">
        <v>267</v>
      </c>
      <c r="F109" s="21" t="str">
        <f t="shared" si="2"/>
        <v>rtdc.l.rtdc.4031:itc</v>
      </c>
      <c r="G109" s="8">
        <f t="shared" si="3"/>
        <v>42702.500011574077</v>
      </c>
    </row>
    <row r="110" spans="1:7" x14ac:dyDescent="0.25">
      <c r="A110" s="8">
        <v>42702.507303240738</v>
      </c>
      <c r="B110" s="21" t="s">
        <v>238</v>
      </c>
      <c r="C110" s="21" t="s">
        <v>412</v>
      </c>
      <c r="D110" s="21">
        <v>2600000</v>
      </c>
      <c r="E110" s="21" t="s">
        <v>266</v>
      </c>
      <c r="F110" s="21" t="str">
        <f t="shared" si="2"/>
        <v>rtdc.l.rtdc.4014:itc</v>
      </c>
      <c r="G110" s="8">
        <f t="shared" si="3"/>
        <v>42702.507303240738</v>
      </c>
    </row>
    <row r="111" spans="1:7" x14ac:dyDescent="0.25">
      <c r="A111" s="8">
        <v>42702.509039351855</v>
      </c>
      <c r="B111" s="21" t="s">
        <v>265</v>
      </c>
      <c r="C111" s="21" t="s">
        <v>520</v>
      </c>
      <c r="D111" s="21">
        <v>940000</v>
      </c>
      <c r="E111" s="21" t="s">
        <v>512</v>
      </c>
      <c r="F111" s="21" t="str">
        <f t="shared" si="2"/>
        <v>rtdc.l.rtdc.4041:itc</v>
      </c>
      <c r="G111" s="8">
        <f t="shared" si="3"/>
        <v>42702.509039351855</v>
      </c>
    </row>
    <row r="112" spans="1:7" x14ac:dyDescent="0.25">
      <c r="A112" s="8">
        <v>42702.510381944441</v>
      </c>
      <c r="B112" s="21" t="s">
        <v>410</v>
      </c>
      <c r="C112" s="21" t="s">
        <v>411</v>
      </c>
      <c r="D112" s="21">
        <v>1990000</v>
      </c>
      <c r="E112" s="21" t="s">
        <v>255</v>
      </c>
      <c r="F112" s="21" t="str">
        <f t="shared" si="2"/>
        <v>rtdc.l.rtdc.4007:itc</v>
      </c>
      <c r="G112" s="8">
        <f t="shared" si="3"/>
        <v>42702.510381944441</v>
      </c>
    </row>
    <row r="113" spans="1:7" x14ac:dyDescent="0.25">
      <c r="A113" s="8">
        <v>42702.51121527778</v>
      </c>
      <c r="B113" s="21" t="s">
        <v>410</v>
      </c>
      <c r="C113" s="21" t="s">
        <v>411</v>
      </c>
      <c r="D113" s="21">
        <v>1990000</v>
      </c>
      <c r="E113" s="21" t="s">
        <v>255</v>
      </c>
      <c r="F113" s="21" t="str">
        <f t="shared" si="2"/>
        <v>rtdc.l.rtdc.4007:itc</v>
      </c>
      <c r="G113" s="8">
        <f t="shared" si="3"/>
        <v>42702.51121527778</v>
      </c>
    </row>
    <row r="114" spans="1:7" x14ac:dyDescent="0.25">
      <c r="A114" s="8">
        <v>42702.512326388889</v>
      </c>
      <c r="B114" s="21" t="s">
        <v>410</v>
      </c>
      <c r="C114" s="21" t="s">
        <v>411</v>
      </c>
      <c r="D114" s="21">
        <v>1990000</v>
      </c>
      <c r="E114" s="21" t="s">
        <v>255</v>
      </c>
      <c r="F114" s="21" t="str">
        <f t="shared" si="2"/>
        <v>rtdc.l.rtdc.4007:itc</v>
      </c>
      <c r="G114" s="8">
        <f t="shared" si="3"/>
        <v>42702.512326388889</v>
      </c>
    </row>
    <row r="115" spans="1:7" x14ac:dyDescent="0.25">
      <c r="A115" s="8">
        <v>42702.516932870371</v>
      </c>
      <c r="B115" s="21" t="s">
        <v>225</v>
      </c>
      <c r="C115" s="21" t="s">
        <v>521</v>
      </c>
      <c r="D115" s="21">
        <v>2470000</v>
      </c>
      <c r="E115" s="21" t="s">
        <v>522</v>
      </c>
      <c r="F115" s="21" t="str">
        <f t="shared" si="2"/>
        <v>rtdc.l.rtdc.4038:itc</v>
      </c>
      <c r="G115" s="8">
        <f t="shared" si="3"/>
        <v>42702.516932870371</v>
      </c>
    </row>
    <row r="116" spans="1:7" x14ac:dyDescent="0.25">
      <c r="A116" s="8">
        <v>42702.523460648146</v>
      </c>
      <c r="B116" s="21" t="s">
        <v>343</v>
      </c>
      <c r="C116" s="21" t="s">
        <v>523</v>
      </c>
      <c r="D116" s="21">
        <v>930000</v>
      </c>
      <c r="E116" s="21" t="s">
        <v>319</v>
      </c>
      <c r="F116" s="21" t="str">
        <f t="shared" si="2"/>
        <v>rtdc.l.rtdc.4015:itc</v>
      </c>
      <c r="G116" s="8">
        <f t="shared" si="3"/>
        <v>42702.523460648146</v>
      </c>
    </row>
    <row r="117" spans="1:7" x14ac:dyDescent="0.25">
      <c r="A117" s="8">
        <v>42702.525740740741</v>
      </c>
      <c r="B117" s="21" t="s">
        <v>288</v>
      </c>
      <c r="C117" s="21" t="s">
        <v>524</v>
      </c>
      <c r="D117" s="21">
        <v>2630000</v>
      </c>
      <c r="E117" s="21" t="s">
        <v>267</v>
      </c>
      <c r="F117" s="21" t="str">
        <f t="shared" si="2"/>
        <v>rtdc.l.rtdc.4032:itc</v>
      </c>
      <c r="G117" s="8">
        <f t="shared" si="3"/>
        <v>42702.525740740741</v>
      </c>
    </row>
    <row r="118" spans="1:7" x14ac:dyDescent="0.25">
      <c r="A118" s="8">
        <v>42702.527129629627</v>
      </c>
      <c r="B118" s="21" t="s">
        <v>213</v>
      </c>
      <c r="C118" s="21" t="s">
        <v>525</v>
      </c>
      <c r="D118" s="21">
        <v>880000</v>
      </c>
      <c r="E118" s="21" t="s">
        <v>320</v>
      </c>
      <c r="F118" s="21" t="str">
        <f t="shared" si="2"/>
        <v>rtdc.l.rtdc.4040:itc</v>
      </c>
      <c r="G118" s="8">
        <f t="shared" si="3"/>
        <v>42702.527129629627</v>
      </c>
    </row>
    <row r="119" spans="1:7" x14ac:dyDescent="0.25">
      <c r="A119" s="8">
        <v>42702.528553240743</v>
      </c>
      <c r="B119" s="21" t="s">
        <v>317</v>
      </c>
      <c r="C119" s="21" t="s">
        <v>526</v>
      </c>
      <c r="D119" s="21">
        <v>1140000</v>
      </c>
      <c r="E119" s="21" t="s">
        <v>345</v>
      </c>
      <c r="F119" s="21" t="str">
        <f t="shared" si="2"/>
        <v>rtdc.l.rtdc.4026:itc</v>
      </c>
      <c r="G119" s="8">
        <f t="shared" si="3"/>
        <v>42702.528553240743</v>
      </c>
    </row>
    <row r="120" spans="1:7" x14ac:dyDescent="0.25">
      <c r="A120" s="8">
        <v>42702.537094907406</v>
      </c>
      <c r="B120" s="21" t="s">
        <v>220</v>
      </c>
      <c r="C120" s="21" t="s">
        <v>527</v>
      </c>
      <c r="D120" s="21">
        <v>1280000</v>
      </c>
      <c r="E120" s="21" t="s">
        <v>321</v>
      </c>
      <c r="F120" s="21" t="str">
        <f t="shared" si="2"/>
        <v>rtdc.l.rtdc.4002:itc</v>
      </c>
      <c r="G120" s="8">
        <f t="shared" si="3"/>
        <v>42702.537094907406</v>
      </c>
    </row>
    <row r="121" spans="1:7" x14ac:dyDescent="0.25">
      <c r="A121" s="8">
        <v>42702.539768518516</v>
      </c>
      <c r="B121" s="21" t="s">
        <v>239</v>
      </c>
      <c r="C121" s="21" t="s">
        <v>413</v>
      </c>
      <c r="D121" s="21">
        <v>2600000</v>
      </c>
      <c r="E121" s="21" t="s">
        <v>266</v>
      </c>
      <c r="F121" s="21" t="str">
        <f t="shared" si="2"/>
        <v>rtdc.l.rtdc.4013:itc</v>
      </c>
      <c r="G121" s="8">
        <f t="shared" si="3"/>
        <v>42702.539768518516</v>
      </c>
    </row>
    <row r="122" spans="1:7" x14ac:dyDescent="0.25">
      <c r="A122" s="8">
        <v>42702.546678240738</v>
      </c>
      <c r="B122" s="26" t="s">
        <v>264</v>
      </c>
      <c r="C122" s="21" t="s">
        <v>528</v>
      </c>
      <c r="D122" s="21">
        <v>940000</v>
      </c>
      <c r="E122" s="21" t="s">
        <v>512</v>
      </c>
      <c r="F122" s="21" t="str">
        <f t="shared" si="2"/>
        <v>rtdc.l.rtdc.4042:itc</v>
      </c>
      <c r="G122" s="8">
        <f t="shared" si="3"/>
        <v>42702.546678240738</v>
      </c>
    </row>
    <row r="123" spans="1:7" x14ac:dyDescent="0.25">
      <c r="A123" s="8">
        <v>42702.54792824074</v>
      </c>
      <c r="B123" s="21" t="s">
        <v>226</v>
      </c>
      <c r="C123" s="21" t="s">
        <v>529</v>
      </c>
      <c r="D123" s="21">
        <v>2470000</v>
      </c>
      <c r="E123" s="21" t="s">
        <v>522</v>
      </c>
      <c r="F123" s="21" t="str">
        <f t="shared" si="2"/>
        <v>rtdc.l.rtdc.4037:itc</v>
      </c>
      <c r="G123" s="8">
        <f t="shared" si="3"/>
        <v>42702.54792824074</v>
      </c>
    </row>
    <row r="124" spans="1:7" x14ac:dyDescent="0.25">
      <c r="A124" s="8">
        <v>42702.549722222226</v>
      </c>
      <c r="B124" s="21" t="s">
        <v>251</v>
      </c>
      <c r="C124" s="21" t="s">
        <v>530</v>
      </c>
      <c r="D124" s="21">
        <v>920000</v>
      </c>
      <c r="E124" s="21" t="s">
        <v>255</v>
      </c>
      <c r="F124" s="21" t="str">
        <f t="shared" si="2"/>
        <v>rtdc.l.rtdc.4031:itc</v>
      </c>
      <c r="G124" s="8">
        <f t="shared" si="3"/>
        <v>42702.549722222226</v>
      </c>
    </row>
    <row r="125" spans="1:7" x14ac:dyDescent="0.25">
      <c r="A125" s="8">
        <v>42702.55846064815</v>
      </c>
      <c r="B125" s="21" t="s">
        <v>341</v>
      </c>
      <c r="C125" s="21" t="s">
        <v>531</v>
      </c>
      <c r="D125" s="21">
        <v>930000</v>
      </c>
      <c r="E125" s="21" t="s">
        <v>319</v>
      </c>
      <c r="F125" s="21" t="str">
        <f t="shared" si="2"/>
        <v>rtdc.l.rtdc.4016:itc</v>
      </c>
      <c r="G125" s="8">
        <f t="shared" si="3"/>
        <v>42702.55846064815</v>
      </c>
    </row>
    <row r="126" spans="1:7" x14ac:dyDescent="0.25">
      <c r="A126" s="8">
        <v>42702.568333333336</v>
      </c>
      <c r="B126" s="21" t="s">
        <v>288</v>
      </c>
      <c r="C126" s="21" t="s">
        <v>414</v>
      </c>
      <c r="D126" s="21">
        <v>920000</v>
      </c>
      <c r="E126" s="21" t="s">
        <v>255</v>
      </c>
      <c r="F126" s="21" t="str">
        <f t="shared" si="2"/>
        <v>rtdc.l.rtdc.4032:itc</v>
      </c>
      <c r="G126" s="8">
        <f t="shared" si="3"/>
        <v>42702.568333333336</v>
      </c>
    </row>
    <row r="127" spans="1:7" x14ac:dyDescent="0.25">
      <c r="A127" s="8">
        <v>42702.568668981483</v>
      </c>
      <c r="B127" s="21" t="s">
        <v>215</v>
      </c>
      <c r="C127" s="21" t="s">
        <v>532</v>
      </c>
      <c r="D127" s="21">
        <v>880000</v>
      </c>
      <c r="E127" s="21" t="s">
        <v>320</v>
      </c>
      <c r="F127" s="21" t="str">
        <f t="shared" si="2"/>
        <v>rtdc.l.rtdc.4039:itc</v>
      </c>
      <c r="G127" s="8">
        <f t="shared" si="3"/>
        <v>42702.568668981483</v>
      </c>
    </row>
    <row r="128" spans="1:7" x14ac:dyDescent="0.25">
      <c r="A128" s="8">
        <v>42702.568993055553</v>
      </c>
      <c r="B128" s="21" t="s">
        <v>322</v>
      </c>
      <c r="C128" s="21" t="s">
        <v>533</v>
      </c>
      <c r="D128" s="21">
        <v>1140000</v>
      </c>
      <c r="E128" s="21" t="s">
        <v>345</v>
      </c>
      <c r="F128" s="21" t="str">
        <f t="shared" si="2"/>
        <v>rtdc.l.rtdc.4025:itc</v>
      </c>
      <c r="G128" s="8">
        <f t="shared" si="3"/>
        <v>42702.568993055553</v>
      </c>
    </row>
    <row r="129" spans="1:7" x14ac:dyDescent="0.25">
      <c r="A129" s="8">
        <v>42702.570347222223</v>
      </c>
      <c r="B129" s="21" t="s">
        <v>342</v>
      </c>
      <c r="C129" s="21" t="s">
        <v>534</v>
      </c>
      <c r="D129" s="21">
        <v>1280000</v>
      </c>
      <c r="E129" s="21" t="s">
        <v>321</v>
      </c>
      <c r="F129" s="21" t="str">
        <f t="shared" si="2"/>
        <v>rtdc.l.rtdc.4001:itc</v>
      </c>
      <c r="G129" s="8">
        <f t="shared" si="3"/>
        <v>42702.570347222223</v>
      </c>
    </row>
    <row r="130" spans="1:7" x14ac:dyDescent="0.25">
      <c r="A130" s="8">
        <v>42702.580451388887</v>
      </c>
      <c r="B130" s="21" t="s">
        <v>238</v>
      </c>
      <c r="C130" s="21" t="s">
        <v>415</v>
      </c>
      <c r="D130" s="21">
        <v>2600000</v>
      </c>
      <c r="E130" s="21" t="s">
        <v>266</v>
      </c>
      <c r="F130" s="21" t="str">
        <f t="shared" ref="F130:F193" si="4">B130</f>
        <v>rtdc.l.rtdc.4014:itc</v>
      </c>
      <c r="G130" s="8">
        <f t="shared" ref="G130:G193" si="5">A130</f>
        <v>42702.580451388887</v>
      </c>
    </row>
    <row r="131" spans="1:7" x14ac:dyDescent="0.25">
      <c r="A131" s="8">
        <v>42702.581863425927</v>
      </c>
      <c r="B131" s="21" t="s">
        <v>265</v>
      </c>
      <c r="C131" s="21" t="s">
        <v>418</v>
      </c>
      <c r="D131" s="21">
        <v>940000</v>
      </c>
      <c r="E131" s="21" t="s">
        <v>512</v>
      </c>
      <c r="F131" s="21" t="str">
        <f t="shared" si="4"/>
        <v>rtdc.l.rtdc.4041:itc</v>
      </c>
      <c r="G131" s="8">
        <f t="shared" si="5"/>
        <v>42702.581863425927</v>
      </c>
    </row>
    <row r="132" spans="1:7" x14ac:dyDescent="0.25">
      <c r="A132" s="8">
        <v>42702.590196759258</v>
      </c>
      <c r="B132" s="21" t="s">
        <v>225</v>
      </c>
      <c r="C132" s="21" t="s">
        <v>535</v>
      </c>
      <c r="D132" s="21">
        <v>2470000</v>
      </c>
      <c r="E132" s="21" t="s">
        <v>522</v>
      </c>
      <c r="F132" s="21" t="str">
        <f t="shared" si="4"/>
        <v>rtdc.l.rtdc.4038:itc</v>
      </c>
      <c r="G132" s="8">
        <f t="shared" si="5"/>
        <v>42702.590196759258</v>
      </c>
    </row>
    <row r="133" spans="1:7" x14ac:dyDescent="0.25">
      <c r="A133" s="8">
        <v>42702.594456018516</v>
      </c>
      <c r="B133" s="21" t="s">
        <v>251</v>
      </c>
      <c r="C133" s="21" t="s">
        <v>536</v>
      </c>
      <c r="D133" s="21">
        <v>920000</v>
      </c>
      <c r="E133" s="21" t="s">
        <v>255</v>
      </c>
      <c r="F133" s="21" t="str">
        <f t="shared" si="4"/>
        <v>rtdc.l.rtdc.4031:itc</v>
      </c>
      <c r="G133" s="8">
        <f t="shared" si="5"/>
        <v>42702.594456018516</v>
      </c>
    </row>
    <row r="134" spans="1:7" x14ac:dyDescent="0.25">
      <c r="A134" s="8">
        <v>42702.597060185188</v>
      </c>
      <c r="B134" s="21" t="s">
        <v>343</v>
      </c>
      <c r="C134" s="21" t="s">
        <v>419</v>
      </c>
      <c r="D134" s="21">
        <v>930000</v>
      </c>
      <c r="E134" s="21" t="s">
        <v>319</v>
      </c>
      <c r="F134" s="21" t="str">
        <f t="shared" si="4"/>
        <v>rtdc.l.rtdc.4015:itc</v>
      </c>
      <c r="G134" s="8">
        <f t="shared" si="5"/>
        <v>42702.597060185188</v>
      </c>
    </row>
    <row r="135" spans="1:7" x14ac:dyDescent="0.25">
      <c r="A135" s="8">
        <v>42702.599351851852</v>
      </c>
      <c r="B135" s="21" t="s">
        <v>213</v>
      </c>
      <c r="C135" s="21" t="s">
        <v>537</v>
      </c>
      <c r="D135" s="21">
        <v>880000</v>
      </c>
      <c r="E135" s="21" t="s">
        <v>320</v>
      </c>
      <c r="F135" s="21" t="str">
        <f t="shared" si="4"/>
        <v>rtdc.l.rtdc.4040:itc</v>
      </c>
      <c r="G135" s="8">
        <f t="shared" si="5"/>
        <v>42702.599351851852</v>
      </c>
    </row>
    <row r="136" spans="1:7" x14ac:dyDescent="0.25">
      <c r="A136" s="8">
        <v>42702.606990740744</v>
      </c>
      <c r="B136" s="21" t="s">
        <v>317</v>
      </c>
      <c r="C136" s="21" t="s">
        <v>538</v>
      </c>
      <c r="D136" s="21">
        <v>1140000</v>
      </c>
      <c r="E136" s="21" t="s">
        <v>345</v>
      </c>
      <c r="F136" s="21" t="str">
        <f t="shared" si="4"/>
        <v>rtdc.l.rtdc.4026:itc</v>
      </c>
      <c r="G136" s="8">
        <f t="shared" si="5"/>
        <v>42702.606990740744</v>
      </c>
    </row>
    <row r="137" spans="1:7" x14ac:dyDescent="0.25">
      <c r="A137" s="8">
        <v>42702.609699074077</v>
      </c>
      <c r="B137" s="21" t="s">
        <v>288</v>
      </c>
      <c r="C137" s="21" t="s">
        <v>539</v>
      </c>
      <c r="D137" s="21">
        <v>920000</v>
      </c>
      <c r="E137" s="21" t="s">
        <v>255</v>
      </c>
      <c r="F137" s="21" t="str">
        <f t="shared" si="4"/>
        <v>rtdc.l.rtdc.4032:itc</v>
      </c>
      <c r="G137" s="8">
        <f t="shared" si="5"/>
        <v>42702.609699074077</v>
      </c>
    </row>
    <row r="138" spans="1:7" x14ac:dyDescent="0.25">
      <c r="A138" s="8">
        <v>42702.609803240739</v>
      </c>
      <c r="B138" s="21" t="s">
        <v>220</v>
      </c>
      <c r="C138" s="21" t="s">
        <v>540</v>
      </c>
      <c r="D138" s="21">
        <v>1280000</v>
      </c>
      <c r="E138" s="21" t="s">
        <v>321</v>
      </c>
      <c r="F138" s="21" t="str">
        <f t="shared" si="4"/>
        <v>rtdc.l.rtdc.4002:itc</v>
      </c>
      <c r="G138" s="8">
        <f t="shared" si="5"/>
        <v>42702.609803240739</v>
      </c>
    </row>
    <row r="139" spans="1:7" x14ac:dyDescent="0.25">
      <c r="A139" s="8">
        <v>42702.619710648149</v>
      </c>
      <c r="B139" s="21" t="s">
        <v>264</v>
      </c>
      <c r="C139" s="21" t="s">
        <v>541</v>
      </c>
      <c r="D139" s="21">
        <v>940000</v>
      </c>
      <c r="E139" s="21" t="s">
        <v>512</v>
      </c>
      <c r="F139" s="21" t="str">
        <f t="shared" si="4"/>
        <v>rtdc.l.rtdc.4042:itc</v>
      </c>
      <c r="G139" s="8">
        <f t="shared" si="5"/>
        <v>42702.619710648149</v>
      </c>
    </row>
    <row r="140" spans="1:7" x14ac:dyDescent="0.25">
      <c r="A140" s="8">
        <v>42702.620023148149</v>
      </c>
      <c r="B140" s="21" t="s">
        <v>239</v>
      </c>
      <c r="C140" s="21" t="s">
        <v>542</v>
      </c>
      <c r="D140" s="21">
        <v>2600000</v>
      </c>
      <c r="E140" s="21" t="s">
        <v>266</v>
      </c>
      <c r="F140" s="21" t="str">
        <f t="shared" si="4"/>
        <v>rtdc.l.rtdc.4013:itc</v>
      </c>
      <c r="G140" s="8">
        <f t="shared" si="5"/>
        <v>42702.620023148149</v>
      </c>
    </row>
    <row r="141" spans="1:7" x14ac:dyDescent="0.25">
      <c r="A141" s="8">
        <v>42702.620821759258</v>
      </c>
      <c r="B141" s="21" t="s">
        <v>226</v>
      </c>
      <c r="C141" s="21" t="s">
        <v>420</v>
      </c>
      <c r="D141" s="21">
        <v>2470000</v>
      </c>
      <c r="E141" s="21" t="s">
        <v>522</v>
      </c>
      <c r="F141" s="21" t="str">
        <f t="shared" si="4"/>
        <v>rtdc.l.rtdc.4037:itc</v>
      </c>
      <c r="G141" s="8">
        <f t="shared" si="5"/>
        <v>42702.620821759258</v>
      </c>
    </row>
    <row r="142" spans="1:7" x14ac:dyDescent="0.25">
      <c r="A142" s="8">
        <v>42702.631921296299</v>
      </c>
      <c r="B142" s="21" t="s">
        <v>341</v>
      </c>
      <c r="C142" s="21" t="s">
        <v>543</v>
      </c>
      <c r="D142" s="21">
        <v>930000</v>
      </c>
      <c r="E142" s="21" t="s">
        <v>319</v>
      </c>
      <c r="F142" s="21" t="str">
        <f t="shared" si="4"/>
        <v>rtdc.l.rtdc.4016:itc</v>
      </c>
      <c r="G142" s="8">
        <f t="shared" si="5"/>
        <v>42702.631921296299</v>
      </c>
    </row>
    <row r="143" spans="1:7" x14ac:dyDescent="0.25">
      <c r="A143" s="8">
        <v>42702.636817129627</v>
      </c>
      <c r="B143" s="21" t="s">
        <v>251</v>
      </c>
      <c r="C143" s="21" t="s">
        <v>421</v>
      </c>
      <c r="D143" s="21">
        <v>920000</v>
      </c>
      <c r="E143" s="21" t="s">
        <v>255</v>
      </c>
      <c r="F143" s="21" t="str">
        <f t="shared" si="4"/>
        <v>rtdc.l.rtdc.4031:itc</v>
      </c>
      <c r="G143" s="8">
        <f t="shared" si="5"/>
        <v>42702.636817129627</v>
      </c>
    </row>
    <row r="144" spans="1:7" x14ac:dyDescent="0.25">
      <c r="A144" s="8">
        <v>42702.637974537036</v>
      </c>
      <c r="B144" s="21" t="s">
        <v>274</v>
      </c>
      <c r="C144" s="21" t="s">
        <v>544</v>
      </c>
      <c r="D144" s="21">
        <v>1290000</v>
      </c>
      <c r="E144" s="21" t="s">
        <v>347</v>
      </c>
      <c r="F144" s="21" t="str">
        <f t="shared" si="4"/>
        <v>rtdc.l.rtdc.4004:itc</v>
      </c>
      <c r="G144" s="8">
        <f t="shared" si="5"/>
        <v>42702.637974537036</v>
      </c>
    </row>
    <row r="145" spans="1:7" x14ac:dyDescent="0.25">
      <c r="A145" s="8">
        <v>42702.639270833337</v>
      </c>
      <c r="B145" s="21" t="s">
        <v>215</v>
      </c>
      <c r="C145" s="21" t="s">
        <v>545</v>
      </c>
      <c r="D145" s="21">
        <v>880000</v>
      </c>
      <c r="E145" s="21" t="s">
        <v>320</v>
      </c>
      <c r="F145" s="21" t="str">
        <f t="shared" si="4"/>
        <v>rtdc.l.rtdc.4039:itc</v>
      </c>
      <c r="G145" s="8">
        <f t="shared" si="5"/>
        <v>42702.639270833337</v>
      </c>
    </row>
    <row r="146" spans="1:7" x14ac:dyDescent="0.25">
      <c r="A146" s="8">
        <v>42702.64167824074</v>
      </c>
      <c r="B146" s="21" t="s">
        <v>322</v>
      </c>
      <c r="C146" s="21" t="s">
        <v>546</v>
      </c>
      <c r="D146" s="21">
        <v>1140000</v>
      </c>
      <c r="E146" s="21" t="s">
        <v>345</v>
      </c>
      <c r="F146" s="21" t="str">
        <f t="shared" si="4"/>
        <v>rtdc.l.rtdc.4025:itc</v>
      </c>
      <c r="G146" s="8">
        <f t="shared" si="5"/>
        <v>42702.64167824074</v>
      </c>
    </row>
    <row r="147" spans="1:7" x14ac:dyDescent="0.25">
      <c r="A147" s="8">
        <v>42702.642384259256</v>
      </c>
      <c r="B147" s="21" t="s">
        <v>342</v>
      </c>
      <c r="C147" s="21" t="s">
        <v>547</v>
      </c>
      <c r="D147" s="21">
        <v>1280000</v>
      </c>
      <c r="E147" s="21" t="s">
        <v>321</v>
      </c>
      <c r="F147" s="21" t="str">
        <f t="shared" si="4"/>
        <v>rtdc.l.rtdc.4001:itc</v>
      </c>
      <c r="G147" s="8">
        <f t="shared" si="5"/>
        <v>42702.642384259256</v>
      </c>
    </row>
    <row r="148" spans="1:7" x14ac:dyDescent="0.25">
      <c r="A148" s="8">
        <v>42702.651898148149</v>
      </c>
      <c r="B148" s="21" t="s">
        <v>238</v>
      </c>
      <c r="C148" s="21" t="s">
        <v>548</v>
      </c>
      <c r="D148" s="21">
        <v>2600000</v>
      </c>
      <c r="E148" s="21" t="s">
        <v>266</v>
      </c>
      <c r="F148" s="21" t="str">
        <f t="shared" si="4"/>
        <v>rtdc.l.rtdc.4014:itc</v>
      </c>
      <c r="G148" s="8">
        <f t="shared" si="5"/>
        <v>42702.651898148149</v>
      </c>
    </row>
    <row r="149" spans="1:7" x14ac:dyDescent="0.25">
      <c r="A149" s="8">
        <v>42702.654421296298</v>
      </c>
      <c r="B149" s="21" t="s">
        <v>265</v>
      </c>
      <c r="C149" s="21" t="s">
        <v>549</v>
      </c>
      <c r="D149" s="21">
        <v>940000</v>
      </c>
      <c r="E149" s="21" t="s">
        <v>512</v>
      </c>
      <c r="F149" s="21" t="str">
        <f t="shared" si="4"/>
        <v>rtdc.l.rtdc.4041:itc</v>
      </c>
      <c r="G149" s="8">
        <f t="shared" si="5"/>
        <v>42702.654421296298</v>
      </c>
    </row>
    <row r="150" spans="1:7" x14ac:dyDescent="0.25">
      <c r="A150" s="8">
        <v>42702.654687499999</v>
      </c>
      <c r="B150" s="21" t="s">
        <v>288</v>
      </c>
      <c r="C150" s="21" t="s">
        <v>550</v>
      </c>
      <c r="D150" s="21">
        <v>920000</v>
      </c>
      <c r="E150" s="21" t="s">
        <v>255</v>
      </c>
      <c r="F150" s="21" t="str">
        <f t="shared" si="4"/>
        <v>rtdc.l.rtdc.4032:itc</v>
      </c>
      <c r="G150" s="8">
        <f t="shared" si="5"/>
        <v>42702.654687499999</v>
      </c>
    </row>
    <row r="151" spans="1:7" x14ac:dyDescent="0.25">
      <c r="A151" s="8">
        <v>42702.656631944446</v>
      </c>
      <c r="B151" s="21" t="s">
        <v>273</v>
      </c>
      <c r="C151" s="21" t="s">
        <v>551</v>
      </c>
      <c r="D151" s="21">
        <v>1290000</v>
      </c>
      <c r="E151" s="21" t="s">
        <v>347</v>
      </c>
      <c r="F151" s="21" t="str">
        <f t="shared" si="4"/>
        <v>rtdc.l.rtdc.4003:itc</v>
      </c>
      <c r="G151" s="8">
        <f t="shared" si="5"/>
        <v>42702.656631944446</v>
      </c>
    </row>
    <row r="152" spans="1:7" x14ac:dyDescent="0.25">
      <c r="A152" s="8">
        <v>42702.657708333332</v>
      </c>
      <c r="B152" s="21" t="s">
        <v>273</v>
      </c>
      <c r="C152" s="21" t="s">
        <v>551</v>
      </c>
      <c r="D152" s="21">
        <v>1290000</v>
      </c>
      <c r="E152" s="21" t="s">
        <v>347</v>
      </c>
      <c r="F152" s="21" t="str">
        <f t="shared" si="4"/>
        <v>rtdc.l.rtdc.4003:itc</v>
      </c>
      <c r="G152" s="8">
        <f t="shared" si="5"/>
        <v>42702.657708333332</v>
      </c>
    </row>
    <row r="153" spans="1:7" x14ac:dyDescent="0.25">
      <c r="A153" s="8">
        <v>42702.665729166663</v>
      </c>
      <c r="B153" s="21" t="s">
        <v>225</v>
      </c>
      <c r="C153" s="21" t="s">
        <v>552</v>
      </c>
      <c r="D153" s="21">
        <v>2470000</v>
      </c>
      <c r="E153" s="21" t="s">
        <v>522</v>
      </c>
      <c r="F153" s="21" t="str">
        <f t="shared" si="4"/>
        <v>rtdc.l.rtdc.4038:itc</v>
      </c>
      <c r="G153" s="8">
        <f t="shared" si="5"/>
        <v>42702.665729166663</v>
      </c>
    </row>
    <row r="154" spans="1:7" x14ac:dyDescent="0.25">
      <c r="A154" s="8">
        <v>42702.670567129629</v>
      </c>
      <c r="B154" s="21" t="s">
        <v>343</v>
      </c>
      <c r="C154" s="21" t="s">
        <v>553</v>
      </c>
      <c r="D154" s="21">
        <v>930000</v>
      </c>
      <c r="E154" s="21" t="s">
        <v>319</v>
      </c>
      <c r="F154" s="21" t="str">
        <f t="shared" si="4"/>
        <v>rtdc.l.rtdc.4015:itc</v>
      </c>
      <c r="G154" s="8">
        <f t="shared" si="5"/>
        <v>42702.670567129629</v>
      </c>
    </row>
    <row r="155" spans="1:7" x14ac:dyDescent="0.25">
      <c r="A155" s="8">
        <v>42702.672488425924</v>
      </c>
      <c r="B155" s="21" t="s">
        <v>274</v>
      </c>
      <c r="C155" s="21" t="s">
        <v>554</v>
      </c>
      <c r="D155" s="21">
        <v>1290000</v>
      </c>
      <c r="E155" s="21" t="s">
        <v>347</v>
      </c>
      <c r="F155" s="21" t="str">
        <f t="shared" si="4"/>
        <v>rtdc.l.rtdc.4004:itc</v>
      </c>
      <c r="G155" s="8">
        <f t="shared" si="5"/>
        <v>42702.672488425924</v>
      </c>
    </row>
    <row r="156" spans="1:7" x14ac:dyDescent="0.25">
      <c r="A156" s="8">
        <v>42702.672615740739</v>
      </c>
      <c r="B156" s="21" t="s">
        <v>213</v>
      </c>
      <c r="C156" s="21" t="s">
        <v>555</v>
      </c>
      <c r="D156" s="21">
        <v>880000</v>
      </c>
      <c r="E156" s="21" t="s">
        <v>320</v>
      </c>
      <c r="F156" s="21" t="str">
        <f t="shared" si="4"/>
        <v>rtdc.l.rtdc.4040:itc</v>
      </c>
      <c r="G156" s="8">
        <f t="shared" si="5"/>
        <v>42702.672615740739</v>
      </c>
    </row>
    <row r="157" spans="1:7" x14ac:dyDescent="0.25">
      <c r="A157" s="8">
        <v>42702.674328703702</v>
      </c>
      <c r="B157" s="21" t="s">
        <v>317</v>
      </c>
      <c r="C157" s="21" t="s">
        <v>556</v>
      </c>
      <c r="D157" s="21">
        <v>1140000</v>
      </c>
      <c r="E157" s="21" t="s">
        <v>345</v>
      </c>
      <c r="F157" s="21" t="str">
        <f t="shared" si="4"/>
        <v>rtdc.l.rtdc.4026:itc</v>
      </c>
      <c r="G157" s="8">
        <f t="shared" si="5"/>
        <v>42702.674328703702</v>
      </c>
    </row>
    <row r="158" spans="1:7" x14ac:dyDescent="0.25">
      <c r="A158" s="8">
        <v>42702.676041666666</v>
      </c>
      <c r="B158" s="21" t="s">
        <v>251</v>
      </c>
      <c r="C158" s="21" t="s">
        <v>557</v>
      </c>
      <c r="D158" s="21">
        <v>920000</v>
      </c>
      <c r="E158" s="21" t="s">
        <v>255</v>
      </c>
      <c r="F158" s="21" t="str">
        <f t="shared" si="4"/>
        <v>rtdc.l.rtdc.4031:itc</v>
      </c>
      <c r="G158" s="8">
        <f t="shared" si="5"/>
        <v>42702.676041666666</v>
      </c>
    </row>
    <row r="159" spans="1:7" x14ac:dyDescent="0.25">
      <c r="A159" s="8">
        <v>42702.682511574072</v>
      </c>
      <c r="B159" s="21" t="s">
        <v>220</v>
      </c>
      <c r="C159" s="21" t="s">
        <v>558</v>
      </c>
      <c r="D159" s="21">
        <v>1280000</v>
      </c>
      <c r="E159" s="21" t="s">
        <v>321</v>
      </c>
      <c r="F159" s="21" t="str">
        <f t="shared" si="4"/>
        <v>rtdc.l.rtdc.4002:itc</v>
      </c>
      <c r="G159" s="8">
        <f t="shared" si="5"/>
        <v>42702.682511574072</v>
      </c>
    </row>
    <row r="160" spans="1:7" x14ac:dyDescent="0.25">
      <c r="A160" s="8">
        <v>42702.684641203705</v>
      </c>
      <c r="B160" s="21" t="s">
        <v>239</v>
      </c>
      <c r="C160" s="21" t="s">
        <v>422</v>
      </c>
      <c r="D160" s="21">
        <v>2600000</v>
      </c>
      <c r="E160" s="21" t="s">
        <v>266</v>
      </c>
      <c r="F160" s="21" t="str">
        <f t="shared" si="4"/>
        <v>rtdc.l.rtdc.4013:itc</v>
      </c>
      <c r="G160" s="8">
        <f t="shared" si="5"/>
        <v>42702.684641203705</v>
      </c>
    </row>
    <row r="161" spans="1:7" x14ac:dyDescent="0.25">
      <c r="A161" s="8">
        <v>42702.693402777775</v>
      </c>
      <c r="B161" s="21" t="s">
        <v>288</v>
      </c>
      <c r="C161" s="21" t="s">
        <v>559</v>
      </c>
      <c r="D161" s="21">
        <v>920000</v>
      </c>
      <c r="E161" s="21" t="s">
        <v>255</v>
      </c>
      <c r="F161" s="21" t="str">
        <f t="shared" si="4"/>
        <v>rtdc.l.rtdc.4032:itc</v>
      </c>
      <c r="G161" s="8">
        <f t="shared" si="5"/>
        <v>42702.693402777775</v>
      </c>
    </row>
    <row r="162" spans="1:7" x14ac:dyDescent="0.25">
      <c r="A162" s="8">
        <v>42702.693483796298</v>
      </c>
      <c r="B162" s="21" t="s">
        <v>226</v>
      </c>
      <c r="C162" s="21" t="s">
        <v>560</v>
      </c>
      <c r="D162" s="21">
        <v>2470000</v>
      </c>
      <c r="E162" s="21" t="s">
        <v>522</v>
      </c>
      <c r="F162" s="21" t="str">
        <f t="shared" si="4"/>
        <v>rtdc.l.rtdc.4037:itc</v>
      </c>
      <c r="G162" s="8">
        <f t="shared" si="5"/>
        <v>42702.693483796298</v>
      </c>
    </row>
    <row r="163" spans="1:7" x14ac:dyDescent="0.25">
      <c r="A163" s="8">
        <v>42702.693495370368</v>
      </c>
      <c r="B163" s="21" t="s">
        <v>264</v>
      </c>
      <c r="C163" s="21" t="s">
        <v>561</v>
      </c>
      <c r="D163" s="21">
        <v>940000</v>
      </c>
      <c r="E163" s="21" t="s">
        <v>512</v>
      </c>
      <c r="F163" s="21" t="str">
        <f t="shared" si="4"/>
        <v>rtdc.l.rtdc.4042:itc</v>
      </c>
      <c r="G163" s="8">
        <f t="shared" si="5"/>
        <v>42702.693495370368</v>
      </c>
    </row>
    <row r="164" spans="1:7" x14ac:dyDescent="0.25">
      <c r="A164" s="8">
        <v>42702.698645833334</v>
      </c>
      <c r="B164" s="21" t="s">
        <v>273</v>
      </c>
      <c r="C164" s="21" t="s">
        <v>562</v>
      </c>
      <c r="D164" s="21">
        <v>1290000</v>
      </c>
      <c r="E164" s="21" t="s">
        <v>347</v>
      </c>
      <c r="F164" s="21" t="str">
        <f t="shared" si="4"/>
        <v>rtdc.l.rtdc.4003:itc</v>
      </c>
      <c r="G164" s="8">
        <f t="shared" si="5"/>
        <v>42702.698645833334</v>
      </c>
    </row>
    <row r="165" spans="1:7" x14ac:dyDescent="0.25">
      <c r="A165" s="8">
        <v>42702.704201388886</v>
      </c>
      <c r="B165" s="21" t="s">
        <v>341</v>
      </c>
      <c r="C165" s="21" t="s">
        <v>563</v>
      </c>
      <c r="D165" s="21">
        <v>930000</v>
      </c>
      <c r="E165" s="21" t="s">
        <v>319</v>
      </c>
      <c r="F165" s="21" t="str">
        <f t="shared" si="4"/>
        <v>rtdc.l.rtdc.4016:itc</v>
      </c>
      <c r="G165" s="8">
        <f t="shared" si="5"/>
        <v>42702.704201388886</v>
      </c>
    </row>
    <row r="166" spans="1:7" x14ac:dyDescent="0.25">
      <c r="A166" s="8">
        <v>42702.70952546296</v>
      </c>
      <c r="B166" s="21" t="s">
        <v>183</v>
      </c>
      <c r="C166" s="21" t="s">
        <v>564</v>
      </c>
      <c r="D166" s="21">
        <v>2350000</v>
      </c>
      <c r="E166" s="21" t="s">
        <v>565</v>
      </c>
      <c r="F166" s="21" t="str">
        <f t="shared" si="4"/>
        <v>rtdc.l.rtdc.4009:itc</v>
      </c>
      <c r="G166" s="8">
        <f t="shared" si="5"/>
        <v>42702.70952546296</v>
      </c>
    </row>
    <row r="167" spans="1:7" x14ac:dyDescent="0.25">
      <c r="A167" s="8">
        <v>42702.713692129626</v>
      </c>
      <c r="B167" s="21" t="s">
        <v>215</v>
      </c>
      <c r="C167" s="21" t="s">
        <v>566</v>
      </c>
      <c r="D167" s="21">
        <v>880000</v>
      </c>
      <c r="E167" s="21" t="s">
        <v>320</v>
      </c>
      <c r="F167" s="21" t="str">
        <f t="shared" si="4"/>
        <v>rtdc.l.rtdc.4039:itc</v>
      </c>
      <c r="G167" s="8">
        <f t="shared" si="5"/>
        <v>42702.713692129626</v>
      </c>
    </row>
    <row r="168" spans="1:7" x14ac:dyDescent="0.25">
      <c r="A168" s="8">
        <v>42702.713726851849</v>
      </c>
      <c r="B168" s="21" t="s">
        <v>274</v>
      </c>
      <c r="C168" s="21" t="s">
        <v>423</v>
      </c>
      <c r="D168" s="21">
        <v>1290000</v>
      </c>
      <c r="E168" s="21" t="s">
        <v>347</v>
      </c>
      <c r="F168" s="21" t="str">
        <f t="shared" si="4"/>
        <v>rtdc.l.rtdc.4004:itc</v>
      </c>
      <c r="G168" s="8">
        <f t="shared" si="5"/>
        <v>42702.713726851849</v>
      </c>
    </row>
    <row r="169" spans="1:7" x14ac:dyDescent="0.25">
      <c r="A169" s="8">
        <v>42702.71603009259</v>
      </c>
      <c r="B169" s="21" t="s">
        <v>342</v>
      </c>
      <c r="C169" s="21" t="s">
        <v>567</v>
      </c>
      <c r="D169" s="21">
        <v>1280000</v>
      </c>
      <c r="E169" s="21" t="s">
        <v>321</v>
      </c>
      <c r="F169" s="21" t="str">
        <f t="shared" si="4"/>
        <v>rtdc.l.rtdc.4001:itc</v>
      </c>
      <c r="G169" s="8">
        <f t="shared" si="5"/>
        <v>42702.71603009259</v>
      </c>
    </row>
    <row r="170" spans="1:7" x14ac:dyDescent="0.25">
      <c r="A170" s="8">
        <v>42702.717013888891</v>
      </c>
      <c r="B170" s="21" t="s">
        <v>322</v>
      </c>
      <c r="C170" s="21" t="s">
        <v>568</v>
      </c>
      <c r="D170" s="21">
        <v>1180000</v>
      </c>
      <c r="E170" s="21" t="s">
        <v>346</v>
      </c>
      <c r="F170" s="21" t="str">
        <f t="shared" si="4"/>
        <v>rtdc.l.rtdc.4025:itc</v>
      </c>
      <c r="G170" s="8">
        <f t="shared" si="5"/>
        <v>42702.717013888891</v>
      </c>
    </row>
    <row r="171" spans="1:7" x14ac:dyDescent="0.25">
      <c r="A171" s="8">
        <v>42702.720046296294</v>
      </c>
      <c r="B171" s="21" t="s">
        <v>251</v>
      </c>
      <c r="C171" s="21" t="s">
        <v>569</v>
      </c>
      <c r="D171" s="21">
        <v>920000</v>
      </c>
      <c r="E171" s="21" t="s">
        <v>255</v>
      </c>
      <c r="F171" s="21" t="str">
        <f t="shared" si="4"/>
        <v>rtdc.l.rtdc.4031:itc</v>
      </c>
      <c r="G171" s="8">
        <f t="shared" si="5"/>
        <v>42702.720046296294</v>
      </c>
    </row>
    <row r="172" spans="1:7" x14ac:dyDescent="0.25">
      <c r="A172" s="8">
        <v>42702.726400462961</v>
      </c>
      <c r="B172" s="21" t="s">
        <v>238</v>
      </c>
      <c r="C172" s="21" t="s">
        <v>570</v>
      </c>
      <c r="D172" s="21">
        <v>1140000</v>
      </c>
      <c r="E172" s="21" t="s">
        <v>345</v>
      </c>
      <c r="F172" s="21" t="str">
        <f t="shared" si="4"/>
        <v>rtdc.l.rtdc.4014:itc</v>
      </c>
      <c r="G172" s="8">
        <f t="shared" si="5"/>
        <v>42702.726400462961</v>
      </c>
    </row>
    <row r="173" spans="1:7" x14ac:dyDescent="0.25">
      <c r="A173" s="8">
        <v>42702.727013888885</v>
      </c>
      <c r="B173" s="21" t="s">
        <v>215</v>
      </c>
      <c r="C173" s="21" t="s">
        <v>566</v>
      </c>
      <c r="D173" s="21">
        <v>880000</v>
      </c>
      <c r="E173" s="21" t="s">
        <v>320</v>
      </c>
      <c r="F173" s="21" t="str">
        <f t="shared" si="4"/>
        <v>rtdc.l.rtdc.4039:itc</v>
      </c>
      <c r="G173" s="8">
        <f t="shared" si="5"/>
        <v>42702.727013888885</v>
      </c>
    </row>
    <row r="174" spans="1:7" x14ac:dyDescent="0.25">
      <c r="A174" s="8">
        <v>42702.728449074071</v>
      </c>
      <c r="B174" s="21" t="s">
        <v>265</v>
      </c>
      <c r="C174" s="21" t="s">
        <v>571</v>
      </c>
      <c r="D174" s="21">
        <v>940000</v>
      </c>
      <c r="E174" s="21" t="s">
        <v>512</v>
      </c>
      <c r="F174" s="21" t="str">
        <f t="shared" si="4"/>
        <v>rtdc.l.rtdc.4041:itc</v>
      </c>
      <c r="G174" s="8">
        <f t="shared" si="5"/>
        <v>42702.728449074071</v>
      </c>
    </row>
    <row r="175" spans="1:7" x14ac:dyDescent="0.25">
      <c r="A175" s="8">
        <v>42702.735289351855</v>
      </c>
      <c r="B175" s="21" t="s">
        <v>225</v>
      </c>
      <c r="C175" s="21" t="s">
        <v>572</v>
      </c>
      <c r="D175" s="21">
        <v>1810000</v>
      </c>
      <c r="E175" s="21" t="s">
        <v>573</v>
      </c>
      <c r="F175" s="21" t="str">
        <f t="shared" si="4"/>
        <v>rtdc.l.rtdc.4038:itc</v>
      </c>
      <c r="G175" s="8">
        <f t="shared" si="5"/>
        <v>42702.735289351855</v>
      </c>
    </row>
    <row r="176" spans="1:7" x14ac:dyDescent="0.25">
      <c r="A176" s="8">
        <v>42702.735578703701</v>
      </c>
      <c r="B176" s="21" t="s">
        <v>288</v>
      </c>
      <c r="C176" s="21" t="s">
        <v>424</v>
      </c>
      <c r="D176" s="21">
        <v>920000</v>
      </c>
      <c r="E176" s="21" t="s">
        <v>255</v>
      </c>
      <c r="F176" s="21" t="str">
        <f t="shared" si="4"/>
        <v>rtdc.l.rtdc.4032:itc</v>
      </c>
      <c r="G176" s="8">
        <f t="shared" si="5"/>
        <v>42702.735578703701</v>
      </c>
    </row>
    <row r="177" spans="1:7" x14ac:dyDescent="0.25">
      <c r="A177" s="8">
        <v>42702.739618055559</v>
      </c>
      <c r="B177" s="21" t="s">
        <v>273</v>
      </c>
      <c r="C177" s="21" t="s">
        <v>425</v>
      </c>
      <c r="D177" s="21">
        <v>1290000</v>
      </c>
      <c r="E177" s="21" t="s">
        <v>347</v>
      </c>
      <c r="F177" s="21" t="str">
        <f t="shared" si="4"/>
        <v>rtdc.l.rtdc.4003:itc</v>
      </c>
      <c r="G177" s="8">
        <f t="shared" si="5"/>
        <v>42702.739618055559</v>
      </c>
    </row>
    <row r="178" spans="1:7" x14ac:dyDescent="0.25">
      <c r="A178" s="8">
        <v>42702.742754629631</v>
      </c>
      <c r="B178" s="21" t="s">
        <v>343</v>
      </c>
      <c r="C178" s="21" t="s">
        <v>574</v>
      </c>
      <c r="D178" s="21">
        <v>930000</v>
      </c>
      <c r="E178" s="21" t="s">
        <v>319</v>
      </c>
      <c r="F178" s="21" t="str">
        <f t="shared" si="4"/>
        <v>rtdc.l.rtdc.4015:itc</v>
      </c>
      <c r="G178" s="8">
        <f t="shared" si="5"/>
        <v>42702.742754629631</v>
      </c>
    </row>
    <row r="179" spans="1:7" x14ac:dyDescent="0.25">
      <c r="A179" s="8">
        <v>42702.744293981479</v>
      </c>
      <c r="B179" s="21" t="s">
        <v>253</v>
      </c>
      <c r="C179" s="21" t="s">
        <v>575</v>
      </c>
      <c r="D179" s="21">
        <v>2540000</v>
      </c>
      <c r="E179" s="21" t="s">
        <v>290</v>
      </c>
      <c r="F179" s="21" t="str">
        <f t="shared" si="4"/>
        <v>rtdc.l.rtdc.4045:itc</v>
      </c>
      <c r="G179" s="8">
        <f t="shared" si="5"/>
        <v>42702.744293981479</v>
      </c>
    </row>
    <row r="180" spans="1:7" x14ac:dyDescent="0.25">
      <c r="A180" s="8">
        <v>42702.747337962966</v>
      </c>
      <c r="B180" s="21" t="s">
        <v>213</v>
      </c>
      <c r="C180" s="21" t="s">
        <v>576</v>
      </c>
      <c r="D180" s="21">
        <v>2470000</v>
      </c>
      <c r="E180" s="21" t="s">
        <v>522</v>
      </c>
      <c r="F180" s="21" t="str">
        <f t="shared" si="4"/>
        <v>rtdc.l.rtdc.4040:itc</v>
      </c>
      <c r="G180" s="8">
        <f t="shared" si="5"/>
        <v>42702.747337962966</v>
      </c>
    </row>
    <row r="181" spans="1:7" x14ac:dyDescent="0.25">
      <c r="A181" s="8">
        <v>42702.747361111113</v>
      </c>
      <c r="B181" s="21" t="s">
        <v>408</v>
      </c>
      <c r="C181" s="21" t="s">
        <v>426</v>
      </c>
      <c r="D181" s="21">
        <v>1800000</v>
      </c>
      <c r="E181" s="21" t="s">
        <v>291</v>
      </c>
      <c r="F181" s="21" t="str">
        <f t="shared" si="4"/>
        <v>rtdc.l.rtdc.4008:itc</v>
      </c>
      <c r="G181" s="8">
        <f t="shared" si="5"/>
        <v>42702.747361111113</v>
      </c>
    </row>
    <row r="182" spans="1:7" x14ac:dyDescent="0.25">
      <c r="A182" s="8">
        <v>42702.752615740741</v>
      </c>
      <c r="B182" s="21" t="s">
        <v>317</v>
      </c>
      <c r="C182" s="21" t="s">
        <v>577</v>
      </c>
      <c r="D182" s="21">
        <v>1180000</v>
      </c>
      <c r="E182" s="21" t="s">
        <v>346</v>
      </c>
      <c r="F182" s="21" t="str">
        <f t="shared" si="4"/>
        <v>rtdc.l.rtdc.4026:itc</v>
      </c>
      <c r="G182" s="8">
        <f t="shared" si="5"/>
        <v>42702.752615740741</v>
      </c>
    </row>
    <row r="183" spans="1:7" x14ac:dyDescent="0.25">
      <c r="A183" s="8">
        <v>42702.75571759259</v>
      </c>
      <c r="B183" s="21" t="s">
        <v>274</v>
      </c>
      <c r="C183" s="21" t="s">
        <v>427</v>
      </c>
      <c r="D183" s="21">
        <v>1290000</v>
      </c>
      <c r="E183" s="21" t="s">
        <v>347</v>
      </c>
      <c r="F183" s="21" t="str">
        <f t="shared" si="4"/>
        <v>rtdc.l.rtdc.4004:itc</v>
      </c>
      <c r="G183" s="8">
        <f t="shared" si="5"/>
        <v>42702.75571759259</v>
      </c>
    </row>
    <row r="184" spans="1:7" x14ac:dyDescent="0.25">
      <c r="A184" s="8">
        <v>42702.75640046296</v>
      </c>
      <c r="B184" s="21" t="s">
        <v>220</v>
      </c>
      <c r="C184" s="21" t="s">
        <v>578</v>
      </c>
      <c r="D184" s="21">
        <v>1230000</v>
      </c>
      <c r="E184" s="21" t="s">
        <v>579</v>
      </c>
      <c r="F184" s="21" t="str">
        <f t="shared" si="4"/>
        <v>rtdc.l.rtdc.4002:itc</v>
      </c>
      <c r="G184" s="8">
        <f t="shared" si="5"/>
        <v>42702.75640046296</v>
      </c>
    </row>
    <row r="185" spans="1:7" x14ac:dyDescent="0.25">
      <c r="A185" s="8">
        <v>42702.757013888891</v>
      </c>
      <c r="B185" s="21" t="s">
        <v>220</v>
      </c>
      <c r="C185" s="21" t="s">
        <v>580</v>
      </c>
      <c r="D185" s="21">
        <v>1230000</v>
      </c>
      <c r="E185" s="21" t="s">
        <v>579</v>
      </c>
      <c r="F185" s="21" t="str">
        <f t="shared" si="4"/>
        <v>rtdc.l.rtdc.4002:itc</v>
      </c>
      <c r="G185" s="8">
        <f t="shared" si="5"/>
        <v>42702.757013888891</v>
      </c>
    </row>
    <row r="186" spans="1:7" x14ac:dyDescent="0.25">
      <c r="A186" s="8">
        <v>42702.759780092594</v>
      </c>
      <c r="B186" s="21" t="s">
        <v>239</v>
      </c>
      <c r="C186" s="21" t="s">
        <v>428</v>
      </c>
      <c r="D186" s="21">
        <v>1140000</v>
      </c>
      <c r="E186" s="21" t="s">
        <v>345</v>
      </c>
      <c r="F186" s="21" t="str">
        <f t="shared" si="4"/>
        <v>rtdc.l.rtdc.4013:itc</v>
      </c>
      <c r="G186" s="8">
        <f t="shared" si="5"/>
        <v>42702.759780092594</v>
      </c>
    </row>
    <row r="187" spans="1:7" x14ac:dyDescent="0.25">
      <c r="A187" s="8">
        <v>42702.760625000003</v>
      </c>
      <c r="B187" s="21" t="s">
        <v>251</v>
      </c>
      <c r="C187" s="21" t="s">
        <v>581</v>
      </c>
      <c r="D187" s="21">
        <v>920000</v>
      </c>
      <c r="E187" s="21" t="s">
        <v>255</v>
      </c>
      <c r="F187" s="21" t="str">
        <f t="shared" si="4"/>
        <v>rtdc.l.rtdc.4031:itc</v>
      </c>
      <c r="G187" s="8">
        <f t="shared" si="5"/>
        <v>42702.760625000003</v>
      </c>
    </row>
    <row r="188" spans="1:7" x14ac:dyDescent="0.25">
      <c r="A188" s="8">
        <v>42702.769270833334</v>
      </c>
      <c r="B188" s="21" t="s">
        <v>226</v>
      </c>
      <c r="C188" s="21" t="s">
        <v>582</v>
      </c>
      <c r="D188" s="21">
        <v>1810000</v>
      </c>
      <c r="E188" s="21" t="s">
        <v>573</v>
      </c>
      <c r="F188" s="21" t="str">
        <f t="shared" si="4"/>
        <v>rtdc.l.rtdc.4037:itc</v>
      </c>
      <c r="G188" s="8">
        <f t="shared" si="5"/>
        <v>42702.769270833334</v>
      </c>
    </row>
    <row r="189" spans="1:7" x14ac:dyDescent="0.25">
      <c r="A189" s="8">
        <v>42702.769444444442</v>
      </c>
      <c r="B189" s="21" t="s">
        <v>264</v>
      </c>
      <c r="C189" s="21" t="s">
        <v>578</v>
      </c>
      <c r="D189" s="21">
        <v>1800000</v>
      </c>
      <c r="E189" s="21" t="s">
        <v>291</v>
      </c>
      <c r="F189" s="21" t="str">
        <f t="shared" si="4"/>
        <v>rtdc.l.rtdc.4042:itc</v>
      </c>
      <c r="G189" s="8">
        <f t="shared" si="5"/>
        <v>42702.769444444442</v>
      </c>
    </row>
    <row r="190" spans="1:7" x14ac:dyDescent="0.25">
      <c r="A190" s="8">
        <v>42702.771493055552</v>
      </c>
      <c r="B190" s="21" t="s">
        <v>410</v>
      </c>
      <c r="C190" s="21" t="s">
        <v>583</v>
      </c>
      <c r="D190" s="21">
        <v>940000</v>
      </c>
      <c r="E190" s="21" t="s">
        <v>512</v>
      </c>
      <c r="F190" s="21" t="str">
        <f t="shared" si="4"/>
        <v>rtdc.l.rtdc.4007:itc</v>
      </c>
      <c r="G190" s="8">
        <f t="shared" si="5"/>
        <v>42702.771493055552</v>
      </c>
    </row>
    <row r="191" spans="1:7" x14ac:dyDescent="0.25">
      <c r="A191" s="8">
        <v>42702.772638888891</v>
      </c>
      <c r="B191" s="21" t="s">
        <v>410</v>
      </c>
      <c r="C191" s="21" t="s">
        <v>583</v>
      </c>
      <c r="D191" s="21">
        <v>940000</v>
      </c>
      <c r="E191" s="21" t="s">
        <v>512</v>
      </c>
      <c r="F191" s="21" t="str">
        <f t="shared" si="4"/>
        <v>rtdc.l.rtdc.4007:itc</v>
      </c>
      <c r="G191" s="8">
        <f t="shared" si="5"/>
        <v>42702.772638888891</v>
      </c>
    </row>
    <row r="192" spans="1:7" x14ac:dyDescent="0.25">
      <c r="A192" s="8">
        <v>42702.77648148148</v>
      </c>
      <c r="B192" s="21" t="s">
        <v>288</v>
      </c>
      <c r="C192" s="21" t="s">
        <v>584</v>
      </c>
      <c r="D192" s="21">
        <v>920000</v>
      </c>
      <c r="E192" s="21" t="s">
        <v>255</v>
      </c>
      <c r="F192" s="21" t="str">
        <f t="shared" si="4"/>
        <v>rtdc.l.rtdc.4032:itc</v>
      </c>
      <c r="G192" s="8">
        <f t="shared" si="5"/>
        <v>42702.77648148148</v>
      </c>
    </row>
    <row r="193" spans="1:7" x14ac:dyDescent="0.25">
      <c r="A193" s="8">
        <v>42702.780347222222</v>
      </c>
      <c r="B193" s="21" t="s">
        <v>215</v>
      </c>
      <c r="C193" s="21" t="s">
        <v>585</v>
      </c>
      <c r="D193" s="21">
        <v>2470000</v>
      </c>
      <c r="E193" s="21" t="s">
        <v>522</v>
      </c>
      <c r="F193" s="21" t="str">
        <f t="shared" si="4"/>
        <v>rtdc.l.rtdc.4039:itc</v>
      </c>
      <c r="G193" s="8">
        <f t="shared" si="5"/>
        <v>42702.780347222222</v>
      </c>
    </row>
    <row r="194" spans="1:7" x14ac:dyDescent="0.25">
      <c r="A194" s="8">
        <v>42702.782442129632</v>
      </c>
      <c r="B194" s="21" t="s">
        <v>273</v>
      </c>
      <c r="C194" s="21" t="s">
        <v>586</v>
      </c>
      <c r="D194" s="21">
        <v>1290000</v>
      </c>
      <c r="E194" s="21" t="s">
        <v>347</v>
      </c>
      <c r="F194" s="21" t="str">
        <f t="shared" ref="F194:F235" si="6">B194</f>
        <v>rtdc.l.rtdc.4003:itc</v>
      </c>
      <c r="G194" s="8">
        <f t="shared" ref="G194:G235" si="7">A194</f>
        <v>42702.782442129632</v>
      </c>
    </row>
    <row r="195" spans="1:7" x14ac:dyDescent="0.25">
      <c r="A195" s="8">
        <v>42702.782905092594</v>
      </c>
      <c r="B195" s="21" t="s">
        <v>341</v>
      </c>
      <c r="C195" s="21" t="s">
        <v>587</v>
      </c>
      <c r="D195" s="21">
        <v>930000</v>
      </c>
      <c r="E195" s="21" t="s">
        <v>319</v>
      </c>
      <c r="F195" s="21" t="str">
        <f t="shared" si="6"/>
        <v>rtdc.l.rtdc.4016:itc</v>
      </c>
      <c r="G195" s="8">
        <f t="shared" si="7"/>
        <v>42702.782905092594</v>
      </c>
    </row>
    <row r="196" spans="1:7" x14ac:dyDescent="0.25">
      <c r="A196" s="8">
        <v>42702.786944444444</v>
      </c>
      <c r="B196" s="21" t="s">
        <v>322</v>
      </c>
      <c r="C196" s="21" t="s">
        <v>588</v>
      </c>
      <c r="D196" s="21">
        <v>1180000</v>
      </c>
      <c r="E196" s="21" t="s">
        <v>346</v>
      </c>
      <c r="F196" s="21" t="str">
        <f t="shared" si="6"/>
        <v>rtdc.l.rtdc.4025:itc</v>
      </c>
      <c r="G196" s="8">
        <f t="shared" si="7"/>
        <v>42702.786944444444</v>
      </c>
    </row>
    <row r="197" spans="1:7" x14ac:dyDescent="0.25">
      <c r="A197" s="8">
        <v>42702.788935185185</v>
      </c>
      <c r="B197" s="21" t="s">
        <v>342</v>
      </c>
      <c r="C197" s="21" t="s">
        <v>589</v>
      </c>
      <c r="D197" s="21">
        <v>1230000</v>
      </c>
      <c r="E197" s="21" t="s">
        <v>579</v>
      </c>
      <c r="F197" s="21" t="str">
        <f t="shared" si="6"/>
        <v>rtdc.l.rtdc.4001:itc</v>
      </c>
      <c r="G197" s="8">
        <f t="shared" si="7"/>
        <v>42702.788935185185</v>
      </c>
    </row>
    <row r="198" spans="1:7" x14ac:dyDescent="0.25">
      <c r="A198" s="8">
        <v>42702.797337962962</v>
      </c>
      <c r="B198" s="21" t="s">
        <v>274</v>
      </c>
      <c r="C198" s="21" t="s">
        <v>590</v>
      </c>
      <c r="D198" s="21">
        <v>1290000</v>
      </c>
      <c r="E198" s="21" t="s">
        <v>347</v>
      </c>
      <c r="F198" s="21" t="str">
        <f t="shared" si="6"/>
        <v>rtdc.l.rtdc.4004:itc</v>
      </c>
      <c r="G198" s="8">
        <f t="shared" si="7"/>
        <v>42702.797337962962</v>
      </c>
    </row>
    <row r="199" spans="1:7" x14ac:dyDescent="0.25">
      <c r="A199" s="8">
        <v>42702.800243055557</v>
      </c>
      <c r="B199" s="21" t="s">
        <v>238</v>
      </c>
      <c r="C199" s="21" t="s">
        <v>591</v>
      </c>
      <c r="D199" s="21">
        <v>1140000</v>
      </c>
      <c r="E199" s="21" t="s">
        <v>345</v>
      </c>
      <c r="F199" s="21" t="str">
        <f t="shared" si="6"/>
        <v>rtdc.l.rtdc.4014:itc</v>
      </c>
      <c r="G199" s="8">
        <f t="shared" si="7"/>
        <v>42702.800243055557</v>
      </c>
    </row>
    <row r="200" spans="1:7" x14ac:dyDescent="0.25">
      <c r="A200" s="8">
        <v>42702.801759259259</v>
      </c>
      <c r="B200" s="21" t="s">
        <v>251</v>
      </c>
      <c r="C200" s="21" t="s">
        <v>429</v>
      </c>
      <c r="D200" s="21">
        <v>920000</v>
      </c>
      <c r="E200" s="21" t="s">
        <v>255</v>
      </c>
      <c r="F200" s="21" t="str">
        <f t="shared" si="6"/>
        <v>rtdc.l.rtdc.4031:itc</v>
      </c>
      <c r="G200" s="8">
        <f t="shared" si="7"/>
        <v>42702.801759259259</v>
      </c>
    </row>
    <row r="201" spans="1:7" x14ac:dyDescent="0.25">
      <c r="A201" s="8">
        <v>42702.808599537035</v>
      </c>
      <c r="B201" s="21" t="s">
        <v>265</v>
      </c>
      <c r="C201" s="21" t="s">
        <v>592</v>
      </c>
      <c r="D201" s="21">
        <v>1800000</v>
      </c>
      <c r="E201" s="21" t="s">
        <v>291</v>
      </c>
      <c r="F201" s="21" t="str">
        <f t="shared" si="6"/>
        <v>rtdc.l.rtdc.4041:itc</v>
      </c>
      <c r="G201" s="8">
        <f t="shared" si="7"/>
        <v>42702.808599537035</v>
      </c>
    </row>
    <row r="202" spans="1:7" x14ac:dyDescent="0.25">
      <c r="A202" s="27">
        <v>42702.810810185183</v>
      </c>
      <c r="B202" s="21" t="s">
        <v>225</v>
      </c>
      <c r="C202" s="21" t="s">
        <v>593</v>
      </c>
      <c r="D202" s="21">
        <v>2480000</v>
      </c>
      <c r="E202" s="21" t="s">
        <v>323</v>
      </c>
      <c r="F202" s="21" t="str">
        <f t="shared" si="6"/>
        <v>rtdc.l.rtdc.4038:itc</v>
      </c>
      <c r="G202" s="8">
        <f t="shared" si="7"/>
        <v>42702.810810185183</v>
      </c>
    </row>
    <row r="203" spans="1:7" x14ac:dyDescent="0.25">
      <c r="A203" s="8">
        <v>42702.817083333335</v>
      </c>
      <c r="B203" s="21" t="s">
        <v>213</v>
      </c>
      <c r="C203" s="21" t="s">
        <v>594</v>
      </c>
      <c r="D203" s="21">
        <v>2470000</v>
      </c>
      <c r="E203" s="21" t="s">
        <v>522</v>
      </c>
      <c r="F203" s="21" t="str">
        <f t="shared" si="6"/>
        <v>rtdc.l.rtdc.4040:itc</v>
      </c>
      <c r="G203" s="8">
        <f t="shared" si="7"/>
        <v>42702.817083333335</v>
      </c>
    </row>
    <row r="204" spans="1:7" x14ac:dyDescent="0.25">
      <c r="A204" s="8">
        <v>42702.818518518521</v>
      </c>
      <c r="B204" s="21" t="s">
        <v>288</v>
      </c>
      <c r="C204" s="21" t="s">
        <v>595</v>
      </c>
      <c r="D204" s="21">
        <v>920000</v>
      </c>
      <c r="E204" s="21" t="s">
        <v>255</v>
      </c>
      <c r="F204" s="21" t="str">
        <f t="shared" si="6"/>
        <v>rtdc.l.rtdc.4032:itc</v>
      </c>
      <c r="G204" s="8">
        <f t="shared" si="7"/>
        <v>42702.818518518521</v>
      </c>
    </row>
    <row r="205" spans="1:7" x14ac:dyDescent="0.25">
      <c r="A205" s="8">
        <v>42702.822928240741</v>
      </c>
      <c r="B205" s="21" t="s">
        <v>317</v>
      </c>
      <c r="C205" s="21" t="s">
        <v>430</v>
      </c>
      <c r="D205" s="21">
        <v>1180000</v>
      </c>
      <c r="E205" s="21" t="s">
        <v>346</v>
      </c>
      <c r="F205" s="21" t="str">
        <f t="shared" si="6"/>
        <v>rtdc.l.rtdc.4026:itc</v>
      </c>
      <c r="G205" s="8">
        <f t="shared" si="7"/>
        <v>42702.822928240741</v>
      </c>
    </row>
    <row r="206" spans="1:7" x14ac:dyDescent="0.25">
      <c r="A206" s="8">
        <v>42702.82953703704</v>
      </c>
      <c r="B206" s="21" t="s">
        <v>220</v>
      </c>
      <c r="C206" s="21" t="s">
        <v>596</v>
      </c>
      <c r="D206" s="21">
        <v>1230000</v>
      </c>
      <c r="E206" s="21" t="s">
        <v>579</v>
      </c>
      <c r="F206" s="21" t="str">
        <f t="shared" si="6"/>
        <v>rtdc.l.rtdc.4002:itc</v>
      </c>
      <c r="G206" s="8">
        <f t="shared" si="7"/>
        <v>42702.82953703704</v>
      </c>
    </row>
    <row r="207" spans="1:7" x14ac:dyDescent="0.25">
      <c r="A207" s="8">
        <v>42702.83489583333</v>
      </c>
      <c r="B207" s="21" t="s">
        <v>251</v>
      </c>
      <c r="C207" s="21" t="s">
        <v>597</v>
      </c>
      <c r="D207" s="21">
        <v>920000</v>
      </c>
      <c r="E207" s="21" t="s">
        <v>255</v>
      </c>
      <c r="F207" s="21" t="str">
        <f t="shared" si="6"/>
        <v>rtdc.l.rtdc.4031:itc</v>
      </c>
      <c r="G207" s="8">
        <f t="shared" si="7"/>
        <v>42702.83489583333</v>
      </c>
    </row>
    <row r="208" spans="1:7" x14ac:dyDescent="0.25">
      <c r="A208" s="8">
        <v>42702.847731481481</v>
      </c>
      <c r="B208" s="21" t="s">
        <v>226</v>
      </c>
      <c r="C208" s="21" t="s">
        <v>598</v>
      </c>
      <c r="D208" s="21">
        <v>2480000</v>
      </c>
      <c r="E208" s="21" t="s">
        <v>323</v>
      </c>
      <c r="F208" s="21" t="str">
        <f t="shared" si="6"/>
        <v>rtdc.l.rtdc.4037:itc</v>
      </c>
      <c r="G208" s="8">
        <f t="shared" si="7"/>
        <v>42702.847731481481</v>
      </c>
    </row>
    <row r="209" spans="1:7" x14ac:dyDescent="0.25">
      <c r="A209" s="8">
        <v>42702.848854166667</v>
      </c>
      <c r="B209" s="21" t="s">
        <v>264</v>
      </c>
      <c r="C209" s="21" t="s">
        <v>599</v>
      </c>
      <c r="D209" s="21">
        <v>1800000</v>
      </c>
      <c r="E209" s="21" t="s">
        <v>291</v>
      </c>
      <c r="F209" s="21" t="str">
        <f t="shared" si="6"/>
        <v>rtdc.l.rtdc.4042:itc</v>
      </c>
      <c r="G209" s="8">
        <f t="shared" si="7"/>
        <v>42702.848854166667</v>
      </c>
    </row>
    <row r="210" spans="1:7" x14ac:dyDescent="0.25">
      <c r="A210" s="8">
        <v>42702.859814814816</v>
      </c>
      <c r="B210" s="21" t="s">
        <v>288</v>
      </c>
      <c r="C210" s="21" t="s">
        <v>600</v>
      </c>
      <c r="D210" s="21">
        <v>920000</v>
      </c>
      <c r="E210" s="21" t="s">
        <v>255</v>
      </c>
      <c r="F210" s="21" t="str">
        <f t="shared" si="6"/>
        <v>rtdc.l.rtdc.4032:itc</v>
      </c>
      <c r="G210" s="8">
        <f t="shared" si="7"/>
        <v>42702.859814814816</v>
      </c>
    </row>
    <row r="211" spans="1:7" x14ac:dyDescent="0.25">
      <c r="A211" s="8">
        <v>42702.868171296293</v>
      </c>
      <c r="B211" s="21" t="s">
        <v>342</v>
      </c>
      <c r="C211" s="21" t="s">
        <v>601</v>
      </c>
      <c r="D211" s="21">
        <v>1230000</v>
      </c>
      <c r="E211" s="21" t="s">
        <v>579</v>
      </c>
      <c r="F211" s="21" t="str">
        <f t="shared" si="6"/>
        <v>rtdc.l.rtdc.4001:itc</v>
      </c>
      <c r="G211" s="8">
        <f t="shared" si="7"/>
        <v>42702.868171296293</v>
      </c>
    </row>
    <row r="212" spans="1:7" x14ac:dyDescent="0.25">
      <c r="A212" s="8">
        <v>42702.871157407404</v>
      </c>
      <c r="B212" s="21" t="s">
        <v>322</v>
      </c>
      <c r="C212" s="21" t="s">
        <v>602</v>
      </c>
      <c r="D212" s="21">
        <v>1180000</v>
      </c>
      <c r="E212" s="21" t="s">
        <v>346</v>
      </c>
      <c r="F212" s="21" t="str">
        <f t="shared" si="6"/>
        <v>rtdc.l.rtdc.4025:itc</v>
      </c>
      <c r="G212" s="8">
        <f t="shared" si="7"/>
        <v>42702.871157407404</v>
      </c>
    </row>
    <row r="213" spans="1:7" x14ac:dyDescent="0.25">
      <c r="A213" s="8">
        <v>42702.883379629631</v>
      </c>
      <c r="B213" s="21" t="s">
        <v>225</v>
      </c>
      <c r="C213" s="21" t="s">
        <v>603</v>
      </c>
      <c r="D213" s="21">
        <v>1810000</v>
      </c>
      <c r="E213" s="21" t="s">
        <v>573</v>
      </c>
      <c r="F213" s="21" t="str">
        <f t="shared" si="6"/>
        <v>rtdc.l.rtdc.4038:itc</v>
      </c>
      <c r="G213" s="8">
        <f t="shared" si="7"/>
        <v>42702.883379629631</v>
      </c>
    </row>
    <row r="214" spans="1:7" x14ac:dyDescent="0.25">
      <c r="A214" s="8">
        <v>42702.886122685188</v>
      </c>
      <c r="B214" s="21" t="s">
        <v>251</v>
      </c>
      <c r="C214" s="21" t="s">
        <v>431</v>
      </c>
      <c r="D214" s="21">
        <v>1290000</v>
      </c>
      <c r="E214" s="21" t="s">
        <v>347</v>
      </c>
      <c r="F214" s="21" t="str">
        <f t="shared" si="6"/>
        <v>rtdc.l.rtdc.4031:itc</v>
      </c>
      <c r="G214" s="8">
        <f t="shared" si="7"/>
        <v>42702.886122685188</v>
      </c>
    </row>
    <row r="215" spans="1:7" x14ac:dyDescent="0.25">
      <c r="A215" s="8">
        <v>42702.889872685184</v>
      </c>
      <c r="B215" s="21" t="s">
        <v>265</v>
      </c>
      <c r="C215" s="21" t="s">
        <v>604</v>
      </c>
      <c r="D215" s="21">
        <v>1800000</v>
      </c>
      <c r="E215" s="21" t="s">
        <v>291</v>
      </c>
      <c r="F215" s="21" t="str">
        <f t="shared" si="6"/>
        <v>rtdc.l.rtdc.4041:itc</v>
      </c>
      <c r="G215" s="8">
        <f t="shared" si="7"/>
        <v>42702.889872685184</v>
      </c>
    </row>
    <row r="216" spans="1:7" x14ac:dyDescent="0.25">
      <c r="A216" s="8">
        <v>42702.899837962963</v>
      </c>
      <c r="B216" s="21" t="s">
        <v>220</v>
      </c>
      <c r="C216" s="21" t="s">
        <v>605</v>
      </c>
      <c r="D216" s="21">
        <v>1230000</v>
      </c>
      <c r="E216" s="21" t="s">
        <v>579</v>
      </c>
      <c r="F216" s="21" t="str">
        <f t="shared" si="6"/>
        <v>rtdc.l.rtdc.4002:itc</v>
      </c>
      <c r="G216" s="8">
        <f t="shared" si="7"/>
        <v>42702.899837962963</v>
      </c>
    </row>
    <row r="217" spans="1:7" x14ac:dyDescent="0.25">
      <c r="A217" s="8">
        <v>42702.901041666664</v>
      </c>
      <c r="B217" s="21" t="s">
        <v>288</v>
      </c>
      <c r="C217" s="21" t="s">
        <v>606</v>
      </c>
      <c r="D217" s="21">
        <v>1290000</v>
      </c>
      <c r="E217" s="21" t="s">
        <v>347</v>
      </c>
      <c r="F217" s="21" t="str">
        <f t="shared" si="6"/>
        <v>rtdc.l.rtdc.4032:itc</v>
      </c>
      <c r="G217" s="8">
        <f t="shared" si="7"/>
        <v>42702.901041666664</v>
      </c>
    </row>
    <row r="218" spans="1:7" x14ac:dyDescent="0.25">
      <c r="A218" s="8">
        <v>42702.906238425923</v>
      </c>
      <c r="B218" s="21" t="s">
        <v>317</v>
      </c>
      <c r="C218" s="21" t="s">
        <v>607</v>
      </c>
      <c r="D218" s="21">
        <v>1180000</v>
      </c>
      <c r="E218" s="21" t="s">
        <v>346</v>
      </c>
      <c r="F218" s="21" t="str">
        <f t="shared" si="6"/>
        <v>rtdc.l.rtdc.4026:itc</v>
      </c>
      <c r="G218" s="8">
        <f t="shared" si="7"/>
        <v>42702.906238425923</v>
      </c>
    </row>
    <row r="219" spans="1:7" x14ac:dyDescent="0.25">
      <c r="A219" s="8">
        <v>42702.927534722221</v>
      </c>
      <c r="B219" s="21" t="s">
        <v>226</v>
      </c>
      <c r="C219" s="21" t="s">
        <v>608</v>
      </c>
      <c r="D219" s="21">
        <v>1810000</v>
      </c>
      <c r="E219" s="21" t="s">
        <v>573</v>
      </c>
      <c r="F219" s="21" t="str">
        <f t="shared" si="6"/>
        <v>rtdc.l.rtdc.4037:itc</v>
      </c>
      <c r="G219" s="8">
        <f t="shared" si="7"/>
        <v>42702.927534722221</v>
      </c>
    </row>
    <row r="220" spans="1:7" x14ac:dyDescent="0.25">
      <c r="A220" s="8">
        <v>42702.927581018521</v>
      </c>
      <c r="B220" s="21" t="s">
        <v>251</v>
      </c>
      <c r="C220" s="21" t="s">
        <v>609</v>
      </c>
      <c r="D220" s="21">
        <v>1290000</v>
      </c>
      <c r="E220" s="21" t="s">
        <v>347</v>
      </c>
      <c r="F220" s="21" t="str">
        <f t="shared" si="6"/>
        <v>rtdc.l.rtdc.4031:itc</v>
      </c>
      <c r="G220" s="8">
        <f t="shared" si="7"/>
        <v>42702.927581018521</v>
      </c>
    </row>
    <row r="221" spans="1:7" x14ac:dyDescent="0.25">
      <c r="A221" s="8">
        <v>42702.932847222219</v>
      </c>
      <c r="B221" s="21" t="s">
        <v>264</v>
      </c>
      <c r="C221" s="21" t="s">
        <v>610</v>
      </c>
      <c r="D221" s="21">
        <v>1800000</v>
      </c>
      <c r="E221" s="21" t="s">
        <v>291</v>
      </c>
      <c r="F221" s="21" t="str">
        <f t="shared" si="6"/>
        <v>rtdc.l.rtdc.4042:itc</v>
      </c>
      <c r="G221" s="8">
        <f t="shared" si="7"/>
        <v>42702.932847222219</v>
      </c>
    </row>
    <row r="222" spans="1:7" x14ac:dyDescent="0.25">
      <c r="A222" s="8">
        <v>42702.942800925928</v>
      </c>
      <c r="B222" s="21" t="s">
        <v>288</v>
      </c>
      <c r="C222" s="21" t="s">
        <v>611</v>
      </c>
      <c r="D222" s="21">
        <v>1290000</v>
      </c>
      <c r="E222" s="21" t="s">
        <v>347</v>
      </c>
      <c r="F222" s="21" t="str">
        <f t="shared" si="6"/>
        <v>rtdc.l.rtdc.4032:itc</v>
      </c>
      <c r="G222" s="8">
        <f t="shared" si="7"/>
        <v>42702.942800925928</v>
      </c>
    </row>
    <row r="223" spans="1:7" x14ac:dyDescent="0.25">
      <c r="A223" s="8">
        <v>42702.951261574075</v>
      </c>
      <c r="B223" s="21" t="s">
        <v>322</v>
      </c>
      <c r="C223" s="21" t="s">
        <v>612</v>
      </c>
      <c r="D223" s="21">
        <v>1180000</v>
      </c>
      <c r="E223" s="21" t="s">
        <v>346</v>
      </c>
      <c r="F223" s="21" t="str">
        <f t="shared" si="6"/>
        <v>rtdc.l.rtdc.4025:itc</v>
      </c>
      <c r="G223" s="8">
        <f t="shared" si="7"/>
        <v>42702.951261574075</v>
      </c>
    </row>
    <row r="224" spans="1:7" x14ac:dyDescent="0.25">
      <c r="A224" s="8">
        <v>42702.953368055554</v>
      </c>
      <c r="B224" t="s">
        <v>342</v>
      </c>
      <c r="C224" t="s">
        <v>613</v>
      </c>
      <c r="D224">
        <v>1230000</v>
      </c>
      <c r="E224" t="s">
        <v>579</v>
      </c>
      <c r="F224" s="21" t="str">
        <f t="shared" si="6"/>
        <v>rtdc.l.rtdc.4001:itc</v>
      </c>
      <c r="G224" s="8">
        <f t="shared" si="7"/>
        <v>42702.953368055554</v>
      </c>
    </row>
    <row r="225" spans="1:7" x14ac:dyDescent="0.25">
      <c r="A225" s="8">
        <v>42702.962210648147</v>
      </c>
      <c r="B225" t="s">
        <v>225</v>
      </c>
      <c r="C225" t="s">
        <v>614</v>
      </c>
      <c r="D225">
        <v>1810000</v>
      </c>
      <c r="E225" t="s">
        <v>573</v>
      </c>
      <c r="F225" s="21" t="str">
        <f t="shared" si="6"/>
        <v>rtdc.l.rtdc.4038:itc</v>
      </c>
      <c r="G225" s="8">
        <f t="shared" si="7"/>
        <v>42702.962210648147</v>
      </c>
    </row>
    <row r="226" spans="1:7" x14ac:dyDescent="0.25">
      <c r="A226" s="8">
        <v>42702.974918981483</v>
      </c>
      <c r="B226" t="s">
        <v>265</v>
      </c>
      <c r="C226" t="s">
        <v>615</v>
      </c>
      <c r="D226">
        <v>1800000</v>
      </c>
      <c r="E226" t="s">
        <v>291</v>
      </c>
      <c r="F226" s="21" t="str">
        <f t="shared" si="6"/>
        <v>rtdc.l.rtdc.4041:itc</v>
      </c>
      <c r="G226" s="8">
        <f t="shared" si="7"/>
        <v>42702.974918981483</v>
      </c>
    </row>
    <row r="227" spans="1:7" x14ac:dyDescent="0.25">
      <c r="A227" s="8">
        <v>42702.983622685184</v>
      </c>
      <c r="B227" t="s">
        <v>220</v>
      </c>
      <c r="C227" t="s">
        <v>432</v>
      </c>
      <c r="D227">
        <v>1230000</v>
      </c>
      <c r="E227" t="s">
        <v>579</v>
      </c>
      <c r="F227" s="21" t="str">
        <f t="shared" si="6"/>
        <v>rtdc.l.rtdc.4002:itc</v>
      </c>
      <c r="G227" s="8">
        <f t="shared" si="7"/>
        <v>42702.983622685184</v>
      </c>
    </row>
    <row r="228" spans="1:7" x14ac:dyDescent="0.25">
      <c r="A228" s="8">
        <v>42702.988807870373</v>
      </c>
      <c r="B228" t="s">
        <v>317</v>
      </c>
      <c r="C228" t="s">
        <v>616</v>
      </c>
      <c r="D228">
        <v>1180000</v>
      </c>
      <c r="E228" t="s">
        <v>346</v>
      </c>
      <c r="F228" s="21" t="str">
        <f t="shared" si="6"/>
        <v>rtdc.l.rtdc.4026:itc</v>
      </c>
      <c r="G228" s="8">
        <f t="shared" si="7"/>
        <v>42702.988807870373</v>
      </c>
    </row>
    <row r="229" spans="1:7" x14ac:dyDescent="0.25">
      <c r="A229" s="8">
        <v>42703.013483796298</v>
      </c>
      <c r="B229" t="s">
        <v>226</v>
      </c>
      <c r="C229" t="s">
        <v>617</v>
      </c>
      <c r="D229">
        <v>1810000</v>
      </c>
      <c r="E229" t="s">
        <v>573</v>
      </c>
      <c r="F229" s="21" t="str">
        <f t="shared" si="6"/>
        <v>rtdc.l.rtdc.4037:itc</v>
      </c>
      <c r="G229" s="8">
        <f t="shared" si="7"/>
        <v>42703.013483796298</v>
      </c>
    </row>
    <row r="230" spans="1:7" x14ac:dyDescent="0.25">
      <c r="A230" s="8">
        <v>42703.018854166665</v>
      </c>
      <c r="B230" t="s">
        <v>264</v>
      </c>
      <c r="C230" t="s">
        <v>618</v>
      </c>
      <c r="D230">
        <v>1800000</v>
      </c>
      <c r="E230" t="s">
        <v>291</v>
      </c>
      <c r="F230" s="21" t="str">
        <f t="shared" si="6"/>
        <v>rtdc.l.rtdc.4042:itc</v>
      </c>
      <c r="G230" s="8">
        <f t="shared" si="7"/>
        <v>42703.018854166665</v>
      </c>
    </row>
    <row r="231" spans="1:7" x14ac:dyDescent="0.25">
      <c r="A231" s="8">
        <v>42703.025995370372</v>
      </c>
      <c r="B231" t="s">
        <v>342</v>
      </c>
      <c r="C231" t="s">
        <v>619</v>
      </c>
      <c r="D231">
        <v>1230000</v>
      </c>
      <c r="E231" t="s">
        <v>579</v>
      </c>
      <c r="F231" s="21" t="str">
        <f t="shared" si="6"/>
        <v>rtdc.l.rtdc.4001:itc</v>
      </c>
      <c r="G231" s="8">
        <f t="shared" si="7"/>
        <v>42703.025995370372</v>
      </c>
    </row>
    <row r="232" spans="1:7" x14ac:dyDescent="0.25">
      <c r="A232" s="8">
        <v>42703.027094907404</v>
      </c>
      <c r="B232" t="s">
        <v>322</v>
      </c>
      <c r="C232" t="s">
        <v>620</v>
      </c>
      <c r="D232">
        <v>1180000</v>
      </c>
      <c r="E232" t="s">
        <v>346</v>
      </c>
      <c r="F232" s="21" t="str">
        <f t="shared" si="6"/>
        <v>rtdc.l.rtdc.4025:itc</v>
      </c>
      <c r="G232" s="8">
        <f t="shared" si="7"/>
        <v>42703.027094907404</v>
      </c>
    </row>
    <row r="233" spans="1:7" x14ac:dyDescent="0.25">
      <c r="A233" s="8">
        <v>42703.028275462966</v>
      </c>
      <c r="B233" t="s">
        <v>322</v>
      </c>
      <c r="C233" t="s">
        <v>620</v>
      </c>
      <c r="D233">
        <v>1180000</v>
      </c>
      <c r="E233" t="s">
        <v>346</v>
      </c>
      <c r="F233" s="21" t="str">
        <f t="shared" si="6"/>
        <v>rtdc.l.rtdc.4025:itc</v>
      </c>
      <c r="G233" s="8">
        <f t="shared" si="7"/>
        <v>42703.028275462966</v>
      </c>
    </row>
    <row r="234" spans="1:7" x14ac:dyDescent="0.25">
      <c r="A234" s="8">
        <v>42703.046053240738</v>
      </c>
      <c r="B234" t="s">
        <v>225</v>
      </c>
      <c r="C234" t="s">
        <v>621</v>
      </c>
      <c r="D234">
        <v>1810000</v>
      </c>
      <c r="E234" t="s">
        <v>573</v>
      </c>
      <c r="F234" s="21" t="str">
        <f t="shared" si="6"/>
        <v>rtdc.l.rtdc.4038:itc</v>
      </c>
      <c r="G234" s="8">
        <f t="shared" si="7"/>
        <v>42703.046053240738</v>
      </c>
    </row>
    <row r="235" spans="1:7" x14ac:dyDescent="0.25">
      <c r="A235" s="8">
        <v>42703.047199074077</v>
      </c>
      <c r="B235" t="s">
        <v>225</v>
      </c>
      <c r="C235" t="s">
        <v>621</v>
      </c>
      <c r="D235">
        <v>1810000</v>
      </c>
      <c r="E235" t="s">
        <v>573</v>
      </c>
      <c r="F235" s="21" t="str">
        <f t="shared" si="6"/>
        <v>rtdc.l.rtdc.4038:itc</v>
      </c>
      <c r="G235" s="8">
        <f t="shared" si="7"/>
        <v>42703.047199074077</v>
      </c>
    </row>
    <row r="236" spans="1:7" x14ac:dyDescent="0.25">
      <c r="A236" s="8">
        <v>42703.057592592595</v>
      </c>
      <c r="B236" t="s">
        <v>265</v>
      </c>
      <c r="C236" t="s">
        <v>622</v>
      </c>
      <c r="D236">
        <v>1800000</v>
      </c>
      <c r="E236" t="s">
        <v>291</v>
      </c>
      <c r="F236" s="21" t="str">
        <f t="shared" ref="F236:F265" si="8">B236</f>
        <v>rtdc.l.rtdc.4041:itc</v>
      </c>
      <c r="G236" s="8">
        <f t="shared" ref="G236:G265" si="9">A236</f>
        <v>42703.057592592595</v>
      </c>
    </row>
    <row r="237" spans="1:7" x14ac:dyDescent="0.25">
      <c r="A237" s="8">
        <v>42703.066793981481</v>
      </c>
      <c r="B237" t="s">
        <v>220</v>
      </c>
      <c r="C237" t="s">
        <v>623</v>
      </c>
      <c r="D237">
        <v>1230000</v>
      </c>
      <c r="E237" t="s">
        <v>579</v>
      </c>
      <c r="F237" s="21" t="str">
        <f t="shared" si="8"/>
        <v>rtdc.l.rtdc.4002:itc</v>
      </c>
      <c r="G237" s="8">
        <f t="shared" si="9"/>
        <v>42703.066793981481</v>
      </c>
    </row>
    <row r="238" spans="1:7" x14ac:dyDescent="0.25">
      <c r="A238" s="8">
        <v>42699.942499999997</v>
      </c>
      <c r="B238" t="s">
        <v>274</v>
      </c>
      <c r="C238" t="s">
        <v>295</v>
      </c>
      <c r="D238">
        <v>2610000</v>
      </c>
      <c r="E238" t="s">
        <v>222</v>
      </c>
      <c r="F238" s="21" t="str">
        <f t="shared" si="8"/>
        <v>rtdc.l.rtdc.4004:itc</v>
      </c>
      <c r="G238" s="8">
        <f t="shared" si="9"/>
        <v>42699.942499999997</v>
      </c>
    </row>
    <row r="239" spans="1:7" x14ac:dyDescent="0.25">
      <c r="A239" s="8">
        <v>42699.951481481483</v>
      </c>
      <c r="B239" t="s">
        <v>239</v>
      </c>
      <c r="C239" t="s">
        <v>296</v>
      </c>
      <c r="D239">
        <v>1800000</v>
      </c>
      <c r="E239" t="s">
        <v>291</v>
      </c>
      <c r="F239" s="21" t="str">
        <f t="shared" si="8"/>
        <v>rtdc.l.rtdc.4013:itc</v>
      </c>
      <c r="G239" s="8">
        <f t="shared" si="9"/>
        <v>42699.951481481483</v>
      </c>
    </row>
    <row r="240" spans="1:7" x14ac:dyDescent="0.25">
      <c r="A240" s="8">
        <v>42699.9528125</v>
      </c>
      <c r="B240" t="s">
        <v>213</v>
      </c>
      <c r="C240" t="s">
        <v>297</v>
      </c>
      <c r="D240">
        <v>2600000</v>
      </c>
      <c r="E240" t="s">
        <v>266</v>
      </c>
      <c r="F240" s="21" t="str">
        <f t="shared" si="8"/>
        <v>rtdc.l.rtdc.4040:itc</v>
      </c>
      <c r="G240" s="8">
        <f t="shared" si="9"/>
        <v>42699.9528125</v>
      </c>
    </row>
    <row r="241" spans="1:7" x14ac:dyDescent="0.25">
      <c r="A241" s="8">
        <v>42699.954050925924</v>
      </c>
      <c r="B241" t="s">
        <v>154</v>
      </c>
      <c r="C241" t="s">
        <v>293</v>
      </c>
      <c r="D241">
        <v>2530000</v>
      </c>
      <c r="E241" t="s">
        <v>292</v>
      </c>
      <c r="F241" s="21" t="str">
        <f t="shared" si="8"/>
        <v>rtdc.l.rtdc.4051:itc</v>
      </c>
      <c r="G241" s="8">
        <f t="shared" si="9"/>
        <v>42699.954050925924</v>
      </c>
    </row>
    <row r="242" spans="1:7" x14ac:dyDescent="0.25">
      <c r="A242" s="8">
        <v>42699.963761574072</v>
      </c>
      <c r="B242" t="s">
        <v>254</v>
      </c>
      <c r="C242" t="s">
        <v>298</v>
      </c>
      <c r="D242">
        <v>2630000</v>
      </c>
      <c r="E242" t="s">
        <v>267</v>
      </c>
      <c r="F242" s="21" t="str">
        <f t="shared" si="8"/>
        <v>rtdc.l.rtdc.4046:itc</v>
      </c>
      <c r="G242" s="8">
        <f t="shared" si="9"/>
        <v>42699.963761574072</v>
      </c>
    </row>
    <row r="243" spans="1:7" x14ac:dyDescent="0.25">
      <c r="A243" s="8">
        <v>42699.971608796295</v>
      </c>
      <c r="B243" t="s">
        <v>265</v>
      </c>
      <c r="C243" t="s">
        <v>299</v>
      </c>
      <c r="D243">
        <v>2000000</v>
      </c>
      <c r="E243" t="s">
        <v>217</v>
      </c>
      <c r="F243" s="21" t="str">
        <f t="shared" si="8"/>
        <v>rtdc.l.rtdc.4041:itc</v>
      </c>
      <c r="G243" s="8">
        <f t="shared" si="9"/>
        <v>42699.971608796295</v>
      </c>
    </row>
    <row r="244" spans="1:7" x14ac:dyDescent="0.25">
      <c r="A244" s="8">
        <v>42699.974247685182</v>
      </c>
      <c r="B244" t="s">
        <v>155</v>
      </c>
      <c r="C244" t="s">
        <v>294</v>
      </c>
      <c r="D244">
        <v>2530000</v>
      </c>
      <c r="E244" t="s">
        <v>292</v>
      </c>
      <c r="F244" s="21" t="str">
        <f t="shared" si="8"/>
        <v>rtdc.l.rtdc.4052:itc</v>
      </c>
      <c r="G244" s="8">
        <f t="shared" si="9"/>
        <v>42699.974247685182</v>
      </c>
    </row>
    <row r="245" spans="1:7" x14ac:dyDescent="0.25">
      <c r="A245" s="8">
        <v>42699.978321759256</v>
      </c>
      <c r="B245" t="s">
        <v>254</v>
      </c>
      <c r="C245" t="s">
        <v>298</v>
      </c>
      <c r="D245">
        <v>2630000</v>
      </c>
      <c r="E245" t="s">
        <v>267</v>
      </c>
      <c r="F245" s="21" t="str">
        <f t="shared" si="8"/>
        <v>rtdc.l.rtdc.4046:itc</v>
      </c>
      <c r="G245" s="8">
        <f t="shared" si="9"/>
        <v>42699.978321759256</v>
      </c>
    </row>
    <row r="246" spans="1:7" x14ac:dyDescent="0.25">
      <c r="A246" s="8">
        <v>42699.992013888892</v>
      </c>
      <c r="B246" t="s">
        <v>238</v>
      </c>
      <c r="C246" t="s">
        <v>300</v>
      </c>
      <c r="D246">
        <v>1800000</v>
      </c>
      <c r="E246" t="s">
        <v>291</v>
      </c>
      <c r="F246" s="21" t="str">
        <f t="shared" si="8"/>
        <v>rtdc.l.rtdc.4014:itc</v>
      </c>
      <c r="G246" s="8">
        <f t="shared" si="9"/>
        <v>42699.992013888892</v>
      </c>
    </row>
    <row r="247" spans="1:7" x14ac:dyDescent="0.25">
      <c r="A247" s="8">
        <v>42699.99428240741</v>
      </c>
      <c r="B247" t="s">
        <v>215</v>
      </c>
      <c r="C247" t="s">
        <v>301</v>
      </c>
      <c r="D247">
        <v>2600000</v>
      </c>
      <c r="E247" t="s">
        <v>266</v>
      </c>
      <c r="F247" s="21" t="str">
        <f t="shared" si="8"/>
        <v>rtdc.l.rtdc.4039:itc</v>
      </c>
      <c r="G247" s="8">
        <f t="shared" si="9"/>
        <v>42699.99428240741</v>
      </c>
    </row>
    <row r="248" spans="1:7" x14ac:dyDescent="0.25">
      <c r="A248" s="8">
        <v>42700.005150462966</v>
      </c>
      <c r="B248" t="s">
        <v>264</v>
      </c>
      <c r="C248" t="s">
        <v>302</v>
      </c>
      <c r="D248">
        <v>2000000</v>
      </c>
      <c r="E248" t="s">
        <v>217</v>
      </c>
      <c r="F248" s="21" t="str">
        <f t="shared" si="8"/>
        <v>rtdc.l.rtdc.4042:itc</v>
      </c>
      <c r="G248" s="8">
        <f t="shared" si="9"/>
        <v>42700.005150462966</v>
      </c>
    </row>
    <row r="249" spans="1:7" x14ac:dyDescent="0.25">
      <c r="A249" s="8">
        <v>42700.015486111108</v>
      </c>
      <c r="B249" t="s">
        <v>253</v>
      </c>
      <c r="C249" t="s">
        <v>303</v>
      </c>
      <c r="D249">
        <v>2630000</v>
      </c>
      <c r="E249" t="s">
        <v>267</v>
      </c>
      <c r="F249" s="21" t="str">
        <f t="shared" si="8"/>
        <v>rtdc.l.rtdc.4045:itc</v>
      </c>
      <c r="G249" s="8">
        <f t="shared" si="9"/>
        <v>42700.015486111108</v>
      </c>
    </row>
    <row r="250" spans="1:7" x14ac:dyDescent="0.25">
      <c r="A250" s="8">
        <v>42700.022650462961</v>
      </c>
      <c r="B250" t="s">
        <v>154</v>
      </c>
      <c r="C250" t="s">
        <v>293</v>
      </c>
      <c r="D250">
        <v>2530000</v>
      </c>
      <c r="E250" t="s">
        <v>292</v>
      </c>
      <c r="F250" s="21" t="str">
        <f t="shared" si="8"/>
        <v>rtdc.l.rtdc.4051:itc</v>
      </c>
      <c r="G250" s="8">
        <f t="shared" si="9"/>
        <v>42700.022650462961</v>
      </c>
    </row>
    <row r="251" spans="1:7" x14ac:dyDescent="0.25">
      <c r="A251" s="8">
        <v>42700.032500000001</v>
      </c>
      <c r="B251" t="s">
        <v>239</v>
      </c>
      <c r="C251" t="s">
        <v>289</v>
      </c>
      <c r="D251">
        <v>1800000</v>
      </c>
      <c r="E251" t="s">
        <v>291</v>
      </c>
      <c r="F251" s="21" t="str">
        <f t="shared" si="8"/>
        <v>rtdc.l.rtdc.4013:itc</v>
      </c>
      <c r="G251" s="8">
        <f t="shared" si="9"/>
        <v>42700.032500000001</v>
      </c>
    </row>
    <row r="252" spans="1:7" x14ac:dyDescent="0.25">
      <c r="A252" s="8">
        <v>42700.037488425929</v>
      </c>
      <c r="B252" t="s">
        <v>213</v>
      </c>
      <c r="C252" t="s">
        <v>304</v>
      </c>
      <c r="D252">
        <v>2600000</v>
      </c>
      <c r="E252" t="s">
        <v>266</v>
      </c>
      <c r="F252" s="21" t="str">
        <f t="shared" si="8"/>
        <v>rtdc.l.rtdc.4040:itc</v>
      </c>
      <c r="G252" s="8">
        <f t="shared" si="9"/>
        <v>42700.037488425929</v>
      </c>
    </row>
    <row r="253" spans="1:7" x14ac:dyDescent="0.25">
      <c r="A253" s="8">
        <v>42700.045208333337</v>
      </c>
      <c r="B253" t="s">
        <v>155</v>
      </c>
      <c r="C253" t="s">
        <v>294</v>
      </c>
      <c r="D253">
        <v>2530000</v>
      </c>
      <c r="E253" t="s">
        <v>292</v>
      </c>
      <c r="F253" s="21" t="str">
        <f t="shared" si="8"/>
        <v>rtdc.l.rtdc.4052:itc</v>
      </c>
      <c r="G253" s="8">
        <f t="shared" si="9"/>
        <v>42700.045208333337</v>
      </c>
    </row>
    <row r="254" spans="1:7" x14ac:dyDescent="0.25">
      <c r="A254" s="8">
        <v>42700.045347222222</v>
      </c>
      <c r="B254" t="s">
        <v>254</v>
      </c>
      <c r="C254" t="s">
        <v>305</v>
      </c>
      <c r="D254">
        <v>2630000</v>
      </c>
      <c r="E254" t="s">
        <v>267</v>
      </c>
      <c r="F254" s="21" t="str">
        <f t="shared" si="8"/>
        <v>rtdc.l.rtdc.4046:itc</v>
      </c>
      <c r="G254" s="8">
        <f t="shared" si="9"/>
        <v>42700.045347222222</v>
      </c>
    </row>
    <row r="255" spans="1:7" x14ac:dyDescent="0.25">
      <c r="A255" s="8">
        <v>42700.053495370368</v>
      </c>
      <c r="B255" t="s">
        <v>265</v>
      </c>
      <c r="C255" t="s">
        <v>306</v>
      </c>
      <c r="D255">
        <v>2000000</v>
      </c>
      <c r="E255" t="s">
        <v>217</v>
      </c>
      <c r="F255" s="21" t="str">
        <f t="shared" si="8"/>
        <v>rtdc.l.rtdc.4041:itc</v>
      </c>
      <c r="G255" s="8">
        <f t="shared" si="9"/>
        <v>42700.053495370368</v>
      </c>
    </row>
    <row r="256" spans="1:7" x14ac:dyDescent="0.25">
      <c r="A256" s="8">
        <v>42700.064895833333</v>
      </c>
      <c r="B256" t="s">
        <v>154</v>
      </c>
      <c r="C256" t="s">
        <v>293</v>
      </c>
      <c r="D256">
        <v>2530000</v>
      </c>
      <c r="E256" t="s">
        <v>292</v>
      </c>
      <c r="F256" s="21" t="str">
        <f t="shared" si="8"/>
        <v>rtdc.l.rtdc.4051:itc</v>
      </c>
      <c r="G256" s="8">
        <f t="shared" si="9"/>
        <v>42700.064895833333</v>
      </c>
    </row>
    <row r="257" spans="1:7" x14ac:dyDescent="0.25">
      <c r="A257" s="8">
        <v>42700.072881944441</v>
      </c>
      <c r="B257" t="s">
        <v>238</v>
      </c>
      <c r="C257" t="s">
        <v>307</v>
      </c>
      <c r="D257">
        <v>1800000</v>
      </c>
      <c r="E257" t="s">
        <v>291</v>
      </c>
      <c r="F257" s="21" t="str">
        <f t="shared" si="8"/>
        <v>rtdc.l.rtdc.4014:itc</v>
      </c>
      <c r="G257" s="8">
        <f t="shared" si="9"/>
        <v>42700.072881944441</v>
      </c>
    </row>
    <row r="258" spans="1:7" x14ac:dyDescent="0.25">
      <c r="A258" s="8">
        <v>42700.07576388889</v>
      </c>
      <c r="B258" t="s">
        <v>215</v>
      </c>
      <c r="C258" t="s">
        <v>308</v>
      </c>
      <c r="D258">
        <v>2600000</v>
      </c>
      <c r="E258" t="s">
        <v>266</v>
      </c>
      <c r="F258" s="21" t="str">
        <f t="shared" si="8"/>
        <v>rtdc.l.rtdc.4039:itc</v>
      </c>
      <c r="G258" s="8">
        <f t="shared" si="9"/>
        <v>42700.07576388889</v>
      </c>
    </row>
    <row r="259" spans="1:7" x14ac:dyDescent="0.25">
      <c r="A259" s="8">
        <v>42700.083275462966</v>
      </c>
      <c r="B259" t="s">
        <v>155</v>
      </c>
      <c r="C259" t="s">
        <v>294</v>
      </c>
      <c r="D259">
        <v>2530000</v>
      </c>
      <c r="E259" t="s">
        <v>292</v>
      </c>
      <c r="F259" s="21" t="str">
        <f t="shared" si="8"/>
        <v>rtdc.l.rtdc.4052:itc</v>
      </c>
      <c r="G259" s="8">
        <f t="shared" si="9"/>
        <v>42700.083275462966</v>
      </c>
    </row>
    <row r="260" spans="1:7" x14ac:dyDescent="0.25">
      <c r="A260" s="8">
        <v>42700.08734953704</v>
      </c>
      <c r="B260" t="s">
        <v>264</v>
      </c>
      <c r="C260" t="s">
        <v>309</v>
      </c>
      <c r="D260">
        <v>2000000</v>
      </c>
      <c r="E260" t="s">
        <v>217</v>
      </c>
      <c r="F260" s="21" t="str">
        <f t="shared" si="8"/>
        <v>rtdc.l.rtdc.4042:itc</v>
      </c>
      <c r="G260" s="8">
        <f t="shared" si="9"/>
        <v>42700.08734953704</v>
      </c>
    </row>
    <row r="261" spans="1:7" x14ac:dyDescent="0.25">
      <c r="A261" s="8">
        <v>42700.106736111113</v>
      </c>
      <c r="B261" t="s">
        <v>154</v>
      </c>
      <c r="C261" t="s">
        <v>293</v>
      </c>
      <c r="D261">
        <v>2530000</v>
      </c>
      <c r="E261" t="s">
        <v>292</v>
      </c>
      <c r="F261" s="21" t="str">
        <f t="shared" si="8"/>
        <v>rtdc.l.rtdc.4051:itc</v>
      </c>
      <c r="G261" s="8">
        <f t="shared" si="9"/>
        <v>42700.106736111113</v>
      </c>
    </row>
    <row r="262" spans="1:7" x14ac:dyDescent="0.25">
      <c r="A262" s="8">
        <v>42700.111076388886</v>
      </c>
      <c r="B262" t="s">
        <v>213</v>
      </c>
      <c r="C262" t="s">
        <v>310</v>
      </c>
      <c r="D262">
        <v>2600000</v>
      </c>
      <c r="E262" t="s">
        <v>266</v>
      </c>
      <c r="F262" s="21" t="str">
        <f t="shared" si="8"/>
        <v>rtdc.l.rtdc.4040:itc</v>
      </c>
      <c r="G262" s="8">
        <f t="shared" si="9"/>
        <v>42700.111076388886</v>
      </c>
    </row>
    <row r="263" spans="1:7" x14ac:dyDescent="0.25">
      <c r="A263" s="8">
        <v>42685.016226851854</v>
      </c>
      <c r="B263" t="s">
        <v>210</v>
      </c>
      <c r="C263" t="s">
        <v>227</v>
      </c>
      <c r="D263">
        <v>2000000</v>
      </c>
      <c r="E263" t="s">
        <v>217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223</v>
      </c>
      <c r="C264" t="s">
        <v>228</v>
      </c>
      <c r="D264">
        <v>2550000</v>
      </c>
      <c r="E264" t="s">
        <v>221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226</v>
      </c>
      <c r="C265" t="s">
        <v>229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220</v>
      </c>
      <c r="C266" t="s">
        <v>230</v>
      </c>
      <c r="D266">
        <v>2420000</v>
      </c>
      <c r="E266" t="s">
        <v>224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218</v>
      </c>
      <c r="C267" t="s">
        <v>231</v>
      </c>
      <c r="D267">
        <v>2000000</v>
      </c>
      <c r="E267" t="s">
        <v>217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225</v>
      </c>
      <c r="C268" t="s">
        <v>232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154</v>
      </c>
      <c r="C269" t="s">
        <v>185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183</v>
      </c>
      <c r="C270" t="s">
        <v>186</v>
      </c>
      <c r="D270">
        <v>1480000</v>
      </c>
      <c r="E270" t="s">
        <v>181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155</v>
      </c>
      <c r="C271" t="s">
        <v>185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155</v>
      </c>
      <c r="C272" t="s">
        <v>185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155</v>
      </c>
      <c r="C273" t="s">
        <v>185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171</v>
      </c>
      <c r="I1" s="164" t="s">
        <v>172</v>
      </c>
      <c r="J1" s="164" t="s">
        <v>166</v>
      </c>
      <c r="K1" s="164" t="s">
        <v>164</v>
      </c>
      <c r="L1" s="164" t="s">
        <v>159</v>
      </c>
      <c r="M1" s="164" t="s">
        <v>169</v>
      </c>
      <c r="N1" s="164" t="s">
        <v>163</v>
      </c>
      <c r="O1" s="164" t="s">
        <v>170</v>
      </c>
      <c r="P1" s="164" t="s">
        <v>167</v>
      </c>
      <c r="Q1"/>
      <c r="R1"/>
    </row>
    <row r="2" spans="1:18" x14ac:dyDescent="0.25">
      <c r="A2" s="165">
        <v>34.200000000000003</v>
      </c>
      <c r="B2" s="165">
        <v>0.8</v>
      </c>
      <c r="C2" s="165">
        <v>12.64</v>
      </c>
      <c r="D2" s="8">
        <v>42702</v>
      </c>
      <c r="E2" s="165">
        <v>0.34</v>
      </c>
      <c r="F2" s="165" t="s">
        <v>324</v>
      </c>
      <c r="G2" s="165">
        <v>314.01</v>
      </c>
      <c r="H2" s="165">
        <v>0</v>
      </c>
      <c r="I2" s="165">
        <v>0</v>
      </c>
      <c r="J2" s="165">
        <v>997.35</v>
      </c>
      <c r="K2" s="165" t="s">
        <v>326</v>
      </c>
      <c r="L2" s="165">
        <v>38.340000000000003</v>
      </c>
      <c r="M2" s="165">
        <v>1480316400</v>
      </c>
      <c r="N2" s="165">
        <v>5.52</v>
      </c>
      <c r="O2" s="165">
        <v>312</v>
      </c>
      <c r="P2" s="165">
        <v>5.41</v>
      </c>
      <c r="Q2"/>
      <c r="R2"/>
    </row>
    <row r="3" spans="1:18" x14ac:dyDescent="0.25">
      <c r="A3" s="165">
        <v>33.9</v>
      </c>
      <c r="B3" s="165">
        <v>0.78</v>
      </c>
      <c r="C3" s="165">
        <v>11.6</v>
      </c>
      <c r="D3" s="8">
        <v>42702.041666666664</v>
      </c>
      <c r="E3" s="165">
        <v>0.33</v>
      </c>
      <c r="F3" s="165" t="s">
        <v>324</v>
      </c>
      <c r="G3" s="165">
        <v>314.74</v>
      </c>
      <c r="H3" s="165">
        <v>0</v>
      </c>
      <c r="I3" s="165">
        <v>0</v>
      </c>
      <c r="J3" s="165">
        <v>997.65</v>
      </c>
      <c r="K3" s="165" t="s">
        <v>326</v>
      </c>
      <c r="L3" s="165">
        <v>38.04</v>
      </c>
      <c r="M3" s="165">
        <v>1480320000</v>
      </c>
      <c r="N3" s="165">
        <v>5.12</v>
      </c>
      <c r="O3" s="165">
        <v>318</v>
      </c>
      <c r="P3" s="165">
        <v>5.34</v>
      </c>
      <c r="Q3"/>
      <c r="R3"/>
    </row>
    <row r="4" spans="1:18" x14ac:dyDescent="0.25">
      <c r="A4" s="165">
        <v>32.19</v>
      </c>
      <c r="B4" s="165">
        <v>0.77</v>
      </c>
      <c r="C4" s="165">
        <v>10.63</v>
      </c>
      <c r="D4" s="8">
        <v>42702.083333333336</v>
      </c>
      <c r="E4" s="165">
        <v>0.33</v>
      </c>
      <c r="F4" s="165" t="s">
        <v>324</v>
      </c>
      <c r="G4" s="165">
        <v>315.48</v>
      </c>
      <c r="H4" s="165">
        <v>0</v>
      </c>
      <c r="I4" s="165">
        <v>0</v>
      </c>
      <c r="J4" s="165">
        <v>997.94</v>
      </c>
      <c r="K4" s="165" t="s">
        <v>326</v>
      </c>
      <c r="L4" s="165">
        <v>36.94</v>
      </c>
      <c r="M4" s="165">
        <v>1480323600</v>
      </c>
      <c r="N4" s="165">
        <v>4.17</v>
      </c>
      <c r="O4" s="165">
        <v>315</v>
      </c>
      <c r="P4" s="165">
        <v>5.9</v>
      </c>
      <c r="Q4"/>
      <c r="R4"/>
    </row>
    <row r="5" spans="1:18" x14ac:dyDescent="0.25">
      <c r="A5" s="165">
        <v>31.15</v>
      </c>
      <c r="B5" s="165">
        <v>0.81</v>
      </c>
      <c r="C5" s="165">
        <v>10.42</v>
      </c>
      <c r="D5" s="8">
        <v>42702.125</v>
      </c>
      <c r="E5" s="165">
        <v>0.34</v>
      </c>
      <c r="F5" s="165" t="s">
        <v>324</v>
      </c>
      <c r="G5" s="165">
        <v>315.20999999999998</v>
      </c>
      <c r="H5" s="165">
        <v>0</v>
      </c>
      <c r="I5" s="165">
        <v>0</v>
      </c>
      <c r="J5" s="165">
        <v>998</v>
      </c>
      <c r="K5" s="165" t="s">
        <v>326</v>
      </c>
      <c r="L5" s="165">
        <v>36.200000000000003</v>
      </c>
      <c r="M5" s="165">
        <v>1480327200</v>
      </c>
      <c r="N5" s="165">
        <v>3.6</v>
      </c>
      <c r="O5" s="165">
        <v>309</v>
      </c>
      <c r="P5" s="165">
        <v>6.11</v>
      </c>
      <c r="Q5"/>
      <c r="R5"/>
    </row>
    <row r="6" spans="1:18" x14ac:dyDescent="0.25">
      <c r="A6" s="165">
        <v>31.43</v>
      </c>
      <c r="B6" s="165">
        <v>0.87</v>
      </c>
      <c r="C6" s="165">
        <v>9.2799999999999994</v>
      </c>
      <c r="D6" s="8">
        <v>42702.166666666664</v>
      </c>
      <c r="E6" s="165">
        <v>0.34</v>
      </c>
      <c r="F6" s="165" t="s">
        <v>324</v>
      </c>
      <c r="G6" s="165">
        <v>314.49</v>
      </c>
      <c r="H6" s="165">
        <v>0</v>
      </c>
      <c r="I6" s="165">
        <v>0</v>
      </c>
      <c r="J6" s="165">
        <v>997.96</v>
      </c>
      <c r="K6" s="165" t="s">
        <v>326</v>
      </c>
      <c r="L6" s="165">
        <v>35.08</v>
      </c>
      <c r="M6" s="165">
        <v>1480330800</v>
      </c>
      <c r="N6" s="165">
        <v>3.78</v>
      </c>
      <c r="O6" s="165">
        <v>293</v>
      </c>
      <c r="P6" s="165">
        <v>4.1900000000000004</v>
      </c>
      <c r="Q6"/>
      <c r="R6"/>
    </row>
    <row r="7" spans="1:18" x14ac:dyDescent="0.25">
      <c r="A7" s="165">
        <v>30.89</v>
      </c>
      <c r="B7" s="165">
        <v>0.9</v>
      </c>
      <c r="C7" s="165">
        <v>10.42</v>
      </c>
      <c r="D7" s="8">
        <v>42702.208333333336</v>
      </c>
      <c r="E7" s="165">
        <v>0.35</v>
      </c>
      <c r="F7" s="165" t="s">
        <v>324</v>
      </c>
      <c r="G7" s="165">
        <v>313.61</v>
      </c>
      <c r="H7" s="165">
        <v>0</v>
      </c>
      <c r="I7" s="165">
        <v>0</v>
      </c>
      <c r="J7" s="165">
        <v>997.99</v>
      </c>
      <c r="K7" s="165" t="s">
        <v>326</v>
      </c>
      <c r="L7" s="165">
        <v>35.07</v>
      </c>
      <c r="M7" s="165">
        <v>1480334400</v>
      </c>
      <c r="N7" s="165">
        <v>10</v>
      </c>
      <c r="O7" s="165">
        <v>301</v>
      </c>
      <c r="P7" s="165">
        <v>4.76</v>
      </c>
      <c r="Q7"/>
      <c r="R7"/>
    </row>
    <row r="8" spans="1:18" x14ac:dyDescent="0.25">
      <c r="A8" s="165">
        <v>34.43</v>
      </c>
      <c r="B8" s="165">
        <v>0.81</v>
      </c>
      <c r="C8" s="165">
        <v>11.65</v>
      </c>
      <c r="D8" s="8">
        <v>42702.25</v>
      </c>
      <c r="E8" s="165">
        <v>0.38</v>
      </c>
      <c r="F8" s="165" t="s">
        <v>324</v>
      </c>
      <c r="G8" s="165">
        <v>312.45</v>
      </c>
      <c r="H8" s="165">
        <v>0</v>
      </c>
      <c r="I8" s="165">
        <v>0</v>
      </c>
      <c r="J8" s="165">
        <v>998.23</v>
      </c>
      <c r="K8" s="165" t="s">
        <v>326</v>
      </c>
      <c r="L8" s="165">
        <v>34.43</v>
      </c>
      <c r="M8" s="165">
        <v>1480338000</v>
      </c>
      <c r="N8" s="165">
        <v>3.94</v>
      </c>
      <c r="O8" s="165">
        <v>312</v>
      </c>
      <c r="P8" s="165">
        <v>2.1</v>
      </c>
      <c r="Q8"/>
      <c r="R8"/>
    </row>
    <row r="9" spans="1:18" x14ac:dyDescent="0.25">
      <c r="A9" s="165">
        <v>34.86</v>
      </c>
      <c r="B9" s="165">
        <v>0.61</v>
      </c>
      <c r="C9" s="165">
        <v>11.17</v>
      </c>
      <c r="D9" s="8">
        <v>42702.291666666664</v>
      </c>
      <c r="E9" s="165">
        <v>0.37</v>
      </c>
      <c r="F9" s="165" t="s">
        <v>324</v>
      </c>
      <c r="G9" s="165">
        <v>311.13</v>
      </c>
      <c r="H9" s="165">
        <v>0</v>
      </c>
      <c r="I9" s="165">
        <v>0</v>
      </c>
      <c r="J9" s="165">
        <v>998.59</v>
      </c>
      <c r="K9" s="165" t="s">
        <v>326</v>
      </c>
      <c r="L9" s="165">
        <v>34.86</v>
      </c>
      <c r="M9" s="165">
        <v>1480341600</v>
      </c>
      <c r="N9" s="165">
        <v>3.13</v>
      </c>
      <c r="O9" s="165">
        <v>277</v>
      </c>
      <c r="P9" s="165">
        <v>2.67</v>
      </c>
      <c r="Q9"/>
      <c r="R9"/>
    </row>
    <row r="10" spans="1:18" x14ac:dyDescent="0.25">
      <c r="A10" s="165">
        <v>30.65</v>
      </c>
      <c r="B10" s="165">
        <v>0.53</v>
      </c>
      <c r="C10" s="165">
        <v>12.1</v>
      </c>
      <c r="D10" s="8">
        <v>42702.333333333336</v>
      </c>
      <c r="E10" s="165">
        <v>0.37</v>
      </c>
      <c r="F10" s="165" t="s">
        <v>325</v>
      </c>
      <c r="G10" s="165">
        <v>310.38</v>
      </c>
      <c r="H10" s="165">
        <v>0</v>
      </c>
      <c r="I10" s="165">
        <v>0</v>
      </c>
      <c r="J10" s="165">
        <v>998.53</v>
      </c>
      <c r="K10" s="165" t="s">
        <v>624</v>
      </c>
      <c r="L10" s="165">
        <v>35.71</v>
      </c>
      <c r="M10" s="165">
        <v>1480345200</v>
      </c>
      <c r="N10" s="165">
        <v>2.87</v>
      </c>
      <c r="O10" s="165">
        <v>287</v>
      </c>
      <c r="P10" s="165">
        <v>6</v>
      </c>
      <c r="Q10"/>
      <c r="R10"/>
    </row>
    <row r="11" spans="1:18" x14ac:dyDescent="0.25">
      <c r="A11" s="165">
        <v>34.42</v>
      </c>
      <c r="B11" s="165">
        <v>0.57999999999999996</v>
      </c>
      <c r="C11" s="165">
        <v>13.33</v>
      </c>
      <c r="D11" s="8">
        <v>42702.375</v>
      </c>
      <c r="E11" s="165">
        <v>0.35</v>
      </c>
      <c r="F11" s="165" t="s">
        <v>325</v>
      </c>
      <c r="G11" s="165">
        <v>310.88</v>
      </c>
      <c r="H11" s="165">
        <v>0</v>
      </c>
      <c r="I11" s="165">
        <v>0</v>
      </c>
      <c r="J11" s="165">
        <v>997.66</v>
      </c>
      <c r="K11" s="165" t="s">
        <v>624</v>
      </c>
      <c r="L11" s="165">
        <v>38.72</v>
      </c>
      <c r="M11" s="165">
        <v>1480348800</v>
      </c>
      <c r="N11" s="165">
        <v>2.76</v>
      </c>
      <c r="O11" s="165">
        <v>296</v>
      </c>
      <c r="P11" s="165">
        <v>5.73</v>
      </c>
      <c r="Q11"/>
      <c r="R11"/>
    </row>
    <row r="12" spans="1:18" x14ac:dyDescent="0.25">
      <c r="A12" s="165">
        <v>35.36</v>
      </c>
      <c r="B12" s="165">
        <v>0.71</v>
      </c>
      <c r="C12" s="165">
        <v>11.51</v>
      </c>
      <c r="D12" s="8">
        <v>42702.416666666664</v>
      </c>
      <c r="E12" s="165">
        <v>0.31</v>
      </c>
      <c r="F12" s="165" t="s">
        <v>325</v>
      </c>
      <c r="G12" s="165">
        <v>311.95</v>
      </c>
      <c r="H12" s="165">
        <v>0</v>
      </c>
      <c r="I12" s="165">
        <v>0</v>
      </c>
      <c r="J12" s="165">
        <v>996.34</v>
      </c>
      <c r="K12" s="165" t="s">
        <v>326</v>
      </c>
      <c r="L12" s="165">
        <v>39.94</v>
      </c>
      <c r="M12" s="165">
        <v>1480352400</v>
      </c>
      <c r="N12" s="165">
        <v>3.79</v>
      </c>
      <c r="O12" s="165">
        <v>286</v>
      </c>
      <c r="P12" s="165">
        <v>6.51</v>
      </c>
      <c r="Q12"/>
      <c r="R12"/>
    </row>
    <row r="13" spans="1:18" x14ac:dyDescent="0.25">
      <c r="A13" s="165">
        <v>35.700000000000003</v>
      </c>
      <c r="B13" s="165">
        <v>0.8</v>
      </c>
      <c r="C13" s="165">
        <v>8.4700000000000006</v>
      </c>
      <c r="D13" s="8">
        <v>42702.458333333336</v>
      </c>
      <c r="E13" s="165">
        <v>0.26</v>
      </c>
      <c r="F13" s="165" t="s">
        <v>325</v>
      </c>
      <c r="G13" s="165">
        <v>312.27</v>
      </c>
      <c r="H13" s="165">
        <v>0</v>
      </c>
      <c r="I13" s="165">
        <v>0</v>
      </c>
      <c r="J13" s="165">
        <v>995.05</v>
      </c>
      <c r="K13" s="165" t="s">
        <v>326</v>
      </c>
      <c r="L13" s="165">
        <v>40.729999999999997</v>
      </c>
      <c r="M13" s="165">
        <v>1480356000</v>
      </c>
      <c r="N13" s="165">
        <v>2.72</v>
      </c>
      <c r="O13" s="165">
        <v>299</v>
      </c>
      <c r="P13" s="165">
        <v>7.56</v>
      </c>
      <c r="Q13"/>
      <c r="R13"/>
    </row>
    <row r="14" spans="1:18" x14ac:dyDescent="0.25">
      <c r="A14" s="165">
        <v>38.14</v>
      </c>
      <c r="B14" s="165">
        <v>0.8</v>
      </c>
      <c r="C14" s="165">
        <v>9.68</v>
      </c>
      <c r="D14" s="8">
        <v>42702.5</v>
      </c>
      <c r="E14" s="165">
        <v>0.25</v>
      </c>
      <c r="F14" s="165" t="s">
        <v>325</v>
      </c>
      <c r="G14" s="165">
        <v>311.47000000000003</v>
      </c>
      <c r="H14" s="165">
        <v>0</v>
      </c>
      <c r="I14" s="165">
        <v>0</v>
      </c>
      <c r="J14" s="165">
        <v>994.19</v>
      </c>
      <c r="K14" s="165" t="s">
        <v>326</v>
      </c>
      <c r="L14" s="165">
        <v>43.17</v>
      </c>
      <c r="M14" s="165">
        <v>1480359600</v>
      </c>
      <c r="N14" s="165">
        <v>2.73</v>
      </c>
      <c r="O14" s="165">
        <v>328</v>
      </c>
      <c r="P14" s="165">
        <v>8.66</v>
      </c>
      <c r="Q14"/>
      <c r="R14"/>
    </row>
    <row r="15" spans="1:18" x14ac:dyDescent="0.25">
      <c r="A15" s="165">
        <v>38.090000000000003</v>
      </c>
      <c r="B15" s="165">
        <v>0.79</v>
      </c>
      <c r="C15" s="165">
        <v>7.98</v>
      </c>
      <c r="D15" s="8">
        <v>42702.541666666664</v>
      </c>
      <c r="E15" s="165">
        <v>0.23</v>
      </c>
      <c r="F15" s="165" t="s">
        <v>325</v>
      </c>
      <c r="G15" s="165">
        <v>309.91000000000003</v>
      </c>
      <c r="H15" s="165">
        <v>0</v>
      </c>
      <c r="I15" s="165">
        <v>0</v>
      </c>
      <c r="J15" s="165">
        <v>993.61</v>
      </c>
      <c r="K15" s="165" t="s">
        <v>326</v>
      </c>
      <c r="L15" s="165">
        <v>42.69</v>
      </c>
      <c r="M15" s="165">
        <v>1480363200</v>
      </c>
      <c r="N15" s="165">
        <v>2.71</v>
      </c>
      <c r="O15" s="165">
        <v>326</v>
      </c>
      <c r="P15" s="165">
        <v>7.54</v>
      </c>
      <c r="Q15"/>
      <c r="R15"/>
    </row>
    <row r="16" spans="1:18" x14ac:dyDescent="0.25">
      <c r="A16" s="165">
        <v>37.590000000000003</v>
      </c>
      <c r="B16" s="165">
        <v>0.75</v>
      </c>
      <c r="C16" s="165">
        <v>8.9700000000000006</v>
      </c>
      <c r="D16" s="8">
        <v>42702.583333333336</v>
      </c>
      <c r="E16" s="165">
        <v>0.25</v>
      </c>
      <c r="F16" s="165" t="s">
        <v>325</v>
      </c>
      <c r="G16" s="165">
        <v>307.38</v>
      </c>
      <c r="H16" s="165">
        <v>0</v>
      </c>
      <c r="I16" s="165">
        <v>0</v>
      </c>
      <c r="J16" s="165">
        <v>993.6</v>
      </c>
      <c r="K16" s="165" t="s">
        <v>326</v>
      </c>
      <c r="L16" s="165">
        <v>42.72</v>
      </c>
      <c r="M16" s="165">
        <v>1480366800</v>
      </c>
      <c r="N16" s="165">
        <v>3.91</v>
      </c>
      <c r="O16" s="165">
        <v>326</v>
      </c>
      <c r="P16" s="165">
        <v>8.65</v>
      </c>
      <c r="Q16"/>
      <c r="R16"/>
    </row>
    <row r="17" spans="1:18" x14ac:dyDescent="0.25">
      <c r="A17" s="165">
        <v>37.630000000000003</v>
      </c>
      <c r="B17" s="165">
        <v>0.76</v>
      </c>
      <c r="C17" s="165">
        <v>9.52</v>
      </c>
      <c r="D17" s="8">
        <v>42702.625</v>
      </c>
      <c r="E17" s="165">
        <v>0.25</v>
      </c>
      <c r="F17" s="165" t="s">
        <v>325</v>
      </c>
      <c r="G17" s="165">
        <v>303.02999999999997</v>
      </c>
      <c r="H17" s="165">
        <v>0</v>
      </c>
      <c r="I17" s="165">
        <v>0</v>
      </c>
      <c r="J17" s="165">
        <v>994.5</v>
      </c>
      <c r="K17" s="165" t="s">
        <v>326</v>
      </c>
      <c r="L17" s="165">
        <v>42.79</v>
      </c>
      <c r="M17" s="165">
        <v>1480370400</v>
      </c>
      <c r="N17" s="165">
        <v>2.79</v>
      </c>
      <c r="O17" s="165">
        <v>319</v>
      </c>
      <c r="P17" s="165">
        <v>8.75</v>
      </c>
      <c r="Q17"/>
      <c r="R17"/>
    </row>
    <row r="18" spans="1:18" x14ac:dyDescent="0.25">
      <c r="A18" s="165">
        <v>36.69</v>
      </c>
      <c r="B18" s="165">
        <v>0.78</v>
      </c>
      <c r="C18" s="165">
        <v>10.43</v>
      </c>
      <c r="D18" s="8">
        <v>42702.666666666664</v>
      </c>
      <c r="E18" s="165">
        <v>0.28000000000000003</v>
      </c>
      <c r="F18" s="165" t="s">
        <v>325</v>
      </c>
      <c r="G18" s="165">
        <v>297.7</v>
      </c>
      <c r="H18" s="165">
        <v>0</v>
      </c>
      <c r="I18" s="165">
        <v>0</v>
      </c>
      <c r="J18" s="165">
        <v>995.2</v>
      </c>
      <c r="K18" s="165" t="s">
        <v>326</v>
      </c>
      <c r="L18" s="165">
        <v>40.82</v>
      </c>
      <c r="M18" s="165">
        <v>1480374000</v>
      </c>
      <c r="N18" s="165">
        <v>5.0599999999999996</v>
      </c>
      <c r="O18" s="165">
        <v>322</v>
      </c>
      <c r="P18" s="165">
        <v>6.06</v>
      </c>
      <c r="Q18"/>
      <c r="R18"/>
    </row>
    <row r="19" spans="1:18" x14ac:dyDescent="0.25">
      <c r="A19" s="165">
        <v>34.299999999999997</v>
      </c>
      <c r="B19" s="165">
        <v>0.74</v>
      </c>
      <c r="C19" s="165">
        <v>13.57</v>
      </c>
      <c r="D19" s="8">
        <v>42702.708333333336</v>
      </c>
      <c r="E19" s="165">
        <v>0.35</v>
      </c>
      <c r="F19" s="165" t="s">
        <v>324</v>
      </c>
      <c r="G19" s="165">
        <v>293.76</v>
      </c>
      <c r="H19" s="165">
        <v>0</v>
      </c>
      <c r="I19" s="165">
        <v>0</v>
      </c>
      <c r="J19" s="165">
        <v>996.4</v>
      </c>
      <c r="K19" s="165" t="s">
        <v>326</v>
      </c>
      <c r="L19" s="165">
        <v>39.03</v>
      </c>
      <c r="M19" s="165">
        <v>1480377600</v>
      </c>
      <c r="N19" s="165">
        <v>10</v>
      </c>
      <c r="O19" s="165">
        <v>305</v>
      </c>
      <c r="P19" s="165">
        <v>6.46</v>
      </c>
      <c r="Q19"/>
      <c r="R19"/>
    </row>
    <row r="20" spans="1:18" x14ac:dyDescent="0.25">
      <c r="A20" s="165">
        <v>34.72</v>
      </c>
      <c r="B20" s="165">
        <v>0.71</v>
      </c>
      <c r="C20" s="165">
        <v>14.57</v>
      </c>
      <c r="D20" s="8">
        <v>42702.75</v>
      </c>
      <c r="E20" s="165">
        <v>0.36</v>
      </c>
      <c r="F20" s="165" t="s">
        <v>324</v>
      </c>
      <c r="G20" s="165">
        <v>292.49</v>
      </c>
      <c r="H20" s="165">
        <v>0</v>
      </c>
      <c r="I20" s="165">
        <v>0</v>
      </c>
      <c r="J20" s="165">
        <v>997.26</v>
      </c>
      <c r="K20" s="165" t="s">
        <v>326</v>
      </c>
      <c r="L20" s="165">
        <v>39.06</v>
      </c>
      <c r="M20" s="165">
        <v>1480381200</v>
      </c>
      <c r="N20" s="165">
        <v>6.16</v>
      </c>
      <c r="O20" s="165">
        <v>308</v>
      </c>
      <c r="P20" s="165">
        <v>5.88</v>
      </c>
      <c r="Q20"/>
      <c r="R20"/>
    </row>
    <row r="21" spans="1:18" x14ac:dyDescent="0.25">
      <c r="A21" s="165">
        <v>33.53</v>
      </c>
      <c r="B21" s="165">
        <v>0.65</v>
      </c>
      <c r="C21" s="165">
        <v>14.79</v>
      </c>
      <c r="D21" s="8">
        <v>42702.791666666664</v>
      </c>
      <c r="E21" s="165">
        <v>0.4</v>
      </c>
      <c r="F21" s="165" t="s">
        <v>324</v>
      </c>
      <c r="G21" s="165">
        <v>292.61</v>
      </c>
      <c r="H21" s="165">
        <v>0</v>
      </c>
      <c r="I21" s="165">
        <v>0</v>
      </c>
      <c r="J21" s="165">
        <v>998.5</v>
      </c>
      <c r="K21" s="165" t="s">
        <v>326</v>
      </c>
      <c r="L21" s="165">
        <v>36.75</v>
      </c>
      <c r="M21" s="165">
        <v>1480384800</v>
      </c>
      <c r="N21" s="165">
        <v>7.33</v>
      </c>
      <c r="O21" s="165">
        <v>295</v>
      </c>
      <c r="P21" s="165">
        <v>4.03</v>
      </c>
      <c r="Q21"/>
      <c r="R21"/>
    </row>
    <row r="22" spans="1:18" x14ac:dyDescent="0.25">
      <c r="A22" s="165">
        <v>35.729999999999997</v>
      </c>
      <c r="B22" s="165">
        <v>0.69</v>
      </c>
      <c r="C22" s="165">
        <v>14.76</v>
      </c>
      <c r="D22" s="8">
        <v>42702.833333333336</v>
      </c>
      <c r="E22" s="165">
        <v>0.42</v>
      </c>
      <c r="F22" s="165" t="s">
        <v>324</v>
      </c>
      <c r="G22" s="165">
        <v>292.60000000000002</v>
      </c>
      <c r="H22" s="165">
        <v>0</v>
      </c>
      <c r="I22" s="165">
        <v>0</v>
      </c>
      <c r="J22" s="165">
        <v>999.59</v>
      </c>
      <c r="K22" s="165" t="s">
        <v>326</v>
      </c>
      <c r="L22" s="165">
        <v>35.729999999999997</v>
      </c>
      <c r="M22" s="165">
        <v>1480388400</v>
      </c>
      <c r="N22" s="165">
        <v>10</v>
      </c>
      <c r="O22" s="165">
        <v>300</v>
      </c>
      <c r="P22" s="165">
        <v>2.2799999999999998</v>
      </c>
      <c r="Q22"/>
      <c r="R22"/>
    </row>
    <row r="23" spans="1:18" x14ac:dyDescent="0.25">
      <c r="A23" s="165">
        <v>33.28</v>
      </c>
      <c r="B23" s="165">
        <v>0.8</v>
      </c>
      <c r="C23" s="165">
        <v>15.71</v>
      </c>
      <c r="D23" s="8">
        <v>42702.875</v>
      </c>
      <c r="E23" s="165">
        <v>0.44</v>
      </c>
      <c r="F23" s="165" t="s">
        <v>324</v>
      </c>
      <c r="G23" s="165">
        <v>291.81</v>
      </c>
      <c r="H23" s="165">
        <v>0</v>
      </c>
      <c r="I23" s="165">
        <v>0</v>
      </c>
      <c r="J23" s="165">
        <v>1000.19</v>
      </c>
      <c r="K23" s="165" t="s">
        <v>326</v>
      </c>
      <c r="L23" s="165">
        <v>35.61</v>
      </c>
      <c r="M23" s="165">
        <v>1480392000</v>
      </c>
      <c r="N23" s="165">
        <v>5.88</v>
      </c>
      <c r="O23" s="165">
        <v>298</v>
      </c>
      <c r="P23" s="165">
        <v>3.09</v>
      </c>
      <c r="Q23"/>
      <c r="R23"/>
    </row>
    <row r="24" spans="1:18" x14ac:dyDescent="0.25">
      <c r="A24" s="165">
        <v>29.79</v>
      </c>
      <c r="B24" s="165">
        <v>0.91</v>
      </c>
      <c r="C24" s="165">
        <v>14.51</v>
      </c>
      <c r="D24" s="8">
        <v>42702.916666666664</v>
      </c>
      <c r="E24" s="165">
        <v>0.44</v>
      </c>
      <c r="F24" s="165" t="s">
        <v>324</v>
      </c>
      <c r="G24" s="165">
        <v>290.89</v>
      </c>
      <c r="H24" s="165">
        <v>0</v>
      </c>
      <c r="I24" s="165">
        <v>0</v>
      </c>
      <c r="J24" s="165">
        <v>1000.54</v>
      </c>
      <c r="K24" s="165" t="s">
        <v>326</v>
      </c>
      <c r="L24" s="165">
        <v>34.229999999999997</v>
      </c>
      <c r="M24" s="165">
        <v>1480395600</v>
      </c>
      <c r="N24" s="165">
        <v>5.92</v>
      </c>
      <c r="O24" s="165">
        <v>294</v>
      </c>
      <c r="P24" s="165">
        <v>4.88</v>
      </c>
      <c r="Q24"/>
      <c r="R24"/>
    </row>
    <row r="25" spans="1:18" x14ac:dyDescent="0.25">
      <c r="A25" s="165">
        <v>33.340000000000003</v>
      </c>
      <c r="B25" s="165">
        <v>0.87</v>
      </c>
      <c r="C25" s="165">
        <v>13.04</v>
      </c>
      <c r="D25" s="8">
        <v>42702.958333333336</v>
      </c>
      <c r="E25" s="165">
        <v>0.43</v>
      </c>
      <c r="F25" s="165" t="s">
        <v>324</v>
      </c>
      <c r="G25" s="165">
        <v>290.3</v>
      </c>
      <c r="H25" s="165">
        <v>0</v>
      </c>
      <c r="I25" s="165">
        <v>0</v>
      </c>
      <c r="J25" s="165">
        <v>1001.04</v>
      </c>
      <c r="K25" s="165" t="s">
        <v>326</v>
      </c>
      <c r="L25" s="165">
        <v>33.340000000000003</v>
      </c>
      <c r="M25" s="165">
        <v>1480399200</v>
      </c>
      <c r="N25" s="165">
        <v>6.55</v>
      </c>
      <c r="O25" s="165">
        <v>298</v>
      </c>
      <c r="P25" s="165">
        <v>2.98</v>
      </c>
      <c r="Q25"/>
      <c r="R25"/>
    </row>
    <row r="26" spans="1:18" x14ac:dyDescent="0.25">
      <c r="A26" s="165">
        <v>29.47</v>
      </c>
      <c r="B26" s="165">
        <v>0.71</v>
      </c>
      <c r="C26" s="165">
        <v>12.26</v>
      </c>
      <c r="D26" s="8">
        <v>42703</v>
      </c>
      <c r="E26" s="165">
        <v>0.43</v>
      </c>
      <c r="F26" s="165" t="s">
        <v>324</v>
      </c>
      <c r="G26" s="165">
        <v>290.55</v>
      </c>
      <c r="H26" s="165">
        <v>0</v>
      </c>
      <c r="I26" s="165">
        <v>0</v>
      </c>
      <c r="J26" s="165">
        <v>1002.26</v>
      </c>
      <c r="K26" s="165" t="s">
        <v>326</v>
      </c>
      <c r="L26" s="165">
        <v>32.130000000000003</v>
      </c>
      <c r="M26" s="165">
        <v>1480402800</v>
      </c>
      <c r="N26" s="165">
        <v>6.96</v>
      </c>
      <c r="O26" s="165">
        <v>306</v>
      </c>
      <c r="P26" s="165">
        <v>3</v>
      </c>
      <c r="Q26"/>
      <c r="R26"/>
    </row>
    <row r="27" spans="1:18" x14ac:dyDescent="0.25">
      <c r="A27" s="165">
        <v>27.97</v>
      </c>
      <c r="B27" s="165">
        <v>0.71</v>
      </c>
      <c r="C27" s="165">
        <v>13.82</v>
      </c>
      <c r="D27" s="8">
        <v>42703.041666666664</v>
      </c>
      <c r="E27" s="165">
        <v>0.48</v>
      </c>
      <c r="F27" s="165" t="s">
        <v>324</v>
      </c>
      <c r="G27" s="165">
        <v>290.8</v>
      </c>
      <c r="H27" s="165">
        <v>0</v>
      </c>
      <c r="I27" s="165">
        <v>0</v>
      </c>
      <c r="J27" s="165">
        <v>1003.35</v>
      </c>
      <c r="K27" s="165" t="s">
        <v>326</v>
      </c>
      <c r="L27" s="165">
        <v>31.35</v>
      </c>
      <c r="M27" s="165">
        <v>1480406400</v>
      </c>
      <c r="N27" s="165">
        <v>6.84</v>
      </c>
      <c r="O27" s="165">
        <v>314</v>
      </c>
      <c r="P27" s="165">
        <v>3.45</v>
      </c>
      <c r="Q27"/>
      <c r="R27"/>
    </row>
    <row r="28" spans="1:18" x14ac:dyDescent="0.25">
      <c r="A28" s="165">
        <v>26.36</v>
      </c>
      <c r="B28" s="165">
        <v>0.56999999999999995</v>
      </c>
      <c r="C28" s="165">
        <v>14.41</v>
      </c>
      <c r="D28" s="8">
        <v>42703.083333333336</v>
      </c>
      <c r="E28" s="165">
        <v>0.53</v>
      </c>
      <c r="F28" s="165" t="s">
        <v>324</v>
      </c>
      <c r="G28" s="165">
        <v>291.04000000000002</v>
      </c>
      <c r="H28" s="165">
        <v>0</v>
      </c>
      <c r="I28" s="165">
        <v>0</v>
      </c>
      <c r="J28" s="165">
        <v>1004.37</v>
      </c>
      <c r="K28" s="165" t="s">
        <v>624</v>
      </c>
      <c r="L28" s="165">
        <v>29.57</v>
      </c>
      <c r="M28" s="165">
        <v>1480410000</v>
      </c>
      <c r="N28" s="165">
        <v>4.46</v>
      </c>
      <c r="O28" s="165">
        <v>332</v>
      </c>
      <c r="P28" s="165">
        <v>3.15</v>
      </c>
      <c r="Q28"/>
      <c r="R28"/>
    </row>
    <row r="29" spans="1:18" x14ac:dyDescent="0.25">
      <c r="A29" s="165">
        <v>26.16</v>
      </c>
      <c r="B29" s="165">
        <v>0.55000000000000004</v>
      </c>
      <c r="C29" s="165">
        <v>11.32</v>
      </c>
      <c r="D29" s="8">
        <v>42703.125</v>
      </c>
      <c r="E29" s="165">
        <v>0.53</v>
      </c>
      <c r="F29" s="165" t="s">
        <v>324</v>
      </c>
      <c r="G29" s="165">
        <v>291.5</v>
      </c>
      <c r="H29" s="165">
        <v>0</v>
      </c>
      <c r="I29" s="165">
        <v>0</v>
      </c>
      <c r="J29" s="165">
        <v>1005.37</v>
      </c>
      <c r="K29" s="165" t="s">
        <v>624</v>
      </c>
      <c r="L29" s="165">
        <v>26.16</v>
      </c>
      <c r="M29" s="165">
        <v>1480413600</v>
      </c>
      <c r="N29" s="165">
        <v>6.81</v>
      </c>
      <c r="O29" s="165">
        <v>313</v>
      </c>
      <c r="P29" s="165">
        <v>2.5499999999999998</v>
      </c>
      <c r="Q29"/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205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4"/>
  <sheetViews>
    <sheetView topLeftCell="A2" workbookViewId="0">
      <selection activeCell="G14" sqref="G14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42702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207</v>
      </c>
      <c r="J17" s="33"/>
      <c r="K17" s="34"/>
      <c r="L17" s="34"/>
    </row>
    <row r="18" spans="3:13" x14ac:dyDescent="0.25">
      <c r="C18" t="s">
        <v>782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783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784</v>
      </c>
      <c r="J20" t="s">
        <v>87</v>
      </c>
      <c r="M20" s="68" t="s">
        <v>389</v>
      </c>
    </row>
    <row r="21" spans="3:13" x14ac:dyDescent="0.25">
      <c r="C21" t="s">
        <v>785</v>
      </c>
      <c r="J21" s="21" t="s">
        <v>90</v>
      </c>
      <c r="K21" s="21" t="s">
        <v>91</v>
      </c>
      <c r="M21" s="68" t="s">
        <v>182</v>
      </c>
    </row>
    <row r="22" spans="3:13" x14ac:dyDescent="0.25">
      <c r="C22" t="s">
        <v>786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787</v>
      </c>
      <c r="J23" s="29" t="s">
        <v>95</v>
      </c>
      <c r="K23" s="21"/>
      <c r="M23" s="69">
        <v>-7</v>
      </c>
    </row>
    <row r="24" spans="3:13" x14ac:dyDescent="0.25">
      <c r="C24" t="s">
        <v>788</v>
      </c>
      <c r="J24" s="21" t="s">
        <v>108</v>
      </c>
      <c r="K24" s="21"/>
      <c r="M24" s="68" t="s">
        <v>110</v>
      </c>
    </row>
    <row r="25" spans="3:13" x14ac:dyDescent="0.25">
      <c r="C25" t="s">
        <v>789</v>
      </c>
      <c r="J25" t="s">
        <v>151</v>
      </c>
      <c r="M25" s="68" t="b">
        <v>1</v>
      </c>
    </row>
    <row r="26" spans="3:13" x14ac:dyDescent="0.25">
      <c r="C26" t="s">
        <v>790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C:\Users\stu\Documents\GitHub\eaglep3-reporting\EC\2016-11-28-refined-times.txt</v>
      </c>
    </row>
    <row r="27" spans="3:13" x14ac:dyDescent="0.25">
      <c r="C27" t="s">
        <v>791</v>
      </c>
      <c r="J27" t="s">
        <v>188</v>
      </c>
      <c r="M27" s="68" t="str">
        <f>"C:\Users\stu\Documents\GitHub\eaglep3-reporting\EC\"&amp;TEXT(A2,"YYYY-MM-DD")&amp;"-Enforcements.txt"</f>
        <v>C:\Users\stu\Documents\GitHub\eaglep3-reporting\EC\2016-11-28-Enforcements.txt</v>
      </c>
    </row>
    <row r="28" spans="3:13" x14ac:dyDescent="0.25">
      <c r="C28" t="s">
        <v>798</v>
      </c>
      <c r="J28" t="s">
        <v>189</v>
      </c>
      <c r="M28" s="106" t="str">
        <f>"C:\Users\stu\Documents\GitHub\eaglep3-reporting\EC\"&amp;TEXT(A2,"YYYY-MM-DD")&amp;"-Runs.txt"</f>
        <v>C:\Users\stu\Documents\GitHub\eaglep3-reporting\EC\2016-11-28-Runs.txt</v>
      </c>
    </row>
    <row r="29" spans="3:13" x14ac:dyDescent="0.25">
      <c r="C29" t="s">
        <v>792</v>
      </c>
      <c r="J29" t="s">
        <v>190</v>
      </c>
      <c r="M29" s="106" t="str">
        <f>"C:\Users\stu\Documents\GitHub\eaglep3-reporting\EC\"&amp;TEXT(A2,"YYYY-MM-DD")&amp;"-Trips.txt"</f>
        <v>C:\Users\stu\Documents\GitHub\eaglep3-reporting\EC\2016-11-28-Trips.txt</v>
      </c>
    </row>
    <row r="30" spans="3:13" x14ac:dyDescent="0.25">
      <c r="C30" t="s">
        <v>793</v>
      </c>
      <c r="J30" t="s">
        <v>191</v>
      </c>
      <c r="M30" s="106" t="str">
        <f>"C:\Users\stu\Documents\GitHub\eaglep3-reporting\EC\"&amp;TEXT(A2,"YYYY-MM-DD")&amp;"-Weather.txt"</f>
        <v>C:\Users\stu\Documents\GitHub\eaglep3-reporting\EC\2016-11-28-Weather.txt</v>
      </c>
    </row>
    <row r="31" spans="3:13" x14ac:dyDescent="0.25">
      <c r="C31" t="s">
        <v>794</v>
      </c>
    </row>
    <row r="32" spans="3:13" x14ac:dyDescent="0.25">
      <c r="C32" t="s">
        <v>795</v>
      </c>
    </row>
    <row r="33" spans="3:3" x14ac:dyDescent="0.25">
      <c r="C33" t="s">
        <v>796</v>
      </c>
    </row>
    <row r="34" spans="3:3" x14ac:dyDescent="0.25">
      <c r="C34" t="s">
        <v>797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1"/>
  <sheetViews>
    <sheetView topLeftCell="A7" workbookViewId="0">
      <selection activeCell="B27" sqref="B27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811</v>
      </c>
      <c r="B1" t="str">
        <f t="shared" ref="B1:B64" si="0">MID(A1,6,23)</f>
        <v>2016/11/28 11:15:40.777</v>
      </c>
      <c r="C1" t="e">
        <f>ABS(B1-#REF!)</f>
        <v>#REF!</v>
      </c>
    </row>
    <row r="2" spans="1:3" x14ac:dyDescent="0.25">
      <c r="A2" t="s">
        <v>812</v>
      </c>
      <c r="B2" s="21" t="str">
        <f t="shared" si="0"/>
        <v>2016/11/28 11:15:40.990</v>
      </c>
      <c r="C2">
        <f>ABS(B2-B1)</f>
        <v>2.4652763386256993E-6</v>
      </c>
    </row>
    <row r="3" spans="1:3" x14ac:dyDescent="0.25">
      <c r="A3" t="s">
        <v>813</v>
      </c>
      <c r="B3" s="21" t="str">
        <f t="shared" si="0"/>
        <v>2016/11/28 11:15:41.493</v>
      </c>
      <c r="C3" s="21">
        <f t="shared" ref="C3:C66" si="1">ABS(B3-B2)</f>
        <v>5.8217628975398839E-6</v>
      </c>
    </row>
    <row r="4" spans="1:3" x14ac:dyDescent="0.25">
      <c r="A4" t="s">
        <v>814</v>
      </c>
      <c r="B4" s="21" t="str">
        <f t="shared" si="0"/>
        <v>2016/11/28 12:10:21.877</v>
      </c>
      <c r="C4" s="21">
        <f t="shared" si="1"/>
        <v>3.7967407406540588E-2</v>
      </c>
    </row>
    <row r="5" spans="1:3" x14ac:dyDescent="0.25">
      <c r="A5" t="s">
        <v>815</v>
      </c>
      <c r="B5" s="21" t="str">
        <f t="shared" si="0"/>
        <v>2016/11/28 12:10:22.011</v>
      </c>
      <c r="C5" s="21">
        <f t="shared" si="1"/>
        <v>1.5509285731241107E-6</v>
      </c>
    </row>
    <row r="6" spans="1:3" x14ac:dyDescent="0.25">
      <c r="A6" t="s">
        <v>816</v>
      </c>
      <c r="B6" s="21" t="str">
        <f t="shared" si="0"/>
        <v>2016/11/28 12:10:22.745</v>
      </c>
      <c r="C6" s="21">
        <f t="shared" si="1"/>
        <v>8.4953717305324972E-6</v>
      </c>
    </row>
    <row r="7" spans="1:3" x14ac:dyDescent="0.25">
      <c r="A7" t="s">
        <v>817</v>
      </c>
      <c r="B7" s="21" t="str">
        <f t="shared" si="0"/>
        <v>2016/11/28 12:16:02.064</v>
      </c>
      <c r="C7" s="21">
        <f t="shared" si="1"/>
        <v>3.9273032380151562E-3</v>
      </c>
    </row>
    <row r="8" spans="1:3" x14ac:dyDescent="0.25">
      <c r="A8" t="s">
        <v>818</v>
      </c>
      <c r="B8" s="21" t="str">
        <f t="shared" si="0"/>
        <v>2016/11/28 12:16:02.466</v>
      </c>
      <c r="C8" s="21">
        <f t="shared" si="1"/>
        <v>4.6527784434147179E-6</v>
      </c>
    </row>
    <row r="9" spans="1:3" x14ac:dyDescent="0.25">
      <c r="A9" t="s">
        <v>819</v>
      </c>
      <c r="B9" s="21" t="str">
        <f t="shared" si="0"/>
        <v>2016/11/28 12:16:02.872</v>
      </c>
      <c r="C9" s="21">
        <f t="shared" si="1"/>
        <v>4.6990753617137671E-6</v>
      </c>
    </row>
    <row r="10" spans="1:3" x14ac:dyDescent="0.25">
      <c r="A10" t="s">
        <v>820</v>
      </c>
      <c r="B10" s="21" t="str">
        <f t="shared" si="0"/>
        <v>2016/11/28 12:28:25.435</v>
      </c>
      <c r="C10" s="21">
        <f t="shared" si="1"/>
        <v>8.59447916445788E-3</v>
      </c>
    </row>
    <row r="11" spans="1:3" x14ac:dyDescent="0.25">
      <c r="A11" t="s">
        <v>821</v>
      </c>
      <c r="B11" s="21" t="str">
        <f t="shared" si="0"/>
        <v>2016/11/28 12:28:25.820</v>
      </c>
      <c r="C11" s="21">
        <f t="shared" si="1"/>
        <v>4.4560147216543555E-6</v>
      </c>
    </row>
    <row r="12" spans="1:3" x14ac:dyDescent="0.25">
      <c r="A12" t="s">
        <v>822</v>
      </c>
      <c r="B12" s="21" t="str">
        <f t="shared" si="0"/>
        <v>2016/11/28 12:28:26.025</v>
      </c>
      <c r="C12" s="21">
        <f t="shared" si="1"/>
        <v>2.3726897779852152E-6</v>
      </c>
    </row>
    <row r="13" spans="1:3" x14ac:dyDescent="0.25">
      <c r="A13" t="s">
        <v>823</v>
      </c>
      <c r="B13" s="21" t="str">
        <f t="shared" si="0"/>
        <v>2016/11/28 12:32:06.289</v>
      </c>
      <c r="C13" s="21">
        <f t="shared" si="1"/>
        <v>2.5493518478469923E-3</v>
      </c>
    </row>
    <row r="14" spans="1:3" x14ac:dyDescent="0.25">
      <c r="A14" t="s">
        <v>824</v>
      </c>
      <c r="B14" s="21" t="str">
        <f t="shared" si="0"/>
        <v>2016/11/28 12:32:06.837</v>
      </c>
      <c r="C14" s="21">
        <f t="shared" si="1"/>
        <v>6.342597771435976E-6</v>
      </c>
    </row>
    <row r="15" spans="1:3" x14ac:dyDescent="0.25">
      <c r="A15" t="s">
        <v>825</v>
      </c>
      <c r="B15" s="21" t="str">
        <f t="shared" si="0"/>
        <v>2016/11/28 12:50:08.096</v>
      </c>
      <c r="C15" s="21">
        <f t="shared" si="1"/>
        <v>1.2514571753854398E-2</v>
      </c>
    </row>
    <row r="16" spans="1:3" x14ac:dyDescent="0.25">
      <c r="A16" t="s">
        <v>826</v>
      </c>
      <c r="B16" s="21" t="str">
        <f t="shared" si="0"/>
        <v>2016/11/28 12:50:08.388</v>
      </c>
      <c r="C16" s="21">
        <f t="shared" si="1"/>
        <v>3.379631380084902E-6</v>
      </c>
    </row>
    <row r="17" spans="1:3" x14ac:dyDescent="0.25">
      <c r="A17" t="s">
        <v>827</v>
      </c>
      <c r="B17" s="21" t="str">
        <f t="shared" si="0"/>
        <v>2016/11/28 13:05:57.742</v>
      </c>
      <c r="C17" s="21">
        <f t="shared" si="1"/>
        <v>1.0987893518176861E-2</v>
      </c>
    </row>
    <row r="18" spans="1:3" x14ac:dyDescent="0.25">
      <c r="A18" t="s">
        <v>828</v>
      </c>
      <c r="B18" s="21" t="str">
        <f t="shared" si="0"/>
        <v>2016/11/28 13:05:57.879</v>
      </c>
      <c r="C18" s="21">
        <f t="shared" si="1"/>
        <v>1.585649442858994E-6</v>
      </c>
    </row>
    <row r="19" spans="1:3" x14ac:dyDescent="0.25">
      <c r="A19" t="s">
        <v>829</v>
      </c>
      <c r="B19" s="21" t="str">
        <f t="shared" si="0"/>
        <v>2016/11/28 13:05:58.007</v>
      </c>
      <c r="C19" s="21">
        <f t="shared" si="1"/>
        <v>1.4814795576967299E-6</v>
      </c>
    </row>
    <row r="20" spans="1:3" x14ac:dyDescent="0.25">
      <c r="A20" t="s">
        <v>830</v>
      </c>
      <c r="B20" s="21" t="str">
        <f t="shared" si="0"/>
        <v>2016/11/28 13:06:06.605</v>
      </c>
      <c r="C20" s="21">
        <f t="shared" si="1"/>
        <v>9.9513890745583922E-5</v>
      </c>
    </row>
    <row r="21" spans="1:3" x14ac:dyDescent="0.25">
      <c r="A21" t="s">
        <v>831</v>
      </c>
      <c r="B21" s="21" t="str">
        <f t="shared" si="0"/>
        <v>2016/11/28 13:26:08.014</v>
      </c>
      <c r="C21" s="21">
        <f t="shared" si="1"/>
        <v>1.3905196756240912E-2</v>
      </c>
    </row>
    <row r="22" spans="1:3" x14ac:dyDescent="0.25">
      <c r="A22" t="s">
        <v>832</v>
      </c>
      <c r="B22" s="21" t="str">
        <f t="shared" si="0"/>
        <v>2016/11/28 13:26:08.434</v>
      </c>
      <c r="C22" s="21">
        <f t="shared" si="1"/>
        <v>4.8611109377816319E-6</v>
      </c>
    </row>
    <row r="23" spans="1:3" x14ac:dyDescent="0.25">
      <c r="A23" t="s">
        <v>833</v>
      </c>
      <c r="B23" s="21" t="str">
        <f t="shared" si="0"/>
        <v>2016/11/28 13:26:08.819</v>
      </c>
      <c r="C23" s="21">
        <f t="shared" si="1"/>
        <v>4.4560219976119697E-6</v>
      </c>
    </row>
    <row r="24" spans="1:3" x14ac:dyDescent="0.25">
      <c r="A24" t="s">
        <v>834</v>
      </c>
      <c r="B24" s="21" t="str">
        <f t="shared" si="0"/>
        <v>2016/11/28 14:05:21.873</v>
      </c>
      <c r="C24" s="21">
        <f t="shared" si="1"/>
        <v>2.7234421293542255E-2</v>
      </c>
    </row>
    <row r="25" spans="1:3" x14ac:dyDescent="0.25">
      <c r="A25" t="s">
        <v>835</v>
      </c>
      <c r="B25" s="21" t="str">
        <f t="shared" si="0"/>
        <v>2016/11/28 14:05:22.008</v>
      </c>
      <c r="C25" s="21">
        <f t="shared" si="1"/>
        <v>1.5625046216882765E-6</v>
      </c>
    </row>
    <row r="26" spans="1:3" x14ac:dyDescent="0.25">
      <c r="A26" t="s">
        <v>836</v>
      </c>
      <c r="B26" s="21" t="str">
        <f t="shared" si="0"/>
        <v>2016/11/28 14:05:22.744</v>
      </c>
      <c r="C26" s="21">
        <f t="shared" si="1"/>
        <v>8.5185165517032146E-6</v>
      </c>
    </row>
    <row r="27" spans="1:3" x14ac:dyDescent="0.25">
      <c r="A27" t="s">
        <v>837</v>
      </c>
      <c r="B27" s="21" t="str">
        <f t="shared" si="0"/>
        <v>2016/11/28 14:50:58.279</v>
      </c>
      <c r="C27" s="21">
        <f t="shared" si="1"/>
        <v>3.1661284723668359E-2</v>
      </c>
    </row>
    <row r="28" spans="1:3" x14ac:dyDescent="0.25">
      <c r="A28" t="s">
        <v>838</v>
      </c>
      <c r="B28" s="21" t="str">
        <f t="shared" si="0"/>
        <v>2016/11/28 15:04:22.611</v>
      </c>
      <c r="C28" s="21">
        <f t="shared" si="1"/>
        <v>9.3093981486163102E-3</v>
      </c>
    </row>
    <row r="29" spans="1:3" x14ac:dyDescent="0.25">
      <c r="A29" t="s">
        <v>839</v>
      </c>
      <c r="B29" s="21" t="str">
        <f t="shared" si="0"/>
        <v>2016/11/28 15:04:23.103</v>
      </c>
      <c r="C29" s="21">
        <f t="shared" si="1"/>
        <v>5.6944409152492881E-6</v>
      </c>
    </row>
    <row r="30" spans="1:3" x14ac:dyDescent="0.25">
      <c r="A30" t="s">
        <v>840</v>
      </c>
      <c r="B30" s="21" t="str">
        <f t="shared" si="0"/>
        <v>2016/11/28 15:06:19.006</v>
      </c>
      <c r="C30" s="21">
        <f t="shared" si="1"/>
        <v>1.3414699060376734E-3</v>
      </c>
    </row>
    <row r="31" spans="1:3" x14ac:dyDescent="0.25">
      <c r="A31" t="s">
        <v>841</v>
      </c>
      <c r="B31" s="21" t="str">
        <f t="shared" si="0"/>
        <v>2016/11/28 15:06:19.749</v>
      </c>
      <c r="C31" s="21">
        <f t="shared" si="1"/>
        <v>8.5995416156947613E-6</v>
      </c>
    </row>
    <row r="32" spans="1:3" x14ac:dyDescent="0.25">
      <c r="A32" t="s">
        <v>842</v>
      </c>
      <c r="B32" s="21" t="str">
        <f t="shared" si="0"/>
        <v>2016/11/28 15:06:19.873</v>
      </c>
      <c r="C32" s="21">
        <f t="shared" si="1"/>
        <v>1.4351826393976808E-6</v>
      </c>
    </row>
    <row r="33" spans="1:3" x14ac:dyDescent="0.25">
      <c r="A33" t="s">
        <v>843</v>
      </c>
      <c r="B33" s="21" t="str">
        <f t="shared" si="0"/>
        <v>2016/11/28 15:25:57.012</v>
      </c>
      <c r="C33" s="21">
        <f t="shared" si="1"/>
        <v>1.3624293984321412E-2</v>
      </c>
    </row>
    <row r="34" spans="1:3" x14ac:dyDescent="0.25">
      <c r="A34" t="s">
        <v>844</v>
      </c>
      <c r="B34" s="21" t="str">
        <f t="shared" si="0"/>
        <v>2016/11/28 15:31:07.828</v>
      </c>
      <c r="C34" s="21">
        <f t="shared" si="1"/>
        <v>3.5974074053228833E-3</v>
      </c>
    </row>
    <row r="35" spans="1:3" x14ac:dyDescent="0.25">
      <c r="A35" t="s">
        <v>845</v>
      </c>
      <c r="B35" s="21" t="str">
        <f t="shared" si="0"/>
        <v>2016/11/28 15:31:08.012</v>
      </c>
      <c r="C35" s="21">
        <f t="shared" si="1"/>
        <v>2.1296291379258037E-6</v>
      </c>
    </row>
    <row r="36" spans="1:3" x14ac:dyDescent="0.25">
      <c r="A36" t="s">
        <v>846</v>
      </c>
      <c r="B36" s="21" t="str">
        <f t="shared" si="0"/>
        <v>2016/11/28 15:34:41.579</v>
      </c>
      <c r="C36" s="21">
        <f t="shared" si="1"/>
        <v>2.4718402783037163E-3</v>
      </c>
    </row>
    <row r="37" spans="1:3" x14ac:dyDescent="0.25">
      <c r="A37" t="s">
        <v>847</v>
      </c>
      <c r="B37" s="21" t="str">
        <f t="shared" si="0"/>
        <v>2016/11/28 15:34:42.194</v>
      </c>
      <c r="C37" s="21">
        <f t="shared" si="1"/>
        <v>7.1180547820404172E-6</v>
      </c>
    </row>
    <row r="38" spans="1:3" x14ac:dyDescent="0.25">
      <c r="A38" t="s">
        <v>848</v>
      </c>
      <c r="B38" s="21" t="str">
        <f t="shared" si="0"/>
        <v>2016/11/28 15:34:42.228</v>
      </c>
      <c r="C38" s="21">
        <f t="shared" si="1"/>
        <v>3.9352016756311059E-7</v>
      </c>
    </row>
    <row r="39" spans="1:3" x14ac:dyDescent="0.25">
      <c r="A39" t="s">
        <v>849</v>
      </c>
      <c r="B39" s="21" t="str">
        <f t="shared" si="0"/>
        <v>2016/11/28 16:16:56.839</v>
      </c>
      <c r="C39" s="21">
        <f t="shared" si="1"/>
        <v>2.9335775463550817E-2</v>
      </c>
    </row>
    <row r="40" spans="1:3" x14ac:dyDescent="0.25">
      <c r="A40" t="s">
        <v>850</v>
      </c>
      <c r="B40" s="21" t="str">
        <f t="shared" si="0"/>
        <v>2016/11/28 16:16:57.322</v>
      </c>
      <c r="C40" s="21">
        <f t="shared" si="1"/>
        <v>5.5902783060446382E-6</v>
      </c>
    </row>
    <row r="41" spans="1:3" x14ac:dyDescent="0.25">
      <c r="A41" t="s">
        <v>851</v>
      </c>
      <c r="B41" s="21" t="str">
        <f t="shared" si="0"/>
        <v>2016/11/28 16:46:00.781</v>
      </c>
      <c r="C41" s="21">
        <f t="shared" si="1"/>
        <v>2.0178923608909827E-2</v>
      </c>
    </row>
    <row r="42" spans="1:3" x14ac:dyDescent="0.25">
      <c r="A42" t="s">
        <v>852</v>
      </c>
      <c r="B42" s="21" t="str">
        <f t="shared" si="0"/>
        <v>2016/11/28 16:46:02.040</v>
      </c>
      <c r="C42" s="21">
        <f t="shared" si="1"/>
        <v>1.457175676478073E-5</v>
      </c>
    </row>
    <row r="43" spans="1:3" x14ac:dyDescent="0.25">
      <c r="A43" t="s">
        <v>853</v>
      </c>
      <c r="B43" s="21" t="str">
        <f t="shared" si="0"/>
        <v>2016/11/28 17:21:19.069</v>
      </c>
      <c r="C43" s="21">
        <f t="shared" si="1"/>
        <v>2.4502650463546161E-2</v>
      </c>
    </row>
    <row r="44" spans="1:3" x14ac:dyDescent="0.25">
      <c r="A44" t="s">
        <v>854</v>
      </c>
      <c r="B44" s="21" t="str">
        <f t="shared" si="0"/>
        <v>2016/11/28 17:21:19.321</v>
      </c>
      <c r="C44" s="21">
        <f t="shared" si="1"/>
        <v>2.9166694730520248E-6</v>
      </c>
    </row>
    <row r="45" spans="1:3" x14ac:dyDescent="0.25">
      <c r="A45" t="s">
        <v>855</v>
      </c>
      <c r="B45" s="21" t="str">
        <f t="shared" si="0"/>
        <v>2016/11/28 17:22:10.964</v>
      </c>
      <c r="C45" s="21">
        <f t="shared" si="1"/>
        <v>5.9771991072921082E-4</v>
      </c>
    </row>
    <row r="46" spans="1:3" x14ac:dyDescent="0.25">
      <c r="A46" t="s">
        <v>856</v>
      </c>
      <c r="B46" s="21" t="str">
        <f t="shared" si="0"/>
        <v>2016/11/28 17:22:11.068</v>
      </c>
      <c r="C46" s="21">
        <f t="shared" si="1"/>
        <v>1.2036980479024351E-6</v>
      </c>
    </row>
    <row r="47" spans="1:3" x14ac:dyDescent="0.25">
      <c r="A47" t="s">
        <v>857</v>
      </c>
      <c r="B47" s="21" t="str">
        <f t="shared" si="0"/>
        <v>2016/11/28 17:22:11.321</v>
      </c>
      <c r="C47" s="21">
        <f t="shared" si="1"/>
        <v>2.9282455216161907E-6</v>
      </c>
    </row>
    <row r="48" spans="1:3" x14ac:dyDescent="0.25">
      <c r="A48" t="s">
        <v>858</v>
      </c>
      <c r="B48" s="21" t="str">
        <f t="shared" si="0"/>
        <v>2016/11/28 17:23:53.484</v>
      </c>
      <c r="C48" s="21">
        <f t="shared" si="1"/>
        <v>1.1824421235360205E-3</v>
      </c>
    </row>
    <row r="49" spans="1:3" x14ac:dyDescent="0.25">
      <c r="A49" t="s">
        <v>859</v>
      </c>
      <c r="B49" s="21" t="str">
        <f t="shared" si="0"/>
        <v>2016/11/28 17:23:53.770</v>
      </c>
      <c r="C49" s="21">
        <f t="shared" si="1"/>
        <v>3.3101896406151354E-6</v>
      </c>
    </row>
    <row r="50" spans="1:3" x14ac:dyDescent="0.25">
      <c r="A50" t="s">
        <v>860</v>
      </c>
      <c r="B50" s="21" t="str">
        <f t="shared" si="0"/>
        <v>2016/11/28 18:06:53.404</v>
      </c>
      <c r="C50" s="21">
        <f t="shared" si="1"/>
        <v>2.9856875000405125E-2</v>
      </c>
    </row>
    <row r="51" spans="1:3" x14ac:dyDescent="0.25">
      <c r="A51" t="s">
        <v>861</v>
      </c>
      <c r="B51" s="21" t="str">
        <f t="shared" si="0"/>
        <v>2016/11/28 18:06:54.101</v>
      </c>
      <c r="C51" s="21">
        <f t="shared" si="1"/>
        <v>8.0671306932345033E-6</v>
      </c>
    </row>
    <row r="52" spans="1:3" x14ac:dyDescent="0.25">
      <c r="A52" t="s">
        <v>862</v>
      </c>
      <c r="B52" s="21" t="str">
        <f t="shared" si="0"/>
        <v>2016/11/28 19:48:20.406</v>
      </c>
      <c r="C52" s="21">
        <f t="shared" si="1"/>
        <v>7.0443344906379934E-2</v>
      </c>
    </row>
    <row r="53" spans="1:3" x14ac:dyDescent="0.25">
      <c r="A53" t="s">
        <v>863</v>
      </c>
      <c r="B53" s="21" t="str">
        <f t="shared" si="0"/>
        <v>2016/11/28 19:48:21.101</v>
      </c>
      <c r="C53" s="21">
        <f t="shared" si="1"/>
        <v>8.0439785961061716E-6</v>
      </c>
    </row>
    <row r="54" spans="1:3" x14ac:dyDescent="0.25">
      <c r="A54" t="s">
        <v>864</v>
      </c>
      <c r="B54" s="21" t="str">
        <f t="shared" si="0"/>
        <v>2016/11/28 20:04:33.286</v>
      </c>
      <c r="C54" s="21">
        <f t="shared" si="1"/>
        <v>1.1252141208387911E-2</v>
      </c>
    </row>
    <row r="55" spans="1:3" x14ac:dyDescent="0.25">
      <c r="A55" t="s">
        <v>865</v>
      </c>
      <c r="B55" s="21" t="str">
        <f t="shared" si="0"/>
        <v>2016/11/28 20:49:24.362</v>
      </c>
      <c r="C55" s="21">
        <f t="shared" si="1"/>
        <v>3.1146712957706768E-2</v>
      </c>
    </row>
    <row r="56" spans="1:3" x14ac:dyDescent="0.25">
      <c r="A56" t="s">
        <v>866</v>
      </c>
      <c r="B56" s="21" t="str">
        <f t="shared" si="0"/>
        <v>2016/11/28 20:49:24.484</v>
      </c>
      <c r="C56" s="21">
        <f t="shared" si="1"/>
        <v>1.4120378182269633E-6</v>
      </c>
    </row>
    <row r="57" spans="1:3" x14ac:dyDescent="0.25">
      <c r="A57" t="s">
        <v>867</v>
      </c>
      <c r="B57" s="21" t="str">
        <f t="shared" si="0"/>
        <v>2016/11/28 20:49:25.034</v>
      </c>
      <c r="C57" s="21">
        <f t="shared" si="1"/>
        <v>6.3657425926066935E-6</v>
      </c>
    </row>
    <row r="58" spans="1:3" x14ac:dyDescent="0.25">
      <c r="A58" t="s">
        <v>868</v>
      </c>
      <c r="B58" s="21" t="str">
        <f t="shared" si="0"/>
        <v>2016/11/28 20:54:43.367</v>
      </c>
      <c r="C58" s="21">
        <f t="shared" si="1"/>
        <v>3.6844097194261849E-3</v>
      </c>
    </row>
    <row r="59" spans="1:3" x14ac:dyDescent="0.25">
      <c r="A59" t="s">
        <v>869</v>
      </c>
      <c r="B59" s="21" t="str">
        <f t="shared" si="0"/>
        <v>2016/11/28 20:54:43.497</v>
      </c>
      <c r="C59" s="21">
        <f t="shared" si="1"/>
        <v>1.5046316548250616E-6</v>
      </c>
    </row>
    <row r="60" spans="1:3" x14ac:dyDescent="0.25">
      <c r="A60" t="s">
        <v>870</v>
      </c>
      <c r="B60" s="21" t="str">
        <f t="shared" si="0"/>
        <v>2016/11/28 20:54:43.892</v>
      </c>
      <c r="C60" s="21">
        <f t="shared" si="1"/>
        <v>4.5717606553807855E-6</v>
      </c>
    </row>
    <row r="61" spans="1:3" x14ac:dyDescent="0.25">
      <c r="A61" t="s">
        <v>871</v>
      </c>
      <c r="B61" s="21" t="str">
        <f t="shared" si="0"/>
        <v>2016/11/28 21:30:21.100</v>
      </c>
      <c r="C61" s="21">
        <f t="shared" si="1"/>
        <v>2.4736203704378568E-2</v>
      </c>
    </row>
    <row r="62" spans="1:3" x14ac:dyDescent="0.25">
      <c r="A62" t="s">
        <v>872</v>
      </c>
      <c r="B62" s="21" t="str">
        <f t="shared" si="0"/>
        <v>2016/11/28 21:30:21.402</v>
      </c>
      <c r="C62" s="21">
        <f t="shared" si="1"/>
        <v>3.4953700378537178E-6</v>
      </c>
    </row>
    <row r="63" spans="1:3" x14ac:dyDescent="0.25">
      <c r="A63" t="s">
        <v>873</v>
      </c>
      <c r="B63" s="21" t="str">
        <f t="shared" si="0"/>
        <v>2016/11/28 21:49:38.607</v>
      </c>
      <c r="C63" s="21">
        <f t="shared" si="1"/>
        <v>1.3393576387898065E-2</v>
      </c>
    </row>
    <row r="64" spans="1:3" x14ac:dyDescent="0.25">
      <c r="A64" t="s">
        <v>874</v>
      </c>
      <c r="B64" s="21" t="str">
        <f t="shared" si="0"/>
        <v>2016/11/28 21:49:38.614</v>
      </c>
      <c r="C64" s="21">
        <f t="shared" si="1"/>
        <v>8.1017788033932447E-8</v>
      </c>
    </row>
    <row r="65" spans="1:3" x14ac:dyDescent="0.25">
      <c r="A65" t="s">
        <v>875</v>
      </c>
      <c r="B65" s="21" t="str">
        <f t="shared" ref="B65:B75" si="2">MID(A65,6,23)</f>
        <v>2016/11/28 21:49:39.288</v>
      </c>
      <c r="C65" s="21">
        <f t="shared" si="1"/>
        <v>7.8009252320043743E-6</v>
      </c>
    </row>
    <row r="66" spans="1:3" x14ac:dyDescent="0.25">
      <c r="A66" t="s">
        <v>876</v>
      </c>
      <c r="B66" s="21" t="str">
        <f t="shared" si="2"/>
        <v>2016/11/28 22:06:56.576</v>
      </c>
      <c r="C66" s="21">
        <f t="shared" si="1"/>
        <v>1.2005648146441672E-2</v>
      </c>
    </row>
    <row r="67" spans="1:3" x14ac:dyDescent="0.25">
      <c r="A67" t="s">
        <v>877</v>
      </c>
      <c r="B67" s="21" t="str">
        <f t="shared" si="2"/>
        <v>2016/11/28 22:06:56.900</v>
      </c>
      <c r="C67" s="21">
        <f t="shared" ref="C67:C75" si="3">ABS(B67-B66)</f>
        <v>3.749999450519681E-6</v>
      </c>
    </row>
    <row r="68" spans="1:3" x14ac:dyDescent="0.25">
      <c r="A68" t="s">
        <v>878</v>
      </c>
      <c r="B68" s="21" t="str">
        <f t="shared" si="2"/>
        <v>2016/11/28 22:15:46.156</v>
      </c>
      <c r="C68" s="21">
        <f t="shared" si="3"/>
        <v>6.1256481494638138E-3</v>
      </c>
    </row>
    <row r="69" spans="1:3" x14ac:dyDescent="0.25">
      <c r="A69" t="s">
        <v>879</v>
      </c>
      <c r="B69" s="21" t="str">
        <f t="shared" si="2"/>
        <v>2016/11/28 22:15:46.222</v>
      </c>
      <c r="C69" s="21">
        <f t="shared" si="3"/>
        <v>7.6388823799788952E-7</v>
      </c>
    </row>
    <row r="70" spans="1:3" x14ac:dyDescent="0.25">
      <c r="A70" t="s">
        <v>880</v>
      </c>
      <c r="B70" s="21" t="str">
        <f t="shared" si="2"/>
        <v>2016/11/28 22:15:46.334</v>
      </c>
      <c r="C70" s="21">
        <f t="shared" si="3"/>
        <v>1.2962991604581475E-6</v>
      </c>
    </row>
    <row r="71" spans="1:3" x14ac:dyDescent="0.25">
      <c r="A71" t="s">
        <v>881</v>
      </c>
      <c r="B71" s="21" t="str">
        <f t="shared" si="2"/>
        <v>2016/11/28 22:28:17.223</v>
      </c>
      <c r="C71" s="21">
        <f t="shared" si="3"/>
        <v>8.6908449084148742E-3</v>
      </c>
    </row>
    <row r="72" spans="1:3" x14ac:dyDescent="0.25">
      <c r="A72" t="s">
        <v>882</v>
      </c>
      <c r="B72" s="21" t="str">
        <f t="shared" si="2"/>
        <v>2016/11/28 22:28:17.268</v>
      </c>
      <c r="C72" s="21">
        <f t="shared" si="3"/>
        <v>5.2083487389609218E-7</v>
      </c>
    </row>
    <row r="73" spans="1:3" x14ac:dyDescent="0.25">
      <c r="A73" t="s">
        <v>883</v>
      </c>
      <c r="B73" s="21" t="str">
        <f t="shared" si="2"/>
        <v>2016/11/28 22:28:17.612</v>
      </c>
      <c r="C73" s="21">
        <f t="shared" si="3"/>
        <v>3.9814767660573125E-6</v>
      </c>
    </row>
    <row r="74" spans="1:3" x14ac:dyDescent="0.25">
      <c r="A74" t="s">
        <v>884</v>
      </c>
      <c r="B74" s="21" t="str">
        <f t="shared" si="2"/>
        <v>2016/11/28 22:36:45.159</v>
      </c>
      <c r="C74" s="21">
        <f t="shared" si="3"/>
        <v>5.8743865738506429E-3</v>
      </c>
    </row>
    <row r="75" spans="1:3" x14ac:dyDescent="0.25">
      <c r="A75" t="s">
        <v>885</v>
      </c>
      <c r="B75" s="21" t="str">
        <f t="shared" si="2"/>
        <v>2016/11/28 22:36:45.242</v>
      </c>
      <c r="C75" s="21">
        <f t="shared" si="3"/>
        <v>9.6065195975825191E-7</v>
      </c>
    </row>
    <row r="76" spans="1:3" x14ac:dyDescent="0.25">
      <c r="A76" t="s">
        <v>886</v>
      </c>
      <c r="B76" s="21" t="str">
        <f t="shared" ref="B76:B81" si="4">MID(A76,6,23)</f>
        <v>2016/11/28 22:36:45.344</v>
      </c>
      <c r="C76" s="21">
        <f t="shared" ref="C76:C81" si="5">ABS(B76-B75)</f>
        <v>1.1805532267317176E-6</v>
      </c>
    </row>
    <row r="77" spans="1:3" x14ac:dyDescent="0.25">
      <c r="A77" t="s">
        <v>887</v>
      </c>
      <c r="B77" s="21" t="str">
        <f t="shared" si="4"/>
        <v>2016/11/28 22:38:19.157</v>
      </c>
      <c r="C77" s="21">
        <f t="shared" si="5"/>
        <v>1.0857986126211472E-3</v>
      </c>
    </row>
    <row r="78" spans="1:3" x14ac:dyDescent="0.25">
      <c r="A78" t="s">
        <v>888</v>
      </c>
      <c r="B78" s="21" t="str">
        <f t="shared" si="4"/>
        <v>2016/11/28 22:38:19.210</v>
      </c>
      <c r="C78" s="21">
        <f t="shared" si="5"/>
        <v>6.1342143453657627E-7</v>
      </c>
    </row>
    <row r="79" spans="1:3" x14ac:dyDescent="0.25">
      <c r="A79" t="s">
        <v>889</v>
      </c>
      <c r="B79" s="21" t="str">
        <f t="shared" si="4"/>
        <v>2016/11/28 22:38:19.326</v>
      </c>
      <c r="C79" s="21">
        <f t="shared" si="5"/>
        <v>1.3425960787571967E-6</v>
      </c>
    </row>
    <row r="80" spans="1:3" x14ac:dyDescent="0.25">
      <c r="A80" t="s">
        <v>890</v>
      </c>
      <c r="B80" s="21" t="str">
        <f t="shared" si="4"/>
        <v>2016/11/28 22:39:40.194</v>
      </c>
      <c r="C80" s="21">
        <f t="shared" si="5"/>
        <v>9.3597222439711913E-4</v>
      </c>
    </row>
    <row r="81" spans="1:3" x14ac:dyDescent="0.25">
      <c r="A81" t="s">
        <v>891</v>
      </c>
      <c r="B81" s="21" t="str">
        <f t="shared" si="4"/>
        <v>2016/11/28 22:39:40.233</v>
      </c>
      <c r="C81" s="21">
        <f t="shared" si="5"/>
        <v>4.5138585846871138E-7</v>
      </c>
    </row>
    <row r="82" spans="1:3" x14ac:dyDescent="0.25">
      <c r="A82" t="s">
        <v>892</v>
      </c>
      <c r="B82" s="21" t="str">
        <f t="shared" ref="B82:B114" si="6">MID(A82,6,23)</f>
        <v>2016/11/28 22:39:40.589</v>
      </c>
      <c r="C82" s="21">
        <f t="shared" ref="C82:C114" si="7">ABS(B82-B81)</f>
        <v>4.1203675209544599E-6</v>
      </c>
    </row>
    <row r="83" spans="1:3" x14ac:dyDescent="0.25">
      <c r="A83" t="s">
        <v>893</v>
      </c>
      <c r="B83" s="21" t="str">
        <f t="shared" si="6"/>
        <v>2016/11/28 22:40:23.201</v>
      </c>
      <c r="C83" s="21">
        <f t="shared" si="7"/>
        <v>4.9319444951834157E-4</v>
      </c>
    </row>
    <row r="84" spans="1:3" x14ac:dyDescent="0.25">
      <c r="A84" t="s">
        <v>894</v>
      </c>
      <c r="B84" s="21" t="str">
        <f t="shared" si="6"/>
        <v>2016/11/29 00:14:00.040</v>
      </c>
      <c r="C84" s="21">
        <f t="shared" si="7"/>
        <v>6.5009710648155306E-2</v>
      </c>
    </row>
    <row r="85" spans="1:3" x14ac:dyDescent="0.25">
      <c r="A85" t="s">
        <v>895</v>
      </c>
      <c r="B85" s="21" t="str">
        <f t="shared" si="6"/>
        <v>2016/11/29 00:14:00.372</v>
      </c>
      <c r="C85" s="21">
        <f t="shared" si="7"/>
        <v>3.8425932871177793E-6</v>
      </c>
    </row>
    <row r="86" spans="1:3" x14ac:dyDescent="0.25">
      <c r="A86" t="s">
        <v>896</v>
      </c>
      <c r="B86" s="21" t="str">
        <f t="shared" si="6"/>
        <v>2016/11/29 00:14:00.489</v>
      </c>
      <c r="C86" s="21">
        <f t="shared" si="7"/>
        <v>1.3541648513637483E-6</v>
      </c>
    </row>
    <row r="87" spans="1:3" x14ac:dyDescent="0.25">
      <c r="A87" t="s">
        <v>897</v>
      </c>
      <c r="B87" s="21" t="str">
        <f t="shared" si="6"/>
        <v>2016/11/29 00:25:52.024</v>
      </c>
      <c r="C87" s="21">
        <f t="shared" si="7"/>
        <v>8.235358793172054E-3</v>
      </c>
    </row>
    <row r="88" spans="1:3" x14ac:dyDescent="0.25">
      <c r="A88" t="s">
        <v>898</v>
      </c>
      <c r="B88" s="21" t="str">
        <f t="shared" si="6"/>
        <v>2016/11/29 00:25:52.824</v>
      </c>
      <c r="C88" s="21">
        <f t="shared" si="7"/>
        <v>9.2592599685303867E-6</v>
      </c>
    </row>
    <row r="89" spans="1:3" x14ac:dyDescent="0.25">
      <c r="A89" t="s">
        <v>899</v>
      </c>
      <c r="B89" s="21" t="str">
        <f t="shared" si="6"/>
        <v>2016/11/29 00:25:53.440</v>
      </c>
      <c r="C89" s="21">
        <f t="shared" si="7"/>
        <v>7.129630830604583E-6</v>
      </c>
    </row>
    <row r="90" spans="1:3" x14ac:dyDescent="0.25">
      <c r="A90" t="s">
        <v>900</v>
      </c>
      <c r="B90" s="21" t="str">
        <f t="shared" si="6"/>
        <v>2016/11/29 00:52:10.899</v>
      </c>
      <c r="C90" s="21">
        <f t="shared" si="7"/>
        <v>1.8257627314596903E-2</v>
      </c>
    </row>
    <row r="91" spans="1:3" x14ac:dyDescent="0.25">
      <c r="A91" t="s">
        <v>901</v>
      </c>
      <c r="B91" s="21" t="str">
        <f t="shared" si="6"/>
        <v>2016/11/29 00:52:11.504</v>
      </c>
      <c r="C91" s="21">
        <f t="shared" si="7"/>
        <v>7.0023161242716014E-6</v>
      </c>
    </row>
    <row r="92" spans="1:3" x14ac:dyDescent="0.25">
      <c r="A92" t="s">
        <v>902</v>
      </c>
      <c r="B92" s="21" t="str">
        <f t="shared" si="6"/>
        <v>2016/11/29 00:52:12.372</v>
      </c>
      <c r="C92" s="21">
        <f t="shared" si="7"/>
        <v>1.0046293027698994E-5</v>
      </c>
    </row>
    <row r="93" spans="1:3" x14ac:dyDescent="0.25">
      <c r="A93" t="s">
        <v>903</v>
      </c>
      <c r="B93" s="21" t="str">
        <f t="shared" si="6"/>
        <v>2016/11/29 00:56:32.498</v>
      </c>
      <c r="C93" s="21">
        <f t="shared" si="7"/>
        <v>3.0107175989542156E-3</v>
      </c>
    </row>
    <row r="94" spans="1:3" x14ac:dyDescent="0.25">
      <c r="A94" t="s">
        <v>904</v>
      </c>
      <c r="B94" s="21" t="str">
        <f t="shared" si="6"/>
        <v>2016/11/29 00:56:32.892</v>
      </c>
      <c r="C94" s="21">
        <f t="shared" si="7"/>
        <v>4.5601846068166196E-6</v>
      </c>
    </row>
    <row r="95" spans="1:3" x14ac:dyDescent="0.25">
      <c r="A95" t="s">
        <v>905</v>
      </c>
      <c r="B95" s="21" t="str">
        <f t="shared" si="6"/>
        <v>2016/11/29 00:57:10.361</v>
      </c>
      <c r="C95" s="21">
        <f t="shared" si="7"/>
        <v>4.3366898171370849E-4</v>
      </c>
    </row>
    <row r="96" spans="1:3" x14ac:dyDescent="0.25">
      <c r="A96" t="s">
        <v>906</v>
      </c>
      <c r="B96" s="21" t="str">
        <f t="shared" si="6"/>
        <v>2016/11/29 00:57:10.487</v>
      </c>
      <c r="C96" s="21">
        <f t="shared" si="7"/>
        <v>1.4583274605683982E-6</v>
      </c>
    </row>
    <row r="97" spans="1:3" x14ac:dyDescent="0.25">
      <c r="A97" t="s">
        <v>907</v>
      </c>
      <c r="B97" s="21" t="str">
        <f t="shared" si="6"/>
        <v>2016/11/29 00:57:10.891</v>
      </c>
      <c r="C97" s="21">
        <f t="shared" si="7"/>
        <v>4.6759305405430496E-6</v>
      </c>
    </row>
    <row r="98" spans="1:3" x14ac:dyDescent="0.25">
      <c r="A98" t="s">
        <v>908</v>
      </c>
      <c r="B98" s="21" t="str">
        <f t="shared" si="6"/>
        <v>2016/11/29 01:02:48.829</v>
      </c>
      <c r="C98" s="21">
        <f t="shared" si="7"/>
        <v>3.9113194434321485E-3</v>
      </c>
    </row>
    <row r="99" spans="1:3" x14ac:dyDescent="0.25">
      <c r="A99" t="s">
        <v>909</v>
      </c>
      <c r="B99" s="21" t="str">
        <f t="shared" si="6"/>
        <v>2016/11/29 01:02:48.886</v>
      </c>
      <c r="C99" s="21">
        <f t="shared" si="7"/>
        <v>6.5971835283562541E-7</v>
      </c>
    </row>
    <row r="100" spans="1:3" x14ac:dyDescent="0.25">
      <c r="A100" t="s">
        <v>910</v>
      </c>
      <c r="B100" s="21" t="str">
        <f t="shared" si="6"/>
        <v>2016/11/29 01:02:49.014</v>
      </c>
      <c r="C100" s="21">
        <f t="shared" si="7"/>
        <v>1.4814868336543441E-6</v>
      </c>
    </row>
    <row r="101" spans="1:3" x14ac:dyDescent="0.25">
      <c r="A101" t="s">
        <v>911</v>
      </c>
      <c r="B101" s="21" t="str">
        <f t="shared" si="6"/>
        <v>2016/11/29 01:26:10.016</v>
      </c>
      <c r="C101" s="21">
        <f t="shared" si="7"/>
        <v>1.6215300922340248E-2</v>
      </c>
    </row>
    <row r="102" spans="1:3" x14ac:dyDescent="0.25">
      <c r="A102" t="s">
        <v>912</v>
      </c>
      <c r="B102" s="21" t="str">
        <f t="shared" si="6"/>
        <v>2016/11/29 01:26:10.434</v>
      </c>
      <c r="C102" s="21">
        <f t="shared" si="7"/>
        <v>4.8379661166109145E-6</v>
      </c>
    </row>
    <row r="103" spans="1:3" x14ac:dyDescent="0.25">
      <c r="A103" t="s">
        <v>913</v>
      </c>
      <c r="B103" s="21" t="str">
        <f t="shared" si="6"/>
        <v>2016/11/29 02:06:52.357</v>
      </c>
      <c r="C103" s="21">
        <f t="shared" si="7"/>
        <v>2.8262997686397284E-2</v>
      </c>
    </row>
    <row r="104" spans="1:3" x14ac:dyDescent="0.25">
      <c r="A104" t="s">
        <v>914</v>
      </c>
      <c r="B104" s="21" t="str">
        <f t="shared" si="6"/>
        <v>2016/11/29 02:06:52.478</v>
      </c>
      <c r="C104" s="21">
        <f t="shared" si="7"/>
        <v>1.4004617696627975E-6</v>
      </c>
    </row>
    <row r="105" spans="1:3" x14ac:dyDescent="0.25">
      <c r="A105" t="s">
        <v>915</v>
      </c>
      <c r="B105" s="21" t="str">
        <f t="shared" si="6"/>
        <v>2016/11/29 02:06:53.032</v>
      </c>
      <c r="C105" s="21">
        <f t="shared" si="7"/>
        <v>6.4120322349481285E-6</v>
      </c>
    </row>
    <row r="106" spans="1:3" x14ac:dyDescent="0.25">
      <c r="A106" t="s">
        <v>916</v>
      </c>
      <c r="B106" s="21" t="str">
        <f t="shared" si="6"/>
        <v>2016/11/29 02:34:37.583</v>
      </c>
      <c r="C106" s="21">
        <f t="shared" si="7"/>
        <v>1.9265636576164979E-2</v>
      </c>
    </row>
    <row r="107" spans="1:3" x14ac:dyDescent="0.25">
      <c r="A107" t="s">
        <v>917</v>
      </c>
      <c r="B107" s="21" t="str">
        <f t="shared" si="6"/>
        <v>2016/11/29 02:34:38.195</v>
      </c>
      <c r="C107" s="21">
        <f t="shared" si="7"/>
        <v>7.0833339123055339E-6</v>
      </c>
    </row>
    <row r="108" spans="1:3" x14ac:dyDescent="0.25">
      <c r="A108" t="s">
        <v>918</v>
      </c>
      <c r="B108" s="21" t="str">
        <f t="shared" si="6"/>
        <v>2016/11/29 02:34:38.227</v>
      </c>
      <c r="C108" s="21">
        <f t="shared" si="7"/>
        <v>3.7036807043477893E-7</v>
      </c>
    </row>
    <row r="109" spans="1:3" x14ac:dyDescent="0.25">
      <c r="A109" t="s">
        <v>919</v>
      </c>
      <c r="B109" s="21" t="str">
        <f t="shared" si="6"/>
        <v>2016/11/29 02:35:14.579</v>
      </c>
      <c r="C109" s="21">
        <f t="shared" si="7"/>
        <v>4.2074074008269235E-4</v>
      </c>
    </row>
    <row r="110" spans="1:3" x14ac:dyDescent="0.25">
      <c r="A110" t="s">
        <v>920</v>
      </c>
      <c r="B110" s="21" t="str">
        <f t="shared" si="6"/>
        <v>2016/11/29 02:35:15.195</v>
      </c>
      <c r="C110" s="21">
        <f t="shared" si="7"/>
        <v>7.129630830604583E-6</v>
      </c>
    </row>
    <row r="111" spans="1:3" x14ac:dyDescent="0.25">
      <c r="A111" t="s">
        <v>921</v>
      </c>
      <c r="B111" s="21" t="str">
        <f t="shared" si="6"/>
        <v>2016/11/29 02:35:15.228</v>
      </c>
      <c r="C111" s="21">
        <f t="shared" si="7"/>
        <v>3.8194411899894476E-7</v>
      </c>
    </row>
    <row r="112" spans="1:3" x14ac:dyDescent="0.25">
      <c r="A112" t="s">
        <v>922</v>
      </c>
      <c r="B112" s="21" t="str">
        <f t="shared" si="6"/>
        <v>2016/11/29 02:58:01.677</v>
      </c>
      <c r="C112" s="21">
        <f t="shared" si="7"/>
        <v>1.5815381950233132E-2</v>
      </c>
    </row>
    <row r="113" spans="1:3" x14ac:dyDescent="0.25">
      <c r="A113" t="s">
        <v>923</v>
      </c>
      <c r="B113" s="21" t="str">
        <f t="shared" si="6"/>
        <v>2016/11/29 02:58:01.923</v>
      </c>
      <c r="C113" s="21">
        <f t="shared" si="7"/>
        <v>2.847220457624644E-6</v>
      </c>
    </row>
    <row r="114" spans="1:3" x14ac:dyDescent="0.25">
      <c r="A114" t="s">
        <v>924</v>
      </c>
      <c r="B114" s="21" t="str">
        <f t="shared" si="6"/>
        <v>2016/11/29 02:58:02.235</v>
      </c>
      <c r="C114" s="21">
        <f t="shared" si="7"/>
        <v>3.6111086956225336E-6</v>
      </c>
    </row>
    <row r="115" spans="1:3" x14ac:dyDescent="0.25">
      <c r="B115" s="21"/>
      <c r="C115" s="21"/>
    </row>
    <row r="116" spans="1:3" x14ac:dyDescent="0.25">
      <c r="B116" s="21"/>
      <c r="C116" s="21"/>
    </row>
    <row r="117" spans="1:3" x14ac:dyDescent="0.25">
      <c r="B117" s="21"/>
      <c r="C117" s="21"/>
    </row>
    <row r="118" spans="1:3" x14ac:dyDescent="0.25">
      <c r="B118" s="21"/>
      <c r="C118" s="21"/>
    </row>
    <row r="119" spans="1:3" x14ac:dyDescent="0.25">
      <c r="B119" s="21"/>
      <c r="C119" s="21"/>
    </row>
    <row r="120" spans="1:3" x14ac:dyDescent="0.25">
      <c r="B120" s="21"/>
      <c r="C120" s="21"/>
    </row>
    <row r="121" spans="1:3" x14ac:dyDescent="0.25">
      <c r="B121" s="21"/>
      <c r="C121" s="21"/>
    </row>
    <row r="122" spans="1:3" x14ac:dyDescent="0.25">
      <c r="B122" s="21"/>
      <c r="C122" s="21"/>
    </row>
    <row r="123" spans="1:3" x14ac:dyDescent="0.25">
      <c r="B123" s="21"/>
      <c r="C123" s="21"/>
    </row>
    <row r="124" spans="1:3" x14ac:dyDescent="0.25">
      <c r="B124" s="21"/>
      <c r="C124" s="21"/>
    </row>
    <row r="125" spans="1:3" x14ac:dyDescent="0.25">
      <c r="B125" s="21"/>
      <c r="C125" s="21"/>
    </row>
    <row r="126" spans="1:3" x14ac:dyDescent="0.25">
      <c r="B126" s="21"/>
      <c r="C126" s="21"/>
    </row>
    <row r="127" spans="1:3" x14ac:dyDescent="0.25">
      <c r="B127" s="21"/>
      <c r="C127" s="21"/>
    </row>
    <row r="128" spans="1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2016-11-29T16:44:19Z</dcterms:modified>
</cp:coreProperties>
</file>