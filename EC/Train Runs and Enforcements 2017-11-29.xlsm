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Enforcements!$A$6:$AC$16</definedName>
    <definedName name="_xlnm._FilterDatabase" localSheetId="2" hidden="1">'Missing Trips'!$A$2:$J$26</definedName>
    <definedName name="_xlnm._FilterDatabase" localSheetId="0" hidden="1">'Train Runs'!$A$12:$AG$503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Runs'!$A$12:$J$77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7" i="1" l="1"/>
  <c r="X18" i="1"/>
  <c r="X19" i="1"/>
  <c r="X20" i="1"/>
  <c r="X21" i="1"/>
  <c r="P17" i="1"/>
  <c r="K18" i="1"/>
  <c r="L18" i="1"/>
  <c r="M18" i="1"/>
  <c r="V18" i="1"/>
  <c r="Z18" i="1"/>
  <c r="AA18" i="1" s="1"/>
  <c r="AB18" i="1"/>
  <c r="AC18" i="1"/>
  <c r="AD18" i="1"/>
  <c r="T18" i="1" s="1"/>
  <c r="AE18" i="1"/>
  <c r="AF18" i="1"/>
  <c r="AH18" i="1"/>
  <c r="AM18" i="1"/>
  <c r="AN18" i="1"/>
  <c r="AO18" i="1"/>
  <c r="X172" i="1"/>
  <c r="K171" i="1"/>
  <c r="L171" i="1"/>
  <c r="M171" i="1"/>
  <c r="N171" i="1"/>
  <c r="V171" i="1"/>
  <c r="AA171" i="1"/>
  <c r="AB171" i="1"/>
  <c r="AC171" i="1"/>
  <c r="AD171" i="1"/>
  <c r="T171" i="1" s="1"/>
  <c r="AE171" i="1"/>
  <c r="AF171" i="1"/>
  <c r="AH171" i="1"/>
  <c r="AM171" i="1"/>
  <c r="AN171" i="1"/>
  <c r="AO171" i="1"/>
  <c r="K170" i="1"/>
  <c r="L170" i="1"/>
  <c r="M170" i="1"/>
  <c r="N170" i="1"/>
  <c r="V170" i="1"/>
  <c r="Y170" i="1"/>
  <c r="Z170" i="1"/>
  <c r="AA170" i="1"/>
  <c r="AB170" i="1"/>
  <c r="AC170" i="1"/>
  <c r="AD170" i="1"/>
  <c r="T170" i="1" s="1"/>
  <c r="AE170" i="1"/>
  <c r="AF170" i="1"/>
  <c r="AG18" i="1"/>
  <c r="AG171" i="1"/>
  <c r="AG170" i="1"/>
  <c r="AI18" i="1" l="1"/>
  <c r="U18" i="1"/>
  <c r="W18" i="1"/>
  <c r="U171" i="1"/>
  <c r="S171" i="1" s="1"/>
  <c r="AI171" i="1"/>
  <c r="W171" i="1"/>
  <c r="X171" i="1"/>
  <c r="U170" i="1"/>
  <c r="S170" i="1" s="1"/>
  <c r="W170" i="1"/>
  <c r="X170" i="1"/>
  <c r="AH170" i="1"/>
  <c r="AI170" i="1"/>
  <c r="AM170" i="1"/>
  <c r="AN170" i="1"/>
  <c r="AO170" i="1"/>
  <c r="X157" i="1"/>
  <c r="X158" i="1"/>
  <c r="X159" i="1"/>
  <c r="K157" i="1"/>
  <c r="L157" i="1"/>
  <c r="M157" i="1"/>
  <c r="N157" i="1" s="1"/>
  <c r="T157" i="1"/>
  <c r="V157" i="1"/>
  <c r="AA157" i="1"/>
  <c r="AB157" i="1"/>
  <c r="AC157" i="1"/>
  <c r="AD157" i="1"/>
  <c r="AE157" i="1"/>
  <c r="AF157" i="1"/>
  <c r="AH157" i="1"/>
  <c r="AM157" i="1"/>
  <c r="AN157" i="1"/>
  <c r="AO157" i="1"/>
  <c r="K158" i="1"/>
  <c r="L158" i="1"/>
  <c r="M158" i="1"/>
  <c r="N158" i="1" s="1"/>
  <c r="T158" i="1"/>
  <c r="V158" i="1"/>
  <c r="Y158" i="1"/>
  <c r="Z158" i="1"/>
  <c r="AA158" i="1" s="1"/>
  <c r="AB158" i="1"/>
  <c r="AC158" i="1"/>
  <c r="AD158" i="1"/>
  <c r="AE158" i="1"/>
  <c r="AF158" i="1"/>
  <c r="AG157" i="1"/>
  <c r="AG158" i="1"/>
  <c r="AI157" i="1" l="1"/>
  <c r="U157" i="1"/>
  <c r="S157" i="1" s="1"/>
  <c r="W157" i="1"/>
  <c r="U158" i="1"/>
  <c r="S158" i="1" s="1"/>
  <c r="W158" i="1"/>
  <c r="AH158" i="1"/>
  <c r="AI158" i="1"/>
  <c r="AM158" i="1"/>
  <c r="AN158" i="1"/>
  <c r="AO158" i="1"/>
  <c r="X151" i="1"/>
  <c r="X152" i="1"/>
  <c r="K151" i="1"/>
  <c r="L151" i="1"/>
  <c r="M151" i="1"/>
  <c r="N151" i="1" s="1"/>
  <c r="V151" i="1"/>
  <c r="AA151" i="1"/>
  <c r="AB151" i="1"/>
  <c r="AC151" i="1"/>
  <c r="AD151" i="1"/>
  <c r="T151" i="1" s="1"/>
  <c r="AE151" i="1"/>
  <c r="AF151" i="1"/>
  <c r="AH151" i="1"/>
  <c r="AM151" i="1"/>
  <c r="AN151" i="1"/>
  <c r="AO151" i="1"/>
  <c r="X142" i="1"/>
  <c r="K141" i="1"/>
  <c r="L141" i="1"/>
  <c r="M141" i="1"/>
  <c r="N141" i="1" s="1"/>
  <c r="V141" i="1"/>
  <c r="AA141" i="1"/>
  <c r="AB141" i="1"/>
  <c r="AC141" i="1"/>
  <c r="AD141" i="1"/>
  <c r="T141" i="1" s="1"/>
  <c r="AE141" i="1"/>
  <c r="AF141" i="1"/>
  <c r="AH141" i="1"/>
  <c r="AM141" i="1"/>
  <c r="AN141" i="1"/>
  <c r="AO141" i="1"/>
  <c r="X135" i="1"/>
  <c r="X136" i="1"/>
  <c r="X137" i="1"/>
  <c r="K135" i="1"/>
  <c r="L135" i="1"/>
  <c r="M135" i="1"/>
  <c r="N135" i="1" s="1"/>
  <c r="T135" i="1"/>
  <c r="V135" i="1"/>
  <c r="AA135" i="1"/>
  <c r="AB135" i="1"/>
  <c r="AC135" i="1"/>
  <c r="AD135" i="1"/>
  <c r="AE135" i="1"/>
  <c r="AF135" i="1"/>
  <c r="AH135" i="1"/>
  <c r="AM135" i="1"/>
  <c r="AN135" i="1"/>
  <c r="AO135" i="1"/>
  <c r="P121" i="1"/>
  <c r="X117" i="1"/>
  <c r="X118" i="1"/>
  <c r="K116" i="1"/>
  <c r="L116" i="1"/>
  <c r="M116" i="1"/>
  <c r="N116" i="1" s="1"/>
  <c r="V116" i="1"/>
  <c r="AA116" i="1"/>
  <c r="AB116" i="1"/>
  <c r="AC116" i="1"/>
  <c r="AD116" i="1"/>
  <c r="T116" i="1" s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AO117" i="1"/>
  <c r="P106" i="1"/>
  <c r="P102" i="1"/>
  <c r="P85" i="1"/>
  <c r="P27" i="1"/>
  <c r="X28" i="1"/>
  <c r="X29" i="1"/>
  <c r="X30" i="1"/>
  <c r="K27" i="1"/>
  <c r="L27" i="1"/>
  <c r="M27" i="1"/>
  <c r="T27" i="1"/>
  <c r="V27" i="1"/>
  <c r="S16" i="3" s="1"/>
  <c r="AA27" i="1"/>
  <c r="AB27" i="1"/>
  <c r="AC27" i="1"/>
  <c r="AD27" i="1"/>
  <c r="X27" i="1" s="1"/>
  <c r="AE27" i="1"/>
  <c r="R16" i="3" s="1"/>
  <c r="AF27" i="1"/>
  <c r="AH27" i="1"/>
  <c r="AM27" i="1"/>
  <c r="AN27" i="1"/>
  <c r="AO27" i="1"/>
  <c r="P16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V15" i="1"/>
  <c r="S14" i="3" s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V17" i="1"/>
  <c r="S12" i="3" s="1"/>
  <c r="Y17" i="1"/>
  <c r="AB17" i="1"/>
  <c r="AC17" i="1"/>
  <c r="AD17" i="1"/>
  <c r="T17" i="1" s="1"/>
  <c r="AE17" i="1"/>
  <c r="R12" i="3" s="1"/>
  <c r="AF17" i="1"/>
  <c r="AH17" i="1"/>
  <c r="AM17" i="1"/>
  <c r="AN17" i="1"/>
  <c r="AO17" i="1"/>
  <c r="K19" i="1"/>
  <c r="L19" i="1"/>
  <c r="M19" i="1"/>
  <c r="N19" i="1" s="1"/>
  <c r="V19" i="1"/>
  <c r="Y19" i="1"/>
  <c r="Z19" i="1"/>
  <c r="AA19" i="1" s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A20" i="1" s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A23" i="1" s="1"/>
  <c r="AB23" i="1"/>
  <c r="AC23" i="1"/>
  <c r="AD23" i="1"/>
  <c r="T23" i="1" s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A24" i="1" s="1"/>
  <c r="AB24" i="1"/>
  <c r="AC24" i="1"/>
  <c r="AD24" i="1"/>
  <c r="T24" i="1" s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8" i="1"/>
  <c r="L28" i="1"/>
  <c r="M28" i="1"/>
  <c r="N28" i="1" s="1"/>
  <c r="V28" i="1"/>
  <c r="Y28" i="1"/>
  <c r="Z28" i="1"/>
  <c r="AA28" i="1" s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S19" i="3" s="1"/>
  <c r="Y29" i="1"/>
  <c r="Z29" i="1"/>
  <c r="AA29" i="1" s="1"/>
  <c r="AB29" i="1"/>
  <c r="AC29" i="1"/>
  <c r="AD29" i="1"/>
  <c r="AE29" i="1"/>
  <c r="R19" i="3" s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A32" i="1" s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A33" i="1" s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A36" i="1" s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A37" i="1" s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/>
  <c r="V41" i="1"/>
  <c r="Y41" i="1"/>
  <c r="AA41" i="1" s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AA45" i="1" s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A46" i="1" s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A47" i="1" s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/>
  <c r="V49" i="1"/>
  <c r="Y49" i="1"/>
  <c r="Z49" i="1"/>
  <c r="AA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A50" i="1" s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A53" i="1" s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A54" i="1" s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A57" i="1" s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A58" i="1" s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A61" i="1" s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A62" i="1" s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P64" i="1" s="1"/>
  <c r="V64" i="1"/>
  <c r="Y64" i="1"/>
  <c r="Z64" i="1"/>
  <c r="AB64" i="1"/>
  <c r="AC64" i="1"/>
  <c r="AD64" i="1"/>
  <c r="AE64" i="1"/>
  <c r="AF64" i="1"/>
  <c r="AH64" i="1"/>
  <c r="AM64" i="1"/>
  <c r="AN64" i="1"/>
  <c r="AO64" i="1"/>
  <c r="K65" i="1"/>
  <c r="L65" i="1"/>
  <c r="M65" i="1"/>
  <c r="V65" i="1"/>
  <c r="Y65" i="1"/>
  <c r="AA65" i="1" s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A66" i="1" s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A67" i="1" s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A68" i="1" s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A70" i="1" s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/>
  <c r="V71" i="1"/>
  <c r="Y71" i="1"/>
  <c r="Z71" i="1"/>
  <c r="AA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A72" i="1" s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S9" i="3" s="1"/>
  <c r="Y73" i="1"/>
  <c r="Z73" i="1"/>
  <c r="AB73" i="1"/>
  <c r="AC73" i="1"/>
  <c r="AD73" i="1"/>
  <c r="AE73" i="1"/>
  <c r="R9" i="3" s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S7" i="3" s="1"/>
  <c r="Y75" i="1"/>
  <c r="Z75" i="1"/>
  <c r="AA75" i="1" s="1"/>
  <c r="AB75" i="1"/>
  <c r="AC75" i="1"/>
  <c r="AD75" i="1"/>
  <c r="AE75" i="1"/>
  <c r="R7" i="3" s="1"/>
  <c r="AF75" i="1"/>
  <c r="AH75" i="1"/>
  <c r="AM75" i="1"/>
  <c r="AN75" i="1"/>
  <c r="AO75" i="1"/>
  <c r="K76" i="1"/>
  <c r="L76" i="1"/>
  <c r="M76" i="1"/>
  <c r="N76" i="1" s="1"/>
  <c r="V76" i="1"/>
  <c r="Y76" i="1"/>
  <c r="Z76" i="1"/>
  <c r="AA76" i="1" s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A79" i="1" s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A81" i="1" s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A87" i="1" s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AA89" i="1" s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S17" i="3" s="1"/>
  <c r="Y90" i="1"/>
  <c r="Z90" i="1"/>
  <c r="AB90" i="1"/>
  <c r="AC90" i="1"/>
  <c r="AD90" i="1"/>
  <c r="AE90" i="1"/>
  <c r="R17" i="3" s="1"/>
  <c r="AF90" i="1"/>
  <c r="AH90" i="1"/>
  <c r="AM90" i="1"/>
  <c r="AN90" i="1"/>
  <c r="AO90" i="1"/>
  <c r="K91" i="1"/>
  <c r="L91" i="1"/>
  <c r="M91" i="1"/>
  <c r="N91" i="1" s="1"/>
  <c r="V91" i="1"/>
  <c r="Y91" i="1"/>
  <c r="Z91" i="1"/>
  <c r="AA91" i="1" s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A93" i="1" s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AA94" i="1" s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A95" i="1" s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AA97" i="1" s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AA98" i="1" s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A100" i="1" s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AO101" i="1"/>
  <c r="K102" i="1"/>
  <c r="L102" i="1"/>
  <c r="M102" i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AO102" i="1"/>
  <c r="K103" i="1"/>
  <c r="L103" i="1"/>
  <c r="M103" i="1"/>
  <c r="N103" i="1" s="1"/>
  <c r="V103" i="1"/>
  <c r="S11" i="3" s="1"/>
  <c r="Y103" i="1"/>
  <c r="Z103" i="1"/>
  <c r="AA103" i="1" s="1"/>
  <c r="AB103" i="1"/>
  <c r="AC103" i="1"/>
  <c r="AD103" i="1"/>
  <c r="T103" i="1" s="1"/>
  <c r="AE103" i="1"/>
  <c r="R11" i="3" s="1"/>
  <c r="AF103" i="1"/>
  <c r="AH103" i="1"/>
  <c r="AM103" i="1"/>
  <c r="AN103" i="1"/>
  <c r="AO103" i="1"/>
  <c r="K104" i="1"/>
  <c r="L104" i="1"/>
  <c r="M104" i="1"/>
  <c r="N104" i="1" s="1"/>
  <c r="V104" i="1"/>
  <c r="S8" i="3" s="1"/>
  <c r="Y104" i="1"/>
  <c r="Z104" i="1"/>
  <c r="AA104" i="1" s="1"/>
  <c r="AB104" i="1"/>
  <c r="AC104" i="1"/>
  <c r="AD104" i="1"/>
  <c r="T104" i="1" s="1"/>
  <c r="AE104" i="1"/>
  <c r="R8" i="3" s="1"/>
  <c r="AF104" i="1"/>
  <c r="AH104" i="1"/>
  <c r="AM104" i="1"/>
  <c r="AN104" i="1"/>
  <c r="AO104" i="1"/>
  <c r="K105" i="1"/>
  <c r="L105" i="1"/>
  <c r="M105" i="1"/>
  <c r="N105" i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AO105" i="1"/>
  <c r="K106" i="1"/>
  <c r="L106" i="1"/>
  <c r="M106" i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AO106" i="1"/>
  <c r="K107" i="1"/>
  <c r="L107" i="1"/>
  <c r="M107" i="1"/>
  <c r="V107" i="1"/>
  <c r="Y107" i="1"/>
  <c r="Z107" i="1"/>
  <c r="AA107" i="1"/>
  <c r="AB107" i="1"/>
  <c r="AC107" i="1"/>
  <c r="AD107" i="1"/>
  <c r="T107" i="1" s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AO108" i="1"/>
  <c r="K109" i="1"/>
  <c r="L109" i="1"/>
  <c r="M109" i="1"/>
  <c r="N109" i="1"/>
  <c r="V109" i="1"/>
  <c r="Y109" i="1"/>
  <c r="AA109" i="1" s="1"/>
  <c r="Z109" i="1"/>
  <c r="AB109" i="1"/>
  <c r="AC109" i="1"/>
  <c r="AD109" i="1"/>
  <c r="T109" i="1" s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A111" i="1" s="1"/>
  <c r="AB111" i="1"/>
  <c r="AC111" i="1"/>
  <c r="AD111" i="1"/>
  <c r="T111" i="1" s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AA113" i="1" s="1"/>
  <c r="Z113" i="1"/>
  <c r="AB113" i="1"/>
  <c r="AC113" i="1"/>
  <c r="AD113" i="1"/>
  <c r="T113" i="1" s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A114" i="1" s="1"/>
  <c r="AB114" i="1"/>
  <c r="AC114" i="1"/>
  <c r="AD114" i="1"/>
  <c r="T114" i="1" s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A115" i="1" s="1"/>
  <c r="AB115" i="1"/>
  <c r="AC115" i="1"/>
  <c r="AD115" i="1"/>
  <c r="T115" i="1" s="1"/>
  <c r="AE115" i="1"/>
  <c r="AF115" i="1"/>
  <c r="AH115" i="1"/>
  <c r="AM115" i="1"/>
  <c r="AN115" i="1"/>
  <c r="AO115" i="1"/>
  <c r="K118" i="1"/>
  <c r="L118" i="1"/>
  <c r="M118" i="1"/>
  <c r="N118" i="1" s="1"/>
  <c r="V118" i="1"/>
  <c r="Y118" i="1"/>
  <c r="Z118" i="1"/>
  <c r="AA118" i="1" s="1"/>
  <c r="AB118" i="1"/>
  <c r="AC118" i="1"/>
  <c r="AD118" i="1"/>
  <c r="T118" i="1" s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A120" i="1" s="1"/>
  <c r="AB120" i="1"/>
  <c r="AC120" i="1"/>
  <c r="AD120" i="1"/>
  <c r="T120" i="1" s="1"/>
  <c r="AE120" i="1"/>
  <c r="AF120" i="1"/>
  <c r="AH120" i="1"/>
  <c r="AM120" i="1"/>
  <c r="AN120" i="1"/>
  <c r="AO120" i="1"/>
  <c r="K121" i="1"/>
  <c r="L121" i="1"/>
  <c r="M121" i="1"/>
  <c r="V121" i="1"/>
  <c r="Y121" i="1"/>
  <c r="Z121" i="1"/>
  <c r="AA121" i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A122" i="1" s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/>
  <c r="V125" i="1"/>
  <c r="Y125" i="1"/>
  <c r="AA125" i="1" s="1"/>
  <c r="Z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/>
  <c r="V127" i="1"/>
  <c r="Y127" i="1"/>
  <c r="AA127" i="1" s="1"/>
  <c r="Z127" i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A129" i="1" s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AA131" i="1" s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A132" i="1" s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S18" i="3" s="1"/>
  <c r="Y133" i="1"/>
  <c r="Z133" i="1"/>
  <c r="AA133" i="1" s="1"/>
  <c r="AB133" i="1"/>
  <c r="AC133" i="1"/>
  <c r="AD133" i="1"/>
  <c r="AE133" i="1"/>
  <c r="R18" i="3" s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A134" i="1" s="1"/>
  <c r="AB134" i="1"/>
  <c r="AC134" i="1"/>
  <c r="AD134" i="1"/>
  <c r="AE134" i="1"/>
  <c r="AF134" i="1"/>
  <c r="AH134" i="1"/>
  <c r="AM134" i="1"/>
  <c r="AN134" i="1"/>
  <c r="AO134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A137" i="1" s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/>
  <c r="V138" i="1"/>
  <c r="Y138" i="1"/>
  <c r="Z138" i="1"/>
  <c r="AA138" i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A139" i="1" s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/>
  <c r="V140" i="1"/>
  <c r="Y140" i="1"/>
  <c r="Z140" i="1"/>
  <c r="AA140" i="1"/>
  <c r="AB140" i="1"/>
  <c r="AC140" i="1"/>
  <c r="AD140" i="1"/>
  <c r="AE140" i="1"/>
  <c r="AF140" i="1"/>
  <c r="AH140" i="1"/>
  <c r="AM140" i="1"/>
  <c r="AN140" i="1"/>
  <c r="AO140" i="1"/>
  <c r="K142" i="1"/>
  <c r="L142" i="1"/>
  <c r="M142" i="1"/>
  <c r="N142" i="1" s="1"/>
  <c r="V142" i="1"/>
  <c r="Y142" i="1"/>
  <c r="Z142" i="1"/>
  <c r="AA142" i="1" s="1"/>
  <c r="AB142" i="1"/>
  <c r="AC142" i="1"/>
  <c r="AD142" i="1"/>
  <c r="AE142" i="1"/>
  <c r="AF142" i="1"/>
  <c r="AH142" i="1"/>
  <c r="AM142" i="1"/>
  <c r="AN142" i="1"/>
  <c r="AO142" i="1"/>
  <c r="K143" i="1"/>
  <c r="L143" i="1"/>
  <c r="M143" i="1"/>
  <c r="N143" i="1"/>
  <c r="V143" i="1"/>
  <c r="Y143" i="1"/>
  <c r="Z143" i="1"/>
  <c r="AA143" i="1"/>
  <c r="AB143" i="1"/>
  <c r="AC143" i="1"/>
  <c r="AD143" i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A144" i="1" s="1"/>
  <c r="AB144" i="1"/>
  <c r="AC144" i="1"/>
  <c r="AD144" i="1"/>
  <c r="AE144" i="1"/>
  <c r="AF144" i="1"/>
  <c r="AH144" i="1"/>
  <c r="AM144" i="1"/>
  <c r="AN144" i="1"/>
  <c r="AO144" i="1"/>
  <c r="K145" i="1"/>
  <c r="L145" i="1"/>
  <c r="M145" i="1"/>
  <c r="N145" i="1"/>
  <c r="V145" i="1"/>
  <c r="S15" i="3" s="1"/>
  <c r="Y145" i="1"/>
  <c r="Z145" i="1"/>
  <c r="AA145" i="1"/>
  <c r="AB145" i="1"/>
  <c r="AC145" i="1"/>
  <c r="AD145" i="1"/>
  <c r="AE145" i="1"/>
  <c r="R15" i="3" s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A146" i="1" s="1"/>
  <c r="AB146" i="1"/>
  <c r="AC146" i="1"/>
  <c r="AD146" i="1"/>
  <c r="AE146" i="1"/>
  <c r="AF146" i="1"/>
  <c r="AH146" i="1"/>
  <c r="AM146" i="1"/>
  <c r="AN146" i="1"/>
  <c r="AO146" i="1"/>
  <c r="K147" i="1"/>
  <c r="L147" i="1"/>
  <c r="M147" i="1"/>
  <c r="N147" i="1"/>
  <c r="V147" i="1"/>
  <c r="Y147" i="1"/>
  <c r="Z147" i="1"/>
  <c r="AA147" i="1"/>
  <c r="AB147" i="1"/>
  <c r="AC147" i="1"/>
  <c r="AD147" i="1"/>
  <c r="AE147" i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A148" i="1" s="1"/>
  <c r="AB148" i="1"/>
  <c r="AC148" i="1"/>
  <c r="AD148" i="1"/>
  <c r="AE148" i="1"/>
  <c r="AF148" i="1"/>
  <c r="AH148" i="1"/>
  <c r="AM148" i="1"/>
  <c r="AN148" i="1"/>
  <c r="AO148" i="1"/>
  <c r="K149" i="1"/>
  <c r="L149" i="1"/>
  <c r="M149" i="1"/>
  <c r="N149" i="1"/>
  <c r="V149" i="1"/>
  <c r="Y149" i="1"/>
  <c r="Z149" i="1"/>
  <c r="AA149" i="1"/>
  <c r="AB149" i="1"/>
  <c r="AC149" i="1"/>
  <c r="AD149" i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A150" i="1" s="1"/>
  <c r="AB150" i="1"/>
  <c r="AC150" i="1"/>
  <c r="AD150" i="1"/>
  <c r="AE150" i="1"/>
  <c r="AF150" i="1"/>
  <c r="AH150" i="1"/>
  <c r="AM150" i="1"/>
  <c r="AN150" i="1"/>
  <c r="AO150" i="1"/>
  <c r="K152" i="1"/>
  <c r="L152" i="1"/>
  <c r="M152" i="1"/>
  <c r="N152" i="1"/>
  <c r="V152" i="1"/>
  <c r="Y152" i="1"/>
  <c r="Z152" i="1"/>
  <c r="AA152" i="1"/>
  <c r="AB152" i="1"/>
  <c r="AC152" i="1"/>
  <c r="AD152" i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A153" i="1" s="1"/>
  <c r="AB153" i="1"/>
  <c r="AC153" i="1"/>
  <c r="AD153" i="1"/>
  <c r="AE153" i="1"/>
  <c r="AF153" i="1"/>
  <c r="AH153" i="1"/>
  <c r="AM153" i="1"/>
  <c r="AN153" i="1"/>
  <c r="AO153" i="1"/>
  <c r="K154" i="1"/>
  <c r="L154" i="1"/>
  <c r="M154" i="1"/>
  <c r="N154" i="1"/>
  <c r="V154" i="1"/>
  <c r="Y154" i="1"/>
  <c r="Z154" i="1"/>
  <c r="AA154" i="1"/>
  <c r="AB154" i="1"/>
  <c r="AC154" i="1"/>
  <c r="AD154" i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AO155" i="1"/>
  <c r="K156" i="1"/>
  <c r="L156" i="1"/>
  <c r="M156" i="1"/>
  <c r="N156" i="1"/>
  <c r="V156" i="1"/>
  <c r="Y156" i="1"/>
  <c r="Z156" i="1"/>
  <c r="AA156" i="1"/>
  <c r="AB156" i="1"/>
  <c r="AC156" i="1"/>
  <c r="AD156" i="1"/>
  <c r="AE156" i="1"/>
  <c r="AF156" i="1"/>
  <c r="AH156" i="1"/>
  <c r="AM156" i="1"/>
  <c r="AN156" i="1"/>
  <c r="AO156" i="1"/>
  <c r="K159" i="1"/>
  <c r="L159" i="1"/>
  <c r="M159" i="1"/>
  <c r="N159" i="1"/>
  <c r="V159" i="1"/>
  <c r="Y159" i="1"/>
  <c r="Z159" i="1"/>
  <c r="AB159" i="1"/>
  <c r="AC159" i="1"/>
  <c r="AD159" i="1"/>
  <c r="AE159" i="1"/>
  <c r="AF159" i="1"/>
  <c r="AH159" i="1"/>
  <c r="AM159" i="1"/>
  <c r="AN159" i="1"/>
  <c r="AO159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60" i="1"/>
  <c r="AM160" i="1"/>
  <c r="AN160" i="1"/>
  <c r="AO160" i="1"/>
  <c r="K161" i="1"/>
  <c r="L161" i="1"/>
  <c r="M161" i="1"/>
  <c r="N161" i="1"/>
  <c r="V161" i="1"/>
  <c r="S10" i="3" s="1"/>
  <c r="Y161" i="1"/>
  <c r="AA161" i="1" s="1"/>
  <c r="Z161" i="1"/>
  <c r="AB161" i="1"/>
  <c r="AC161" i="1"/>
  <c r="AD161" i="1"/>
  <c r="AE161" i="1"/>
  <c r="R10" i="3" s="1"/>
  <c r="AF161" i="1"/>
  <c r="AH161" i="1"/>
  <c r="AM161" i="1"/>
  <c r="AN161" i="1"/>
  <c r="AO161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2" i="1"/>
  <c r="AM162" i="1"/>
  <c r="AN162" i="1"/>
  <c r="AO162" i="1"/>
  <c r="K212" i="1"/>
  <c r="L212" i="1"/>
  <c r="M212" i="1"/>
  <c r="N212" i="1" s="1"/>
  <c r="V212" i="1"/>
  <c r="Y212" i="1"/>
  <c r="Z212" i="1"/>
  <c r="AA212" i="1" s="1"/>
  <c r="AB212" i="1"/>
  <c r="AC212" i="1"/>
  <c r="AD212" i="1"/>
  <c r="AE212" i="1"/>
  <c r="AF212" i="1"/>
  <c r="AH163" i="1"/>
  <c r="AM163" i="1"/>
  <c r="AN163" i="1"/>
  <c r="AO163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4" i="1"/>
  <c r="AM164" i="1"/>
  <c r="AN164" i="1"/>
  <c r="AO164" i="1"/>
  <c r="K214" i="1"/>
  <c r="L214" i="1"/>
  <c r="M214" i="1"/>
  <c r="N214" i="1" s="1"/>
  <c r="V214" i="1"/>
  <c r="Y214" i="1"/>
  <c r="Z214" i="1"/>
  <c r="AA214" i="1" s="1"/>
  <c r="AB214" i="1"/>
  <c r="AC214" i="1"/>
  <c r="AD214" i="1"/>
  <c r="AE214" i="1"/>
  <c r="AF214" i="1"/>
  <c r="AH165" i="1"/>
  <c r="AM165" i="1"/>
  <c r="AN165" i="1"/>
  <c r="AO165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6" i="1"/>
  <c r="AM166" i="1"/>
  <c r="AN166" i="1"/>
  <c r="AO166" i="1"/>
  <c r="K216" i="1"/>
  <c r="L216" i="1"/>
  <c r="M216" i="1"/>
  <c r="N216" i="1" s="1"/>
  <c r="V216" i="1"/>
  <c r="Y216" i="1"/>
  <c r="AA216" i="1" s="1"/>
  <c r="Z216" i="1"/>
  <c r="AB216" i="1"/>
  <c r="AC216" i="1"/>
  <c r="AD216" i="1"/>
  <c r="AE216" i="1"/>
  <c r="AF216" i="1"/>
  <c r="AH167" i="1"/>
  <c r="AM167" i="1"/>
  <c r="AN167" i="1"/>
  <c r="AO167" i="1"/>
  <c r="K217" i="1"/>
  <c r="L217" i="1"/>
  <c r="M217" i="1"/>
  <c r="N217" i="1" s="1"/>
  <c r="V217" i="1"/>
  <c r="S26" i="3" s="1"/>
  <c r="Y217" i="1"/>
  <c r="Z217" i="1"/>
  <c r="AB217" i="1"/>
  <c r="AC217" i="1"/>
  <c r="AD217" i="1"/>
  <c r="AE217" i="1"/>
  <c r="R26" i="3" s="1"/>
  <c r="AF217" i="1"/>
  <c r="AH168" i="1"/>
  <c r="AM168" i="1"/>
  <c r="AN168" i="1"/>
  <c r="AO168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9" i="1"/>
  <c r="AM169" i="1"/>
  <c r="AN169" i="1"/>
  <c r="AO169" i="1"/>
  <c r="K219" i="1"/>
  <c r="L219" i="1"/>
  <c r="M219" i="1"/>
  <c r="N219" i="1" s="1"/>
  <c r="V219" i="1"/>
  <c r="Y219" i="1"/>
  <c r="Z219" i="1"/>
  <c r="AA219" i="1" s="1"/>
  <c r="AB219" i="1"/>
  <c r="AC219" i="1"/>
  <c r="AD219" i="1"/>
  <c r="AE219" i="1"/>
  <c r="AF219" i="1"/>
  <c r="K220" i="1"/>
  <c r="L220" i="1"/>
  <c r="M220" i="1"/>
  <c r="N220" i="1"/>
  <c r="V220" i="1"/>
  <c r="Y220" i="1"/>
  <c r="Z220" i="1"/>
  <c r="AA220" i="1"/>
  <c r="AB220" i="1"/>
  <c r="AC220" i="1"/>
  <c r="AD220" i="1"/>
  <c r="AE220" i="1"/>
  <c r="AF220" i="1"/>
  <c r="AH172" i="1"/>
  <c r="AM172" i="1"/>
  <c r="AN172" i="1"/>
  <c r="AO172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173" i="1"/>
  <c r="AM173" i="1"/>
  <c r="AN173" i="1"/>
  <c r="AO173" i="1"/>
  <c r="K222" i="1"/>
  <c r="L222" i="1"/>
  <c r="M222" i="1"/>
  <c r="N222" i="1"/>
  <c r="V222" i="1"/>
  <c r="Y222" i="1"/>
  <c r="Z222" i="1"/>
  <c r="AA222" i="1" s="1"/>
  <c r="AB222" i="1"/>
  <c r="AC222" i="1"/>
  <c r="AD222" i="1"/>
  <c r="X222" i="1" s="1"/>
  <c r="AE222" i="1"/>
  <c r="AF222" i="1"/>
  <c r="AH174" i="1"/>
  <c r="AM174" i="1"/>
  <c r="AN174" i="1"/>
  <c r="AO174" i="1"/>
  <c r="K223" i="1"/>
  <c r="L223" i="1"/>
  <c r="M223" i="1"/>
  <c r="N223" i="1" s="1"/>
  <c r="T223" i="1"/>
  <c r="V223" i="1"/>
  <c r="Y223" i="1"/>
  <c r="Z223" i="1"/>
  <c r="AB223" i="1"/>
  <c r="AC223" i="1"/>
  <c r="AD223" i="1"/>
  <c r="AE223" i="1"/>
  <c r="AF223" i="1"/>
  <c r="AH175" i="1"/>
  <c r="AM175" i="1"/>
  <c r="AN175" i="1"/>
  <c r="AO175" i="1"/>
  <c r="K224" i="1"/>
  <c r="L224" i="1"/>
  <c r="M224" i="1"/>
  <c r="N224" i="1" s="1"/>
  <c r="T224" i="1"/>
  <c r="V224" i="1"/>
  <c r="Y224" i="1"/>
  <c r="Z224" i="1"/>
  <c r="AA224" i="1" s="1"/>
  <c r="AB224" i="1"/>
  <c r="AC224" i="1"/>
  <c r="AD224" i="1"/>
  <c r="X224" i="1" s="1"/>
  <c r="AE224" i="1"/>
  <c r="AF224" i="1"/>
  <c r="AH176" i="1"/>
  <c r="AM176" i="1"/>
  <c r="AN176" i="1"/>
  <c r="AO176" i="1"/>
  <c r="K232" i="1"/>
  <c r="L232" i="1"/>
  <c r="M232" i="1"/>
  <c r="N232" i="1" s="1"/>
  <c r="V232" i="1"/>
  <c r="Y232" i="1"/>
  <c r="Z232" i="1"/>
  <c r="AA232" i="1" s="1"/>
  <c r="AB232" i="1"/>
  <c r="AC232" i="1"/>
  <c r="AD232" i="1"/>
  <c r="T232" i="1" s="1"/>
  <c r="AE232" i="1"/>
  <c r="AF232" i="1"/>
  <c r="AH177" i="1"/>
  <c r="AM177" i="1"/>
  <c r="AN177" i="1"/>
  <c r="AO177" i="1"/>
  <c r="K233" i="1"/>
  <c r="L233" i="1"/>
  <c r="M233" i="1"/>
  <c r="N233" i="1" s="1"/>
  <c r="V233" i="1"/>
  <c r="X233" i="1"/>
  <c r="Y233" i="1"/>
  <c r="AA233" i="1" s="1"/>
  <c r="Z233" i="1"/>
  <c r="AB233" i="1"/>
  <c r="AC233" i="1"/>
  <c r="AD233" i="1"/>
  <c r="T233" i="1" s="1"/>
  <c r="AE233" i="1"/>
  <c r="AF233" i="1"/>
  <c r="AH178" i="1"/>
  <c r="AM178" i="1"/>
  <c r="AN178" i="1"/>
  <c r="AO178" i="1"/>
  <c r="K234" i="1"/>
  <c r="L234" i="1"/>
  <c r="M234" i="1"/>
  <c r="N234" i="1" s="1"/>
  <c r="T234" i="1"/>
  <c r="V234" i="1"/>
  <c r="Y234" i="1"/>
  <c r="Z234" i="1"/>
  <c r="AB234" i="1"/>
  <c r="AC234" i="1"/>
  <c r="AD234" i="1"/>
  <c r="X234" i="1" s="1"/>
  <c r="AE234" i="1"/>
  <c r="AF234" i="1"/>
  <c r="AH179" i="1"/>
  <c r="AM179" i="1"/>
  <c r="AN179" i="1"/>
  <c r="AO179" i="1"/>
  <c r="K235" i="1"/>
  <c r="L235" i="1"/>
  <c r="M235" i="1"/>
  <c r="N235" i="1" s="1"/>
  <c r="V235" i="1"/>
  <c r="X235" i="1"/>
  <c r="Y235" i="1"/>
  <c r="Z235" i="1"/>
  <c r="AA235" i="1"/>
  <c r="AB235" i="1"/>
  <c r="AC235" i="1"/>
  <c r="AD235" i="1"/>
  <c r="T235" i="1" s="1"/>
  <c r="AE235" i="1"/>
  <c r="AF235" i="1"/>
  <c r="AH180" i="1"/>
  <c r="AM180" i="1"/>
  <c r="AN180" i="1"/>
  <c r="AO180" i="1"/>
  <c r="K236" i="1"/>
  <c r="L236" i="1"/>
  <c r="M236" i="1"/>
  <c r="N236" i="1" s="1"/>
  <c r="V236" i="1"/>
  <c r="Y236" i="1"/>
  <c r="Z236" i="1"/>
  <c r="AA236" i="1" s="1"/>
  <c r="AB236" i="1"/>
  <c r="AC236" i="1"/>
  <c r="AD236" i="1"/>
  <c r="AE236" i="1"/>
  <c r="AF236" i="1"/>
  <c r="AH181" i="1"/>
  <c r="AM181" i="1"/>
  <c r="AN181" i="1"/>
  <c r="AO181" i="1"/>
  <c r="K237" i="1"/>
  <c r="L237" i="1"/>
  <c r="M237" i="1"/>
  <c r="N237" i="1"/>
  <c r="T237" i="1"/>
  <c r="V237" i="1"/>
  <c r="S30" i="3" s="1"/>
  <c r="Y237" i="1"/>
  <c r="Z237" i="1"/>
  <c r="AB237" i="1"/>
  <c r="AC237" i="1"/>
  <c r="AD237" i="1"/>
  <c r="X237" i="1" s="1"/>
  <c r="AE237" i="1"/>
  <c r="R30" i="3" s="1"/>
  <c r="AF237" i="1"/>
  <c r="AH182" i="1"/>
  <c r="AM182" i="1"/>
  <c r="AN182" i="1"/>
  <c r="AO182" i="1"/>
  <c r="K238" i="1"/>
  <c r="L238" i="1"/>
  <c r="M238" i="1"/>
  <c r="N238" i="1" s="1"/>
  <c r="T238" i="1"/>
  <c r="V238" i="1"/>
  <c r="S29" i="3" s="1"/>
  <c r="Y238" i="1"/>
  <c r="Z238" i="1"/>
  <c r="AB238" i="1"/>
  <c r="AC238" i="1"/>
  <c r="AD238" i="1"/>
  <c r="AE238" i="1"/>
  <c r="R29" i="3" s="1"/>
  <c r="AF238" i="1"/>
  <c r="AH183" i="1"/>
  <c r="AM183" i="1"/>
  <c r="AN183" i="1"/>
  <c r="AO183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4" i="1"/>
  <c r="AM184" i="1"/>
  <c r="AN184" i="1"/>
  <c r="AO184" i="1"/>
  <c r="K240" i="1"/>
  <c r="L240" i="1"/>
  <c r="M240" i="1"/>
  <c r="N240" i="1" s="1"/>
  <c r="V240" i="1"/>
  <c r="Y240" i="1"/>
  <c r="Z240" i="1"/>
  <c r="AA240" i="1" s="1"/>
  <c r="AB240" i="1"/>
  <c r="AC240" i="1"/>
  <c r="AD240" i="1"/>
  <c r="T240" i="1" s="1"/>
  <c r="AE240" i="1"/>
  <c r="AF240" i="1"/>
  <c r="AH185" i="1"/>
  <c r="AM185" i="1"/>
  <c r="AN185" i="1"/>
  <c r="AO185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86" i="1"/>
  <c r="AM186" i="1"/>
  <c r="AN186" i="1"/>
  <c r="AO186" i="1"/>
  <c r="K242" i="1"/>
  <c r="L242" i="1"/>
  <c r="M242" i="1"/>
  <c r="N242" i="1" s="1"/>
  <c r="V242" i="1"/>
  <c r="S34" i="3" s="1"/>
  <c r="Y242" i="1"/>
  <c r="Z242" i="1"/>
  <c r="AB242" i="1"/>
  <c r="AC242" i="1"/>
  <c r="AD242" i="1"/>
  <c r="X242" i="1" s="1"/>
  <c r="AE242" i="1"/>
  <c r="R34" i="3" s="1"/>
  <c r="AF242" i="1"/>
  <c r="AH187" i="1"/>
  <c r="AM187" i="1"/>
  <c r="AN187" i="1"/>
  <c r="AO187" i="1"/>
  <c r="K243" i="1"/>
  <c r="L243" i="1"/>
  <c r="M243" i="1"/>
  <c r="N243" i="1" s="1"/>
  <c r="V243" i="1"/>
  <c r="Y243" i="1"/>
  <c r="Z243" i="1"/>
  <c r="AA243" i="1" s="1"/>
  <c r="AB243" i="1"/>
  <c r="AC243" i="1"/>
  <c r="AD243" i="1"/>
  <c r="AE243" i="1"/>
  <c r="AF243" i="1"/>
  <c r="AH188" i="1"/>
  <c r="AM188" i="1"/>
  <c r="AN188" i="1"/>
  <c r="AO188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189" i="1"/>
  <c r="AM189" i="1"/>
  <c r="AN189" i="1"/>
  <c r="AO189" i="1"/>
  <c r="K245" i="1"/>
  <c r="L245" i="1"/>
  <c r="M245" i="1"/>
  <c r="N245" i="1"/>
  <c r="V245" i="1"/>
  <c r="Y245" i="1"/>
  <c r="Z245" i="1"/>
  <c r="AB245" i="1"/>
  <c r="AC245" i="1"/>
  <c r="AD245" i="1"/>
  <c r="X245" i="1" s="1"/>
  <c r="AE245" i="1"/>
  <c r="AF245" i="1"/>
  <c r="AH190" i="1"/>
  <c r="AM190" i="1"/>
  <c r="AN190" i="1"/>
  <c r="AO190" i="1"/>
  <c r="K246" i="1"/>
  <c r="L246" i="1"/>
  <c r="M246" i="1"/>
  <c r="N246" i="1"/>
  <c r="T246" i="1"/>
  <c r="V246" i="1"/>
  <c r="S38" i="3" s="1"/>
  <c r="Y246" i="1"/>
  <c r="Z246" i="1"/>
  <c r="AA246" i="1" s="1"/>
  <c r="AB246" i="1"/>
  <c r="AC246" i="1"/>
  <c r="AD246" i="1"/>
  <c r="AE246" i="1"/>
  <c r="R38" i="3" s="1"/>
  <c r="AF246" i="1"/>
  <c r="AH191" i="1"/>
  <c r="AM191" i="1"/>
  <c r="AN191" i="1"/>
  <c r="AO191" i="1"/>
  <c r="K247" i="1"/>
  <c r="L247" i="1"/>
  <c r="M247" i="1"/>
  <c r="N247" i="1" s="1"/>
  <c r="V247" i="1"/>
  <c r="Y247" i="1"/>
  <c r="Z247" i="1"/>
  <c r="AA247" i="1" s="1"/>
  <c r="AB247" i="1"/>
  <c r="AC247" i="1"/>
  <c r="AD247" i="1"/>
  <c r="AE247" i="1"/>
  <c r="AF247" i="1"/>
  <c r="AH192" i="1"/>
  <c r="AM192" i="1"/>
  <c r="AN192" i="1"/>
  <c r="AO192" i="1"/>
  <c r="K248" i="1"/>
  <c r="L248" i="1"/>
  <c r="M248" i="1"/>
  <c r="N248" i="1" s="1"/>
  <c r="T248" i="1"/>
  <c r="V248" i="1"/>
  <c r="Y248" i="1"/>
  <c r="Z248" i="1"/>
  <c r="AB248" i="1"/>
  <c r="AC248" i="1"/>
  <c r="AD248" i="1"/>
  <c r="X248" i="1" s="1"/>
  <c r="AE248" i="1"/>
  <c r="AF248" i="1"/>
  <c r="AH193" i="1"/>
  <c r="AM193" i="1"/>
  <c r="AN193" i="1"/>
  <c r="AO193" i="1"/>
  <c r="K249" i="1"/>
  <c r="L249" i="1"/>
  <c r="M249" i="1"/>
  <c r="N249" i="1"/>
  <c r="V249" i="1"/>
  <c r="Y249" i="1"/>
  <c r="Z249" i="1"/>
  <c r="AB249" i="1"/>
  <c r="AC249" i="1"/>
  <c r="AD249" i="1"/>
  <c r="X249" i="1" s="1"/>
  <c r="AE249" i="1"/>
  <c r="AF249" i="1"/>
  <c r="AH194" i="1"/>
  <c r="AM194" i="1"/>
  <c r="AN194" i="1"/>
  <c r="AO194" i="1"/>
  <c r="K250" i="1"/>
  <c r="L250" i="1"/>
  <c r="M250" i="1"/>
  <c r="N250" i="1"/>
  <c r="V250" i="1"/>
  <c r="S33" i="3" s="1"/>
  <c r="Y250" i="1"/>
  <c r="Z250" i="1"/>
  <c r="AA250" i="1" s="1"/>
  <c r="AB250" i="1"/>
  <c r="AC250" i="1"/>
  <c r="AD250" i="1"/>
  <c r="AE250" i="1"/>
  <c r="AF250" i="1"/>
  <c r="AH195" i="1"/>
  <c r="AM195" i="1"/>
  <c r="AN195" i="1"/>
  <c r="AO195" i="1"/>
  <c r="K251" i="1"/>
  <c r="L251" i="1"/>
  <c r="M251" i="1"/>
  <c r="N251" i="1" s="1"/>
  <c r="V251" i="1"/>
  <c r="Y251" i="1"/>
  <c r="Z251" i="1"/>
  <c r="AB251" i="1"/>
  <c r="AC251" i="1"/>
  <c r="AD251" i="1"/>
  <c r="X251" i="1" s="1"/>
  <c r="AE251" i="1"/>
  <c r="AF251" i="1"/>
  <c r="AH196" i="1"/>
  <c r="AM196" i="1"/>
  <c r="AN196" i="1"/>
  <c r="AO196" i="1"/>
  <c r="K252" i="1"/>
  <c r="L252" i="1"/>
  <c r="M252" i="1"/>
  <c r="N252" i="1" s="1"/>
  <c r="V252" i="1"/>
  <c r="X252" i="1"/>
  <c r="Y252" i="1"/>
  <c r="Z252" i="1"/>
  <c r="AB252" i="1"/>
  <c r="AC252" i="1"/>
  <c r="AD252" i="1"/>
  <c r="T252" i="1" s="1"/>
  <c r="AE252" i="1"/>
  <c r="AF252" i="1"/>
  <c r="AH197" i="1"/>
  <c r="AM197" i="1"/>
  <c r="AN197" i="1"/>
  <c r="AO197" i="1"/>
  <c r="K253" i="1"/>
  <c r="L253" i="1"/>
  <c r="M253" i="1"/>
  <c r="N253" i="1"/>
  <c r="V253" i="1"/>
  <c r="Y253" i="1"/>
  <c r="Z253" i="1"/>
  <c r="AB253" i="1"/>
  <c r="AC253" i="1"/>
  <c r="AD253" i="1"/>
  <c r="X253" i="1" s="1"/>
  <c r="AE253" i="1"/>
  <c r="AF253" i="1"/>
  <c r="AH198" i="1"/>
  <c r="AM198" i="1"/>
  <c r="AN198" i="1"/>
  <c r="AO198" i="1"/>
  <c r="K254" i="1"/>
  <c r="L254" i="1"/>
  <c r="M254" i="1"/>
  <c r="N254" i="1"/>
  <c r="V254" i="1"/>
  <c r="Y254" i="1"/>
  <c r="AA254" i="1" s="1"/>
  <c r="Z254" i="1"/>
  <c r="AB254" i="1"/>
  <c r="AC254" i="1"/>
  <c r="AD254" i="1"/>
  <c r="T254" i="1" s="1"/>
  <c r="AE254" i="1"/>
  <c r="AF254" i="1"/>
  <c r="AH199" i="1"/>
  <c r="AM199" i="1"/>
  <c r="AN199" i="1"/>
  <c r="AO199" i="1"/>
  <c r="K255" i="1"/>
  <c r="L255" i="1"/>
  <c r="M255" i="1"/>
  <c r="N255" i="1" s="1"/>
  <c r="V255" i="1"/>
  <c r="Y255" i="1"/>
  <c r="Z255" i="1"/>
  <c r="AB255" i="1"/>
  <c r="AC255" i="1"/>
  <c r="AD255" i="1"/>
  <c r="X255" i="1" s="1"/>
  <c r="AE255" i="1"/>
  <c r="AF255" i="1"/>
  <c r="AH200" i="1"/>
  <c r="AM200" i="1"/>
  <c r="AN200" i="1"/>
  <c r="AO200" i="1"/>
  <c r="K256" i="1"/>
  <c r="L256" i="1"/>
  <c r="M256" i="1"/>
  <c r="N256" i="1" s="1"/>
  <c r="V256" i="1"/>
  <c r="Y256" i="1"/>
  <c r="Z256" i="1"/>
  <c r="AA256" i="1" s="1"/>
  <c r="AB256" i="1"/>
  <c r="AC256" i="1"/>
  <c r="AD256" i="1"/>
  <c r="AE256" i="1"/>
  <c r="AF256" i="1"/>
  <c r="AH201" i="1"/>
  <c r="AM201" i="1"/>
  <c r="AN201" i="1"/>
  <c r="AO201" i="1"/>
  <c r="K257" i="1"/>
  <c r="L257" i="1"/>
  <c r="M257" i="1"/>
  <c r="N257" i="1" s="1"/>
  <c r="V257" i="1"/>
  <c r="Y257" i="1"/>
  <c r="Z257" i="1"/>
  <c r="AB257" i="1"/>
  <c r="AC257" i="1"/>
  <c r="AD257" i="1"/>
  <c r="X257" i="1" s="1"/>
  <c r="AE257" i="1"/>
  <c r="AF257" i="1"/>
  <c r="AH202" i="1"/>
  <c r="AM202" i="1"/>
  <c r="AN202" i="1"/>
  <c r="AO202" i="1"/>
  <c r="K258" i="1"/>
  <c r="L258" i="1"/>
  <c r="M258" i="1"/>
  <c r="N258" i="1" s="1"/>
  <c r="V258" i="1"/>
  <c r="S37" i="3" s="1"/>
  <c r="Y258" i="1"/>
  <c r="Z258" i="1"/>
  <c r="AA258" i="1" s="1"/>
  <c r="AB258" i="1"/>
  <c r="AC258" i="1"/>
  <c r="AD258" i="1"/>
  <c r="X258" i="1" s="1"/>
  <c r="AE258" i="1"/>
  <c r="R37" i="3" s="1"/>
  <c r="AF258" i="1"/>
  <c r="AH203" i="1"/>
  <c r="AM203" i="1"/>
  <c r="AN203" i="1"/>
  <c r="AO203" i="1"/>
  <c r="K259" i="1"/>
  <c r="L259" i="1"/>
  <c r="M259" i="1"/>
  <c r="N259" i="1" s="1"/>
  <c r="V259" i="1"/>
  <c r="Y259" i="1"/>
  <c r="Z259" i="1"/>
  <c r="AA259" i="1" s="1"/>
  <c r="AB259" i="1"/>
  <c r="AC259" i="1"/>
  <c r="AD259" i="1"/>
  <c r="AE259" i="1"/>
  <c r="AF259" i="1"/>
  <c r="AH204" i="1"/>
  <c r="AM204" i="1"/>
  <c r="AN204" i="1"/>
  <c r="AO204" i="1"/>
  <c r="K260" i="1"/>
  <c r="L260" i="1"/>
  <c r="M260" i="1"/>
  <c r="N260" i="1" s="1"/>
  <c r="V260" i="1"/>
  <c r="Y260" i="1"/>
  <c r="Z260" i="1"/>
  <c r="AA260" i="1" s="1"/>
  <c r="AB260" i="1"/>
  <c r="AC260" i="1"/>
  <c r="AD260" i="1"/>
  <c r="T260" i="1" s="1"/>
  <c r="AE260" i="1"/>
  <c r="AF260" i="1"/>
  <c r="AH205" i="1"/>
  <c r="AM205" i="1"/>
  <c r="AN205" i="1"/>
  <c r="AO205" i="1"/>
  <c r="K261" i="1"/>
  <c r="L261" i="1"/>
  <c r="M261" i="1"/>
  <c r="N261" i="1"/>
  <c r="V261" i="1"/>
  <c r="Y261" i="1"/>
  <c r="Z261" i="1"/>
  <c r="AB261" i="1"/>
  <c r="AC261" i="1"/>
  <c r="AD261" i="1"/>
  <c r="T261" i="1" s="1"/>
  <c r="AE261" i="1"/>
  <c r="AF261" i="1"/>
  <c r="AH206" i="1"/>
  <c r="AM206" i="1"/>
  <c r="AN206" i="1"/>
  <c r="AO206" i="1"/>
  <c r="K262" i="1"/>
  <c r="L262" i="1"/>
  <c r="M262" i="1"/>
  <c r="N262" i="1"/>
  <c r="V262" i="1"/>
  <c r="Y262" i="1"/>
  <c r="Z262" i="1"/>
  <c r="AB262" i="1"/>
  <c r="AC262" i="1"/>
  <c r="AD262" i="1"/>
  <c r="T262" i="1" s="1"/>
  <c r="AE262" i="1"/>
  <c r="AF262" i="1"/>
  <c r="AH207" i="1"/>
  <c r="AM207" i="1"/>
  <c r="AN207" i="1"/>
  <c r="AO207" i="1"/>
  <c r="K263" i="1"/>
  <c r="L263" i="1"/>
  <c r="M263" i="1"/>
  <c r="N263" i="1"/>
  <c r="V263" i="1"/>
  <c r="Y263" i="1"/>
  <c r="Z263" i="1"/>
  <c r="AB263" i="1"/>
  <c r="AC263" i="1"/>
  <c r="AD263" i="1"/>
  <c r="T263" i="1" s="1"/>
  <c r="AE263" i="1"/>
  <c r="AF263" i="1"/>
  <c r="AH208" i="1"/>
  <c r="AM208" i="1"/>
  <c r="AN208" i="1"/>
  <c r="AO208" i="1"/>
  <c r="K264" i="1"/>
  <c r="L264" i="1"/>
  <c r="M264" i="1"/>
  <c r="N264" i="1"/>
  <c r="V264" i="1"/>
  <c r="Y264" i="1"/>
  <c r="Z264" i="1"/>
  <c r="AB264" i="1"/>
  <c r="AC264" i="1"/>
  <c r="AD264" i="1"/>
  <c r="T264" i="1" s="1"/>
  <c r="AE264" i="1"/>
  <c r="AF264" i="1"/>
  <c r="AH209" i="1"/>
  <c r="AM209" i="1"/>
  <c r="AN209" i="1"/>
  <c r="AO209" i="1"/>
  <c r="K265" i="1"/>
  <c r="L265" i="1"/>
  <c r="M265" i="1"/>
  <c r="N265" i="1"/>
  <c r="V265" i="1"/>
  <c r="Y265" i="1"/>
  <c r="Z265" i="1"/>
  <c r="AB265" i="1"/>
  <c r="AC265" i="1"/>
  <c r="AD265" i="1"/>
  <c r="T265" i="1" s="1"/>
  <c r="AE265" i="1"/>
  <c r="AF265" i="1"/>
  <c r="AH210" i="1"/>
  <c r="AM210" i="1"/>
  <c r="AN210" i="1"/>
  <c r="AO210" i="1"/>
  <c r="K266" i="1"/>
  <c r="L266" i="1"/>
  <c r="M266" i="1"/>
  <c r="N266" i="1"/>
  <c r="V266" i="1"/>
  <c r="Y266" i="1"/>
  <c r="Z266" i="1"/>
  <c r="AB266" i="1"/>
  <c r="AC266" i="1"/>
  <c r="AD266" i="1"/>
  <c r="T266" i="1" s="1"/>
  <c r="AE266" i="1"/>
  <c r="AF266" i="1"/>
  <c r="AH211" i="1"/>
  <c r="AM211" i="1"/>
  <c r="AN211" i="1"/>
  <c r="AO211" i="1"/>
  <c r="K162" i="1"/>
  <c r="L162" i="1"/>
  <c r="M162" i="1"/>
  <c r="N162" i="1"/>
  <c r="V162" i="1"/>
  <c r="Y162" i="1"/>
  <c r="Z162" i="1"/>
  <c r="AB162" i="1"/>
  <c r="AC162" i="1"/>
  <c r="AD162" i="1"/>
  <c r="T162" i="1" s="1"/>
  <c r="AE162" i="1"/>
  <c r="AF162" i="1"/>
  <c r="AH212" i="1"/>
  <c r="AM212" i="1"/>
  <c r="AN212" i="1"/>
  <c r="AO212" i="1"/>
  <c r="K163" i="1"/>
  <c r="L163" i="1"/>
  <c r="M163" i="1"/>
  <c r="N163" i="1"/>
  <c r="V163" i="1"/>
  <c r="Y163" i="1"/>
  <c r="Z163" i="1"/>
  <c r="AB163" i="1"/>
  <c r="AC163" i="1"/>
  <c r="AD163" i="1"/>
  <c r="T163" i="1" s="1"/>
  <c r="AE163" i="1"/>
  <c r="AF163" i="1"/>
  <c r="AH213" i="1"/>
  <c r="AM213" i="1"/>
  <c r="AN213" i="1"/>
  <c r="AO213" i="1"/>
  <c r="K164" i="1"/>
  <c r="L164" i="1"/>
  <c r="M164" i="1"/>
  <c r="N164" i="1"/>
  <c r="V164" i="1"/>
  <c r="Y164" i="1"/>
  <c r="Z164" i="1"/>
  <c r="AB164" i="1"/>
  <c r="AC164" i="1"/>
  <c r="AD164" i="1"/>
  <c r="T164" i="1" s="1"/>
  <c r="AE164" i="1"/>
  <c r="AF164" i="1"/>
  <c r="AH214" i="1"/>
  <c r="AM214" i="1"/>
  <c r="AN214" i="1"/>
  <c r="AO214" i="1"/>
  <c r="K165" i="1"/>
  <c r="L165" i="1"/>
  <c r="M165" i="1"/>
  <c r="N165" i="1"/>
  <c r="V165" i="1"/>
  <c r="Y165" i="1"/>
  <c r="Z165" i="1"/>
  <c r="AB165" i="1"/>
  <c r="AC165" i="1"/>
  <c r="AD165" i="1"/>
  <c r="T165" i="1" s="1"/>
  <c r="AE165" i="1"/>
  <c r="AF165" i="1"/>
  <c r="AH215" i="1"/>
  <c r="AM215" i="1"/>
  <c r="AN215" i="1"/>
  <c r="AO215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216" i="1"/>
  <c r="AM216" i="1"/>
  <c r="AN216" i="1"/>
  <c r="AO216" i="1"/>
  <c r="K167" i="1"/>
  <c r="L167" i="1"/>
  <c r="M167" i="1"/>
  <c r="N167" i="1"/>
  <c r="V167" i="1"/>
  <c r="Y167" i="1"/>
  <c r="Z167" i="1"/>
  <c r="AB167" i="1"/>
  <c r="AC167" i="1"/>
  <c r="AD167" i="1"/>
  <c r="T167" i="1" s="1"/>
  <c r="AE167" i="1"/>
  <c r="AF167" i="1"/>
  <c r="AH217" i="1"/>
  <c r="AM217" i="1"/>
  <c r="AN217" i="1"/>
  <c r="AO217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218" i="1"/>
  <c r="AM218" i="1"/>
  <c r="AN218" i="1"/>
  <c r="AO218" i="1"/>
  <c r="K169" i="1"/>
  <c r="L169" i="1"/>
  <c r="M169" i="1"/>
  <c r="N169" i="1"/>
  <c r="V169" i="1"/>
  <c r="Y169" i="1"/>
  <c r="Z169" i="1"/>
  <c r="AB169" i="1"/>
  <c r="AC169" i="1"/>
  <c r="AD169" i="1"/>
  <c r="T169" i="1" s="1"/>
  <c r="AE169" i="1"/>
  <c r="AF169" i="1"/>
  <c r="AH219" i="1"/>
  <c r="AM219" i="1"/>
  <c r="AN219" i="1"/>
  <c r="AO219" i="1"/>
  <c r="S22" i="3"/>
  <c r="R22" i="3"/>
  <c r="AH220" i="1"/>
  <c r="AM220" i="1"/>
  <c r="AN220" i="1"/>
  <c r="AO220" i="1"/>
  <c r="K172" i="1"/>
  <c r="L172" i="1"/>
  <c r="M172" i="1"/>
  <c r="N172" i="1"/>
  <c r="V172" i="1"/>
  <c r="S23" i="3" s="1"/>
  <c r="Y172" i="1"/>
  <c r="Z172" i="1"/>
  <c r="AB172" i="1"/>
  <c r="AC172" i="1"/>
  <c r="AD172" i="1"/>
  <c r="T172" i="1" s="1"/>
  <c r="AE172" i="1"/>
  <c r="R23" i="3" s="1"/>
  <c r="AF172" i="1"/>
  <c r="AH221" i="1"/>
  <c r="AM221" i="1"/>
  <c r="AN221" i="1"/>
  <c r="AO221" i="1"/>
  <c r="K173" i="1"/>
  <c r="L173" i="1"/>
  <c r="M173" i="1"/>
  <c r="N173" i="1"/>
  <c r="V173" i="1"/>
  <c r="Y173" i="1"/>
  <c r="Z173" i="1"/>
  <c r="AB173" i="1"/>
  <c r="AC173" i="1"/>
  <c r="AD173" i="1"/>
  <c r="T173" i="1" s="1"/>
  <c r="AE173" i="1"/>
  <c r="AF173" i="1"/>
  <c r="AH222" i="1"/>
  <c r="AM222" i="1"/>
  <c r="AN222" i="1"/>
  <c r="AO222" i="1"/>
  <c r="K174" i="1"/>
  <c r="L174" i="1"/>
  <c r="M174" i="1"/>
  <c r="N174" i="1"/>
  <c r="V174" i="1"/>
  <c r="Y174" i="1"/>
  <c r="Z174" i="1"/>
  <c r="AB174" i="1"/>
  <c r="AC174" i="1"/>
  <c r="AD174" i="1"/>
  <c r="T174" i="1" s="1"/>
  <c r="AE174" i="1"/>
  <c r="AF174" i="1"/>
  <c r="AH223" i="1"/>
  <c r="AM223" i="1"/>
  <c r="AN223" i="1"/>
  <c r="AO223" i="1"/>
  <c r="K175" i="1"/>
  <c r="L175" i="1"/>
  <c r="M175" i="1"/>
  <c r="N175" i="1"/>
  <c r="V175" i="1"/>
  <c r="Y175" i="1"/>
  <c r="Z175" i="1"/>
  <c r="AB175" i="1"/>
  <c r="AC175" i="1"/>
  <c r="AD175" i="1"/>
  <c r="T175" i="1" s="1"/>
  <c r="AE175" i="1"/>
  <c r="AF175" i="1"/>
  <c r="AH224" i="1"/>
  <c r="AM224" i="1"/>
  <c r="AN224" i="1"/>
  <c r="AO224" i="1"/>
  <c r="K176" i="1"/>
  <c r="L176" i="1"/>
  <c r="M176" i="1"/>
  <c r="N176" i="1"/>
  <c r="V176" i="1"/>
  <c r="Y176" i="1"/>
  <c r="Z176" i="1"/>
  <c r="AB176" i="1"/>
  <c r="AC176" i="1"/>
  <c r="AD176" i="1"/>
  <c r="T176" i="1" s="1"/>
  <c r="AE176" i="1"/>
  <c r="AF176" i="1"/>
  <c r="AH225" i="1"/>
  <c r="AM225" i="1"/>
  <c r="AN225" i="1"/>
  <c r="AO225" i="1"/>
  <c r="K177" i="1"/>
  <c r="L177" i="1"/>
  <c r="M177" i="1"/>
  <c r="N177" i="1"/>
  <c r="V177" i="1"/>
  <c r="Y177" i="1"/>
  <c r="Z177" i="1"/>
  <c r="AB177" i="1"/>
  <c r="AC177" i="1"/>
  <c r="AD177" i="1"/>
  <c r="T177" i="1" s="1"/>
  <c r="AE177" i="1"/>
  <c r="AF177" i="1"/>
  <c r="AH226" i="1"/>
  <c r="AM226" i="1"/>
  <c r="AN226" i="1"/>
  <c r="AO226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27" i="1"/>
  <c r="AM227" i="1"/>
  <c r="AN227" i="1"/>
  <c r="AO227" i="1"/>
  <c r="K179" i="1"/>
  <c r="L179" i="1"/>
  <c r="M179" i="1"/>
  <c r="N179" i="1"/>
  <c r="V179" i="1"/>
  <c r="S20" i="3" s="1"/>
  <c r="Y179" i="1"/>
  <c r="Z179" i="1"/>
  <c r="AB179" i="1"/>
  <c r="AC179" i="1"/>
  <c r="AD179" i="1"/>
  <c r="T179" i="1" s="1"/>
  <c r="AE179" i="1"/>
  <c r="R20" i="3" s="1"/>
  <c r="AF179" i="1"/>
  <c r="AH228" i="1"/>
  <c r="AM228" i="1"/>
  <c r="AN228" i="1"/>
  <c r="AO228" i="1"/>
  <c r="K180" i="1"/>
  <c r="L180" i="1"/>
  <c r="M180" i="1"/>
  <c r="N180" i="1"/>
  <c r="V180" i="1"/>
  <c r="Y180" i="1"/>
  <c r="Z180" i="1"/>
  <c r="AB180" i="1"/>
  <c r="AC180" i="1"/>
  <c r="AD180" i="1"/>
  <c r="T180" i="1" s="1"/>
  <c r="AE180" i="1"/>
  <c r="AF180" i="1"/>
  <c r="AH229" i="1"/>
  <c r="AM229" i="1"/>
  <c r="AN229" i="1"/>
  <c r="AO229" i="1"/>
  <c r="K181" i="1"/>
  <c r="L181" i="1"/>
  <c r="M181" i="1"/>
  <c r="N181" i="1"/>
  <c r="V181" i="1"/>
  <c r="Y181" i="1"/>
  <c r="Z181" i="1"/>
  <c r="AB181" i="1"/>
  <c r="AC181" i="1"/>
  <c r="AD181" i="1"/>
  <c r="T181" i="1" s="1"/>
  <c r="AE181" i="1"/>
  <c r="AF181" i="1"/>
  <c r="AH230" i="1"/>
  <c r="AM230" i="1"/>
  <c r="AN230" i="1"/>
  <c r="AO230" i="1"/>
  <c r="K182" i="1"/>
  <c r="L182" i="1"/>
  <c r="M182" i="1"/>
  <c r="N182" i="1"/>
  <c r="V182" i="1"/>
  <c r="Y182" i="1"/>
  <c r="Z182" i="1"/>
  <c r="AB182" i="1"/>
  <c r="AC182" i="1"/>
  <c r="AD182" i="1"/>
  <c r="T182" i="1" s="1"/>
  <c r="AE182" i="1"/>
  <c r="AF182" i="1"/>
  <c r="AH231" i="1"/>
  <c r="AM231" i="1"/>
  <c r="AN231" i="1"/>
  <c r="AO231" i="1"/>
  <c r="K183" i="1"/>
  <c r="L183" i="1"/>
  <c r="M183" i="1"/>
  <c r="N183" i="1"/>
  <c r="V183" i="1"/>
  <c r="Y183" i="1"/>
  <c r="Z183" i="1"/>
  <c r="AB183" i="1"/>
  <c r="AC183" i="1"/>
  <c r="AD183" i="1"/>
  <c r="T183" i="1" s="1"/>
  <c r="AE183" i="1"/>
  <c r="AF183" i="1"/>
  <c r="AH232" i="1"/>
  <c r="AM232" i="1"/>
  <c r="AN232" i="1"/>
  <c r="AO232" i="1"/>
  <c r="K184" i="1"/>
  <c r="L184" i="1"/>
  <c r="M184" i="1"/>
  <c r="N184" i="1"/>
  <c r="V184" i="1"/>
  <c r="Y184" i="1"/>
  <c r="Z184" i="1"/>
  <c r="AA184" i="1" s="1"/>
  <c r="AB184" i="1"/>
  <c r="AC184" i="1"/>
  <c r="AD184" i="1"/>
  <c r="T184" i="1" s="1"/>
  <c r="AE184" i="1"/>
  <c r="AF184" i="1"/>
  <c r="AH233" i="1"/>
  <c r="AM233" i="1"/>
  <c r="AN233" i="1"/>
  <c r="AO233" i="1"/>
  <c r="K185" i="1"/>
  <c r="L185" i="1"/>
  <c r="M185" i="1"/>
  <c r="N185" i="1"/>
  <c r="V185" i="1"/>
  <c r="S21" i="3" s="1"/>
  <c r="Y185" i="1"/>
  <c r="Z185" i="1"/>
  <c r="AA185" i="1" s="1"/>
  <c r="AB185" i="1"/>
  <c r="AC185" i="1"/>
  <c r="AD185" i="1"/>
  <c r="T185" i="1" s="1"/>
  <c r="AE185" i="1"/>
  <c r="R21" i="3" s="1"/>
  <c r="AF185" i="1"/>
  <c r="AH234" i="1"/>
  <c r="AM234" i="1"/>
  <c r="AN234" i="1"/>
  <c r="AO234" i="1"/>
  <c r="K186" i="1"/>
  <c r="L186" i="1"/>
  <c r="M186" i="1"/>
  <c r="N186" i="1"/>
  <c r="V186" i="1"/>
  <c r="Y186" i="1"/>
  <c r="Z186" i="1"/>
  <c r="AA186" i="1" s="1"/>
  <c r="AB186" i="1"/>
  <c r="AC186" i="1"/>
  <c r="AD186" i="1"/>
  <c r="T186" i="1" s="1"/>
  <c r="AE186" i="1"/>
  <c r="AF186" i="1"/>
  <c r="AH235" i="1"/>
  <c r="AM235" i="1"/>
  <c r="AN235" i="1"/>
  <c r="AO235" i="1"/>
  <c r="K187" i="1"/>
  <c r="L187" i="1"/>
  <c r="M187" i="1"/>
  <c r="N187" i="1"/>
  <c r="V187" i="1"/>
  <c r="Y187" i="1"/>
  <c r="Z187" i="1"/>
  <c r="AA187" i="1" s="1"/>
  <c r="AB187" i="1"/>
  <c r="AC187" i="1"/>
  <c r="AD187" i="1"/>
  <c r="T187" i="1" s="1"/>
  <c r="AE187" i="1"/>
  <c r="AF187" i="1"/>
  <c r="AH236" i="1"/>
  <c r="AM236" i="1"/>
  <c r="AN236" i="1"/>
  <c r="AO236" i="1"/>
  <c r="K188" i="1"/>
  <c r="L188" i="1"/>
  <c r="M188" i="1"/>
  <c r="N188" i="1"/>
  <c r="V188" i="1"/>
  <c r="Y188" i="1"/>
  <c r="Z188" i="1"/>
  <c r="AA188" i="1" s="1"/>
  <c r="AB188" i="1"/>
  <c r="AC188" i="1"/>
  <c r="AD188" i="1"/>
  <c r="T188" i="1" s="1"/>
  <c r="AE188" i="1"/>
  <c r="AF188" i="1"/>
  <c r="AH237" i="1"/>
  <c r="AM237" i="1"/>
  <c r="AN237" i="1"/>
  <c r="AO237" i="1"/>
  <c r="K189" i="1"/>
  <c r="L189" i="1"/>
  <c r="M189" i="1"/>
  <c r="N189" i="1"/>
  <c r="V189" i="1"/>
  <c r="Y189" i="1"/>
  <c r="Z189" i="1"/>
  <c r="AA189" i="1" s="1"/>
  <c r="AB189" i="1"/>
  <c r="AC189" i="1"/>
  <c r="AD189" i="1"/>
  <c r="T189" i="1" s="1"/>
  <c r="AE189" i="1"/>
  <c r="AF189" i="1"/>
  <c r="AH238" i="1"/>
  <c r="AM238" i="1"/>
  <c r="AN238" i="1"/>
  <c r="AO238" i="1"/>
  <c r="K190" i="1"/>
  <c r="L190" i="1"/>
  <c r="M190" i="1"/>
  <c r="N190" i="1"/>
  <c r="V190" i="1"/>
  <c r="Y190" i="1"/>
  <c r="Z190" i="1"/>
  <c r="AA190" i="1" s="1"/>
  <c r="AB190" i="1"/>
  <c r="AC190" i="1"/>
  <c r="AD190" i="1"/>
  <c r="T190" i="1" s="1"/>
  <c r="AE190" i="1"/>
  <c r="AF190" i="1"/>
  <c r="AH239" i="1"/>
  <c r="AM239" i="1"/>
  <c r="AN239" i="1"/>
  <c r="AO239" i="1"/>
  <c r="K191" i="1"/>
  <c r="L191" i="1"/>
  <c r="M191" i="1"/>
  <c r="N191" i="1"/>
  <c r="V191" i="1"/>
  <c r="Y191" i="1"/>
  <c r="Z191" i="1"/>
  <c r="AA191" i="1" s="1"/>
  <c r="AB191" i="1"/>
  <c r="AC191" i="1"/>
  <c r="AD191" i="1"/>
  <c r="T191" i="1" s="1"/>
  <c r="AE191" i="1"/>
  <c r="AF191" i="1"/>
  <c r="AH240" i="1"/>
  <c r="AM240" i="1"/>
  <c r="AN240" i="1"/>
  <c r="AO240" i="1"/>
  <c r="K192" i="1"/>
  <c r="L192" i="1"/>
  <c r="M192" i="1"/>
  <c r="N192" i="1"/>
  <c r="V192" i="1"/>
  <c r="S25" i="3" s="1"/>
  <c r="Y192" i="1"/>
  <c r="Z192" i="1"/>
  <c r="AA192" i="1" s="1"/>
  <c r="AB192" i="1"/>
  <c r="AC192" i="1"/>
  <c r="AD192" i="1"/>
  <c r="T192" i="1" s="1"/>
  <c r="AE192" i="1"/>
  <c r="R25" i="3" s="1"/>
  <c r="AF192" i="1"/>
  <c r="AH241" i="1"/>
  <c r="AM241" i="1"/>
  <c r="AN241" i="1"/>
  <c r="AO241" i="1"/>
  <c r="K193" i="1"/>
  <c r="L193" i="1"/>
  <c r="M193" i="1"/>
  <c r="N193" i="1"/>
  <c r="V193" i="1"/>
  <c r="Y193" i="1"/>
  <c r="Z193" i="1"/>
  <c r="AA193" i="1" s="1"/>
  <c r="AB193" i="1"/>
  <c r="AC193" i="1"/>
  <c r="AD193" i="1"/>
  <c r="T193" i="1" s="1"/>
  <c r="AE193" i="1"/>
  <c r="AF193" i="1"/>
  <c r="AH242" i="1"/>
  <c r="AM242" i="1"/>
  <c r="AN242" i="1"/>
  <c r="AO242" i="1"/>
  <c r="K194" i="1"/>
  <c r="L194" i="1"/>
  <c r="M194" i="1"/>
  <c r="N194" i="1"/>
  <c r="V194" i="1"/>
  <c r="Y194" i="1"/>
  <c r="Z194" i="1"/>
  <c r="AA194" i="1" s="1"/>
  <c r="AB194" i="1"/>
  <c r="AC194" i="1"/>
  <c r="AD194" i="1"/>
  <c r="T194" i="1" s="1"/>
  <c r="AE194" i="1"/>
  <c r="AF194" i="1"/>
  <c r="AH243" i="1"/>
  <c r="AM243" i="1"/>
  <c r="AN243" i="1"/>
  <c r="AO243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44" i="1"/>
  <c r="AM244" i="1"/>
  <c r="AN244" i="1"/>
  <c r="AO244" i="1"/>
  <c r="K196" i="1"/>
  <c r="L196" i="1"/>
  <c r="M196" i="1"/>
  <c r="N196" i="1" s="1"/>
  <c r="V196" i="1"/>
  <c r="Y196" i="1"/>
  <c r="Z196" i="1"/>
  <c r="AA196" i="1" s="1"/>
  <c r="AB196" i="1"/>
  <c r="AC196" i="1"/>
  <c r="AD196" i="1"/>
  <c r="T196" i="1" s="1"/>
  <c r="AE196" i="1"/>
  <c r="AF196" i="1"/>
  <c r="AH245" i="1"/>
  <c r="AM245" i="1"/>
  <c r="AN245" i="1"/>
  <c r="AO245" i="1"/>
  <c r="K197" i="1"/>
  <c r="L197" i="1"/>
  <c r="M197" i="1"/>
  <c r="N197" i="1" s="1"/>
  <c r="V197" i="1"/>
  <c r="Y197" i="1"/>
  <c r="Z197" i="1"/>
  <c r="AA197" i="1" s="1"/>
  <c r="AB197" i="1"/>
  <c r="AC197" i="1"/>
  <c r="AD197" i="1"/>
  <c r="T197" i="1" s="1"/>
  <c r="AE197" i="1"/>
  <c r="AF197" i="1"/>
  <c r="AH246" i="1"/>
  <c r="AM246" i="1"/>
  <c r="AN246" i="1"/>
  <c r="AO246" i="1"/>
  <c r="K198" i="1"/>
  <c r="L198" i="1"/>
  <c r="M198" i="1"/>
  <c r="N198" i="1" s="1"/>
  <c r="V198" i="1"/>
  <c r="Y198" i="1"/>
  <c r="Z198" i="1"/>
  <c r="AA198" i="1" s="1"/>
  <c r="AB198" i="1"/>
  <c r="AC198" i="1"/>
  <c r="AD198" i="1"/>
  <c r="T198" i="1" s="1"/>
  <c r="AE198" i="1"/>
  <c r="AF198" i="1"/>
  <c r="AH247" i="1"/>
  <c r="AM247" i="1"/>
  <c r="AN247" i="1"/>
  <c r="AO247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48" i="1"/>
  <c r="AM248" i="1"/>
  <c r="AN248" i="1"/>
  <c r="AO248" i="1"/>
  <c r="K200" i="1"/>
  <c r="L200" i="1"/>
  <c r="M200" i="1"/>
  <c r="N200" i="1" s="1"/>
  <c r="V200" i="1"/>
  <c r="Y200" i="1"/>
  <c r="Z200" i="1"/>
  <c r="AA200" i="1" s="1"/>
  <c r="AB200" i="1"/>
  <c r="AC200" i="1"/>
  <c r="AD200" i="1"/>
  <c r="T200" i="1" s="1"/>
  <c r="AE200" i="1"/>
  <c r="AF200" i="1"/>
  <c r="AH249" i="1"/>
  <c r="AM249" i="1"/>
  <c r="AN249" i="1"/>
  <c r="AO249" i="1"/>
  <c r="K201" i="1"/>
  <c r="L201" i="1"/>
  <c r="M201" i="1"/>
  <c r="N201" i="1" s="1"/>
  <c r="V201" i="1"/>
  <c r="Y201" i="1"/>
  <c r="Z201" i="1"/>
  <c r="AA201" i="1" s="1"/>
  <c r="AB201" i="1"/>
  <c r="AC201" i="1"/>
  <c r="AD201" i="1"/>
  <c r="T201" i="1" s="1"/>
  <c r="AE201" i="1"/>
  <c r="AF201" i="1"/>
  <c r="AH250" i="1"/>
  <c r="AM250" i="1"/>
  <c r="AN250" i="1"/>
  <c r="AO250" i="1"/>
  <c r="K202" i="1"/>
  <c r="L202" i="1"/>
  <c r="M202" i="1"/>
  <c r="N202" i="1" s="1"/>
  <c r="V202" i="1"/>
  <c r="S24" i="3" s="1"/>
  <c r="Y202" i="1"/>
  <c r="Z202" i="1"/>
  <c r="AA202" i="1" s="1"/>
  <c r="AB202" i="1"/>
  <c r="AC202" i="1"/>
  <c r="AD202" i="1"/>
  <c r="T202" i="1" s="1"/>
  <c r="AE202" i="1"/>
  <c r="R24" i="3" s="1"/>
  <c r="AF202" i="1"/>
  <c r="AH251" i="1"/>
  <c r="AM251" i="1"/>
  <c r="AN251" i="1"/>
  <c r="AO251" i="1"/>
  <c r="K203" i="1"/>
  <c r="L203" i="1"/>
  <c r="M203" i="1"/>
  <c r="N203" i="1"/>
  <c r="V203" i="1"/>
  <c r="Y203" i="1"/>
  <c r="Z203" i="1"/>
  <c r="AA203" i="1"/>
  <c r="AB203" i="1"/>
  <c r="AC203" i="1"/>
  <c r="AD203" i="1"/>
  <c r="T203" i="1" s="1"/>
  <c r="AE203" i="1"/>
  <c r="AF203" i="1"/>
  <c r="AH252" i="1"/>
  <c r="AM252" i="1"/>
  <c r="AN252" i="1"/>
  <c r="AO252" i="1"/>
  <c r="K204" i="1"/>
  <c r="L204" i="1"/>
  <c r="M204" i="1"/>
  <c r="N204" i="1" s="1"/>
  <c r="V204" i="1"/>
  <c r="Y204" i="1"/>
  <c r="Z204" i="1"/>
  <c r="AA204" i="1" s="1"/>
  <c r="AB204" i="1"/>
  <c r="AC204" i="1"/>
  <c r="AD204" i="1"/>
  <c r="T204" i="1" s="1"/>
  <c r="AE204" i="1"/>
  <c r="AF204" i="1"/>
  <c r="AH253" i="1"/>
  <c r="AM253" i="1"/>
  <c r="AN253" i="1"/>
  <c r="AO253" i="1"/>
  <c r="K205" i="1"/>
  <c r="L205" i="1"/>
  <c r="M205" i="1"/>
  <c r="N205" i="1"/>
  <c r="V205" i="1"/>
  <c r="Y205" i="1"/>
  <c r="Z205" i="1"/>
  <c r="AB205" i="1"/>
  <c r="AC205" i="1"/>
  <c r="AD205" i="1"/>
  <c r="T205" i="1" s="1"/>
  <c r="AE205" i="1"/>
  <c r="AF205" i="1"/>
  <c r="AH254" i="1"/>
  <c r="AM254" i="1"/>
  <c r="AN254" i="1"/>
  <c r="AO254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55" i="1"/>
  <c r="AM255" i="1"/>
  <c r="AN255" i="1"/>
  <c r="AO255" i="1"/>
  <c r="K207" i="1"/>
  <c r="L207" i="1"/>
  <c r="M207" i="1"/>
  <c r="N207" i="1"/>
  <c r="V207" i="1"/>
  <c r="Y207" i="1"/>
  <c r="AA207" i="1" s="1"/>
  <c r="Z207" i="1"/>
  <c r="AB207" i="1"/>
  <c r="AC207" i="1"/>
  <c r="AD207" i="1"/>
  <c r="T207" i="1" s="1"/>
  <c r="AE207" i="1"/>
  <c r="AF207" i="1"/>
  <c r="AH256" i="1"/>
  <c r="AM256" i="1"/>
  <c r="AN256" i="1"/>
  <c r="AO256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57" i="1"/>
  <c r="AM257" i="1"/>
  <c r="AN257" i="1"/>
  <c r="AO257" i="1"/>
  <c r="K209" i="1"/>
  <c r="L209" i="1"/>
  <c r="M209" i="1"/>
  <c r="N209" i="1"/>
  <c r="V209" i="1"/>
  <c r="Y209" i="1"/>
  <c r="AA209" i="1" s="1"/>
  <c r="Z209" i="1"/>
  <c r="AB209" i="1"/>
  <c r="AC209" i="1"/>
  <c r="AD209" i="1"/>
  <c r="T209" i="1" s="1"/>
  <c r="AE209" i="1"/>
  <c r="AF209" i="1"/>
  <c r="AH258" i="1"/>
  <c r="AM258" i="1"/>
  <c r="AN258" i="1"/>
  <c r="AO258" i="1"/>
  <c r="K210" i="1"/>
  <c r="L210" i="1"/>
  <c r="M210" i="1"/>
  <c r="N210" i="1"/>
  <c r="V210" i="1"/>
  <c r="Y210" i="1"/>
  <c r="AA210" i="1" s="1"/>
  <c r="Z210" i="1"/>
  <c r="AB210" i="1"/>
  <c r="AC210" i="1"/>
  <c r="AD210" i="1"/>
  <c r="T210" i="1" s="1"/>
  <c r="AE210" i="1"/>
  <c r="AF210" i="1"/>
  <c r="AH259" i="1"/>
  <c r="AM259" i="1"/>
  <c r="AN259" i="1"/>
  <c r="AO259" i="1"/>
  <c r="K267" i="1"/>
  <c r="L267" i="1"/>
  <c r="M267" i="1"/>
  <c r="N267" i="1"/>
  <c r="V267" i="1"/>
  <c r="Y267" i="1"/>
  <c r="Z267" i="1"/>
  <c r="AA267" i="1"/>
  <c r="AB267" i="1"/>
  <c r="AC267" i="1"/>
  <c r="AD267" i="1"/>
  <c r="T267" i="1" s="1"/>
  <c r="AE267" i="1"/>
  <c r="AF267" i="1"/>
  <c r="AH260" i="1"/>
  <c r="AM260" i="1"/>
  <c r="AN260" i="1"/>
  <c r="AO260" i="1"/>
  <c r="K225" i="1"/>
  <c r="L225" i="1"/>
  <c r="M225" i="1"/>
  <c r="N225" i="1" s="1"/>
  <c r="V225" i="1"/>
  <c r="Y225" i="1"/>
  <c r="Z225" i="1"/>
  <c r="AA225" i="1" s="1"/>
  <c r="AB225" i="1"/>
  <c r="AC225" i="1"/>
  <c r="AD225" i="1"/>
  <c r="T225" i="1" s="1"/>
  <c r="AE225" i="1"/>
  <c r="AF225" i="1"/>
  <c r="AH261" i="1"/>
  <c r="AM261" i="1"/>
  <c r="AN261" i="1"/>
  <c r="AO261" i="1"/>
  <c r="K226" i="1"/>
  <c r="L226" i="1"/>
  <c r="M226" i="1"/>
  <c r="N226" i="1"/>
  <c r="V226" i="1"/>
  <c r="Y226" i="1"/>
  <c r="Z226" i="1"/>
  <c r="AB226" i="1"/>
  <c r="AC226" i="1"/>
  <c r="AD226" i="1"/>
  <c r="T226" i="1" s="1"/>
  <c r="AE226" i="1"/>
  <c r="AF226" i="1"/>
  <c r="AH262" i="1"/>
  <c r="AM262" i="1"/>
  <c r="AN262" i="1"/>
  <c r="AO262" i="1"/>
  <c r="K227" i="1"/>
  <c r="L227" i="1"/>
  <c r="M227" i="1"/>
  <c r="N227" i="1"/>
  <c r="V227" i="1"/>
  <c r="S27" i="3" s="1"/>
  <c r="Y227" i="1"/>
  <c r="Z227" i="1"/>
  <c r="AA227" i="1"/>
  <c r="AB227" i="1"/>
  <c r="AC227" i="1"/>
  <c r="AD227" i="1"/>
  <c r="T227" i="1" s="1"/>
  <c r="AE227" i="1"/>
  <c r="R27" i="3" s="1"/>
  <c r="AF227" i="1"/>
  <c r="AH263" i="1"/>
  <c r="AM263" i="1"/>
  <c r="AN263" i="1"/>
  <c r="AO263" i="1"/>
  <c r="K228" i="1"/>
  <c r="L228" i="1"/>
  <c r="M228" i="1"/>
  <c r="N228" i="1"/>
  <c r="V228" i="1"/>
  <c r="Y228" i="1"/>
  <c r="Z228" i="1"/>
  <c r="AA228" i="1"/>
  <c r="AB228" i="1"/>
  <c r="AC228" i="1"/>
  <c r="AD228" i="1"/>
  <c r="T228" i="1" s="1"/>
  <c r="AE228" i="1"/>
  <c r="AF228" i="1"/>
  <c r="AH264" i="1"/>
  <c r="AM264" i="1"/>
  <c r="AN264" i="1"/>
  <c r="AO264" i="1"/>
  <c r="K229" i="1"/>
  <c r="L229" i="1"/>
  <c r="M229" i="1"/>
  <c r="N229" i="1" s="1"/>
  <c r="V229" i="1"/>
  <c r="Y229" i="1"/>
  <c r="Z229" i="1"/>
  <c r="AA229" i="1" s="1"/>
  <c r="AB229" i="1"/>
  <c r="AC229" i="1"/>
  <c r="AD229" i="1"/>
  <c r="T229" i="1" s="1"/>
  <c r="AE229" i="1"/>
  <c r="AF229" i="1"/>
  <c r="AH265" i="1"/>
  <c r="AM265" i="1"/>
  <c r="AN265" i="1"/>
  <c r="AO265" i="1"/>
  <c r="K230" i="1"/>
  <c r="L230" i="1"/>
  <c r="M230" i="1"/>
  <c r="N230" i="1"/>
  <c r="V230" i="1"/>
  <c r="Y230" i="1"/>
  <c r="Z230" i="1"/>
  <c r="AB230" i="1"/>
  <c r="AC230" i="1"/>
  <c r="AD230" i="1"/>
  <c r="T230" i="1" s="1"/>
  <c r="AE230" i="1"/>
  <c r="AF230" i="1"/>
  <c r="AH266" i="1"/>
  <c r="AM266" i="1"/>
  <c r="AN266" i="1"/>
  <c r="AO266" i="1"/>
  <c r="K231" i="1"/>
  <c r="L231" i="1"/>
  <c r="M231" i="1"/>
  <c r="N231" i="1"/>
  <c r="V231" i="1"/>
  <c r="Y231" i="1"/>
  <c r="Z231" i="1"/>
  <c r="AA231" i="1"/>
  <c r="AB231" i="1"/>
  <c r="AC231" i="1"/>
  <c r="AD231" i="1"/>
  <c r="T231" i="1" s="1"/>
  <c r="AE231" i="1"/>
  <c r="AF231" i="1"/>
  <c r="AH267" i="1"/>
  <c r="AM267" i="1"/>
  <c r="AN267" i="1"/>
  <c r="AO267" i="1"/>
  <c r="M33" i="3"/>
  <c r="U33" i="3"/>
  <c r="T33" i="3" s="1"/>
  <c r="V33" i="3"/>
  <c r="X33" i="3"/>
  <c r="M12" i="3"/>
  <c r="U12" i="3"/>
  <c r="AC12" i="3" s="1"/>
  <c r="V12" i="3"/>
  <c r="X12" i="3"/>
  <c r="M16" i="3"/>
  <c r="U16" i="3"/>
  <c r="T16" i="3" s="1"/>
  <c r="V16" i="3"/>
  <c r="X16" i="3"/>
  <c r="M19" i="3"/>
  <c r="U19" i="3"/>
  <c r="T19" i="3" s="1"/>
  <c r="V19" i="3"/>
  <c r="X19" i="3"/>
  <c r="M13" i="3"/>
  <c r="U13" i="3"/>
  <c r="AC13" i="3" s="1"/>
  <c r="V13" i="3"/>
  <c r="X13" i="3"/>
  <c r="M22" i="3"/>
  <c r="U22" i="3"/>
  <c r="T22" i="3" s="1"/>
  <c r="V22" i="3"/>
  <c r="X22" i="3"/>
  <c r="M23" i="3"/>
  <c r="U23" i="3"/>
  <c r="T23" i="3" s="1"/>
  <c r="V23" i="3"/>
  <c r="X23" i="3"/>
  <c r="M27" i="3"/>
  <c r="U27" i="3"/>
  <c r="T27" i="3" s="1"/>
  <c r="V27" i="3"/>
  <c r="X27" i="3"/>
  <c r="M29" i="3"/>
  <c r="U29" i="3"/>
  <c r="AC29" i="3" s="1"/>
  <c r="V29" i="3"/>
  <c r="X29" i="3"/>
  <c r="M31" i="3"/>
  <c r="U31" i="3"/>
  <c r="V31" i="3"/>
  <c r="X31" i="3"/>
  <c r="M28" i="3"/>
  <c r="U28" i="3"/>
  <c r="AC28" i="3" s="1"/>
  <c r="V28" i="3"/>
  <c r="X28" i="3"/>
  <c r="M30" i="3"/>
  <c r="U30" i="3"/>
  <c r="AD30" i="3" s="1"/>
  <c r="V30" i="3"/>
  <c r="X30" i="3"/>
  <c r="M20" i="3"/>
  <c r="U20" i="3"/>
  <c r="T20" i="3" s="1"/>
  <c r="V20" i="3"/>
  <c r="X20" i="3"/>
  <c r="M34" i="3"/>
  <c r="U34" i="3"/>
  <c r="V34" i="3"/>
  <c r="X34" i="3"/>
  <c r="M9" i="3"/>
  <c r="U9" i="3"/>
  <c r="AC9" i="3" s="1"/>
  <c r="V9" i="3"/>
  <c r="X9" i="3"/>
  <c r="M7" i="3"/>
  <c r="U7" i="3"/>
  <c r="V7" i="3"/>
  <c r="X7" i="3"/>
  <c r="M38" i="3"/>
  <c r="U38" i="3"/>
  <c r="T38" i="3" s="1"/>
  <c r="V38" i="3"/>
  <c r="X38" i="3"/>
  <c r="M17" i="3"/>
  <c r="U17" i="3"/>
  <c r="V17" i="3"/>
  <c r="X17" i="3"/>
  <c r="M32" i="3"/>
  <c r="U32" i="3"/>
  <c r="AC32" i="3" s="1"/>
  <c r="V32" i="3"/>
  <c r="X32" i="3"/>
  <c r="M21" i="3"/>
  <c r="U21" i="3"/>
  <c r="T21" i="3" s="1"/>
  <c r="V21" i="3"/>
  <c r="X21" i="3"/>
  <c r="M11" i="3"/>
  <c r="U11" i="3"/>
  <c r="AC11" i="3" s="1"/>
  <c r="V11" i="3"/>
  <c r="X11" i="3"/>
  <c r="M8" i="3"/>
  <c r="U8" i="3"/>
  <c r="AD8" i="3" s="1"/>
  <c r="V8" i="3"/>
  <c r="X8" i="3"/>
  <c r="M37" i="3"/>
  <c r="U37" i="3"/>
  <c r="T37" i="3" s="1"/>
  <c r="V37" i="3"/>
  <c r="X37" i="3"/>
  <c r="M36" i="3"/>
  <c r="U36" i="3"/>
  <c r="AD36" i="3" s="1"/>
  <c r="V36" i="3"/>
  <c r="X36" i="3"/>
  <c r="M25" i="3"/>
  <c r="U25" i="3"/>
  <c r="AC25" i="3" s="1"/>
  <c r="V25" i="3"/>
  <c r="X25" i="3"/>
  <c r="M35" i="3"/>
  <c r="U35" i="3"/>
  <c r="T35" i="3" s="1"/>
  <c r="V35" i="3"/>
  <c r="X35" i="3"/>
  <c r="M18" i="3"/>
  <c r="U18" i="3"/>
  <c r="V18" i="3"/>
  <c r="X18" i="3"/>
  <c r="M26" i="3"/>
  <c r="U26" i="3"/>
  <c r="AC26" i="3" s="1"/>
  <c r="V26" i="3"/>
  <c r="X26" i="3"/>
  <c r="M24" i="3"/>
  <c r="U24" i="3"/>
  <c r="V24" i="3"/>
  <c r="X24" i="3"/>
  <c r="M15" i="3"/>
  <c r="U15" i="3"/>
  <c r="AD15" i="3" s="1"/>
  <c r="V15" i="3"/>
  <c r="X15" i="3"/>
  <c r="M10" i="3"/>
  <c r="U10" i="3"/>
  <c r="AC10" i="3" s="1"/>
  <c r="V10" i="3"/>
  <c r="X10" i="3"/>
  <c r="R14" i="3"/>
  <c r="R33" i="3"/>
  <c r="M14" i="3"/>
  <c r="U14" i="3"/>
  <c r="AC14" i="3" s="1"/>
  <c r="V14" i="3"/>
  <c r="X14" i="3"/>
  <c r="AG151" i="1"/>
  <c r="AG141" i="1"/>
  <c r="AG135" i="1"/>
  <c r="AG116" i="1"/>
  <c r="AG117" i="1"/>
  <c r="AG27" i="1"/>
  <c r="AG14" i="1"/>
  <c r="AG19" i="1"/>
  <c r="AG23" i="1"/>
  <c r="AG28" i="1"/>
  <c r="AG32" i="1"/>
  <c r="AG36" i="1"/>
  <c r="AG41" i="1"/>
  <c r="AG49" i="1"/>
  <c r="AG46" i="1"/>
  <c r="AG52" i="1"/>
  <c r="AG56" i="1"/>
  <c r="AG64" i="1"/>
  <c r="AG68" i="1"/>
  <c r="AG76" i="1"/>
  <c r="AG73" i="1"/>
  <c r="AG88" i="1"/>
  <c r="AG96" i="1"/>
  <c r="AG106" i="1"/>
  <c r="AG114" i="1"/>
  <c r="AG124" i="1"/>
  <c r="AG137" i="1"/>
  <c r="AG146" i="1"/>
  <c r="AG155" i="1"/>
  <c r="AG213" i="1"/>
  <c r="AG221" i="1"/>
  <c r="AG236" i="1"/>
  <c r="AG85" i="1"/>
  <c r="AG242" i="1"/>
  <c r="AG250" i="1"/>
  <c r="AG258" i="1"/>
  <c r="AG266" i="1"/>
  <c r="AG174" i="1"/>
  <c r="AG182" i="1"/>
  <c r="AG190" i="1"/>
  <c r="AG198" i="1"/>
  <c r="AG206" i="1"/>
  <c r="AG227" i="1"/>
  <c r="AG15" i="1"/>
  <c r="AG20" i="1"/>
  <c r="AG24" i="1"/>
  <c r="AG17" i="1"/>
  <c r="AG22" i="1"/>
  <c r="AG26" i="1"/>
  <c r="AG31" i="1"/>
  <c r="AG35" i="1"/>
  <c r="AG39" i="1"/>
  <c r="AG47" i="1"/>
  <c r="AG44" i="1"/>
  <c r="AG51" i="1"/>
  <c r="AG55" i="1"/>
  <c r="AG59" i="1"/>
  <c r="AG63" i="1"/>
  <c r="AG67" i="1"/>
  <c r="AG71" i="1"/>
  <c r="AG79" i="1"/>
  <c r="AG74" i="1"/>
  <c r="AG86" i="1"/>
  <c r="AG94" i="1"/>
  <c r="AG101" i="1"/>
  <c r="AG105" i="1"/>
  <c r="AG109" i="1"/>
  <c r="AG113" i="1"/>
  <c r="AG119" i="1"/>
  <c r="AG123" i="1"/>
  <c r="AG127" i="1"/>
  <c r="AG131" i="1"/>
  <c r="AG136" i="1"/>
  <c r="AG140" i="1"/>
  <c r="AG145" i="1"/>
  <c r="AG149" i="1"/>
  <c r="AG154" i="1"/>
  <c r="AG159" i="1"/>
  <c r="AG212" i="1"/>
  <c r="AG216" i="1"/>
  <c r="AG220" i="1"/>
  <c r="AG224" i="1"/>
  <c r="AG235" i="1"/>
  <c r="AG239" i="1"/>
  <c r="AG83" i="1"/>
  <c r="AG91" i="1"/>
  <c r="AG99" i="1"/>
  <c r="AG245" i="1"/>
  <c r="AG249" i="1"/>
  <c r="AG253" i="1"/>
  <c r="AG257" i="1"/>
  <c r="AG261" i="1"/>
  <c r="AG265" i="1"/>
  <c r="AG164" i="1"/>
  <c r="AG168" i="1"/>
  <c r="AG173" i="1"/>
  <c r="AG177" i="1"/>
  <c r="AG181" i="1"/>
  <c r="AG185" i="1"/>
  <c r="AG189" i="1"/>
  <c r="AG193" i="1"/>
  <c r="AG197" i="1"/>
  <c r="AG201" i="1"/>
  <c r="AG205" i="1"/>
  <c r="AG209" i="1"/>
  <c r="AG226" i="1"/>
  <c r="AG230" i="1"/>
  <c r="AG60" i="1"/>
  <c r="AG80" i="1"/>
  <c r="AG102" i="1"/>
  <c r="AG110" i="1"/>
  <c r="AG120" i="1"/>
  <c r="AG128" i="1"/>
  <c r="AG132" i="1"/>
  <c r="AG142" i="1"/>
  <c r="AG150" i="1"/>
  <c r="AG160" i="1"/>
  <c r="AG217" i="1"/>
  <c r="AG232" i="1"/>
  <c r="AG240" i="1"/>
  <c r="AG93" i="1"/>
  <c r="AG246" i="1"/>
  <c r="AG254" i="1"/>
  <c r="AG262" i="1"/>
  <c r="AG165" i="1"/>
  <c r="AG169" i="1"/>
  <c r="AG178" i="1"/>
  <c r="AG186" i="1"/>
  <c r="AG194" i="1"/>
  <c r="AG202" i="1"/>
  <c r="AG210" i="1"/>
  <c r="AG231" i="1"/>
  <c r="AG16" i="1"/>
  <c r="AG30" i="1"/>
  <c r="AG38" i="1"/>
  <c r="AG42" i="1"/>
  <c r="AG54" i="1"/>
  <c r="AG62" i="1"/>
  <c r="AG70" i="1"/>
  <c r="AG72" i="1"/>
  <c r="AG92" i="1"/>
  <c r="AG104" i="1"/>
  <c r="AG112" i="1"/>
  <c r="AG122" i="1"/>
  <c r="AG130" i="1"/>
  <c r="AG139" i="1"/>
  <c r="AG148" i="1"/>
  <c r="AG215" i="1"/>
  <c r="AG223" i="1"/>
  <c r="AG238" i="1"/>
  <c r="AG89" i="1"/>
  <c r="AG244" i="1"/>
  <c r="AG252" i="1"/>
  <c r="AG260" i="1"/>
  <c r="AG163" i="1"/>
  <c r="AG172" i="1"/>
  <c r="AG180" i="1"/>
  <c r="AG188" i="1"/>
  <c r="AG196" i="1"/>
  <c r="AG204" i="1"/>
  <c r="AG225" i="1"/>
  <c r="AG25" i="1"/>
  <c r="AG34" i="1"/>
  <c r="AG45" i="1"/>
  <c r="AG50" i="1"/>
  <c r="AG58" i="1"/>
  <c r="AG66" i="1"/>
  <c r="AG78" i="1"/>
  <c r="AG84" i="1"/>
  <c r="AG100" i="1"/>
  <c r="AG118" i="1"/>
  <c r="AG126" i="1"/>
  <c r="AG134" i="1"/>
  <c r="AG144" i="1"/>
  <c r="AG153" i="1"/>
  <c r="AG211" i="1"/>
  <c r="AG219" i="1"/>
  <c r="AG234" i="1"/>
  <c r="AG81" i="1"/>
  <c r="AG248" i="1"/>
  <c r="AG264" i="1"/>
  <c r="AG176" i="1"/>
  <c r="AG192" i="1"/>
  <c r="AG200" i="1"/>
  <c r="AG229" i="1"/>
  <c r="AG29" i="1"/>
  <c r="AG37" i="1"/>
  <c r="AG40" i="1"/>
  <c r="AG53" i="1"/>
  <c r="AG61" i="1"/>
  <c r="AG69" i="1"/>
  <c r="AG75" i="1"/>
  <c r="AG90" i="1"/>
  <c r="AG103" i="1"/>
  <c r="AG111" i="1"/>
  <c r="AG121" i="1"/>
  <c r="AG129" i="1"/>
  <c r="AG138" i="1"/>
  <c r="AG147" i="1"/>
  <c r="AG156" i="1"/>
  <c r="AG214" i="1"/>
  <c r="AG222" i="1"/>
  <c r="AG237" i="1"/>
  <c r="AG251" i="1"/>
  <c r="AG259" i="1"/>
  <c r="AG162" i="1"/>
  <c r="AG179" i="1"/>
  <c r="AG187" i="1"/>
  <c r="AG195" i="1"/>
  <c r="AG21" i="1"/>
  <c r="AG33" i="1"/>
  <c r="AG43" i="1"/>
  <c r="AG48" i="1"/>
  <c r="AG57" i="1"/>
  <c r="AG65" i="1"/>
  <c r="AG77" i="1"/>
  <c r="AG82" i="1"/>
  <c r="AG98" i="1"/>
  <c r="AG107" i="1"/>
  <c r="AG115" i="1"/>
  <c r="AG125" i="1"/>
  <c r="AG133" i="1"/>
  <c r="AG143" i="1"/>
  <c r="AG152" i="1"/>
  <c r="AG161" i="1"/>
  <c r="AG218" i="1"/>
  <c r="AG233" i="1"/>
  <c r="AG241" i="1"/>
  <c r="AG95" i="1"/>
  <c r="AG247" i="1"/>
  <c r="AG255" i="1"/>
  <c r="AG263" i="1"/>
  <c r="AG166" i="1"/>
  <c r="AG175" i="1"/>
  <c r="AG183" i="1"/>
  <c r="AG191" i="1"/>
  <c r="AG199" i="1"/>
  <c r="AG207" i="1"/>
  <c r="AG228" i="1"/>
  <c r="AG87" i="1"/>
  <c r="AG203" i="1"/>
  <c r="AG108" i="1"/>
  <c r="AG97" i="1"/>
  <c r="AG256" i="1"/>
  <c r="AG167" i="1"/>
  <c r="AG184" i="1"/>
  <c r="AG208" i="1"/>
  <c r="AG243" i="1"/>
  <c r="AG267" i="1"/>
  <c r="W34" i="3"/>
  <c r="W24" i="3"/>
  <c r="W11" i="3"/>
  <c r="W21" i="3"/>
  <c r="W19" i="3"/>
  <c r="W15" i="3"/>
  <c r="W22" i="3"/>
  <c r="W28" i="3"/>
  <c r="W16" i="3"/>
  <c r="W35" i="3"/>
  <c r="W26" i="3"/>
  <c r="W13" i="3"/>
  <c r="W9" i="3"/>
  <c r="W7" i="3"/>
  <c r="W27" i="3"/>
  <c r="W31" i="3"/>
  <c r="W10" i="3"/>
  <c r="W32" i="3"/>
  <c r="W38" i="3"/>
  <c r="W33" i="3"/>
  <c r="W20" i="3"/>
  <c r="W18" i="3"/>
  <c r="W29" i="3"/>
  <c r="W8" i="3"/>
  <c r="W37" i="3"/>
  <c r="W12" i="3"/>
  <c r="W36" i="3"/>
  <c r="W23" i="3"/>
  <c r="W17" i="3"/>
  <c r="W25" i="3"/>
  <c r="W30" i="3"/>
  <c r="W14" i="3"/>
  <c r="AI151" i="1" l="1"/>
  <c r="U151" i="1"/>
  <c r="S151" i="1" s="1"/>
  <c r="W151" i="1"/>
  <c r="AI141" i="1"/>
  <c r="U141" i="1"/>
  <c r="S141" i="1" s="1"/>
  <c r="W141" i="1"/>
  <c r="X141" i="1"/>
  <c r="AA117" i="1"/>
  <c r="W117" i="1" s="1"/>
  <c r="AI135" i="1"/>
  <c r="U135" i="1"/>
  <c r="S135" i="1" s="1"/>
  <c r="W135" i="1"/>
  <c r="AD22" i="3"/>
  <c r="AI117" i="1"/>
  <c r="U117" i="1"/>
  <c r="S117" i="1" s="1"/>
  <c r="AI116" i="1"/>
  <c r="U116" i="1"/>
  <c r="S116" i="1" s="1"/>
  <c r="W116" i="1"/>
  <c r="X116" i="1"/>
  <c r="AA85" i="1"/>
  <c r="U27" i="1"/>
  <c r="S27" i="1" s="1"/>
  <c r="AI27" i="1"/>
  <c r="W27" i="1"/>
  <c r="AA255" i="1"/>
  <c r="AA242" i="1"/>
  <c r="T242" i="1"/>
  <c r="AA215" i="1"/>
  <c r="W215" i="1" s="1"/>
  <c r="AA211" i="1"/>
  <c r="AA130" i="1"/>
  <c r="AA128" i="1"/>
  <c r="AA112" i="1"/>
  <c r="W112" i="1" s="1"/>
  <c r="AA110" i="1"/>
  <c r="AA102" i="1"/>
  <c r="AA78" i="1"/>
  <c r="AA74" i="1"/>
  <c r="AA64" i="1"/>
  <c r="AA60" i="1"/>
  <c r="AA56" i="1"/>
  <c r="AA52" i="1"/>
  <c r="W52" i="1" s="1"/>
  <c r="AA43" i="1"/>
  <c r="AA35" i="1"/>
  <c r="AA31" i="1"/>
  <c r="AA26" i="1"/>
  <c r="AA22" i="1"/>
  <c r="AA17" i="1"/>
  <c r="X259" i="1"/>
  <c r="AA241" i="1"/>
  <c r="AA237" i="1"/>
  <c r="AA218" i="1"/>
  <c r="AA136" i="1"/>
  <c r="AA99" i="1"/>
  <c r="W99" i="1" s="1"/>
  <c r="AA90" i="1"/>
  <c r="AA86" i="1"/>
  <c r="AA80" i="1"/>
  <c r="AA69" i="1"/>
  <c r="AA15" i="1"/>
  <c r="AA230" i="1"/>
  <c r="X256" i="1"/>
  <c r="X243" i="1"/>
  <c r="AA238" i="1"/>
  <c r="AA119" i="1"/>
  <c r="AA226" i="1"/>
  <c r="AA208" i="1"/>
  <c r="AA206" i="1"/>
  <c r="AA205" i="1"/>
  <c r="AA199" i="1"/>
  <c r="AA195" i="1"/>
  <c r="AA252" i="1"/>
  <c r="AA251" i="1"/>
  <c r="X247" i="1"/>
  <c r="AA234" i="1"/>
  <c r="AA223" i="1"/>
  <c r="AA159" i="1"/>
  <c r="AA126" i="1"/>
  <c r="AA124" i="1"/>
  <c r="W124" i="1" s="1"/>
  <c r="AA123" i="1"/>
  <c r="AA108" i="1"/>
  <c r="AA106" i="1"/>
  <c r="AA105" i="1"/>
  <c r="W105" i="1" s="1"/>
  <c r="AA101" i="1"/>
  <c r="AA83" i="1"/>
  <c r="AA82" i="1"/>
  <c r="AA77" i="1"/>
  <c r="W77" i="1" s="1"/>
  <c r="AA73" i="1"/>
  <c r="AA63" i="1"/>
  <c r="AA59" i="1"/>
  <c r="AA55" i="1"/>
  <c r="AA51" i="1"/>
  <c r="AA42" i="1"/>
  <c r="AA39" i="1"/>
  <c r="AA38" i="1"/>
  <c r="AA34" i="1"/>
  <c r="AA30" i="1"/>
  <c r="AA25" i="1"/>
  <c r="AA21" i="1"/>
  <c r="W21" i="1" s="1"/>
  <c r="AA16" i="1"/>
  <c r="T256" i="1"/>
  <c r="T258" i="1"/>
  <c r="X254" i="1"/>
  <c r="AA253" i="1"/>
  <c r="X250" i="1"/>
  <c r="AA249" i="1"/>
  <c r="AA248" i="1"/>
  <c r="X241" i="1"/>
  <c r="X239" i="1"/>
  <c r="X236" i="1"/>
  <c r="T236" i="1"/>
  <c r="U236" i="1" s="1"/>
  <c r="S236" i="1" s="1"/>
  <c r="AA221" i="1"/>
  <c r="AA213" i="1"/>
  <c r="AA155" i="1"/>
  <c r="X240" i="1"/>
  <c r="AA183" i="1"/>
  <c r="AA182" i="1"/>
  <c r="AA181" i="1"/>
  <c r="AA180" i="1"/>
  <c r="W180" i="1" s="1"/>
  <c r="AA179" i="1"/>
  <c r="AA178" i="1"/>
  <c r="AA177" i="1"/>
  <c r="AA176" i="1"/>
  <c r="W176" i="1" s="1"/>
  <c r="AA175" i="1"/>
  <c r="AA174" i="1"/>
  <c r="AA173" i="1"/>
  <c r="AA172" i="1"/>
  <c r="W172" i="1" s="1"/>
  <c r="AA169" i="1"/>
  <c r="AA168" i="1"/>
  <c r="AA167" i="1"/>
  <c r="W167" i="1" s="1"/>
  <c r="AA166" i="1"/>
  <c r="AA165" i="1"/>
  <c r="AA164" i="1"/>
  <c r="AA163" i="1"/>
  <c r="W163" i="1" s="1"/>
  <c r="AA162" i="1"/>
  <c r="AA266" i="1"/>
  <c r="AA265" i="1"/>
  <c r="AA264" i="1"/>
  <c r="W264" i="1" s="1"/>
  <c r="AA263" i="1"/>
  <c r="AA262" i="1"/>
  <c r="AA261" i="1"/>
  <c r="AA257" i="1"/>
  <c r="T250" i="1"/>
  <c r="X246" i="1"/>
  <c r="AA245" i="1"/>
  <c r="AA244" i="1"/>
  <c r="AA239" i="1"/>
  <c r="X232" i="1"/>
  <c r="T222" i="1"/>
  <c r="AA217" i="1"/>
  <c r="AA160" i="1"/>
  <c r="AA96" i="1"/>
  <c r="AA88" i="1"/>
  <c r="AA44" i="1"/>
  <c r="W44" i="1" s="1"/>
  <c r="AA14" i="1"/>
  <c r="X238" i="1"/>
  <c r="X223" i="1"/>
  <c r="AA92" i="1"/>
  <c r="AA84" i="1"/>
  <c r="AA48" i="1"/>
  <c r="AA40" i="1"/>
  <c r="U231" i="1"/>
  <c r="S231" i="1" s="1"/>
  <c r="AI267" i="1"/>
  <c r="U230" i="1"/>
  <c r="S230" i="1" s="1"/>
  <c r="AI266" i="1"/>
  <c r="U229" i="1"/>
  <c r="S229" i="1" s="1"/>
  <c r="AI265" i="1"/>
  <c r="U228" i="1"/>
  <c r="S228" i="1" s="1"/>
  <c r="AI264" i="1"/>
  <c r="U227" i="1"/>
  <c r="S227" i="1" s="1"/>
  <c r="AI263" i="1"/>
  <c r="U226" i="1"/>
  <c r="S226" i="1" s="1"/>
  <c r="AI262" i="1"/>
  <c r="U225" i="1"/>
  <c r="S225" i="1" s="1"/>
  <c r="AI261" i="1"/>
  <c r="U267" i="1"/>
  <c r="S267" i="1" s="1"/>
  <c r="AI260" i="1"/>
  <c r="U210" i="1"/>
  <c r="S210" i="1" s="1"/>
  <c r="AI259" i="1"/>
  <c r="U209" i="1"/>
  <c r="S209" i="1" s="1"/>
  <c r="AI258" i="1"/>
  <c r="U208" i="1"/>
  <c r="S208" i="1" s="1"/>
  <c r="AI257" i="1"/>
  <c r="U207" i="1"/>
  <c r="S207" i="1" s="1"/>
  <c r="AI256" i="1"/>
  <c r="U206" i="1"/>
  <c r="S206" i="1" s="1"/>
  <c r="AI255" i="1"/>
  <c r="U205" i="1"/>
  <c r="S205" i="1" s="1"/>
  <c r="AI254" i="1"/>
  <c r="U204" i="1"/>
  <c r="S204" i="1" s="1"/>
  <c r="AI253" i="1"/>
  <c r="U203" i="1"/>
  <c r="S203" i="1" s="1"/>
  <c r="AI252" i="1"/>
  <c r="U202" i="1"/>
  <c r="S202" i="1" s="1"/>
  <c r="AI251" i="1"/>
  <c r="U201" i="1"/>
  <c r="S201" i="1" s="1"/>
  <c r="AI250" i="1"/>
  <c r="U200" i="1"/>
  <c r="S200" i="1" s="1"/>
  <c r="AI249" i="1"/>
  <c r="U199" i="1"/>
  <c r="S199" i="1" s="1"/>
  <c r="AI248" i="1"/>
  <c r="U198" i="1"/>
  <c r="S198" i="1" s="1"/>
  <c r="AI247" i="1"/>
  <c r="U197" i="1"/>
  <c r="S197" i="1" s="1"/>
  <c r="AI246" i="1"/>
  <c r="U196" i="1"/>
  <c r="S196" i="1" s="1"/>
  <c r="AI245" i="1"/>
  <c r="U195" i="1"/>
  <c r="S195" i="1" s="1"/>
  <c r="AI244" i="1"/>
  <c r="U194" i="1"/>
  <c r="S194" i="1" s="1"/>
  <c r="AI243" i="1"/>
  <c r="U193" i="1"/>
  <c r="S193" i="1" s="1"/>
  <c r="AI242" i="1"/>
  <c r="U192" i="1"/>
  <c r="S192" i="1" s="1"/>
  <c r="AI241" i="1"/>
  <c r="U191" i="1"/>
  <c r="S191" i="1" s="1"/>
  <c r="AI240" i="1"/>
  <c r="U190" i="1"/>
  <c r="S190" i="1" s="1"/>
  <c r="AI239" i="1"/>
  <c r="U189" i="1"/>
  <c r="S189" i="1" s="1"/>
  <c r="AI238" i="1"/>
  <c r="U188" i="1"/>
  <c r="S188" i="1" s="1"/>
  <c r="AI237" i="1"/>
  <c r="U187" i="1"/>
  <c r="S187" i="1" s="1"/>
  <c r="AI236" i="1"/>
  <c r="U186" i="1"/>
  <c r="S186" i="1" s="1"/>
  <c r="AI235" i="1"/>
  <c r="U185" i="1"/>
  <c r="S185" i="1" s="1"/>
  <c r="AI234" i="1"/>
  <c r="U184" i="1"/>
  <c r="S184" i="1" s="1"/>
  <c r="AI233" i="1"/>
  <c r="U183" i="1"/>
  <c r="S183" i="1" s="1"/>
  <c r="AI232" i="1"/>
  <c r="U182" i="1"/>
  <c r="S182" i="1" s="1"/>
  <c r="AI231" i="1"/>
  <c r="U181" i="1"/>
  <c r="S181" i="1" s="1"/>
  <c r="AI230" i="1"/>
  <c r="U180" i="1"/>
  <c r="S180" i="1" s="1"/>
  <c r="AI229" i="1"/>
  <c r="U179" i="1"/>
  <c r="S179" i="1" s="1"/>
  <c r="AI228" i="1"/>
  <c r="U178" i="1"/>
  <c r="S178" i="1" s="1"/>
  <c r="AI227" i="1"/>
  <c r="U177" i="1"/>
  <c r="S177" i="1" s="1"/>
  <c r="AI226" i="1"/>
  <c r="U176" i="1"/>
  <c r="S176" i="1" s="1"/>
  <c r="AI225" i="1"/>
  <c r="U175" i="1"/>
  <c r="S175" i="1" s="1"/>
  <c r="AI224" i="1"/>
  <c r="U174" i="1"/>
  <c r="S174" i="1" s="1"/>
  <c r="AI223" i="1"/>
  <c r="U173" i="1"/>
  <c r="S173" i="1" s="1"/>
  <c r="AI222" i="1"/>
  <c r="U172" i="1"/>
  <c r="S172" i="1" s="1"/>
  <c r="AI221" i="1"/>
  <c r="AI220" i="1"/>
  <c r="U169" i="1"/>
  <c r="S169" i="1" s="1"/>
  <c r="AI219" i="1"/>
  <c r="U168" i="1"/>
  <c r="S168" i="1" s="1"/>
  <c r="AI218" i="1"/>
  <c r="U167" i="1"/>
  <c r="S167" i="1" s="1"/>
  <c r="AI217" i="1"/>
  <c r="U166" i="1"/>
  <c r="S166" i="1" s="1"/>
  <c r="AI216" i="1"/>
  <c r="U165" i="1"/>
  <c r="S165" i="1" s="1"/>
  <c r="AI215" i="1"/>
  <c r="U164" i="1"/>
  <c r="S164" i="1" s="1"/>
  <c r="AI214" i="1"/>
  <c r="U163" i="1"/>
  <c r="S163" i="1" s="1"/>
  <c r="AI213" i="1"/>
  <c r="U162" i="1"/>
  <c r="S162" i="1" s="1"/>
  <c r="AI212" i="1"/>
  <c r="U266" i="1"/>
  <c r="S266" i="1" s="1"/>
  <c r="AI211" i="1"/>
  <c r="U265" i="1"/>
  <c r="S265" i="1" s="1"/>
  <c r="AI210" i="1"/>
  <c r="U264" i="1"/>
  <c r="S264" i="1" s="1"/>
  <c r="AI209" i="1"/>
  <c r="U263" i="1"/>
  <c r="S263" i="1" s="1"/>
  <c r="AI208" i="1"/>
  <c r="U262" i="1"/>
  <c r="S262" i="1" s="1"/>
  <c r="AI207" i="1"/>
  <c r="U261" i="1"/>
  <c r="S261" i="1" s="1"/>
  <c r="AI206" i="1"/>
  <c r="U260" i="1"/>
  <c r="S260" i="1" s="1"/>
  <c r="AI205" i="1"/>
  <c r="AI204" i="1"/>
  <c r="U258" i="1"/>
  <c r="S258" i="1" s="1"/>
  <c r="AI203" i="1"/>
  <c r="AI202" i="1"/>
  <c r="U256" i="1"/>
  <c r="S256" i="1" s="1"/>
  <c r="AI201" i="1"/>
  <c r="AI200" i="1"/>
  <c r="U254" i="1"/>
  <c r="S254" i="1" s="1"/>
  <c r="AI199" i="1"/>
  <c r="AI198" i="1"/>
  <c r="U252" i="1"/>
  <c r="S252" i="1" s="1"/>
  <c r="AI197" i="1"/>
  <c r="AI196" i="1"/>
  <c r="U250" i="1"/>
  <c r="S250" i="1" s="1"/>
  <c r="AI195" i="1"/>
  <c r="AI194" i="1"/>
  <c r="AI193" i="1"/>
  <c r="U248" i="1"/>
  <c r="S248" i="1" s="1"/>
  <c r="AI192" i="1"/>
  <c r="AI191" i="1"/>
  <c r="U246" i="1"/>
  <c r="S246" i="1" s="1"/>
  <c r="AI190" i="1"/>
  <c r="AI189" i="1"/>
  <c r="U244" i="1"/>
  <c r="S244" i="1" s="1"/>
  <c r="AI188" i="1"/>
  <c r="AI187" i="1"/>
  <c r="U242" i="1"/>
  <c r="S242" i="1" s="1"/>
  <c r="AI99" i="1"/>
  <c r="AI97" i="1"/>
  <c r="AI95" i="1"/>
  <c r="AI93" i="1"/>
  <c r="AI91" i="1"/>
  <c r="AI89" i="1"/>
  <c r="AI87" i="1"/>
  <c r="AI85" i="1"/>
  <c r="AI83" i="1"/>
  <c r="AI81" i="1"/>
  <c r="U241" i="1"/>
  <c r="S241" i="1" s="1"/>
  <c r="AI186" i="1"/>
  <c r="U240" i="1"/>
  <c r="S240" i="1" s="1"/>
  <c r="AI185" i="1"/>
  <c r="U239" i="1"/>
  <c r="S239" i="1" s="1"/>
  <c r="AI184" i="1"/>
  <c r="U238" i="1"/>
  <c r="S238" i="1" s="1"/>
  <c r="AI183" i="1"/>
  <c r="W238" i="1"/>
  <c r="U237" i="1"/>
  <c r="S237" i="1" s="1"/>
  <c r="AI182" i="1"/>
  <c r="AI181" i="1"/>
  <c r="W236" i="1"/>
  <c r="U235" i="1"/>
  <c r="S235" i="1" s="1"/>
  <c r="AI180" i="1"/>
  <c r="U234" i="1"/>
  <c r="S234" i="1" s="1"/>
  <c r="AI179" i="1"/>
  <c r="U233" i="1"/>
  <c r="S233" i="1" s="1"/>
  <c r="AI178" i="1"/>
  <c r="U232" i="1"/>
  <c r="S232" i="1" s="1"/>
  <c r="AI177" i="1"/>
  <c r="W232" i="1"/>
  <c r="U224" i="1"/>
  <c r="S224" i="1" s="1"/>
  <c r="AI176" i="1"/>
  <c r="U223" i="1"/>
  <c r="S223" i="1" s="1"/>
  <c r="AI175" i="1"/>
  <c r="W223" i="1"/>
  <c r="U222" i="1"/>
  <c r="S222" i="1" s="1"/>
  <c r="AI174" i="1"/>
  <c r="AI173" i="1"/>
  <c r="AI172" i="1"/>
  <c r="AI169" i="1"/>
  <c r="AI168" i="1"/>
  <c r="AI167" i="1"/>
  <c r="AI166" i="1"/>
  <c r="AI165" i="1"/>
  <c r="AI164" i="1"/>
  <c r="AI163" i="1"/>
  <c r="AI162" i="1"/>
  <c r="AI161" i="1"/>
  <c r="AI160" i="1"/>
  <c r="AI159" i="1"/>
  <c r="AI156" i="1"/>
  <c r="AI155" i="1"/>
  <c r="AI154" i="1"/>
  <c r="AI153" i="1"/>
  <c r="AI152" i="1"/>
  <c r="AI150" i="1"/>
  <c r="AI149" i="1"/>
  <c r="AI148" i="1"/>
  <c r="AI147" i="1"/>
  <c r="AI146" i="1"/>
  <c r="AI145" i="1"/>
  <c r="AI144" i="1"/>
  <c r="AI143" i="1"/>
  <c r="AI142" i="1"/>
  <c r="AI140" i="1"/>
  <c r="AI139" i="1"/>
  <c r="AI138" i="1"/>
  <c r="AI137" i="1"/>
  <c r="AI136" i="1"/>
  <c r="AI134" i="1"/>
  <c r="AI133" i="1"/>
  <c r="AI132" i="1"/>
  <c r="AI131" i="1"/>
  <c r="AI130" i="1"/>
  <c r="AI129" i="1"/>
  <c r="AI128" i="1"/>
  <c r="AI127" i="1"/>
  <c r="AI126" i="1"/>
  <c r="AI125" i="1"/>
  <c r="AI124" i="1"/>
  <c r="AI123" i="1"/>
  <c r="AI122" i="1"/>
  <c r="AI121" i="1"/>
  <c r="U120" i="1"/>
  <c r="S120" i="1" s="1"/>
  <c r="AI120" i="1"/>
  <c r="U119" i="1"/>
  <c r="S119" i="1" s="1"/>
  <c r="AI119" i="1"/>
  <c r="U118" i="1"/>
  <c r="S118" i="1" s="1"/>
  <c r="AI118" i="1"/>
  <c r="U115" i="1"/>
  <c r="S115" i="1" s="1"/>
  <c r="AI115" i="1"/>
  <c r="U114" i="1"/>
  <c r="S114" i="1" s="1"/>
  <c r="AI114" i="1"/>
  <c r="U113" i="1"/>
  <c r="S113" i="1" s="1"/>
  <c r="AI113" i="1"/>
  <c r="U112" i="1"/>
  <c r="S112" i="1" s="1"/>
  <c r="AI112" i="1"/>
  <c r="U111" i="1"/>
  <c r="S111" i="1" s="1"/>
  <c r="AI111" i="1"/>
  <c r="U110" i="1"/>
  <c r="S110" i="1" s="1"/>
  <c r="AI110" i="1"/>
  <c r="U109" i="1"/>
  <c r="S109" i="1" s="1"/>
  <c r="AI109" i="1"/>
  <c r="U108" i="1"/>
  <c r="S108" i="1" s="1"/>
  <c r="AI108" i="1"/>
  <c r="U107" i="1"/>
  <c r="AI107" i="1"/>
  <c r="U106" i="1"/>
  <c r="S106" i="1" s="1"/>
  <c r="AI106" i="1"/>
  <c r="U105" i="1"/>
  <c r="S105" i="1" s="1"/>
  <c r="AI105" i="1"/>
  <c r="U104" i="1"/>
  <c r="S104" i="1" s="1"/>
  <c r="AI104" i="1"/>
  <c r="U103" i="1"/>
  <c r="S103" i="1" s="1"/>
  <c r="AI103" i="1"/>
  <c r="U102" i="1"/>
  <c r="S102" i="1" s="1"/>
  <c r="AI102" i="1"/>
  <c r="U101" i="1"/>
  <c r="AI101" i="1"/>
  <c r="AI100" i="1"/>
  <c r="AI98" i="1"/>
  <c r="AI96" i="1"/>
  <c r="AI94" i="1"/>
  <c r="AI92" i="1"/>
  <c r="AI90" i="1"/>
  <c r="AI88" i="1"/>
  <c r="AI86" i="1"/>
  <c r="AI84" i="1"/>
  <c r="AI82" i="1"/>
  <c r="AI80" i="1"/>
  <c r="AI74" i="1"/>
  <c r="W74" i="1"/>
  <c r="AI72" i="1"/>
  <c r="AI75" i="1"/>
  <c r="AI73" i="1"/>
  <c r="U79" i="1"/>
  <c r="S79" i="1" s="1"/>
  <c r="AI79" i="1"/>
  <c r="W79" i="1"/>
  <c r="U78" i="1"/>
  <c r="S78" i="1" s="1"/>
  <c r="AI78" i="1"/>
  <c r="W78" i="1"/>
  <c r="U77" i="1"/>
  <c r="S77" i="1" s="1"/>
  <c r="AI77" i="1"/>
  <c r="U76" i="1"/>
  <c r="S76" i="1" s="1"/>
  <c r="AI76" i="1"/>
  <c r="AI71" i="1"/>
  <c r="AI70" i="1"/>
  <c r="AI69" i="1"/>
  <c r="AI68" i="1"/>
  <c r="W67" i="1"/>
  <c r="AI67" i="1"/>
  <c r="W66" i="1"/>
  <c r="AI66" i="1"/>
  <c r="W65" i="1"/>
  <c r="AI65" i="1"/>
  <c r="W64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8" i="1"/>
  <c r="AI46" i="1"/>
  <c r="AI44" i="1"/>
  <c r="AI42" i="1"/>
  <c r="AI40" i="1"/>
  <c r="AI49" i="1"/>
  <c r="W49" i="1"/>
  <c r="AI47" i="1"/>
  <c r="W47" i="1"/>
  <c r="AI45" i="1"/>
  <c r="W45" i="1"/>
  <c r="W43" i="1"/>
  <c r="AI43" i="1"/>
  <c r="W41" i="1"/>
  <c r="AI41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6" i="1"/>
  <c r="AI25" i="1"/>
  <c r="AI24" i="1"/>
  <c r="U24" i="1"/>
  <c r="S24" i="1" s="1"/>
  <c r="AI23" i="1"/>
  <c r="U23" i="1"/>
  <c r="S23" i="1" s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7" i="1"/>
  <c r="U17" i="1"/>
  <c r="AI16" i="1"/>
  <c r="U16" i="1"/>
  <c r="S16" i="1" s="1"/>
  <c r="AI15" i="1"/>
  <c r="U15" i="1"/>
  <c r="AI14" i="1"/>
  <c r="U14" i="1"/>
  <c r="S14" i="1" s="1"/>
  <c r="W227" i="1"/>
  <c r="W206" i="1"/>
  <c r="W202" i="1"/>
  <c r="W241" i="1"/>
  <c r="W225" i="1"/>
  <c r="W228" i="1"/>
  <c r="W267" i="1"/>
  <c r="W207" i="1"/>
  <c r="W203" i="1"/>
  <c r="W253" i="1"/>
  <c r="W252" i="1"/>
  <c r="W240" i="1"/>
  <c r="W235" i="1"/>
  <c r="W231" i="1"/>
  <c r="W210" i="1"/>
  <c r="W254" i="1"/>
  <c r="W233" i="1"/>
  <c r="W230" i="1"/>
  <c r="W226" i="1"/>
  <c r="W209" i="1"/>
  <c r="W205" i="1"/>
  <c r="W201" i="1"/>
  <c r="W200" i="1"/>
  <c r="W199" i="1"/>
  <c r="W198" i="1"/>
  <c r="W197" i="1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183" i="1"/>
  <c r="W182" i="1"/>
  <c r="W181" i="1"/>
  <c r="W179" i="1"/>
  <c r="W178" i="1"/>
  <c r="W177" i="1"/>
  <c r="W175" i="1"/>
  <c r="W174" i="1"/>
  <c r="W173" i="1"/>
  <c r="W169" i="1"/>
  <c r="W168" i="1"/>
  <c r="W166" i="1"/>
  <c r="W165" i="1"/>
  <c r="W164" i="1"/>
  <c r="W162" i="1"/>
  <c r="W266" i="1"/>
  <c r="W265" i="1"/>
  <c r="W263" i="1"/>
  <c r="W262" i="1"/>
  <c r="W261" i="1"/>
  <c r="W260" i="1"/>
  <c r="W257" i="1"/>
  <c r="W256" i="1"/>
  <c r="W239" i="1"/>
  <c r="W224" i="1"/>
  <c r="W255" i="1"/>
  <c r="W229" i="1"/>
  <c r="W208" i="1"/>
  <c r="W204" i="1"/>
  <c r="W259" i="1"/>
  <c r="W258" i="1"/>
  <c r="W251" i="1"/>
  <c r="W237" i="1"/>
  <c r="W234" i="1"/>
  <c r="W222" i="1"/>
  <c r="X231" i="1"/>
  <c r="X230" i="1"/>
  <c r="X229" i="1"/>
  <c r="X228" i="1"/>
  <c r="X227" i="1"/>
  <c r="X226" i="1"/>
  <c r="X225" i="1"/>
  <c r="X267" i="1"/>
  <c r="X210" i="1"/>
  <c r="X209" i="1"/>
  <c r="X208" i="1"/>
  <c r="X207" i="1"/>
  <c r="X206" i="1"/>
  <c r="X205" i="1"/>
  <c r="X204" i="1"/>
  <c r="X203" i="1"/>
  <c r="X202" i="1"/>
  <c r="X201" i="1"/>
  <c r="X200" i="1"/>
  <c r="X199" i="1"/>
  <c r="X198" i="1"/>
  <c r="X197" i="1"/>
  <c r="X196" i="1"/>
  <c r="X195" i="1"/>
  <c r="X194" i="1"/>
  <c r="X193" i="1"/>
  <c r="X192" i="1"/>
  <c r="X191" i="1"/>
  <c r="X190" i="1"/>
  <c r="X189" i="1"/>
  <c r="X188" i="1"/>
  <c r="X187" i="1"/>
  <c r="X186" i="1"/>
  <c r="X185" i="1"/>
  <c r="X184" i="1"/>
  <c r="X183" i="1"/>
  <c r="X182" i="1"/>
  <c r="X181" i="1"/>
  <c r="X180" i="1"/>
  <c r="X179" i="1"/>
  <c r="X178" i="1"/>
  <c r="X177" i="1"/>
  <c r="X176" i="1"/>
  <c r="X175" i="1"/>
  <c r="X174" i="1"/>
  <c r="X173" i="1"/>
  <c r="X169" i="1"/>
  <c r="X168" i="1"/>
  <c r="X167" i="1"/>
  <c r="X166" i="1"/>
  <c r="X165" i="1"/>
  <c r="X164" i="1"/>
  <c r="X163" i="1"/>
  <c r="X162" i="1"/>
  <c r="X266" i="1"/>
  <c r="X265" i="1"/>
  <c r="X264" i="1"/>
  <c r="X263" i="1"/>
  <c r="X262" i="1"/>
  <c r="X261" i="1"/>
  <c r="X260" i="1"/>
  <c r="W249" i="1"/>
  <c r="T249" i="1"/>
  <c r="U249" i="1" s="1"/>
  <c r="S249" i="1" s="1"/>
  <c r="W247" i="1"/>
  <c r="T247" i="1"/>
  <c r="U247" i="1" s="1"/>
  <c r="S247" i="1" s="1"/>
  <c r="W245" i="1"/>
  <c r="T245" i="1"/>
  <c r="U245" i="1" s="1"/>
  <c r="S245" i="1" s="1"/>
  <c r="X244" i="1"/>
  <c r="W243" i="1"/>
  <c r="T243" i="1"/>
  <c r="U243" i="1" s="1"/>
  <c r="S243" i="1" s="1"/>
  <c r="W219" i="1"/>
  <c r="W211" i="1"/>
  <c r="W153" i="1"/>
  <c r="W148" i="1"/>
  <c r="W144" i="1"/>
  <c r="W139" i="1"/>
  <c r="W134" i="1"/>
  <c r="W130" i="1"/>
  <c r="W126" i="1"/>
  <c r="W122" i="1"/>
  <c r="W218" i="1"/>
  <c r="W214" i="1"/>
  <c r="W161" i="1"/>
  <c r="W156" i="1"/>
  <c r="W152" i="1"/>
  <c r="W147" i="1"/>
  <c r="W143" i="1"/>
  <c r="W138" i="1"/>
  <c r="W133" i="1"/>
  <c r="W129" i="1"/>
  <c r="W125" i="1"/>
  <c r="W121" i="1"/>
  <c r="T259" i="1"/>
  <c r="U259" i="1" s="1"/>
  <c r="S259" i="1" s="1"/>
  <c r="T257" i="1"/>
  <c r="U257" i="1" s="1"/>
  <c r="S257" i="1" s="1"/>
  <c r="T255" i="1"/>
  <c r="U255" i="1" s="1"/>
  <c r="S255" i="1" s="1"/>
  <c r="T253" i="1"/>
  <c r="U253" i="1" s="1"/>
  <c r="S253" i="1" s="1"/>
  <c r="T251" i="1"/>
  <c r="U251" i="1" s="1"/>
  <c r="S251" i="1" s="1"/>
  <c r="W250" i="1"/>
  <c r="W248" i="1"/>
  <c r="W246" i="1"/>
  <c r="W244" i="1"/>
  <c r="W242" i="1"/>
  <c r="W221" i="1"/>
  <c r="W217" i="1"/>
  <c r="W213" i="1"/>
  <c r="W160" i="1"/>
  <c r="W155" i="1"/>
  <c r="W150" i="1"/>
  <c r="W146" i="1"/>
  <c r="W142" i="1"/>
  <c r="W137" i="1"/>
  <c r="W132" i="1"/>
  <c r="W128" i="1"/>
  <c r="W120" i="1"/>
  <c r="W220" i="1"/>
  <c r="W216" i="1"/>
  <c r="W212" i="1"/>
  <c r="W159" i="1"/>
  <c r="W154" i="1"/>
  <c r="W149" i="1"/>
  <c r="W145" i="1"/>
  <c r="W140" i="1"/>
  <c r="W136" i="1"/>
  <c r="W131" i="1"/>
  <c r="W127" i="1"/>
  <c r="W123" i="1"/>
  <c r="W119" i="1"/>
  <c r="W118" i="1"/>
  <c r="W108" i="1"/>
  <c r="W104" i="1"/>
  <c r="W103" i="1"/>
  <c r="W102" i="1"/>
  <c r="W101" i="1"/>
  <c r="W100" i="1"/>
  <c r="W96" i="1"/>
  <c r="W91" i="1"/>
  <c r="W88" i="1"/>
  <c r="W83" i="1"/>
  <c r="W81" i="1"/>
  <c r="W76" i="1"/>
  <c r="T221" i="1"/>
  <c r="U221" i="1" s="1"/>
  <c r="S221" i="1" s="1"/>
  <c r="X221" i="1"/>
  <c r="T220" i="1"/>
  <c r="U220" i="1" s="1"/>
  <c r="S220" i="1" s="1"/>
  <c r="X220" i="1"/>
  <c r="T219" i="1"/>
  <c r="U219" i="1" s="1"/>
  <c r="S219" i="1" s="1"/>
  <c r="X219" i="1"/>
  <c r="T218" i="1"/>
  <c r="U218" i="1" s="1"/>
  <c r="S218" i="1" s="1"/>
  <c r="X218" i="1"/>
  <c r="T217" i="1"/>
  <c r="U217" i="1" s="1"/>
  <c r="S217" i="1" s="1"/>
  <c r="X217" i="1"/>
  <c r="T216" i="1"/>
  <c r="U216" i="1" s="1"/>
  <c r="S216" i="1" s="1"/>
  <c r="X216" i="1"/>
  <c r="T215" i="1"/>
  <c r="U215" i="1" s="1"/>
  <c r="S215" i="1" s="1"/>
  <c r="X215" i="1"/>
  <c r="T214" i="1"/>
  <c r="U214" i="1" s="1"/>
  <c r="S214" i="1" s="1"/>
  <c r="X214" i="1"/>
  <c r="T213" i="1"/>
  <c r="U213" i="1" s="1"/>
  <c r="S213" i="1" s="1"/>
  <c r="X213" i="1"/>
  <c r="T212" i="1"/>
  <c r="U212" i="1" s="1"/>
  <c r="S212" i="1" s="1"/>
  <c r="X212" i="1"/>
  <c r="T211" i="1"/>
  <c r="U211" i="1" s="1"/>
  <c r="S211" i="1" s="1"/>
  <c r="X211" i="1"/>
  <c r="T161" i="1"/>
  <c r="U161" i="1" s="1"/>
  <c r="S161" i="1" s="1"/>
  <c r="X161" i="1"/>
  <c r="T160" i="1"/>
  <c r="U160" i="1" s="1"/>
  <c r="S160" i="1" s="1"/>
  <c r="X160" i="1"/>
  <c r="T159" i="1"/>
  <c r="U159" i="1" s="1"/>
  <c r="S159" i="1" s="1"/>
  <c r="T156" i="1"/>
  <c r="U156" i="1" s="1"/>
  <c r="S156" i="1" s="1"/>
  <c r="X156" i="1"/>
  <c r="T155" i="1"/>
  <c r="U155" i="1" s="1"/>
  <c r="S155" i="1" s="1"/>
  <c r="X155" i="1"/>
  <c r="T154" i="1"/>
  <c r="U154" i="1" s="1"/>
  <c r="S154" i="1" s="1"/>
  <c r="X154" i="1"/>
  <c r="T153" i="1"/>
  <c r="U153" i="1" s="1"/>
  <c r="S153" i="1" s="1"/>
  <c r="X153" i="1"/>
  <c r="T152" i="1"/>
  <c r="U152" i="1" s="1"/>
  <c r="S152" i="1" s="1"/>
  <c r="T150" i="1"/>
  <c r="U150" i="1" s="1"/>
  <c r="S150" i="1" s="1"/>
  <c r="X150" i="1"/>
  <c r="T149" i="1"/>
  <c r="U149" i="1" s="1"/>
  <c r="S149" i="1" s="1"/>
  <c r="X149" i="1"/>
  <c r="T148" i="1"/>
  <c r="U148" i="1" s="1"/>
  <c r="S148" i="1" s="1"/>
  <c r="X148" i="1"/>
  <c r="T147" i="1"/>
  <c r="U147" i="1" s="1"/>
  <c r="S147" i="1" s="1"/>
  <c r="X147" i="1"/>
  <c r="T146" i="1"/>
  <c r="U146" i="1" s="1"/>
  <c r="S146" i="1" s="1"/>
  <c r="X146" i="1"/>
  <c r="T145" i="1"/>
  <c r="U145" i="1" s="1"/>
  <c r="S145" i="1" s="1"/>
  <c r="X145" i="1"/>
  <c r="T144" i="1"/>
  <c r="U144" i="1" s="1"/>
  <c r="S144" i="1" s="1"/>
  <c r="X144" i="1"/>
  <c r="T143" i="1"/>
  <c r="U143" i="1" s="1"/>
  <c r="S143" i="1" s="1"/>
  <c r="X143" i="1"/>
  <c r="T142" i="1"/>
  <c r="U142" i="1" s="1"/>
  <c r="S142" i="1" s="1"/>
  <c r="T140" i="1"/>
  <c r="U140" i="1" s="1"/>
  <c r="S140" i="1" s="1"/>
  <c r="X140" i="1"/>
  <c r="T139" i="1"/>
  <c r="U139" i="1" s="1"/>
  <c r="S139" i="1" s="1"/>
  <c r="X139" i="1"/>
  <c r="T138" i="1"/>
  <c r="U138" i="1" s="1"/>
  <c r="S138" i="1" s="1"/>
  <c r="X138" i="1"/>
  <c r="T137" i="1"/>
  <c r="U137" i="1" s="1"/>
  <c r="S137" i="1" s="1"/>
  <c r="T136" i="1"/>
  <c r="U136" i="1" s="1"/>
  <c r="S136" i="1" s="1"/>
  <c r="T134" i="1"/>
  <c r="U134" i="1" s="1"/>
  <c r="S134" i="1" s="1"/>
  <c r="X134" i="1"/>
  <c r="T133" i="1"/>
  <c r="U133" i="1" s="1"/>
  <c r="S133" i="1" s="1"/>
  <c r="X133" i="1"/>
  <c r="T132" i="1"/>
  <c r="U132" i="1" s="1"/>
  <c r="S132" i="1" s="1"/>
  <c r="X132" i="1"/>
  <c r="T131" i="1"/>
  <c r="U131" i="1" s="1"/>
  <c r="S131" i="1" s="1"/>
  <c r="X131" i="1"/>
  <c r="T130" i="1"/>
  <c r="U130" i="1" s="1"/>
  <c r="S130" i="1" s="1"/>
  <c r="X130" i="1"/>
  <c r="T129" i="1"/>
  <c r="U129" i="1" s="1"/>
  <c r="S129" i="1" s="1"/>
  <c r="X129" i="1"/>
  <c r="T128" i="1"/>
  <c r="U128" i="1" s="1"/>
  <c r="S128" i="1" s="1"/>
  <c r="X128" i="1"/>
  <c r="T127" i="1"/>
  <c r="U127" i="1" s="1"/>
  <c r="S127" i="1" s="1"/>
  <c r="X127" i="1"/>
  <c r="T126" i="1"/>
  <c r="U126" i="1" s="1"/>
  <c r="S126" i="1" s="1"/>
  <c r="X126" i="1"/>
  <c r="T125" i="1"/>
  <c r="U125" i="1" s="1"/>
  <c r="S125" i="1" s="1"/>
  <c r="X125" i="1"/>
  <c r="T124" i="1"/>
  <c r="U124" i="1" s="1"/>
  <c r="S124" i="1" s="1"/>
  <c r="X124" i="1"/>
  <c r="T123" i="1"/>
  <c r="U123" i="1" s="1"/>
  <c r="S123" i="1" s="1"/>
  <c r="X123" i="1"/>
  <c r="T122" i="1"/>
  <c r="U122" i="1" s="1"/>
  <c r="S122" i="1" s="1"/>
  <c r="X122" i="1"/>
  <c r="T121" i="1"/>
  <c r="U121" i="1" s="1"/>
  <c r="S121" i="1" s="1"/>
  <c r="X121" i="1"/>
  <c r="W115" i="1"/>
  <c r="W111" i="1"/>
  <c r="W107" i="1"/>
  <c r="W93" i="1"/>
  <c r="W90" i="1"/>
  <c r="W85" i="1"/>
  <c r="W82" i="1"/>
  <c r="W80" i="1"/>
  <c r="W72" i="1"/>
  <c r="W114" i="1"/>
  <c r="W110" i="1"/>
  <c r="W106" i="1"/>
  <c r="W95" i="1"/>
  <c r="W92" i="1"/>
  <c r="W87" i="1"/>
  <c r="W84" i="1"/>
  <c r="W113" i="1"/>
  <c r="W109" i="1"/>
  <c r="W98" i="1"/>
  <c r="W97" i="1"/>
  <c r="W94" i="1"/>
  <c r="W89" i="1"/>
  <c r="W86" i="1"/>
  <c r="X120" i="1"/>
  <c r="X119" i="1"/>
  <c r="X115" i="1"/>
  <c r="X114" i="1"/>
  <c r="X113" i="1"/>
  <c r="X112" i="1"/>
  <c r="X111" i="1"/>
  <c r="X110" i="1"/>
  <c r="X109" i="1"/>
  <c r="X108" i="1"/>
  <c r="X107" i="1"/>
  <c r="X106" i="1"/>
  <c r="X105" i="1"/>
  <c r="X104" i="1"/>
  <c r="X103" i="1"/>
  <c r="X102" i="1"/>
  <c r="X101" i="1"/>
  <c r="T99" i="1"/>
  <c r="U99" i="1" s="1"/>
  <c r="S99" i="1" s="1"/>
  <c r="X99" i="1"/>
  <c r="T97" i="1"/>
  <c r="U97" i="1" s="1"/>
  <c r="S97" i="1" s="1"/>
  <c r="X97" i="1"/>
  <c r="T95" i="1"/>
  <c r="U95" i="1" s="1"/>
  <c r="S95" i="1" s="1"/>
  <c r="X95" i="1"/>
  <c r="T93" i="1"/>
  <c r="U93" i="1" s="1"/>
  <c r="S93" i="1" s="1"/>
  <c r="X93" i="1"/>
  <c r="T91" i="1"/>
  <c r="U91" i="1" s="1"/>
  <c r="S91" i="1" s="1"/>
  <c r="X91" i="1"/>
  <c r="T89" i="1"/>
  <c r="U89" i="1" s="1"/>
  <c r="S89" i="1" s="1"/>
  <c r="X89" i="1"/>
  <c r="T87" i="1"/>
  <c r="U87" i="1" s="1"/>
  <c r="S87" i="1" s="1"/>
  <c r="X87" i="1"/>
  <c r="T85" i="1"/>
  <c r="U85" i="1" s="1"/>
  <c r="S85" i="1" s="1"/>
  <c r="X85" i="1"/>
  <c r="T83" i="1"/>
  <c r="U83" i="1" s="1"/>
  <c r="S83" i="1" s="1"/>
  <c r="X83" i="1"/>
  <c r="T81" i="1"/>
  <c r="U81" i="1" s="1"/>
  <c r="S81" i="1" s="1"/>
  <c r="X81" i="1"/>
  <c r="T73" i="1"/>
  <c r="U73" i="1" s="1"/>
  <c r="S73" i="1" s="1"/>
  <c r="X73" i="1"/>
  <c r="W68" i="1"/>
  <c r="W75" i="1"/>
  <c r="W71" i="1"/>
  <c r="T100" i="1"/>
  <c r="U100" i="1" s="1"/>
  <c r="S100" i="1" s="1"/>
  <c r="X100" i="1"/>
  <c r="T98" i="1"/>
  <c r="U98" i="1" s="1"/>
  <c r="S98" i="1" s="1"/>
  <c r="X98" i="1"/>
  <c r="T96" i="1"/>
  <c r="U96" i="1" s="1"/>
  <c r="S96" i="1" s="1"/>
  <c r="X96" i="1"/>
  <c r="T94" i="1"/>
  <c r="U94" i="1" s="1"/>
  <c r="S94" i="1" s="1"/>
  <c r="X94" i="1"/>
  <c r="T92" i="1"/>
  <c r="U92" i="1" s="1"/>
  <c r="S92" i="1" s="1"/>
  <c r="X92" i="1"/>
  <c r="T90" i="1"/>
  <c r="U90" i="1" s="1"/>
  <c r="S90" i="1" s="1"/>
  <c r="X90" i="1"/>
  <c r="T88" i="1"/>
  <c r="U88" i="1" s="1"/>
  <c r="S88" i="1" s="1"/>
  <c r="X88" i="1"/>
  <c r="T86" i="1"/>
  <c r="U86" i="1" s="1"/>
  <c r="S86" i="1" s="1"/>
  <c r="X86" i="1"/>
  <c r="T84" i="1"/>
  <c r="U84" i="1" s="1"/>
  <c r="S84" i="1" s="1"/>
  <c r="X84" i="1"/>
  <c r="T82" i="1"/>
  <c r="U82" i="1" s="1"/>
  <c r="S82" i="1" s="1"/>
  <c r="X82" i="1"/>
  <c r="T80" i="1"/>
  <c r="U80" i="1" s="1"/>
  <c r="S80" i="1" s="1"/>
  <c r="X80" i="1"/>
  <c r="T75" i="1"/>
  <c r="U75" i="1" s="1"/>
  <c r="S75" i="1" s="1"/>
  <c r="X75" i="1"/>
  <c r="W70" i="1"/>
  <c r="W73" i="1"/>
  <c r="W69" i="1"/>
  <c r="X79" i="1"/>
  <c r="X78" i="1"/>
  <c r="X77" i="1"/>
  <c r="X76" i="1"/>
  <c r="T71" i="1"/>
  <c r="U71" i="1" s="1"/>
  <c r="S71" i="1" s="1"/>
  <c r="X71" i="1"/>
  <c r="T70" i="1"/>
  <c r="U70" i="1" s="1"/>
  <c r="S70" i="1" s="1"/>
  <c r="X70" i="1"/>
  <c r="T69" i="1"/>
  <c r="U69" i="1" s="1"/>
  <c r="S69" i="1" s="1"/>
  <c r="X69" i="1"/>
  <c r="T68" i="1"/>
  <c r="U68" i="1" s="1"/>
  <c r="S68" i="1" s="1"/>
  <c r="X68" i="1"/>
  <c r="T67" i="1"/>
  <c r="U67" i="1" s="1"/>
  <c r="S67" i="1" s="1"/>
  <c r="X67" i="1"/>
  <c r="T66" i="1"/>
  <c r="U66" i="1" s="1"/>
  <c r="S66" i="1" s="1"/>
  <c r="X66" i="1"/>
  <c r="T65" i="1"/>
  <c r="U65" i="1" s="1"/>
  <c r="X65" i="1"/>
  <c r="T64" i="1"/>
  <c r="U64" i="1" s="1"/>
  <c r="X64" i="1"/>
  <c r="T63" i="1"/>
  <c r="U63" i="1" s="1"/>
  <c r="S63" i="1" s="1"/>
  <c r="X63" i="1"/>
  <c r="T62" i="1"/>
  <c r="U62" i="1" s="1"/>
  <c r="S62" i="1" s="1"/>
  <c r="X62" i="1"/>
  <c r="T61" i="1"/>
  <c r="U61" i="1" s="1"/>
  <c r="S61" i="1" s="1"/>
  <c r="X61" i="1"/>
  <c r="T60" i="1"/>
  <c r="U60" i="1" s="1"/>
  <c r="S60" i="1" s="1"/>
  <c r="X60" i="1"/>
  <c r="T59" i="1"/>
  <c r="U59" i="1" s="1"/>
  <c r="S59" i="1" s="1"/>
  <c r="X59" i="1"/>
  <c r="T58" i="1"/>
  <c r="U58" i="1" s="1"/>
  <c r="S58" i="1" s="1"/>
  <c r="X58" i="1"/>
  <c r="T57" i="1"/>
  <c r="U57" i="1" s="1"/>
  <c r="S57" i="1" s="1"/>
  <c r="X57" i="1"/>
  <c r="T56" i="1"/>
  <c r="U56" i="1" s="1"/>
  <c r="S56" i="1" s="1"/>
  <c r="X56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W37" i="1"/>
  <c r="W46" i="1"/>
  <c r="W42" i="1"/>
  <c r="W48" i="1"/>
  <c r="T46" i="1"/>
  <c r="U46" i="1" s="1"/>
  <c r="S46" i="1" s="1"/>
  <c r="X46" i="1"/>
  <c r="W40" i="1"/>
  <c r="W39" i="1"/>
  <c r="T74" i="1"/>
  <c r="U74" i="1" s="1"/>
  <c r="S74" i="1" s="1"/>
  <c r="X74" i="1"/>
  <c r="T72" i="1"/>
  <c r="U72" i="1" s="1"/>
  <c r="S72" i="1" s="1"/>
  <c r="X72" i="1"/>
  <c r="W63" i="1"/>
  <c r="W62" i="1"/>
  <c r="W61" i="1"/>
  <c r="W60" i="1"/>
  <c r="W59" i="1"/>
  <c r="W58" i="1"/>
  <c r="W57" i="1"/>
  <c r="W56" i="1"/>
  <c r="W55" i="1"/>
  <c r="W54" i="1"/>
  <c r="W53" i="1"/>
  <c r="W51" i="1"/>
  <c r="W50" i="1"/>
  <c r="T48" i="1"/>
  <c r="U48" i="1" s="1"/>
  <c r="S48" i="1" s="1"/>
  <c r="X48" i="1"/>
  <c r="W38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49" i="1"/>
  <c r="U49" i="1" s="1"/>
  <c r="S49" i="1" s="1"/>
  <c r="X49" i="1"/>
  <c r="T47" i="1"/>
  <c r="U47" i="1" s="1"/>
  <c r="S47" i="1" s="1"/>
  <c r="X47" i="1"/>
  <c r="T45" i="1"/>
  <c r="U45" i="1" s="1"/>
  <c r="S45" i="1" s="1"/>
  <c r="X45" i="1"/>
  <c r="T43" i="1"/>
  <c r="U43" i="1" s="1"/>
  <c r="S43" i="1" s="1"/>
  <c r="X43" i="1"/>
  <c r="T41" i="1"/>
  <c r="U41" i="1" s="1"/>
  <c r="S41" i="1" s="1"/>
  <c r="X41" i="1"/>
  <c r="W36" i="1"/>
  <c r="W35" i="1"/>
  <c r="W34" i="1"/>
  <c r="W33" i="1"/>
  <c r="W32" i="1"/>
  <c r="W31" i="1"/>
  <c r="W30" i="1"/>
  <c r="W29" i="1"/>
  <c r="W28" i="1"/>
  <c r="W26" i="1"/>
  <c r="W25" i="1"/>
  <c r="W24" i="1"/>
  <c r="W23" i="1"/>
  <c r="W22" i="1"/>
  <c r="W20" i="1"/>
  <c r="W19" i="1"/>
  <c r="W17" i="1"/>
  <c r="W16" i="1"/>
  <c r="W15" i="1"/>
  <c r="W14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T29" i="1"/>
  <c r="U29" i="1" s="1"/>
  <c r="S29" i="1" s="1"/>
  <c r="T28" i="1"/>
  <c r="U28" i="1" s="1"/>
  <c r="S28" i="1" s="1"/>
  <c r="T26" i="1"/>
  <c r="U26" i="1" s="1"/>
  <c r="S26" i="1" s="1"/>
  <c r="X26" i="1"/>
  <c r="T25" i="1"/>
  <c r="U25" i="1" s="1"/>
  <c r="S25" i="1" s="1"/>
  <c r="X25" i="1"/>
  <c r="T44" i="1"/>
  <c r="U44" i="1" s="1"/>
  <c r="S44" i="1" s="1"/>
  <c r="X44" i="1"/>
  <c r="T42" i="1"/>
  <c r="U42" i="1" s="1"/>
  <c r="S42" i="1" s="1"/>
  <c r="X42" i="1"/>
  <c r="T40" i="1"/>
  <c r="U40" i="1" s="1"/>
  <c r="S40" i="1" s="1"/>
  <c r="X40" i="1"/>
  <c r="X24" i="1"/>
  <c r="X23" i="1"/>
  <c r="X22" i="1"/>
  <c r="X17" i="1"/>
  <c r="X16" i="1"/>
  <c r="X15" i="1"/>
  <c r="AD12" i="3"/>
  <c r="AD19" i="3"/>
  <c r="AE22" i="3"/>
  <c r="AD16" i="3"/>
  <c r="AD38" i="3"/>
  <c r="AD33" i="3"/>
  <c r="AC33" i="3"/>
  <c r="AD34" i="3"/>
  <c r="AC38" i="3"/>
  <c r="AC16" i="3"/>
  <c r="S31" i="3"/>
  <c r="AC35" i="3"/>
  <c r="S35" i="3"/>
  <c r="AE36" i="3"/>
  <c r="AD29" i="3"/>
  <c r="S32" i="3"/>
  <c r="S28" i="3"/>
  <c r="R31" i="3"/>
  <c r="S13" i="3"/>
  <c r="AC15" i="3"/>
  <c r="R35" i="3"/>
  <c r="AC36" i="3"/>
  <c r="S36" i="3"/>
  <c r="AE32" i="3"/>
  <c r="AC21" i="3"/>
  <c r="AD28" i="3"/>
  <c r="R32" i="3"/>
  <c r="AD23" i="3"/>
  <c r="R28" i="3"/>
  <c r="R13" i="3"/>
  <c r="R36" i="3"/>
  <c r="AD32" i="3"/>
  <c r="AE28" i="3"/>
  <c r="AD26" i="3"/>
  <c r="AD20" i="3"/>
  <c r="AC27" i="3"/>
  <c r="AE18" i="3"/>
  <c r="AC22" i="3"/>
  <c r="AD37" i="3"/>
  <c r="AC8" i="3"/>
  <c r="T8" i="3"/>
  <c r="AC30" i="3"/>
  <c r="T30" i="3"/>
  <c r="AC31" i="3"/>
  <c r="AD18" i="3"/>
  <c r="AD13" i="3"/>
  <c r="AD17" i="3"/>
  <c r="AD11" i="3"/>
  <c r="AE11" i="3"/>
  <c r="AD9" i="3"/>
  <c r="AE8" i="3"/>
  <c r="AD24" i="3"/>
  <c r="AE15" i="3"/>
  <c r="AC24" i="3"/>
  <c r="T24" i="3"/>
  <c r="AC18" i="3"/>
  <c r="AC37" i="3"/>
  <c r="AC7" i="3"/>
  <c r="T7" i="3"/>
  <c r="AC34" i="3"/>
  <c r="AC17" i="3"/>
  <c r="AC20" i="3"/>
  <c r="AC23" i="3"/>
  <c r="AC19" i="3"/>
  <c r="Y35" i="3"/>
  <c r="Y37" i="3"/>
  <c r="Y20" i="3"/>
  <c r="Y27" i="3"/>
  <c r="Y22" i="3"/>
  <c r="Y19" i="3"/>
  <c r="Y33" i="3"/>
  <c r="Y30" i="3"/>
  <c r="Y23" i="3"/>
  <c r="Y16" i="3"/>
  <c r="Y21" i="3"/>
  <c r="Y38" i="3"/>
  <c r="Y8" i="3"/>
  <c r="Y7" i="3"/>
  <c r="Y25" i="3"/>
  <c r="Y11" i="3"/>
  <c r="Y32" i="3"/>
  <c r="Y9" i="3"/>
  <c r="Y28" i="3"/>
  <c r="Y29" i="3"/>
  <c r="Y13" i="3"/>
  <c r="Y24" i="3"/>
  <c r="Y10" i="3"/>
  <c r="Y26" i="3"/>
  <c r="Y15" i="3"/>
  <c r="Y18" i="3"/>
  <c r="Y36" i="3"/>
  <c r="Y17" i="3"/>
  <c r="Y34" i="3"/>
  <c r="Y31" i="3"/>
  <c r="Y12" i="3"/>
  <c r="AE21" i="3"/>
  <c r="T28" i="3"/>
  <c r="T29" i="3"/>
  <c r="AE14" i="3"/>
  <c r="T13" i="3"/>
  <c r="AE10" i="3"/>
  <c r="T10" i="3"/>
  <c r="AE31" i="3"/>
  <c r="T15" i="3"/>
  <c r="AE38" i="3"/>
  <c r="T18" i="3"/>
  <c r="AD35" i="3"/>
  <c r="AD31" i="3"/>
  <c r="AD27" i="3"/>
  <c r="AE26" i="3"/>
  <c r="T17" i="3"/>
  <c r="AD25" i="3"/>
  <c r="AE24" i="3"/>
  <c r="T34" i="3"/>
  <c r="AD21" i="3"/>
  <c r="AE20" i="3"/>
  <c r="T31" i="3"/>
  <c r="AE19" i="3"/>
  <c r="AE17" i="3"/>
  <c r="AD14" i="3"/>
  <c r="AE13" i="3"/>
  <c r="AD10" i="3"/>
  <c r="AE9" i="3"/>
  <c r="T12" i="3"/>
  <c r="T26" i="3"/>
  <c r="AE35" i="3"/>
  <c r="T25" i="3"/>
  <c r="T11" i="3"/>
  <c r="AE27" i="3"/>
  <c r="T32" i="3"/>
  <c r="AE25" i="3"/>
  <c r="T9" i="3"/>
  <c r="AE34" i="3"/>
  <c r="T36" i="3"/>
  <c r="AE30" i="3"/>
  <c r="AE37" i="3"/>
  <c r="AE33" i="3"/>
  <c r="AE29" i="3"/>
  <c r="AE23" i="3"/>
  <c r="AE16" i="3"/>
  <c r="AE12" i="3"/>
  <c r="T14" i="3"/>
  <c r="Y14" i="3"/>
  <c r="S64" i="1" l="1"/>
  <c r="V13" i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N10" i="3" l="1"/>
  <c r="G250" i="4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N15" i="3" l="1"/>
  <c r="N24" i="3"/>
  <c r="N18" i="3"/>
  <c r="N26" i="3"/>
  <c r="K13" i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N16" i="3" s="1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38" i="3" l="1"/>
  <c r="N9" i="3"/>
  <c r="N12" i="3"/>
  <c r="N20" i="3"/>
  <c r="N34" i="3"/>
  <c r="N29" i="3"/>
  <c r="N23" i="3"/>
  <c r="N36" i="3"/>
  <c r="N35" i="3"/>
  <c r="N37" i="3"/>
  <c r="N11" i="3"/>
  <c r="N17" i="3"/>
  <c r="N25" i="3"/>
  <c r="N8" i="3"/>
  <c r="N32" i="3"/>
  <c r="N14" i="3"/>
  <c r="N7" i="3"/>
  <c r="N27" i="3"/>
  <c r="N13" i="3"/>
  <c r="N33" i="3"/>
  <c r="N21" i="3"/>
  <c r="N31" i="3"/>
  <c r="N30" i="3"/>
  <c r="N28" i="3"/>
  <c r="N22" i="3"/>
  <c r="N19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<sst xmlns="http://schemas.openxmlformats.org/spreadsheetml/2006/main" count="2974" uniqueCount="1137">
  <si>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</si>
  <si>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</si>
  <si>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</si>
  <si>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</si>
  <si>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</si>
  <si>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</si>
  <si>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</si>
  <si>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</si>
  <si>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</si>
  <si>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</si>
  <si>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</si>
  <si>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</si>
  <si>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</si>
  <si>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</si>
  <si>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</si>
  <si>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</si>
  <si>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</si>
  <si>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</si>
  <si>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</si>
  <si>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</si>
  <si>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</si>
  <si>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</si>
  <si>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</si>
  <si>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</si>
  <si>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</si>
  <si>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</si>
  <si>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</si>
  <si>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</si>
  <si>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</si>
  <si>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</si>
  <si>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</si>
  <si>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</si>
  <si>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</si>
  <si>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</si>
  <si>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</si>
  <si>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</si>
  <si>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</si>
  <si>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</si>
  <si>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</si>
  <si>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</si>
  <si>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</si>
  <si>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</si>
  <si>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</si>
  <si>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</si>
  <si>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</si>
  <si>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</si>
  <si>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</si>
  <si>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</si>
  <si>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</si>
  <si>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</si>
  <si>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</si>
  <si>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</si>
  <si>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</si>
  <si>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</si>
  <si>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</si>
  <si>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</si>
  <si>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</si>
  <si>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</si>
  <si>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</si>
  <si>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</si>
  <si>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</si>
  <si>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</si>
  <si>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</si>
  <si>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</si>
  <si>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</si>
  <si>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</si>
  <si>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</si>
  <si>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</si>
  <si>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</si>
  <si>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</si>
  <si>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</si>
  <si>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</si>
  <si>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</si>
  <si>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</si>
  <si>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</si>
  <si>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</si>
  <si>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</si>
  <si>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</si>
  <si>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</si>
  <si>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</si>
  <si>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</si>
  <si>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</si>
  <si>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</si>
  <si>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</si>
  <si>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</si>
  <si>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</si>
  <si>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</si>
  <si>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</si>
  <si>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</si>
  <si>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</si>
  <si>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</si>
  <si>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</si>
  <si>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</si>
  <si>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</si>
  <si>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</si>
  <si>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</si>
  <si>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</si>
  <si>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</si>
  <si>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</si>
  <si>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</si>
  <si>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</si>
  <si>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</si>
  <si>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</si>
  <si>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</si>
  <si>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</si>
  <si>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</si>
  <si>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</si>
  <si>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</si>
  <si>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</si>
  <si>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</si>
  <si>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</si>
  <si>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</si>
  <si>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</si>
  <si>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</si>
  <si>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</si>
  <si>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</si>
  <si>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</si>
  <si>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</si>
  <si>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</si>
  <si>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</si>
  <si>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</si>
  <si>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</si>
  <si>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</si>
  <si>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</si>
  <si>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</si>
  <si>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</si>
  <si>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</si>
  <si>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</si>
  <si>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</si>
  <si>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</si>
  <si>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</si>
  <si>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</si>
  <si>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</si>
  <si>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</si>
  <si>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</si>
  <si>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</si>
  <si>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</si>
  <si>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</si>
  <si>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</si>
  <si>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</si>
  <si>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</si>
  <si>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</si>
  <si>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</si>
  <si>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</si>
  <si>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</si>
  <si>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</si>
  <si>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</si>
  <si>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</si>
  <si>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</si>
  <si>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</si>
  <si>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</si>
  <si>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</si>
  <si>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</si>
  <si>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</si>
  <si>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</si>
  <si>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</si>
  <si>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</si>
  <si>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</si>
  <si>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</si>
  <si>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</si>
  <si>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</si>
  <si>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</si>
  <si>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</si>
  <si>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</si>
  <si>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</si>
  <si>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</si>
  <si>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</si>
  <si>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</si>
  <si>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</si>
  <si>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</si>
  <si>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</si>
  <si>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</si>
  <si>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</si>
  <si>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</si>
  <si>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</si>
  <si>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</si>
  <si>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</si>
  <si>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</si>
  <si>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</si>
  <si>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</si>
  <si>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</si>
  <si>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</si>
  <si>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</si>
  <si>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</si>
  <si>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</si>
  <si>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</si>
  <si>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</si>
  <si>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</si>
  <si>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</si>
  <si>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</si>
  <si>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</si>
  <si>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</si>
  <si>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</si>
  <si>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</si>
  <si>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</si>
  <si>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</si>
  <si>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</si>
  <si>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</si>
  <si>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</si>
  <si>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</si>
  <si>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</si>
  <si>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</si>
  <si>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</si>
  <si>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</si>
  <si>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</si>
  <si>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</si>
  <si>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</si>
  <si>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</si>
  <si>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</si>
  <si>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</si>
  <si>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</si>
  <si>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</si>
  <si>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</si>
  <si>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</si>
  <si>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</si>
  <si>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</si>
  <si>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</si>
  <si>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</si>
  <si>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</si>
  <si>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</si>
  <si>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</si>
  <si>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</si>
  <si>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</si>
  <si>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</si>
  <si>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</si>
  <si>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</si>
  <si>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</si>
  <si>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</si>
  <si>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</si>
  <si>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</si>
  <si>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</si>
  <si>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</si>
  <si>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</si>
  <si>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</si>
  <si>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</si>
  <si>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</si>
  <si>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</si>
  <si>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</si>
  <si>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</si>
  <si>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</si>
  <si>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</si>
  <si>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</si>
  <si>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</si>
  <si>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</si>
  <si>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</si>
  <si>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</si>
  <si>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</si>
  <si>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</si>
  <si>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</si>
  <si>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</si>
  <si>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</si>
  <si>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</si>
  <si>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</si>
  <si>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</si>
  <si>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</si>
  <si>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</si>
  <si>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</si>
  <si>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</si>
  <si>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</si>
  <si>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</si>
  <si>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</si>
  <si>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</si>
  <si>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</si>
  <si>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</si>
  <si>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</si>
  <si>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</si>
  <si>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</si>
  <si>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</si>
  <si>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</si>
  <si>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</si>
  <si>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</si>
  <si>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</si>
  <si>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</si>
  <si>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</si>
  <si>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</si>
  <si>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</si>
  <si>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</si>
  <si>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</si>
  <si>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</si>
  <si>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</si>
  <si>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</si>
  <si>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</si>
  <si>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</si>
  <si>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</si>
  <si>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</si>
  <si>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</si>
  <si>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</si>
  <si>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</si>
  <si>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</si>
  <si>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</si>
  <si>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</si>
  <si>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</si>
  <si>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</si>
  <si>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</si>
  <si>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</si>
  <si>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</si>
  <si>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</si>
  <si>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</si>
  <si>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</si>
  <si>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</si>
  <si>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</si>
  <si>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</si>
  <si>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</si>
  <si>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</si>
  <si>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</si>
  <si>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</si>
  <si>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</si>
  <si>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</si>
  <si>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</si>
  <si>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</si>
  <si>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</si>
  <si>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</si>
  <si>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</si>
  <si>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</si>
  <si>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</si>
  <si>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</si>
  <si>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</si>
  <si>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</si>
  <si>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</si>
  <si>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</si>
  <si>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</si>
  <si>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</si>
  <si>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</si>
  <si>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</si>
  <si>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</si>
  <si>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</si>
  <si>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</si>
  <si>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</si>
  <si>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</si>
  <si>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</si>
  <si>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</si>
  <si>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</si>
  <si>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</si>
  <si>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</si>
  <si>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</si>
  <si>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</si>
  <si>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</si>
  <si>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</si>
  <si>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</si>
  <si>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</si>
  <si>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</si>
  <si>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</si>
  <si>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</si>
  <si>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</si>
  <si>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Early Arrival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</si>
  <si>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</si>
  <si>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</si>
  <si>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</si>
  <si>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</si>
  <si>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</si>
  <si>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</si>
  <si>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</si>
  <si>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</si>
  <si>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</si>
  <si>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</si>
  <si>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</si>
  <si>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</si>
  <si>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</si>
  <si>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</si>
  <si>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</si>
  <si>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</si>
  <si>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</si>
  <si>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</si>
  <si>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</si>
  <si>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</si>
  <si>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</si>
  <si>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</si>
  <si>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</si>
  <si>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rtdc.l.rtdc.4012:itc</t>
  </si>
  <si>
    <t>rtdc.l.rtdc.4011:itc</t>
  </si>
  <si>
    <t>GUZMAN</t>
  </si>
  <si>
    <t>DANNY</t>
  </si>
  <si>
    <t>GUNTHIER</t>
  </si>
  <si>
    <t>ERIC</t>
  </si>
  <si>
    <t>RESPASS</t>
  </si>
  <si>
    <t>AARON</t>
  </si>
  <si>
    <t>ANDREA</t>
  </si>
  <si>
    <t>rtdc.l.rtdc.4062:itc</t>
  </si>
  <si>
    <t>rtdc.l.rtdc.4022:itc</t>
  </si>
  <si>
    <t>rtdc.l.rtdc.4061:itc</t>
  </si>
  <si>
    <t>rtdc.l.rtdc.4029:itc</t>
  </si>
  <si>
    <t>232-31</t>
  </si>
  <si>
    <t>238-31</t>
  </si>
  <si>
    <t>rtdc.l.rtdc.4059:itc</t>
  </si>
  <si>
    <t>rtdc.l.rtdc.4030:itc</t>
  </si>
  <si>
    <t>STAMBAUGH</t>
  </si>
  <si>
    <t>JAMES</t>
  </si>
  <si>
    <t>MOSES</t>
  </si>
  <si>
    <t>BRADLEY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</si>
  <si>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</si>
  <si>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</si>
  <si>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</si>
  <si>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</si>
  <si>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</si>
  <si>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</si>
  <si>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</si>
  <si>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</si>
  <si>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</si>
  <si>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</si>
  <si>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</si>
  <si>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</si>
  <si>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</si>
  <si>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</si>
  <si>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</si>
  <si>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</si>
  <si>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</si>
  <si>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</si>
  <si>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</si>
  <si>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</si>
  <si>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</si>
  <si>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</si>
  <si>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204:232977</t>
  </si>
  <si>
    <t>204:214</t>
  </si>
  <si>
    <t>204:207</t>
  </si>
  <si>
    <t>204:528</t>
  </si>
  <si>
    <t>204:227</t>
  </si>
  <si>
    <t>SWITCH UNKNOWN</t>
  </si>
  <si>
    <t>Track device (7)</t>
  </si>
  <si>
    <t>Clear</t>
  </si>
  <si>
    <t>clear-night</t>
  </si>
  <si>
    <t>204:524</t>
  </si>
  <si>
    <t>ELBAUM</t>
  </si>
  <si>
    <t>MIKE</t>
  </si>
  <si>
    <t>DAVID</t>
  </si>
  <si>
    <t>204:220</t>
  </si>
  <si>
    <t>204:232979</t>
  </si>
  <si>
    <t>204:233295</t>
  </si>
  <si>
    <t>204:526</t>
  </si>
  <si>
    <t>204:212</t>
  </si>
  <si>
    <t>204:154</t>
  </si>
  <si>
    <t>204:232934</t>
  </si>
  <si>
    <t>rtdc.l.rtdc.4056:itc</t>
  </si>
  <si>
    <t>STEWART</t>
  </si>
  <si>
    <t>DAVIS</t>
  </si>
  <si>
    <t>204:161</t>
  </si>
  <si>
    <t>204:508</t>
  </si>
  <si>
    <t>204:511</t>
  </si>
  <si>
    <t>204:141</t>
  </si>
  <si>
    <t>204:229</t>
  </si>
  <si>
    <t>204:475</t>
  </si>
  <si>
    <t>204:218</t>
  </si>
  <si>
    <t>204:232904</t>
  </si>
  <si>
    <t>204:221</t>
  </si>
  <si>
    <t>204:233278</t>
  </si>
  <si>
    <t>204:232932</t>
  </si>
  <si>
    <t>204:233280</t>
  </si>
  <si>
    <t>204:540</t>
  </si>
  <si>
    <t>204:149</t>
  </si>
  <si>
    <t>204:453</t>
  </si>
  <si>
    <t>rtdc.l.rtdc.4025:itc</t>
  </si>
  <si>
    <t>rtdc.l.rtdc.4026:itc</t>
  </si>
  <si>
    <t>DONTE</t>
  </si>
  <si>
    <t>LAMAR</t>
  </si>
  <si>
    <t>NEKESHA</t>
  </si>
  <si>
    <t>KILLION</t>
  </si>
  <si>
    <t>clear-day</t>
  </si>
  <si>
    <t>204:233293</t>
  </si>
  <si>
    <t>204:205</t>
  </si>
  <si>
    <t>204:223</t>
  </si>
  <si>
    <t>204:232919</t>
  </si>
  <si>
    <t>204:180</t>
  </si>
  <si>
    <t>204:233232</t>
  </si>
  <si>
    <t>204:233299</t>
  </si>
  <si>
    <t>204:187</t>
  </si>
  <si>
    <t>204:176</t>
  </si>
  <si>
    <t>300:58926</t>
  </si>
  <si>
    <t>204:232946</t>
  </si>
  <si>
    <t>204:232980</t>
  </si>
  <si>
    <t>204:570</t>
  </si>
  <si>
    <t>300:23346</t>
  </si>
  <si>
    <t>rtdc.l.rtdc.4044:itc</t>
  </si>
  <si>
    <t>rtdc.l.rtdc.4043:itc</t>
  </si>
  <si>
    <t>307-27</t>
  </si>
  <si>
    <t>rtdc.l.rtdc.4021:itc</t>
  </si>
  <si>
    <t>NICHOLAS</t>
  </si>
  <si>
    <t>PLOYSA</t>
  </si>
  <si>
    <t>SPECTOR</t>
  </si>
  <si>
    <t>rtdc.l.rtdc.4063:itc</t>
  </si>
  <si>
    <t>DAVIDSON</t>
  </si>
  <si>
    <t>rtdc.l.rtdc.4019:itc</t>
  </si>
  <si>
    <t>rtdc.l.rtdc.4064:itc</t>
  </si>
  <si>
    <t>LONG</t>
  </si>
  <si>
    <t>FULLER</t>
  </si>
  <si>
    <t>LORI</t>
  </si>
  <si>
    <t>SANTOS</t>
  </si>
  <si>
    <t>846-27</t>
  </si>
  <si>
    <t>237-27</t>
  </si>
  <si>
    <t>234-27</t>
  </si>
  <si>
    <t>849-27</t>
  </si>
  <si>
    <t>239-27</t>
  </si>
  <si>
    <t>236-27</t>
  </si>
  <si>
    <t>908-27</t>
  </si>
  <si>
    <t>238-27</t>
  </si>
  <si>
    <t>241-27</t>
  </si>
  <si>
    <t>240-27</t>
  </si>
  <si>
    <t>243-27</t>
  </si>
  <si>
    <t>313-27</t>
  </si>
  <si>
    <t>242-27</t>
  </si>
  <si>
    <t>244-27</t>
  </si>
  <si>
    <t>309-27</t>
  </si>
  <si>
    <t>311-27</t>
  </si>
  <si>
    <t>204:446</t>
  </si>
  <si>
    <t>204:477</t>
  </si>
  <si>
    <t>204:232985</t>
  </si>
  <si>
    <t>204:451</t>
  </si>
  <si>
    <t>204:232896</t>
  </si>
  <si>
    <t>204:231</t>
  </si>
  <si>
    <t>204:225</t>
  </si>
  <si>
    <t>204:533</t>
  </si>
  <si>
    <t>204:529</t>
  </si>
  <si>
    <t>204:232940</t>
  </si>
  <si>
    <t>204:537</t>
  </si>
  <si>
    <t>204:233244</t>
  </si>
  <si>
    <t>204:233240</t>
  </si>
  <si>
    <t>204:249</t>
  </si>
  <si>
    <t>204:233272</t>
  </si>
  <si>
    <t>204:559</t>
  </si>
  <si>
    <t>300:23306</t>
  </si>
  <si>
    <t>300:58615</t>
  </si>
  <si>
    <t>300:58929</t>
  </si>
  <si>
    <t>204:450</t>
  </si>
  <si>
    <t>204:152</t>
  </si>
  <si>
    <t>Wi-MAX data drop</t>
  </si>
  <si>
    <t>rtdc.l.rtdc.4002:itc</t>
  </si>
  <si>
    <t>TRACK WARRANT AUTHORITY</t>
  </si>
  <si>
    <t>Form based authority (4)</t>
  </si>
  <si>
    <t>rtdc.l.rtdc.4001:itc</t>
  </si>
  <si>
    <t>rtdc.l.rtdc.4058:itc</t>
  </si>
  <si>
    <t>THOMPSON</t>
  </si>
  <si>
    <t>LESTER</t>
  </si>
  <si>
    <t>rtdc.l.rtdc.4057:itc</t>
  </si>
  <si>
    <t>YANAI</t>
  </si>
  <si>
    <t>IAN</t>
  </si>
  <si>
    <t>rtdc.l.rtdc.4049:itc</t>
  </si>
  <si>
    <t>rtdc.l.rtdc.4050:itc</t>
  </si>
  <si>
    <t>BRUDER</t>
  </si>
  <si>
    <t>RICHARD</t>
  </si>
  <si>
    <t>LEVIN</t>
  </si>
  <si>
    <t>SCOTT</t>
  </si>
  <si>
    <t>ROBINSON</t>
  </si>
  <si>
    <t>KADDIBA</t>
  </si>
  <si>
    <t>NEWELL</t>
  </si>
  <si>
    <t>ANDERS</t>
  </si>
  <si>
    <t>STEVEN</t>
  </si>
  <si>
    <t>ZEWDU</t>
  </si>
  <si>
    <t>DEREJE</t>
  </si>
  <si>
    <t>240-28</t>
  </si>
  <si>
    <t>242-28</t>
  </si>
  <si>
    <t>244-28</t>
  </si>
  <si>
    <t>309-28</t>
  </si>
  <si>
    <t>204:203</t>
  </si>
  <si>
    <t>204:462</t>
  </si>
  <si>
    <t>204:232955</t>
  </si>
  <si>
    <t>204:232962</t>
  </si>
  <si>
    <t>204:435</t>
  </si>
  <si>
    <t>204:232892</t>
  </si>
  <si>
    <t>204:473</t>
  </si>
  <si>
    <t>204:232967</t>
  </si>
  <si>
    <t>204:172</t>
  </si>
  <si>
    <t>204:464</t>
  </si>
  <si>
    <t>204:138</t>
  </si>
  <si>
    <t>204:232963</t>
  </si>
  <si>
    <t>204:233193</t>
  </si>
  <si>
    <t>204:216</t>
  </si>
  <si>
    <t>204:233216</t>
  </si>
  <si>
    <t>204:233304</t>
  </si>
  <si>
    <t>204:158</t>
  </si>
  <si>
    <t>204:200</t>
  </si>
  <si>
    <t>204:233209</t>
  </si>
  <si>
    <t>204:232884</t>
  </si>
  <si>
    <t>204:493</t>
  </si>
  <si>
    <t>204:233249</t>
  </si>
  <si>
    <t>204:198</t>
  </si>
  <si>
    <t>204:232913</t>
  </si>
  <si>
    <t>204:233222</t>
  </si>
  <si>
    <t>204:233257</t>
  </si>
  <si>
    <t>204:233215</t>
  </si>
  <si>
    <t>204:233298</t>
  </si>
  <si>
    <t>204:232989</t>
  </si>
  <si>
    <t>204:232902</t>
  </si>
  <si>
    <t>204:233205</t>
  </si>
  <si>
    <t>204:233223</t>
  </si>
  <si>
    <t>204:232888</t>
  </si>
  <si>
    <t>204:544</t>
  </si>
  <si>
    <t>204:233212</t>
  </si>
  <si>
    <t>204:232925</t>
  </si>
  <si>
    <t>204:566</t>
  </si>
  <si>
    <t>204:233247</t>
  </si>
  <si>
    <t>204:551</t>
  </si>
  <si>
    <t>204:520</t>
  </si>
  <si>
    <t>204:232921</t>
  </si>
  <si>
    <t>204:236</t>
  </si>
  <si>
    <t>204:233285</t>
  </si>
  <si>
    <t>204:517</t>
  </si>
  <si>
    <t>300:23304</t>
  </si>
  <si>
    <t>300:23481</t>
  </si>
  <si>
    <t>300:23299</t>
  </si>
  <si>
    <t>204:129</t>
  </si>
  <si>
    <t>300:58967</t>
  </si>
  <si>
    <t>204:1235</t>
  </si>
  <si>
    <t>300:58944</t>
  </si>
  <si>
    <t>300:58623</t>
  </si>
  <si>
    <t>300:58965</t>
  </si>
  <si>
    <t>204:146</t>
  </si>
  <si>
    <t>300:58632</t>
  </si>
  <si>
    <t>204:128</t>
  </si>
  <si>
    <t>204:153</t>
  </si>
  <si>
    <t>300:58619</t>
  </si>
  <si>
    <t>204:142</t>
  </si>
  <si>
    <t>204:442</t>
  </si>
  <si>
    <t>204:459</t>
  </si>
  <si>
    <t>300:58933</t>
  </si>
  <si>
    <t>start /low /b %USERPROFILE%\Documents\GitHub\eaglep3\Utilities\DownloadLogsFromS3.py --loco 4001 --day 2017-11-29</t>
  </si>
  <si>
    <t>204:232879</t>
  </si>
  <si>
    <t>Poor GPS @ DUS</t>
  </si>
  <si>
    <t>Poor GPS @ Wewatta</t>
  </si>
  <si>
    <t>103-29</t>
  </si>
  <si>
    <t>71-29</t>
  </si>
  <si>
    <t>104-29</t>
  </si>
  <si>
    <t>102-29</t>
  </si>
  <si>
    <t>rtdc.l.rtdc.4028:itc</t>
  </si>
  <si>
    <t>113-29</t>
  </si>
  <si>
    <t>115-29</t>
  </si>
  <si>
    <t>129-29</t>
  </si>
  <si>
    <t>rtdc.l.rtdc.4031:itc</t>
  </si>
  <si>
    <t>808-29</t>
  </si>
  <si>
    <t>809-29</t>
  </si>
  <si>
    <t>126-29</t>
  </si>
  <si>
    <t>810-29</t>
  </si>
  <si>
    <t>903-29</t>
  </si>
  <si>
    <t>65-29</t>
  </si>
  <si>
    <t>62-29</t>
  </si>
  <si>
    <t>153-29</t>
  </si>
  <si>
    <t>61-29</t>
  </si>
  <si>
    <t>rtdc.l.rtdc.4032:itc</t>
  </si>
  <si>
    <t>817-29</t>
  </si>
  <si>
    <t>64-29</t>
  </si>
  <si>
    <t>158-29</t>
  </si>
  <si>
    <t>160-29</t>
  </si>
  <si>
    <t>66-29</t>
  </si>
  <si>
    <t>175-29</t>
  </si>
  <si>
    <t>72-29</t>
  </si>
  <si>
    <t>823-29</t>
  </si>
  <si>
    <t>73-29</t>
  </si>
  <si>
    <t>rtdc.l.rtdc.4020:itc</t>
  </si>
  <si>
    <t>187-29</t>
  </si>
  <si>
    <t>188-29</t>
  </si>
  <si>
    <t>74-29</t>
  </si>
  <si>
    <t>830-29</t>
  </si>
  <si>
    <t>216-29</t>
  </si>
  <si>
    <t>305-29</t>
  </si>
  <si>
    <t>840-29</t>
  </si>
  <si>
    <t>843-29</t>
  </si>
  <si>
    <t>rtdc.l.rtdc.4005:itc</t>
  </si>
  <si>
    <t>228-29</t>
  </si>
  <si>
    <t>244-29</t>
  </si>
  <si>
    <t>300-29</t>
  </si>
  <si>
    <t>101-29</t>
  </si>
  <si>
    <t>302-29</t>
  </si>
  <si>
    <t>70-29</t>
  </si>
  <si>
    <t>304-29</t>
  </si>
  <si>
    <t>105-29</t>
  </si>
  <si>
    <t>306-29</t>
  </si>
  <si>
    <t>rtdc.l.rtdc.4065:itc</t>
  </si>
  <si>
    <t>308-29</t>
  </si>
  <si>
    <t>LOPES</t>
  </si>
  <si>
    <t>KIMBERLY</t>
  </si>
  <si>
    <t>rtdc.l.rtdc.4006:itc</t>
  </si>
  <si>
    <t>107-29</t>
  </si>
  <si>
    <t>rtdc.l.rtdc.4066:itc</t>
  </si>
  <si>
    <t>109-29</t>
  </si>
  <si>
    <t>111-29</t>
  </si>
  <si>
    <t>rtdc.l.rtdc.4027:itc</t>
  </si>
  <si>
    <t>310-29</t>
  </si>
  <si>
    <t>901-29</t>
  </si>
  <si>
    <t>106-29</t>
  </si>
  <si>
    <t>800-29</t>
  </si>
  <si>
    <t>108-29</t>
  </si>
  <si>
    <t>312-29</t>
  </si>
  <si>
    <t>FORTUNATO</t>
  </si>
  <si>
    <t>FRANK</t>
  </si>
  <si>
    <t>110-29</t>
  </si>
  <si>
    <t>801-29</t>
  </si>
  <si>
    <t>117-29</t>
  </si>
  <si>
    <t>902-29</t>
  </si>
  <si>
    <t>119-29</t>
  </si>
  <si>
    <t>112-29</t>
  </si>
  <si>
    <t>114-29</t>
  </si>
  <si>
    <t>802-29</t>
  </si>
  <si>
    <t>803-29</t>
  </si>
  <si>
    <t>121-29</t>
  </si>
  <si>
    <t>123-29</t>
  </si>
  <si>
    <t>118-29</t>
  </si>
  <si>
    <t>116-29</t>
  </si>
  <si>
    <t>804-29</t>
  </si>
  <si>
    <t>805-29</t>
  </si>
  <si>
    <t>120-29</t>
  </si>
  <si>
    <t>125-29</t>
  </si>
  <si>
    <t>127-29</t>
  </si>
  <si>
    <t>122-29</t>
  </si>
  <si>
    <t>806-29</t>
  </si>
  <si>
    <t>807-29</t>
  </si>
  <si>
    <t>124-29</t>
  </si>
  <si>
    <t>131-29</t>
  </si>
  <si>
    <t>128-29</t>
  </si>
  <si>
    <t>133-29</t>
  </si>
  <si>
    <t>135-29</t>
  </si>
  <si>
    <t>811-29</t>
  </si>
  <si>
    <t>137-29</t>
  </si>
  <si>
    <t>132-29</t>
  </si>
  <si>
    <t>130-29</t>
  </si>
  <si>
    <t>139-29</t>
  </si>
  <si>
    <t>812-29</t>
  </si>
  <si>
    <t>141-29</t>
  </si>
  <si>
    <t>136-29</t>
  </si>
  <si>
    <t>134-29</t>
  </si>
  <si>
    <t>ROMERO</t>
  </si>
  <si>
    <t>CHAD</t>
  </si>
  <si>
    <t>HUFFSMITH</t>
  </si>
  <si>
    <t>MONTY</t>
  </si>
  <si>
    <t>143-29</t>
  </si>
  <si>
    <t>813-29</t>
  </si>
  <si>
    <t>138-29</t>
  </si>
  <si>
    <t>140-29</t>
  </si>
  <si>
    <t>145-29</t>
  </si>
  <si>
    <t>63-29</t>
  </si>
  <si>
    <t>142-29</t>
  </si>
  <si>
    <t>147-29</t>
  </si>
  <si>
    <t>814-29</t>
  </si>
  <si>
    <t>149-29</t>
  </si>
  <si>
    <t>151-29</t>
  </si>
  <si>
    <t>146-29</t>
  </si>
  <si>
    <t>144-29</t>
  </si>
  <si>
    <t>815-29</t>
  </si>
  <si>
    <t>148-29</t>
  </si>
  <si>
    <t>155-29</t>
  </si>
  <si>
    <t>150-29</t>
  </si>
  <si>
    <t>816-29</t>
  </si>
  <si>
    <t>PAGE</t>
  </si>
  <si>
    <t>MARCUS</t>
  </si>
  <si>
    <t>rtdc.l.rtdc.4045:itc</t>
  </si>
  <si>
    <t>56-29</t>
  </si>
  <si>
    <t>157-29</t>
  </si>
  <si>
    <t>152-29</t>
  </si>
  <si>
    <t>159-29</t>
  </si>
  <si>
    <t>156-29</t>
  </si>
  <si>
    <t>154-29</t>
  </si>
  <si>
    <t>161-29</t>
  </si>
  <si>
    <t>60-29</t>
  </si>
  <si>
    <t>818-29</t>
  </si>
  <si>
    <t>163-29</t>
  </si>
  <si>
    <t>rtdc.l.rtdc.4046:itc</t>
  </si>
  <si>
    <t>57-29</t>
  </si>
  <si>
    <t>165-29</t>
  </si>
  <si>
    <t>167-29</t>
  </si>
  <si>
    <t>819-29</t>
  </si>
  <si>
    <t>162-29</t>
  </si>
  <si>
    <t>169-29</t>
  </si>
  <si>
    <t>BERLING</t>
  </si>
  <si>
    <t>GARY</t>
  </si>
  <si>
    <t>164-29</t>
  </si>
  <si>
    <t>820-29</t>
  </si>
  <si>
    <t>166-29</t>
  </si>
  <si>
    <t>171-29</t>
  </si>
  <si>
    <t>173-29</t>
  </si>
  <si>
    <t>HOLCOMB</t>
  </si>
  <si>
    <t>KAMDEN</t>
  </si>
  <si>
    <t>168-29</t>
  </si>
  <si>
    <t>69-29</t>
  </si>
  <si>
    <t>AUSTIN</t>
  </si>
  <si>
    <t>821-29</t>
  </si>
  <si>
    <t>170-29</t>
  </si>
  <si>
    <t>177-29</t>
  </si>
  <si>
    <t>172-29</t>
  </si>
  <si>
    <t>179-29</t>
  </si>
  <si>
    <t>59-29</t>
  </si>
  <si>
    <t>DE LA ROSA</t>
  </si>
  <si>
    <t>ALEX</t>
  </si>
  <si>
    <t>822-29</t>
  </si>
  <si>
    <t>176-29</t>
  </si>
  <si>
    <t>181-29</t>
  </si>
  <si>
    <t>174-29</t>
  </si>
  <si>
    <t>183-29</t>
  </si>
  <si>
    <t>178-29</t>
  </si>
  <si>
    <t>180-29</t>
  </si>
  <si>
    <t>185-29</t>
  </si>
  <si>
    <t>824-29</t>
  </si>
  <si>
    <t>182-29</t>
  </si>
  <si>
    <t>189-29</t>
  </si>
  <si>
    <t>184-29</t>
  </si>
  <si>
    <t>191-29</t>
  </si>
  <si>
    <t>825-29</t>
  </si>
  <si>
    <t>193-29</t>
  </si>
  <si>
    <t>186-29</t>
  </si>
  <si>
    <t>904-29</t>
  </si>
  <si>
    <t>195-29</t>
  </si>
  <si>
    <t>826-29</t>
  </si>
  <si>
    <t>827-29</t>
  </si>
  <si>
    <t>197-29</t>
  </si>
  <si>
    <t>190-29</t>
  </si>
  <si>
    <t>75-29</t>
  </si>
  <si>
    <t>192-29</t>
  </si>
  <si>
    <t>828-29</t>
  </si>
  <si>
    <t>199-29</t>
  </si>
  <si>
    <t>829-29</t>
  </si>
  <si>
    <t>194-29</t>
  </si>
  <si>
    <t>201-29</t>
  </si>
  <si>
    <t>77-29</t>
  </si>
  <si>
    <t>196-29</t>
  </si>
  <si>
    <t>203-29</t>
  </si>
  <si>
    <t>831-29</t>
  </si>
  <si>
    <t>198-29</t>
  </si>
  <si>
    <t>205-29</t>
  </si>
  <si>
    <t>200-29</t>
  </si>
  <si>
    <t>207-29</t>
  </si>
  <si>
    <t>832-29</t>
  </si>
  <si>
    <t>88-29</t>
  </si>
  <si>
    <t>833-29</t>
  </si>
  <si>
    <t>202-29</t>
  </si>
  <si>
    <t>209-29</t>
  </si>
  <si>
    <t>204-29</t>
  </si>
  <si>
    <t>211-29</t>
  </si>
  <si>
    <t>834-29</t>
  </si>
  <si>
    <t>835-29</t>
  </si>
  <si>
    <t>213-29</t>
  </si>
  <si>
    <t>206-29</t>
  </si>
  <si>
    <t>208-29</t>
  </si>
  <si>
    <t>215-29</t>
  </si>
  <si>
    <t>836-29</t>
  </si>
  <si>
    <t>210-29</t>
  </si>
  <si>
    <t>837-29</t>
  </si>
  <si>
    <t>217-29</t>
  </si>
  <si>
    <t>212-29</t>
  </si>
  <si>
    <t>838-29</t>
  </si>
  <si>
    <t>219-29</t>
  </si>
  <si>
    <t>839-29</t>
  </si>
  <si>
    <t>214-29</t>
  </si>
  <si>
    <t>301-29</t>
  </si>
  <si>
    <t>221-29</t>
  </si>
  <si>
    <t>906-29</t>
  </si>
  <si>
    <t>841-29</t>
  </si>
  <si>
    <t>218-29</t>
  </si>
  <si>
    <t>303-29</t>
  </si>
  <si>
    <t>223-29</t>
  </si>
  <si>
    <t>220-29</t>
  </si>
  <si>
    <t>222-29</t>
  </si>
  <si>
    <t>225-29</t>
  </si>
  <si>
    <t>224-29</t>
  </si>
  <si>
    <t>227-29</t>
  </si>
  <si>
    <t>842-29</t>
  </si>
  <si>
    <t>229-29</t>
  </si>
  <si>
    <t>226-29</t>
  </si>
  <si>
    <t>845-29</t>
  </si>
  <si>
    <t>231-29</t>
  </si>
  <si>
    <t>844-29</t>
  </si>
  <si>
    <t>233-29</t>
  </si>
  <si>
    <t>230-29</t>
  </si>
  <si>
    <t>847-29</t>
  </si>
  <si>
    <t>232-29</t>
  </si>
  <si>
    <t>846-29</t>
  </si>
  <si>
    <t>235-29</t>
  </si>
  <si>
    <t>237-29</t>
  </si>
  <si>
    <t>234-29</t>
  </si>
  <si>
    <t>849-29</t>
  </si>
  <si>
    <t>239-29</t>
  </si>
  <si>
    <t>908-29</t>
  </si>
  <si>
    <t>236-29</t>
  </si>
  <si>
    <t>241-29</t>
  </si>
  <si>
    <t>238-29</t>
  </si>
  <si>
    <t>240-29</t>
  </si>
  <si>
    <t>243-29</t>
  </si>
  <si>
    <t>313-29</t>
  </si>
  <si>
    <t>242-29</t>
  </si>
  <si>
    <t>307-29</t>
  </si>
  <si>
    <t>309-29</t>
  </si>
  <si>
    <t>311-29</t>
  </si>
  <si>
    <t>204:890</t>
  </si>
  <si>
    <t>204:232953</t>
  </si>
  <si>
    <t>204:904</t>
  </si>
  <si>
    <t>204:491</t>
  </si>
  <si>
    <t>204:677</t>
  </si>
  <si>
    <t>204:19115</t>
  </si>
  <si>
    <t>204:232927</t>
  </si>
  <si>
    <t>204:256</t>
  </si>
  <si>
    <t>204:233230</t>
  </si>
  <si>
    <t>204:189</t>
  </si>
  <si>
    <t>204:233311</t>
  </si>
  <si>
    <t>204:232986</t>
  </si>
  <si>
    <t>204:139</t>
  </si>
  <si>
    <t>204:232991</t>
  </si>
  <si>
    <t>204:233196</t>
  </si>
  <si>
    <t>204:232877</t>
  </si>
  <si>
    <t>204:460</t>
  </si>
  <si>
    <t>204:232961</t>
  </si>
  <si>
    <t>204:147</t>
  </si>
  <si>
    <t>204:553</t>
  </si>
  <si>
    <t>204:233263</t>
  </si>
  <si>
    <t>204:488</t>
  </si>
  <si>
    <t>204:232890</t>
  </si>
  <si>
    <t>204:232974</t>
  </si>
  <si>
    <t>204:283</t>
  </si>
  <si>
    <t>204:233297</t>
  </si>
  <si>
    <t>204:130</t>
  </si>
  <si>
    <t>204:1826</t>
  </si>
  <si>
    <t>204:232947</t>
  </si>
  <si>
    <t>204:513</t>
  </si>
  <si>
    <t>204:233176</t>
  </si>
  <si>
    <t>204:232869</t>
  </si>
  <si>
    <t>204:233242</t>
  </si>
  <si>
    <t>204:232911</t>
  </si>
  <si>
    <t>204:584</t>
  </si>
  <si>
    <t>204:429</t>
  </si>
  <si>
    <t>204:233198</t>
  </si>
  <si>
    <t>204:232885</t>
  </si>
  <si>
    <t>204:233288</t>
  </si>
  <si>
    <t>204:43614</t>
  </si>
  <si>
    <t>204:18768</t>
  </si>
  <si>
    <t>204:232</t>
  </si>
  <si>
    <t>204:447</t>
  </si>
  <si>
    <t>204:233291</t>
  </si>
  <si>
    <t>204:504</t>
  </si>
  <si>
    <t>204:233329</t>
  </si>
  <si>
    <t>204:232994</t>
  </si>
  <si>
    <t>204:209</t>
  </si>
  <si>
    <t>204:233192</t>
  </si>
  <si>
    <t>204:232865</t>
  </si>
  <si>
    <t>204:233217</t>
  </si>
  <si>
    <t>204:233180</t>
  </si>
  <si>
    <t>204:282</t>
  </si>
  <si>
    <t>204:232969</t>
  </si>
  <si>
    <t>204:232602</t>
  </si>
  <si>
    <t>204:163</t>
  </si>
  <si>
    <t>204:233153</t>
  </si>
  <si>
    <t>204:232827</t>
  </si>
  <si>
    <t>204:254</t>
  </si>
  <si>
    <t>204:233181</t>
  </si>
  <si>
    <t>204:232862</t>
  </si>
  <si>
    <t>204:571</t>
  </si>
  <si>
    <t>204:233168</t>
  </si>
  <si>
    <t>204:232850</t>
  </si>
  <si>
    <t>204:232981</t>
  </si>
  <si>
    <t>204:449</t>
  </si>
  <si>
    <t>204:232944</t>
  </si>
  <si>
    <t>204:233300</t>
  </si>
  <si>
    <t>204:127869</t>
  </si>
  <si>
    <t>204:1912</t>
  </si>
  <si>
    <t>204:127860</t>
  </si>
  <si>
    <t>204:233229</t>
  </si>
  <si>
    <t>204:232973</t>
  </si>
  <si>
    <t>204:160</t>
  </si>
  <si>
    <t>204:519</t>
  </si>
  <si>
    <t>204:233236</t>
  </si>
  <si>
    <t>204:232930</t>
  </si>
  <si>
    <t>204:127864</t>
  </si>
  <si>
    <t>204:500</t>
  </si>
  <si>
    <t>204:185</t>
  </si>
  <si>
    <t>204:233234</t>
  </si>
  <si>
    <t>204:233323</t>
  </si>
  <si>
    <t>204:233008</t>
  </si>
  <si>
    <t>204:531</t>
  </si>
  <si>
    <t>204:495</t>
  </si>
  <si>
    <t>204:515</t>
  </si>
  <si>
    <t>204:232857</t>
  </si>
  <si>
    <t>204:522</t>
  </si>
  <si>
    <t>204:233162</t>
  </si>
  <si>
    <t>204:586</t>
  </si>
  <si>
    <t>204:233253</t>
  </si>
  <si>
    <t>204:232936</t>
  </si>
  <si>
    <t>204:233174</t>
  </si>
  <si>
    <t>204:232872</t>
  </si>
  <si>
    <t>204:568</t>
  </si>
  <si>
    <t>204:233308</t>
  </si>
  <si>
    <t>204:232970</t>
  </si>
  <si>
    <t>204:233183</t>
  </si>
  <si>
    <t>204:233264</t>
  </si>
  <si>
    <t>300:23516</t>
  </si>
  <si>
    <t>204:591</t>
  </si>
  <si>
    <t>300:23302</t>
  </si>
  <si>
    <t>300:25776</t>
  </si>
  <si>
    <t>300:25779</t>
  </si>
  <si>
    <t>300:23597</t>
  </si>
  <si>
    <t>204:181</t>
  </si>
  <si>
    <t>300:19797</t>
  </si>
  <si>
    <t>300:23297</t>
  </si>
  <si>
    <t>300:22997</t>
  </si>
  <si>
    <t>204:245</t>
  </si>
  <si>
    <t>204:590</t>
  </si>
  <si>
    <t>300:23203</t>
  </si>
  <si>
    <t>300:23724</t>
  </si>
  <si>
    <t>300:23883</t>
  </si>
  <si>
    <t>300:19246</t>
  </si>
  <si>
    <t>300:20246</t>
  </si>
  <si>
    <t>204:1212</t>
  </si>
  <si>
    <t>204:1480</t>
  </si>
  <si>
    <t>300:24216</t>
  </si>
  <si>
    <t>300:5106</t>
  </si>
  <si>
    <t>204:1157</t>
  </si>
  <si>
    <t>300:5423</t>
  </si>
  <si>
    <t>300:112191</t>
  </si>
  <si>
    <t>204:484</t>
  </si>
  <si>
    <t>300:112509</t>
  </si>
  <si>
    <t>204:191</t>
  </si>
  <si>
    <t>300:112258</t>
  </si>
  <si>
    <t>204:186</t>
  </si>
  <si>
    <t>204:486</t>
  </si>
  <si>
    <t>300:112570</t>
  </si>
  <si>
    <t>300:112507</t>
  </si>
  <si>
    <t>300:112197</t>
  </si>
  <si>
    <t>300:112260</t>
  </si>
  <si>
    <t>204:4569</t>
  </si>
  <si>
    <t>300:112254</t>
  </si>
  <si>
    <t>300:112576</t>
  </si>
  <si>
    <t>300:112189</t>
  </si>
  <si>
    <t>300:28782</t>
  </si>
  <si>
    <t>204:3221</t>
  </si>
  <si>
    <t>204:1192</t>
  </si>
  <si>
    <t>204:3225</t>
  </si>
  <si>
    <t>204:3554</t>
  </si>
  <si>
    <t>204:1490</t>
  </si>
  <si>
    <t>204:1851</t>
  </si>
  <si>
    <t>300:112201</t>
  </si>
  <si>
    <t>204:956</t>
  </si>
  <si>
    <t>204:1281</t>
  </si>
  <si>
    <t>300:112502</t>
  </si>
  <si>
    <t>300:112459</t>
  </si>
  <si>
    <t>300:4979</t>
  </si>
  <si>
    <t>204:1747</t>
  </si>
  <si>
    <t>300:112150</t>
  </si>
  <si>
    <t>204:924</t>
  </si>
  <si>
    <t>300:112170</t>
  </si>
  <si>
    <t>204:917</t>
  </si>
  <si>
    <t>300:112138</t>
  </si>
  <si>
    <t>204:433</t>
  </si>
  <si>
    <t>204:3203</t>
  </si>
  <si>
    <t>204:1148</t>
  </si>
  <si>
    <t>204:3505</t>
  </si>
  <si>
    <t>204:1205</t>
  </si>
  <si>
    <t>204:1210</t>
  </si>
  <si>
    <t>300:23308</t>
  </si>
  <si>
    <t>300:23841</t>
  </si>
  <si>
    <t>300:21464</t>
  </si>
  <si>
    <t>300:58675</t>
  </si>
  <si>
    <t>204:703</t>
  </si>
  <si>
    <t>204:1382</t>
  </si>
  <si>
    <t>300:58976</t>
  </si>
  <si>
    <t>300:58662</t>
  </si>
  <si>
    <t>204:722</t>
  </si>
  <si>
    <t>204:1139</t>
  </si>
  <si>
    <t>300:58978</t>
  </si>
  <si>
    <t>300:58666</t>
  </si>
  <si>
    <t>204:857</t>
  </si>
  <si>
    <t>204:1375</t>
  </si>
  <si>
    <t>300:58993</t>
  </si>
  <si>
    <t>300:58688</t>
  </si>
  <si>
    <t>204:736</t>
  </si>
  <si>
    <t>204:1161</t>
  </si>
  <si>
    <t>300:58975</t>
  </si>
  <si>
    <t>300:58651</t>
  </si>
  <si>
    <t>204:4537</t>
  </si>
  <si>
    <t>300:58707</t>
  </si>
  <si>
    <t>204:4524</t>
  </si>
  <si>
    <t>204:1179</t>
  </si>
  <si>
    <t>300:58653</t>
  </si>
  <si>
    <t>204:895</t>
  </si>
  <si>
    <t>204:1154</t>
  </si>
  <si>
    <t>300:58640</t>
  </si>
  <si>
    <t>204:874</t>
  </si>
  <si>
    <t>204:1168</t>
  </si>
  <si>
    <t>204:852</t>
  </si>
  <si>
    <t>204:1156</t>
  </si>
  <si>
    <t>204:876</t>
  </si>
  <si>
    <t>204:1174</t>
  </si>
  <si>
    <t>300:58647</t>
  </si>
  <si>
    <t>204:871</t>
  </si>
  <si>
    <t>204:1153</t>
  </si>
  <si>
    <t>300:58950</t>
  </si>
  <si>
    <t>300:58634</t>
  </si>
  <si>
    <t>300:58954</t>
  </si>
  <si>
    <t>300:58636</t>
  </si>
  <si>
    <t>204:164</t>
  </si>
  <si>
    <t>300:58958</t>
  </si>
  <si>
    <t>300:58928</t>
  </si>
  <si>
    <t>204:155</t>
  </si>
  <si>
    <t>300:58916</t>
  </si>
  <si>
    <t>300:58602</t>
  </si>
  <si>
    <t>204:126</t>
  </si>
  <si>
    <t>300:58935</t>
  </si>
  <si>
    <t>204:171</t>
  </si>
  <si>
    <t>204:448</t>
  </si>
  <si>
    <t>300:58946</t>
  </si>
  <si>
    <t>300:58608</t>
  </si>
  <si>
    <t>204:426</t>
  </si>
  <si>
    <t>300:30051</t>
  </si>
  <si>
    <t>300:58990</t>
  </si>
  <si>
    <t>300:23574</t>
  </si>
  <si>
    <t>204:1011</t>
  </si>
  <si>
    <t>204:2738</t>
  </si>
  <si>
    <t>204:2716</t>
  </si>
  <si>
    <t>300:24235</t>
  </si>
  <si>
    <t>300:23716</t>
  </si>
  <si>
    <t>300:58630</t>
  </si>
  <si>
    <t>300:28774</t>
  </si>
  <si>
    <t>300:58621</t>
  </si>
  <si>
    <t>300:28780</t>
  </si>
  <si>
    <t>start /low /b %USERPROFILE%\Documents\GitHub\eaglep3\Utilities\DownloadLogsFromS3.py --loco 4026 --day 2017-11-29</t>
  </si>
  <si>
    <t>start /low /b %USERPROFILE%\Documents\GitHub\eaglep3\Utilities\DownloadLogsFromS3.py --loco 4005 --day 2017-11-29</t>
  </si>
  <si>
    <t>start /low /b %USERPROFILE%\Documents\GitHub\eaglep3\Utilities\DownloadLogsFromS3.py --loco 4027 --day 1969-12-31</t>
  </si>
  <si>
    <t>start /low /b %USERPROFILE%\Documents\GitHub\eaglep3\Utilities\DownloadLogsFromS3.py --loco 4025 --day 2017-11-29</t>
  </si>
  <si>
    <t>start /low /b %USERPROFILE%\Documents\GitHub\eaglep3\Utilities\DownloadLogsFromS3.py --loco 4031 --day 2017-11-29</t>
  </si>
  <si>
    <t>start /low /b %USERPROFILE%\Documents\GitHub\eaglep3\Utilities\DownloadLogsFromS3.py --loco 4017 --day 2017-11-29</t>
  </si>
  <si>
    <t>start /low /b %USERPROFILE%\Documents\GitHub\eaglep3\Utilities\DownloadLogsFromS3.py --loco 4019 --day 2017-11-29</t>
  </si>
  <si>
    <t>start /low /b %USERPROFILE%\Documents\GitHub\eaglep3\Utilities\DownloadLogsFromS3.py --loco 4005 --day 2017-11-30</t>
  </si>
  <si>
    <t>start /low /b %USERPROFILE%\Documents\GitHub\eaglep3\Utilities\DownloadLogsFromS3.py --loco 4020 --day 2017-11-29</t>
  </si>
  <si>
    <t>start /low /b %USERPROFILE%\Documents\GitHub\eaglep3\Utilities\DownloadLogsFromS3.py --loco 4028 --day 2017-11-29</t>
  </si>
  <si>
    <t>start /low /b %USERPROFILE%\Documents\GitHub\eaglep3\Utilities\DownloadLogsFromS3.py --loco 4002 --day 2017-11-29</t>
  </si>
  <si>
    <t>start /low /b %USERPROFILE%\Documents\GitHub\eaglep3\Utilities\DownloadLogsFromS3.py --loco 4019 --day 2017-11-30</t>
  </si>
  <si>
    <t>start /low /b %USERPROFILE%\Documents\GitHub\eaglep3\Utilities\DownloadLogsFromS3.py --loco 4032 --day 2017-11-29</t>
  </si>
  <si>
    <t>start /low /b %USERPROFILE%\Documents\GitHub\eaglep3\Utilities\DownloadLogsFromS3.py --loco 4031 --day 2017-11-30</t>
  </si>
  <si>
    <t>300:112511</t>
  </si>
  <si>
    <t>204:1222</t>
  </si>
  <si>
    <t>300:112466</t>
  </si>
  <si>
    <t>204:732</t>
  </si>
  <si>
    <t>300:5321</t>
  </si>
  <si>
    <t>300:21797</t>
  </si>
  <si>
    <t>300:23164</t>
  </si>
  <si>
    <t>204:3298</t>
  </si>
  <si>
    <t>Minor onboard in-route failure caused signal unknown banner</t>
  </si>
  <si>
    <t>Brake pressure issue</t>
  </si>
  <si>
    <t>Onboard in-route failure</t>
  </si>
  <si>
    <t>Poor GPS @ DIA</t>
  </si>
  <si>
    <t>Overspeed</t>
  </si>
  <si>
    <t>Selected wrong track</t>
  </si>
  <si>
    <t>Wheel tach slip</t>
  </si>
  <si>
    <t>Brief Wi-MAX data drop, no enforcement/cutout</t>
  </si>
  <si>
    <t>Brief Wi-MAX data drop caused unhealthy banner</t>
  </si>
  <si>
    <t>Observed track warrant banner due to reverser handle</t>
  </si>
  <si>
    <t>Minor Onboard in-route failure caused switch unknown banner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</si>
</sst>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08"/>
  <sheetViews>
    <sheetView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8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0" customWidth="1"/>
    <col min="19" max="19" width="6" style="218" customWidth="1"/>
    <col min="20" max="20" width="3.85546875" style="167" customWidth="1"/>
    <col min="21" max="21" width="5" style="195" customWidth="1"/>
    <col min="22" max="22" width="5.7109375" style="216" customWidth="1"/>
    <col min="23" max="23" width="3.85546875" style="201" customWidth="1"/>
    <col min="24" max="24" width="6.5703125" style="201" customWidth="1"/>
    <col min="25" max="25" width="8.85546875" style="201" customWidth="1"/>
    <col min="26" max="26" width="7.28515625" style="201" customWidth="1"/>
    <col min="27" max="27" width="9.140625" style="20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7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1"/>
    <col min="41" max="41" width="3.7109375" style="167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43068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43068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.75" thickBot="1" x14ac:dyDescent="0.3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144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49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COUNTIFS($N$13:$N$9551,"&gt;0",$AG$13:$AG$9551,I1)</f>
        <v>136</v>
      </c>
      <c r="K5" s="39"/>
      <c r="L5" s="171"/>
      <c r="M5" s="40">
        <f>AVERAGEIFS($N$13:$N$9551,$AG$13:$AG$9551,I1)</f>
        <v>37.152328430966008</v>
      </c>
      <c r="N5" s="38">
        <f t="array" ref="N5">MIN(IF($AG$13:$AG$9551=I1,IF(ISNUMBER($N$13:$N$9551),IF($N$13:$N$9551&gt;0,$N$13:$N$9551))))</f>
        <v>33.883333333069459</v>
      </c>
      <c r="O5" s="3">
        <f t="array" ref="O5">MAX(IF($AG$13:$AG$9551=I1,IF(ISNUMBER($N$13:$N$9551),IF($N$13:$N$9551&gt;0,$N$13:$N$9551))))</f>
        <v>42.850000000325963</v>
      </c>
      <c r="P5" s="2"/>
      <c r="R5" s="162" t="s">
        <v>17</v>
      </c>
      <c r="S5" s="206">
        <f>COUNTIFS($N$13:$N$9551,"&gt;0",$AG$13:$AG$9551,R1)</f>
        <v>49</v>
      </c>
      <c r="T5" s="171"/>
      <c r="U5" s="194"/>
      <c r="V5" s="210">
        <f>AVERAGEIFS($N$13:$N$9551,$AG$13:$AG$9551,R1)</f>
        <v>14.061904762567458</v>
      </c>
      <c r="W5" s="211">
        <f t="array" ref="W5">MIN(IF($AG$13:$AG$9551=R1,IF(ISNUMBER($N$13:$N$9551),IF($N$13:$N$9551&gt;0,$N$13:$N$9551))))</f>
        <v>9.3500000063795596</v>
      </c>
      <c r="X5" s="199">
        <f t="array" ref="X5">MAX(IF($AG$13:$AG$9551=R1,IF(ISNUMBER($N$13:$N$9551),IF($N$13:$N$9551&gt;0,$N$13:$N$9551))))</f>
        <v>17.366666671587154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COUNT($O$13:$O$309)</f>
        <v>0</v>
      </c>
      <c r="K6" s="39"/>
      <c r="L6" s="171"/>
      <c r="M6" s="40">
        <f>IFERROR(AVERAGE($O$13:$O$309),0)</f>
        <v>0</v>
      </c>
      <c r="N6" s="38">
        <f>MIN($O$13:$O$309)</f>
        <v>0</v>
      </c>
      <c r="O6" s="3">
        <f>MAX($O$13:$O$309)</f>
        <v>0</v>
      </c>
      <c r="P6" s="2"/>
      <c r="R6" s="163" t="s">
        <v>43</v>
      </c>
      <c r="S6" s="206">
        <f>COUNT($O$13:$O$309)</f>
        <v>0</v>
      </c>
      <c r="T6" s="171"/>
      <c r="U6" s="194"/>
      <c r="V6" s="210">
        <f>IFERROR(AVERAGE($O$13:$O$309),0)</f>
        <v>0</v>
      </c>
      <c r="W6" s="211">
        <f>MIN($O$13:$O$309)</f>
        <v>0</v>
      </c>
      <c r="X6" s="199">
        <f>MAX($O$13:$O$309)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COUNTIFS($P$13:$P$9551,"&gt;0",$AG$13:$AG$9551,I1)</f>
        <v>8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COUNTIFS($P$13:$P$9551,"&gt;0",$AG$13:$AG$9551,R1)</f>
        <v>0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136</v>
      </c>
      <c r="K8" s="39"/>
      <c r="L8" s="171"/>
      <c r="M8" s="40">
        <f>M5</f>
        <v>37.152328430966008</v>
      </c>
      <c r="N8" s="38">
        <f>N5</f>
        <v>33.883333333069459</v>
      </c>
      <c r="O8" s="3">
        <f>O5</f>
        <v>42.850000000325963</v>
      </c>
      <c r="P8" s="2"/>
      <c r="R8" s="162" t="s">
        <v>16</v>
      </c>
      <c r="S8" s="206">
        <f>S5</f>
        <v>49</v>
      </c>
      <c r="T8" s="171"/>
      <c r="U8" s="194"/>
      <c r="V8" s="210">
        <f>V5</f>
        <v>14.061904762567458</v>
      </c>
      <c r="W8" s="211">
        <f>W5</f>
        <v>9.3500000063795596</v>
      </c>
      <c r="X8" s="199">
        <f>X5</f>
        <v>17.366666671587154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0.94444444444444442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1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5" thickBot="1" x14ac:dyDescent="0.3">
      <c r="A11" s="251" t="str">
        <f>"Eagle P3 System Performance - "&amp;TEXT(Variables!A2,"yyyy-mm-dd")</f>
        <v>Eagle P3 System Performance - 2017-11-29</v>
      </c>
      <c r="B11" s="251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S11" s="218">
        <f>AVERAGE(S13:S131)</f>
        <v>0.98830409356725135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6" t="s">
        <v>351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657</v>
      </c>
      <c r="B13" s="7">
        <v>4044</v>
      </c>
      <c r="C13" s="21" t="s">
        <v>192</v>
      </c>
      <c r="D13" s="21" t="s">
        <v>876</v>
      </c>
      <c r="E13" s="13">
        <v>43068.130729166667</v>
      </c>
      <c r="F13" s="13">
        <v>43068.135601851849</v>
      </c>
      <c r="G13" s="7">
        <v>73</v>
      </c>
      <c r="H13" s="21" t="s">
        <v>515</v>
      </c>
      <c r="I13" s="13">
        <v>43068.160532407404</v>
      </c>
      <c r="J13" s="7">
        <v>0</v>
      </c>
      <c r="K13" s="89" t="str">
        <f t="shared" ref="K13:K44" si="0">IF(ISEVEN(B13),(B13-1)&amp;"/"&amp;B13,B13&amp;"/"&amp;(B13+1))</f>
        <v>4043/4044</v>
      </c>
      <c r="L13" s="184" t="str">
        <f>VLOOKUP(A13,'Trips&amp;Operators'!$C$1:$G$99911,5,FALSE)</f>
        <v>NICHOLAS PLOYSA</v>
      </c>
      <c r="M13" s="6">
        <f t="shared" ref="M13:M44" si="1">I13-F13</f>
        <v>2.4930555555329192E-2</v>
      </c>
      <c r="N13" s="7">
        <f>24*60*SUM($M13:$M13)</f>
        <v>35.899999999674037</v>
      </c>
      <c r="O13" s="7"/>
      <c r="P13" s="7"/>
      <c r="Q13" s="22"/>
      <c r="R13" s="166"/>
      <c r="S13" s="250">
        <f>1/IF(AG13="EC",12,1)*SUM(U13:U13)</f>
        <v>1</v>
      </c>
      <c r="T13" s="173" t="str">
        <f t="shared" ref="T13:T44" si="2"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 t="shared" ref="V13:V76" si="3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-29T02:08:15-0700',mode:absolute,to:'2017-11-29T04:51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" s="203" t="str">
        <f>IF(AA13&lt;VLOOKUP(AG13,Variables!$AC$3:$AD$8,2,FALSE),"Y","N")</f>
        <v>N</v>
      </c>
      <c r="X13" s="203" t="e">
        <f>VALUE(LEFT(AD13,4))-VALUE(LEFT(AD12,4))</f>
        <v>#VALUE!</v>
      </c>
      <c r="Y13" s="203">
        <f>RIGHT(D13,LEN(D13)-4)/10000</f>
        <v>8.8999999999999996E-2</v>
      </c>
      <c r="Z13" s="203">
        <f>RIGHT(H13,LEN(H13)-4)/10000</f>
        <v>23.327200000000001</v>
      </c>
      <c r="AA13" s="203">
        <f t="shared" ref="AA13:AA44" si="4">ABS(Z13-Y13)</f>
        <v>23.238200000000003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 t="shared" ref="AD13:AD44" si="5">VALUE(LEFT(A13,LEN(A13)-3))</f>
        <v>101</v>
      </c>
      <c r="AE13" s="77" t="str">
        <f t="shared" ref="AE13:AE76" si="6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s3://rtdc.mdm.uploadarchive.raw/RTDC4044/ "%USERPROFILE%\AppData\Local\Temp\OnboardLogs"\RTDC4044\2017-11-29 --exclude "*" --recursive --include "*20171129*" &amp; "%USERPROFILE%\Documents\GitHub\mrs-test-scripts\Headless Mode &amp; Sideloading\WalkAndUnGZ.bat" "%USERPROFILE%\AppData\Local\Temp\OnboardLogs"\RTDC4044\2017-11-29 &amp; aws s3 cp s3://rtdc.mdm.uploadarchive.raw/RTDC4044/ "%USERPROFILE%\AppData\Local\Temp\OnboardLogs"\RTDC4044\2017-11-30 --exclude "*" --recursive --include "*20171130*" &amp; "%USERPROFILE%\Documents\GitHub\mrs-test-scripts\Headless Mode &amp; Sideloading\WalkAndUnGZ.bat" "%USERPROFILE%\AppData\Local\Temp\OnboardLogs"\RTDC4044\2017-11-30</v>
      </c>
      <c r="AF13" s="74" t="str">
        <f t="shared" ref="AF13:AF76" si="7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/stypes="app*4044*20171129*" /stext=" 10:.+((SYSTEM_STATE.+slice.+state.+changed )|(ment ac)|(multiple cpu faults)|(system.+state.+changed )|(\[timeout)|(PRM\|1\|D)|(kpr)|(kdp)|(train st.+moving)|(\|lc)|(penalty))"</v>
      </c>
      <c r="AG13" s="181" t="str">
        <f t="shared" ref="AG13:AG44" si="8">DetSubdiv(A13)</f>
        <v>EC</v>
      </c>
      <c r="AH13" s="78" t="str">
        <f t="shared" ref="AH13" si="9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101-29 --locoid 4044 --swversion DE.1.0.9.0 --startMP 204:890 --initTime 2017-11-29T03:08:15 --startdatetime 2017-11-29T03:15:16 --delay 73 --endMP 204:233272 --enddatetime 2017-11-29T03:51:10 --enforcementcount 0 &gt;&gt;%USERPROFILE%\Documents\GitHub\eaglep3-reporting\EC\2017-11-29-refined-times.txt</v>
      </c>
      <c r="AI13" s="96" t="str">
        <f t="shared" ref="AI13" si="10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{"issue":{"subject":"","project_id":79,"tracker_id":40,"status_id":1,"priority_id":2,"assigned_to_id":338,"start_date":"2017-11-29","description":"","custom_fields":[{"id":1,"name":"Subdivision","value":"EC"},{"id":4,"name":"Milepost","value":"23.3272"},{"id":17,"name":"Train ID","value":"101-29"},{"id":16,"name":"Locomotive ID","value":"4044"},{"id":130,"name":"Impact","value":""},{"id":150,"name":"Time of Event (Mountain Time)","value":"03:51:10"},{"id":151,"name":"Denver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11">"start /low /b "&amp;dls3logs&amp;" --loco "&amp;B13&amp;" --day "&amp;TEXT(F13,"YYYY-MM-DD")</f>
        <v>start /low /b %USERPROFILE%\Documents\GitHub\eaglep3\Utilities\DownloadLogsFromS3.py --loco 4044 --day 2017-11-29</v>
      </c>
      <c r="AN13" s="150" t="str">
        <f t="shared" ref="AN13" si="12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10:51:10"},{"id":29,"name":"Sharepoint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13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-29T02:08:15-0700',mode:absolute,to:'2017-11-29T04:51:10-0700'))&amp;_a=(columns:!('Message%20ID',Summary),filters:!(),index:'emp_*',interval:auto,query:(query_string:(analyze_wildcard:!t,query:'%22rtdc.l.rtdc.4044%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230" t="s">
        <v>619</v>
      </c>
      <c r="B14" s="226">
        <v>4043</v>
      </c>
      <c r="C14" s="228" t="s">
        <v>192</v>
      </c>
      <c r="D14" s="228" t="s">
        <v>877</v>
      </c>
      <c r="E14" s="227">
        <v>43068.169664351852</v>
      </c>
      <c r="F14" s="227">
        <v>43068.175173611111</v>
      </c>
      <c r="G14" s="226">
        <v>92</v>
      </c>
      <c r="H14" s="228" t="s">
        <v>878</v>
      </c>
      <c r="I14" s="227">
        <v>43068.201631944445</v>
      </c>
      <c r="J14" s="226">
        <v>0</v>
      </c>
      <c r="K14" s="238" t="str">
        <f t="shared" si="0"/>
        <v>4043/4044</v>
      </c>
      <c r="L14" s="246" t="str">
        <f>VLOOKUP(A14,'Trips&amp;Operators'!$C$1:$G$99911,5,FALSE)</f>
        <v>NICHOLAS PLOYSA</v>
      </c>
      <c r="M14" s="225">
        <f t="shared" si="1"/>
        <v>2.6458333333721384E-2</v>
      </c>
      <c r="N14" s="226">
        <f>24*60*SUM($M14:$M14)</f>
        <v>38.100000000558794</v>
      </c>
      <c r="O14" s="226"/>
      <c r="P14" s="226"/>
      <c r="Q14" s="229"/>
      <c r="R14" s="243"/>
      <c r="S14" s="250">
        <f>1/IF(AG14="EC",12,1)*SUM(U14:U14)</f>
        <v>1</v>
      </c>
      <c r="T14" s="243" t="str">
        <f t="shared" si="2"/>
        <v>Southbound</v>
      </c>
      <c r="U14" s="24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9" t="str">
        <f t="shared" si="3"/>
        <v>https://d0f6bd738d7f1b3e5a7ca70fe4ff75f0.us-east-1.aws.found.io/app/kibana#/discover/Steve-Slow-Train-Analysis-(2080s-and-2083s)?_g=(refreshInterval:(display:Off,pause:!f,section:0,value:0),time:(from:'2017-11-29T03:04:19-0700',mode:absolute,to:'2017-11-29T05:50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" s="248" t="str">
        <f>IF(AA14&lt;VLOOKUP(AG14,Variables!$AC$3:$AD$8,2,FALSE),"Y","N")</f>
        <v>N</v>
      </c>
      <c r="X14" s="248">
        <f>VALUE(LEFT(AD14,4))-VALUE(LEFT(AD13,4))</f>
        <v>1</v>
      </c>
      <c r="Y14" s="248">
        <f>RIGHT(D14,LEN(D14)-4)/10000</f>
        <v>23.295300000000001</v>
      </c>
      <c r="Z14" s="248">
        <f>RIGHT(H14,LEN(H14)-4)/10000</f>
        <v>9.0399999999999994E-2</v>
      </c>
      <c r="AA14" s="248">
        <f t="shared" si="4"/>
        <v>23.204900000000002</v>
      </c>
      <c r="AB14" s="234" t="e">
        <f>VLOOKUP(A14,Enforcements!$C$7:$K$9,8,0)</f>
        <v>#N/A</v>
      </c>
      <c r="AC14" s="233" t="e">
        <f>VLOOKUP(A14,Enforcements!$C$7:$E$9,3,0)</f>
        <v>#N/A</v>
      </c>
      <c r="AD14" s="244">
        <f t="shared" si="5"/>
        <v>102</v>
      </c>
      <c r="AE14" s="236" t="str">
        <f t="shared" si="6"/>
        <v>aws s3 cp s3://rtdc.mdm.uploadarchive.raw/RTDC4043/ "%USERPROFILE%\AppData\Local\Temp\OnboardLogs"\RTDC4043\2017-11-29 --exclude "*" --recursive --include "*20171129*" &amp; "%USERPROFILE%\Documents\GitHub\mrs-test-scripts\Headless Mode &amp; Sideloading\WalkAndUnGZ.bat" "%USERPROFILE%\AppData\Local\Temp\OnboardLogs"\RTDC4043\2017-11-29 &amp; aws s3 cp s3://rtdc.mdm.uploadarchive.raw/RTDC4043/ "%USERPROFILE%\AppData\Local\Temp\OnboardLogs"\RTDC4043\2017-11-30 --exclude "*" --recursive --include "*20171130*" &amp; "%USERPROFILE%\Documents\GitHub\mrs-test-scripts\Headless Mode &amp; Sideloading\WalkAndUnGZ.bat" "%USERPROFILE%\AppData\Local\Temp\OnboardLogs"\RTDC4043\2017-11-30</v>
      </c>
      <c r="AF14" s="235" t="str">
        <f t="shared" si="7"/>
        <v>"C:\Program Files (x86)\AstroGrep\AstroGrep.exe" /e /r /s /spath="%USERPROFILE%\AppData\Local\Temp\OnboardLogs" /stypes="app*4043*20171129*" /stext=" 11:.+((SYSTEM_STATE.+slice.+state.+changed )|(ment ac)|(multiple cpu faults)|(system.+state.+changed )|(\[timeout)|(PRM\|1\|D)|(kpr)|(kdp)|(train st.+moving)|(\|lc)|(penalty))"</v>
      </c>
      <c r="AG14" s="245" t="str">
        <f t="shared" si="8"/>
        <v>EC</v>
      </c>
      <c r="AH14" s="237" t="str">
        <f t="shared" ref="AH14:AH79" si="1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102-29 --locoid 4043 --swversion DE.1.0.9.0 --startMP 204:232953 --initTime 2017-11-29T04:04:19 --startdatetime 2017-11-29T04:12:15 --delay 92 --endMP 204:904 --enddatetime 2017-11-29T04:50:21 --enforcementcount 0 &gt;&gt;%USERPROFILE%\Documents\GitHub\eaglep3-reporting\EC\2017-11-29-refined-times.txt</v>
      </c>
      <c r="AI14" s="239" t="str">
        <f t="shared" ref="AI14:AI79" si="1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{"issue":{"subject":"","project_id":79,"tracker_id":40,"status_id":1,"priority_id":2,"assigned_to_id":338,"start_date":"2017-11-29","description":"","custom_fields":[{"id":1,"name":"Subdivision","value":"EC"},{"id":4,"name":"Milepost","value":"0.0904"},{"id":17,"name":"Train ID","value":"102-29"},{"id":16,"name":"Locomotive ID","value":"4043"},{"id":130,"name":"Impact","value":""},{"id":150,"name":"Time of Event (Mountain Time)","value":"04:50:21"},{"id":151,"name":"Denver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4"/>
      <c r="AK14" s="232"/>
      <c r="AL14" s="232"/>
      <c r="AM14" s="241" t="str">
        <f t="shared" ref="AM14:AM79" si="16">"start /low /b "&amp;dls3logs&amp;" --loco "&amp;B14&amp;" --day "&amp;TEXT(F14,"YYYY-MM-DD")</f>
        <v>start /low /b %USERPROFILE%\Documents\GitHub\eaglep3\Utilities\DownloadLogsFromS3.py --loco 4043 --day 2017-11-29</v>
      </c>
      <c r="AN14" s="242" t="str">
        <f t="shared" ref="AN14:AN79" si="17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11:50:21"},{"id":29,"name":"Sharepoint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1" t="str">
        <f t="shared" ref="AO14:AO79" si="18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-29T03:04:19-0700',mode:absolute,to:'2017-11-29T05:50:21-0700'))&amp;_a=(columns:!('Message%20ID',Summary),filters:!(),index:'emp_*',interval:auto,query:(query_string:(analyze_wildcard:!t,query:'%22rtdc.l.rtdc.4043%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230" t="s">
        <v>616</v>
      </c>
      <c r="B15" s="226">
        <v>4026</v>
      </c>
      <c r="C15" s="228" t="s">
        <v>192</v>
      </c>
      <c r="D15" s="228" t="s">
        <v>879</v>
      </c>
      <c r="E15" s="227">
        <v>43068.148506944446</v>
      </c>
      <c r="F15" s="227">
        <v>43068.163368055553</v>
      </c>
      <c r="G15" s="226">
        <v>66</v>
      </c>
      <c r="H15" s="228" t="s">
        <v>880</v>
      </c>
      <c r="I15" s="227">
        <v>43068.188055555554</v>
      </c>
      <c r="J15" s="226">
        <v>0</v>
      </c>
      <c r="K15" s="238" t="str">
        <f t="shared" si="0"/>
        <v>4025/4026</v>
      </c>
      <c r="L15" s="246" t="str">
        <f>VLOOKUP(A15,'Trips&amp;Operators'!$C$1:$G$99911,5,FALSE)</f>
        <v>THOMPSON LESTER</v>
      </c>
      <c r="M15" s="225">
        <f t="shared" si="1"/>
        <v>2.4687500001164153E-2</v>
      </c>
      <c r="N15" s="226"/>
      <c r="O15" s="226"/>
      <c r="P15" s="226"/>
      <c r="Q15" s="229"/>
      <c r="R15" s="243"/>
      <c r="S15" s="250"/>
      <c r="T15" s="243" t="str">
        <f t="shared" si="2"/>
        <v>NorthBound</v>
      </c>
      <c r="U15" s="24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0</v>
      </c>
      <c r="V15" s="249" t="str">
        <f t="shared" si="3"/>
        <v>https://d0f6bd738d7f1b3e5a7ca70fe4ff75f0.us-east-1.aws.found.io/app/kibana#/discover/Steve-Slow-Train-Analysis-(2080s-and-2083s)?_g=(refreshInterval:(display:Off,pause:!f,section:0,value:0),time:(from:'2017-11-29T02:33:51-0700',mode:absolute,to:'2017-11-29T05:30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" s="248" t="str">
        <f>IF(AA15&lt;VLOOKUP(AG15,Variables!$AC$3:$AD$8,2,FALSE),"Y","N")</f>
        <v>Y</v>
      </c>
      <c r="X15" s="248">
        <f>VALUE(LEFT(AD15,4))-VALUE(LEFT(AD14,4))</f>
        <v>1</v>
      </c>
      <c r="Y15" s="248">
        <f>RIGHT(D15,LEN(D15)-4)/10000</f>
        <v>4.9099999999999998E-2</v>
      </c>
      <c r="Z15" s="248">
        <f>RIGHT(H15,LEN(H15)-4)/10000</f>
        <v>6.7699999999999996E-2</v>
      </c>
      <c r="AA15" s="248">
        <f t="shared" si="4"/>
        <v>1.8599999999999998E-2</v>
      </c>
      <c r="AB15" s="234" t="e">
        <f>VLOOKUP(A15,Enforcements!$C$7:$K$9,8,0)</f>
        <v>#N/A</v>
      </c>
      <c r="AC15" s="233" t="e">
        <f>VLOOKUP(A15,Enforcements!$C$7:$E$9,3,0)</f>
        <v>#N/A</v>
      </c>
      <c r="AD15" s="244">
        <f t="shared" si="5"/>
        <v>103</v>
      </c>
      <c r="AE15" s="236" t="str">
        <f t="shared" si="6"/>
        <v>aws s3 cp s3://rtdc.mdm.uploadarchive.raw/RTDC4026/ "%USERPROFILE%\AppData\Local\Temp\OnboardLogs"\RTDC4026\2017-11-29 --exclude "*" --recursive --include "*20171129*" &amp; "%USERPROFILE%\Documents\GitHub\mrs-test-scripts\Headless Mode &amp; Sideloading\WalkAndUnGZ.bat" "%USERPROFILE%\AppData\Local\Temp\OnboardLogs"\RTDC4026\2017-11-29 &amp; aws s3 cp s3://rtdc.mdm.uploadarchive.raw/RTDC4026/ "%USERPROFILE%\AppData\Local\Temp\OnboardLogs"\RTDC4026\2017-11-30 --exclude "*" --recursive --include "*20171130*" &amp; "%USERPROFILE%\Documents\GitHub\mrs-test-scripts\Headless Mode &amp; Sideloading\WalkAndUnGZ.bat" "%USERPROFILE%\AppData\Local\Temp\OnboardLogs"\RTDC4026\2017-11-30</v>
      </c>
      <c r="AF15" s="235" t="str">
        <f t="shared" si="7"/>
        <v>"C:\Program Files (x86)\AstroGrep\AstroGrep.exe" /e /r /s /spath="%USERPROFILE%\AppData\Local\Temp\OnboardLogs" /stypes="app*4026*20171129*" /stext=" 11:.+((SYSTEM_STATE.+slice.+state.+changed )|(ment ac)|(multiple cpu faults)|(system.+state.+changed )|(\[timeout)|(PRM\|1\|D)|(kpr)|(kdp)|(train st.+moving)|(\|lc)|(penalty))"</v>
      </c>
      <c r="AG15" s="245" t="str">
        <f t="shared" si="8"/>
        <v>EC</v>
      </c>
      <c r="AH15" s="237" t="str">
        <f t="shared" si="14"/>
        <v>"%USERPROFILE%\Documents\GitHub\eaglep3\Utilities\RefineRTDCRunTimes.py" --tripid 103-29 --locoid 4026 --swversion DE.1.0.9.0 --startMP 204:491 --initTime 2017-11-29T03:33:51 --startdatetime 2017-11-29T03:55:15 --delay 66 --endMP 204:677 --enddatetime 2017-11-29T04:30:48 --enforcementcount 0 &gt;&gt;%USERPROFILE%\Documents\GitHub\eaglep3-reporting\EC\2017-11-29-refined-times.txt</v>
      </c>
      <c r="AI15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{"issue":{"subject":"","project_id":79,"tracker_id":40,"status_id":1,"priority_id":2,"assigned_to_id":338,"start_date":"2017-11-29","description":"","custom_fields":[{"id":1,"name":"Subdivision","value":"EC"},{"id":4,"name":"Milepost","value":"0.0677"},{"id":17,"name":"Train ID","value":"103-29"},{"id":16,"name":"Locomotive ID","value":"4026"},{"id":130,"name":"Impact","value":""},{"id":150,"name":"Time of Event (Mountain Time)","value":"04:30:48"},{"id":151,"name":"Denver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4"/>
      <c r="AK15" s="232"/>
      <c r="AL15" s="232"/>
      <c r="AM15" s="241" t="str">
        <f t="shared" si="16"/>
        <v>start /low /b %USERPROFILE%\Documents\GitHub\eaglep3\Utilities\DownloadLogsFromS3.py --loco 4026 --day 2017-11-29</v>
      </c>
      <c r="AN15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11:30:48"},{"id":29,"name":"Sharepoint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1" t="str">
        <f t="shared" si="18"/>
        <v>https://d0f6bd738d7f1b3e5a7ca70fe4ff75f0.us-east-1.aws.found.io/app/kibana#/discover/Steve-Slow-Train-Analysis-(2080s-and-2083s)?_g=(refreshInterval:(display:Off,pause:!f,section:0,value:0),time:(from:'2017-11-29T02:33:51-0700',mode:absolute,to:'2017-11-29T05:30:48-0700'))&amp;_a=(columns:!('Message%20ID',Summary),filters:!(),index:'emp_*',interval:auto,query:(query_string:(analyze_wildcard:!t,query:'%22rtdc.l.rtdc.4026%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230" t="s">
        <v>616</v>
      </c>
      <c r="B16" s="226">
        <v>4026</v>
      </c>
      <c r="C16" s="228" t="s">
        <v>192</v>
      </c>
      <c r="D16" s="228" t="s">
        <v>881</v>
      </c>
      <c r="E16" s="227">
        <v>43068.161053240743</v>
      </c>
      <c r="F16" s="227">
        <v>43068.163368055553</v>
      </c>
      <c r="G16" s="226">
        <v>39</v>
      </c>
      <c r="H16" s="228" t="s">
        <v>443</v>
      </c>
      <c r="I16" s="227">
        <v>43068.188055555554</v>
      </c>
      <c r="J16" s="226">
        <v>0</v>
      </c>
      <c r="K16" s="238" t="str">
        <f t="shared" si="0"/>
        <v>4025/4026</v>
      </c>
      <c r="L16" s="246" t="str">
        <f>VLOOKUP(A16,'Trips&amp;Operators'!$C$1:$G$99911,5,FALSE)</f>
        <v>THOMPSON LESTER</v>
      </c>
      <c r="M16" s="225">
        <f t="shared" si="1"/>
        <v>2.4687500001164153E-2</v>
      </c>
      <c r="N16" s="226"/>
      <c r="O16" s="226"/>
      <c r="P16" s="226">
        <f>24*60*SUM($M16:$M16)</f>
        <v>35.550000001676381</v>
      </c>
      <c r="Q16" s="229"/>
      <c r="R16" s="243" t="s">
        <v>614</v>
      </c>
      <c r="S16" s="250">
        <f>1/IF(AG16="EC",12,1)*SUM(U16:U16)</f>
        <v>1</v>
      </c>
      <c r="T16" s="243" t="str">
        <f t="shared" si="2"/>
        <v>NorthBound</v>
      </c>
      <c r="U16" s="24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9" t="str">
        <f t="shared" si="3"/>
        <v>https://d0f6bd738d7f1b3e5a7ca70fe4ff75f0.us-east-1.aws.found.io/app/kibana#/discover/Steve-Slow-Train-Analysis-(2080s-and-2083s)?_g=(refreshInterval:(display:Off,pause:!f,section:0,value:0),time:(from:'2017-11-29T02:51:55-0700',mode:absolute,to:'2017-11-29T05:30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" s="248" t="str">
        <f>IF(AA16&lt;VLOOKUP(AG16,Variables!$AC$3:$AD$8,2,FALSE),"Y","N")</f>
        <v>Y</v>
      </c>
      <c r="X16" s="248">
        <f>VALUE(LEFT(AD16,4))-VALUE(LEFT(AD15,4))</f>
        <v>0</v>
      </c>
      <c r="Y16" s="248">
        <f>RIGHT(D16,LEN(D16)-4)/10000</f>
        <v>1.9115</v>
      </c>
      <c r="Z16" s="248">
        <f>RIGHT(H16,LEN(H16)-4)/10000</f>
        <v>23.3278</v>
      </c>
      <c r="AA16" s="248">
        <f t="shared" si="4"/>
        <v>21.4163</v>
      </c>
      <c r="AB16" s="234" t="e">
        <f>VLOOKUP(A16,Enforcements!$C$7:$K$9,8,0)</f>
        <v>#N/A</v>
      </c>
      <c r="AC16" s="233" t="e">
        <f>VLOOKUP(A16,Enforcements!$C$7:$E$9,3,0)</f>
        <v>#N/A</v>
      </c>
      <c r="AD16" s="244">
        <f t="shared" si="5"/>
        <v>103</v>
      </c>
      <c r="AE16" s="236" t="str">
        <f t="shared" si="6"/>
        <v>aws s3 cp s3://rtdc.mdm.uploadarchive.raw/RTDC4026/ "%USERPROFILE%\AppData\Local\Temp\OnboardLogs"\RTDC4026\2017-11-29 --exclude "*" --recursive --include "*20171129*" &amp; "%USERPROFILE%\Documents\GitHub\mrs-test-scripts\Headless Mode &amp; Sideloading\WalkAndUnGZ.bat" "%USERPROFILE%\AppData\Local\Temp\OnboardLogs"\RTDC4026\2017-11-29 &amp; aws s3 cp s3://rtdc.mdm.uploadarchive.raw/RTDC4026/ "%USERPROFILE%\AppData\Local\Temp\OnboardLogs"\RTDC4026\2017-11-30 --exclude "*" --recursive --include "*20171130*" &amp; "%USERPROFILE%\Documents\GitHub\mrs-test-scripts\Headless Mode &amp; Sideloading\WalkAndUnGZ.bat" "%USERPROFILE%\AppData\Local\Temp\OnboardLogs"\RTDC4026\2017-11-30</v>
      </c>
      <c r="AF16" s="235" t="str">
        <f t="shared" si="7"/>
        <v>"C:\Program Files (x86)\AstroGrep\AstroGrep.exe" /e /r /s /spath="%USERPROFILE%\AppData\Local\Temp\OnboardLogs" /stypes="app*4026*20171129*" /stext=" 11:.+((SYSTEM_STATE.+slice.+state.+changed )|(ment ac)|(multiple cpu faults)|(system.+state.+changed )|(\[timeout)|(PRM\|1\|D)|(kpr)|(kdp)|(train st.+moving)|(\|lc)|(penalty))"</v>
      </c>
      <c r="AG16" s="245" t="str">
        <f t="shared" si="8"/>
        <v>EC</v>
      </c>
      <c r="AH16" s="237" t="str">
        <f t="shared" si="14"/>
        <v>"%USERPROFILE%\Documents\GitHub\eaglep3\Utilities\RefineRTDCRunTimes.py" --tripid 103-29 --locoid 4026 --swversion DE.1.0.9.0 --startMP 204:19115 --initTime 2017-11-29T03:51:55 --startdatetime 2017-11-29T03:55:15 --delay 39 --endMP 204:233278 --enddatetime 2017-11-29T04:30:48 --enforcementcount 0 &gt;&gt;%USERPROFILE%\Documents\GitHub\eaglep3-reporting\EC\2017-11-29-refined-times.txt</v>
      </c>
      <c r="AI16" s="239" t="str">
        <f t="shared" si="15"/>
        <v>echo {"issue":{"subject":"Poor GPS @ DUS","project_id":79,"tracker_id":40,"status_id":1,"priority_id":2,"assigned_to_id":338,"start_date":"2017-11-29","description":"","custom_fields":[{"id":1,"name":"Subdivision","value":"EC"},{"id":4,"name":"Milepost","value":"23.3278"},{"id":17,"name":"Train ID","value":"103-29"},{"id":16,"name":"Locomotive ID","value":"4026"},{"id":130,"name":"Impact","value":""},{"id":150,"name":"Time of Event (Mountain Time)","value":"04:30:48"},{"id":151,"name":"Denver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4"/>
      <c r="AK16" s="232"/>
      <c r="AL16" s="232"/>
      <c r="AM16" s="241" t="str">
        <f t="shared" si="16"/>
        <v>start /low /b %USERPROFILE%\Documents\GitHub\eaglep3\Utilities\DownloadLogsFromS3.py --loco 4026 --day 2017-11-29</v>
      </c>
      <c r="AN16" s="242" t="str">
        <f t="shared" si="17"/>
        <v>echo {"issue":{"subject":"Poor GPS @ DUS","project_id":30,"tracker_id":4,"status_id":1,"priority_id":1,"assigned_to_id":10,"start_date":"2017-11-29","description":"","custom_fields":[{"id":30,"name":"Category","value":"Issue"},{"id":3,"name":"Functional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11:30:48"},{"id":29,"name":"Sharepoint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1" t="str">
        <f t="shared" si="18"/>
        <v>https://d0f6bd738d7f1b3e5a7ca70fe4ff75f0.us-east-1.aws.found.io/app/kibana#/discover/Steve-Slow-Train-Analysis-(2080s-and-2083s)?_g=(refreshInterval:(display:Off,pause:!f,section:0,value:0),time:(from:'2017-11-29T02:51:55-0700',mode:absolute,to:'2017-11-29T05:30:48-0700'))&amp;_a=(columns:!('Message%20ID',Summary),filters:!(),index:'emp_*',interval:auto,query:(query_string:(analyze_wildcard:!t,query:'%22rtdc.l.rtdc.4026%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230" t="s">
        <v>618</v>
      </c>
      <c r="B17" s="226">
        <v>4025</v>
      </c>
      <c r="C17" s="228" t="s">
        <v>192</v>
      </c>
      <c r="D17" s="228" t="s">
        <v>877</v>
      </c>
      <c r="E17" s="227">
        <v>43068.195127314815</v>
      </c>
      <c r="F17" s="227">
        <v>43068.196562500001</v>
      </c>
      <c r="G17" s="226">
        <v>47</v>
      </c>
      <c r="H17" s="228" t="s">
        <v>413</v>
      </c>
      <c r="I17" s="227">
        <v>43068.224085648151</v>
      </c>
      <c r="J17" s="226">
        <v>0</v>
      </c>
      <c r="K17" s="238" t="str">
        <f t="shared" si="0"/>
        <v>4025/4026</v>
      </c>
      <c r="L17" s="246" t="str">
        <f>VLOOKUP(A17,'Trips&amp;Operators'!$C$1:$G$99911,5,FALSE)</f>
        <v>THOMPSON LESTER</v>
      </c>
      <c r="M17" s="225">
        <f t="shared" si="1"/>
        <v>2.7523148150066845E-2</v>
      </c>
      <c r="N17" s="226"/>
      <c r="O17" s="226"/>
      <c r="P17" s="226">
        <f>24*60*SUM($M17:$M17)</f>
        <v>39.633333336096257</v>
      </c>
      <c r="Q17" s="229"/>
      <c r="R17" s="243" t="s">
        <v>1132</v>
      </c>
      <c r="S17" s="250">
        <f>1/IF(AG17="EC",12,1)*SUM(U17:U18)</f>
        <v>1</v>
      </c>
      <c r="T17" s="243" t="str">
        <f t="shared" si="2"/>
        <v>Southbound</v>
      </c>
      <c r="U17" s="24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0</v>
      </c>
      <c r="V17" s="249" t="str">
        <f t="shared" si="3"/>
        <v>https://d0f6bd738d7f1b3e5a7ca70fe4ff75f0.us-east-1.aws.found.io/app/kibana#/discover/Steve-Slow-Train-Analysis-(2080s-and-2083s)?_g=(refreshInterval:(display:Off,pause:!f,section:0,value:0),time:(from:'2017-11-29T03:40:59-0700',mode:absolute,to:'2017-11-29T06:22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" s="248" t="str">
        <f>IF(AA17&lt;VLOOKUP(AG17,Variables!$AC$3:$AD$8,2,FALSE),"Y","N")</f>
        <v>Y</v>
      </c>
      <c r="X17" s="248">
        <f>VALUE(LEFT(AD17,4))-VALUE(LEFT(AD16,4))</f>
        <v>1</v>
      </c>
      <c r="Y17" s="248">
        <f>RIGHT(D17,LEN(D17)-4)/10000</f>
        <v>23.295300000000001</v>
      </c>
      <c r="Z17" s="248">
        <v>19.0791</v>
      </c>
      <c r="AA17" s="248">
        <f t="shared" si="4"/>
        <v>4.2162000000000006</v>
      </c>
      <c r="AB17" s="234" t="e">
        <f>VLOOKUP(A17,Enforcements!$C$7:$K$9,8,0)</f>
        <v>#N/A</v>
      </c>
      <c r="AC17" s="233" t="e">
        <f>VLOOKUP(A17,Enforcements!$C$7:$E$9,3,0)</f>
        <v>#N/A</v>
      </c>
      <c r="AD17" s="244">
        <f t="shared" si="5"/>
        <v>104</v>
      </c>
      <c r="AE17" s="236" t="str">
        <f t="shared" si="6"/>
        <v>aws s3 cp s3://rtdc.mdm.uploadarchive.raw/RTDC4025/ "%USERPROFILE%\AppData\Local\Temp\OnboardLogs"\RTDC4025\2017-11-29 --exclude "*" --recursive --include "*20171129*" &amp; "%USERPROFILE%\Documents\GitHub\mrs-test-scripts\Headless Mode &amp; Sideloading\WalkAndUnGZ.bat" "%USERPROFILE%\AppData\Local\Temp\OnboardLogs"\RTDC4025\2017-11-29 &amp; aws s3 cp s3://rtdc.mdm.uploadarchive.raw/RTDC4025/ "%USERPROFILE%\AppData\Local\Temp\OnboardLogs"\RTDC4025\2017-11-30 --exclude "*" --recursive --include "*20171130*" &amp; "%USERPROFILE%\Documents\GitHub\mrs-test-scripts\Headless Mode &amp; Sideloading\WalkAndUnGZ.bat" "%USERPROFILE%\AppData\Local\Temp\OnboardLogs"\RTDC4025\2017-11-30</v>
      </c>
      <c r="AF17" s="235" t="str">
        <f t="shared" si="7"/>
        <v>"C:\Program Files (x86)\AstroGrep\AstroGrep.exe" /e /r /s /spath="%USERPROFILE%\AppData\Local\Temp\OnboardLogs" /stypes="app*4025*20171129*" /stext=" 12:.+((SYSTEM_STATE.+slice.+state.+changed )|(ment ac)|(multiple cpu faults)|(system.+state.+changed )|(\[timeout)|(PRM\|1\|D)|(kpr)|(kdp)|(train st.+moving)|(\|lc)|(penalty))"</v>
      </c>
      <c r="AG17" s="245" t="str">
        <f t="shared" si="8"/>
        <v>EC</v>
      </c>
      <c r="AH17" s="237" t="str">
        <f t="shared" si="14"/>
        <v>"%USERPROFILE%\Documents\GitHub\eaglep3\Utilities\RefineRTDCRunTimes.py" --tripid 104-29 --locoid 4025 --swversion DE.1.0.9.0 --startMP 204:232953 --initTime 2017-11-29T04:40:59 --startdatetime 2017-11-29T04:43:03 --delay 47 --endMP 204:207 --enddatetime 2017-11-29T05:22:41 --enforcementcount 0 &gt;&gt;%USERPROFILE%\Documents\GitHub\eaglep3-reporting\EC\2017-11-29-refined-times.txt</v>
      </c>
      <c r="AI17" s="239" t="str">
        <f t="shared" si="15"/>
        <v>echo {"issue":{"subject":"Wheel tach slip","project_id":79,"tracker_id":40,"status_id":1,"priority_id":2,"assigned_to_id":338,"start_date":"2017-11-29","description":"","custom_fields":[{"id":1,"name":"Subdivision","value":"EC"},{"id":4,"name":"Milepost","value":"19.0791"},{"id":17,"name":"Train ID","value":"104-29"},{"id":16,"name":"Locomotive ID","value":"4025"},{"id":130,"name":"Impact","value":""},{"id":150,"name":"Time of Event (Mountain Time)","value":"05:22:41"},{"id":151,"name":"Denver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4"/>
      <c r="AK17" s="232"/>
      <c r="AL17" s="232"/>
      <c r="AM17" s="241" t="str">
        <f t="shared" si="16"/>
        <v>start /low /b %USERPROFILE%\Documents\GitHub\eaglep3\Utilities\DownloadLogsFromS3.py --loco 4025 --day 2017-11-29</v>
      </c>
      <c r="AN17" s="242" t="str">
        <f t="shared" si="17"/>
        <v>echo {"issue":{"subject":"Wheel tach slip","project_id":30,"tracker_id":4,"status_id":1,"priority_id":1,"assigned_to_id":10,"start_date":"2017-11-29","description":"","custom_fields":[{"id":30,"name":"Category","value":"Issue"},{"id":3,"name":"Functional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12:22:41"},{"id":29,"name":"Sharepoint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1" t="str">
        <f t="shared" si="18"/>
        <v>https://d0f6bd738d7f1b3e5a7ca70fe4ff75f0.us-east-1.aws.found.io/app/kibana#/discover/Steve-Slow-Train-Analysis-(2080s-and-2083s)?_g=(refreshInterval:(display:Off,pause:!f,section:0,value:0),time:(from:'2017-11-29T03:40:59-0700',mode:absolute,to:'2017-11-29T06:22:41-0700'))&amp;_a=(columns:!('Message%20ID',Summary),filters:!(),index:'emp_*',interval:auto,query:(query_string:(analyze_wildcard:!t,query:'%22rtdc.l.rtdc.4025%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230" t="s">
        <v>618</v>
      </c>
      <c r="B18" s="226">
        <v>4025</v>
      </c>
      <c r="C18" s="228" t="s">
        <v>192</v>
      </c>
      <c r="D18" s="228" t="s">
        <v>877</v>
      </c>
      <c r="E18" s="227">
        <v>43068.195127314815</v>
      </c>
      <c r="F18" s="227">
        <v>43068.196562500001</v>
      </c>
      <c r="G18" s="226">
        <v>47</v>
      </c>
      <c r="H18" s="228" t="s">
        <v>413</v>
      </c>
      <c r="I18" s="227">
        <v>43068.204097222224</v>
      </c>
      <c r="J18" s="226">
        <v>0</v>
      </c>
      <c r="K18" s="238" t="str">
        <f t="shared" si="0"/>
        <v>4025/4026</v>
      </c>
      <c r="L18" s="246" t="str">
        <f>VLOOKUP(A18,'Trips&amp;Operators'!$C$1:$G$99911,5,FALSE)</f>
        <v>THOMPSON LESTER</v>
      </c>
      <c r="M18" s="225">
        <f t="shared" si="1"/>
        <v>7.5347222227719612E-3</v>
      </c>
      <c r="N18" s="226"/>
      <c r="O18" s="226"/>
      <c r="P18" s="226"/>
      <c r="Q18" s="229"/>
      <c r="R18" s="243"/>
      <c r="S18" s="250"/>
      <c r="T18" s="243" t="str">
        <f t="shared" si="2"/>
        <v>Southbound</v>
      </c>
      <c r="U18" s="24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9" t="str">
        <f t="shared" si="3"/>
        <v>https://d0f6bd738d7f1b3e5a7ca70fe4ff75f0.us-east-1.aws.found.io/app/kibana#/discover/Steve-Slow-Train-Analysis-(2080s-and-2083s)?_g=(refreshInterval:(display:Off,pause:!f,section:0,value:0),time:(from:'2017-11-29T03:40:59-0700',mode:absolute,to:'2017-11-29T05:53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" s="248" t="str">
        <f>IF(AA18&lt;VLOOKUP(AG18,Variables!$AC$3:$AD$8,2,FALSE),"Y","N")</f>
        <v>Y</v>
      </c>
      <c r="X18" s="248">
        <f t="shared" ref="X18:X21" si="19">VALUE(LEFT(AD18,4))-VALUE(LEFT(AD17,4))</f>
        <v>0</v>
      </c>
      <c r="Y18" s="248">
        <v>18.3</v>
      </c>
      <c r="Z18" s="248">
        <f t="shared" ref="Z18:Z26" si="20">RIGHT(H18,LEN(H18)-4)/10000</f>
        <v>2.07E-2</v>
      </c>
      <c r="AA18" s="248">
        <f t="shared" si="4"/>
        <v>18.279299999999999</v>
      </c>
      <c r="AB18" s="234" t="e">
        <f>VLOOKUP(A18,Enforcements!$C$7:$K$9,8,0)</f>
        <v>#N/A</v>
      </c>
      <c r="AC18" s="233" t="e">
        <f>VLOOKUP(A18,Enforcements!$C$7:$E$9,3,0)</f>
        <v>#N/A</v>
      </c>
      <c r="AD18" s="244">
        <f t="shared" si="5"/>
        <v>104</v>
      </c>
      <c r="AE18" s="236" t="str">
        <f t="shared" si="6"/>
        <v>aws s3 cp s3://rtdc.mdm.uploadarchive.raw/RTDC4025/ "%USERPROFILE%\AppData\Local\Temp\OnboardLogs"\RTDC4025\2017-11-29 --exclude "*" --recursive --include "*20171129*" &amp; "%USERPROFILE%\Documents\GitHub\mrs-test-scripts\Headless Mode &amp; Sideloading\WalkAndUnGZ.bat" "%USERPROFILE%\AppData\Local\Temp\OnboardLogs"\RTDC4025\2017-11-29 &amp; aws s3 cp s3://rtdc.mdm.uploadarchive.raw/RTDC4025/ "%USERPROFILE%\AppData\Local\Temp\OnboardLogs"\RTDC4025\2017-11-30 --exclude "*" --recursive --include "*20171130*" &amp; "%USERPROFILE%\Documents\GitHub\mrs-test-scripts\Headless Mode &amp; Sideloading\WalkAndUnGZ.bat" "%USERPROFILE%\AppData\Local\Temp\OnboardLogs"\RTDC4025\2017-11-30</v>
      </c>
      <c r="AF18" s="235" t="str">
        <f t="shared" si="7"/>
        <v>"C:\Program Files (x86)\AstroGrep\AstroGrep.exe" /e /r /s /spath="%USERPROFILE%\AppData\Local\Temp\OnboardLogs" /stypes="app*4025*20171129*" /stext=" 11:.+((SYSTEM_STATE.+slice.+state.+changed )|(ment ac)|(multiple cpu faults)|(system.+state.+changed )|(\[timeout)|(PRM\|1\|D)|(kpr)|(kdp)|(train st.+moving)|(\|lc)|(penalty))"</v>
      </c>
      <c r="AG18" s="245" t="str">
        <f t="shared" si="8"/>
        <v>EC</v>
      </c>
      <c r="AH18" s="237" t="str">
        <f t="shared" ref="AH18" si="21">refinertdcruntimes&amp;" --tripid "&amp;A18&amp;" --locoid "&amp;B18&amp;" --swversion "&amp;C18&amp;" --startMP "&amp;D18&amp;" --initTime "&amp;TEXT(E18,"yyyy-mm-ddTHH:MM:SS")&amp;" --startdatetime "&amp;TEXT(F18,"yyyy-mm-ddTHH:MM:SS")&amp;" --delay "&amp;G18&amp;" --endMP "&amp;H18&amp;" --enddatetime "&amp;TEXT(I18,"yyyy-mm-ddTHH:MM:SS")&amp;" --enforcementcount "&amp;J18&amp;IF(outputrefinedruntimes," &gt;&gt;"&amp;RefinedRTDCRunTimesOutputFile,"")</f>
        <v>"%USERPROFILE%\Documents\GitHub\eaglep3\Utilities\RefineRTDCRunTimes.py" --tripid 104-29 --locoid 4025 --swversion DE.1.0.9.0 --startMP 204:232953 --initTime 2017-11-29T04:40:59 --startdatetime 2017-11-29T04:43:03 --delay 47 --endMP 204:207 --enddatetime 2017-11-29T04:53:54 --enforcementcount 0 &gt;&gt;%USERPROFILE%\Documents\GitHub\eaglep3-reporting\EC\2017-11-29-refined-times.txt</v>
      </c>
      <c r="AI18" s="239" t="str">
        <f t="shared" ref="AI18" si="22">"echo {""issue"":{""subject"":"""&amp;R18&amp;""",""project_id"":79,""tracker_id"":40,""status_id"":"&amp;redmine_status&amp;",""priority_id"":"&amp;redmine_priority&amp;",""assigned_to_id"":"&amp;redmine_assignee&amp;",""start_date"":"""&amp;TEXT(I18,"YYYY-mm-dd")&amp;""",""description"":"""&amp;AJ18&amp;""",""custom_fields"":[{""id"":1,""name"":""Subdivision"",""value"":"""&amp;AG18&amp;"""},{""id"":4,""name"":""Milepost"",""value"":"""&amp;Z18&amp;"""},{""id"":17,""name"":""Train ID"",""value"":"""&amp;A18&amp;"""},{""id"":16,""name"":""Locomotive ID"",""value"":"""&amp;B18&amp;"""},{""id"":130,""name"":""Impact"",""value"":"""&amp;AK18&amp;"""},{""id"":150,""name"":""Time of Event (Mountain Time)"",""value"":"""&amp;TEXT(I18,"hh:mm:ss")&amp;"""},{""id"":151,""name"":""Denver Issue ID"",""value"":"""&amp;"""},{""id"":178,""name"":""Operational Impact"",""value"":"""&amp;redmine_op_impact&amp;"""},{""id"":179,""name"":""Denver Segment Assigned"",""value"":"""&amp;AL18&amp;"""}]}}"&amp;"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{"issue":{"subject":"","project_id":79,"tracker_id":40,"status_id":1,"priority_id":2,"assigned_to_id":338,"start_date":"2017-11-29","description":"","custom_fields":[{"id":1,"name":"Subdivision","value":"EC"},{"id":4,"name":"Milepost","value":"0.0207"},{"id":17,"name":"Train ID","value":"104-29"},{"id":16,"name":"Locomotive ID","value":"4025"},{"id":130,"name":"Impact","value":""},{"id":150,"name":"Time of Event (Mountain Time)","value":"04:53:54"},{"id":151,"name":"Denver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4"/>
      <c r="AK18" s="232"/>
      <c r="AL18" s="232"/>
      <c r="AM18" s="241" t="str">
        <f t="shared" ref="AM18" si="23">"start /low /b "&amp;dls3logs&amp;" --loco "&amp;B18&amp;" --day "&amp;TEXT(F18,"YYYY-MM-DD")</f>
        <v>start /low /b %USERPROFILE%\Documents\GitHub\eaglep3\Utilities\DownloadLogsFromS3.py --loco 4025 --day 2017-11-29</v>
      </c>
      <c r="AN18" s="242" t="str">
        <f t="shared" ref="AN18" si="24">"echo {""issue"":{""subject"":"""&amp;R18&amp;""",""project_id"":30,""tracker_id"":4,""status_id"":"&amp;redmine_status_wcr&amp;",""priority_id"":"&amp;redmine_priority_wcr&amp;",""assigned_to_id"":"&amp;redmine_assignee_wcr&amp;",""start_date"":"""&amp;TEXT(I18-utc_offset/24,"YYYY-mm-dd")&amp;""",""description"":"""&amp;AJ18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11:53:54"},{"id":29,"name":"Sharepoint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1" t="str">
        <f t="shared" ref="AO18" si="25"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Message%20ID',Summary),filters:!(),index:'emp_*',interval:auto,query:"&amp;"(query_string:(analyze_wildcard:!t,query:'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-11-29T03:40:59-0700',mode:absolute,to:'2017-11-29T05:53:54-0700'))&amp;_a=(columns:!('Message%20ID',Summary),filters:!(),index:'emp_*',interval:auto,query:(query_string:(analyze_wildcard:!t,query:'%22rtdc.l.rtdc.4025%22')),sort:!(Time.ISO8601,asc))</v>
      </c>
      <c r="AP18" s="224"/>
      <c r="AQ18" s="224"/>
      <c r="AR18" s="224"/>
      <c r="AS18" s="224"/>
      <c r="AT18" s="224"/>
      <c r="AU18" s="224"/>
      <c r="AV18" s="224"/>
      <c r="AW18" s="224"/>
      <c r="AX18" s="224"/>
      <c r="AY18" s="224"/>
      <c r="AZ18" s="224"/>
      <c r="BA18" s="224"/>
      <c r="BB18" s="224"/>
      <c r="BC18" s="224"/>
      <c r="BD18" s="224"/>
      <c r="BE18" s="224"/>
      <c r="BF18" s="224"/>
      <c r="BG18" s="224"/>
      <c r="BH18" s="224"/>
      <c r="BI18" s="224"/>
      <c r="BJ18" s="224"/>
      <c r="BK18" s="224"/>
      <c r="BL18" s="224"/>
      <c r="BM18" s="224"/>
      <c r="BN18" s="224"/>
      <c r="BO18" s="224"/>
      <c r="BP18" s="224"/>
      <c r="BQ18" s="224"/>
      <c r="BR18" s="224"/>
      <c r="BS18" s="224"/>
      <c r="BT18" s="224"/>
      <c r="BU18" s="224"/>
      <c r="BV18" s="224"/>
      <c r="BW18" s="224"/>
      <c r="BX18" s="224"/>
      <c r="BY18" s="224"/>
      <c r="BZ18" s="224"/>
      <c r="CA18" s="224"/>
      <c r="CB18" s="224"/>
      <c r="CC18" s="224"/>
      <c r="CD18" s="224"/>
      <c r="CE18" s="224"/>
      <c r="CF18" s="224"/>
      <c r="CG18" s="224"/>
      <c r="CH18" s="224"/>
      <c r="CI18" s="224"/>
      <c r="CJ18" s="224"/>
      <c r="CK18" s="224"/>
      <c r="CL18" s="224"/>
      <c r="CM18" s="224"/>
    </row>
    <row r="19" spans="1:91" s="1" customFormat="1" x14ac:dyDescent="0.25">
      <c r="A19" s="230" t="s">
        <v>661</v>
      </c>
      <c r="B19" s="226">
        <v>4002</v>
      </c>
      <c r="C19" s="228" t="s">
        <v>192</v>
      </c>
      <c r="D19" s="228" t="s">
        <v>502</v>
      </c>
      <c r="E19" s="227">
        <v>43068.164409722223</v>
      </c>
      <c r="F19" s="227">
        <v>43068.177384259259</v>
      </c>
      <c r="G19" s="226">
        <v>55</v>
      </c>
      <c r="H19" s="228" t="s">
        <v>456</v>
      </c>
      <c r="I19" s="227">
        <v>43068.201435185183</v>
      </c>
      <c r="J19" s="226">
        <v>0</v>
      </c>
      <c r="K19" s="238" t="str">
        <f t="shared" si="0"/>
        <v>4001/4002</v>
      </c>
      <c r="L19" s="246" t="str">
        <f>VLOOKUP(A19,'Trips&amp;Operators'!$C$1:$G$99911,5,FALSE)</f>
        <v>YORK EDGAR</v>
      </c>
      <c r="M19" s="225">
        <f t="shared" si="1"/>
        <v>2.4050925923802424E-2</v>
      </c>
      <c r="N19" s="226">
        <f t="shared" ref="N19:N26" si="26">24*60*SUM($M19:$M19)</f>
        <v>34.633333330275491</v>
      </c>
      <c r="O19" s="226"/>
      <c r="P19" s="226"/>
      <c r="Q19" s="229"/>
      <c r="R19" s="243"/>
      <c r="S19" s="250">
        <f t="shared" ref="S19:S63" si="27">1/IF(AG19="EC",12,1)*SUM(U19:U19)</f>
        <v>1</v>
      </c>
      <c r="T19" s="243" t="str">
        <f t="shared" si="2"/>
        <v>NorthBound</v>
      </c>
      <c r="U19" s="24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9" t="str">
        <f t="shared" si="3"/>
        <v>https://d0f6bd738d7f1b3e5a7ca70fe4ff75f0.us-east-1.aws.found.io/app/kibana#/discover/Steve-Slow-Train-Analysis-(2080s-and-2083s)?_g=(refreshInterval:(display:Off,pause:!f,section:0,value:0),time:(from:'2017-11-29T02:56:45-0700',mode:absolute,to:'2017-11-29T05:50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" s="248" t="str">
        <f>IF(AA19&lt;VLOOKUP(AG19,Variables!$AC$3:$AD$8,2,FALSE),"Y","N")</f>
        <v>N</v>
      </c>
      <c r="X19" s="248">
        <f t="shared" si="19"/>
        <v>1</v>
      </c>
      <c r="Y19" s="248">
        <f t="shared" ref="Y19:Y26" si="28">RIGHT(D19,LEN(D19)-4)/10000</f>
        <v>4.7699999999999999E-2</v>
      </c>
      <c r="Z19" s="248">
        <f t="shared" si="20"/>
        <v>23.3293</v>
      </c>
      <c r="AA19" s="248">
        <f t="shared" si="4"/>
        <v>23.281600000000001</v>
      </c>
      <c r="AB19" s="234" t="e">
        <f>VLOOKUP(A19,Enforcements!$C$7:$K$9,8,0)</f>
        <v>#N/A</v>
      </c>
      <c r="AC19" s="233" t="e">
        <f>VLOOKUP(A19,Enforcements!$C$7:$E$9,3,0)</f>
        <v>#N/A</v>
      </c>
      <c r="AD19" s="244">
        <f t="shared" si="5"/>
        <v>105</v>
      </c>
      <c r="AE19" s="236" t="str">
        <f t="shared" si="6"/>
        <v>aws s3 cp s3://rtdc.mdm.uploadarchive.raw/RTDC4002/ "%USERPROFILE%\AppData\Local\Temp\OnboardLogs"\RTDC4002\2017-11-29 --exclude "*" --recursive --include "*20171129*" &amp; "%USERPROFILE%\Documents\GitHub\mrs-test-scripts\Headless Mode &amp; Sideloading\WalkAndUnGZ.bat" "%USERPROFILE%\AppData\Local\Temp\OnboardLogs"\RTDC4002\2017-11-29 &amp; aws s3 cp s3://rtdc.mdm.uploadarchive.raw/RTDC4002/ "%USERPROFILE%\AppData\Local\Temp\OnboardLogs"\RTDC4002\2017-11-30 --exclude "*" --recursive --include "*20171130*" &amp; "%USERPROFILE%\Documents\GitHub\mrs-test-scripts\Headless Mode &amp; Sideloading\WalkAndUnGZ.bat" "%USERPROFILE%\AppData\Local\Temp\OnboardLogs"\RTDC4002\2017-11-30</v>
      </c>
      <c r="AF19" s="235" t="str">
        <f t="shared" si="7"/>
        <v>"C:\Program Files (x86)\AstroGrep\AstroGrep.exe" /e /r /s /spath="%USERPROFILE%\AppData\Local\Temp\OnboardLogs" /stypes="app*4002*20171129*" /stext=" 11:.+((SYSTEM_STATE.+slice.+state.+changed )|(ment ac)|(multiple cpu faults)|(system.+state.+changed )|(\[timeout)|(PRM\|1\|D)|(kpr)|(kdp)|(train st.+moving)|(\|lc)|(penalty))"</v>
      </c>
      <c r="AG19" s="245" t="str">
        <f t="shared" si="8"/>
        <v>EC</v>
      </c>
      <c r="AH19" s="237" t="str">
        <f t="shared" si="14"/>
        <v>"%USERPROFILE%\Documents\GitHub\eaglep3\Utilities\RefineRTDCRunTimes.py" --tripid 105-29 --locoid 4002 --swversion DE.1.0.9.0 --startMP 204:477 --initTime 2017-11-29T03:56:45 --startdatetime 2017-11-29T04:15:26 --delay 55 --endMP 204:233293 --enddatetime 2017-11-29T04:50:04 --enforcementcount 0 &gt;&gt;%USERPROFILE%\Documents\GitHub\eaglep3-reporting\EC\2017-11-29-refined-times.txt</v>
      </c>
      <c r="AI19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{"issue":{"subject":"","project_id":79,"tracker_id":40,"status_id":1,"priority_id":2,"assigned_to_id":338,"start_date":"2017-11-29","description":"","custom_fields":[{"id":1,"name":"Subdivision","value":"EC"},{"id":4,"name":"Milepost","value":"23.3293"},{"id":17,"name":"Train ID","value":"105-29"},{"id":16,"name":"Locomotive ID","value":"4002"},{"id":130,"name":"Impact","value":""},{"id":150,"name":"Time of Event (Mountain Time)","value":"04:50:04"},{"id":151,"name":"Denver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4"/>
      <c r="AK19" s="232"/>
      <c r="AL19" s="232"/>
      <c r="AM19" s="241" t="str">
        <f t="shared" si="16"/>
        <v>start /low /b %USERPROFILE%\Documents\GitHub\eaglep3\Utilities\DownloadLogsFromS3.py --loco 4002 --day 2017-11-29</v>
      </c>
      <c r="AN19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11:50:04"},{"id":29,"name":"Sharepoint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1" t="str">
        <f t="shared" si="18"/>
        <v>https://d0f6bd738d7f1b3e5a7ca70fe4ff75f0.us-east-1.aws.found.io/app/kibana#/discover/Steve-Slow-Train-Analysis-(2080s-and-2083s)?_g=(refreshInterval:(display:Off,pause:!f,section:0,value:0),time:(from:'2017-11-29T02:56:45-0700',mode:absolute,to:'2017-11-29T05:50:04-0700'))&amp;_a=(columns:!('Message%20ID',Summary),filters:!(),index:'emp_*',interval:auto,query:(query_string:(analyze_wildcard:!t,query:'%22rtdc.l.rtdc.4002%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230" t="s">
        <v>675</v>
      </c>
      <c r="B20" s="226">
        <v>4001</v>
      </c>
      <c r="C20" s="228" t="s">
        <v>192</v>
      </c>
      <c r="D20" s="228" t="s">
        <v>411</v>
      </c>
      <c r="E20" s="227">
        <v>43068.202291666668</v>
      </c>
      <c r="F20" s="227">
        <v>43068.216851851852</v>
      </c>
      <c r="G20" s="226">
        <v>48</v>
      </c>
      <c r="H20" s="228" t="s">
        <v>566</v>
      </c>
      <c r="I20" s="227">
        <v>43068.242986111109</v>
      </c>
      <c r="J20" s="226">
        <v>0</v>
      </c>
      <c r="K20" s="238" t="str">
        <f t="shared" si="0"/>
        <v>4001/4002</v>
      </c>
      <c r="L20" s="246" t="str">
        <f>VLOOKUP(A20,'Trips&amp;Operators'!$C$1:$G$99911,5,FALSE)</f>
        <v>YORK EDGAR</v>
      </c>
      <c r="M20" s="225">
        <f t="shared" si="1"/>
        <v>2.6134259256650694E-2</v>
      </c>
      <c r="N20" s="226">
        <f t="shared" si="26"/>
        <v>37.633333329576999</v>
      </c>
      <c r="O20" s="226"/>
      <c r="P20" s="226"/>
      <c r="Q20" s="229"/>
      <c r="R20" s="243"/>
      <c r="S20" s="250">
        <f t="shared" si="27"/>
        <v>1</v>
      </c>
      <c r="T20" s="243" t="str">
        <f t="shared" si="2"/>
        <v>Southbound</v>
      </c>
      <c r="U20" s="24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9" t="str">
        <f t="shared" si="3"/>
        <v>https://d0f6bd738d7f1b3e5a7ca70fe4ff75f0.us-east-1.aws.found.io/app/kibana#/discover/Steve-Slow-Train-Analysis-(2080s-and-2083s)?_g=(refreshInterval:(display:Off,pause:!f,section:0,value:0),time:(from:'2017-11-29T03:51:18-0700',mode:absolute,to:'2017-11-29T06:49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" s="248" t="str">
        <f>IF(AA20&lt;VLOOKUP(AG20,Variables!$AC$3:$AD$8,2,FALSE),"Y","N")</f>
        <v>N</v>
      </c>
      <c r="X20" s="248">
        <f t="shared" si="19"/>
        <v>1</v>
      </c>
      <c r="Y20" s="248">
        <f t="shared" si="28"/>
        <v>23.297699999999999</v>
      </c>
      <c r="Z20" s="248">
        <f t="shared" si="20"/>
        <v>1.5800000000000002E-2</v>
      </c>
      <c r="AA20" s="248">
        <f t="shared" si="4"/>
        <v>23.2819</v>
      </c>
      <c r="AB20" s="234" t="e">
        <f>VLOOKUP(A20,Enforcements!$C$7:$K$9,8,0)</f>
        <v>#N/A</v>
      </c>
      <c r="AC20" s="233" t="e">
        <f>VLOOKUP(A20,Enforcements!$C$7:$E$9,3,0)</f>
        <v>#N/A</v>
      </c>
      <c r="AD20" s="244">
        <f t="shared" si="5"/>
        <v>106</v>
      </c>
      <c r="AE20" s="236" t="str">
        <f t="shared" si="6"/>
        <v>aws s3 cp s3://rtdc.mdm.uploadarchive.raw/RTDC4001/ "%USERPROFILE%\AppData\Local\Temp\OnboardLogs"\RTDC4001\2017-11-29 --exclude "*" --recursive --include "*20171129*" &amp; "%USERPROFILE%\Documents\GitHub\mrs-test-scripts\Headless Mode &amp; Sideloading\WalkAndUnGZ.bat" "%USERPROFILE%\AppData\Local\Temp\OnboardLogs"\RTDC4001\2017-11-29 &amp; aws s3 cp s3://rtdc.mdm.uploadarchive.raw/RTDC4001/ "%USERPROFILE%\AppData\Local\Temp\OnboardLogs"\RTDC4001\2017-11-30 --exclude "*" --recursive --include "*20171130*" &amp; "%USERPROFILE%\Documents\GitHub\mrs-test-scripts\Headless Mode &amp; Sideloading\WalkAndUnGZ.bat" "%USERPROFILE%\AppData\Local\Temp\OnboardLogs"\RTDC4001\2017-11-30</v>
      </c>
      <c r="AF20" s="235" t="str">
        <f t="shared" si="7"/>
        <v>"C:\Program Files (x86)\AstroGrep\AstroGrep.exe" /e /r /s /spath="%USERPROFILE%\AppData\Local\Temp\OnboardLogs" /stypes="app*4001*20171129*" /stext=" 12:.+((SYSTEM_STATE.+slice.+state.+changed )|(ment ac)|(multiple cpu faults)|(system.+state.+changed )|(\[timeout)|(PRM\|1\|D)|(kpr)|(kdp)|(train st.+moving)|(\|lc)|(penalty))"</v>
      </c>
      <c r="AG20" s="245" t="str">
        <f t="shared" si="8"/>
        <v>EC</v>
      </c>
      <c r="AH20" s="237" t="str">
        <f t="shared" si="14"/>
        <v>"%USERPROFILE%\Documents\GitHub\eaglep3\Utilities\RefineRTDCRunTimes.py" --tripid 106-29 --locoid 4001 --swversion DE.1.0.9.0 --startMP 204:232977 --initTime 2017-11-29T04:51:18 --startdatetime 2017-11-29T05:12:16 --delay 48 --endMP 204:158 --enddatetime 2017-11-29T05:49:54 --enforcementcount 0 &gt;&gt;%USERPROFILE%\Documents\GitHub\eaglep3-reporting\EC\2017-11-29-refined-times.txt</v>
      </c>
      <c r="AI20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{"issue":{"subject":"","project_id":79,"tracker_id":40,"status_id":1,"priority_id":2,"assigned_to_id":338,"start_date":"2017-11-29","description":"","custom_fields":[{"id":1,"name":"Subdivision","value":"EC"},{"id":4,"name":"Milepost","value":"0.0158"},{"id":17,"name":"Train ID","value":"106-29"},{"id":16,"name":"Locomotive ID","value":"4001"},{"id":130,"name":"Impact","value":""},{"id":150,"name":"Time of Event (Mountain Time)","value":"05:49:54"},{"id":151,"name":"Denver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4"/>
      <c r="AK20" s="232"/>
      <c r="AL20" s="232"/>
      <c r="AM20" s="241" t="str">
        <f t="shared" si="16"/>
        <v>start /low /b %USERPROFILE%\Documents\GitHub\eaglep3\Utilities\DownloadLogsFromS3.py --loco 4001 --day 2017-11-29</v>
      </c>
      <c r="AN20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12:49:54"},{"id":29,"name":"Sharepoint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1" t="str">
        <f t="shared" si="18"/>
        <v>https://d0f6bd738d7f1b3e5a7ca70fe4ff75f0.us-east-1.aws.found.io/app/kibana#/discover/Steve-Slow-Train-Analysis-(2080s-and-2083s)?_g=(refreshInterval:(display:Off,pause:!f,section:0,value:0),time:(from:'2017-11-29T03:51:18-0700',mode:absolute,to:'2017-11-29T06:49:54-0700'))&amp;_a=(columns:!('Message%20ID',Summary),filters:!(),index:'emp_*',interval:auto,query:(query_string:(analyze_wildcard:!t,query:'%22rtdc.l.rtdc.4001%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230" t="s">
        <v>668</v>
      </c>
      <c r="B21" s="226">
        <v>4006</v>
      </c>
      <c r="C21" s="228" t="s">
        <v>192</v>
      </c>
      <c r="D21" s="228" t="s">
        <v>588</v>
      </c>
      <c r="E21" s="227">
        <v>43068.182395833333</v>
      </c>
      <c r="F21" s="227">
        <v>43068.187731481485</v>
      </c>
      <c r="G21" s="226">
        <v>112</v>
      </c>
      <c r="H21" s="228" t="s">
        <v>513</v>
      </c>
      <c r="I21" s="227">
        <v>43068.212939814817</v>
      </c>
      <c r="J21" s="226">
        <v>0</v>
      </c>
      <c r="K21" s="238" t="str">
        <f t="shared" si="0"/>
        <v>4005/4006</v>
      </c>
      <c r="L21" s="246" t="str">
        <f>VLOOKUP(A21,'Trips&amp;Operators'!$C$1:$G$99911,5,FALSE)</f>
        <v>DAVIDSON DAVID</v>
      </c>
      <c r="M21" s="225">
        <f t="shared" si="1"/>
        <v>2.5208333332557231E-2</v>
      </c>
      <c r="N21" s="226">
        <f t="shared" si="26"/>
        <v>36.299999998882413</v>
      </c>
      <c r="O21" s="226"/>
      <c r="P21" s="226"/>
      <c r="Q21" s="229"/>
      <c r="R21" s="243"/>
      <c r="S21" s="250">
        <f t="shared" si="27"/>
        <v>1</v>
      </c>
      <c r="T21" s="243" t="str">
        <f t="shared" si="2"/>
        <v>NorthBound</v>
      </c>
      <c r="U21" s="24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9" t="str">
        <f t="shared" si="3"/>
        <v>https://d0f6bd738d7f1b3e5a7ca70fe4ff75f0.us-east-1.aws.found.io/app/kibana#/discover/Steve-Slow-Train-Analysis-(2080s-and-2083s)?_g=(refreshInterval:(display:Off,pause:!f,section:0,value:0),time:(from:'2017-11-29T03:22:39-0700',mode:absolute,to:'2017-11-29T06:06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" s="248" t="str">
        <f>IF(AA21&lt;VLOOKUP(AG21,Variables!$AC$3:$AD$8,2,FALSE),"Y","N")</f>
        <v>N</v>
      </c>
      <c r="X21" s="248">
        <f t="shared" si="19"/>
        <v>1</v>
      </c>
      <c r="Y21" s="248">
        <f t="shared" si="28"/>
        <v>5.5100000000000003E-2</v>
      </c>
      <c r="Z21" s="248">
        <f t="shared" si="20"/>
        <v>23.324000000000002</v>
      </c>
      <c r="AA21" s="248">
        <f t="shared" si="4"/>
        <v>23.268900000000002</v>
      </c>
      <c r="AB21" s="234" t="e">
        <f>VLOOKUP(A21,Enforcements!$C$7:$K$9,8,0)</f>
        <v>#N/A</v>
      </c>
      <c r="AC21" s="233" t="e">
        <f>VLOOKUP(A21,Enforcements!$C$7:$E$9,3,0)</f>
        <v>#N/A</v>
      </c>
      <c r="AD21" s="244">
        <f t="shared" si="5"/>
        <v>107</v>
      </c>
      <c r="AE21" s="236" t="str">
        <f t="shared" si="6"/>
        <v>aws s3 cp s3://rtdc.mdm.uploadarchive.raw/RTDC4006/ "%USERPROFILE%\AppData\Local\Temp\OnboardLogs"\RTDC4006\2017-11-29 --exclude "*" --recursive --include "*20171129*" &amp; "%USERPROFILE%\Documents\GitHub\mrs-test-scripts\Headless Mode &amp; Sideloading\WalkAndUnGZ.bat" "%USERPROFILE%\AppData\Local\Temp\OnboardLogs"\RTDC4006\2017-11-29 &amp; aws s3 cp s3://rtdc.mdm.uploadarchive.raw/RTDC4006/ "%USERPROFILE%\AppData\Local\Temp\OnboardLogs"\RTDC4006\2017-11-30 --exclude "*" --recursive --include "*20171130*" &amp; "%USERPROFILE%\Documents\GitHub\mrs-test-scripts\Headless Mode &amp; Sideloading\WalkAndUnGZ.bat" "%USERPROFILE%\AppData\Local\Temp\OnboardLogs"\RTDC4006\2017-11-30</v>
      </c>
      <c r="AF21" s="235" t="str">
        <f t="shared" si="7"/>
        <v>"C:\Program Files (x86)\AstroGrep\AstroGrep.exe" /e /r /s /spath="%USERPROFILE%\AppData\Local\Temp\OnboardLogs" /stypes="app*4006*20171129*" /stext=" 12:.+((SYSTEM_STATE.+slice.+state.+changed )|(ment ac)|(multiple cpu faults)|(system.+state.+changed )|(\[timeout)|(PRM\|1\|D)|(kpr)|(kdp)|(train st.+moving)|(\|lc)|(penalty))"</v>
      </c>
      <c r="AG21" s="245" t="str">
        <f t="shared" si="8"/>
        <v>EC</v>
      </c>
      <c r="AH21" s="237" t="str">
        <f t="shared" si="14"/>
        <v>"%USERPROFILE%\Documents\GitHub\eaglep3\Utilities\RefineRTDCRunTimes.py" --tripid 107-29 --locoid 4006 --swversion DE.1.0.9.0 --startMP 204:551 --initTime 2017-11-29T04:22:39 --startdatetime 2017-11-29T04:30:20 --delay 112 --endMP 204:233240 --enddatetime 2017-11-29T05:06:38 --enforcementcount 0 &gt;&gt;%USERPROFILE%\Documents\GitHub\eaglep3-reporting\EC\2017-11-29-refined-times.txt</v>
      </c>
      <c r="AI21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{"issue":{"subject":"","project_id":79,"tracker_id":40,"status_id":1,"priority_id":2,"assigned_to_id":338,"start_date":"2017-11-29","description":"","custom_fields":[{"id":1,"name":"Subdivision","value":"EC"},{"id":4,"name":"Milepost","value":"23.324"},{"id":17,"name":"Train ID","value":"107-29"},{"id":16,"name":"Locomotive ID","value":"4006"},{"id":130,"name":"Impact","value":""},{"id":150,"name":"Time of Event (Mountain Time)","value":"05:06:38"},{"id":151,"name":"Denver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4"/>
      <c r="AK21" s="232"/>
      <c r="AL21" s="232"/>
      <c r="AM21" s="241" t="str">
        <f t="shared" si="16"/>
        <v>start /low /b %USERPROFILE%\Documents\GitHub\eaglep3\Utilities\DownloadLogsFromS3.py --loco 4006 --day 2017-11-29</v>
      </c>
      <c r="AN21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12:06:38"},{"id":29,"name":"Sharepoint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1" t="str">
        <f t="shared" si="18"/>
        <v>https://d0f6bd738d7f1b3e5a7ca70fe4ff75f0.us-east-1.aws.found.io/app/kibana#/discover/Steve-Slow-Train-Analysis-(2080s-and-2083s)?_g=(refreshInterval:(display:Off,pause:!f,section:0,value:0),time:(from:'2017-11-29T03:22:39-0700',mode:absolute,to:'2017-11-29T06:06:38-0700'))&amp;_a=(columns:!('Message%20ID',Summary),filters:!(),index:'emp_*',interval:auto,query:(query_string:(analyze_wildcard:!t,query:'%22rtdc.l.rtdc.4006%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230" t="s">
        <v>677</v>
      </c>
      <c r="B22" s="226">
        <v>4005</v>
      </c>
      <c r="C22" s="228" t="s">
        <v>192</v>
      </c>
      <c r="D22" s="228" t="s">
        <v>882</v>
      </c>
      <c r="E22" s="227">
        <v>43068.214513888888</v>
      </c>
      <c r="F22" s="227">
        <v>43068.227314814816</v>
      </c>
      <c r="G22" s="226">
        <v>56</v>
      </c>
      <c r="H22" s="228" t="s">
        <v>883</v>
      </c>
      <c r="I22" s="227">
        <v>43068.254942129628</v>
      </c>
      <c r="J22" s="226">
        <v>0</v>
      </c>
      <c r="K22" s="238" t="str">
        <f t="shared" si="0"/>
        <v>4005/4006</v>
      </c>
      <c r="L22" s="246" t="str">
        <f>VLOOKUP(A22,'Trips&amp;Operators'!$C$1:$G$99911,5,FALSE)</f>
        <v>DAVIDSON DAVID</v>
      </c>
      <c r="M22" s="225">
        <f t="shared" si="1"/>
        <v>2.7627314811979886E-2</v>
      </c>
      <c r="N22" s="226">
        <f t="shared" si="26"/>
        <v>39.783333329251036</v>
      </c>
      <c r="O22" s="226"/>
      <c r="P22" s="226"/>
      <c r="Q22" s="229"/>
      <c r="R22" s="243"/>
      <c r="S22" s="250">
        <f t="shared" si="27"/>
        <v>1</v>
      </c>
      <c r="T22" s="243" t="str">
        <f t="shared" si="2"/>
        <v>Southbound</v>
      </c>
      <c r="U22" s="24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9" t="str">
        <f t="shared" si="3"/>
        <v>https://d0f6bd738d7f1b3e5a7ca70fe4ff75f0.us-east-1.aws.found.io/app/kibana#/discover/Steve-Slow-Train-Analysis-(2080s-and-2083s)?_g=(refreshInterval:(display:Off,pause:!f,section:0,value:0),time:(from:'2017-11-29T04:08:54-0700',mode:absolute,to:'2017-11-29T07:07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" s="248" t="str">
        <f>IF(AA22&lt;VLOOKUP(AG22,Variables!$AC$3:$AD$8,2,FALSE),"Y","N")</f>
        <v>N</v>
      </c>
      <c r="X22" s="248">
        <f t="shared" ref="X22:X27" si="29">VALUE(LEFT(AD22,4))-VALUE(LEFT(AD21,4))</f>
        <v>1</v>
      </c>
      <c r="Y22" s="248">
        <f t="shared" si="28"/>
        <v>23.2927</v>
      </c>
      <c r="Z22" s="248">
        <f t="shared" si="20"/>
        <v>2.5600000000000001E-2</v>
      </c>
      <c r="AA22" s="248">
        <f t="shared" si="4"/>
        <v>23.267099999999999</v>
      </c>
      <c r="AB22" s="234" t="e">
        <f>VLOOKUP(A22,Enforcements!$C$7:$K$9,8,0)</f>
        <v>#N/A</v>
      </c>
      <c r="AC22" s="233" t="e">
        <f>VLOOKUP(A22,Enforcements!$C$7:$E$9,3,0)</f>
        <v>#N/A</v>
      </c>
      <c r="AD22" s="244">
        <f t="shared" si="5"/>
        <v>108</v>
      </c>
      <c r="AE22" s="236" t="str">
        <f t="shared" si="6"/>
        <v>aws s3 cp s3://rtdc.mdm.uploadarchive.raw/RTDC4005/ "%USERPROFILE%\AppData\Local\Temp\OnboardLogs"\RTDC4005\2017-11-29 --exclude "*" --recursive --include "*20171129*" &amp; "%USERPROFILE%\Documents\GitHub\mrs-test-scripts\Headless Mode &amp; Sideloading\WalkAndUnGZ.bat" "%USERPROFILE%\AppData\Local\Temp\OnboardLogs"\RTDC4005\2017-11-29 &amp; aws s3 cp s3://rtdc.mdm.uploadarchive.raw/RTDC4005/ "%USERPROFILE%\AppData\Local\Temp\OnboardLogs"\RTDC4005\2017-11-30 --exclude "*" --recursive --include "*20171130*" &amp; "%USERPROFILE%\Documents\GitHub\mrs-test-scripts\Headless Mode &amp; Sideloading\WalkAndUnGZ.bat" "%USERPROFILE%\AppData\Local\Temp\OnboardLogs"\RTDC4005\2017-11-30</v>
      </c>
      <c r="AF22" s="235" t="str">
        <f t="shared" si="7"/>
        <v>"C:\Program Files (x86)\AstroGrep\AstroGrep.exe" /e /r /s /spath="%USERPROFILE%\AppData\Local\Temp\OnboardLogs" /stypes="app*4005*20171129*" /stext=" 13:.+((SYSTEM_STATE.+slice.+state.+changed )|(ment ac)|(multiple cpu faults)|(system.+state.+changed )|(\[timeout)|(PRM\|1\|D)|(kpr)|(kdp)|(train st.+moving)|(\|lc)|(penalty))"</v>
      </c>
      <c r="AG22" s="245" t="str">
        <f t="shared" si="8"/>
        <v>EC</v>
      </c>
      <c r="AH22" s="237" t="str">
        <f t="shared" si="14"/>
        <v>"%USERPROFILE%\Documents\GitHub\eaglep3\Utilities\RefineRTDCRunTimes.py" --tripid 108-29 --locoid 4005 --swversion DE.1.0.9.0 --startMP 204:232927 --initTime 2017-11-29T05:08:54 --startdatetime 2017-11-29T05:27:20 --delay 56 --endMP 204:256 --enddatetime 2017-11-29T06:07:07 --enforcementcount 0 &gt;&gt;%USERPROFILE%\Documents\GitHub\eaglep3-reporting\EC\2017-11-29-refined-times.txt</v>
      </c>
      <c r="AI22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{"issue":{"subject":"","project_id":79,"tracker_id":40,"status_id":1,"priority_id":2,"assigned_to_id":338,"start_date":"2017-11-29","description":"","custom_fields":[{"id":1,"name":"Subdivision","value":"EC"},{"id":4,"name":"Milepost","value":"0.0256"},{"id":17,"name":"Train ID","value":"108-29"},{"id":16,"name":"Locomotive ID","value":"4005"},{"id":130,"name":"Impact","value":""},{"id":150,"name":"Time of Event (Mountain Time)","value":"06:07:07"},{"id":151,"name":"Denver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4"/>
      <c r="AK22" s="232"/>
      <c r="AL22" s="232"/>
      <c r="AM22" s="241" t="str">
        <f t="shared" si="16"/>
        <v>start /low /b %USERPROFILE%\Documents\GitHub\eaglep3\Utilities\DownloadLogsFromS3.py --loco 4005 --day 2017-11-29</v>
      </c>
      <c r="AN22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13:07:07"},{"id":29,"name":"Sharepoint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1" t="str">
        <f t="shared" si="18"/>
        <v>https://d0f6bd738d7f1b3e5a7ca70fe4ff75f0.us-east-1.aws.found.io/app/kibana#/discover/Steve-Slow-Train-Analysis-(2080s-and-2083s)?_g=(refreshInterval:(display:Off,pause:!f,section:0,value:0),time:(from:'2017-11-29T04:08:54-0700',mode:absolute,to:'2017-11-29T07:07:07-0700'))&amp;_a=(columns:!('Message%20ID',Summary),filters:!(),index:'emp_*',interval:auto,query:(query_string:(analyze_wildcard:!t,query:'%22rtdc.l.rtdc.4005%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230" t="s">
        <v>670</v>
      </c>
      <c r="B23" s="226">
        <v>4066</v>
      </c>
      <c r="C23" s="228" t="s">
        <v>192</v>
      </c>
      <c r="D23" s="228" t="s">
        <v>879</v>
      </c>
      <c r="E23" s="227">
        <v>43068.186956018515</v>
      </c>
      <c r="F23" s="227">
        <v>43068.198078703703</v>
      </c>
      <c r="G23" s="226">
        <v>108</v>
      </c>
      <c r="H23" s="228" t="s">
        <v>884</v>
      </c>
      <c r="I23" s="227">
        <v>43068.222199074073</v>
      </c>
      <c r="J23" s="226">
        <v>0</v>
      </c>
      <c r="K23" s="238" t="str">
        <f t="shared" si="0"/>
        <v>4065/4066</v>
      </c>
      <c r="L23" s="246" t="str">
        <f>VLOOKUP(A23,'Trips&amp;Operators'!$C$1:$G$99911,5,FALSE)</f>
        <v>LOPES KIMBERLY</v>
      </c>
      <c r="M23" s="225">
        <f t="shared" si="1"/>
        <v>2.4120370369928423E-2</v>
      </c>
      <c r="N23" s="226">
        <f t="shared" si="26"/>
        <v>34.73333333269693</v>
      </c>
      <c r="O23" s="226"/>
      <c r="P23" s="226"/>
      <c r="Q23" s="229"/>
      <c r="R23" s="243"/>
      <c r="S23" s="250">
        <f t="shared" si="27"/>
        <v>1</v>
      </c>
      <c r="T23" s="243" t="str">
        <f t="shared" si="2"/>
        <v>NorthBound</v>
      </c>
      <c r="U23" s="24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9" t="str">
        <f t="shared" si="3"/>
        <v>https://d0f6bd738d7f1b3e5a7ca70fe4ff75f0.us-east-1.aws.found.io/app/kibana#/discover/Steve-Slow-Train-Analysis-(2080s-and-2083s)?_g=(refreshInterval:(display:Off,pause:!f,section:0,value:0),time:(from:'2017-11-29T03:29:13-0700',mode:absolute,to:'2017-11-29T06:19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" s="248" t="str">
        <f>IF(AA23&lt;VLOOKUP(AG23,Variables!$AC$3:$AD$8,2,FALSE),"Y","N")</f>
        <v>N</v>
      </c>
      <c r="X23" s="248">
        <f t="shared" si="29"/>
        <v>1</v>
      </c>
      <c r="Y23" s="248">
        <f t="shared" si="28"/>
        <v>4.9099999999999998E-2</v>
      </c>
      <c r="Z23" s="248">
        <f t="shared" si="20"/>
        <v>23.323</v>
      </c>
      <c r="AA23" s="248">
        <f t="shared" si="4"/>
        <v>23.273900000000001</v>
      </c>
      <c r="AB23" s="234" t="e">
        <f>VLOOKUP(A23,Enforcements!$C$7:$K$9,8,0)</f>
        <v>#N/A</v>
      </c>
      <c r="AC23" s="233" t="e">
        <f>VLOOKUP(A23,Enforcements!$C$7:$E$9,3,0)</f>
        <v>#N/A</v>
      </c>
      <c r="AD23" s="244">
        <f t="shared" si="5"/>
        <v>109</v>
      </c>
      <c r="AE23" s="236" t="str">
        <f t="shared" si="6"/>
        <v>aws s3 cp s3://rtdc.mdm.uploadarchive.raw/RTDC4066/ "%USERPROFILE%\AppData\Local\Temp\OnboardLogs"\RTDC4066\2017-11-29 --exclude "*" --recursive --include "*20171129*" &amp; "%USERPROFILE%\Documents\GitHub\mrs-test-scripts\Headless Mode &amp; Sideloading\WalkAndUnGZ.bat" "%USERPROFILE%\AppData\Local\Temp\OnboardLogs"\RTDC4066\2017-11-29 &amp; aws s3 cp s3://rtdc.mdm.uploadarchive.raw/RTDC4066/ "%USERPROFILE%\AppData\Local\Temp\OnboardLogs"\RTDC4066\2017-11-30 --exclude "*" --recursive --include "*20171130*" &amp; "%USERPROFILE%\Documents\GitHub\mrs-test-scripts\Headless Mode &amp; Sideloading\WalkAndUnGZ.bat" "%USERPROFILE%\AppData\Local\Temp\OnboardLogs"\RTDC4066\2017-11-30</v>
      </c>
      <c r="AF23" s="235" t="str">
        <f t="shared" si="7"/>
        <v>"C:\Program Files (x86)\AstroGrep\AstroGrep.exe" /e /r /s /spath="%USERPROFILE%\AppData\Local\Temp\OnboardLogs" /stypes="app*4066*20171129*" /stext=" 12:.+((SYSTEM_STATE.+slice.+state.+changed )|(ment ac)|(multiple cpu faults)|(system.+state.+changed )|(\[timeout)|(PRM\|1\|D)|(kpr)|(kdp)|(train st.+moving)|(\|lc)|(penalty))"</v>
      </c>
      <c r="AG23" s="245" t="str">
        <f t="shared" si="8"/>
        <v>EC</v>
      </c>
      <c r="AH23" s="237" t="str">
        <f t="shared" si="14"/>
        <v>"%USERPROFILE%\Documents\GitHub\eaglep3\Utilities\RefineRTDCRunTimes.py" --tripid 109-29 --locoid 4066 --swversion DE.1.0.9.0 --startMP 204:491 --initTime 2017-11-29T04:29:13 --startdatetime 2017-11-29T04:45:14 --delay 108 --endMP 204:233230 --enddatetime 2017-11-29T05:19:58 --enforcementcount 0 &gt;&gt;%USERPROFILE%\Documents\GitHub\eaglep3-reporting\EC\2017-11-29-refined-times.txt</v>
      </c>
      <c r="AI23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{"issue":{"subject":"","project_id":79,"tracker_id":40,"status_id":1,"priority_id":2,"assigned_to_id":338,"start_date":"2017-11-29","description":"","custom_fields":[{"id":1,"name":"Subdivision","value":"EC"},{"id":4,"name":"Milepost","value":"23.323"},{"id":17,"name":"Train ID","value":"109-29"},{"id":16,"name":"Locomotive ID","value":"4066"},{"id":130,"name":"Impact","value":""},{"id":150,"name":"Time of Event (Mountain Time)","value":"05:19:58"},{"id":151,"name":"Denver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4"/>
      <c r="AK23" s="232"/>
      <c r="AL23" s="232"/>
      <c r="AM23" s="241" t="str">
        <f t="shared" si="16"/>
        <v>start /low /b %USERPROFILE%\Documents\GitHub\eaglep3\Utilities\DownloadLogsFromS3.py --loco 4066 --day 2017-11-29</v>
      </c>
      <c r="AN23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12:19:58"},{"id":29,"name":"Sharepoint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1" t="str">
        <f t="shared" si="18"/>
        <v>https://d0f6bd738d7f1b3e5a7ca70fe4ff75f0.us-east-1.aws.found.io/app/kibana#/discover/Steve-Slow-Train-Analysis-(2080s-and-2083s)?_g=(refreshInterval:(display:Off,pause:!f,section:0,value:0),time:(from:'2017-11-29T03:29:13-0700',mode:absolute,to:'2017-11-29T06:19:58-0700'))&amp;_a=(columns:!('Message%20ID',Summary),filters:!(),index:'emp_*',interval:auto,query:(query_string:(analyze_wildcard:!t,query:'%22rtdc.l.rtdc.4066%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230" t="s">
        <v>681</v>
      </c>
      <c r="B24" s="226">
        <v>4065</v>
      </c>
      <c r="C24" s="228" t="s">
        <v>192</v>
      </c>
      <c r="D24" s="228" t="s">
        <v>579</v>
      </c>
      <c r="E24" s="227">
        <v>43068.223900462966</v>
      </c>
      <c r="F24" s="227">
        <v>43068.237754629627</v>
      </c>
      <c r="G24" s="226">
        <v>70</v>
      </c>
      <c r="H24" s="228" t="s">
        <v>885</v>
      </c>
      <c r="I24" s="227">
        <v>43068.263298611113</v>
      </c>
      <c r="J24" s="226">
        <v>0</v>
      </c>
      <c r="K24" s="238" t="str">
        <f t="shared" si="0"/>
        <v>4065/4066</v>
      </c>
      <c r="L24" s="246" t="str">
        <f>VLOOKUP(A24,'Trips&amp;Operators'!$C$1:$G$99911,5,FALSE)</f>
        <v>LOPES KIMBERLY</v>
      </c>
      <c r="M24" s="225">
        <f t="shared" si="1"/>
        <v>2.5543981486407574E-2</v>
      </c>
      <c r="N24" s="226">
        <f t="shared" si="26"/>
        <v>36.783333340426907</v>
      </c>
      <c r="O24" s="226"/>
      <c r="P24" s="226"/>
      <c r="Q24" s="229"/>
      <c r="R24" s="243"/>
      <c r="S24" s="250">
        <f t="shared" si="27"/>
        <v>1</v>
      </c>
      <c r="T24" s="243" t="str">
        <f t="shared" si="2"/>
        <v>Southbound</v>
      </c>
      <c r="U24" s="24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9" t="str">
        <f t="shared" si="3"/>
        <v>https://d0f6bd738d7f1b3e5a7ca70fe4ff75f0.us-east-1.aws.found.io/app/kibana#/discover/Steve-Slow-Train-Analysis-(2080s-and-2083s)?_g=(refreshInterval:(display:Off,pause:!f,section:0,value:0),time:(from:'2017-11-29T04:22:25-0700',mode:absolute,to:'2017-11-29T07:19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4" s="248" t="str">
        <f>IF(AA24&lt;VLOOKUP(AG24,Variables!$AC$3:$AD$8,2,FALSE),"Y","N")</f>
        <v>N</v>
      </c>
      <c r="X24" s="248">
        <f t="shared" si="29"/>
        <v>1</v>
      </c>
      <c r="Y24" s="248">
        <f t="shared" si="28"/>
        <v>23.290199999999999</v>
      </c>
      <c r="Z24" s="248">
        <f t="shared" si="20"/>
        <v>1.89E-2</v>
      </c>
      <c r="AA24" s="248">
        <f t="shared" si="4"/>
        <v>23.2713</v>
      </c>
      <c r="AB24" s="234" t="e">
        <f>VLOOKUP(A24,Enforcements!$C$7:$K$9,8,0)</f>
        <v>#N/A</v>
      </c>
      <c r="AC24" s="233" t="e">
        <f>VLOOKUP(A24,Enforcements!$C$7:$E$9,3,0)</f>
        <v>#N/A</v>
      </c>
      <c r="AD24" s="244">
        <f t="shared" si="5"/>
        <v>110</v>
      </c>
      <c r="AE24" s="236" t="str">
        <f t="shared" si="6"/>
        <v>aws s3 cp s3://rtdc.mdm.uploadarchive.raw/RTDC4065/ "%USERPROFILE%\AppData\Local\Temp\OnboardLogs"\RTDC4065\2017-11-29 --exclude "*" --recursive --include "*20171129*" &amp; "%USERPROFILE%\Documents\GitHub\mrs-test-scripts\Headless Mode &amp; Sideloading\WalkAndUnGZ.bat" "%USERPROFILE%\AppData\Local\Temp\OnboardLogs"\RTDC4065\2017-11-29 &amp; aws s3 cp s3://rtdc.mdm.uploadarchive.raw/RTDC4065/ "%USERPROFILE%\AppData\Local\Temp\OnboardLogs"\RTDC4065\2017-11-30 --exclude "*" --recursive --include "*20171130*" &amp; "%USERPROFILE%\Documents\GitHub\mrs-test-scripts\Headless Mode &amp; Sideloading\WalkAndUnGZ.bat" "%USERPROFILE%\AppData\Local\Temp\OnboardLogs"\RTDC4065\2017-11-30</v>
      </c>
      <c r="AF24" s="235" t="str">
        <f t="shared" si="7"/>
        <v>"C:\Program Files (x86)\AstroGrep\AstroGrep.exe" /e /r /s /spath="%USERPROFILE%\AppData\Local\Temp\OnboardLogs" /stypes="app*4065*20171129*" /stext=" 13:.+((SYSTEM_STATE.+slice.+state.+changed )|(ment ac)|(multiple cpu faults)|(system.+state.+changed )|(\[timeout)|(PRM\|1\|D)|(kpr)|(kdp)|(train st.+moving)|(\|lc)|(penalty))"</v>
      </c>
      <c r="AG24" s="245" t="str">
        <f t="shared" si="8"/>
        <v>EC</v>
      </c>
      <c r="AH24" s="237" t="str">
        <f t="shared" si="14"/>
        <v>"%USERPROFILE%\Documents\GitHub\eaglep3\Utilities\RefineRTDCRunTimes.py" --tripid 110-29 --locoid 4065 --swversion DE.1.0.9.0 --startMP 204:232902 --initTime 2017-11-29T05:22:25 --startdatetime 2017-11-29T05:42:22 --delay 70 --endMP 204:189 --enddatetime 2017-11-29T06:19:09 --enforcementcount 0 &gt;&gt;%USERPROFILE%\Documents\GitHub\eaglep3-reporting\EC\2017-11-29-refined-times.txt</v>
      </c>
      <c r="AI24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{"issue":{"subject":"","project_id":79,"tracker_id":40,"status_id":1,"priority_id":2,"assigned_to_id":338,"start_date":"2017-11-29","description":"","custom_fields":[{"id":1,"name":"Subdivision","value":"EC"},{"id":4,"name":"Milepost","value":"0.0189"},{"id":17,"name":"Train ID","value":"110-29"},{"id":16,"name":"Locomotive ID","value":"4065"},{"id":130,"name":"Impact","value":""},{"id":150,"name":"Time of Event (Mountain Time)","value":"06:19:09"},{"id":151,"name":"Denver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4"/>
      <c r="AK24" s="232"/>
      <c r="AL24" s="232"/>
      <c r="AM24" s="241" t="str">
        <f t="shared" si="16"/>
        <v>start /low /b %USERPROFILE%\Documents\GitHub\eaglep3\Utilities\DownloadLogsFromS3.py --loco 4065 --day 2017-11-29</v>
      </c>
      <c r="AN24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13:19:09"},{"id":29,"name":"Sharepoint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1" t="str">
        <f t="shared" si="18"/>
        <v>https://d0f6bd738d7f1b3e5a7ca70fe4ff75f0.us-east-1.aws.found.io/app/kibana#/discover/Steve-Slow-Train-Analysis-(2080s-and-2083s)?_g=(refreshInterval:(display:Off,pause:!f,section:0,value:0),time:(from:'2017-11-29T04:22:25-0700',mode:absolute,to:'2017-11-29T07:19:09-0700'))&amp;_a=(columns:!('Message%20ID',Summary),filters:!(),index:'emp_*',interval:auto,query:(query_string:(analyze_wildcard:!t,query:'%22rtdc.l.rtdc.4065%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230" t="s">
        <v>671</v>
      </c>
      <c r="B25" s="226">
        <v>4022</v>
      </c>
      <c r="C25" s="228" t="s">
        <v>192</v>
      </c>
      <c r="D25" s="228" t="s">
        <v>559</v>
      </c>
      <c r="E25" s="227">
        <v>43068.195671296293</v>
      </c>
      <c r="F25" s="227">
        <v>43068.208518518521</v>
      </c>
      <c r="G25" s="226">
        <v>57</v>
      </c>
      <c r="H25" s="228" t="s">
        <v>886</v>
      </c>
      <c r="I25" s="227">
        <v>43068.235821759263</v>
      </c>
      <c r="J25" s="226">
        <v>0</v>
      </c>
      <c r="K25" s="238" t="str">
        <f t="shared" si="0"/>
        <v>4021/4022</v>
      </c>
      <c r="L25" s="246" t="str">
        <f>VLOOKUP(A25,'Trips&amp;Operators'!$C$1:$G$99911,5,FALSE)</f>
        <v>SPECTOR MICHAEL</v>
      </c>
      <c r="M25" s="225">
        <f t="shared" si="1"/>
        <v>2.7303240742185153E-2</v>
      </c>
      <c r="N25" s="226">
        <f t="shared" si="26"/>
        <v>39.31666666874662</v>
      </c>
      <c r="O25" s="226"/>
      <c r="P25" s="226"/>
      <c r="Q25" s="229"/>
      <c r="R25" s="243"/>
      <c r="S25" s="250">
        <f t="shared" si="27"/>
        <v>1</v>
      </c>
      <c r="T25" s="243" t="str">
        <f t="shared" si="2"/>
        <v>NorthBound</v>
      </c>
      <c r="U25" s="24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9" t="str">
        <f t="shared" si="3"/>
        <v>https://d0f6bd738d7f1b3e5a7ca70fe4ff75f0.us-east-1.aws.found.io/app/kibana#/discover/Steve-Slow-Train-Analysis-(2080s-and-2083s)?_g=(refreshInterval:(display:Off,pause:!f,section:0,value:0),time:(from:'2017-11-29T03:41:46-0700',mode:absolute,to:'2017-11-29T06:39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5" s="248" t="str">
        <f>IF(AA25&lt;VLOOKUP(AG25,Variables!$AC$3:$AD$8,2,FALSE),"Y","N")</f>
        <v>N</v>
      </c>
      <c r="X25" s="248">
        <f t="shared" si="29"/>
        <v>1</v>
      </c>
      <c r="Y25" s="248">
        <f t="shared" si="28"/>
        <v>4.6399999999999997E-2</v>
      </c>
      <c r="Z25" s="248">
        <f t="shared" si="20"/>
        <v>23.331099999999999</v>
      </c>
      <c r="AA25" s="248">
        <f t="shared" si="4"/>
        <v>23.284700000000001</v>
      </c>
      <c r="AB25" s="234" t="e">
        <f>VLOOKUP(A25,Enforcements!$C$7:$K$9,8,0)</f>
        <v>#N/A</v>
      </c>
      <c r="AC25" s="233" t="e">
        <f>VLOOKUP(A25,Enforcements!$C$7:$E$9,3,0)</f>
        <v>#N/A</v>
      </c>
      <c r="AD25" s="244">
        <f t="shared" si="5"/>
        <v>111</v>
      </c>
      <c r="AE25" s="236" t="str">
        <f t="shared" si="6"/>
        <v>aws s3 cp s3://rtdc.mdm.uploadarchive.raw/RTDC4022/ "%USERPROFILE%\AppData\Local\Temp\OnboardLogs"\RTDC4022\2017-11-29 --exclude "*" --recursive --include "*20171129*" &amp; "%USERPROFILE%\Documents\GitHub\mrs-test-scripts\Headless Mode &amp; Sideloading\WalkAndUnGZ.bat" "%USERPROFILE%\AppData\Local\Temp\OnboardLogs"\RTDC4022\2017-11-29 &amp; aws s3 cp s3://rtdc.mdm.uploadarchive.raw/RTDC4022/ "%USERPROFILE%\AppData\Local\Temp\OnboardLogs"\RTDC4022\2017-11-30 --exclude "*" --recursive --include "*20171130*" &amp; "%USERPROFILE%\Documents\GitHub\mrs-test-scripts\Headless Mode &amp; Sideloading\WalkAndUnGZ.bat" "%USERPROFILE%\AppData\Local\Temp\OnboardLogs"\RTDC4022\2017-11-30</v>
      </c>
      <c r="AF25" s="235" t="str">
        <f t="shared" si="7"/>
        <v>"C:\Program Files (x86)\AstroGrep\AstroGrep.exe" /e /r /s /spath="%USERPROFILE%\AppData\Local\Temp\OnboardLogs" /stypes="app*4022*20171129*" /stext=" 12:.+((SYSTEM_STATE.+slice.+state.+changed )|(ment ac)|(multiple cpu faults)|(system.+state.+changed )|(\[timeout)|(PRM\|1\|D)|(kpr)|(kdp)|(train st.+moving)|(\|lc)|(penalty))"</v>
      </c>
      <c r="AG25" s="245" t="str">
        <f t="shared" si="8"/>
        <v>EC</v>
      </c>
      <c r="AH25" s="237" t="str">
        <f t="shared" si="14"/>
        <v>"%USERPROFILE%\Documents\GitHub\eaglep3\Utilities\RefineRTDCRunTimes.py" --tripid 111-29 --locoid 4022 --swversion DE.1.0.9.0 --startMP 204:464 --initTime 2017-11-29T04:41:46 --startdatetime 2017-11-29T05:00:16 --delay 57 --endMP 204:233311 --enddatetime 2017-11-29T05:39:35 --enforcementcount 0 &gt;&gt;%USERPROFILE%\Documents\GitHub\eaglep3-reporting\EC\2017-11-29-refined-times.txt</v>
      </c>
      <c r="AI25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{"issue":{"subject":"","project_id":79,"tracker_id":40,"status_id":1,"priority_id":2,"assigned_to_id":338,"start_date":"2017-11-29","description":"","custom_fields":[{"id":1,"name":"Subdivision","value":"EC"},{"id":4,"name":"Milepost","value":"23.3311"},{"id":17,"name":"Train ID","value":"111-29"},{"id":16,"name":"Locomotive ID","value":"4022"},{"id":130,"name":"Impact","value":""},{"id":150,"name":"Time of Event (Mountain Time)","value":"05:39:35"},{"id":151,"name":"Denver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4"/>
      <c r="AK25" s="232"/>
      <c r="AL25" s="232"/>
      <c r="AM25" s="241" t="str">
        <f t="shared" si="16"/>
        <v>start /low /b %USERPROFILE%\Documents\GitHub\eaglep3\Utilities\DownloadLogsFromS3.py --loco 4022 --day 2017-11-29</v>
      </c>
      <c r="AN25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12:39:35"},{"id":29,"name":"Sharepoint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1" t="str">
        <f t="shared" si="18"/>
        <v>https://d0f6bd738d7f1b3e5a7ca70fe4ff75f0.us-east-1.aws.found.io/app/kibana#/discover/Steve-Slow-Train-Analysis-(2080s-and-2083s)?_g=(refreshInterval:(display:Off,pause:!f,section:0,value:0),time:(from:'2017-11-29T03:41:46-0700',mode:absolute,to:'2017-11-29T06:39:35-0700'))&amp;_a=(columns:!('Message%20ID',Summary),filters:!(),index:'emp_*',interval:auto,query:(query_string:(analyze_wildcard:!t,query:'%22rtdc.l.rtdc.4022%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230" t="s">
        <v>686</v>
      </c>
      <c r="B26" s="226">
        <v>4021</v>
      </c>
      <c r="C26" s="228" t="s">
        <v>192</v>
      </c>
      <c r="D26" s="228" t="s">
        <v>887</v>
      </c>
      <c r="E26" s="227">
        <v>43068.245057870372</v>
      </c>
      <c r="F26" s="227">
        <v>43068.248090277775</v>
      </c>
      <c r="G26" s="226">
        <v>65</v>
      </c>
      <c r="H26" s="228" t="s">
        <v>888</v>
      </c>
      <c r="I26" s="227">
        <v>43068.274884259263</v>
      </c>
      <c r="J26" s="226">
        <v>0</v>
      </c>
      <c r="K26" s="238" t="str">
        <f t="shared" si="0"/>
        <v>4021/4022</v>
      </c>
      <c r="L26" s="246" t="str">
        <f>VLOOKUP(A26,'Trips&amp;Operators'!$C$1:$G$99911,5,FALSE)</f>
        <v>SPECTOR MICHAEL</v>
      </c>
      <c r="M26" s="225">
        <f t="shared" si="1"/>
        <v>2.6793981487571727E-2</v>
      </c>
      <c r="N26" s="226">
        <f t="shared" si="26"/>
        <v>38.583333342103288</v>
      </c>
      <c r="O26" s="226"/>
      <c r="P26" s="226"/>
      <c r="Q26" s="229"/>
      <c r="R26" s="243"/>
      <c r="S26" s="250">
        <f t="shared" si="27"/>
        <v>1</v>
      </c>
      <c r="T26" s="243" t="str">
        <f t="shared" si="2"/>
        <v>Southbound</v>
      </c>
      <c r="U26" s="24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9" t="str">
        <f t="shared" si="3"/>
        <v>https://d0f6bd738d7f1b3e5a7ca70fe4ff75f0.us-east-1.aws.found.io/app/kibana#/discover/Steve-Slow-Train-Analysis-(2080s-and-2083s)?_g=(refreshInterval:(display:Off,pause:!f,section:0,value:0),time:(from:'2017-11-29T04:52:53-0700',mode:absolute,to:'2017-11-29T07:35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6" s="248" t="str">
        <f>IF(AA26&lt;VLOOKUP(AG26,Variables!$AC$3:$AD$8,2,FALSE),"Y","N")</f>
        <v>N</v>
      </c>
      <c r="X26" s="248">
        <f t="shared" si="29"/>
        <v>1</v>
      </c>
      <c r="Y26" s="248">
        <f t="shared" si="28"/>
        <v>23.2986</v>
      </c>
      <c r="Z26" s="248">
        <f t="shared" si="20"/>
        <v>1.3899999999999999E-2</v>
      </c>
      <c r="AA26" s="248">
        <f t="shared" si="4"/>
        <v>23.284700000000001</v>
      </c>
      <c r="AB26" s="234" t="e">
        <f>VLOOKUP(A26,Enforcements!$C$7:$K$9,8,0)</f>
        <v>#N/A</v>
      </c>
      <c r="AC26" s="233" t="e">
        <f>VLOOKUP(A26,Enforcements!$C$7:$E$9,3,0)</f>
        <v>#N/A</v>
      </c>
      <c r="AD26" s="244">
        <f t="shared" si="5"/>
        <v>112</v>
      </c>
      <c r="AE26" s="236" t="str">
        <f t="shared" si="6"/>
        <v>aws s3 cp s3://rtdc.mdm.uploadarchive.raw/RTDC4021/ "%USERPROFILE%\AppData\Local\Temp\OnboardLogs"\RTDC4021\2017-11-29 --exclude "*" --recursive --include "*20171129*" &amp; "%USERPROFILE%\Documents\GitHub\mrs-test-scripts\Headless Mode &amp; Sideloading\WalkAndUnGZ.bat" "%USERPROFILE%\AppData\Local\Temp\OnboardLogs"\RTDC4021\2017-11-29 &amp; aws s3 cp s3://rtdc.mdm.uploadarchive.raw/RTDC4021/ "%USERPROFILE%\AppData\Local\Temp\OnboardLogs"\RTDC4021\2017-11-30 --exclude "*" --recursive --include "*20171130*" &amp; "%USERPROFILE%\Documents\GitHub\mrs-test-scripts\Headless Mode &amp; Sideloading\WalkAndUnGZ.bat" "%USERPROFILE%\AppData\Local\Temp\OnboardLogs"\RTDC4021\2017-11-30</v>
      </c>
      <c r="AF26" s="235" t="str">
        <f t="shared" si="7"/>
        <v>"C:\Program Files (x86)\AstroGrep\AstroGrep.exe" /e /r /s /spath="%USERPROFILE%\AppData\Local\Temp\OnboardLogs" /stypes="app*4021*20171129*" /stext=" 13:.+((SYSTEM_STATE.+slice.+state.+changed )|(ment ac)|(multiple cpu faults)|(system.+state.+changed )|(\[timeout)|(PRM\|1\|D)|(kpr)|(kdp)|(train st.+moving)|(\|lc)|(penalty))"</v>
      </c>
      <c r="AG26" s="245" t="str">
        <f t="shared" si="8"/>
        <v>EC</v>
      </c>
      <c r="AH26" s="237" t="str">
        <f t="shared" si="14"/>
        <v>"%USERPROFILE%\Documents\GitHub\eaglep3\Utilities\RefineRTDCRunTimes.py" --tripid 112-29 --locoid 4021 --swversion DE.1.0.9.0 --startMP 204:232986 --initTime 2017-11-29T05:52:53 --startdatetime 2017-11-29T05:57:15 --delay 65 --endMP 204:139 --enddatetime 2017-11-29T06:35:50 --enforcementcount 0 &gt;&gt;%USERPROFILE%\Documents\GitHub\eaglep3-reporting\EC\2017-11-29-refined-times.txt</v>
      </c>
      <c r="AI26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{"issue":{"subject":"","project_id":79,"tracker_id":40,"status_id":1,"priority_id":2,"assigned_to_id":338,"start_date":"2017-11-29","description":"","custom_fields":[{"id":1,"name":"Subdivision","value":"EC"},{"id":4,"name":"Milepost","value":"0.0139"},{"id":17,"name":"Train ID","value":"112-29"},{"id":16,"name":"Locomotive ID","value":"4021"},{"id":130,"name":"Impact","value":""},{"id":150,"name":"Time of Event (Mountain Time)","value":"06:35:50"},{"id":151,"name":"Denver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4"/>
      <c r="AK26" s="232"/>
      <c r="AL26" s="232"/>
      <c r="AM26" s="241" t="str">
        <f t="shared" si="16"/>
        <v>start /low /b %USERPROFILE%\Documents\GitHub\eaglep3\Utilities\DownloadLogsFromS3.py --loco 4021 --day 2017-11-29</v>
      </c>
      <c r="AN26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13:35:50"},{"id":29,"name":"Sharepoint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1" t="str">
        <f t="shared" si="18"/>
        <v>https://d0f6bd738d7f1b3e5a7ca70fe4ff75f0.us-east-1.aws.found.io/app/kibana#/discover/Steve-Slow-Train-Analysis-(2080s-and-2083s)?_g=(refreshInterval:(display:Off,pause:!f,section:0,value:0),time:(from:'2017-11-29T04:52:53-0700',mode:absolute,to:'2017-11-29T07:35:50-0700'))&amp;_a=(columns:!('Message%20ID',Summary),filters:!(),index:'emp_*',interval:auto,query:(query_string:(analyze_wildcard:!t,query:'%22rtdc.l.rtdc.4021%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230" t="s">
        <v>621</v>
      </c>
      <c r="B27" s="226">
        <v>4028</v>
      </c>
      <c r="C27" s="228" t="s">
        <v>192</v>
      </c>
      <c r="D27" s="228" t="s">
        <v>887</v>
      </c>
      <c r="E27" s="227">
        <v>43068.245057870372</v>
      </c>
      <c r="F27" s="227">
        <v>43068.218923611108</v>
      </c>
      <c r="G27" s="226">
        <v>65</v>
      </c>
      <c r="H27" s="228" t="s">
        <v>888</v>
      </c>
      <c r="I27" s="227">
        <v>43068.235821759263</v>
      </c>
      <c r="J27" s="226">
        <v>0</v>
      </c>
      <c r="K27" s="238" t="str">
        <f t="shared" si="0"/>
        <v>4027/4028</v>
      </c>
      <c r="L27" s="246" t="str">
        <f>VLOOKUP(A27,'Trips&amp;Operators'!$C$1:$G$99911,5,FALSE)</f>
        <v>YANAI IAN</v>
      </c>
      <c r="M27" s="225">
        <f t="shared" si="1"/>
        <v>1.6898148154723458E-2</v>
      </c>
      <c r="N27" s="226"/>
      <c r="O27" s="226"/>
      <c r="P27" s="226">
        <f>24*60*SUM($M27:$M27)</f>
        <v>24.33333334280178</v>
      </c>
      <c r="Q27" s="229"/>
      <c r="R27" s="243" t="s">
        <v>522</v>
      </c>
      <c r="S27" s="250">
        <f t="shared" si="27"/>
        <v>1</v>
      </c>
      <c r="T27" s="243" t="str">
        <f t="shared" si="2"/>
        <v>NorthBound</v>
      </c>
      <c r="U27" s="24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9" t="str">
        <f t="shared" si="3"/>
        <v>https://d0f6bd738d7f1b3e5a7ca70fe4ff75f0.us-east-1.aws.found.io/app/kibana#/discover/Steve-Slow-Train-Analysis-(2080s-and-2083s)?_g=(refreshInterval:(display:Off,pause:!f,section:0,value:0),time:(from:'2017-11-29T04:52:53-0700',mode:absolute,to:'2017-11-29T06:39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7" s="248" t="str">
        <f>IF(AA27&lt;VLOOKUP(AG27,Variables!$AC$3:$AD$8,2,FALSE),"Y","N")</f>
        <v>Y</v>
      </c>
      <c r="X27" s="248">
        <f t="shared" si="29"/>
        <v>1</v>
      </c>
      <c r="Y27" s="248">
        <v>0.4</v>
      </c>
      <c r="Z27" s="248">
        <v>14.6</v>
      </c>
      <c r="AA27" s="248">
        <f t="shared" si="4"/>
        <v>14.2</v>
      </c>
      <c r="AB27" s="234" t="e">
        <f>VLOOKUP(A27,Enforcements!$C$7:$K$9,8,0)</f>
        <v>#N/A</v>
      </c>
      <c r="AC27" s="233" t="e">
        <f>VLOOKUP(A27,Enforcements!$C$7:$E$9,3,0)</f>
        <v>#N/A</v>
      </c>
      <c r="AD27" s="244">
        <f t="shared" si="5"/>
        <v>113</v>
      </c>
      <c r="AE27" s="236" t="str">
        <f t="shared" si="6"/>
        <v>aws s3 cp s3://rtdc.mdm.uploadarchive.raw/RTDC4028/ "%USERPROFILE%\AppData\Local\Temp\OnboardLogs"\RTDC4028\2017-11-29 --exclude "*" --recursive --include "*20171129*" &amp; "%USERPROFILE%\Documents\GitHub\mrs-test-scripts\Headless Mode &amp; Sideloading\WalkAndUnGZ.bat" "%USERPROFILE%\AppData\Local\Temp\OnboardLogs"\RTDC4028\2017-11-29 &amp; aws s3 cp s3://rtdc.mdm.uploadarchive.raw/RTDC4028/ "%USERPROFILE%\AppData\Local\Temp\OnboardLogs"\RTDC4028\2017-11-30 --exclude "*" --recursive --include "*20171130*" &amp; "%USERPROFILE%\Documents\GitHub\mrs-test-scripts\Headless Mode &amp; Sideloading\WalkAndUnGZ.bat" "%USERPROFILE%\AppData\Local\Temp\OnboardLogs"\RTDC4028\2017-11-30</v>
      </c>
      <c r="AF27" s="235" t="str">
        <f t="shared" si="7"/>
        <v>"C:\Program Files (x86)\AstroGrep\AstroGrep.exe" /e /r /s /spath="%USERPROFILE%\AppData\Local\Temp\OnboardLogs" /stypes="app*4028*20171129*" /stext=" 12:.+((SYSTEM_STATE.+slice.+state.+changed )|(ment ac)|(multiple cpu faults)|(system.+state.+changed )|(\[timeout)|(PRM\|1\|D)|(kpr)|(kdp)|(train st.+moving)|(\|lc)|(penalty))"</v>
      </c>
      <c r="AG27" s="245" t="str">
        <f t="shared" si="8"/>
        <v>EC</v>
      </c>
      <c r="AH27" s="237" t="str">
        <f t="shared" ref="AH27" si="30">refinertdcruntimes&amp;" --tripid "&amp;A27&amp;" --locoid "&amp;B27&amp;" --swversion "&amp;C27&amp;" --startMP "&amp;D27&amp;" --initTime "&amp;TEXT(E27,"yyyy-mm-ddTHH:MM:SS")&amp;" --startdatetime "&amp;TEXT(F27,"yyyy-mm-ddTHH:MM:SS")&amp;" --delay "&amp;G27&amp;" --endMP "&amp;H27&amp;" --enddatetime "&amp;TEXT(I27,"yyyy-mm-ddTHH:MM:SS")&amp;" --enforcementcount "&amp;J27&amp;IF(outputrefinedruntimes," &gt;&gt;"&amp;RefinedRTDCRunTimesOutputFile,"")</f>
        <v>"%USERPROFILE%\Documents\GitHub\eaglep3\Utilities\RefineRTDCRunTimes.py" --tripid 113-29 --locoid 4028 --swversion DE.1.0.9.0 --startMP 204:232986 --initTime 2017-11-29T05:52:53 --startdatetime 2017-11-29T05:15:15 --delay 65 --endMP 204:139 --enddatetime 2017-11-29T05:39:35 --enforcementcount 0 &gt;&gt;%USERPROFILE%\Documents\GitHub\eaglep3-reporting\EC\2017-11-29-refined-times.txt</v>
      </c>
      <c r="AI27" s="239" t="str">
        <f t="shared" ref="AI27" si="31">"echo {""issue"":{""subject"":"""&amp;R27&amp;""",""project_id"":79,""tracker_id"":40,""status_id"":"&amp;redmine_status&amp;",""priority_id"":"&amp;redmine_priority&amp;",""assigned_to_id"":"&amp;redmine_assignee&amp;",""start_date"":"""&amp;TEXT(I27,"YYYY-mm-dd")&amp;""",""description"":"""&amp;AJ27&amp;""",""custom_fields"":[{""id"":1,""name"":""Subdivision"",""value"":"""&amp;AG27&amp;"""},{""id"":4,""name"":""Milepost"",""value"":"""&amp;Z27&amp;"""},{""id"":17,""name"":""Train ID"",""value"":"""&amp;A27&amp;"""},{""id"":16,""name"":""Locomotive ID"",""value"":"""&amp;B27&amp;"""},{""id"":130,""name"":""Impact"",""value"":"""&amp;AK27&amp;"""},{""id"":150,""name"":""Time of Event (Mountain Time)"",""value"":"""&amp;TEXT(I27,"hh:mm:ss")&amp;"""},{""id"":151,""name"":""Denver Issue ID"",""value"":"""&amp;"""},{""id"":178,""name"":""Operational Impact"",""value"":"""&amp;redmine_op_impact&amp;"""},{""id"":179,""name"":""Denver Segment Assigned"",""value"":"""&amp;AL27&amp;"""}]}}"&amp;"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drop","project_id":79,"tracker_id":40,"status_id":1,"priority_id":2,"assigned_to_id":338,"start_date":"2017-11-29","description":"","custom_fields":[{"id":1,"name":"Subdivision","value":"EC"},{"id":4,"name":"Milepost","value":"14.6"},{"id":17,"name":"Train ID","value":"113-29"},{"id":16,"name":"Locomotive ID","value":"4028"},{"id":130,"name":"Impact","value":""},{"id":150,"name":"Time of Event (Mountain Time)","value":"05:39:35"},{"id":151,"name":"Denver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4"/>
      <c r="AK27" s="232"/>
      <c r="AL27" s="232"/>
      <c r="AM27" s="241" t="str">
        <f t="shared" ref="AM27" si="32">"start /low /b "&amp;dls3logs&amp;" --loco "&amp;B27&amp;" --day "&amp;TEXT(F27,"YYYY-MM-DD")</f>
        <v>start /low /b %USERPROFILE%\Documents\GitHub\eaglep3\Utilities\DownloadLogsFromS3.py --loco 4028 --day 2017-11-29</v>
      </c>
      <c r="AN27" s="242" t="str">
        <f t="shared" ref="AN27" si="33">"echo {""issue"":{""subject"":"""&amp;R27&amp;""",""project_id"":30,""tracker_id"":4,""status_id"":"&amp;redmine_status_wcr&amp;",""priority_id"":"&amp;redmine_priority_wcr&amp;",""assigned_to_id"":"&amp;redmine_assignee_wcr&amp;",""start_date"":"""&amp;TEXT(I27-utc_offset/24,"YYYY-mm-dd")&amp;""",""description"":"""&amp;AJ27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12:39:35"},{"id":29,"name":"Sharepoint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1" t="str">
        <f t="shared" ref="AO27" si="34"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Message%20ID',Summary),filters:!(),index:'emp_*',interval:auto,query:"&amp;"(query_string:(analyze_wildcard:!t,query:'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-11-29T04:52:53-0700',mode:absolute,to:'2017-11-29T06:39:35-0700'))&amp;_a=(columns:!('Message%20ID',Summary),filters:!(),index:'emp_*',interval:auto,query:(query_string:(analyze_wildcard:!t,query:'%22rtdc.l.rtdc.4028%22')),sort:!(Time.ISO8601,asc))</v>
      </c>
      <c r="AP27" s="224"/>
      <c r="AQ27" s="224"/>
      <c r="AR27" s="224"/>
      <c r="AS27" s="224"/>
      <c r="AT27" s="224"/>
      <c r="AU27" s="224"/>
      <c r="AV27" s="224"/>
      <c r="AW27" s="224"/>
      <c r="AX27" s="224"/>
      <c r="AY27" s="224"/>
      <c r="AZ27" s="224"/>
      <c r="BA27" s="224"/>
      <c r="BB27" s="224"/>
      <c r="BC27" s="224"/>
      <c r="BD27" s="224"/>
      <c r="BE27" s="224"/>
      <c r="BF27" s="224"/>
      <c r="BG27" s="224"/>
      <c r="BH27" s="224"/>
      <c r="BI27" s="224"/>
      <c r="BJ27" s="224"/>
      <c r="BK27" s="224"/>
      <c r="BL27" s="224"/>
      <c r="BM27" s="224"/>
      <c r="BN27" s="224"/>
      <c r="BO27" s="224"/>
      <c r="BP27" s="224"/>
      <c r="BQ27" s="224"/>
      <c r="BR27" s="224"/>
      <c r="BS27" s="224"/>
      <c r="BT27" s="224"/>
      <c r="BU27" s="224"/>
      <c r="BV27" s="224"/>
      <c r="BW27" s="224"/>
      <c r="BX27" s="224"/>
      <c r="BY27" s="224"/>
      <c r="BZ27" s="224"/>
      <c r="CA27" s="224"/>
      <c r="CB27" s="224"/>
      <c r="CC27" s="224"/>
      <c r="CD27" s="224"/>
      <c r="CE27" s="224"/>
      <c r="CF27" s="224"/>
      <c r="CG27" s="224"/>
      <c r="CH27" s="224"/>
      <c r="CI27" s="224"/>
      <c r="CJ27" s="224"/>
      <c r="CK27" s="224"/>
      <c r="CL27" s="224"/>
      <c r="CM27" s="224"/>
    </row>
    <row r="28" spans="1:91" s="1" customFormat="1" x14ac:dyDescent="0.25">
      <c r="A28" s="230" t="s">
        <v>687</v>
      </c>
      <c r="B28" s="226">
        <v>4027</v>
      </c>
      <c r="C28" s="228" t="s">
        <v>192</v>
      </c>
      <c r="D28" s="228" t="s">
        <v>889</v>
      </c>
      <c r="E28" s="227">
        <v>43068.245208333334</v>
      </c>
      <c r="F28" s="227">
        <v>43068.25849537037</v>
      </c>
      <c r="G28" s="226">
        <v>59</v>
      </c>
      <c r="H28" s="228" t="s">
        <v>429</v>
      </c>
      <c r="I28" s="227">
        <v>43068.284525462965</v>
      </c>
      <c r="J28" s="226">
        <v>0</v>
      </c>
      <c r="K28" s="238" t="str">
        <f t="shared" si="0"/>
        <v>4027/4028</v>
      </c>
      <c r="L28" s="246" t="str">
        <f>VLOOKUP(A28,'Trips&amp;Operators'!$C$1:$G$99911,5,FALSE)</f>
        <v>YANAI IAN</v>
      </c>
      <c r="M28" s="225">
        <f t="shared" si="1"/>
        <v>2.6030092594737653E-2</v>
      </c>
      <c r="N28" s="226">
        <f t="shared" ref="N28:N63" si="35">24*60*SUM($M28:$M28)</f>
        <v>37.48333333642222</v>
      </c>
      <c r="O28" s="226"/>
      <c r="P28" s="226"/>
      <c r="Q28" s="229"/>
      <c r="R28" s="243"/>
      <c r="S28" s="250">
        <f t="shared" si="27"/>
        <v>1</v>
      </c>
      <c r="T28" s="243" t="str">
        <f t="shared" si="2"/>
        <v>Southbound</v>
      </c>
      <c r="U28" s="24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9" t="str">
        <f t="shared" si="3"/>
        <v>https://d0f6bd738d7f1b3e5a7ca70fe4ff75f0.us-east-1.aws.found.io/app/kibana#/discover/Steve-Slow-Train-Analysis-(2080s-and-2083s)?_g=(refreshInterval:(display:Off,pause:!f,section:0,value:0),time:(from:'2017-11-29T04:53:06-0700',mode:absolute,to:'2017-11-29T07:49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8" s="248" t="str">
        <f>IF(AA28&lt;VLOOKUP(AG28,Variables!$AC$3:$AD$8,2,FALSE),"Y","N")</f>
        <v>N</v>
      </c>
      <c r="X28" s="248">
        <f t="shared" ref="X28:X30" si="36">VALUE(LEFT(AD28,4))-VALUE(LEFT(AD27,4))</f>
        <v>1</v>
      </c>
      <c r="Y28" s="248">
        <f t="shared" ref="Y28:Y59" si="37">RIGHT(D28,LEN(D28)-4)/10000</f>
        <v>23.299099999999999</v>
      </c>
      <c r="Z28" s="248">
        <f t="shared" ref="Z28:Z59" si="38">RIGHT(H28,LEN(H28)-4)/10000</f>
        <v>1.54E-2</v>
      </c>
      <c r="AA28" s="248">
        <f t="shared" si="4"/>
        <v>23.2837</v>
      </c>
      <c r="AB28" s="234" t="e">
        <f>VLOOKUP(A28,Enforcements!$C$7:$K$9,8,0)</f>
        <v>#N/A</v>
      </c>
      <c r="AC28" s="233" t="e">
        <f>VLOOKUP(A28,Enforcements!$C$7:$E$9,3,0)</f>
        <v>#N/A</v>
      </c>
      <c r="AD28" s="244">
        <f t="shared" si="5"/>
        <v>114</v>
      </c>
      <c r="AE28" s="236" t="str">
        <f t="shared" si="6"/>
        <v>aws s3 cp s3://rtdc.mdm.uploadarchive.raw/RTDC4027/ "%USERPROFILE%\AppData\Local\Temp\OnboardLogs"\RTDC4027\2017-11-29 --exclude "*" --recursive --include "*20171129*" &amp; "%USERPROFILE%\Documents\GitHub\mrs-test-scripts\Headless Mode &amp; Sideloading\WalkAndUnGZ.bat" "%USERPROFILE%\AppData\Local\Temp\OnboardLogs"\RTDC4027\2017-11-29 &amp; aws s3 cp s3://rtdc.mdm.uploadarchive.raw/RTDC4027/ "%USERPROFILE%\AppData\Local\Temp\OnboardLogs"\RTDC4027\2017-11-30 --exclude "*" --recursive --include "*20171130*" &amp; "%USERPROFILE%\Documents\GitHub\mrs-test-scripts\Headless Mode &amp; Sideloading\WalkAndUnGZ.bat" "%USERPROFILE%\AppData\Local\Temp\OnboardLogs"\RTDC4027\2017-11-30</v>
      </c>
      <c r="AF28" s="235" t="str">
        <f t="shared" si="7"/>
        <v>"C:\Program Files (x86)\AstroGrep\AstroGrep.exe" /e /r /s /spath="%USERPROFILE%\AppData\Local\Temp\OnboardLogs" /stypes="app*4027*20171129*" /stext=" 13:.+((SYSTEM_STATE.+slice.+state.+changed )|(ment ac)|(multiple cpu faults)|(system.+state.+changed )|(\[timeout)|(PRM\|1\|D)|(kpr)|(kdp)|(train st.+moving)|(\|lc)|(penalty))"</v>
      </c>
      <c r="AG28" s="245" t="str">
        <f t="shared" si="8"/>
        <v>EC</v>
      </c>
      <c r="AH28" s="237" t="str">
        <f t="shared" si="14"/>
        <v>"%USERPROFILE%\Documents\GitHub\eaglep3\Utilities\RefineRTDCRunTimes.py" --tripid 114-29 --locoid 4027 --swversion DE.1.0.9.0 --startMP 204:232991 --initTime 2017-11-29T05:53:06 --startdatetime 2017-11-29T06:12:14 --delay 59 --endMP 204:154 --enddatetime 2017-11-29T06:49:43 --enforcementcount 0 &gt;&gt;%USERPROFILE%\Documents\GitHub\eaglep3-reporting\EC\2017-11-29-refined-times.txt</v>
      </c>
      <c r="AI28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{"issue":{"subject":"","project_id":79,"tracker_id":40,"status_id":1,"priority_id":2,"assigned_to_id":338,"start_date":"2017-11-29","description":"","custom_fields":[{"id":1,"name":"Subdivision","value":"EC"},{"id":4,"name":"Milepost","value":"0.0154"},{"id":17,"name":"Train ID","value":"114-29"},{"id":16,"name":"Locomotive ID","value":"4027"},{"id":130,"name":"Impact","value":""},{"id":150,"name":"Time of Event (Mountain Time)","value":"06:49:43"},{"id":151,"name":"Denver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4"/>
      <c r="AK28" s="232"/>
      <c r="AL28" s="232"/>
      <c r="AM28" s="241" t="str">
        <f t="shared" si="16"/>
        <v>start /low /b %USERPROFILE%\Documents\GitHub\eaglep3\Utilities\DownloadLogsFromS3.py --loco 4027 --day 2017-11-29</v>
      </c>
      <c r="AN28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13:49:43"},{"id":29,"name":"Sharepoint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1" t="str">
        <f t="shared" si="18"/>
        <v>https://d0f6bd738d7f1b3e5a7ca70fe4ff75f0.us-east-1.aws.found.io/app/kibana#/discover/Steve-Slow-Train-Analysis-(2080s-and-2083s)?_g=(refreshInterval:(display:Off,pause:!f,section:0,value:0),time:(from:'2017-11-29T04:53:06-0700',mode:absolute,to:'2017-11-29T07:49:43-0700'))&amp;_a=(columns:!('Message%20ID',Summary),filters:!(),index:'emp_*',interval:auto,query:(query_string:(analyze_wildcard:!t,query:'%22rtdc.l.rtdc.4027%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230" t="s">
        <v>622</v>
      </c>
      <c r="B29" s="226">
        <v>4026</v>
      </c>
      <c r="C29" s="228" t="s">
        <v>192</v>
      </c>
      <c r="D29" s="228" t="s">
        <v>593</v>
      </c>
      <c r="E29" s="227">
        <v>43068.227465277778</v>
      </c>
      <c r="F29" s="227">
        <v>43068.229375000003</v>
      </c>
      <c r="G29" s="226">
        <v>49</v>
      </c>
      <c r="H29" s="228" t="s">
        <v>426</v>
      </c>
      <c r="I29" s="227">
        <v>43068.255520833336</v>
      </c>
      <c r="J29" s="226">
        <v>0</v>
      </c>
      <c r="K29" s="238" t="str">
        <f t="shared" si="0"/>
        <v>4025/4026</v>
      </c>
      <c r="L29" s="246" t="str">
        <f>VLOOKUP(A29,'Trips&amp;Operators'!$C$1:$G$99911,5,FALSE)</f>
        <v>THOMPSON LESTER</v>
      </c>
      <c r="M29" s="225">
        <f t="shared" si="1"/>
        <v>2.6145833333430346E-2</v>
      </c>
      <c r="N29" s="226">
        <f t="shared" si="35"/>
        <v>37.650000000139698</v>
      </c>
      <c r="O29" s="226"/>
      <c r="P29" s="226"/>
      <c r="Q29" s="229"/>
      <c r="R29" s="243"/>
      <c r="S29" s="250">
        <f t="shared" si="27"/>
        <v>1</v>
      </c>
      <c r="T29" s="243" t="str">
        <f t="shared" si="2"/>
        <v>NorthBound</v>
      </c>
      <c r="U29" s="24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9" t="str">
        <f t="shared" si="3"/>
        <v>https://d0f6bd738d7f1b3e5a7ca70fe4ff75f0.us-east-1.aws.found.io/app/kibana#/discover/Steve-Slow-Train-Analysis-(2080s-and-2083s)?_g=(refreshInterval:(display:Off,pause:!f,section:0,value:0),time:(from:'2017-11-29T04:27:33-0700',mode:absolute,to:'2017-11-29T07:07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9" s="248" t="str">
        <f>IF(AA29&lt;VLOOKUP(AG29,Variables!$AC$3:$AD$8,2,FALSE),"Y","N")</f>
        <v>N</v>
      </c>
      <c r="X29" s="248">
        <f t="shared" si="36"/>
        <v>1</v>
      </c>
      <c r="Y29" s="248">
        <f t="shared" si="37"/>
        <v>5.1700000000000003E-2</v>
      </c>
      <c r="Z29" s="248">
        <f t="shared" si="38"/>
        <v>23.329499999999999</v>
      </c>
      <c r="AA29" s="248">
        <f t="shared" si="4"/>
        <v>23.277799999999999</v>
      </c>
      <c r="AB29" s="234" t="e">
        <f>VLOOKUP(A29,Enforcements!$C$7:$K$9,8,0)</f>
        <v>#N/A</v>
      </c>
      <c r="AC29" s="233" t="e">
        <f>VLOOKUP(A29,Enforcements!$C$7:$E$9,3,0)</f>
        <v>#N/A</v>
      </c>
      <c r="AD29" s="244">
        <f t="shared" si="5"/>
        <v>115</v>
      </c>
      <c r="AE29" s="236" t="str">
        <f t="shared" si="6"/>
        <v>aws s3 cp s3://rtdc.mdm.uploadarchive.raw/RTDC4026/ "%USERPROFILE%\AppData\Local\Temp\OnboardLogs"\RTDC4026\2017-11-29 --exclude "*" --recursive --include "*20171129*" &amp; "%USERPROFILE%\Documents\GitHub\mrs-test-scripts\Headless Mode &amp; Sideloading\WalkAndUnGZ.bat" "%USERPROFILE%\AppData\Local\Temp\OnboardLogs"\RTDC4026\2017-11-29 &amp; aws s3 cp s3://rtdc.mdm.uploadarchive.raw/RTDC4026/ "%USERPROFILE%\AppData\Local\Temp\OnboardLogs"\RTDC4026\2017-11-30 --exclude "*" --recursive --include "*20171130*" &amp; "%USERPROFILE%\Documents\GitHub\mrs-test-scripts\Headless Mode &amp; Sideloading\WalkAndUnGZ.bat" "%USERPROFILE%\AppData\Local\Temp\OnboardLogs"\RTDC4026\2017-11-30</v>
      </c>
      <c r="AF29" s="235" t="str">
        <f t="shared" si="7"/>
        <v>"C:\Program Files (x86)\AstroGrep\AstroGrep.exe" /e /r /s /spath="%USERPROFILE%\AppData\Local\Temp\OnboardLogs" /stypes="app*4026*20171129*" /stext=" 13:.+((SYSTEM_STATE.+slice.+state.+changed )|(ment ac)|(multiple cpu faults)|(system.+state.+changed )|(\[timeout)|(PRM\|1\|D)|(kpr)|(kdp)|(train st.+moving)|(\|lc)|(penalty))"</v>
      </c>
      <c r="AG29" s="245" t="str">
        <f t="shared" si="8"/>
        <v>EC</v>
      </c>
      <c r="AH29" s="237" t="str">
        <f t="shared" si="14"/>
        <v>"%USERPROFILE%\Documents\GitHub\eaglep3\Utilities\RefineRTDCRunTimes.py" --tripid 115-29 --locoid 4026 --swversion DE.1.0.9.0 --startMP 204:517 --initTime 2017-11-29T05:27:33 --startdatetime 2017-11-29T05:30:18 --delay 49 --endMP 204:233295 --enddatetime 2017-11-29T06:07:57 --enforcementcount 0 &gt;&gt;%USERPROFILE%\Documents\GitHub\eaglep3-reporting\EC\2017-11-29-refined-times.txt</v>
      </c>
      <c r="AI29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{"issue":{"subject":"","project_id":79,"tracker_id":40,"status_id":1,"priority_id":2,"assigned_to_id":338,"start_date":"2017-11-29","description":"","custom_fields":[{"id":1,"name":"Subdivision","value":"EC"},{"id":4,"name":"Milepost","value":"23.3295"},{"id":17,"name":"Train ID","value":"115-29"},{"id":16,"name":"Locomotive ID","value":"4026"},{"id":130,"name":"Impact","value":""},{"id":150,"name":"Time of Event (Mountain Time)","value":"06:07:57"},{"id":151,"name":"Denver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4"/>
      <c r="AK29" s="232"/>
      <c r="AL29" s="232"/>
      <c r="AM29" s="241" t="str">
        <f t="shared" si="16"/>
        <v>start /low /b %USERPROFILE%\Documents\GitHub\eaglep3\Utilities\DownloadLogsFromS3.py --loco 4026 --day 2017-11-29</v>
      </c>
      <c r="AN29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13:07:57"},{"id":29,"name":"Sharepoint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1" t="str">
        <f t="shared" si="18"/>
        <v>https://d0f6bd738d7f1b3e5a7ca70fe4ff75f0.us-east-1.aws.found.io/app/kibana#/discover/Steve-Slow-Train-Analysis-(2080s-and-2083s)?_g=(refreshInterval:(display:Off,pause:!f,section:0,value:0),time:(from:'2017-11-29T04:27:33-0700',mode:absolute,to:'2017-11-29T07:07:57-0700'))&amp;_a=(columns:!('Message%20ID',Summary),filters:!(),index:'emp_*',interval:auto,query:(query_string:(analyze_wildcard:!t,query:'%22rtdc.l.rtdc.4026%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230" t="s">
        <v>693</v>
      </c>
      <c r="B30" s="226">
        <v>4025</v>
      </c>
      <c r="C30" s="228" t="s">
        <v>192</v>
      </c>
      <c r="D30" s="228" t="s">
        <v>561</v>
      </c>
      <c r="E30" s="227">
        <v>43068.26662037037</v>
      </c>
      <c r="F30" s="227">
        <v>43068.268969907411</v>
      </c>
      <c r="G30" s="226">
        <v>77</v>
      </c>
      <c r="H30" s="228" t="s">
        <v>550</v>
      </c>
      <c r="I30" s="227">
        <v>43068.29587962963</v>
      </c>
      <c r="J30" s="226">
        <v>0</v>
      </c>
      <c r="K30" s="238" t="str">
        <f t="shared" si="0"/>
        <v>4025/4026</v>
      </c>
      <c r="L30" s="246" t="str">
        <f>VLOOKUP(A30,'Trips&amp;Operators'!$C$1:$G$99911,5,FALSE)</f>
        <v>THOMPSON LESTER</v>
      </c>
      <c r="M30" s="225">
        <f t="shared" si="1"/>
        <v>2.6909722218988463E-2</v>
      </c>
      <c r="N30" s="226">
        <f t="shared" si="35"/>
        <v>38.749999995343387</v>
      </c>
      <c r="O30" s="226"/>
      <c r="P30" s="226"/>
      <c r="Q30" s="229"/>
      <c r="R30" s="243"/>
      <c r="S30" s="250">
        <f t="shared" si="27"/>
        <v>1</v>
      </c>
      <c r="T30" s="243" t="str">
        <f t="shared" si="2"/>
        <v>Southbound</v>
      </c>
      <c r="U30" s="24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9" t="str">
        <f t="shared" si="3"/>
        <v>https://d0f6bd738d7f1b3e5a7ca70fe4ff75f0.us-east-1.aws.found.io/app/kibana#/discover/Steve-Slow-Train-Analysis-(2080s-and-2083s)?_g=(refreshInterval:(display:Off,pause:!f,section:0,value:0),time:(from:'2017-11-29T05:23:56-0700',mode:absolute,to:'2017-11-29T08:06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0" s="248" t="str">
        <f>IF(AA30&lt;VLOOKUP(AG30,Variables!$AC$3:$AD$8,2,FALSE),"Y","N")</f>
        <v>N</v>
      </c>
      <c r="X30" s="248">
        <f t="shared" si="36"/>
        <v>1</v>
      </c>
      <c r="Y30" s="248">
        <f t="shared" si="37"/>
        <v>23.296299999999999</v>
      </c>
      <c r="Z30" s="248">
        <f t="shared" si="38"/>
        <v>2.0299999999999999E-2</v>
      </c>
      <c r="AA30" s="248">
        <f t="shared" si="4"/>
        <v>23.276</v>
      </c>
      <c r="AB30" s="234" t="e">
        <f>VLOOKUP(A30,Enforcements!$C$7:$K$9,8,0)</f>
        <v>#N/A</v>
      </c>
      <c r="AC30" s="233" t="e">
        <f>VLOOKUP(A30,Enforcements!$C$7:$E$9,3,0)</f>
        <v>#N/A</v>
      </c>
      <c r="AD30" s="244">
        <f t="shared" si="5"/>
        <v>116</v>
      </c>
      <c r="AE30" s="236" t="str">
        <f t="shared" si="6"/>
        <v>aws s3 cp s3://rtdc.mdm.uploadarchive.raw/RTDC4025/ "%USERPROFILE%\AppData\Local\Temp\OnboardLogs"\RTDC4025\2017-11-29 --exclude "*" --recursive --include "*20171129*" &amp; "%USERPROFILE%\Documents\GitHub\mrs-test-scripts\Headless Mode &amp; Sideloading\WalkAndUnGZ.bat" "%USERPROFILE%\AppData\Local\Temp\OnboardLogs"\RTDC4025\2017-11-29 &amp; aws s3 cp s3://rtdc.mdm.uploadarchive.raw/RTDC4025/ "%USERPROFILE%\AppData\Local\Temp\OnboardLogs"\RTDC4025\2017-11-30 --exclude "*" --recursive --include "*20171130*" &amp; "%USERPROFILE%\Documents\GitHub\mrs-test-scripts\Headless Mode &amp; Sideloading\WalkAndUnGZ.bat" "%USERPROFILE%\AppData\Local\Temp\OnboardLogs"\RTDC4025\2017-11-30</v>
      </c>
      <c r="AF30" s="235" t="str">
        <f t="shared" si="7"/>
        <v>"C:\Program Files (x86)\AstroGrep\AstroGrep.exe" /e /r /s /spath="%USERPROFILE%\AppData\Local\Temp\OnboardLogs" /stypes="app*4025*20171129*" /stext=" 14:.+((SYSTEM_STATE.+slice.+state.+changed )|(ment ac)|(multiple cpu faults)|(system.+state.+changed )|(\[timeout)|(PRM\|1\|D)|(kpr)|(kdp)|(train st.+moving)|(\|lc)|(penalty))"</v>
      </c>
      <c r="AG30" s="245" t="str">
        <f t="shared" si="8"/>
        <v>EC</v>
      </c>
      <c r="AH30" s="237" t="str">
        <f t="shared" si="14"/>
        <v>"%USERPROFILE%\Documents\GitHub\eaglep3\Utilities\RefineRTDCRunTimes.py" --tripid 116-29 --locoid 4025 --swversion DE.1.0.9.0 --startMP 204:232963 --initTime 2017-11-29T06:23:56 --startdatetime 2017-11-29T06:27:19 --delay 77 --endMP 204:203 --enddatetime 2017-11-29T07:06:04 --enforcementcount 0 &gt;&gt;%USERPROFILE%\Documents\GitHub\eaglep3-reporting\EC\2017-11-29-refined-times.txt</v>
      </c>
      <c r="AI30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{"issue":{"subject":"","project_id":79,"tracker_id":40,"status_id":1,"priority_id":2,"assigned_to_id":338,"start_date":"2017-11-29","description":"","custom_fields":[{"id":1,"name":"Subdivision","value":"EC"},{"id":4,"name":"Milepost","value":"0.0203"},{"id":17,"name":"Train ID","value":"116-29"},{"id":16,"name":"Locomotive ID","value":"4025"},{"id":130,"name":"Impact","value":""},{"id":150,"name":"Time of Event (Mountain Time)","value":"07:06:04"},{"id":151,"name":"Denver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4"/>
      <c r="AK30" s="232"/>
      <c r="AL30" s="232"/>
      <c r="AM30" s="241" t="str">
        <f t="shared" si="16"/>
        <v>start /low /b %USERPROFILE%\Documents\GitHub\eaglep3\Utilities\DownloadLogsFromS3.py --loco 4025 --day 2017-11-29</v>
      </c>
      <c r="AN30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14:06:04"},{"id":29,"name":"Sharepoint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1" t="str">
        <f t="shared" si="18"/>
        <v>https://d0f6bd738d7f1b3e5a7ca70fe4ff75f0.us-east-1.aws.found.io/app/kibana#/discover/Steve-Slow-Train-Analysis-(2080s-and-2083s)?_g=(refreshInterval:(display:Off,pause:!f,section:0,value:0),time:(from:'2017-11-29T05:23:56-0700',mode:absolute,to:'2017-11-29T08:06:04-0700'))&amp;_a=(columns:!('Message%20ID',Summary),filters:!(),index:'emp_*',interval:auto,query:(query_string:(analyze_wildcard:!t,query:'%22rtdc.l.rtdc.4025%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230" t="s">
        <v>683</v>
      </c>
      <c r="B31" s="226">
        <v>4020</v>
      </c>
      <c r="C31" s="228" t="s">
        <v>192</v>
      </c>
      <c r="D31" s="228" t="s">
        <v>446</v>
      </c>
      <c r="E31" s="227">
        <v>43068.231203703705</v>
      </c>
      <c r="F31" s="227">
        <v>43068.239745370367</v>
      </c>
      <c r="G31" s="226">
        <v>75</v>
      </c>
      <c r="H31" s="228" t="s">
        <v>890</v>
      </c>
      <c r="I31" s="227">
        <v>43068.265150462961</v>
      </c>
      <c r="J31" s="226">
        <v>0</v>
      </c>
      <c r="K31" s="238" t="str">
        <f t="shared" si="0"/>
        <v>4019/4020</v>
      </c>
      <c r="L31" s="246" t="str">
        <f>VLOOKUP(A31,'Trips&amp;Operators'!$C$1:$G$99911,5,FALSE)</f>
        <v>FORTUNATO FRANK</v>
      </c>
      <c r="M31" s="225">
        <f t="shared" si="1"/>
        <v>2.5405092594155576E-2</v>
      </c>
      <c r="N31" s="226">
        <f t="shared" si="35"/>
        <v>36.58333333558403</v>
      </c>
      <c r="O31" s="226"/>
      <c r="P31" s="226"/>
      <c r="Q31" s="229"/>
      <c r="R31" s="243"/>
      <c r="S31" s="250">
        <f t="shared" si="27"/>
        <v>1</v>
      </c>
      <c r="T31" s="243" t="str">
        <f t="shared" si="2"/>
        <v>NorthBound</v>
      </c>
      <c r="U31" s="24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9" t="str">
        <f t="shared" si="3"/>
        <v>https://d0f6bd738d7f1b3e5a7ca70fe4ff75f0.us-east-1.aws.found.io/app/kibana#/discover/Steve-Slow-Train-Analysis-(2080s-and-2083s)?_g=(refreshInterval:(display:Off,pause:!f,section:0,value:0),time:(from:'2017-11-29T04:32:56-0700',mode:absolute,to:'2017-11-29T07:21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1" s="248" t="str">
        <f>IF(AA31&lt;VLOOKUP(AG31,Variables!$AC$3:$AD$8,2,FALSE),"Y","N")</f>
        <v>N</v>
      </c>
      <c r="X31" s="248">
        <f t="shared" ref="X31:X62" si="39">VALUE(LEFT(AD31,4))-VALUE(LEFT(AD30,4))</f>
        <v>1</v>
      </c>
      <c r="Y31" s="248">
        <f t="shared" si="37"/>
        <v>5.3999999999999999E-2</v>
      </c>
      <c r="Z31" s="248">
        <f t="shared" si="38"/>
        <v>23.319600000000001</v>
      </c>
      <c r="AA31" s="248">
        <f t="shared" si="4"/>
        <v>23.265600000000003</v>
      </c>
      <c r="AB31" s="234" t="e">
        <f>VLOOKUP(A31,Enforcements!$C$7:$K$9,8,0)</f>
        <v>#N/A</v>
      </c>
      <c r="AC31" s="233" t="e">
        <f>VLOOKUP(A31,Enforcements!$C$7:$E$9,3,0)</f>
        <v>#N/A</v>
      </c>
      <c r="AD31" s="244">
        <f t="shared" si="5"/>
        <v>117</v>
      </c>
      <c r="AE31" s="236" t="str">
        <f t="shared" si="6"/>
        <v>aws s3 cp s3://rtdc.mdm.uploadarchive.raw/RTDC4020/ "%USERPROFILE%\AppData\Local\Temp\OnboardLogs"\RTDC4020\2017-11-29 --exclude "*" --recursive --include "*20171129*" &amp; "%USERPROFILE%\Documents\GitHub\mrs-test-scripts\Headless Mode &amp; Sideloading\WalkAndUnGZ.bat" "%USERPROFILE%\AppData\Local\Temp\OnboardLogs"\RTDC4020\2017-11-29 &amp; aws s3 cp s3://rtdc.mdm.uploadarchive.raw/RTDC4020/ "%USERPROFILE%\AppData\Local\Temp\OnboardLogs"\RTDC4020\2017-11-30 --exclude "*" --recursive --include "*20171130*" &amp; "%USERPROFILE%\Documents\GitHub\mrs-test-scripts\Headless Mode &amp; Sideloading\WalkAndUnGZ.bat" "%USERPROFILE%\AppData\Local\Temp\OnboardLogs"\RTDC4020\2017-11-30</v>
      </c>
      <c r="AF31" s="235" t="str">
        <f t="shared" si="7"/>
        <v>"C:\Program Files (x86)\AstroGrep\AstroGrep.exe" /e /r /s /spath="%USERPROFILE%\AppData\Local\Temp\OnboardLogs" /stypes="app*4020*20171129*" /stext=" 13:.+((SYSTEM_STATE.+slice.+state.+changed )|(ment ac)|(multiple cpu faults)|(system.+state.+changed )|(\[timeout)|(PRM\|1\|D)|(kpr)|(kdp)|(train st.+moving)|(\|lc)|(penalty))"</v>
      </c>
      <c r="AG31" s="245" t="str">
        <f t="shared" si="8"/>
        <v>EC</v>
      </c>
      <c r="AH31" s="237" t="str">
        <f t="shared" si="14"/>
        <v>"%USERPROFILE%\Documents\GitHub\eaglep3\Utilities\RefineRTDCRunTimes.py" --tripid 117-29 --locoid 4020 --swversion DE.1.0.9.0 --startMP 204:540 --initTime 2017-11-29T05:32:56 --startdatetime 2017-11-29T05:45:14 --delay 75 --endMP 204:233196 --enddatetime 2017-11-29T06:21:49 --enforcementcount 0 &gt;&gt;%USERPROFILE%\Documents\GitHub\eaglep3-reporting\EC\2017-11-29-refined-times.txt</v>
      </c>
      <c r="AI31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{"issue":{"subject":"","project_id":79,"tracker_id":40,"status_id":1,"priority_id":2,"assigned_to_id":338,"start_date":"2017-11-29","description":"","custom_fields":[{"id":1,"name":"Subdivision","value":"EC"},{"id":4,"name":"Milepost","value":"23.3196"},{"id":17,"name":"Train ID","value":"117-29"},{"id":16,"name":"Locomotive ID","value":"4020"},{"id":130,"name":"Impact","value":""},{"id":150,"name":"Time of Event (Mountain Time)","value":"06:21:49"},{"id":151,"name":"Denver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4"/>
      <c r="AK31" s="232"/>
      <c r="AL31" s="232"/>
      <c r="AM31" s="241" t="str">
        <f t="shared" si="16"/>
        <v>start /low /b %USERPROFILE%\Documents\GitHub\eaglep3\Utilities\DownloadLogsFromS3.py --loco 4020 --day 2017-11-29</v>
      </c>
      <c r="AN31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13:21:49"},{"id":29,"name":"Sharepoint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1" t="str">
        <f t="shared" si="18"/>
        <v>https://d0f6bd738d7f1b3e5a7ca70fe4ff75f0.us-east-1.aws.found.io/app/kibana#/discover/Steve-Slow-Train-Analysis-(2080s-and-2083s)?_g=(refreshInterval:(display:Off,pause:!f,section:0,value:0),time:(from:'2017-11-29T04:32:56-0700',mode:absolute,to:'2017-11-29T07:21:49-0700'))&amp;_a=(columns:!('Message%20ID',Summary),filters:!(),index:'emp_*',interval:auto,query:(query_string:(analyze_wildcard:!t,query:'%22rtdc.l.rtdc.4020%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230" t="s">
        <v>692</v>
      </c>
      <c r="B32" s="226">
        <v>4019</v>
      </c>
      <c r="C32" s="228" t="s">
        <v>192</v>
      </c>
      <c r="D32" s="228" t="s">
        <v>891</v>
      </c>
      <c r="E32" s="227">
        <v>43068.266504629632</v>
      </c>
      <c r="F32" s="227">
        <v>43068.279351851852</v>
      </c>
      <c r="G32" s="226">
        <v>47</v>
      </c>
      <c r="H32" s="228" t="s">
        <v>428</v>
      </c>
      <c r="I32" s="227">
        <v>43068.305497685185</v>
      </c>
      <c r="J32" s="226">
        <v>0</v>
      </c>
      <c r="K32" s="238" t="str">
        <f t="shared" si="0"/>
        <v>4019/4020</v>
      </c>
      <c r="L32" s="246" t="str">
        <f>VLOOKUP(A32,'Trips&amp;Operators'!$C$1:$G$99911,5,FALSE)</f>
        <v>FORTUNATO FRANK</v>
      </c>
      <c r="M32" s="225">
        <f t="shared" si="1"/>
        <v>2.6145833333430346E-2</v>
      </c>
      <c r="N32" s="226">
        <f t="shared" si="35"/>
        <v>37.650000000139698</v>
      </c>
      <c r="O32" s="226"/>
      <c r="P32" s="226"/>
      <c r="Q32" s="229"/>
      <c r="R32" s="243"/>
      <c r="S32" s="250">
        <f t="shared" si="27"/>
        <v>1</v>
      </c>
      <c r="T32" s="243" t="str">
        <f t="shared" si="2"/>
        <v>Southbound</v>
      </c>
      <c r="U32" s="24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9" t="str">
        <f t="shared" si="3"/>
        <v>https://d0f6bd738d7f1b3e5a7ca70fe4ff75f0.us-east-1.aws.found.io/app/kibana#/discover/Steve-Slow-Train-Analysis-(2080s-and-2083s)?_g=(refreshInterval:(display:Off,pause:!f,section:0,value:0),time:(from:'2017-11-29T05:23:46-0700',mode:absolute,to:'2017-11-29T08:19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2" s="248" t="str">
        <f>IF(AA32&lt;VLOOKUP(AG32,Variables!$AC$3:$AD$8,2,FALSE),"Y","N")</f>
        <v>N</v>
      </c>
      <c r="X32" s="248">
        <f t="shared" si="39"/>
        <v>1</v>
      </c>
      <c r="Y32" s="248">
        <f t="shared" si="37"/>
        <v>23.287700000000001</v>
      </c>
      <c r="Z32" s="248">
        <f t="shared" si="38"/>
        <v>2.12E-2</v>
      </c>
      <c r="AA32" s="248">
        <f t="shared" si="4"/>
        <v>23.266500000000001</v>
      </c>
      <c r="AB32" s="234" t="e">
        <f>VLOOKUP(A32,Enforcements!$C$7:$K$9,8,0)</f>
        <v>#N/A</v>
      </c>
      <c r="AC32" s="233" t="e">
        <f>VLOOKUP(A32,Enforcements!$C$7:$E$9,3,0)</f>
        <v>#N/A</v>
      </c>
      <c r="AD32" s="244">
        <f t="shared" si="5"/>
        <v>118</v>
      </c>
      <c r="AE32" s="236" t="str">
        <f t="shared" si="6"/>
        <v>aws s3 cp s3://rtdc.mdm.uploadarchive.raw/RTDC4019/ "%USERPROFILE%\AppData\Local\Temp\OnboardLogs"\RTDC4019\2017-11-29 --exclude "*" --recursive --include "*20171129*" &amp; "%USERPROFILE%\Documents\GitHub\mrs-test-scripts\Headless Mode &amp; Sideloading\WalkAndUnGZ.bat" "%USERPROFILE%\AppData\Local\Temp\OnboardLogs"\RTDC4019\2017-11-29 &amp; aws s3 cp s3://rtdc.mdm.uploadarchive.raw/RTDC4019/ "%USERPROFILE%\AppData\Local\Temp\OnboardLogs"\RTDC4019\2017-11-30 --exclude "*" --recursive --include "*20171130*" &amp; "%USERPROFILE%\Documents\GitHub\mrs-test-scripts\Headless Mode &amp; Sideloading\WalkAndUnGZ.bat" "%USERPROFILE%\AppData\Local\Temp\OnboardLogs"\RTDC4019\2017-11-30</v>
      </c>
      <c r="AF32" s="235" t="str">
        <f t="shared" si="7"/>
        <v>"C:\Program Files (x86)\AstroGrep\AstroGrep.exe" /e /r /s /spath="%USERPROFILE%\AppData\Local\Temp\OnboardLogs" /stypes="app*4019*20171129*" /stext=" 14:.+((SYSTEM_STATE.+slice.+state.+changed )|(ment ac)|(multiple cpu faults)|(system.+state.+changed )|(\[timeout)|(PRM\|1\|D)|(kpr)|(kdp)|(train st.+moving)|(\|lc)|(penalty))"</v>
      </c>
      <c r="AG32" s="245" t="str">
        <f t="shared" si="8"/>
        <v>EC</v>
      </c>
      <c r="AH32" s="237" t="str">
        <f t="shared" si="14"/>
        <v>"%USERPROFILE%\Documents\GitHub\eaglep3\Utilities\RefineRTDCRunTimes.py" --tripid 118-29 --locoid 4019 --swversion DE.1.0.9.0 --startMP 204:232877 --initTime 2017-11-29T06:23:46 --startdatetime 2017-11-29T06:42:16 --delay 47 --endMP 204:212 --enddatetime 2017-11-29T07:19:55 --enforcementcount 0 &gt;&gt;%USERPROFILE%\Documents\GitHub\eaglep3-reporting\EC\2017-11-29-refined-times.txt</v>
      </c>
      <c r="AI32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{"issue":{"subject":"","project_id":79,"tracker_id":40,"status_id":1,"priority_id":2,"assigned_to_id":338,"start_date":"2017-11-29","description":"","custom_fields":[{"id":1,"name":"Subdivision","value":"EC"},{"id":4,"name":"Milepost","value":"0.0212"},{"id":17,"name":"Train ID","value":"118-29"},{"id":16,"name":"Locomotive ID","value":"4019"},{"id":130,"name":"Impact","value":""},{"id":150,"name":"Time of Event (Mountain Time)","value":"07:19:55"},{"id":151,"name":"Denver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4"/>
      <c r="AK32" s="232"/>
      <c r="AL32" s="232"/>
      <c r="AM32" s="241" t="str">
        <f t="shared" si="16"/>
        <v>start /low /b %USERPROFILE%\Documents\GitHub\eaglep3\Utilities\DownloadLogsFromS3.py --loco 4019 --day 2017-11-29</v>
      </c>
      <c r="AN32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14:19:55"},{"id":29,"name":"Sharepoint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1" t="str">
        <f t="shared" si="18"/>
        <v>https://d0f6bd738d7f1b3e5a7ca70fe4ff75f0.us-east-1.aws.found.io/app/kibana#/discover/Steve-Slow-Train-Analysis-(2080s-and-2083s)?_g=(refreshInterval:(display:Off,pause:!f,section:0,value:0),time:(from:'2017-11-29T05:23:46-0700',mode:absolute,to:'2017-11-29T08:19:55-0700'))&amp;_a=(columns:!('Message%20ID',Summary),filters:!(),index:'emp_*',interval:auto,query:(query_string:(analyze_wildcard:!t,query:'%22rtdc.l.rtdc.4019%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230" t="s">
        <v>685</v>
      </c>
      <c r="B33" s="226">
        <v>4002</v>
      </c>
      <c r="C33" s="228" t="s">
        <v>192</v>
      </c>
      <c r="D33" s="228" t="s">
        <v>892</v>
      </c>
      <c r="E33" s="227">
        <v>43068.244328703702</v>
      </c>
      <c r="F33" s="227">
        <v>43068.250532407408</v>
      </c>
      <c r="G33" s="226">
        <v>69</v>
      </c>
      <c r="H33" s="228" t="s">
        <v>515</v>
      </c>
      <c r="I33" s="227">
        <v>43068.275081018517</v>
      </c>
      <c r="J33" s="226">
        <v>0</v>
      </c>
      <c r="K33" s="238" t="str">
        <f t="shared" si="0"/>
        <v>4001/4002</v>
      </c>
      <c r="L33" s="246" t="str">
        <f>VLOOKUP(A33,'Trips&amp;Operators'!$C$1:$G$99911,5,FALSE)</f>
        <v>YORK EDGAR</v>
      </c>
      <c r="M33" s="225">
        <f t="shared" si="1"/>
        <v>2.4548611108912155E-2</v>
      </c>
      <c r="N33" s="226">
        <f t="shared" si="35"/>
        <v>35.349999996833503</v>
      </c>
      <c r="O33" s="226"/>
      <c r="P33" s="226"/>
      <c r="Q33" s="229"/>
      <c r="R33" s="243"/>
      <c r="S33" s="250">
        <f t="shared" si="27"/>
        <v>1</v>
      </c>
      <c r="T33" s="243" t="str">
        <f t="shared" si="2"/>
        <v>NorthBound</v>
      </c>
      <c r="U33" s="24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9" t="str">
        <f t="shared" si="3"/>
        <v>https://d0f6bd738d7f1b3e5a7ca70fe4ff75f0.us-east-1.aws.found.io/app/kibana#/discover/Steve-Slow-Train-Analysis-(2080s-and-2083s)?_g=(refreshInterval:(display:Off,pause:!f,section:0,value:0),time:(from:'2017-11-29T04:51:50-0700',mode:absolute,to:'2017-11-29T07:36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3" s="248" t="str">
        <f>IF(AA33&lt;VLOOKUP(AG33,Variables!$AC$3:$AD$8,2,FALSE),"Y","N")</f>
        <v>N</v>
      </c>
      <c r="X33" s="248">
        <f t="shared" si="39"/>
        <v>1</v>
      </c>
      <c r="Y33" s="248">
        <f t="shared" si="37"/>
        <v>4.5999999999999999E-2</v>
      </c>
      <c r="Z33" s="248">
        <f t="shared" si="38"/>
        <v>23.327200000000001</v>
      </c>
      <c r="AA33" s="248">
        <f t="shared" si="4"/>
        <v>23.281200000000002</v>
      </c>
      <c r="AB33" s="234" t="e">
        <f>VLOOKUP(A33,Enforcements!$C$7:$K$9,8,0)</f>
        <v>#N/A</v>
      </c>
      <c r="AC33" s="233" t="e">
        <f>VLOOKUP(A33,Enforcements!$C$7:$E$9,3,0)</f>
        <v>#N/A</v>
      </c>
      <c r="AD33" s="244">
        <f t="shared" si="5"/>
        <v>119</v>
      </c>
      <c r="AE33" s="236" t="str">
        <f t="shared" si="6"/>
        <v>aws s3 cp s3://rtdc.mdm.uploadarchive.raw/RTDC4002/ "%USERPROFILE%\AppData\Local\Temp\OnboardLogs"\RTDC4002\2017-11-29 --exclude "*" --recursive --include "*20171129*" &amp; "%USERPROFILE%\Documents\GitHub\mrs-test-scripts\Headless Mode &amp; Sideloading\WalkAndUnGZ.bat" "%USERPROFILE%\AppData\Local\Temp\OnboardLogs"\RTDC4002\2017-11-29 &amp; aws s3 cp s3://rtdc.mdm.uploadarchive.raw/RTDC4002/ "%USERPROFILE%\AppData\Local\Temp\OnboardLogs"\RTDC4002\2017-11-30 --exclude "*" --recursive --include "*20171130*" &amp; "%USERPROFILE%\Documents\GitHub\mrs-test-scripts\Headless Mode &amp; Sideloading\WalkAndUnGZ.bat" "%USERPROFILE%\AppData\Local\Temp\OnboardLogs"\RTDC4002\2017-11-30</v>
      </c>
      <c r="AF33" s="235" t="str">
        <f t="shared" si="7"/>
        <v>"C:\Program Files (x86)\AstroGrep\AstroGrep.exe" /e /r /s /spath="%USERPROFILE%\AppData\Local\Temp\OnboardLogs" /stypes="app*4002*20171129*" /stext=" 13:.+((SYSTEM_STATE.+slice.+state.+changed )|(ment ac)|(multiple cpu faults)|(system.+state.+changed )|(\[timeout)|(PRM\|1\|D)|(kpr)|(kdp)|(train st.+moving)|(\|lc)|(penalty))"</v>
      </c>
      <c r="AG33" s="245" t="str">
        <f t="shared" si="8"/>
        <v>EC</v>
      </c>
      <c r="AH33" s="237" t="str">
        <f t="shared" si="14"/>
        <v>"%USERPROFILE%\Documents\GitHub\eaglep3\Utilities\RefineRTDCRunTimes.py" --tripid 119-29 --locoid 4002 --swversion DE.1.0.9.0 --startMP 204:460 --initTime 2017-11-29T05:51:50 --startdatetime 2017-11-29T06:00:46 --delay 69 --endMP 204:233272 --enddatetime 2017-11-29T06:36:07 --enforcementcount 0 &gt;&gt;%USERPROFILE%\Documents\GitHub\eaglep3-reporting\EC\2017-11-29-refined-times.txt</v>
      </c>
      <c r="AI33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{"issue":{"subject":"","project_id":79,"tracker_id":40,"status_id":1,"priority_id":2,"assigned_to_id":338,"start_date":"2017-11-29","description":"","custom_fields":[{"id":1,"name":"Subdivision","value":"EC"},{"id":4,"name":"Milepost","value":"23.3272"},{"id":17,"name":"Train ID","value":"119-29"},{"id":16,"name":"Locomotive ID","value":"4002"},{"id":130,"name":"Impact","value":""},{"id":150,"name":"Time of Event (Mountain Time)","value":"06:36:07"},{"id":151,"name":"Denver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4"/>
      <c r="AK33" s="232"/>
      <c r="AL33" s="232"/>
      <c r="AM33" s="241" t="str">
        <f t="shared" si="16"/>
        <v>start /low /b %USERPROFILE%\Documents\GitHub\eaglep3\Utilities\DownloadLogsFromS3.py --loco 4002 --day 2017-11-29</v>
      </c>
      <c r="AN33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13:36:07"},{"id":29,"name":"Sharepoint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1" t="str">
        <f t="shared" si="18"/>
        <v>https://d0f6bd738d7f1b3e5a7ca70fe4ff75f0.us-east-1.aws.found.io/app/kibana#/discover/Steve-Slow-Train-Analysis-(2080s-and-2083s)?_g=(refreshInterval:(display:Off,pause:!f,section:0,value:0),time:(from:'2017-11-29T04:51:50-0700',mode:absolute,to:'2017-11-29T07:36:07-0700'))&amp;_a=(columns:!('Message%20ID',Summary),filters:!(),index:'emp_*',interval:auto,query:(query_string:(analyze_wildcard:!t,query:'%22rtdc.l.rtdc.4002%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230" t="s">
        <v>696</v>
      </c>
      <c r="B34" s="226">
        <v>4001</v>
      </c>
      <c r="C34" s="228" t="s">
        <v>192</v>
      </c>
      <c r="D34" s="228" t="s">
        <v>893</v>
      </c>
      <c r="E34" s="227">
        <v>43068.276053240741</v>
      </c>
      <c r="F34" s="227">
        <v>43068.289814814816</v>
      </c>
      <c r="G34" s="226">
        <v>51</v>
      </c>
      <c r="H34" s="228" t="s">
        <v>894</v>
      </c>
      <c r="I34" s="227">
        <v>43068.315833333334</v>
      </c>
      <c r="J34" s="226">
        <v>0</v>
      </c>
      <c r="K34" s="238" t="str">
        <f t="shared" si="0"/>
        <v>4001/4002</v>
      </c>
      <c r="L34" s="246" t="str">
        <f>VLOOKUP(A34,'Trips&amp;Operators'!$C$1:$G$99911,5,FALSE)</f>
        <v>YORK EDGAR</v>
      </c>
      <c r="M34" s="225">
        <f t="shared" si="1"/>
        <v>2.6018518517958E-2</v>
      </c>
      <c r="N34" s="226">
        <f t="shared" si="35"/>
        <v>37.46666666585952</v>
      </c>
      <c r="O34" s="226"/>
      <c r="P34" s="226"/>
      <c r="Q34" s="229"/>
      <c r="R34" s="243"/>
      <c r="S34" s="250">
        <f t="shared" si="27"/>
        <v>1</v>
      </c>
      <c r="T34" s="243" t="str">
        <f t="shared" si="2"/>
        <v>Southbound</v>
      </c>
      <c r="U34" s="24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9" t="str">
        <f t="shared" si="3"/>
        <v>https://d0f6bd738d7f1b3e5a7ca70fe4ff75f0.us-east-1.aws.found.io/app/kibana#/discover/Steve-Slow-Train-Analysis-(2080s-and-2083s)?_g=(refreshInterval:(display:Off,pause:!f,section:0,value:0),time:(from:'2017-11-29T05:37:31-0700',mode:absolute,to:'2017-11-29T08:34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4" s="248" t="str">
        <f>IF(AA34&lt;VLOOKUP(AG34,Variables!$AC$3:$AD$8,2,FALSE),"Y","N")</f>
        <v>N</v>
      </c>
      <c r="X34" s="248">
        <f t="shared" si="39"/>
        <v>1</v>
      </c>
      <c r="Y34" s="248">
        <f t="shared" si="37"/>
        <v>23.296099999999999</v>
      </c>
      <c r="Z34" s="248">
        <f t="shared" si="38"/>
        <v>1.47E-2</v>
      </c>
      <c r="AA34" s="248">
        <f t="shared" si="4"/>
        <v>23.281399999999998</v>
      </c>
      <c r="AB34" s="234" t="e">
        <f>VLOOKUP(A34,Enforcements!$C$7:$K$9,8,0)</f>
        <v>#N/A</v>
      </c>
      <c r="AC34" s="233" t="e">
        <f>VLOOKUP(A34,Enforcements!$C$7:$E$9,3,0)</f>
        <v>#N/A</v>
      </c>
      <c r="AD34" s="244">
        <f t="shared" si="5"/>
        <v>120</v>
      </c>
      <c r="AE34" s="236" t="str">
        <f t="shared" si="6"/>
        <v>aws s3 cp s3://rtdc.mdm.uploadarchive.raw/RTDC4001/ "%USERPROFILE%\AppData\Local\Temp\OnboardLogs"\RTDC4001\2017-11-29 --exclude "*" --recursive --include "*20171129*" &amp; "%USERPROFILE%\Documents\GitHub\mrs-test-scripts\Headless Mode &amp; Sideloading\WalkAndUnGZ.bat" "%USERPROFILE%\AppData\Local\Temp\OnboardLogs"\RTDC4001\2017-11-29 &amp; aws s3 cp s3://rtdc.mdm.uploadarchive.raw/RTDC4001/ "%USERPROFILE%\AppData\Local\Temp\OnboardLogs"\RTDC4001\2017-11-30 --exclude "*" --recursive --include "*20171130*" &amp; "%USERPROFILE%\Documents\GitHub\mrs-test-scripts\Headless Mode &amp; Sideloading\WalkAndUnGZ.bat" "%USERPROFILE%\AppData\Local\Temp\OnboardLogs"\RTDC4001\2017-11-30</v>
      </c>
      <c r="AF34" s="235" t="str">
        <f t="shared" si="7"/>
        <v>"C:\Program Files (x86)\AstroGrep\AstroGrep.exe" /e /r /s /spath="%USERPROFILE%\AppData\Local\Temp\OnboardLogs" /stypes="app*4001*20171129*" /stext=" 14:.+((SYSTEM_STATE.+slice.+state.+changed )|(ment ac)|(multiple cpu faults)|(system.+state.+changed )|(\[timeout)|(PRM\|1\|D)|(kpr)|(kdp)|(train st.+moving)|(\|lc)|(penalty))"</v>
      </c>
      <c r="AG34" s="245" t="str">
        <f t="shared" si="8"/>
        <v>EC</v>
      </c>
      <c r="AH34" s="237" t="str">
        <f t="shared" si="14"/>
        <v>"%USERPROFILE%\Documents\GitHub\eaglep3\Utilities\RefineRTDCRunTimes.py" --tripid 120-29 --locoid 4001 --swversion DE.1.0.9.0 --startMP 204:232961 --initTime 2017-11-29T06:37:31 --startdatetime 2017-11-29T06:57:20 --delay 51 --endMP 204:147 --enddatetime 2017-11-29T07:34:48 --enforcementcount 0 &gt;&gt;%USERPROFILE%\Documents\GitHub\eaglep3-reporting\EC\2017-11-29-refined-times.txt</v>
      </c>
      <c r="AI34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{"issue":{"subject":"","project_id":79,"tracker_id":40,"status_id":1,"priority_id":2,"assigned_to_id":338,"start_date":"2017-11-29","description":"","custom_fields":[{"id":1,"name":"Subdivision","value":"EC"},{"id":4,"name":"Milepost","value":"0.0147"},{"id":17,"name":"Train ID","value":"120-29"},{"id":16,"name":"Locomotive ID","value":"4001"},{"id":130,"name":"Impact","value":""},{"id":150,"name":"Time of Event (Mountain Time)","value":"07:34:48"},{"id":151,"name":"Denver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4"/>
      <c r="AK34" s="232"/>
      <c r="AL34" s="232"/>
      <c r="AM34" s="241" t="str">
        <f t="shared" si="16"/>
        <v>start /low /b %USERPROFILE%\Documents\GitHub\eaglep3\Utilities\DownloadLogsFromS3.py --loco 4001 --day 2017-11-29</v>
      </c>
      <c r="AN34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14:34:48"},{"id":29,"name":"Sharepoint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1" t="str">
        <f t="shared" si="18"/>
        <v>https://d0f6bd738d7f1b3e5a7ca70fe4ff75f0.us-east-1.aws.found.io/app/kibana#/discover/Steve-Slow-Train-Analysis-(2080s-and-2083s)?_g=(refreshInterval:(display:Off,pause:!f,section:0,value:0),time:(from:'2017-11-29T05:37:31-0700',mode:absolute,to:'2017-11-29T08:34:48-0700'))&amp;_a=(columns:!('Message%20ID',Summary),filters:!(),index:'emp_*',interval:auto,query:(query_string:(analyze_wildcard:!t,query:'%22rtdc.l.rtdc.4001%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230" t="s">
        <v>690</v>
      </c>
      <c r="B35" s="226">
        <v>4006</v>
      </c>
      <c r="C35" s="228" t="s">
        <v>192</v>
      </c>
      <c r="D35" s="228" t="s">
        <v>895</v>
      </c>
      <c r="E35" s="227">
        <v>43068.256342592591</v>
      </c>
      <c r="F35" s="227">
        <v>43068.260636574072</v>
      </c>
      <c r="G35" s="226">
        <v>51</v>
      </c>
      <c r="H35" s="228" t="s">
        <v>896</v>
      </c>
      <c r="I35" s="227">
        <v>43068.285810185182</v>
      </c>
      <c r="J35" s="226">
        <v>0</v>
      </c>
      <c r="K35" s="238" t="str">
        <f t="shared" si="0"/>
        <v>4005/4006</v>
      </c>
      <c r="L35" s="246" t="str">
        <f>VLOOKUP(A35,'Trips&amp;Operators'!$C$1:$G$99911,5,FALSE)</f>
        <v>DAVIDSON DAVID</v>
      </c>
      <c r="M35" s="225">
        <f t="shared" si="1"/>
        <v>2.5173611109494232E-2</v>
      </c>
      <c r="N35" s="226">
        <f t="shared" si="35"/>
        <v>36.249999997671694</v>
      </c>
      <c r="O35" s="226"/>
      <c r="P35" s="226"/>
      <c r="Q35" s="229"/>
      <c r="R35" s="243"/>
      <c r="S35" s="250">
        <f t="shared" si="27"/>
        <v>1</v>
      </c>
      <c r="T35" s="243" t="str">
        <f t="shared" si="2"/>
        <v>NorthBound</v>
      </c>
      <c r="U35" s="24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9" t="str">
        <f t="shared" si="3"/>
        <v>https://d0f6bd738d7f1b3e5a7ca70fe4ff75f0.us-east-1.aws.found.io/app/kibana#/discover/Steve-Slow-Train-Analysis-(2080s-and-2083s)?_g=(refreshInterval:(display:Off,pause:!f,section:0,value:0),time:(from:'2017-11-29T05:09:08-0700',mode:absolute,to:'2017-11-29T07:51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5" s="248" t="str">
        <f>IF(AA35&lt;VLOOKUP(AG35,Variables!$AC$3:$AD$8,2,FALSE),"Y","N")</f>
        <v>N</v>
      </c>
      <c r="X35" s="248">
        <f t="shared" si="39"/>
        <v>1</v>
      </c>
      <c r="Y35" s="248">
        <f t="shared" si="37"/>
        <v>5.5300000000000002E-2</v>
      </c>
      <c r="Z35" s="248">
        <f t="shared" si="38"/>
        <v>23.3263</v>
      </c>
      <c r="AA35" s="248">
        <f t="shared" si="4"/>
        <v>23.271000000000001</v>
      </c>
      <c r="AB35" s="234" t="e">
        <f>VLOOKUP(A35,Enforcements!$C$7:$K$9,8,0)</f>
        <v>#N/A</v>
      </c>
      <c r="AC35" s="233" t="e">
        <f>VLOOKUP(A35,Enforcements!$C$7:$E$9,3,0)</f>
        <v>#N/A</v>
      </c>
      <c r="AD35" s="244">
        <f t="shared" si="5"/>
        <v>121</v>
      </c>
      <c r="AE35" s="236" t="str">
        <f t="shared" si="6"/>
        <v>aws s3 cp s3://rtdc.mdm.uploadarchive.raw/RTDC4006/ "%USERPROFILE%\AppData\Local\Temp\OnboardLogs"\RTDC4006\2017-11-29 --exclude "*" --recursive --include "*20171129*" &amp; "%USERPROFILE%\Documents\GitHub\mrs-test-scripts\Headless Mode &amp; Sideloading\WalkAndUnGZ.bat" "%USERPROFILE%\AppData\Local\Temp\OnboardLogs"\RTDC4006\2017-11-29 &amp; aws s3 cp s3://rtdc.mdm.uploadarchive.raw/RTDC4006/ "%USERPROFILE%\AppData\Local\Temp\OnboardLogs"\RTDC4006\2017-11-30 --exclude "*" --recursive --include "*20171130*" &amp; "%USERPROFILE%\Documents\GitHub\mrs-test-scripts\Headless Mode &amp; Sideloading\WalkAndUnGZ.bat" "%USERPROFILE%\AppData\Local\Temp\OnboardLogs"\RTDC4006\2017-11-30</v>
      </c>
      <c r="AF35" s="235" t="str">
        <f t="shared" si="7"/>
        <v>"C:\Program Files (x86)\AstroGrep\AstroGrep.exe" /e /r /s /spath="%USERPROFILE%\AppData\Local\Temp\OnboardLogs" /stypes="app*4006*20171129*" /stext=" 13:.+((SYSTEM_STATE.+slice.+state.+changed )|(ment ac)|(multiple cpu faults)|(system.+state.+changed )|(\[timeout)|(PRM\|1\|D)|(kpr)|(kdp)|(train st.+moving)|(\|lc)|(penalty))"</v>
      </c>
      <c r="AG35" s="245" t="str">
        <f t="shared" si="8"/>
        <v>EC</v>
      </c>
      <c r="AH35" s="237" t="str">
        <f t="shared" si="14"/>
        <v>"%USERPROFILE%\Documents\GitHub\eaglep3\Utilities\RefineRTDCRunTimes.py" --tripid 121-29 --locoid 4006 --swversion DE.1.0.9.0 --startMP 204:553 --initTime 2017-11-29T06:09:08 --startdatetime 2017-11-29T06:15:19 --delay 51 --endMP 204:233263 --enddatetime 2017-11-29T06:51:34 --enforcementcount 0 &gt;&gt;%USERPROFILE%\Documents\GitHub\eaglep3-reporting\EC\2017-11-29-refined-times.txt</v>
      </c>
      <c r="AI35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{"issue":{"subject":"","project_id":79,"tracker_id":40,"status_id":1,"priority_id":2,"assigned_to_id":338,"start_date":"2017-11-29","description":"","custom_fields":[{"id":1,"name":"Subdivision","value":"EC"},{"id":4,"name":"Milepost","value":"23.3263"},{"id":17,"name":"Train ID","value":"121-29"},{"id":16,"name":"Locomotive ID","value":"4006"},{"id":130,"name":"Impact","value":""},{"id":150,"name":"Time of Event (Mountain Time)","value":"06:51:34"},{"id":151,"name":"Denver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4"/>
      <c r="AK35" s="232"/>
      <c r="AL35" s="232"/>
      <c r="AM35" s="241" t="str">
        <f t="shared" si="16"/>
        <v>start /low /b %USERPROFILE%\Documents\GitHub\eaglep3\Utilities\DownloadLogsFromS3.py --loco 4006 --day 2017-11-29</v>
      </c>
      <c r="AN35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13:51:34"},{"id":29,"name":"Sharepoint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1" t="str">
        <f t="shared" si="18"/>
        <v>https://d0f6bd738d7f1b3e5a7ca70fe4ff75f0.us-east-1.aws.found.io/app/kibana#/discover/Steve-Slow-Train-Analysis-(2080s-and-2083s)?_g=(refreshInterval:(display:Off,pause:!f,section:0,value:0),time:(from:'2017-11-29T05:09:08-0700',mode:absolute,to:'2017-11-29T07:51:34-0700'))&amp;_a=(columns:!('Message%20ID',Summary),filters:!(),index:'emp_*',interval:auto,query:(query_string:(analyze_wildcard:!t,query:'%22rtdc.l.rtdc.4006%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230" t="s">
        <v>699</v>
      </c>
      <c r="B36" s="226">
        <v>4005</v>
      </c>
      <c r="C36" s="228" t="s">
        <v>192</v>
      </c>
      <c r="D36" s="228" t="s">
        <v>877</v>
      </c>
      <c r="E36" s="227">
        <v>43068.287106481483</v>
      </c>
      <c r="F36" s="227">
        <v>43068.30023148148</v>
      </c>
      <c r="G36" s="226">
        <v>56</v>
      </c>
      <c r="H36" s="228" t="s">
        <v>507</v>
      </c>
      <c r="I36" s="227">
        <v>43068.327118055553</v>
      </c>
      <c r="J36" s="226">
        <v>0</v>
      </c>
      <c r="K36" s="238" t="str">
        <f t="shared" si="0"/>
        <v>4005/4006</v>
      </c>
      <c r="L36" s="246" t="str">
        <f>VLOOKUP(A36,'Trips&amp;Operators'!$C$1:$G$99911,5,FALSE)</f>
        <v>DAVIDSON DAVID</v>
      </c>
      <c r="M36" s="225">
        <f t="shared" si="1"/>
        <v>2.6886574072705116E-2</v>
      </c>
      <c r="N36" s="226">
        <f t="shared" si="35"/>
        <v>38.716666664695367</v>
      </c>
      <c r="O36" s="226"/>
      <c r="P36" s="226"/>
      <c r="Q36" s="229"/>
      <c r="R36" s="243"/>
      <c r="S36" s="250">
        <f t="shared" si="27"/>
        <v>1</v>
      </c>
      <c r="T36" s="243" t="str">
        <f t="shared" si="2"/>
        <v>Southbound</v>
      </c>
      <c r="U36" s="24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9" t="str">
        <f t="shared" si="3"/>
        <v>https://d0f6bd738d7f1b3e5a7ca70fe4ff75f0.us-east-1.aws.found.io/app/kibana#/discover/Steve-Slow-Train-Analysis-(2080s-and-2083s)?_g=(refreshInterval:(display:Off,pause:!f,section:0,value:0),time:(from:'2017-11-29T05:53:26-0700',mode:absolute,to:'2017-11-29T08:51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6" s="248" t="str">
        <f>IF(AA36&lt;VLOOKUP(AG36,Variables!$AC$3:$AD$8,2,FALSE),"Y","N")</f>
        <v>N</v>
      </c>
      <c r="X36" s="248">
        <f t="shared" si="39"/>
        <v>1</v>
      </c>
      <c r="Y36" s="248">
        <f t="shared" si="37"/>
        <v>23.295300000000001</v>
      </c>
      <c r="Z36" s="248">
        <f t="shared" si="38"/>
        <v>2.2499999999999999E-2</v>
      </c>
      <c r="AA36" s="248">
        <f t="shared" si="4"/>
        <v>23.2728</v>
      </c>
      <c r="AB36" s="234" t="e">
        <f>VLOOKUP(A36,Enforcements!$C$7:$K$9,8,0)</f>
        <v>#N/A</v>
      </c>
      <c r="AC36" s="233" t="e">
        <f>VLOOKUP(A36,Enforcements!$C$7:$E$9,3,0)</f>
        <v>#N/A</v>
      </c>
      <c r="AD36" s="244">
        <f t="shared" si="5"/>
        <v>122</v>
      </c>
      <c r="AE36" s="236" t="str">
        <f t="shared" si="6"/>
        <v>aws s3 cp s3://rtdc.mdm.uploadarchive.raw/RTDC4005/ "%USERPROFILE%\AppData\Local\Temp\OnboardLogs"\RTDC4005\2017-11-29 --exclude "*" --recursive --include "*20171129*" &amp; "%USERPROFILE%\Documents\GitHub\mrs-test-scripts\Headless Mode &amp; Sideloading\WalkAndUnGZ.bat" "%USERPROFILE%\AppData\Local\Temp\OnboardLogs"\RTDC4005\2017-11-29 &amp; aws s3 cp s3://rtdc.mdm.uploadarchive.raw/RTDC4005/ "%USERPROFILE%\AppData\Local\Temp\OnboardLogs"\RTDC4005\2017-11-30 --exclude "*" --recursive --include "*20171130*" &amp; "%USERPROFILE%\Documents\GitHub\mrs-test-scripts\Headless Mode &amp; Sideloading\WalkAndUnGZ.bat" "%USERPROFILE%\AppData\Local\Temp\OnboardLogs"\RTDC4005\2017-11-30</v>
      </c>
      <c r="AF36" s="235" t="str">
        <f t="shared" si="7"/>
        <v>"C:\Program Files (x86)\AstroGrep\AstroGrep.exe" /e /r /s /spath="%USERPROFILE%\AppData\Local\Temp\OnboardLogs" /stypes="app*4005*20171129*" /stext=" 14:.+((SYSTEM_STATE.+slice.+state.+changed )|(ment ac)|(multiple cpu faults)|(system.+state.+changed )|(\[timeout)|(PRM\|1\|D)|(kpr)|(kdp)|(train st.+moving)|(\|lc)|(penalty))"</v>
      </c>
      <c r="AG36" s="245" t="str">
        <f t="shared" si="8"/>
        <v>EC</v>
      </c>
      <c r="AH36" s="237" t="str">
        <f t="shared" si="14"/>
        <v>"%USERPROFILE%\Documents\GitHub\eaglep3\Utilities\RefineRTDCRunTimes.py" --tripid 122-29 --locoid 4005 --swversion DE.1.0.9.0 --startMP 204:232953 --initTime 2017-11-29T06:53:26 --startdatetime 2017-11-29T07:12:20 --delay 56 --endMP 204:225 --enddatetime 2017-11-29T07:51:03 --enforcementcount 0 &gt;&gt;%USERPROFILE%\Documents\GitHub\eaglep3-reporting\EC\2017-11-29-refined-times.txt</v>
      </c>
      <c r="AI36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{"issue":{"subject":"","project_id":79,"tracker_id":40,"status_id":1,"priority_id":2,"assigned_to_id":338,"start_date":"2017-11-29","description":"","custom_fields":[{"id":1,"name":"Subdivision","value":"EC"},{"id":4,"name":"Milepost","value":"0.0225"},{"id":17,"name":"Train ID","value":"122-29"},{"id":16,"name":"Locomotive ID","value":"4005"},{"id":130,"name":"Impact","value":""},{"id":150,"name":"Time of Event (Mountain Time)","value":"07:51:03"},{"id":151,"name":"Denver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4"/>
      <c r="AK36" s="232"/>
      <c r="AL36" s="232"/>
      <c r="AM36" s="241" t="str">
        <f t="shared" si="16"/>
        <v>start /low /b %USERPROFILE%\Documents\GitHub\eaglep3\Utilities\DownloadLogsFromS3.py --loco 4005 --day 2017-11-29</v>
      </c>
      <c r="AN36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14:51:03"},{"id":29,"name":"Sharepoint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1" t="str">
        <f t="shared" si="18"/>
        <v>https://d0f6bd738d7f1b3e5a7ca70fe4ff75f0.us-east-1.aws.found.io/app/kibana#/discover/Steve-Slow-Train-Analysis-(2080s-and-2083s)?_g=(refreshInterval:(display:Off,pause:!f,section:0,value:0),time:(from:'2017-11-29T05:53:26-0700',mode:absolute,to:'2017-11-29T08:51:03-0700'))&amp;_a=(columns:!('Message%20ID',Summary),filters:!(),index:'emp_*',interval:auto,query:(query_string:(analyze_wildcard:!t,query:'%22rtdc.l.rtdc.4005%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230" t="s">
        <v>691</v>
      </c>
      <c r="B37" s="226">
        <v>4066</v>
      </c>
      <c r="C37" s="228" t="s">
        <v>192</v>
      </c>
      <c r="D37" s="228" t="s">
        <v>897</v>
      </c>
      <c r="E37" s="227">
        <v>43068.264525462961</v>
      </c>
      <c r="F37" s="227">
        <v>43068.271087962959</v>
      </c>
      <c r="G37" s="226">
        <v>61</v>
      </c>
      <c r="H37" s="228" t="s">
        <v>574</v>
      </c>
      <c r="I37" s="227">
        <v>43068.295069444444</v>
      </c>
      <c r="J37" s="226">
        <v>0</v>
      </c>
      <c r="K37" s="238" t="str">
        <f t="shared" si="0"/>
        <v>4065/4066</v>
      </c>
      <c r="L37" s="246" t="str">
        <f>VLOOKUP(A37,'Trips&amp;Operators'!$C$1:$G$99911,5,FALSE)</f>
        <v>LOPES KIMBERLY</v>
      </c>
      <c r="M37" s="225">
        <f t="shared" si="1"/>
        <v>2.3981481484952383E-2</v>
      </c>
      <c r="N37" s="226">
        <f t="shared" si="35"/>
        <v>34.533333338331431</v>
      </c>
      <c r="O37" s="226"/>
      <c r="P37" s="226"/>
      <c r="Q37" s="229"/>
      <c r="R37" s="243"/>
      <c r="S37" s="250">
        <f t="shared" si="27"/>
        <v>1</v>
      </c>
      <c r="T37" s="243" t="str">
        <f t="shared" si="2"/>
        <v>NorthBound</v>
      </c>
      <c r="U37" s="24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9" t="str">
        <f t="shared" si="3"/>
        <v>https://d0f6bd738d7f1b3e5a7ca70fe4ff75f0.us-east-1.aws.found.io/app/kibana#/discover/Steve-Slow-Train-Analysis-(2080s-and-2083s)?_g=(refreshInterval:(display:Off,pause:!f,section:0,value:0),time:(from:'2017-11-29T05:20:55-0700',mode:absolute,to:'2017-11-29T08:04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37" s="248" t="str">
        <f>IF(AA37&lt;VLOOKUP(AG37,Variables!$AC$3:$AD$8,2,FALSE),"Y","N")</f>
        <v>N</v>
      </c>
      <c r="X37" s="248">
        <f t="shared" si="39"/>
        <v>1</v>
      </c>
      <c r="Y37" s="248">
        <f t="shared" si="37"/>
        <v>4.8800000000000003E-2</v>
      </c>
      <c r="Z37" s="248">
        <f t="shared" si="38"/>
        <v>23.322199999999999</v>
      </c>
      <c r="AA37" s="248">
        <f t="shared" si="4"/>
        <v>23.273399999999999</v>
      </c>
      <c r="AB37" s="234" t="e">
        <f>VLOOKUP(A37,Enforcements!$C$7:$K$9,8,0)</f>
        <v>#N/A</v>
      </c>
      <c r="AC37" s="233" t="e">
        <f>VLOOKUP(A37,Enforcements!$C$7:$E$9,3,0)</f>
        <v>#N/A</v>
      </c>
      <c r="AD37" s="244">
        <f t="shared" si="5"/>
        <v>123</v>
      </c>
      <c r="AE37" s="236" t="str">
        <f t="shared" si="6"/>
        <v>aws s3 cp s3://rtdc.mdm.uploadarchive.raw/RTDC4066/ "%USERPROFILE%\AppData\Local\Temp\OnboardLogs"\RTDC4066\2017-11-29 --exclude "*" --recursive --include "*20171129*" &amp; "%USERPROFILE%\Documents\GitHub\mrs-test-scripts\Headless Mode &amp; Sideloading\WalkAndUnGZ.bat" "%USERPROFILE%\AppData\Local\Temp\OnboardLogs"\RTDC4066\2017-11-29 &amp; aws s3 cp s3://rtdc.mdm.uploadarchive.raw/RTDC4066/ "%USERPROFILE%\AppData\Local\Temp\OnboardLogs"\RTDC4066\2017-11-30 --exclude "*" --recursive --include "*20171130*" &amp; "%USERPROFILE%\Documents\GitHub\mrs-test-scripts\Headless Mode &amp; Sideloading\WalkAndUnGZ.bat" "%USERPROFILE%\AppData\Local\Temp\OnboardLogs"\RTDC4066\2017-11-30</v>
      </c>
      <c r="AF37" s="235" t="str">
        <f t="shared" si="7"/>
        <v>"C:\Program Files (x86)\AstroGrep\AstroGrep.exe" /e /r /s /spath="%USERPROFILE%\AppData\Local\Temp\OnboardLogs" /stypes="app*4066*20171129*" /stext=" 14:.+((SYSTEM_STATE.+slice.+state.+changed )|(ment ac)|(multiple cpu faults)|(system.+state.+changed )|(\[timeout)|(PRM\|1\|D)|(kpr)|(kdp)|(train st.+moving)|(\|lc)|(penalty))"</v>
      </c>
      <c r="AG37" s="245" t="str">
        <f t="shared" si="8"/>
        <v>EC</v>
      </c>
      <c r="AH37" s="237" t="str">
        <f t="shared" si="14"/>
        <v>"%USERPROFILE%\Documents\GitHub\eaglep3\Utilities\RefineRTDCRunTimes.py" --tripid 123-29 --locoid 4066 --swversion DE.1.0.9.0 --startMP 204:488 --initTime 2017-11-29T06:20:55 --startdatetime 2017-11-29T06:30:22 --delay 61 --endMP 204:233222 --enddatetime 2017-11-29T07:04:54 --enforcementcount 0 &gt;&gt;%USERPROFILE%\Documents\GitHub\eaglep3-reporting\EC\2017-11-29-refined-times.txt</v>
      </c>
      <c r="AI37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{"issue":{"subject":"","project_id":79,"tracker_id":40,"status_id":1,"priority_id":2,"assigned_to_id":338,"start_date":"2017-11-29","description":"","custom_fields":[{"id":1,"name":"Subdivision","value":"EC"},{"id":4,"name":"Milepost","value":"23.3222"},{"id":17,"name":"Train ID","value":"123-29"},{"id":16,"name":"Locomotive ID","value":"4066"},{"id":130,"name":"Impact","value":""},{"id":150,"name":"Time of Event (Mountain Time)","value":"07:04:54"},{"id":151,"name":"Denver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4"/>
      <c r="AK37" s="232"/>
      <c r="AL37" s="232"/>
      <c r="AM37" s="241" t="str">
        <f t="shared" si="16"/>
        <v>start /low /b %USERPROFILE%\Documents\GitHub\eaglep3\Utilities\DownloadLogsFromS3.py --loco 4066 --day 2017-11-29</v>
      </c>
      <c r="AN37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14:04:54"},{"id":29,"name":"Sharepoint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1" t="str">
        <f t="shared" si="18"/>
        <v>https://d0f6bd738d7f1b3e5a7ca70fe4ff75f0.us-east-1.aws.found.io/app/kibana#/discover/Steve-Slow-Train-Analysis-(2080s-and-2083s)?_g=(refreshInterval:(display:Off,pause:!f,section:0,value:0),time:(from:'2017-11-29T05:20:55-0700',mode:absolute,to:'2017-11-29T08:04:54-0700'))&amp;_a=(columns:!('Message%20ID',Summary),filters:!(),index:'emp_*',interval:auto,query:(query_string:(analyze_wildcard:!t,query:'%22rtdc.l.rtdc.4066%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230" t="s">
        <v>702</v>
      </c>
      <c r="B38" s="226">
        <v>4065</v>
      </c>
      <c r="C38" s="228" t="s">
        <v>192</v>
      </c>
      <c r="D38" s="228" t="s">
        <v>898</v>
      </c>
      <c r="E38" s="227">
        <v>43068.305949074071</v>
      </c>
      <c r="F38" s="227">
        <v>43068.310590277775</v>
      </c>
      <c r="G38" s="226">
        <v>54</v>
      </c>
      <c r="H38" s="228" t="s">
        <v>413</v>
      </c>
      <c r="I38" s="227">
        <v>43068.336689814816</v>
      </c>
      <c r="J38" s="226">
        <v>0</v>
      </c>
      <c r="K38" s="238" t="str">
        <f t="shared" si="0"/>
        <v>4065/4066</v>
      </c>
      <c r="L38" s="246" t="str">
        <f>VLOOKUP(A38,'Trips&amp;Operators'!$C$1:$G$99911,5,FALSE)</f>
        <v>LOPES KIMBERLY</v>
      </c>
      <c r="M38" s="225">
        <f t="shared" si="1"/>
        <v>2.6099537040863652E-2</v>
      </c>
      <c r="N38" s="226">
        <f t="shared" si="35"/>
        <v>37.583333338843659</v>
      </c>
      <c r="O38" s="226"/>
      <c r="P38" s="226"/>
      <c r="Q38" s="229"/>
      <c r="R38" s="243"/>
      <c r="S38" s="250">
        <f t="shared" si="27"/>
        <v>1</v>
      </c>
      <c r="T38" s="243" t="str">
        <f t="shared" si="2"/>
        <v>Southbound</v>
      </c>
      <c r="U38" s="24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9" t="str">
        <f t="shared" si="3"/>
        <v>https://d0f6bd738d7f1b3e5a7ca70fe4ff75f0.us-east-1.aws.found.io/app/kibana#/discover/Steve-Slow-Train-Analysis-(2080s-and-2083s)?_g=(refreshInterval:(display:Off,pause:!f,section:0,value:0),time:(from:'2017-11-29T06:20:34-0700',mode:absolute,to:'2017-11-29T09:04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38" s="248" t="str">
        <f>IF(AA38&lt;VLOOKUP(AG38,Variables!$AC$3:$AD$8,2,FALSE),"Y","N")</f>
        <v>N</v>
      </c>
      <c r="X38" s="248">
        <f t="shared" si="39"/>
        <v>1</v>
      </c>
      <c r="Y38" s="248">
        <f t="shared" si="37"/>
        <v>23.289000000000001</v>
      </c>
      <c r="Z38" s="248">
        <f t="shared" si="38"/>
        <v>2.07E-2</v>
      </c>
      <c r="AA38" s="248">
        <f t="shared" si="4"/>
        <v>23.2683</v>
      </c>
      <c r="AB38" s="234" t="e">
        <f>VLOOKUP(A38,Enforcements!$C$7:$K$9,8,0)</f>
        <v>#N/A</v>
      </c>
      <c r="AC38" s="233" t="e">
        <f>VLOOKUP(A38,Enforcements!$C$7:$E$9,3,0)</f>
        <v>#N/A</v>
      </c>
      <c r="AD38" s="244">
        <f t="shared" si="5"/>
        <v>124</v>
      </c>
      <c r="AE38" s="236" t="str">
        <f t="shared" si="6"/>
        <v>aws s3 cp s3://rtdc.mdm.uploadarchive.raw/RTDC4065/ "%USERPROFILE%\AppData\Local\Temp\OnboardLogs"\RTDC4065\2017-11-29 --exclude "*" --recursive --include "*20171129*" &amp; "%USERPROFILE%\Documents\GitHub\mrs-test-scripts\Headless Mode &amp; Sideloading\WalkAndUnGZ.bat" "%USERPROFILE%\AppData\Local\Temp\OnboardLogs"\RTDC4065\2017-11-29 &amp; aws s3 cp s3://rtdc.mdm.uploadarchive.raw/RTDC4065/ "%USERPROFILE%\AppData\Local\Temp\OnboardLogs"\RTDC4065\2017-11-30 --exclude "*" --recursive --include "*20171130*" &amp; "%USERPROFILE%\Documents\GitHub\mrs-test-scripts\Headless Mode &amp; Sideloading\WalkAndUnGZ.bat" "%USERPROFILE%\AppData\Local\Temp\OnboardLogs"\RTDC4065\2017-11-30</v>
      </c>
      <c r="AF38" s="235" t="str">
        <f t="shared" si="7"/>
        <v>"C:\Program Files (x86)\AstroGrep\AstroGrep.exe" /e /r /s /spath="%USERPROFILE%\AppData\Local\Temp\OnboardLogs" /stypes="app*4065*20171129*" /stext=" 15:.+((SYSTEM_STATE.+slice.+state.+changed )|(ment ac)|(multiple cpu faults)|(system.+state.+changed )|(\[timeout)|(PRM\|1\|D)|(kpr)|(kdp)|(train st.+moving)|(\|lc)|(penalty))"</v>
      </c>
      <c r="AG38" s="245" t="str">
        <f t="shared" si="8"/>
        <v>EC</v>
      </c>
      <c r="AH38" s="237" t="str">
        <f t="shared" si="14"/>
        <v>"%USERPROFILE%\Documents\GitHub\eaglep3\Utilities\RefineRTDCRunTimes.py" --tripid 124-29 --locoid 4065 --swversion DE.1.0.9.0 --startMP 204:232890 --initTime 2017-11-29T07:20:34 --startdatetime 2017-11-29T07:27:15 --delay 54 --endMP 204:207 --enddatetime 2017-11-29T08:04:50 --enforcementcount 0 &gt;&gt;%USERPROFILE%\Documents\GitHub\eaglep3-reporting\EC\2017-11-29-refined-times.txt</v>
      </c>
      <c r="AI38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{"issue":{"subject":"","project_id":79,"tracker_id":40,"status_id":1,"priority_id":2,"assigned_to_id":338,"start_date":"2017-11-29","description":"","custom_fields":[{"id":1,"name":"Subdivision","value":"EC"},{"id":4,"name":"Milepost","value":"0.0207"},{"id":17,"name":"Train ID","value":"124-29"},{"id":16,"name":"Locomotive ID","value":"4065"},{"id":130,"name":"Impact","value":""},{"id":150,"name":"Time of Event (Mountain Time)","value":"08:04:50"},{"id":151,"name":"Denver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4"/>
      <c r="AK38" s="232"/>
      <c r="AL38" s="232"/>
      <c r="AM38" s="241" t="str">
        <f t="shared" si="16"/>
        <v>start /low /b %USERPROFILE%\Documents\GitHub\eaglep3\Utilities\DownloadLogsFromS3.py --loco 4065 --day 2017-11-29</v>
      </c>
      <c r="AN38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15:04:50"},{"id":29,"name":"Sharepoint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1" t="str">
        <f t="shared" si="18"/>
        <v>https://d0f6bd738d7f1b3e5a7ca70fe4ff75f0.us-east-1.aws.found.io/app/kibana#/discover/Steve-Slow-Train-Analysis-(2080s-and-2083s)?_g=(refreshInterval:(display:Off,pause:!f,section:0,value:0),time:(from:'2017-11-29T06:20:34-0700',mode:absolute,to:'2017-11-29T09:04:50-0700'))&amp;_a=(columns:!('Message%20ID',Summary),filters:!(),index:'emp_*',interval:auto,query:(query_string:(analyze_wildcard:!t,query:'%22rtdc.l.rtdc.4065%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230" t="s">
        <v>697</v>
      </c>
      <c r="B39" s="226">
        <v>4022</v>
      </c>
      <c r="C39" s="228" t="s">
        <v>192</v>
      </c>
      <c r="D39" s="228" t="s">
        <v>559</v>
      </c>
      <c r="E39" s="227">
        <v>43068.277025462965</v>
      </c>
      <c r="F39" s="227">
        <v>43068.281423611108</v>
      </c>
      <c r="G39" s="226">
        <v>73</v>
      </c>
      <c r="H39" s="228" t="s">
        <v>592</v>
      </c>
      <c r="I39" s="227">
        <v>43068.307453703703</v>
      </c>
      <c r="J39" s="226">
        <v>0</v>
      </c>
      <c r="K39" s="238" t="str">
        <f t="shared" si="0"/>
        <v>4021/4022</v>
      </c>
      <c r="L39" s="246" t="str">
        <f>VLOOKUP(A39,'Trips&amp;Operators'!$C$1:$G$99911,5,FALSE)</f>
        <v>NICHOLAS PLOYSA</v>
      </c>
      <c r="M39" s="225">
        <f t="shared" si="1"/>
        <v>2.6030092594737653E-2</v>
      </c>
      <c r="N39" s="226">
        <f t="shared" si="35"/>
        <v>37.48333333642222</v>
      </c>
      <c r="O39" s="226"/>
      <c r="P39" s="226"/>
      <c r="Q39" s="229"/>
      <c r="R39" s="243"/>
      <c r="S39" s="250">
        <f t="shared" si="27"/>
        <v>1</v>
      </c>
      <c r="T39" s="243" t="str">
        <f t="shared" si="2"/>
        <v>NorthBound</v>
      </c>
      <c r="U39" s="24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9" t="str">
        <f t="shared" si="3"/>
        <v>https://d0f6bd738d7f1b3e5a7ca70fe4ff75f0.us-east-1.aws.found.io/app/kibana#/discover/Steve-Slow-Train-Analysis-(2080s-and-2083s)?_g=(refreshInterval:(display:Off,pause:!f,section:0,value:0),time:(from:'2017-11-29T05:38:55-0700',mode:absolute,to:'2017-11-29T08:22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9" s="248" t="str">
        <f>IF(AA39&lt;VLOOKUP(AG39,Variables!$AC$3:$AD$8,2,FALSE),"Y","N")</f>
        <v>N</v>
      </c>
      <c r="X39" s="248">
        <f t="shared" si="39"/>
        <v>1</v>
      </c>
      <c r="Y39" s="248">
        <f t="shared" si="37"/>
        <v>4.6399999999999997E-2</v>
      </c>
      <c r="Z39" s="248">
        <f t="shared" si="38"/>
        <v>23.328499999999998</v>
      </c>
      <c r="AA39" s="248">
        <f t="shared" si="4"/>
        <v>23.2821</v>
      </c>
      <c r="AB39" s="234" t="e">
        <f>VLOOKUP(A39,Enforcements!$C$7:$K$9,8,0)</f>
        <v>#N/A</v>
      </c>
      <c r="AC39" s="233" t="e">
        <f>VLOOKUP(A39,Enforcements!$C$7:$E$9,3,0)</f>
        <v>#N/A</v>
      </c>
      <c r="AD39" s="244">
        <f t="shared" si="5"/>
        <v>125</v>
      </c>
      <c r="AE39" s="236" t="str">
        <f t="shared" si="6"/>
        <v>aws s3 cp s3://rtdc.mdm.uploadarchive.raw/RTDC4022/ "%USERPROFILE%\AppData\Local\Temp\OnboardLogs"\RTDC4022\2017-11-29 --exclude "*" --recursive --include "*20171129*" &amp; "%USERPROFILE%\Documents\GitHub\mrs-test-scripts\Headless Mode &amp; Sideloading\WalkAndUnGZ.bat" "%USERPROFILE%\AppData\Local\Temp\OnboardLogs"\RTDC4022\2017-11-29 &amp; aws s3 cp s3://rtdc.mdm.uploadarchive.raw/RTDC4022/ "%USERPROFILE%\AppData\Local\Temp\OnboardLogs"\RTDC4022\2017-11-30 --exclude "*" --recursive --include "*20171130*" &amp; "%USERPROFILE%\Documents\GitHub\mrs-test-scripts\Headless Mode &amp; Sideloading\WalkAndUnGZ.bat" "%USERPROFILE%\AppData\Local\Temp\OnboardLogs"\RTDC4022\2017-11-30</v>
      </c>
      <c r="AF39" s="235" t="str">
        <f t="shared" si="7"/>
        <v>"C:\Program Files (x86)\AstroGrep\AstroGrep.exe" /e /r /s /spath="%USERPROFILE%\AppData\Local\Temp\OnboardLogs" /stypes="app*4022*20171129*" /stext=" 14:.+((SYSTEM_STATE.+slice.+state.+changed )|(ment ac)|(multiple cpu faults)|(system.+state.+changed )|(\[timeout)|(PRM\|1\|D)|(kpr)|(kdp)|(train st.+moving)|(\|lc)|(penalty))"</v>
      </c>
      <c r="AG39" s="245" t="str">
        <f t="shared" si="8"/>
        <v>EC</v>
      </c>
      <c r="AH39" s="237" t="str">
        <f t="shared" si="14"/>
        <v>"%USERPROFILE%\Documents\GitHub\eaglep3\Utilities\RefineRTDCRunTimes.py" --tripid 125-29 --locoid 4022 --swversion DE.1.0.9.0 --startMP 204:464 --initTime 2017-11-29T06:38:55 --startdatetime 2017-11-29T06:45:15 --delay 73 --endMP 204:233285 --enddatetime 2017-11-29T07:22:44 --enforcementcount 0 &gt;&gt;%USERPROFILE%\Documents\GitHub\eaglep3-reporting\EC\2017-11-29-refined-times.txt</v>
      </c>
      <c r="AI39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{"issue":{"subject":"","project_id":79,"tracker_id":40,"status_id":1,"priority_id":2,"assigned_to_id":338,"start_date":"2017-11-29","description":"","custom_fields":[{"id":1,"name":"Subdivision","value":"EC"},{"id":4,"name":"Milepost","value":"23.3285"},{"id":17,"name":"Train ID","value":"125-29"},{"id":16,"name":"Locomotive ID","value":"4022"},{"id":130,"name":"Impact","value":""},{"id":150,"name":"Time of Event (Mountain Time)","value":"07:22:44"},{"id":151,"name":"Denver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4"/>
      <c r="AK39" s="232"/>
      <c r="AL39" s="232"/>
      <c r="AM39" s="241" t="str">
        <f t="shared" si="16"/>
        <v>start /low /b %USERPROFILE%\Documents\GitHub\eaglep3\Utilities\DownloadLogsFromS3.py --loco 4022 --day 2017-11-29</v>
      </c>
      <c r="AN39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14:22:44"},{"id":29,"name":"Sharepoint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1" t="str">
        <f t="shared" si="18"/>
        <v>https://d0f6bd738d7f1b3e5a7ca70fe4ff75f0.us-east-1.aws.found.io/app/kibana#/discover/Steve-Slow-Train-Analysis-(2080s-and-2083s)?_g=(refreshInterval:(display:Off,pause:!f,section:0,value:0),time:(from:'2017-11-29T05:38:55-0700',mode:absolute,to:'2017-11-29T08:22:44-0700'))&amp;_a=(columns:!('Message%20ID',Summary),filters:!(),index:'emp_*',interval:auto,query:(query_string:(analyze_wildcard:!t,query:'%22rtdc.l.rtdc.4022%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230" t="s">
        <v>627</v>
      </c>
      <c r="B40" s="226">
        <v>4021</v>
      </c>
      <c r="C40" s="228" t="s">
        <v>192</v>
      </c>
      <c r="D40" s="228" t="s">
        <v>899</v>
      </c>
      <c r="E40" s="227">
        <v>43068.309687499997</v>
      </c>
      <c r="F40" s="227">
        <v>43068.32104166667</v>
      </c>
      <c r="G40" s="226">
        <v>101</v>
      </c>
      <c r="H40" s="228" t="s">
        <v>900</v>
      </c>
      <c r="I40" s="227">
        <v>43068.347569444442</v>
      </c>
      <c r="J40" s="226">
        <v>0</v>
      </c>
      <c r="K40" s="238" t="str">
        <f t="shared" si="0"/>
        <v>4021/4022</v>
      </c>
      <c r="L40" s="246" t="str">
        <f>VLOOKUP(A40,'Trips&amp;Operators'!$C$1:$G$99911,5,FALSE)</f>
        <v>NICHOLAS PLOYSA</v>
      </c>
      <c r="M40" s="225">
        <f t="shared" si="1"/>
        <v>2.6527777772571426E-2</v>
      </c>
      <c r="N40" s="226">
        <f t="shared" si="35"/>
        <v>38.199999992502853</v>
      </c>
      <c r="O40" s="226"/>
      <c r="P40" s="226"/>
      <c r="Q40" s="229"/>
      <c r="R40" s="243"/>
      <c r="S40" s="250">
        <f t="shared" si="27"/>
        <v>1</v>
      </c>
      <c r="T40" s="243" t="str">
        <f t="shared" si="2"/>
        <v>Southbound</v>
      </c>
      <c r="U40" s="24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9" t="str">
        <f t="shared" si="3"/>
        <v>https://d0f6bd738d7f1b3e5a7ca70fe4ff75f0.us-east-1.aws.found.io/app/kibana#/discover/Steve-Slow-Train-Analysis-(2080s-and-2083s)?_g=(refreshInterval:(display:Off,pause:!f,section:0,value:0),time:(from:'2017-11-29T06:25:57-0700',mode:absolute,to:'2017-11-29T09:20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0" s="248" t="str">
        <f>IF(AA40&lt;VLOOKUP(AG40,Variables!$AC$3:$AD$8,2,FALSE),"Y","N")</f>
        <v>N</v>
      </c>
      <c r="X40" s="248">
        <f t="shared" si="39"/>
        <v>1</v>
      </c>
      <c r="Y40" s="248">
        <f t="shared" si="37"/>
        <v>23.2974</v>
      </c>
      <c r="Z40" s="248">
        <f t="shared" si="38"/>
        <v>2.8299999999999999E-2</v>
      </c>
      <c r="AA40" s="248">
        <f t="shared" si="4"/>
        <v>23.269099999999998</v>
      </c>
      <c r="AB40" s="234" t="e">
        <f>VLOOKUP(A40,Enforcements!$C$7:$K$9,8,0)</f>
        <v>#N/A</v>
      </c>
      <c r="AC40" s="233" t="e">
        <f>VLOOKUP(A40,Enforcements!$C$7:$E$9,3,0)</f>
        <v>#N/A</v>
      </c>
      <c r="AD40" s="244">
        <f t="shared" si="5"/>
        <v>126</v>
      </c>
      <c r="AE40" s="236" t="str">
        <f t="shared" si="6"/>
        <v>aws s3 cp s3://rtdc.mdm.uploadarchive.raw/RTDC4021/ "%USERPROFILE%\AppData\Local\Temp\OnboardLogs"\RTDC4021\2017-11-29 --exclude "*" --recursive --include "*20171129*" &amp; "%USERPROFILE%\Documents\GitHub\mrs-test-scripts\Headless Mode &amp; Sideloading\WalkAndUnGZ.bat" "%USERPROFILE%\AppData\Local\Temp\OnboardLogs"\RTDC4021\2017-11-29 &amp; aws s3 cp s3://rtdc.mdm.uploadarchive.raw/RTDC4021/ "%USERPROFILE%\AppData\Local\Temp\OnboardLogs"\RTDC4021\2017-11-30 --exclude "*" --recursive --include "*20171130*" &amp; "%USERPROFILE%\Documents\GitHub\mrs-test-scripts\Headless Mode &amp; Sideloading\WalkAndUnGZ.bat" "%USERPROFILE%\AppData\Local\Temp\OnboardLogs"\RTDC4021\2017-11-30</v>
      </c>
      <c r="AF40" s="235" t="str">
        <f t="shared" si="7"/>
        <v>"C:\Program Files (x86)\AstroGrep\AstroGrep.exe" /e /r /s /spath="%USERPROFILE%\AppData\Local\Temp\OnboardLogs" /stypes="app*4021*20171129*" /stext=" 15:.+((SYSTEM_STATE.+slice.+state.+changed )|(ment ac)|(multiple cpu faults)|(system.+state.+changed )|(\[timeout)|(PRM\|1\|D)|(kpr)|(kdp)|(train st.+moving)|(\|lc)|(penalty))"</v>
      </c>
      <c r="AG40" s="245" t="str">
        <f t="shared" si="8"/>
        <v>EC</v>
      </c>
      <c r="AH40" s="237" t="str">
        <f t="shared" si="14"/>
        <v>"%USERPROFILE%\Documents\GitHub\eaglep3\Utilities\RefineRTDCRunTimes.py" --tripid 126-29 --locoid 4021 --swversion DE.1.0.9.0 --startMP 204:232974 --initTime 2017-11-29T07:25:57 --startdatetime 2017-11-29T07:42:18 --delay 101 --endMP 204:283 --enddatetime 2017-11-29T08:20:30 --enforcementcount 0 &gt;&gt;%USERPROFILE%\Documents\GitHub\eaglep3-reporting\EC\2017-11-29-refined-times.txt</v>
      </c>
      <c r="AI40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{"issue":{"subject":"","project_id":79,"tracker_id":40,"status_id":1,"priority_id":2,"assigned_to_id":338,"start_date":"2017-11-29","description":"","custom_fields":[{"id":1,"name":"Subdivision","value":"EC"},{"id":4,"name":"Milepost","value":"0.0283"},{"id":17,"name":"Train ID","value":"126-29"},{"id":16,"name":"Locomotive ID","value":"4021"},{"id":130,"name":"Impact","value":""},{"id":150,"name":"Time of Event (Mountain Time)","value":"08:20:30"},{"id":151,"name":"Denver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4"/>
      <c r="AK40" s="232"/>
      <c r="AL40" s="232"/>
      <c r="AM40" s="241" t="str">
        <f t="shared" si="16"/>
        <v>start /low /b %USERPROFILE%\Documents\GitHub\eaglep3\Utilities\DownloadLogsFromS3.py --loco 4021 --day 2017-11-29</v>
      </c>
      <c r="AN40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15:20:30"},{"id":29,"name":"Sharepoint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1" t="str">
        <f t="shared" si="18"/>
        <v>https://d0f6bd738d7f1b3e5a7ca70fe4ff75f0.us-east-1.aws.found.io/app/kibana#/discover/Steve-Slow-Train-Analysis-(2080s-and-2083s)?_g=(refreshInterval:(display:Off,pause:!f,section:0,value:0),time:(from:'2017-11-29T06:25:57-0700',mode:absolute,to:'2017-11-29T09:20:30-0700'))&amp;_a=(columns:!('Message%20ID',Summary),filters:!(),index:'emp_*',interval:auto,query:(query_string:(analyze_wildcard:!t,query:'%22rtdc.l.rtdc.4021%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230" t="s">
        <v>698</v>
      </c>
      <c r="B41" s="226">
        <v>4028</v>
      </c>
      <c r="C41" s="228" t="s">
        <v>192</v>
      </c>
      <c r="D41" s="228" t="s">
        <v>892</v>
      </c>
      <c r="E41" s="227">
        <v>43068.286643518521</v>
      </c>
      <c r="F41" s="227">
        <v>43068.291828703703</v>
      </c>
      <c r="G41" s="226">
        <v>58</v>
      </c>
      <c r="H41" s="228" t="s">
        <v>901</v>
      </c>
      <c r="I41" s="227">
        <v>43068.315763888888</v>
      </c>
      <c r="J41" s="226">
        <v>0</v>
      </c>
      <c r="K41" s="238" t="str">
        <f t="shared" si="0"/>
        <v>4027/4028</v>
      </c>
      <c r="L41" s="246" t="str">
        <f>VLOOKUP(A41,'Trips&amp;Operators'!$C$1:$G$99911,5,FALSE)</f>
        <v>YANAI IAN</v>
      </c>
      <c r="M41" s="225">
        <f t="shared" si="1"/>
        <v>2.3935185185109731E-2</v>
      </c>
      <c r="N41" s="226">
        <f t="shared" si="35"/>
        <v>34.466666666558012</v>
      </c>
      <c r="O41" s="226"/>
      <c r="P41" s="226"/>
      <c r="Q41" s="229"/>
      <c r="R41" s="243"/>
      <c r="S41" s="250">
        <f t="shared" si="27"/>
        <v>1</v>
      </c>
      <c r="T41" s="243" t="str">
        <f t="shared" si="2"/>
        <v>NorthBound</v>
      </c>
      <c r="U41" s="24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9" t="str">
        <f t="shared" si="3"/>
        <v>https://d0f6bd738d7f1b3e5a7ca70fe4ff75f0.us-east-1.aws.found.io/app/kibana#/discover/Steve-Slow-Train-Analysis-(2080s-and-2083s)?_g=(refreshInterval:(display:Off,pause:!f,section:0,value:0),time:(from:'2017-11-29T05:52:46-0700',mode:absolute,to:'2017-11-29T08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1" s="248" t="str">
        <f>IF(AA41&lt;VLOOKUP(AG41,Variables!$AC$3:$AD$8,2,FALSE),"Y","N")</f>
        <v>N</v>
      </c>
      <c r="X41" s="248">
        <f t="shared" si="39"/>
        <v>1</v>
      </c>
      <c r="Y41" s="248">
        <f t="shared" si="37"/>
        <v>4.5999999999999999E-2</v>
      </c>
      <c r="Z41" s="248">
        <f t="shared" si="38"/>
        <v>23.329699999999999</v>
      </c>
      <c r="AA41" s="248">
        <f t="shared" si="4"/>
        <v>23.2837</v>
      </c>
      <c r="AB41" s="234" t="e">
        <f>VLOOKUP(A41,Enforcements!$C$7:$K$9,8,0)</f>
        <v>#N/A</v>
      </c>
      <c r="AC41" s="233" t="e">
        <f>VLOOKUP(A41,Enforcements!$C$7:$E$9,3,0)</f>
        <v>#N/A</v>
      </c>
      <c r="AD41" s="244">
        <f t="shared" si="5"/>
        <v>127</v>
      </c>
      <c r="AE41" s="236" t="str">
        <f t="shared" si="6"/>
        <v>aws s3 cp s3://rtdc.mdm.uploadarchive.raw/RTDC4028/ "%USERPROFILE%\AppData\Local\Temp\OnboardLogs"\RTDC4028\2017-11-29 --exclude "*" --recursive --include "*20171129*" &amp; "%USERPROFILE%\Documents\GitHub\mrs-test-scripts\Headless Mode &amp; Sideloading\WalkAndUnGZ.bat" "%USERPROFILE%\AppData\Local\Temp\OnboardLogs"\RTDC4028\2017-11-29 &amp; aws s3 cp s3://rtdc.mdm.uploadarchive.raw/RTDC4028/ "%USERPROFILE%\AppData\Local\Temp\OnboardLogs"\RTDC4028\2017-11-30 --exclude "*" --recursive --include "*20171130*" &amp; "%USERPROFILE%\Documents\GitHub\mrs-test-scripts\Headless Mode &amp; Sideloading\WalkAndUnGZ.bat" "%USERPROFILE%\AppData\Local\Temp\OnboardLogs"\RTDC4028\2017-11-30</v>
      </c>
      <c r="AF41" s="235" t="str">
        <f t="shared" si="7"/>
        <v>"C:\Program Files (x86)\AstroGrep\AstroGrep.exe" /e /r /s /spath="%USERPROFILE%\AppData\Local\Temp\OnboardLogs" /stypes="app*4028*20171129*" /stext=" 14:.+((SYSTEM_STATE.+slice.+state.+changed )|(ment ac)|(multiple cpu faults)|(system.+state.+changed )|(\[timeout)|(PRM\|1\|D)|(kpr)|(kdp)|(train st.+moving)|(\|lc)|(penalty))"</v>
      </c>
      <c r="AG41" s="245" t="str">
        <f t="shared" si="8"/>
        <v>EC</v>
      </c>
      <c r="AH41" s="237" t="str">
        <f t="shared" si="14"/>
        <v>"%USERPROFILE%\Documents\GitHub\eaglep3\Utilities\RefineRTDCRunTimes.py" --tripid 127-29 --locoid 4028 --swversion DE.1.0.9.0 --startMP 204:460 --initTime 2017-11-29T06:52:46 --startdatetime 2017-11-29T07:00:14 --delay 58 --endMP 204:233297 --enddatetime 2017-11-29T07:34:42 --enforcementcount 0 &gt;&gt;%USERPROFILE%\Documents\GitHub\eaglep3-reporting\EC\2017-11-29-refined-times.txt</v>
      </c>
      <c r="AI41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{"issue":{"subject":"","project_id":79,"tracker_id":40,"status_id":1,"priority_id":2,"assigned_to_id":338,"start_date":"2017-11-29","description":"","custom_fields":[{"id":1,"name":"Subdivision","value":"EC"},{"id":4,"name":"Milepost","value":"23.3297"},{"id":17,"name":"Train ID","value":"127-29"},{"id":16,"name":"Locomotive ID","value":"4028"},{"id":130,"name":"Impact","value":""},{"id":150,"name":"Time of Event (Mountain Time)","value":"07:34:42"},{"id":151,"name":"Denver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4"/>
      <c r="AK41" s="232"/>
      <c r="AL41" s="232"/>
      <c r="AM41" s="241" t="str">
        <f t="shared" si="16"/>
        <v>start /low /b %USERPROFILE%\Documents\GitHub\eaglep3\Utilities\DownloadLogsFromS3.py --loco 4028 --day 2017-11-29</v>
      </c>
      <c r="AN41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14:34:42"},{"id":29,"name":"Sharepoint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1" t="str">
        <f t="shared" si="18"/>
        <v>https://d0f6bd738d7f1b3e5a7ca70fe4ff75f0.us-east-1.aws.found.io/app/kibana#/discover/Steve-Slow-Train-Analysis-(2080s-and-2083s)?_g=(refreshInterval:(display:Off,pause:!f,section:0,value:0),time:(from:'2017-11-29T05:52:46-0700',mode:absolute,to:'2017-11-29T08:34:42-0700'))&amp;_a=(columns:!('Message%20ID',Summary),filters:!(),index:'emp_*',interval:auto,query:(query_string:(analyze_wildcard:!t,query:'%22rtdc.l.rtdc.4028%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230" t="s">
        <v>704</v>
      </c>
      <c r="B42" s="226">
        <v>4027</v>
      </c>
      <c r="C42" s="228" t="s">
        <v>192</v>
      </c>
      <c r="D42" s="228" t="s">
        <v>467</v>
      </c>
      <c r="E42" s="227">
        <v>43068.316747685189</v>
      </c>
      <c r="F42" s="227">
        <v>43068.331435185188</v>
      </c>
      <c r="G42" s="226">
        <v>49</v>
      </c>
      <c r="H42" s="228" t="s">
        <v>902</v>
      </c>
      <c r="I42" s="227">
        <v>43068.357303240744</v>
      </c>
      <c r="J42" s="226">
        <v>0</v>
      </c>
      <c r="K42" s="238" t="str">
        <f t="shared" si="0"/>
        <v>4027/4028</v>
      </c>
      <c r="L42" s="246" t="str">
        <f>VLOOKUP(A42,'Trips&amp;Operators'!$C$1:$G$99911,5,FALSE)</f>
        <v>YANAI IAN</v>
      </c>
      <c r="M42" s="225">
        <f t="shared" si="1"/>
        <v>2.5868055556202307E-2</v>
      </c>
      <c r="N42" s="226">
        <f t="shared" si="35"/>
        <v>37.250000000931323</v>
      </c>
      <c r="O42" s="226"/>
      <c r="P42" s="226"/>
      <c r="Q42" s="229"/>
      <c r="R42" s="243"/>
      <c r="S42" s="250">
        <f t="shared" si="27"/>
        <v>1</v>
      </c>
      <c r="T42" s="243" t="str">
        <f t="shared" si="2"/>
        <v>Southbound</v>
      </c>
      <c r="U42" s="24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9" t="str">
        <f t="shared" si="3"/>
        <v>https://d0f6bd738d7f1b3e5a7ca70fe4ff75f0.us-east-1.aws.found.io/app/kibana#/discover/Steve-Slow-Train-Analysis-(2080s-and-2083s)?_g=(refreshInterval:(display:Off,pause:!f,section:0,value:0),time:(from:'2017-11-29T06:36:07-0700',mode:absolute,to:'2017-11-29T09:34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2" s="248" t="str">
        <f>IF(AA42&lt;VLOOKUP(AG42,Variables!$AC$3:$AD$8,2,FALSE),"Y","N")</f>
        <v>N</v>
      </c>
      <c r="X42" s="248">
        <f t="shared" si="39"/>
        <v>1</v>
      </c>
      <c r="Y42" s="248">
        <f t="shared" si="37"/>
        <v>23.297999999999998</v>
      </c>
      <c r="Z42" s="248">
        <f t="shared" si="38"/>
        <v>1.2999999999999999E-2</v>
      </c>
      <c r="AA42" s="248">
        <f t="shared" si="4"/>
        <v>23.284999999999997</v>
      </c>
      <c r="AB42" s="234" t="e">
        <f>VLOOKUP(A42,Enforcements!$C$7:$K$9,8,0)</f>
        <v>#N/A</v>
      </c>
      <c r="AC42" s="233" t="e">
        <f>VLOOKUP(A42,Enforcements!$C$7:$E$9,3,0)</f>
        <v>#N/A</v>
      </c>
      <c r="AD42" s="244">
        <f t="shared" si="5"/>
        <v>128</v>
      </c>
      <c r="AE42" s="236" t="str">
        <f t="shared" si="6"/>
        <v>aws s3 cp s3://rtdc.mdm.uploadarchive.raw/RTDC4027/ "%USERPROFILE%\AppData\Local\Temp\OnboardLogs"\RTDC4027\2017-11-29 --exclude "*" --recursive --include "*20171129*" &amp; "%USERPROFILE%\Documents\GitHub\mrs-test-scripts\Headless Mode &amp; Sideloading\WalkAndUnGZ.bat" "%USERPROFILE%\AppData\Local\Temp\OnboardLogs"\RTDC4027\2017-11-29 &amp; aws s3 cp s3://rtdc.mdm.uploadarchive.raw/RTDC4027/ "%USERPROFILE%\AppData\Local\Temp\OnboardLogs"\RTDC4027\2017-11-30 --exclude "*" --recursive --include "*20171130*" &amp; "%USERPROFILE%\Documents\GitHub\mrs-test-scripts\Headless Mode &amp; Sideloading\WalkAndUnGZ.bat" "%USERPROFILE%\AppData\Local\Temp\OnboardLogs"\RTDC4027\2017-11-30</v>
      </c>
      <c r="AF42" s="235" t="str">
        <f t="shared" si="7"/>
        <v>"C:\Program Files (x86)\AstroGrep\AstroGrep.exe" /e /r /s /spath="%USERPROFILE%\AppData\Local\Temp\OnboardLogs" /stypes="app*4027*20171129*" /stext=" 15:.+((SYSTEM_STATE.+slice.+state.+changed )|(ment ac)|(multiple cpu faults)|(system.+state.+changed )|(\[timeout)|(PRM\|1\|D)|(kpr)|(kdp)|(train st.+moving)|(\|lc)|(penalty))"</v>
      </c>
      <c r="AG42" s="245" t="str">
        <f t="shared" si="8"/>
        <v>EC</v>
      </c>
      <c r="AH42" s="237" t="str">
        <f t="shared" si="14"/>
        <v>"%USERPROFILE%\Documents\GitHub\eaglep3\Utilities\RefineRTDCRunTimes.py" --tripid 128-29 --locoid 4027 --swversion DE.1.0.9.0 --startMP 204:232980 --initTime 2017-11-29T07:36:07 --startdatetime 2017-11-29T07:57:16 --delay 49 --endMP 204:130 --enddatetime 2017-11-29T08:34:31 --enforcementcount 0 &gt;&gt;%USERPROFILE%\Documents\GitHub\eaglep3-reporting\EC\2017-11-29-refined-times.txt</v>
      </c>
      <c r="AI42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{"issue":{"subject":"","project_id":79,"tracker_id":40,"status_id":1,"priority_id":2,"assigned_to_id":338,"start_date":"2017-11-29","description":"","custom_fields":[{"id":1,"name":"Subdivision","value":"EC"},{"id":4,"name":"Milepost","value":"0.013"},{"id":17,"name":"Train ID","value":"128-29"},{"id":16,"name":"Locomotive ID","value":"4027"},{"id":130,"name":"Impact","value":""},{"id":150,"name":"Time of Event (Mountain Time)","value":"08:34:31"},{"id":151,"name":"Denver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4"/>
      <c r="AK42" s="232"/>
      <c r="AL42" s="232"/>
      <c r="AM42" s="241" t="str">
        <f t="shared" si="16"/>
        <v>start /low /b %USERPROFILE%\Documents\GitHub\eaglep3\Utilities\DownloadLogsFromS3.py --loco 4027 --day 2017-11-29</v>
      </c>
      <c r="AN42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15:34:31"},{"id":29,"name":"Sharepoint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1" t="str">
        <f t="shared" si="18"/>
        <v>https://d0f6bd738d7f1b3e5a7ca70fe4ff75f0.us-east-1.aws.found.io/app/kibana#/discover/Steve-Slow-Train-Analysis-(2080s-and-2083s)?_g=(refreshInterval:(display:Off,pause:!f,section:0,value:0),time:(from:'2017-11-29T06:36:07-0700',mode:absolute,to:'2017-11-29T09:34:31-0700'))&amp;_a=(columns:!('Message%20ID',Summary),filters:!(),index:'emp_*',interval:auto,query:(query_string:(analyze_wildcard:!t,query:'%22rtdc.l.rtdc.4027%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230" t="s">
        <v>623</v>
      </c>
      <c r="B43" s="226">
        <v>4026</v>
      </c>
      <c r="C43" s="228" t="s">
        <v>192</v>
      </c>
      <c r="D43" s="228" t="s">
        <v>903</v>
      </c>
      <c r="E43" s="227">
        <v>43068.299768518518</v>
      </c>
      <c r="F43" s="227">
        <v>43068.30327546296</v>
      </c>
      <c r="G43" s="226">
        <v>76</v>
      </c>
      <c r="H43" s="228" t="s">
        <v>575</v>
      </c>
      <c r="I43" s="227">
        <v>43068.328321759262</v>
      </c>
      <c r="J43" s="226">
        <v>0</v>
      </c>
      <c r="K43" s="238" t="str">
        <f t="shared" si="0"/>
        <v>4025/4026</v>
      </c>
      <c r="L43" s="246" t="str">
        <f>VLOOKUP(A43,'Trips&amp;Operators'!$C$1:$G$99911,5,FALSE)</f>
        <v>THOMPSON LESTER</v>
      </c>
      <c r="M43" s="225">
        <f t="shared" si="1"/>
        <v>2.5046296301297843E-2</v>
      </c>
      <c r="N43" s="226">
        <f t="shared" si="35"/>
        <v>36.066666673868895</v>
      </c>
      <c r="O43" s="226"/>
      <c r="P43" s="226"/>
      <c r="Q43" s="229"/>
      <c r="R43" s="243"/>
      <c r="S43" s="250">
        <f t="shared" si="27"/>
        <v>1</v>
      </c>
      <c r="T43" s="243" t="str">
        <f t="shared" si="2"/>
        <v>NorthBound</v>
      </c>
      <c r="U43" s="24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9" t="str">
        <f t="shared" si="3"/>
        <v>https://d0f6bd738d7f1b3e5a7ca70fe4ff75f0.us-east-1.aws.found.io/app/kibana#/discover/Steve-Slow-Train-Analysis-(2080s-and-2083s)?_g=(refreshInterval:(display:Off,pause:!f,section:0,value:0),time:(from:'2017-11-29T06:11:40-0700',mode:absolute,to:'2017-11-29T08:52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3" s="248" t="str">
        <f>IF(AA43&lt;VLOOKUP(AG43,Variables!$AC$3:$AD$8,2,FALSE),"Y","N")</f>
        <v>N</v>
      </c>
      <c r="X43" s="248">
        <f t="shared" si="39"/>
        <v>1</v>
      </c>
      <c r="Y43" s="248">
        <f t="shared" si="37"/>
        <v>0.18260000000000001</v>
      </c>
      <c r="Z43" s="248">
        <f t="shared" si="38"/>
        <v>23.325700000000001</v>
      </c>
      <c r="AA43" s="248">
        <f t="shared" si="4"/>
        <v>23.1431</v>
      </c>
      <c r="AB43" s="234" t="e">
        <f>VLOOKUP(A43,Enforcements!$C$7:$K$9,8,0)</f>
        <v>#N/A</v>
      </c>
      <c r="AC43" s="233" t="e">
        <f>VLOOKUP(A43,Enforcements!$C$7:$E$9,3,0)</f>
        <v>#N/A</v>
      </c>
      <c r="AD43" s="244">
        <f t="shared" si="5"/>
        <v>129</v>
      </c>
      <c r="AE43" s="236" t="str">
        <f t="shared" si="6"/>
        <v>aws s3 cp s3://rtdc.mdm.uploadarchive.raw/RTDC4026/ "%USERPROFILE%\AppData\Local\Temp\OnboardLogs"\RTDC4026\2017-11-29 --exclude "*" --recursive --include "*20171129*" &amp; "%USERPROFILE%\Documents\GitHub\mrs-test-scripts\Headless Mode &amp; Sideloading\WalkAndUnGZ.bat" "%USERPROFILE%\AppData\Local\Temp\OnboardLogs"\RTDC4026\2017-11-29 &amp; aws s3 cp s3://rtdc.mdm.uploadarchive.raw/RTDC4026/ "%USERPROFILE%\AppData\Local\Temp\OnboardLogs"\RTDC4026\2017-11-30 --exclude "*" --recursive --include "*20171130*" &amp; "%USERPROFILE%\Documents\GitHub\mrs-test-scripts\Headless Mode &amp; Sideloading\WalkAndUnGZ.bat" "%USERPROFILE%\AppData\Local\Temp\OnboardLogs"\RTDC4026\2017-11-30</v>
      </c>
      <c r="AF43" s="235" t="str">
        <f t="shared" si="7"/>
        <v>"C:\Program Files (x86)\AstroGrep\AstroGrep.exe" /e /r /s /spath="%USERPROFILE%\AppData\Local\Temp\OnboardLogs" /stypes="app*4026*20171129*" /stext=" 14:.+((SYSTEM_STATE.+slice.+state.+changed )|(ment ac)|(multiple cpu faults)|(system.+state.+changed )|(\[timeout)|(PRM\|1\|D)|(kpr)|(kdp)|(train st.+moving)|(\|lc)|(penalty))"</v>
      </c>
      <c r="AG43" s="245" t="str">
        <f t="shared" si="8"/>
        <v>EC</v>
      </c>
      <c r="AH43" s="237" t="str">
        <f t="shared" si="14"/>
        <v>"%USERPROFILE%\Documents\GitHub\eaglep3\Utilities\RefineRTDCRunTimes.py" --tripid 129-29 --locoid 4026 --swversion DE.1.0.9.0 --startMP 204:1826 --initTime 2017-11-29T07:11:40 --startdatetime 2017-11-29T07:16:43 --delay 76 --endMP 204:233257 --enddatetime 2017-11-29T07:52:47 --enforcementcount 0 &gt;&gt;%USERPROFILE%\Documents\GitHub\eaglep3-reporting\EC\2017-11-29-refined-times.txt</v>
      </c>
      <c r="AI43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{"issue":{"subject":"","project_id":79,"tracker_id":40,"status_id":1,"priority_id":2,"assigned_to_id":338,"start_date":"2017-11-29","description":"","custom_fields":[{"id":1,"name":"Subdivision","value":"EC"},{"id":4,"name":"Milepost","value":"23.3257"},{"id":17,"name":"Train ID","value":"129-29"},{"id":16,"name":"Locomotive ID","value":"4026"},{"id":130,"name":"Impact","value":""},{"id":150,"name":"Time of Event (Mountain Time)","value":"07:52:47"},{"id":151,"name":"Denver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4"/>
      <c r="AK43" s="232"/>
      <c r="AL43" s="232"/>
      <c r="AM43" s="241" t="str">
        <f t="shared" si="16"/>
        <v>start /low /b %USERPROFILE%\Documents\GitHub\eaglep3\Utilities\DownloadLogsFromS3.py --loco 4026 --day 2017-11-29</v>
      </c>
      <c r="AN43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14:52:47"},{"id":29,"name":"Sharepoint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1" t="str">
        <f t="shared" si="18"/>
        <v>https://d0f6bd738d7f1b3e5a7ca70fe4ff75f0.us-east-1.aws.found.io/app/kibana#/discover/Steve-Slow-Train-Analysis-(2080s-and-2083s)?_g=(refreshInterval:(display:Off,pause:!f,section:0,value:0),time:(from:'2017-11-29T06:11:40-0700',mode:absolute,to:'2017-11-29T08:52:47-0700'))&amp;_a=(columns:!('Message%20ID',Summary),filters:!(),index:'emp_*',interval:auto,query:(query_string:(analyze_wildcard:!t,query:'%22rtdc.l.rtdc.4026%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230" t="s">
        <v>710</v>
      </c>
      <c r="B44" s="226">
        <v>4025</v>
      </c>
      <c r="C44" s="228" t="s">
        <v>192</v>
      </c>
      <c r="D44" s="228" t="s">
        <v>904</v>
      </c>
      <c r="E44" s="227">
        <v>43068.340277777781</v>
      </c>
      <c r="F44" s="227">
        <v>43068.341932870368</v>
      </c>
      <c r="G44" s="226">
        <v>57</v>
      </c>
      <c r="H44" s="228" t="s">
        <v>457</v>
      </c>
      <c r="I44" s="227">
        <v>43068.368703703702</v>
      </c>
      <c r="J44" s="226">
        <v>0</v>
      </c>
      <c r="K44" s="238" t="str">
        <f t="shared" si="0"/>
        <v>4025/4026</v>
      </c>
      <c r="L44" s="246" t="str">
        <f>VLOOKUP(A44,'Trips&amp;Operators'!$C$1:$G$99911,5,FALSE)</f>
        <v>THOMPSON LESTER</v>
      </c>
      <c r="M44" s="225">
        <f t="shared" si="1"/>
        <v>2.6770833334012423E-2</v>
      </c>
      <c r="N44" s="226">
        <f t="shared" si="35"/>
        <v>38.550000000977889</v>
      </c>
      <c r="O44" s="226"/>
      <c r="P44" s="226"/>
      <c r="Q44" s="229"/>
      <c r="R44" s="243"/>
      <c r="S44" s="250">
        <f t="shared" si="27"/>
        <v>1</v>
      </c>
      <c r="T44" s="243" t="str">
        <f t="shared" si="2"/>
        <v>Southbound</v>
      </c>
      <c r="U44" s="24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9" t="str">
        <f t="shared" si="3"/>
        <v>https://d0f6bd738d7f1b3e5a7ca70fe4ff75f0.us-east-1.aws.found.io/app/kibana#/discover/Steve-Slow-Train-Analysis-(2080s-and-2083s)?_g=(refreshInterval:(display:Off,pause:!f,section:0,value:0),time:(from:'2017-11-29T07:10:00-0700',mode:absolute,to:'2017-11-29T09:50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4" s="248" t="str">
        <f>IF(AA44&lt;VLOOKUP(AG44,Variables!$AC$3:$AD$8,2,FALSE),"Y","N")</f>
        <v>N</v>
      </c>
      <c r="X44" s="248">
        <f t="shared" si="39"/>
        <v>1</v>
      </c>
      <c r="Y44" s="248">
        <f t="shared" si="37"/>
        <v>23.294699999999999</v>
      </c>
      <c r="Z44" s="248">
        <f t="shared" si="38"/>
        <v>2.0500000000000001E-2</v>
      </c>
      <c r="AA44" s="248">
        <f t="shared" si="4"/>
        <v>23.2742</v>
      </c>
      <c r="AB44" s="234" t="e">
        <f>VLOOKUP(A44,Enforcements!$C$7:$K$9,8,0)</f>
        <v>#N/A</v>
      </c>
      <c r="AC44" s="233" t="e">
        <f>VLOOKUP(A44,Enforcements!$C$7:$E$9,3,0)</f>
        <v>#N/A</v>
      </c>
      <c r="AD44" s="244">
        <f t="shared" si="5"/>
        <v>130</v>
      </c>
      <c r="AE44" s="236" t="str">
        <f t="shared" si="6"/>
        <v>aws s3 cp s3://rtdc.mdm.uploadarchive.raw/RTDC4025/ "%USERPROFILE%\AppData\Local\Temp\OnboardLogs"\RTDC4025\2017-11-29 --exclude "*" --recursive --include "*20171129*" &amp; "%USERPROFILE%\Documents\GitHub\mrs-test-scripts\Headless Mode &amp; Sideloading\WalkAndUnGZ.bat" "%USERPROFILE%\AppData\Local\Temp\OnboardLogs"\RTDC4025\2017-11-29 &amp; aws s3 cp s3://rtdc.mdm.uploadarchive.raw/RTDC4025/ "%USERPROFILE%\AppData\Local\Temp\OnboardLogs"\RTDC4025\2017-11-30 --exclude "*" --recursive --include "*20171130*" &amp; "%USERPROFILE%\Documents\GitHub\mrs-test-scripts\Headless Mode &amp; Sideloading\WalkAndUnGZ.bat" "%USERPROFILE%\AppData\Local\Temp\OnboardLogs"\RTDC4025\2017-11-30</v>
      </c>
      <c r="AF44" s="235" t="str">
        <f t="shared" si="7"/>
        <v>"C:\Program Files (x86)\AstroGrep\AstroGrep.exe" /e /r /s /spath="%USERPROFILE%\AppData\Local\Temp\OnboardLogs" /stypes="app*4025*20171129*" /stext=" 15:.+((SYSTEM_STATE.+slice.+state.+changed )|(ment ac)|(multiple cpu faults)|(system.+state.+changed )|(\[timeout)|(PRM\|1\|D)|(kpr)|(kdp)|(train st.+moving)|(\|lc)|(penalty))"</v>
      </c>
      <c r="AG44" s="245" t="str">
        <f t="shared" si="8"/>
        <v>EC</v>
      </c>
      <c r="AH44" s="237" t="str">
        <f t="shared" si="14"/>
        <v>"%USERPROFILE%\Documents\GitHub\eaglep3\Utilities\RefineRTDCRunTimes.py" --tripid 130-29 --locoid 4025 --swversion DE.1.0.9.0 --startMP 204:232947 --initTime 2017-11-29T08:10:00 --startdatetime 2017-11-29T08:12:23 --delay 57 --endMP 204:205 --enddatetime 2017-11-29T08:50:56 --enforcementcount 0 &gt;&gt;%USERPROFILE%\Documents\GitHub\eaglep3-reporting\EC\2017-11-29-refined-times.txt</v>
      </c>
      <c r="AI44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{"issue":{"subject":"","project_id":79,"tracker_id":40,"status_id":1,"priority_id":2,"assigned_to_id":338,"start_date":"2017-11-29","description":"","custom_fields":[{"id":1,"name":"Subdivision","value":"EC"},{"id":4,"name":"Milepost","value":"0.0205"},{"id":17,"name":"Train ID","value":"130-29"},{"id":16,"name":"Locomotive ID","value":"4025"},{"id":130,"name":"Impact","value":""},{"id":150,"name":"Time of Event (Mountain Time)","value":"08:50:56"},{"id":151,"name":"Denver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4"/>
      <c r="AK44" s="232"/>
      <c r="AL44" s="232"/>
      <c r="AM44" s="241" t="str">
        <f t="shared" si="16"/>
        <v>start /low /b %USERPROFILE%\Documents\GitHub\eaglep3\Utilities\DownloadLogsFromS3.py --loco 4025 --day 2017-11-29</v>
      </c>
      <c r="AN44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15:50:56"},{"id":29,"name":"Sharepoint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1" t="str">
        <f t="shared" si="18"/>
        <v>https://d0f6bd738d7f1b3e5a7ca70fe4ff75f0.us-east-1.aws.found.io/app/kibana#/discover/Steve-Slow-Train-Analysis-(2080s-and-2083s)?_g=(refreshInterval:(display:Off,pause:!f,section:0,value:0),time:(from:'2017-11-29T07:10:00-0700',mode:absolute,to:'2017-11-29T09:50:56-0700'))&amp;_a=(columns:!('Message%20ID',Summary),filters:!(),index:'emp_*',interval:auto,query:(query_string:(analyze_wildcard:!t,query:'%22rtdc.l.rtdc.4025%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230" t="s">
        <v>703</v>
      </c>
      <c r="B45" s="226">
        <v>4020</v>
      </c>
      <c r="C45" s="228" t="s">
        <v>192</v>
      </c>
      <c r="D45" s="228" t="s">
        <v>905</v>
      </c>
      <c r="E45" s="227">
        <v>43068.307025462964</v>
      </c>
      <c r="F45" s="227">
        <v>43068.312662037039</v>
      </c>
      <c r="G45" s="226">
        <v>50</v>
      </c>
      <c r="H45" s="228" t="s">
        <v>906</v>
      </c>
      <c r="I45" s="227">
        <v>43068.336828703701</v>
      </c>
      <c r="J45" s="226">
        <v>0</v>
      </c>
      <c r="K45" s="238" t="str">
        <f t="shared" ref="K45:K76" si="40">IF(ISEVEN(B45),(B45-1)&amp;"/"&amp;B45,B45&amp;"/"&amp;(B45+1))</f>
        <v>4019/4020</v>
      </c>
      <c r="L45" s="246" t="str">
        <f>VLOOKUP(A45,'Trips&amp;Operators'!$C$1:$G$99911,5,FALSE)</f>
        <v>FORTUNATO FRANK</v>
      </c>
      <c r="M45" s="225">
        <f t="shared" ref="M45:M76" si="41">I45-F45</f>
        <v>2.4166666662495118E-2</v>
      </c>
      <c r="N45" s="226">
        <f t="shared" si="35"/>
        <v>34.799999993992969</v>
      </c>
      <c r="O45" s="226"/>
      <c r="P45" s="226"/>
      <c r="Q45" s="229"/>
      <c r="R45" s="243"/>
      <c r="S45" s="250">
        <f t="shared" si="27"/>
        <v>1</v>
      </c>
      <c r="T45" s="243" t="str">
        <f t="shared" ref="T45:T76" si="42">IF(ISEVEN(LEFT(AD45,4)),"Southbound","NorthBound")</f>
        <v>NorthBound</v>
      </c>
      <c r="U45" s="24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9" t="str">
        <f t="shared" si="3"/>
        <v>https://d0f6bd738d7f1b3e5a7ca70fe4ff75f0.us-east-1.aws.found.io/app/kibana#/discover/Steve-Slow-Train-Analysis-(2080s-and-2083s)?_g=(refreshInterval:(display:Off,pause:!f,section:0,value:0),time:(from:'2017-11-29T06:22:07-0700',mode:absolute,to:'2017-11-29T09:05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5" s="248" t="str">
        <f>IF(AA45&lt;VLOOKUP(AG45,Variables!$AC$3:$AD$8,2,FALSE),"Y","N")</f>
        <v>N</v>
      </c>
      <c r="X45" s="248">
        <f t="shared" si="39"/>
        <v>1</v>
      </c>
      <c r="Y45" s="248">
        <f t="shared" si="37"/>
        <v>5.1299999999999998E-2</v>
      </c>
      <c r="Z45" s="248">
        <f t="shared" si="38"/>
        <v>23.317599999999999</v>
      </c>
      <c r="AA45" s="248">
        <f t="shared" ref="AA45:AA76" si="43">ABS(Z45-Y45)</f>
        <v>23.266299999999998</v>
      </c>
      <c r="AB45" s="234" t="e">
        <f>VLOOKUP(A45,Enforcements!$C$7:$K$9,8,0)</f>
        <v>#N/A</v>
      </c>
      <c r="AC45" s="233" t="e">
        <f>VLOOKUP(A45,Enforcements!$C$7:$E$9,3,0)</f>
        <v>#N/A</v>
      </c>
      <c r="AD45" s="244">
        <f t="shared" ref="AD45:AD76" si="44">VALUE(LEFT(A45,LEN(A45)-3))</f>
        <v>131</v>
      </c>
      <c r="AE45" s="236" t="str">
        <f t="shared" si="6"/>
        <v>aws s3 cp s3://rtdc.mdm.uploadarchive.raw/RTDC4020/ "%USERPROFILE%\AppData\Local\Temp\OnboardLogs"\RTDC4020\2017-11-29 --exclude "*" --recursive --include "*20171129*" &amp; "%USERPROFILE%\Documents\GitHub\mrs-test-scripts\Headless Mode &amp; Sideloading\WalkAndUnGZ.bat" "%USERPROFILE%\AppData\Local\Temp\OnboardLogs"\RTDC4020\2017-11-29 &amp; aws s3 cp s3://rtdc.mdm.uploadarchive.raw/RTDC4020/ "%USERPROFILE%\AppData\Local\Temp\OnboardLogs"\RTDC4020\2017-11-30 --exclude "*" --recursive --include "*20171130*" &amp; "%USERPROFILE%\Documents\GitHub\mrs-test-scripts\Headless Mode &amp; Sideloading\WalkAndUnGZ.bat" "%USERPROFILE%\AppData\Local\Temp\OnboardLogs"\RTDC4020\2017-11-30</v>
      </c>
      <c r="AF45" s="235" t="str">
        <f t="shared" si="7"/>
        <v>"C:\Program Files (x86)\AstroGrep\AstroGrep.exe" /e /r /s /spath="%USERPROFILE%\AppData\Local\Temp\OnboardLogs" /stypes="app*4020*20171129*" /stext=" 15:.+((SYSTEM_STATE.+slice.+state.+changed )|(ment ac)|(multiple cpu faults)|(system.+state.+changed )|(\[timeout)|(PRM\|1\|D)|(kpr)|(kdp)|(train st.+moving)|(\|lc)|(penalty))"</v>
      </c>
      <c r="AG45" s="245" t="str">
        <f t="shared" ref="AG45:AG76" si="45">DetSubdiv(A45)</f>
        <v>EC</v>
      </c>
      <c r="AH45" s="237" t="str">
        <f t="shared" si="14"/>
        <v>"%USERPROFILE%\Documents\GitHub\eaglep3\Utilities\RefineRTDCRunTimes.py" --tripid 131-29 --locoid 4020 --swversion DE.1.0.9.0 --startMP 204:513 --initTime 2017-11-29T07:22:07 --startdatetime 2017-11-29T07:30:14 --delay 50 --endMP 204:233176 --enddatetime 2017-11-29T08:05:02 --enforcementcount 0 &gt;&gt;%USERPROFILE%\Documents\GitHub\eaglep3-reporting\EC\2017-11-29-refined-times.txt</v>
      </c>
      <c r="AI45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{"issue":{"subject":"","project_id":79,"tracker_id":40,"status_id":1,"priority_id":2,"assigned_to_id":338,"start_date":"2017-11-29","description":"","custom_fields":[{"id":1,"name":"Subdivision","value":"EC"},{"id":4,"name":"Milepost","value":"23.3176"},{"id":17,"name":"Train ID","value":"131-29"},{"id":16,"name":"Locomotive ID","value":"4020"},{"id":130,"name":"Impact","value":""},{"id":150,"name":"Time of Event (Mountain Time)","value":"08:05:02"},{"id":151,"name":"Denver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4"/>
      <c r="AK45" s="232"/>
      <c r="AL45" s="232"/>
      <c r="AM45" s="241" t="str">
        <f t="shared" si="16"/>
        <v>start /low /b %USERPROFILE%\Documents\GitHub\eaglep3\Utilities\DownloadLogsFromS3.py --loco 4020 --day 2017-11-29</v>
      </c>
      <c r="AN45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15:05:02"},{"id":29,"name":"Sharepoint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1" t="str">
        <f t="shared" si="18"/>
        <v>https://d0f6bd738d7f1b3e5a7ca70fe4ff75f0.us-east-1.aws.found.io/app/kibana#/discover/Steve-Slow-Train-Analysis-(2080s-and-2083s)?_g=(refreshInterval:(display:Off,pause:!f,section:0,value:0),time:(from:'2017-11-29T06:22:07-0700',mode:absolute,to:'2017-11-29T09:05:02-0700'))&amp;_a=(columns:!('Message%20ID',Summary),filters:!(),index:'emp_*',interval:auto,query:(query_string:(analyze_wildcard:!t,query:'%22rtdc.l.rtdc.4020%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230" t="s">
        <v>709</v>
      </c>
      <c r="B46" s="226">
        <v>4019</v>
      </c>
      <c r="C46" s="228" t="s">
        <v>192</v>
      </c>
      <c r="D46" s="228" t="s">
        <v>907</v>
      </c>
      <c r="E46" s="227">
        <v>43068.338784722226</v>
      </c>
      <c r="F46" s="227">
        <v>43068.352303240739</v>
      </c>
      <c r="G46" s="226">
        <v>53</v>
      </c>
      <c r="H46" s="228" t="s">
        <v>458</v>
      </c>
      <c r="I46" s="227">
        <v>43068.37835648148</v>
      </c>
      <c r="J46" s="226">
        <v>0</v>
      </c>
      <c r="K46" s="238" t="str">
        <f t="shared" si="40"/>
        <v>4019/4020</v>
      </c>
      <c r="L46" s="246" t="str">
        <f>VLOOKUP(A46,'Trips&amp;Operators'!$C$1:$G$99911,5,FALSE)</f>
        <v>FORTUNATO FRANK</v>
      </c>
      <c r="M46" s="225">
        <f t="shared" si="41"/>
        <v>2.6053240741021E-2</v>
      </c>
      <c r="N46" s="226">
        <f t="shared" si="35"/>
        <v>37.51666666707024</v>
      </c>
      <c r="O46" s="226"/>
      <c r="P46" s="226"/>
      <c r="Q46" s="229"/>
      <c r="R46" s="243"/>
      <c r="S46" s="250">
        <f t="shared" si="27"/>
        <v>1</v>
      </c>
      <c r="T46" s="243" t="str">
        <f t="shared" si="42"/>
        <v>Southbound</v>
      </c>
      <c r="U46" s="24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9" t="str">
        <f t="shared" si="3"/>
        <v>https://d0f6bd738d7f1b3e5a7ca70fe4ff75f0.us-east-1.aws.found.io/app/kibana#/discover/Steve-Slow-Train-Analysis-(2080s-and-2083s)?_g=(refreshInterval:(display:Off,pause:!f,section:0,value:0),time:(from:'2017-11-29T07:07:51-0700',mode:absolute,to:'2017-11-29T10:04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6" s="248" t="str">
        <f>IF(AA46&lt;VLOOKUP(AG46,Variables!$AC$3:$AD$8,2,FALSE),"Y","N")</f>
        <v>N</v>
      </c>
      <c r="X46" s="248">
        <f t="shared" si="39"/>
        <v>1</v>
      </c>
      <c r="Y46" s="248">
        <f t="shared" si="37"/>
        <v>23.286899999999999</v>
      </c>
      <c r="Z46" s="248">
        <f t="shared" si="38"/>
        <v>2.23E-2</v>
      </c>
      <c r="AA46" s="248">
        <f t="shared" si="43"/>
        <v>23.264599999999998</v>
      </c>
      <c r="AB46" s="234" t="e">
        <f>VLOOKUP(A46,Enforcements!$C$7:$K$9,8,0)</f>
        <v>#N/A</v>
      </c>
      <c r="AC46" s="233" t="e">
        <f>VLOOKUP(A46,Enforcements!$C$7:$E$9,3,0)</f>
        <v>#N/A</v>
      </c>
      <c r="AD46" s="244">
        <f t="shared" si="44"/>
        <v>132</v>
      </c>
      <c r="AE46" s="236" t="str">
        <f t="shared" si="6"/>
        <v>aws s3 cp s3://rtdc.mdm.uploadarchive.raw/RTDC4019/ "%USERPROFILE%\AppData\Local\Temp\OnboardLogs"\RTDC4019\2017-11-29 --exclude "*" --recursive --include "*20171129*" &amp; "%USERPROFILE%\Documents\GitHub\mrs-test-scripts\Headless Mode &amp; Sideloading\WalkAndUnGZ.bat" "%USERPROFILE%\AppData\Local\Temp\OnboardLogs"\RTDC4019\2017-11-29 &amp; aws s3 cp s3://rtdc.mdm.uploadarchive.raw/RTDC4019/ "%USERPROFILE%\AppData\Local\Temp\OnboardLogs"\RTDC4019\2017-11-30 --exclude "*" --recursive --include "*20171130*" &amp; "%USERPROFILE%\Documents\GitHub\mrs-test-scripts\Headless Mode &amp; Sideloading\WalkAndUnGZ.bat" "%USERPROFILE%\AppData\Local\Temp\OnboardLogs"\RTDC4019\2017-11-30</v>
      </c>
      <c r="AF46" s="235" t="str">
        <f t="shared" si="7"/>
        <v>"C:\Program Files (x86)\AstroGrep\AstroGrep.exe" /e /r /s /spath="%USERPROFILE%\AppData\Local\Temp\OnboardLogs" /stypes="app*4019*20171129*" /stext=" 16:.+((SYSTEM_STATE.+slice.+state.+changed )|(ment ac)|(multiple cpu faults)|(system.+state.+changed )|(\[timeout)|(PRM\|1\|D)|(kpr)|(kdp)|(train st.+moving)|(\|lc)|(penalty))"</v>
      </c>
      <c r="AG46" s="245" t="str">
        <f t="shared" si="45"/>
        <v>EC</v>
      </c>
      <c r="AH46" s="237" t="str">
        <f t="shared" si="14"/>
        <v>"%USERPROFILE%\Documents\GitHub\eaglep3\Utilities\RefineRTDCRunTimes.py" --tripid 132-29 --locoid 4019 --swversion DE.1.0.9.0 --startMP 204:232869 --initTime 2017-11-29T08:07:51 --startdatetime 2017-11-29T08:27:19 --delay 53 --endMP 204:223 --enddatetime 2017-11-29T09:04:50 --enforcementcount 0 &gt;&gt;%USERPROFILE%\Documents\GitHub\eaglep3-reporting\EC\2017-11-29-refined-times.txt</v>
      </c>
      <c r="AI46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{"issue":{"subject":"","project_id":79,"tracker_id":40,"status_id":1,"priority_id":2,"assigned_to_id":338,"start_date":"2017-11-29","description":"","custom_fields":[{"id":1,"name":"Subdivision","value":"EC"},{"id":4,"name":"Milepost","value":"0.0223"},{"id":17,"name":"Train ID","value":"132-29"},{"id":16,"name":"Locomotive ID","value":"4019"},{"id":130,"name":"Impact","value":""},{"id":150,"name":"Time of Event (Mountain Time)","value":"09:04:50"},{"id":151,"name":"Denver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4"/>
      <c r="AK46" s="232"/>
      <c r="AL46" s="232"/>
      <c r="AM46" s="241" t="str">
        <f t="shared" si="16"/>
        <v>start /low /b %USERPROFILE%\Documents\GitHub\eaglep3\Utilities\DownloadLogsFromS3.py --loco 4019 --day 2017-11-29</v>
      </c>
      <c r="AN46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16:04:50"},{"id":29,"name":"Sharepoint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1" t="str">
        <f t="shared" si="18"/>
        <v>https://d0f6bd738d7f1b3e5a7ca70fe4ff75f0.us-east-1.aws.found.io/app/kibana#/discover/Steve-Slow-Train-Analysis-(2080s-and-2083s)?_g=(refreshInterval:(display:Off,pause:!f,section:0,value:0),time:(from:'2017-11-29T07:07:51-0700',mode:absolute,to:'2017-11-29T10:04:50-0700'))&amp;_a=(columns:!('Message%20ID',Summary),filters:!(),index:'emp_*',interval:auto,query:(query_string:(analyze_wildcard:!t,query:'%22rtdc.l.rtdc.4019%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230" t="s">
        <v>705</v>
      </c>
      <c r="B47" s="226">
        <v>4002</v>
      </c>
      <c r="C47" s="228" t="s">
        <v>192</v>
      </c>
      <c r="D47" s="228" t="s">
        <v>439</v>
      </c>
      <c r="E47" s="227">
        <v>43068.317013888889</v>
      </c>
      <c r="F47" s="227">
        <v>43068.323101851849</v>
      </c>
      <c r="G47" s="226">
        <v>68</v>
      </c>
      <c r="H47" s="228" t="s">
        <v>592</v>
      </c>
      <c r="I47" s="227">
        <v>43068.347812499997</v>
      </c>
      <c r="J47" s="226">
        <v>0</v>
      </c>
      <c r="K47" s="238" t="str">
        <f t="shared" si="40"/>
        <v>4001/4002</v>
      </c>
      <c r="L47" s="246" t="str">
        <f>VLOOKUP(A47,'Trips&amp;Operators'!$C$1:$G$99911,5,FALSE)</f>
        <v>YORK EDGAR</v>
      </c>
      <c r="M47" s="225">
        <f t="shared" si="41"/>
        <v>2.47106481474475E-2</v>
      </c>
      <c r="N47" s="226">
        <f t="shared" si="35"/>
        <v>35.583333332324401</v>
      </c>
      <c r="O47" s="226"/>
      <c r="P47" s="226"/>
      <c r="Q47" s="229"/>
      <c r="R47" s="243"/>
      <c r="S47" s="250">
        <f t="shared" si="27"/>
        <v>1</v>
      </c>
      <c r="T47" s="243" t="str">
        <f t="shared" si="42"/>
        <v>NorthBound</v>
      </c>
      <c r="U47" s="24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9" t="str">
        <f t="shared" si="3"/>
        <v>https://d0f6bd738d7f1b3e5a7ca70fe4ff75f0.us-east-1.aws.found.io/app/kibana#/discover/Steve-Slow-Train-Analysis-(2080s-and-2083s)?_g=(refreshInterval:(display:Off,pause:!f,section:0,value:0),time:(from:'2017-11-29T06:36:30-0700',mode:absolute,to:'2017-11-29T09:20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7" s="248" t="str">
        <f>IF(AA47&lt;VLOOKUP(AG47,Variables!$AC$3:$AD$8,2,FALSE),"Y","N")</f>
        <v>N</v>
      </c>
      <c r="X47" s="248">
        <f t="shared" si="39"/>
        <v>1</v>
      </c>
      <c r="Y47" s="248">
        <f t="shared" si="37"/>
        <v>4.7500000000000001E-2</v>
      </c>
      <c r="Z47" s="248">
        <f t="shared" si="38"/>
        <v>23.328499999999998</v>
      </c>
      <c r="AA47" s="248">
        <f t="shared" si="43"/>
        <v>23.280999999999999</v>
      </c>
      <c r="AB47" s="234" t="e">
        <f>VLOOKUP(A47,Enforcements!$C$7:$K$9,8,0)</f>
        <v>#N/A</v>
      </c>
      <c r="AC47" s="233" t="e">
        <f>VLOOKUP(A47,Enforcements!$C$7:$E$9,3,0)</f>
        <v>#N/A</v>
      </c>
      <c r="AD47" s="244">
        <f t="shared" si="44"/>
        <v>133</v>
      </c>
      <c r="AE47" s="236" t="str">
        <f t="shared" si="6"/>
        <v>aws s3 cp s3://rtdc.mdm.uploadarchive.raw/RTDC4002/ "%USERPROFILE%\AppData\Local\Temp\OnboardLogs"\RTDC4002\2017-11-29 --exclude "*" --recursive --include "*20171129*" &amp; "%USERPROFILE%\Documents\GitHub\mrs-test-scripts\Headless Mode &amp; Sideloading\WalkAndUnGZ.bat" "%USERPROFILE%\AppData\Local\Temp\OnboardLogs"\RTDC4002\2017-11-29 &amp; aws s3 cp s3://rtdc.mdm.uploadarchive.raw/RTDC4002/ "%USERPROFILE%\AppData\Local\Temp\OnboardLogs"\RTDC4002\2017-11-30 --exclude "*" --recursive --include "*20171130*" &amp; "%USERPROFILE%\Documents\GitHub\mrs-test-scripts\Headless Mode &amp; Sideloading\WalkAndUnGZ.bat" "%USERPROFILE%\AppData\Local\Temp\OnboardLogs"\RTDC4002\2017-11-30</v>
      </c>
      <c r="AF47" s="235" t="str">
        <f t="shared" si="7"/>
        <v>"C:\Program Files (x86)\AstroGrep\AstroGrep.exe" /e /r /s /spath="%USERPROFILE%\AppData\Local\Temp\OnboardLogs" /stypes="app*4002*20171129*" /stext=" 15:.+((SYSTEM_STATE.+slice.+state.+changed )|(ment ac)|(multiple cpu faults)|(system.+state.+changed )|(\[timeout)|(PRM\|1\|D)|(kpr)|(kdp)|(train st.+moving)|(\|lc)|(penalty))"</v>
      </c>
      <c r="AG47" s="245" t="str">
        <f t="shared" si="45"/>
        <v>EC</v>
      </c>
      <c r="AH47" s="237" t="str">
        <f t="shared" si="14"/>
        <v>"%USERPROFILE%\Documents\GitHub\eaglep3\Utilities\RefineRTDCRunTimes.py" --tripid 133-29 --locoid 4002 --swversion DE.1.0.9.0 --startMP 204:475 --initTime 2017-11-29T07:36:30 --startdatetime 2017-11-29T07:45:16 --delay 68 --endMP 204:233285 --enddatetime 2017-11-29T08:20:51 --enforcementcount 0 &gt;&gt;%USERPROFILE%\Documents\GitHub\eaglep3-reporting\EC\2017-11-29-refined-times.txt</v>
      </c>
      <c r="AI47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{"issue":{"subject":"","project_id":79,"tracker_id":40,"status_id":1,"priority_id":2,"assigned_to_id":338,"start_date":"2017-11-29","description":"","custom_fields":[{"id":1,"name":"Subdivision","value":"EC"},{"id":4,"name":"Milepost","value":"23.3285"},{"id":17,"name":"Train ID","value":"133-29"},{"id":16,"name":"Locomotive ID","value":"4002"},{"id":130,"name":"Impact","value":""},{"id":150,"name":"Time of Event (Mountain Time)","value":"08:20:51"},{"id":151,"name":"Denver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4"/>
      <c r="AK47" s="232"/>
      <c r="AL47" s="232"/>
      <c r="AM47" s="241" t="str">
        <f t="shared" si="16"/>
        <v>start /low /b %USERPROFILE%\Documents\GitHub\eaglep3\Utilities\DownloadLogsFromS3.py --loco 4002 --day 2017-11-29</v>
      </c>
      <c r="AN47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15:20:51"},{"id":29,"name":"Sharepoint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1" t="str">
        <f t="shared" si="18"/>
        <v>https://d0f6bd738d7f1b3e5a7ca70fe4ff75f0.us-east-1.aws.found.io/app/kibana#/discover/Steve-Slow-Train-Analysis-(2080s-and-2083s)?_g=(refreshInterval:(display:Off,pause:!f,section:0,value:0),time:(from:'2017-11-29T06:36:30-0700',mode:absolute,to:'2017-11-29T09:20:51-0700'))&amp;_a=(columns:!('Message%20ID',Summary),filters:!(),index:'emp_*',interval:auto,query:(query_string:(analyze_wildcard:!t,query:'%22rtdc.l.rtdc.4002%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230" t="s">
        <v>715</v>
      </c>
      <c r="B48" s="226">
        <v>4001</v>
      </c>
      <c r="C48" s="228" t="s">
        <v>192</v>
      </c>
      <c r="D48" s="228" t="s">
        <v>425</v>
      </c>
      <c r="E48" s="227">
        <v>43068.360185185185</v>
      </c>
      <c r="F48" s="227">
        <v>43068.363333333335</v>
      </c>
      <c r="G48" s="226">
        <v>49</v>
      </c>
      <c r="H48" s="228" t="s">
        <v>521</v>
      </c>
      <c r="I48" s="227">
        <v>43068.387916666667</v>
      </c>
      <c r="J48" s="226">
        <v>0</v>
      </c>
      <c r="K48" s="238" t="str">
        <f t="shared" si="40"/>
        <v>4001/4002</v>
      </c>
      <c r="L48" s="246" t="str">
        <f>VLOOKUP(A48,'Trips&amp;Operators'!$C$1:$G$99911,5,FALSE)</f>
        <v>YORK EDGAR</v>
      </c>
      <c r="M48" s="225">
        <f t="shared" si="41"/>
        <v>2.4583333331975155E-2</v>
      </c>
      <c r="N48" s="226">
        <f t="shared" si="35"/>
        <v>35.399999998044223</v>
      </c>
      <c r="O48" s="226"/>
      <c r="P48" s="226"/>
      <c r="Q48" s="229"/>
      <c r="R48" s="243"/>
      <c r="S48" s="250">
        <f t="shared" si="27"/>
        <v>1</v>
      </c>
      <c r="T48" s="243" t="str">
        <f t="shared" si="42"/>
        <v>Southbound</v>
      </c>
      <c r="U48" s="24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9" t="str">
        <f t="shared" si="3"/>
        <v>https://d0f6bd738d7f1b3e5a7ca70fe4ff75f0.us-east-1.aws.found.io/app/kibana#/discover/Steve-Slow-Train-Analysis-(2080s-and-2083s)?_g=(refreshInterval:(display:Off,pause:!f,section:0,value:0),time:(from:'2017-11-29T07:38:40-0700',mode:absolute,to:'2017-11-29T10:18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8" s="248" t="str">
        <f>IF(AA48&lt;VLOOKUP(AG48,Variables!$AC$3:$AD$8,2,FALSE),"Y","N")</f>
        <v>N</v>
      </c>
      <c r="X48" s="248">
        <f t="shared" si="39"/>
        <v>1</v>
      </c>
      <c r="Y48" s="248">
        <f t="shared" si="37"/>
        <v>23.297899999999998</v>
      </c>
      <c r="Z48" s="248">
        <f t="shared" si="38"/>
        <v>1.52E-2</v>
      </c>
      <c r="AA48" s="248">
        <f t="shared" si="43"/>
        <v>23.282699999999998</v>
      </c>
      <c r="AB48" s="234" t="e">
        <f>VLOOKUP(A48,Enforcements!$C$7:$K$9,8,0)</f>
        <v>#N/A</v>
      </c>
      <c r="AC48" s="233" t="e">
        <f>VLOOKUP(A48,Enforcements!$C$7:$E$9,3,0)</f>
        <v>#N/A</v>
      </c>
      <c r="AD48" s="244">
        <f t="shared" si="44"/>
        <v>134</v>
      </c>
      <c r="AE48" s="236" t="str">
        <f t="shared" si="6"/>
        <v>aws s3 cp s3://rtdc.mdm.uploadarchive.raw/RTDC4001/ "%USERPROFILE%\AppData\Local\Temp\OnboardLogs"\RTDC4001\2017-11-29 --exclude "*" --recursive --include "*20171129*" &amp; "%USERPROFILE%\Documents\GitHub\mrs-test-scripts\Headless Mode &amp; Sideloading\WalkAndUnGZ.bat" "%USERPROFILE%\AppData\Local\Temp\OnboardLogs"\RTDC4001\2017-11-29 &amp; aws s3 cp s3://rtdc.mdm.uploadarchive.raw/RTDC4001/ "%USERPROFILE%\AppData\Local\Temp\OnboardLogs"\RTDC4001\2017-11-30 --exclude "*" --recursive --include "*20171130*" &amp; "%USERPROFILE%\Documents\GitHub\mrs-test-scripts\Headless Mode &amp; Sideloading\WalkAndUnGZ.bat" "%USERPROFILE%\AppData\Local\Temp\OnboardLogs"\RTDC4001\2017-11-30</v>
      </c>
      <c r="AF48" s="235" t="str">
        <f t="shared" si="7"/>
        <v>"C:\Program Files (x86)\AstroGrep\AstroGrep.exe" /e /r /s /spath="%USERPROFILE%\AppData\Local\Temp\OnboardLogs" /stypes="app*4001*20171129*" /stext=" 16:.+((SYSTEM_STATE.+slice.+state.+changed )|(ment ac)|(multiple cpu faults)|(system.+state.+changed )|(\[timeout)|(PRM\|1\|D)|(kpr)|(kdp)|(train st.+moving)|(\|lc)|(penalty))"</v>
      </c>
      <c r="AG48" s="245" t="str">
        <f t="shared" si="45"/>
        <v>EC</v>
      </c>
      <c r="AH48" s="237" t="str">
        <f t="shared" si="14"/>
        <v>"%USERPROFILE%\Documents\GitHub\eaglep3\Utilities\RefineRTDCRunTimes.py" --tripid 134-29 --locoid 4001 --swversion DE.1.0.9.0 --startMP 204:232979 --initTime 2017-11-29T08:38:40 --startdatetime 2017-11-29T08:43:12 --delay 49 --endMP 204:152 --enddatetime 2017-11-29T09:18:36 --enforcementcount 0 &gt;&gt;%USERPROFILE%\Documents\GitHub\eaglep3-reporting\EC\2017-11-29-refined-times.txt</v>
      </c>
      <c r="AI48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{"issue":{"subject":"","project_id":79,"tracker_id":40,"status_id":1,"priority_id":2,"assigned_to_id":338,"start_date":"2017-11-29","description":"","custom_fields":[{"id":1,"name":"Subdivision","value":"EC"},{"id":4,"name":"Milepost","value":"0.0152"},{"id":17,"name":"Train ID","value":"134-29"},{"id":16,"name":"Locomotive ID","value":"4001"},{"id":130,"name":"Impact","value":""},{"id":150,"name":"Time of Event (Mountain Time)","value":"09:18:36"},{"id":151,"name":"Denver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4"/>
      <c r="AK48" s="232"/>
      <c r="AL48" s="232"/>
      <c r="AM48" s="241" t="str">
        <f t="shared" si="16"/>
        <v>start /low /b %USERPROFILE%\Documents\GitHub\eaglep3\Utilities\DownloadLogsFromS3.py --loco 4001 --day 2017-11-29</v>
      </c>
      <c r="AN48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16:18:36"},{"id":29,"name":"Sharepoint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1" t="str">
        <f t="shared" si="18"/>
        <v>https://d0f6bd738d7f1b3e5a7ca70fe4ff75f0.us-east-1.aws.found.io/app/kibana#/discover/Steve-Slow-Train-Analysis-(2080s-and-2083s)?_g=(refreshInterval:(display:Off,pause:!f,section:0,value:0),time:(from:'2017-11-29T07:38:40-0700',mode:absolute,to:'2017-11-29T10:18:36-0700'))&amp;_a=(columns:!('Message%20ID',Summary),filters:!(),index:'emp_*',interval:auto,query:(query_string:(analyze_wildcard:!t,query:'%22rtdc.l.rtdc.4001%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230" t="s">
        <v>706</v>
      </c>
      <c r="B49" s="226">
        <v>4006</v>
      </c>
      <c r="C49" s="228" t="s">
        <v>192</v>
      </c>
      <c r="D49" s="228" t="s">
        <v>509</v>
      </c>
      <c r="E49" s="227">
        <v>43068.328750000001</v>
      </c>
      <c r="F49" s="227">
        <v>43068.333587962959</v>
      </c>
      <c r="G49" s="226">
        <v>74</v>
      </c>
      <c r="H49" s="228" t="s">
        <v>587</v>
      </c>
      <c r="I49" s="227">
        <v>43068.358090277776</v>
      </c>
      <c r="J49" s="226">
        <v>0</v>
      </c>
      <c r="K49" s="238" t="str">
        <f t="shared" si="40"/>
        <v>4005/4006</v>
      </c>
      <c r="L49" s="246" t="str">
        <f>VLOOKUP(A49,'Trips&amp;Operators'!$C$1:$G$99911,5,FALSE)</f>
        <v>DAVIDSON DAVID</v>
      </c>
      <c r="M49" s="225">
        <f t="shared" si="41"/>
        <v>2.4502314816345461E-2</v>
      </c>
      <c r="N49" s="226">
        <f t="shared" si="35"/>
        <v>35.283333335537463</v>
      </c>
      <c r="O49" s="226"/>
      <c r="P49" s="226"/>
      <c r="Q49" s="229"/>
      <c r="R49" s="243"/>
      <c r="S49" s="250">
        <f t="shared" si="27"/>
        <v>1</v>
      </c>
      <c r="T49" s="243" t="str">
        <f t="shared" si="42"/>
        <v>NorthBound</v>
      </c>
      <c r="U49" s="24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9" t="str">
        <f t="shared" si="3"/>
        <v>https://d0f6bd738d7f1b3e5a7ca70fe4ff75f0.us-east-1.aws.found.io/app/kibana#/discover/Steve-Slow-Train-Analysis-(2080s-and-2083s)?_g=(refreshInterval:(display:Off,pause:!f,section:0,value:0),time:(from:'2017-11-29T06:53:24-0700',mode:absolute,to:'2017-11-29T09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9" s="248" t="str">
        <f>IF(AA49&lt;VLOOKUP(AG49,Variables!$AC$3:$AD$8,2,FALSE),"Y","N")</f>
        <v>N</v>
      </c>
      <c r="X49" s="248">
        <f t="shared" si="39"/>
        <v>1</v>
      </c>
      <c r="Y49" s="248">
        <f t="shared" si="37"/>
        <v>5.2900000000000003E-2</v>
      </c>
      <c r="Z49" s="248">
        <f t="shared" si="38"/>
        <v>23.3247</v>
      </c>
      <c r="AA49" s="248">
        <f t="shared" si="43"/>
        <v>23.271799999999999</v>
      </c>
      <c r="AB49" s="234" t="e">
        <f>VLOOKUP(A49,Enforcements!$C$7:$K$9,8,0)</f>
        <v>#N/A</v>
      </c>
      <c r="AC49" s="233" t="e">
        <f>VLOOKUP(A49,Enforcements!$C$7:$E$9,3,0)</f>
        <v>#N/A</v>
      </c>
      <c r="AD49" s="244">
        <f t="shared" si="44"/>
        <v>135</v>
      </c>
      <c r="AE49" s="236" t="str">
        <f t="shared" si="6"/>
        <v>aws s3 cp s3://rtdc.mdm.uploadarchive.raw/RTDC4006/ "%USERPROFILE%\AppData\Local\Temp\OnboardLogs"\RTDC4006\2017-11-29 --exclude "*" --recursive --include "*20171129*" &amp; "%USERPROFILE%\Documents\GitHub\mrs-test-scripts\Headless Mode &amp; Sideloading\WalkAndUnGZ.bat" "%USERPROFILE%\AppData\Local\Temp\OnboardLogs"\RTDC4006\2017-11-29 &amp; aws s3 cp s3://rtdc.mdm.uploadarchive.raw/RTDC4006/ "%USERPROFILE%\AppData\Local\Temp\OnboardLogs"\RTDC4006\2017-11-30 --exclude "*" --recursive --include "*20171130*" &amp; "%USERPROFILE%\Documents\GitHub\mrs-test-scripts\Headless Mode &amp; Sideloading\WalkAndUnGZ.bat" "%USERPROFILE%\AppData\Local\Temp\OnboardLogs"\RTDC4006\2017-11-30</v>
      </c>
      <c r="AF49" s="235" t="str">
        <f t="shared" si="7"/>
        <v>"C:\Program Files (x86)\AstroGrep\AstroGrep.exe" /e /r /s /spath="%USERPROFILE%\AppData\Local\Temp\OnboardLogs" /stypes="app*4006*20171129*" /stext=" 15:.+((SYSTEM_STATE.+slice.+state.+changed )|(ment ac)|(multiple cpu faults)|(system.+state.+changed )|(\[timeout)|(PRM\|1\|D)|(kpr)|(kdp)|(train st.+moving)|(\|lc)|(penalty))"</v>
      </c>
      <c r="AG49" s="245" t="str">
        <f t="shared" si="45"/>
        <v>EC</v>
      </c>
      <c r="AH49" s="237" t="str">
        <f t="shared" si="14"/>
        <v>"%USERPROFILE%\Documents\GitHub\eaglep3\Utilities\RefineRTDCRunTimes.py" --tripid 135-29 --locoid 4006 --swversion DE.1.0.9.0 --startMP 204:529 --initTime 2017-11-29T07:53:24 --startdatetime 2017-11-29T08:00:22 --delay 74 --endMP 204:233247 --enddatetime 2017-11-29T08:35:39 --enforcementcount 0 &gt;&gt;%USERPROFILE%\Documents\GitHub\eaglep3-reporting\EC\2017-11-29-refined-times.txt</v>
      </c>
      <c r="AI49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{"issue":{"subject":"","project_id":79,"tracker_id":40,"status_id":1,"priority_id":2,"assigned_to_id":338,"start_date":"2017-11-29","description":"","custom_fields":[{"id":1,"name":"Subdivision","value":"EC"},{"id":4,"name":"Milepost","value":"23.3247"},{"id":17,"name":"Train ID","value":"135-29"},{"id":16,"name":"Locomotive ID","value":"4006"},{"id":130,"name":"Impact","value":""},{"id":150,"name":"Time of Event (Mountain Time)","value":"08:35:39"},{"id":151,"name":"Denver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4"/>
      <c r="AK49" s="232"/>
      <c r="AL49" s="232"/>
      <c r="AM49" s="241" t="str">
        <f t="shared" si="16"/>
        <v>start /low /b %USERPROFILE%\Documents\GitHub\eaglep3\Utilities\DownloadLogsFromS3.py --loco 4006 --day 2017-11-29</v>
      </c>
      <c r="AN49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15:35:39"},{"id":29,"name":"Sharepoint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1" t="str">
        <f t="shared" si="18"/>
        <v>https://d0f6bd738d7f1b3e5a7ca70fe4ff75f0.us-east-1.aws.found.io/app/kibana#/discover/Steve-Slow-Train-Analysis-(2080s-and-2083s)?_g=(refreshInterval:(display:Off,pause:!f,section:0,value:0),time:(from:'2017-11-29T06:53:24-0700',mode:absolute,to:'2017-11-29T09:35:39-0700'))&amp;_a=(columns:!('Message%20ID',Summary),filters:!(),index:'emp_*',interval:auto,query:(query_string:(analyze_wildcard:!t,query:'%22rtdc.l.rtdc.4006%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230" t="s">
        <v>714</v>
      </c>
      <c r="B50" s="226">
        <v>4005</v>
      </c>
      <c r="C50" s="228" t="s">
        <v>192</v>
      </c>
      <c r="D50" s="228" t="s">
        <v>466</v>
      </c>
      <c r="E50" s="227">
        <v>43068.359571759262</v>
      </c>
      <c r="F50" s="227">
        <v>43068.373148148145</v>
      </c>
      <c r="G50" s="226">
        <v>72</v>
      </c>
      <c r="H50" s="228" t="s">
        <v>440</v>
      </c>
      <c r="I50" s="227">
        <v>43068.39980324074</v>
      </c>
      <c r="J50" s="226">
        <v>0</v>
      </c>
      <c r="K50" s="238" t="str">
        <f t="shared" si="40"/>
        <v>4005/4006</v>
      </c>
      <c r="L50" s="246" t="str">
        <f>VLOOKUP(A50,'Trips&amp;Operators'!$C$1:$G$99911,5,FALSE)</f>
        <v>DAVIDSON DAVID</v>
      </c>
      <c r="M50" s="225">
        <f t="shared" si="41"/>
        <v>2.6655092595319729E-2</v>
      </c>
      <c r="N50" s="226">
        <f t="shared" si="35"/>
        <v>38.38333333726041</v>
      </c>
      <c r="O50" s="226"/>
      <c r="P50" s="226"/>
      <c r="Q50" s="229"/>
      <c r="R50" s="243"/>
      <c r="S50" s="250">
        <f t="shared" si="27"/>
        <v>1</v>
      </c>
      <c r="T50" s="243" t="str">
        <f t="shared" si="42"/>
        <v>Southbound</v>
      </c>
      <c r="U50" s="24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9" t="str">
        <f t="shared" si="3"/>
        <v>https://d0f6bd738d7f1b3e5a7ca70fe4ff75f0.us-east-1.aws.found.io/app/kibana#/discover/Steve-Slow-Train-Analysis-(2080s-and-2083s)?_g=(refreshInterval:(display:Off,pause:!f,section:0,value:0),time:(from:'2017-11-29T07:37:47-0700',mode:absolute,to:'2017-11-29T10:35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0" s="248" t="str">
        <f>IF(AA50&lt;VLOOKUP(AG50,Variables!$AC$3:$AD$8,2,FALSE),"Y","N")</f>
        <v>N</v>
      </c>
      <c r="X50" s="248">
        <f t="shared" si="39"/>
        <v>1</v>
      </c>
      <c r="Y50" s="248">
        <f t="shared" si="37"/>
        <v>23.294599999999999</v>
      </c>
      <c r="Z50" s="248">
        <f t="shared" si="38"/>
        <v>2.18E-2</v>
      </c>
      <c r="AA50" s="248">
        <f t="shared" si="43"/>
        <v>23.2728</v>
      </c>
      <c r="AB50" s="234" t="e">
        <f>VLOOKUP(A50,Enforcements!$C$7:$K$9,8,0)</f>
        <v>#N/A</v>
      </c>
      <c r="AC50" s="233" t="e">
        <f>VLOOKUP(A50,Enforcements!$C$7:$E$9,3,0)</f>
        <v>#N/A</v>
      </c>
      <c r="AD50" s="244">
        <f t="shared" si="44"/>
        <v>136</v>
      </c>
      <c r="AE50" s="236" t="str">
        <f t="shared" si="6"/>
        <v>aws s3 cp s3://rtdc.mdm.uploadarchive.raw/RTDC4005/ "%USERPROFILE%\AppData\Local\Temp\OnboardLogs"\RTDC4005\2017-11-29 --exclude "*" --recursive --include "*20171129*" &amp; "%USERPROFILE%\Documents\GitHub\mrs-test-scripts\Headless Mode &amp; Sideloading\WalkAndUnGZ.bat" "%USERPROFILE%\AppData\Local\Temp\OnboardLogs"\RTDC4005\2017-11-29 &amp; aws s3 cp s3://rtdc.mdm.uploadarchive.raw/RTDC4005/ "%USERPROFILE%\AppData\Local\Temp\OnboardLogs"\RTDC4005\2017-11-30 --exclude "*" --recursive --include "*20171130*" &amp; "%USERPROFILE%\Documents\GitHub\mrs-test-scripts\Headless Mode &amp; Sideloading\WalkAndUnGZ.bat" "%USERPROFILE%\AppData\Local\Temp\OnboardLogs"\RTDC4005\2017-11-30</v>
      </c>
      <c r="AF50" s="235" t="str">
        <f t="shared" si="7"/>
        <v>"C:\Program Files (x86)\AstroGrep\AstroGrep.exe" /e /r /s /spath="%USERPROFILE%\AppData\Local\Temp\OnboardLogs" /stypes="app*4005*20171129*" /stext=" 16:.+((SYSTEM_STATE.+slice.+state.+changed )|(ment ac)|(multiple cpu faults)|(system.+state.+changed )|(\[timeout)|(PRM\|1\|D)|(kpr)|(kdp)|(train st.+moving)|(\|lc)|(penalty))"</v>
      </c>
      <c r="AG50" s="245" t="str">
        <f t="shared" si="45"/>
        <v>EC</v>
      </c>
      <c r="AH50" s="237" t="str">
        <f t="shared" si="14"/>
        <v>"%USERPROFILE%\Documents\GitHub\eaglep3\Utilities\RefineRTDCRunTimes.py" --tripid 136-29 --locoid 4005 --swversion DE.1.0.9.0 --startMP 204:232946 --initTime 2017-11-29T08:37:47 --startdatetime 2017-11-29T08:57:20 --delay 72 --endMP 204:218 --enddatetime 2017-11-29T09:35:43 --enforcementcount 0 &gt;&gt;%USERPROFILE%\Documents\GitHub\eaglep3-reporting\EC\2017-11-29-refined-times.txt</v>
      </c>
      <c r="AI50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{"issue":{"subject":"","project_id":79,"tracker_id":40,"status_id":1,"priority_id":2,"assigned_to_id":338,"start_date":"2017-11-29","description":"","custom_fields":[{"id":1,"name":"Subdivision","value":"EC"},{"id":4,"name":"Milepost","value":"0.0218"},{"id":17,"name":"Train ID","value":"136-29"},{"id":16,"name":"Locomotive ID","value":"4005"},{"id":130,"name":"Impact","value":""},{"id":150,"name":"Time of Event (Mountain Time)","value":"09:35:43"},{"id":151,"name":"Denver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4"/>
      <c r="AK50" s="232"/>
      <c r="AL50" s="232"/>
      <c r="AM50" s="241" t="str">
        <f t="shared" si="16"/>
        <v>start /low /b %USERPROFILE%\Documents\GitHub\eaglep3\Utilities\DownloadLogsFromS3.py --loco 4005 --day 2017-11-29</v>
      </c>
      <c r="AN50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16:35:43"},{"id":29,"name":"Sharepoint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1" t="str">
        <f t="shared" si="18"/>
        <v>https://d0f6bd738d7f1b3e5a7ca70fe4ff75f0.us-east-1.aws.found.io/app/kibana#/discover/Steve-Slow-Train-Analysis-(2080s-and-2083s)?_g=(refreshInterval:(display:Off,pause:!f,section:0,value:0),time:(from:'2017-11-29T07:37:47-0700',mode:absolute,to:'2017-11-29T10:35:43-0700'))&amp;_a=(columns:!('Message%20ID',Summary),filters:!(),index:'emp_*',interval:auto,query:(query_string:(analyze_wildcard:!t,query:'%22rtdc.l.rtdc.4005%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230" t="s">
        <v>708</v>
      </c>
      <c r="B51" s="226">
        <v>4066</v>
      </c>
      <c r="C51" s="228" t="s">
        <v>192</v>
      </c>
      <c r="D51" s="228" t="s">
        <v>436</v>
      </c>
      <c r="E51" s="227">
        <v>43068.338553240741</v>
      </c>
      <c r="F51" s="227">
        <v>43068.343912037039</v>
      </c>
      <c r="G51" s="226">
        <v>66</v>
      </c>
      <c r="H51" s="228" t="s">
        <v>908</v>
      </c>
      <c r="I51" s="227">
        <v>43068.368703703702</v>
      </c>
      <c r="J51" s="226">
        <v>0</v>
      </c>
      <c r="K51" s="238" t="str">
        <f t="shared" si="40"/>
        <v>4065/4066</v>
      </c>
      <c r="L51" s="246" t="str">
        <f>VLOOKUP(A51,'Trips&amp;Operators'!$C$1:$G$99911,5,FALSE)</f>
        <v>LOPES KIMBERLY</v>
      </c>
      <c r="M51" s="225">
        <f t="shared" si="41"/>
        <v>2.4791666663077194E-2</v>
      </c>
      <c r="N51" s="226">
        <f t="shared" si="35"/>
        <v>35.69999999483116</v>
      </c>
      <c r="O51" s="226"/>
      <c r="P51" s="226"/>
      <c r="Q51" s="229"/>
      <c r="R51" s="243"/>
      <c r="S51" s="250">
        <f t="shared" si="27"/>
        <v>1</v>
      </c>
      <c r="T51" s="243" t="str">
        <f t="shared" si="42"/>
        <v>NorthBound</v>
      </c>
      <c r="U51" s="24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9" t="str">
        <f t="shared" si="3"/>
        <v>https://d0f6bd738d7f1b3e5a7ca70fe4ff75f0.us-east-1.aws.found.io/app/kibana#/discover/Steve-Slow-Train-Analysis-(2080s-and-2083s)?_g=(refreshInterval:(display:Off,pause:!f,section:0,value:0),time:(from:'2017-11-29T07:07:31-0700',mode:absolute,to:'2017-11-29T09:50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51" s="248" t="str">
        <f>IF(AA51&lt;VLOOKUP(AG51,Variables!$AC$3:$AD$8,2,FALSE),"Y","N")</f>
        <v>N</v>
      </c>
      <c r="X51" s="248">
        <f t="shared" si="39"/>
        <v>1</v>
      </c>
      <c r="Y51" s="248">
        <f t="shared" si="37"/>
        <v>5.11E-2</v>
      </c>
      <c r="Z51" s="248">
        <f t="shared" si="38"/>
        <v>23.324200000000001</v>
      </c>
      <c r="AA51" s="248">
        <f t="shared" si="43"/>
        <v>23.273099999999999</v>
      </c>
      <c r="AB51" s="234" t="e">
        <f>VLOOKUP(A51,Enforcements!$C$7:$K$9,8,0)</f>
        <v>#N/A</v>
      </c>
      <c r="AC51" s="233" t="e">
        <f>VLOOKUP(A51,Enforcements!$C$7:$E$9,3,0)</f>
        <v>#N/A</v>
      </c>
      <c r="AD51" s="244">
        <f t="shared" si="44"/>
        <v>137</v>
      </c>
      <c r="AE51" s="236" t="str">
        <f t="shared" si="6"/>
        <v>aws s3 cp s3://rtdc.mdm.uploadarchive.raw/RTDC4066/ "%USERPROFILE%\AppData\Local\Temp\OnboardLogs"\RTDC4066\2017-11-29 --exclude "*" --recursive --include "*20171129*" &amp; "%USERPROFILE%\Documents\GitHub\mrs-test-scripts\Headless Mode &amp; Sideloading\WalkAndUnGZ.bat" "%USERPROFILE%\AppData\Local\Temp\OnboardLogs"\RTDC4066\2017-11-29 &amp; aws s3 cp s3://rtdc.mdm.uploadarchive.raw/RTDC4066/ "%USERPROFILE%\AppData\Local\Temp\OnboardLogs"\RTDC4066\2017-11-30 --exclude "*" --recursive --include "*20171130*" &amp; "%USERPROFILE%\Documents\GitHub\mrs-test-scripts\Headless Mode &amp; Sideloading\WalkAndUnGZ.bat" "%USERPROFILE%\AppData\Local\Temp\OnboardLogs"\RTDC4066\2017-11-30</v>
      </c>
      <c r="AF51" s="235" t="str">
        <f t="shared" si="7"/>
        <v>"C:\Program Files (x86)\AstroGrep\AstroGrep.exe" /e /r /s /spath="%USERPROFILE%\AppData\Local\Temp\OnboardLogs" /stypes="app*4066*20171129*" /stext=" 15:.+((SYSTEM_STATE.+slice.+state.+changed )|(ment ac)|(multiple cpu faults)|(system.+state.+changed )|(\[timeout)|(PRM\|1\|D)|(kpr)|(kdp)|(train st.+moving)|(\|lc)|(penalty))"</v>
      </c>
      <c r="AG51" s="245" t="str">
        <f t="shared" si="45"/>
        <v>EC</v>
      </c>
      <c r="AH51" s="237" t="str">
        <f t="shared" si="14"/>
        <v>"%USERPROFILE%\Documents\GitHub\eaglep3\Utilities\RefineRTDCRunTimes.py" --tripid 137-29 --locoid 4066 --swversion DE.1.0.9.0 --startMP 204:511 --initTime 2017-11-29T08:07:31 --startdatetime 2017-11-29T08:15:14 --delay 66 --endMP 204:233242 --enddatetime 2017-11-29T08:50:56 --enforcementcount 0 &gt;&gt;%USERPROFILE%\Documents\GitHub\eaglep3-reporting\EC\2017-11-29-refined-times.txt</v>
      </c>
      <c r="AI51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{"issue":{"subject":"","project_id":79,"tracker_id":40,"status_id":1,"priority_id":2,"assigned_to_id":338,"start_date":"2017-11-29","description":"","custom_fields":[{"id":1,"name":"Subdivision","value":"EC"},{"id":4,"name":"Milepost","value":"23.3242"},{"id":17,"name":"Train ID","value":"137-29"},{"id":16,"name":"Locomotive ID","value":"4066"},{"id":130,"name":"Impact","value":""},{"id":150,"name":"Time of Event (Mountain Time)","value":"08:50:56"},{"id":151,"name":"Denver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4"/>
      <c r="AK51" s="232"/>
      <c r="AL51" s="232"/>
      <c r="AM51" s="241" t="str">
        <f t="shared" si="16"/>
        <v>start /low /b %USERPROFILE%\Documents\GitHub\eaglep3\Utilities\DownloadLogsFromS3.py --loco 4066 --day 2017-11-29</v>
      </c>
      <c r="AN51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15:50:56"},{"id":29,"name":"Sharepoint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1" t="str">
        <f t="shared" si="18"/>
        <v>https://d0f6bd738d7f1b3e5a7ca70fe4ff75f0.us-east-1.aws.found.io/app/kibana#/discover/Steve-Slow-Train-Analysis-(2080s-and-2083s)?_g=(refreshInterval:(display:Off,pause:!f,section:0,value:0),time:(from:'2017-11-29T07:07:31-0700',mode:absolute,to:'2017-11-29T09:50:56-0700'))&amp;_a=(columns:!('Message%20ID',Summary),filters:!(),index:'emp_*',interval:auto,query:(query_string:(analyze_wildcard:!t,query:'%22rtdc.l.rtdc.4066%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230" t="s">
        <v>722</v>
      </c>
      <c r="B52" s="226">
        <v>4065</v>
      </c>
      <c r="C52" s="228" t="s">
        <v>192</v>
      </c>
      <c r="D52" s="228" t="s">
        <v>909</v>
      </c>
      <c r="E52" s="227">
        <v>43068.376620370371</v>
      </c>
      <c r="F52" s="227">
        <v>43068.383611111109</v>
      </c>
      <c r="G52" s="226">
        <v>82</v>
      </c>
      <c r="H52" s="228" t="s">
        <v>885</v>
      </c>
      <c r="I52" s="227">
        <v>43068.409131944441</v>
      </c>
      <c r="J52" s="226">
        <v>0</v>
      </c>
      <c r="K52" s="238" t="str">
        <f t="shared" si="40"/>
        <v>4065/4066</v>
      </c>
      <c r="L52" s="246" t="str">
        <f>VLOOKUP(A52,'Trips&amp;Operators'!$C$1:$G$99911,5,FALSE)</f>
        <v>LOPES KIMBERLY</v>
      </c>
      <c r="M52" s="225">
        <f t="shared" si="41"/>
        <v>2.5520833332848269E-2</v>
      </c>
      <c r="N52" s="226">
        <f t="shared" si="35"/>
        <v>36.749999999301508</v>
      </c>
      <c r="O52" s="226"/>
      <c r="P52" s="226"/>
      <c r="Q52" s="229"/>
      <c r="R52" s="243"/>
      <c r="S52" s="250">
        <f t="shared" si="27"/>
        <v>1</v>
      </c>
      <c r="T52" s="243" t="str">
        <f t="shared" si="42"/>
        <v>Southbound</v>
      </c>
      <c r="U52" s="24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9" t="str">
        <f t="shared" si="3"/>
        <v>https://d0f6bd738d7f1b3e5a7ca70fe4ff75f0.us-east-1.aws.found.io/app/kibana#/discover/Steve-Slow-Train-Analysis-(2080s-and-2083s)?_g=(refreshInterval:(display:Off,pause:!f,section:0,value:0),time:(from:'2017-11-29T08:02:20-0700',mode:absolute,to:'2017-11-29T10:49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52" s="248" t="str">
        <f>IF(AA52&lt;VLOOKUP(AG52,Variables!$AC$3:$AD$8,2,FALSE),"Y","N")</f>
        <v>N</v>
      </c>
      <c r="X52" s="248">
        <f t="shared" si="39"/>
        <v>1</v>
      </c>
      <c r="Y52" s="248">
        <f t="shared" si="37"/>
        <v>23.2911</v>
      </c>
      <c r="Z52" s="248">
        <f t="shared" si="38"/>
        <v>1.89E-2</v>
      </c>
      <c r="AA52" s="248">
        <f t="shared" si="43"/>
        <v>23.272200000000002</v>
      </c>
      <c r="AB52" s="234" t="e">
        <f>VLOOKUP(A52,Enforcements!$C$7:$K$9,8,0)</f>
        <v>#N/A</v>
      </c>
      <c r="AC52" s="233" t="e">
        <f>VLOOKUP(A52,Enforcements!$C$7:$E$9,3,0)</f>
        <v>#N/A</v>
      </c>
      <c r="AD52" s="244">
        <f t="shared" si="44"/>
        <v>138</v>
      </c>
      <c r="AE52" s="236" t="str">
        <f t="shared" si="6"/>
        <v>aws s3 cp s3://rtdc.mdm.uploadarchive.raw/RTDC4065/ "%USERPROFILE%\AppData\Local\Temp\OnboardLogs"\RTDC4065\2017-11-29 --exclude "*" --recursive --include "*20171129*" &amp; "%USERPROFILE%\Documents\GitHub\mrs-test-scripts\Headless Mode &amp; Sideloading\WalkAndUnGZ.bat" "%USERPROFILE%\AppData\Local\Temp\OnboardLogs"\RTDC4065\2017-11-29 &amp; aws s3 cp s3://rtdc.mdm.uploadarchive.raw/RTDC4065/ "%USERPROFILE%\AppData\Local\Temp\OnboardLogs"\RTDC4065\2017-11-30 --exclude "*" --recursive --include "*20171130*" &amp; "%USERPROFILE%\Documents\GitHub\mrs-test-scripts\Headless Mode &amp; Sideloading\WalkAndUnGZ.bat" "%USERPROFILE%\AppData\Local\Temp\OnboardLogs"\RTDC4065\2017-11-30</v>
      </c>
      <c r="AF52" s="235" t="str">
        <f t="shared" si="7"/>
        <v>"C:\Program Files (x86)\AstroGrep\AstroGrep.exe" /e /r /s /spath="%USERPROFILE%\AppData\Local\Temp\OnboardLogs" /stypes="app*4065*20171129*" /stext=" 16:.+((SYSTEM_STATE.+slice.+state.+changed )|(ment ac)|(multiple cpu faults)|(system.+state.+changed )|(\[timeout)|(PRM\|1\|D)|(kpr)|(kdp)|(train st.+moving)|(\|lc)|(penalty))"</v>
      </c>
      <c r="AG52" s="245" t="str">
        <f t="shared" si="45"/>
        <v>EC</v>
      </c>
      <c r="AH52" s="237" t="str">
        <f t="shared" si="14"/>
        <v>"%USERPROFILE%\Documents\GitHub\eaglep3\Utilities\RefineRTDCRunTimes.py" --tripid 138-29 --locoid 4065 --swversion DE.1.0.9.0 --startMP 204:232911 --initTime 2017-11-29T09:02:20 --startdatetime 2017-11-29T09:12:24 --delay 82 --endMP 204:189 --enddatetime 2017-11-29T09:49:09 --enforcementcount 0 &gt;&gt;%USERPROFILE%\Documents\GitHub\eaglep3-reporting\EC\2017-11-29-refined-times.txt</v>
      </c>
      <c r="AI52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{"issue":{"subject":"","project_id":79,"tracker_id":40,"status_id":1,"priority_id":2,"assigned_to_id":338,"start_date":"2017-11-29","description":"","custom_fields":[{"id":1,"name":"Subdivision","value":"EC"},{"id":4,"name":"Milepost","value":"0.0189"},{"id":17,"name":"Train ID","value":"138-29"},{"id":16,"name":"Locomotive ID","value":"4065"},{"id":130,"name":"Impact","value":""},{"id":150,"name":"Time of Event (Mountain Time)","value":"09:49:09"},{"id":151,"name":"Denver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4"/>
      <c r="AK52" s="232"/>
      <c r="AL52" s="232"/>
      <c r="AM52" s="241" t="str">
        <f t="shared" si="16"/>
        <v>start /low /b %USERPROFILE%\Documents\GitHub\eaglep3\Utilities\DownloadLogsFromS3.py --loco 4065 --day 2017-11-29</v>
      </c>
      <c r="AN52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16:49:09"},{"id":29,"name":"Sharepoint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1" t="str">
        <f t="shared" si="18"/>
        <v>https://d0f6bd738d7f1b3e5a7ca70fe4ff75f0.us-east-1.aws.found.io/app/kibana#/discover/Steve-Slow-Train-Analysis-(2080s-and-2083s)?_g=(refreshInterval:(display:Off,pause:!f,section:0,value:0),time:(from:'2017-11-29T08:02:20-0700',mode:absolute,to:'2017-11-29T10:49:09-0700'))&amp;_a=(columns:!('Message%20ID',Summary),filters:!(),index:'emp_*',interval:auto,query:(query_string:(analyze_wildcard:!t,query:'%22rtdc.l.rtdc.4065%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230" t="s">
        <v>711</v>
      </c>
      <c r="B53" s="226">
        <v>4022</v>
      </c>
      <c r="C53" s="228" t="s">
        <v>192</v>
      </c>
      <c r="D53" s="228" t="s">
        <v>910</v>
      </c>
      <c r="E53" s="227">
        <v>43068.34957175926</v>
      </c>
      <c r="F53" s="227">
        <v>43068.354398148149</v>
      </c>
      <c r="G53" s="226">
        <v>95</v>
      </c>
      <c r="H53" s="228" t="s">
        <v>462</v>
      </c>
      <c r="I53" s="227">
        <v>43068.379560185182</v>
      </c>
      <c r="J53" s="226">
        <v>0</v>
      </c>
      <c r="K53" s="238" t="str">
        <f t="shared" si="40"/>
        <v>4021/4022</v>
      </c>
      <c r="L53" s="246" t="str">
        <f>VLOOKUP(A53,'Trips&amp;Operators'!$C$1:$G$99911,5,FALSE)</f>
        <v>NICHOLAS PLOYSA</v>
      </c>
      <c r="M53" s="225">
        <f t="shared" si="41"/>
        <v>2.5162037032714579E-2</v>
      </c>
      <c r="N53" s="226">
        <f t="shared" si="35"/>
        <v>36.233333327108994</v>
      </c>
      <c r="O53" s="226"/>
      <c r="P53" s="226"/>
      <c r="Q53" s="229"/>
      <c r="R53" s="243"/>
      <c r="S53" s="250">
        <f t="shared" si="27"/>
        <v>1</v>
      </c>
      <c r="T53" s="243" t="str">
        <f t="shared" si="42"/>
        <v>NorthBound</v>
      </c>
      <c r="U53" s="24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9" t="str">
        <f t="shared" si="3"/>
        <v>https://d0f6bd738d7f1b3e5a7ca70fe4ff75f0.us-east-1.aws.found.io/app/kibana#/discover/Steve-Slow-Train-Analysis-(2080s-and-2083s)?_g=(refreshInterval:(display:Off,pause:!f,section:0,value:0),time:(from:'2017-11-29T07:23:23-0700',mode:absolute,to:'2017-11-29T10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3" s="248" t="str">
        <f>IF(AA53&lt;VLOOKUP(AG53,Variables!$AC$3:$AD$8,2,FALSE),"Y","N")</f>
        <v>N</v>
      </c>
      <c r="X53" s="248">
        <f t="shared" si="39"/>
        <v>1</v>
      </c>
      <c r="Y53" s="248">
        <f t="shared" si="37"/>
        <v>5.8400000000000001E-2</v>
      </c>
      <c r="Z53" s="248">
        <f t="shared" si="38"/>
        <v>23.329899999999999</v>
      </c>
      <c r="AA53" s="248">
        <f t="shared" si="43"/>
        <v>23.2715</v>
      </c>
      <c r="AB53" s="234" t="e">
        <f>VLOOKUP(A53,Enforcements!$C$7:$K$9,8,0)</f>
        <v>#N/A</v>
      </c>
      <c r="AC53" s="233" t="e">
        <f>VLOOKUP(A53,Enforcements!$C$7:$E$9,3,0)</f>
        <v>#N/A</v>
      </c>
      <c r="AD53" s="244">
        <f t="shared" si="44"/>
        <v>139</v>
      </c>
      <c r="AE53" s="236" t="str">
        <f t="shared" si="6"/>
        <v>aws s3 cp s3://rtdc.mdm.uploadarchive.raw/RTDC4022/ "%USERPROFILE%\AppData\Local\Temp\OnboardLogs"\RTDC4022\2017-11-29 --exclude "*" --recursive --include "*20171129*" &amp; "%USERPROFILE%\Documents\GitHub\mrs-test-scripts\Headless Mode &amp; Sideloading\WalkAndUnGZ.bat" "%USERPROFILE%\AppData\Local\Temp\OnboardLogs"\RTDC4022\2017-11-29 &amp; aws s3 cp s3://rtdc.mdm.uploadarchive.raw/RTDC4022/ "%USERPROFILE%\AppData\Local\Temp\OnboardLogs"\RTDC4022\2017-11-30 --exclude "*" --recursive --include "*20171130*" &amp; "%USERPROFILE%\Documents\GitHub\mrs-test-scripts\Headless Mode &amp; Sideloading\WalkAndUnGZ.bat" "%USERPROFILE%\AppData\Local\Temp\OnboardLogs"\RTDC4022\2017-11-30</v>
      </c>
      <c r="AF53" s="235" t="str">
        <f t="shared" si="7"/>
        <v>"C:\Program Files (x86)\AstroGrep\AstroGrep.exe" /e /r /s /spath="%USERPROFILE%\AppData\Local\Temp\OnboardLogs" /stypes="app*4022*20171129*" /stext=" 16:.+((SYSTEM_STATE.+slice.+state.+changed )|(ment ac)|(multiple cpu faults)|(system.+state.+changed )|(\[timeout)|(PRM\|1\|D)|(kpr)|(kdp)|(train st.+moving)|(\|lc)|(penalty))"</v>
      </c>
      <c r="AG53" s="245" t="str">
        <f t="shared" si="45"/>
        <v>EC</v>
      </c>
      <c r="AH53" s="237" t="str">
        <f t="shared" si="14"/>
        <v>"%USERPROFILE%\Documents\GitHub\eaglep3\Utilities\RefineRTDCRunTimes.py" --tripid 139-29 --locoid 4022 --swversion DE.1.0.9.0 --startMP 204:584 --initTime 2017-11-29T08:23:23 --startdatetime 2017-11-29T08:30:20 --delay 95 --endMP 204:233299 --enddatetime 2017-11-29T09:06:34 --enforcementcount 0 &gt;&gt;%USERPROFILE%\Documents\GitHub\eaglep3-reporting\EC\2017-11-29-refined-times.txt</v>
      </c>
      <c r="AI53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{"issue":{"subject":"","project_id":79,"tracker_id":40,"status_id":1,"priority_id":2,"assigned_to_id":338,"start_date":"2017-11-29","description":"","custom_fields":[{"id":1,"name":"Subdivision","value":"EC"},{"id":4,"name":"Milepost","value":"23.3299"},{"id":17,"name":"Train ID","value":"139-29"},{"id":16,"name":"Locomotive ID","value":"4022"},{"id":130,"name":"Impact","value":""},{"id":150,"name":"Time of Event (Mountain Time)","value":"09:06:34"},{"id":151,"name":"Denver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4"/>
      <c r="AK53" s="232"/>
      <c r="AL53" s="232"/>
      <c r="AM53" s="241" t="str">
        <f t="shared" si="16"/>
        <v>start /low /b %USERPROFILE%\Documents\GitHub\eaglep3\Utilities\DownloadLogsFromS3.py --loco 4022 --day 2017-11-29</v>
      </c>
      <c r="AN53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16:06:34"},{"id":29,"name":"Sharepoint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1" t="str">
        <f t="shared" si="18"/>
        <v>https://d0f6bd738d7f1b3e5a7ca70fe4ff75f0.us-east-1.aws.found.io/app/kibana#/discover/Steve-Slow-Train-Analysis-(2080s-and-2083s)?_g=(refreshInterval:(display:Off,pause:!f,section:0,value:0),time:(from:'2017-11-29T07:23:23-0700',mode:absolute,to:'2017-11-29T10:06:34-0700'))&amp;_a=(columns:!('Message%20ID',Summary),filters:!(),index:'emp_*',interval:auto,query:(query_string:(analyze_wildcard:!t,query:'%22rtdc.l.rtdc.4022%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230" t="s">
        <v>723</v>
      </c>
      <c r="B54" s="226">
        <v>4021</v>
      </c>
      <c r="C54" s="228" t="s">
        <v>192</v>
      </c>
      <c r="D54" s="228" t="s">
        <v>557</v>
      </c>
      <c r="E54" s="227">
        <v>43068.38113425926</v>
      </c>
      <c r="F54" s="227">
        <v>43068.393912037034</v>
      </c>
      <c r="G54" s="226">
        <v>65</v>
      </c>
      <c r="H54" s="228" t="s">
        <v>424</v>
      </c>
      <c r="I54" s="227">
        <v>43068.420254629629</v>
      </c>
      <c r="J54" s="226">
        <v>0</v>
      </c>
      <c r="K54" s="238" t="str">
        <f t="shared" si="40"/>
        <v>4021/4022</v>
      </c>
      <c r="L54" s="246" t="str">
        <f>VLOOKUP(A54,'Trips&amp;Operators'!$C$1:$G$99911,5,FALSE)</f>
        <v>NICHOLAS PLOYSA</v>
      </c>
      <c r="M54" s="225">
        <f t="shared" si="41"/>
        <v>2.6342592595028691E-2</v>
      </c>
      <c r="N54" s="226">
        <f t="shared" si="35"/>
        <v>37.933333336841315</v>
      </c>
      <c r="O54" s="226"/>
      <c r="P54" s="226"/>
      <c r="Q54" s="229"/>
      <c r="R54" s="243"/>
      <c r="S54" s="250">
        <f t="shared" si="27"/>
        <v>1</v>
      </c>
      <c r="T54" s="243" t="str">
        <f t="shared" si="42"/>
        <v>Southbound</v>
      </c>
      <c r="U54" s="24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9" t="str">
        <f t="shared" si="3"/>
        <v>https://d0f6bd738d7f1b3e5a7ca70fe4ff75f0.us-east-1.aws.found.io/app/kibana#/discover/Steve-Slow-Train-Analysis-(2080s-and-2083s)?_g=(refreshInterval:(display:Off,pause:!f,section:0,value:0),time:(from:'2017-11-29T08:08:50-0700',mode:absolute,to:'2017-11-29T11:05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4" s="248" t="str">
        <f>IF(AA54&lt;VLOOKUP(AG54,Variables!$AC$3:$AD$8,2,FALSE),"Y","N")</f>
        <v>N</v>
      </c>
      <c r="X54" s="248">
        <f t="shared" si="39"/>
        <v>1</v>
      </c>
      <c r="Y54" s="248">
        <f t="shared" si="37"/>
        <v>23.296700000000001</v>
      </c>
      <c r="Z54" s="248">
        <f t="shared" si="38"/>
        <v>2.1999999999999999E-2</v>
      </c>
      <c r="AA54" s="248">
        <f t="shared" si="43"/>
        <v>23.274700000000003</v>
      </c>
      <c r="AB54" s="234" t="e">
        <f>VLOOKUP(A54,Enforcements!$C$7:$K$9,8,0)</f>
        <v>#N/A</v>
      </c>
      <c r="AC54" s="233" t="e">
        <f>VLOOKUP(A54,Enforcements!$C$7:$E$9,3,0)</f>
        <v>#N/A</v>
      </c>
      <c r="AD54" s="244">
        <f t="shared" si="44"/>
        <v>140</v>
      </c>
      <c r="AE54" s="236" t="str">
        <f t="shared" si="6"/>
        <v>aws s3 cp s3://rtdc.mdm.uploadarchive.raw/RTDC4021/ "%USERPROFILE%\AppData\Local\Temp\OnboardLogs"\RTDC4021\2017-11-29 --exclude "*" --recursive --include "*20171129*" &amp; "%USERPROFILE%\Documents\GitHub\mrs-test-scripts\Headless Mode &amp; Sideloading\WalkAndUnGZ.bat" "%USERPROFILE%\AppData\Local\Temp\OnboardLogs"\RTDC4021\2017-11-29 &amp; aws s3 cp s3://rtdc.mdm.uploadarchive.raw/RTDC4021/ "%USERPROFILE%\AppData\Local\Temp\OnboardLogs"\RTDC4021\2017-11-30 --exclude "*" --recursive --include "*20171130*" &amp; "%USERPROFILE%\Documents\GitHub\mrs-test-scripts\Headless Mode &amp; Sideloading\WalkAndUnGZ.bat" "%USERPROFILE%\AppData\Local\Temp\OnboardLogs"\RTDC4021\2017-11-30</v>
      </c>
      <c r="AF54" s="235" t="str">
        <f t="shared" si="7"/>
        <v>"C:\Program Files (x86)\AstroGrep\AstroGrep.exe" /e /r /s /spath="%USERPROFILE%\AppData\Local\Temp\OnboardLogs" /stypes="app*4021*20171129*" /stext=" 17:.+((SYSTEM_STATE.+slice.+state.+changed )|(ment ac)|(multiple cpu faults)|(system.+state.+changed )|(\[timeout)|(PRM\|1\|D)|(kpr)|(kdp)|(train st.+moving)|(\|lc)|(penalty))"</v>
      </c>
      <c r="AG54" s="245" t="str">
        <f t="shared" si="45"/>
        <v>EC</v>
      </c>
      <c r="AH54" s="237" t="str">
        <f t="shared" si="14"/>
        <v>"%USERPROFILE%\Documents\GitHub\eaglep3\Utilities\RefineRTDCRunTimes.py" --tripid 140-29 --locoid 4021 --swversion DE.1.0.9.0 --startMP 204:232967 --initTime 2017-11-29T09:08:50 --startdatetime 2017-11-29T09:27:14 --delay 65 --endMP 204:220 --enddatetime 2017-11-29T10:05:10 --enforcementcount 0 &gt;&gt;%USERPROFILE%\Documents\GitHub\eaglep3-reporting\EC\2017-11-29-refined-times.txt</v>
      </c>
      <c r="AI54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{"issue":{"subject":"","project_id":79,"tracker_id":40,"status_id":1,"priority_id":2,"assigned_to_id":338,"start_date":"2017-11-29","description":"","custom_fields":[{"id":1,"name":"Subdivision","value":"EC"},{"id":4,"name":"Milepost","value":"0.022"},{"id":17,"name":"Train ID","value":"140-29"},{"id":16,"name":"Locomotive ID","value":"4021"},{"id":130,"name":"Impact","value":""},{"id":150,"name":"Time of Event (Mountain Time)","value":"10:05:10"},{"id":151,"name":"Denver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4"/>
      <c r="AK54" s="232"/>
      <c r="AL54" s="232"/>
      <c r="AM54" s="241" t="str">
        <f t="shared" si="16"/>
        <v>start /low /b %USERPROFILE%\Documents\GitHub\eaglep3\Utilities\DownloadLogsFromS3.py --loco 4021 --day 2017-11-29</v>
      </c>
      <c r="AN54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17:05:10"},{"id":29,"name":"Sharepoint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1" t="str">
        <f t="shared" si="18"/>
        <v>https://d0f6bd738d7f1b3e5a7ca70fe4ff75f0.us-east-1.aws.found.io/app/kibana#/discover/Steve-Slow-Train-Analysis-(2080s-and-2083s)?_g=(refreshInterval:(display:Off,pause:!f,section:0,value:0),time:(from:'2017-11-29T08:08:50-0700',mode:absolute,to:'2017-11-29T11:05:10-0700'))&amp;_a=(columns:!('Message%20ID',Summary),filters:!(),index:'emp_*',interval:auto,query:(query_string:(analyze_wildcard:!t,query:'%22rtdc.l.rtdc.4021%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230" t="s">
        <v>713</v>
      </c>
      <c r="B55" s="226">
        <v>4028</v>
      </c>
      <c r="C55" s="228" t="s">
        <v>192</v>
      </c>
      <c r="D55" s="228" t="s">
        <v>911</v>
      </c>
      <c r="E55" s="227">
        <v>43068.358738425923</v>
      </c>
      <c r="F55" s="227">
        <v>43068.364733796298</v>
      </c>
      <c r="G55" s="226">
        <v>57</v>
      </c>
      <c r="H55" s="228" t="s">
        <v>577</v>
      </c>
      <c r="I55" s="227">
        <v>43068.389502314814</v>
      </c>
      <c r="J55" s="226">
        <v>0</v>
      </c>
      <c r="K55" s="238" t="str">
        <f t="shared" si="40"/>
        <v>4027/4028</v>
      </c>
      <c r="L55" s="246" t="str">
        <f>VLOOKUP(A55,'Trips&amp;Operators'!$C$1:$G$99911,5,FALSE)</f>
        <v>YANAI IAN</v>
      </c>
      <c r="M55" s="225">
        <f t="shared" si="41"/>
        <v>2.4768518516793847E-2</v>
      </c>
      <c r="N55" s="226">
        <f t="shared" si="35"/>
        <v>35.66666666418314</v>
      </c>
      <c r="O55" s="226"/>
      <c r="P55" s="226"/>
      <c r="Q55" s="229"/>
      <c r="R55" s="243"/>
      <c r="S55" s="250">
        <f t="shared" si="27"/>
        <v>1</v>
      </c>
      <c r="T55" s="243" t="str">
        <f t="shared" si="42"/>
        <v>NorthBound</v>
      </c>
      <c r="U55" s="24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9" t="str">
        <f t="shared" si="3"/>
        <v>https://d0f6bd738d7f1b3e5a7ca70fe4ff75f0.us-east-1.aws.found.io/app/kibana#/discover/Steve-Slow-Train-Analysis-(2080s-and-2083s)?_g=(refreshInterval:(display:Off,pause:!f,section:0,value:0),time:(from:'2017-11-29T07:36:35-0700',mode:absolute,to:'2017-11-29T10:20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5" s="248" t="str">
        <f>IF(AA55&lt;VLOOKUP(AG55,Variables!$AC$3:$AD$8,2,FALSE),"Y","N")</f>
        <v>N</v>
      </c>
      <c r="X55" s="248">
        <f t="shared" si="39"/>
        <v>1</v>
      </c>
      <c r="Y55" s="248">
        <f t="shared" si="37"/>
        <v>4.2900000000000001E-2</v>
      </c>
      <c r="Z55" s="248">
        <f t="shared" si="38"/>
        <v>23.329799999999999</v>
      </c>
      <c r="AA55" s="248">
        <f t="shared" si="43"/>
        <v>23.286899999999999</v>
      </c>
      <c r="AB55" s="234" t="e">
        <f>VLOOKUP(A55,Enforcements!$C$7:$K$9,8,0)</f>
        <v>#N/A</v>
      </c>
      <c r="AC55" s="233" t="e">
        <f>VLOOKUP(A55,Enforcements!$C$7:$E$9,3,0)</f>
        <v>#N/A</v>
      </c>
      <c r="AD55" s="244">
        <f t="shared" si="44"/>
        <v>141</v>
      </c>
      <c r="AE55" s="236" t="str">
        <f t="shared" si="6"/>
        <v>aws s3 cp s3://rtdc.mdm.uploadarchive.raw/RTDC4028/ "%USERPROFILE%\AppData\Local\Temp\OnboardLogs"\RTDC4028\2017-11-29 --exclude "*" --recursive --include "*20171129*" &amp; "%USERPROFILE%\Documents\GitHub\mrs-test-scripts\Headless Mode &amp; Sideloading\WalkAndUnGZ.bat" "%USERPROFILE%\AppData\Local\Temp\OnboardLogs"\RTDC4028\2017-11-29 &amp; aws s3 cp s3://rtdc.mdm.uploadarchive.raw/RTDC4028/ "%USERPROFILE%\AppData\Local\Temp\OnboardLogs"\RTDC4028\2017-11-30 --exclude "*" --recursive --include "*20171130*" &amp; "%USERPROFILE%\Documents\GitHub\mrs-test-scripts\Headless Mode &amp; Sideloading\WalkAndUnGZ.bat" "%USERPROFILE%\AppData\Local\Temp\OnboardLogs"\RTDC4028\2017-11-30</v>
      </c>
      <c r="AF55" s="235" t="str">
        <f t="shared" si="7"/>
        <v>"C:\Program Files (x86)\AstroGrep\AstroGrep.exe" /e /r /s /spath="%USERPROFILE%\AppData\Local\Temp\OnboardLogs" /stypes="app*4028*20171129*" /stext=" 16:.+((SYSTEM_STATE.+slice.+state.+changed )|(ment ac)|(multiple cpu faults)|(system.+state.+changed )|(\[timeout)|(PRM\|1\|D)|(kpr)|(kdp)|(train st.+moving)|(\|lc)|(penalty))"</v>
      </c>
      <c r="AG55" s="245" t="str">
        <f t="shared" si="45"/>
        <v>EC</v>
      </c>
      <c r="AH55" s="237" t="str">
        <f t="shared" si="14"/>
        <v>"%USERPROFILE%\Documents\GitHub\eaglep3\Utilities\RefineRTDCRunTimes.py" --tripid 141-29 --locoid 4028 --swversion DE.1.0.9.0 --startMP 204:429 --initTime 2017-11-29T08:36:35 --startdatetime 2017-11-29T08:45:13 --delay 57 --endMP 204:233298 --enddatetime 2017-11-29T09:20:53 --enforcementcount 0 &gt;&gt;%USERPROFILE%\Documents\GitHub\eaglep3-reporting\EC\2017-11-29-refined-times.txt</v>
      </c>
      <c r="AI55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{"issue":{"subject":"","project_id":79,"tracker_id":40,"status_id":1,"priority_id":2,"assigned_to_id":338,"start_date":"2017-11-29","description":"","custom_fields":[{"id":1,"name":"Subdivision","value":"EC"},{"id":4,"name":"Milepost","value":"23.3298"},{"id":17,"name":"Train ID","value":"141-29"},{"id":16,"name":"Locomotive ID","value":"4028"},{"id":130,"name":"Impact","value":""},{"id":150,"name":"Time of Event (Mountain Time)","value":"09:20:53"},{"id":151,"name":"Denver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4"/>
      <c r="AK55" s="232"/>
      <c r="AL55" s="232"/>
      <c r="AM55" s="241" t="str">
        <f t="shared" si="16"/>
        <v>start /low /b %USERPROFILE%\Documents\GitHub\eaglep3\Utilities\DownloadLogsFromS3.py --loco 4028 --day 2017-11-29</v>
      </c>
      <c r="AN55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16:20:53"},{"id":29,"name":"Sharepoint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1" t="str">
        <f t="shared" si="18"/>
        <v>https://d0f6bd738d7f1b3e5a7ca70fe4ff75f0.us-east-1.aws.found.io/app/kibana#/discover/Steve-Slow-Train-Analysis-(2080s-and-2083s)?_g=(refreshInterval:(display:Off,pause:!f,section:0,value:0),time:(from:'2017-11-29T07:36:35-0700',mode:absolute,to:'2017-11-29T10:20:53-0700'))&amp;_a=(columns:!('Message%20ID',Summary),filters:!(),index:'emp_*',interval:auto,query:(query_string:(analyze_wildcard:!t,query:'%22rtdc.l.rtdc.4028%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230" t="s">
        <v>726</v>
      </c>
      <c r="B56" s="226">
        <v>4027</v>
      </c>
      <c r="C56" s="228" t="s">
        <v>192</v>
      </c>
      <c r="D56" s="228" t="s">
        <v>503</v>
      </c>
      <c r="E56" s="227">
        <v>43068.390543981484</v>
      </c>
      <c r="F56" s="227">
        <v>43068.404340277775</v>
      </c>
      <c r="G56" s="226">
        <v>67</v>
      </c>
      <c r="H56" s="228" t="s">
        <v>434</v>
      </c>
      <c r="I56" s="227">
        <v>43068.430046296293</v>
      </c>
      <c r="J56" s="226">
        <v>0</v>
      </c>
      <c r="K56" s="238" t="str">
        <f t="shared" si="40"/>
        <v>4027/4028</v>
      </c>
      <c r="L56" s="246" t="str">
        <f>VLOOKUP(A56,'Trips&amp;Operators'!$C$1:$G$99911,5,FALSE)</f>
        <v>YANAI IAN</v>
      </c>
      <c r="M56" s="225">
        <f t="shared" si="41"/>
        <v>2.5706018517666962E-2</v>
      </c>
      <c r="N56" s="226">
        <f t="shared" si="35"/>
        <v>37.016666665440425</v>
      </c>
      <c r="O56" s="226"/>
      <c r="P56" s="226"/>
      <c r="Q56" s="229"/>
      <c r="R56" s="243"/>
      <c r="S56" s="250">
        <f t="shared" si="27"/>
        <v>1</v>
      </c>
      <c r="T56" s="243" t="str">
        <f t="shared" si="42"/>
        <v>Southbound</v>
      </c>
      <c r="U56" s="24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9" t="str">
        <f t="shared" si="3"/>
        <v>https://d0f6bd738d7f1b3e5a7ca70fe4ff75f0.us-east-1.aws.found.io/app/kibana#/discover/Steve-Slow-Train-Analysis-(2080s-and-2083s)?_g=(refreshInterval:(display:Off,pause:!f,section:0,value:0),time:(from:'2017-11-29T08:22:23-0700',mode:absolute,to:'2017-11-29T11:19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6" s="248" t="str">
        <f>IF(AA56&lt;VLOOKUP(AG56,Variables!$AC$3:$AD$8,2,FALSE),"Y","N")</f>
        <v>N</v>
      </c>
      <c r="X56" s="248">
        <f t="shared" si="39"/>
        <v>1</v>
      </c>
      <c r="Y56" s="248">
        <f t="shared" si="37"/>
        <v>23.298500000000001</v>
      </c>
      <c r="Z56" s="248">
        <f t="shared" si="38"/>
        <v>1.61E-2</v>
      </c>
      <c r="AA56" s="248">
        <f t="shared" si="43"/>
        <v>23.282399999999999</v>
      </c>
      <c r="AB56" s="234" t="e">
        <f>VLOOKUP(A56,Enforcements!$C$7:$K$9,8,0)</f>
        <v>#N/A</v>
      </c>
      <c r="AC56" s="233" t="e">
        <f>VLOOKUP(A56,Enforcements!$C$7:$E$9,3,0)</f>
        <v>#N/A</v>
      </c>
      <c r="AD56" s="244">
        <f t="shared" si="44"/>
        <v>142</v>
      </c>
      <c r="AE56" s="236" t="str">
        <f t="shared" si="6"/>
        <v>aws s3 cp s3://rtdc.mdm.uploadarchive.raw/RTDC4027/ "%USERPROFILE%\AppData\Local\Temp\OnboardLogs"\RTDC4027\2017-11-29 --exclude "*" --recursive --include "*20171129*" &amp; "%USERPROFILE%\Documents\GitHub\mrs-test-scripts\Headless Mode &amp; Sideloading\WalkAndUnGZ.bat" "%USERPROFILE%\AppData\Local\Temp\OnboardLogs"\RTDC4027\2017-11-29 &amp; aws s3 cp s3://rtdc.mdm.uploadarchive.raw/RTDC4027/ "%USERPROFILE%\AppData\Local\Temp\OnboardLogs"\RTDC4027\2017-11-30 --exclude "*" --recursive --include "*20171130*" &amp; "%USERPROFILE%\Documents\GitHub\mrs-test-scripts\Headless Mode &amp; Sideloading\WalkAndUnGZ.bat" "%USERPROFILE%\AppData\Local\Temp\OnboardLogs"\RTDC4027\2017-11-30</v>
      </c>
      <c r="AF56" s="235" t="str">
        <f t="shared" si="7"/>
        <v>"C:\Program Files (x86)\AstroGrep\AstroGrep.exe" /e /r /s /spath="%USERPROFILE%\AppData\Local\Temp\OnboardLogs" /stypes="app*4027*20171129*" /stext=" 17:.+((SYSTEM_STATE.+slice.+state.+changed )|(ment ac)|(multiple cpu faults)|(system.+state.+changed )|(\[timeout)|(PRM\|1\|D)|(kpr)|(kdp)|(train st.+moving)|(\|lc)|(penalty))"</v>
      </c>
      <c r="AG56" s="245" t="str">
        <f t="shared" si="45"/>
        <v>EC</v>
      </c>
      <c r="AH56" s="237" t="str">
        <f t="shared" si="14"/>
        <v>"%USERPROFILE%\Documents\GitHub\eaglep3\Utilities\RefineRTDCRunTimes.py" --tripid 142-29 --locoid 4027 --swversion DE.1.0.9.0 --startMP 204:232985 --initTime 2017-11-29T09:22:23 --startdatetime 2017-11-29T09:42:15 --delay 67 --endMP 204:161 --enddatetime 2017-11-29T10:19:16 --enforcementcount 0 &gt;&gt;%USERPROFILE%\Documents\GitHub\eaglep3-reporting\EC\2017-11-29-refined-times.txt</v>
      </c>
      <c r="AI56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{"issue":{"subject":"","project_id":79,"tracker_id":40,"status_id":1,"priority_id":2,"assigned_to_id":338,"start_date":"2017-11-29","description":"","custom_fields":[{"id":1,"name":"Subdivision","value":"EC"},{"id":4,"name":"Milepost","value":"0.0161"},{"id":17,"name":"Train ID","value":"142-29"},{"id":16,"name":"Locomotive ID","value":"4027"},{"id":130,"name":"Impact","value":""},{"id":150,"name":"Time of Event (Mountain Time)","value":"10:19:16"},{"id":151,"name":"Denver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4"/>
      <c r="AK56" s="232"/>
      <c r="AL56" s="232"/>
      <c r="AM56" s="241" t="str">
        <f t="shared" si="16"/>
        <v>start /low /b %USERPROFILE%\Documents\GitHub\eaglep3\Utilities\DownloadLogsFromS3.py --loco 4027 --day 2017-11-29</v>
      </c>
      <c r="AN56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17:19:16"},{"id":29,"name":"Sharepoint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1" t="str">
        <f t="shared" si="18"/>
        <v>https://d0f6bd738d7f1b3e5a7ca70fe4ff75f0.us-east-1.aws.found.io/app/kibana#/discover/Steve-Slow-Train-Analysis-(2080s-and-2083s)?_g=(refreshInterval:(display:Off,pause:!f,section:0,value:0),time:(from:'2017-11-29T08:22:23-0700',mode:absolute,to:'2017-11-29T11:19:16-0700'))&amp;_a=(columns:!('Message%20ID',Summary),filters:!(),index:'emp_*',interval:auto,query:(query_string:(analyze_wildcard:!t,query:'%22rtdc.l.rtdc.4027%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230" t="s">
        <v>720</v>
      </c>
      <c r="B57" s="226">
        <v>4026</v>
      </c>
      <c r="C57" s="228" t="s">
        <v>192</v>
      </c>
      <c r="D57" s="228" t="s">
        <v>435</v>
      </c>
      <c r="E57" s="227">
        <v>43068.372118055559</v>
      </c>
      <c r="F57" s="227">
        <v>43068.375196759262</v>
      </c>
      <c r="G57" s="226">
        <v>55</v>
      </c>
      <c r="H57" s="228" t="s">
        <v>445</v>
      </c>
      <c r="I57" s="227">
        <v>43068.399791666663</v>
      </c>
      <c r="J57" s="226">
        <v>0</v>
      </c>
      <c r="K57" s="238" t="str">
        <f t="shared" si="40"/>
        <v>4025/4026</v>
      </c>
      <c r="L57" s="246" t="str">
        <f>VLOOKUP(A57,'Trips&amp;Operators'!$C$1:$G$99911,5,FALSE)</f>
        <v>THOMPSON LESTER</v>
      </c>
      <c r="M57" s="225">
        <f t="shared" si="41"/>
        <v>2.4594907401478849E-2</v>
      </c>
      <c r="N57" s="226">
        <f t="shared" si="35"/>
        <v>35.416666658129543</v>
      </c>
      <c r="O57" s="226"/>
      <c r="P57" s="226"/>
      <c r="Q57" s="229"/>
      <c r="R57" s="243"/>
      <c r="S57" s="250">
        <f t="shared" si="27"/>
        <v>1</v>
      </c>
      <c r="T57" s="243" t="str">
        <f t="shared" si="42"/>
        <v>NorthBound</v>
      </c>
      <c r="U57" s="24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9" t="str">
        <f t="shared" si="3"/>
        <v>https://d0f6bd738d7f1b3e5a7ca70fe4ff75f0.us-east-1.aws.found.io/app/kibana#/discover/Steve-Slow-Train-Analysis-(2080s-and-2083s)?_g=(refreshInterval:(display:Off,pause:!f,section:0,value:0),time:(from:'2017-11-29T07:55:51-0700',mode:absolute,to:'2017-11-29T10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7" s="248" t="str">
        <f>IF(AA57&lt;VLOOKUP(AG57,Variables!$AC$3:$AD$8,2,FALSE),"Y","N")</f>
        <v>N</v>
      </c>
      <c r="X57" s="248">
        <f t="shared" si="39"/>
        <v>1</v>
      </c>
      <c r="Y57" s="248">
        <f t="shared" si="37"/>
        <v>5.0799999999999998E-2</v>
      </c>
      <c r="Z57" s="248">
        <f t="shared" si="38"/>
        <v>23.327999999999999</v>
      </c>
      <c r="AA57" s="248">
        <f t="shared" si="43"/>
        <v>23.277200000000001</v>
      </c>
      <c r="AB57" s="234" t="e">
        <f>VLOOKUP(A57,Enforcements!$C$7:$K$9,8,0)</f>
        <v>#N/A</v>
      </c>
      <c r="AC57" s="233" t="e">
        <f>VLOOKUP(A57,Enforcements!$C$7:$E$9,3,0)</f>
        <v>#N/A</v>
      </c>
      <c r="AD57" s="244">
        <f t="shared" si="44"/>
        <v>143</v>
      </c>
      <c r="AE57" s="236" t="str">
        <f t="shared" si="6"/>
        <v>aws s3 cp s3://rtdc.mdm.uploadarchive.raw/RTDC4026/ "%USERPROFILE%\AppData\Local\Temp\OnboardLogs"\RTDC4026\2017-11-29 --exclude "*" --recursive --include "*20171129*" &amp; "%USERPROFILE%\Documents\GitHub\mrs-test-scripts\Headless Mode &amp; Sideloading\WalkAndUnGZ.bat" "%USERPROFILE%\AppData\Local\Temp\OnboardLogs"\RTDC4026\2017-11-29 &amp; aws s3 cp s3://rtdc.mdm.uploadarchive.raw/RTDC4026/ "%USERPROFILE%\AppData\Local\Temp\OnboardLogs"\RTDC4026\2017-11-30 --exclude "*" --recursive --include "*20171130*" &amp; "%USERPROFILE%\Documents\GitHub\mrs-test-scripts\Headless Mode &amp; Sideloading\WalkAndUnGZ.bat" "%USERPROFILE%\AppData\Local\Temp\OnboardLogs"\RTDC4026\2017-11-30</v>
      </c>
      <c r="AF57" s="235" t="str">
        <f t="shared" si="7"/>
        <v>"C:\Program Files (x86)\AstroGrep\AstroGrep.exe" /e /r /s /spath="%USERPROFILE%\AppData\Local\Temp\OnboardLogs" /stypes="app*4026*20171129*" /stext=" 16:.+((SYSTEM_STATE.+slice.+state.+changed )|(ment ac)|(multiple cpu faults)|(system.+state.+changed )|(\[timeout)|(PRM\|1\|D)|(kpr)|(kdp)|(train st.+moving)|(\|lc)|(penalty))"</v>
      </c>
      <c r="AG57" s="245" t="str">
        <f t="shared" si="45"/>
        <v>EC</v>
      </c>
      <c r="AH57" s="237" t="str">
        <f t="shared" si="14"/>
        <v>"%USERPROFILE%\Documents\GitHub\eaglep3\Utilities\RefineRTDCRunTimes.py" --tripid 143-29 --locoid 4026 --swversion DE.1.0.9.0 --startMP 204:508 --initTime 2017-11-29T08:55:51 --startdatetime 2017-11-29T09:00:17 --delay 55 --endMP 204:233280 --enddatetime 2017-11-29T09:35:42 --enforcementcount 0 &gt;&gt;%USERPROFILE%\Documents\GitHub\eaglep3-reporting\EC\2017-11-29-refined-times.txt</v>
      </c>
      <c r="AI57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{"issue":{"subject":"","project_id":79,"tracker_id":40,"status_id":1,"priority_id":2,"assigned_to_id":338,"start_date":"2017-11-29","description":"","custom_fields":[{"id":1,"name":"Subdivision","value":"EC"},{"id":4,"name":"Milepost","value":"23.328"},{"id":17,"name":"Train ID","value":"143-29"},{"id":16,"name":"Locomotive ID","value":"4026"},{"id":130,"name":"Impact","value":""},{"id":150,"name":"Time of Event (Mountain Time)","value":"09:35:42"},{"id":151,"name":"Denver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4"/>
      <c r="AK57" s="232"/>
      <c r="AL57" s="232"/>
      <c r="AM57" s="241" t="str">
        <f t="shared" si="16"/>
        <v>start /low /b %USERPROFILE%\Documents\GitHub\eaglep3\Utilities\DownloadLogsFromS3.py --loco 4026 --day 2017-11-29</v>
      </c>
      <c r="AN57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16:35:42"},{"id":29,"name":"Sharepoint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1" t="str">
        <f t="shared" si="18"/>
        <v>https://d0f6bd738d7f1b3e5a7ca70fe4ff75f0.us-east-1.aws.found.io/app/kibana#/discover/Steve-Slow-Train-Analysis-(2080s-and-2083s)?_g=(refreshInterval:(display:Off,pause:!f,section:0,value:0),time:(from:'2017-11-29T07:55:51-0700',mode:absolute,to:'2017-11-29T10:35:42-0700'))&amp;_a=(columns:!('Message%20ID',Summary),filters:!(),index:'emp_*',interval:auto,query:(query_string:(analyze_wildcard:!t,query:'%22rtdc.l.rtdc.4026%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230" t="s">
        <v>732</v>
      </c>
      <c r="B58" s="226">
        <v>4025</v>
      </c>
      <c r="C58" s="228" t="s">
        <v>192</v>
      </c>
      <c r="D58" s="228" t="s">
        <v>552</v>
      </c>
      <c r="E58" s="227">
        <v>43068.41233796296</v>
      </c>
      <c r="F58" s="227">
        <v>43068.414756944447</v>
      </c>
      <c r="G58" s="226">
        <v>61</v>
      </c>
      <c r="H58" s="228" t="s">
        <v>572</v>
      </c>
      <c r="I58" s="227">
        <v>43068.441979166666</v>
      </c>
      <c r="J58" s="226">
        <v>0</v>
      </c>
      <c r="K58" s="238" t="str">
        <f t="shared" si="40"/>
        <v>4025/4026</v>
      </c>
      <c r="L58" s="246" t="str">
        <f>VLOOKUP(A58,'Trips&amp;Operators'!$C$1:$G$99911,5,FALSE)</f>
        <v>THOMPSON LESTER</v>
      </c>
      <c r="M58" s="225">
        <f t="shared" si="41"/>
        <v>2.7222222219279502E-2</v>
      </c>
      <c r="N58" s="226">
        <f t="shared" si="35"/>
        <v>39.199999995762482</v>
      </c>
      <c r="O58" s="226"/>
      <c r="P58" s="226"/>
      <c r="Q58" s="229"/>
      <c r="R58" s="243"/>
      <c r="S58" s="250">
        <f t="shared" si="27"/>
        <v>1</v>
      </c>
      <c r="T58" s="243" t="str">
        <f t="shared" si="42"/>
        <v>Southbound</v>
      </c>
      <c r="U58" s="24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9" t="str">
        <f t="shared" si="3"/>
        <v>https://d0f6bd738d7f1b3e5a7ca70fe4ff75f0.us-east-1.aws.found.io/app/kibana#/discover/Steve-Slow-Train-Analysis-(2080s-and-2083s)?_g=(refreshInterval:(display:Off,pause:!f,section:0,value:0),time:(from:'2017-11-29T08:53:46-0700',mode:absolute,to:'2017-11-29T11:36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8" s="248" t="str">
        <f>IF(AA58&lt;VLOOKUP(AG58,Variables!$AC$3:$AD$8,2,FALSE),"Y","N")</f>
        <v>N</v>
      </c>
      <c r="X58" s="248">
        <f t="shared" si="39"/>
        <v>1</v>
      </c>
      <c r="Y58" s="248">
        <f t="shared" si="37"/>
        <v>23.295500000000001</v>
      </c>
      <c r="Z58" s="248">
        <f t="shared" si="38"/>
        <v>1.9800000000000002E-2</v>
      </c>
      <c r="AA58" s="248">
        <f t="shared" si="43"/>
        <v>23.275700000000001</v>
      </c>
      <c r="AB58" s="234" t="e">
        <f>VLOOKUP(A58,Enforcements!$C$7:$K$9,8,0)</f>
        <v>#N/A</v>
      </c>
      <c r="AC58" s="233" t="e">
        <f>VLOOKUP(A58,Enforcements!$C$7:$E$9,3,0)</f>
        <v>#N/A</v>
      </c>
      <c r="AD58" s="244">
        <f t="shared" si="44"/>
        <v>144</v>
      </c>
      <c r="AE58" s="236" t="str">
        <f t="shared" si="6"/>
        <v>aws s3 cp s3://rtdc.mdm.uploadarchive.raw/RTDC4025/ "%USERPROFILE%\AppData\Local\Temp\OnboardLogs"\RTDC4025\2017-11-29 --exclude "*" --recursive --include "*20171129*" &amp; "%USERPROFILE%\Documents\GitHub\mrs-test-scripts\Headless Mode &amp; Sideloading\WalkAndUnGZ.bat" "%USERPROFILE%\AppData\Local\Temp\OnboardLogs"\RTDC4025\2017-11-29 &amp; aws s3 cp s3://rtdc.mdm.uploadarchive.raw/RTDC4025/ "%USERPROFILE%\AppData\Local\Temp\OnboardLogs"\RTDC4025\2017-11-30 --exclude "*" --recursive --include "*20171130*" &amp; "%USERPROFILE%\Documents\GitHub\mrs-test-scripts\Headless Mode &amp; Sideloading\WalkAndUnGZ.bat" "%USERPROFILE%\AppData\Local\Temp\OnboardLogs"\RTDC4025\2017-11-30</v>
      </c>
      <c r="AF58" s="235" t="str">
        <f t="shared" si="7"/>
        <v>"C:\Program Files (x86)\AstroGrep\AstroGrep.exe" /e /r /s /spath="%USERPROFILE%\AppData\Local\Temp\OnboardLogs" /stypes="app*4025*20171129*" /stext=" 17:.+((SYSTEM_STATE.+slice.+state.+changed )|(ment ac)|(multiple cpu faults)|(system.+state.+changed )|(\[timeout)|(PRM\|1\|D)|(kpr)|(kdp)|(train st.+moving)|(\|lc)|(penalty))"</v>
      </c>
      <c r="AG58" s="245" t="str">
        <f t="shared" si="45"/>
        <v>EC</v>
      </c>
      <c r="AH58" s="237" t="str">
        <f t="shared" si="14"/>
        <v>"%USERPROFILE%\Documents\GitHub\eaglep3\Utilities\RefineRTDCRunTimes.py" --tripid 144-29 --locoid 4025 --swversion DE.1.0.9.0 --startMP 204:232955 --initTime 2017-11-29T09:53:46 --startdatetime 2017-11-29T09:57:15 --delay 61 --endMP 204:198 --enddatetime 2017-11-29T10:36:27 --enforcementcount 0 &gt;&gt;%USERPROFILE%\Documents\GitHub\eaglep3-reporting\EC\2017-11-29-refined-times.txt</v>
      </c>
      <c r="AI58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{"issue":{"subject":"","project_id":79,"tracker_id":40,"status_id":1,"priority_id":2,"assigned_to_id":338,"start_date":"2017-11-29","description":"","custom_fields":[{"id":1,"name":"Subdivision","value":"EC"},{"id":4,"name":"Milepost","value":"0.0198"},{"id":17,"name":"Train ID","value":"144-29"},{"id":16,"name":"Locomotive ID","value":"4025"},{"id":130,"name":"Impact","value":""},{"id":150,"name":"Time of Event (Mountain Time)","value":"10:36:27"},{"id":151,"name":"Denver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4"/>
      <c r="AK58" s="232"/>
      <c r="AL58" s="232"/>
      <c r="AM58" s="241" t="str">
        <f t="shared" si="16"/>
        <v>start /low /b %USERPROFILE%\Documents\GitHub\eaglep3\Utilities\DownloadLogsFromS3.py --loco 4025 --day 2017-11-29</v>
      </c>
      <c r="AN58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17:36:27"},{"id":29,"name":"Sharepoint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1" t="str">
        <f t="shared" si="18"/>
        <v>https://d0f6bd738d7f1b3e5a7ca70fe4ff75f0.us-east-1.aws.found.io/app/kibana#/discover/Steve-Slow-Train-Analysis-(2080s-and-2083s)?_g=(refreshInterval:(display:Off,pause:!f,section:0,value:0),time:(from:'2017-11-29T08:53:46-0700',mode:absolute,to:'2017-11-29T11:36:27-0700'))&amp;_a=(columns:!('Message%20ID',Summary),filters:!(),index:'emp_*',interval:auto,query:(query_string:(analyze_wildcard:!t,query:'%22rtdc.l.rtdc.4025%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230" t="s">
        <v>724</v>
      </c>
      <c r="B59" s="226">
        <v>4020</v>
      </c>
      <c r="C59" s="228" t="s">
        <v>192</v>
      </c>
      <c r="D59" s="228" t="s">
        <v>414</v>
      </c>
      <c r="E59" s="227">
        <v>43068.383634259262</v>
      </c>
      <c r="F59" s="227">
        <v>43068.385555555556</v>
      </c>
      <c r="G59" s="226">
        <v>48</v>
      </c>
      <c r="H59" s="228" t="s">
        <v>912</v>
      </c>
      <c r="I59" s="227">
        <v>43068.410219907404</v>
      </c>
      <c r="J59" s="226">
        <v>0</v>
      </c>
      <c r="K59" s="238" t="str">
        <f t="shared" si="40"/>
        <v>4019/4020</v>
      </c>
      <c r="L59" s="246" t="str">
        <f>VLOOKUP(A59,'Trips&amp;Operators'!$C$1:$G$99911,5,FALSE)</f>
        <v>FORTUNATO FRANK</v>
      </c>
      <c r="M59" s="225">
        <f t="shared" si="41"/>
        <v>2.4664351847604848E-2</v>
      </c>
      <c r="N59" s="226">
        <f t="shared" si="35"/>
        <v>35.516666660550982</v>
      </c>
      <c r="O59" s="226"/>
      <c r="P59" s="226"/>
      <c r="Q59" s="229"/>
      <c r="R59" s="243"/>
      <c r="S59" s="250">
        <f t="shared" si="27"/>
        <v>1</v>
      </c>
      <c r="T59" s="243" t="str">
        <f t="shared" si="42"/>
        <v>NorthBound</v>
      </c>
      <c r="U59" s="24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9" t="str">
        <f t="shared" si="3"/>
        <v>https://d0f6bd738d7f1b3e5a7ca70fe4ff75f0.us-east-1.aws.found.io/app/kibana#/discover/Steve-Slow-Train-Analysis-(2080s-and-2083s)?_g=(refreshInterval:(display:Off,pause:!f,section:0,value:0),time:(from:'2017-11-29T08:12:26-0700',mode:absolute,to:'2017-11-29T10:50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9" s="248" t="str">
        <f>IF(AA59&lt;VLOOKUP(AG59,Variables!$AC$3:$AD$8,2,FALSE),"Y","N")</f>
        <v>N</v>
      </c>
      <c r="X59" s="248">
        <f t="shared" si="39"/>
        <v>1</v>
      </c>
      <c r="Y59" s="248">
        <f t="shared" si="37"/>
        <v>5.28E-2</v>
      </c>
      <c r="Z59" s="248">
        <f t="shared" si="38"/>
        <v>23.319800000000001</v>
      </c>
      <c r="AA59" s="248">
        <f t="shared" si="43"/>
        <v>23.266999999999999</v>
      </c>
      <c r="AB59" s="234" t="e">
        <f>VLOOKUP(A59,Enforcements!$C$7:$K$9,8,0)</f>
        <v>#N/A</v>
      </c>
      <c r="AC59" s="233" t="e">
        <f>VLOOKUP(A59,Enforcements!$C$7:$E$9,3,0)</f>
        <v>#N/A</v>
      </c>
      <c r="AD59" s="244">
        <f t="shared" si="44"/>
        <v>145</v>
      </c>
      <c r="AE59" s="236" t="str">
        <f t="shared" si="6"/>
        <v>aws s3 cp s3://rtdc.mdm.uploadarchive.raw/RTDC4020/ "%USERPROFILE%\AppData\Local\Temp\OnboardLogs"\RTDC4020\2017-11-29 --exclude "*" --recursive --include "*20171129*" &amp; "%USERPROFILE%\Documents\GitHub\mrs-test-scripts\Headless Mode &amp; Sideloading\WalkAndUnGZ.bat" "%USERPROFILE%\AppData\Local\Temp\OnboardLogs"\RTDC4020\2017-11-29 &amp; aws s3 cp s3://rtdc.mdm.uploadarchive.raw/RTDC4020/ "%USERPROFILE%\AppData\Local\Temp\OnboardLogs"\RTDC4020\2017-11-30 --exclude "*" --recursive --include "*20171130*" &amp; "%USERPROFILE%\Documents\GitHub\mrs-test-scripts\Headless Mode &amp; Sideloading\WalkAndUnGZ.bat" "%USERPROFILE%\AppData\Local\Temp\OnboardLogs"\RTDC4020\2017-11-30</v>
      </c>
      <c r="AF59" s="235" t="str">
        <f t="shared" si="7"/>
        <v>"C:\Program Files (x86)\AstroGrep\AstroGrep.exe" /e /r /s /spath="%USERPROFILE%\AppData\Local\Temp\OnboardLogs" /stypes="app*4020*20171129*" /stext=" 16:.+((SYSTEM_STATE.+slice.+state.+changed )|(ment ac)|(multiple cpu faults)|(system.+state.+changed )|(\[timeout)|(PRM\|1\|D)|(kpr)|(kdp)|(train st.+moving)|(\|lc)|(penalty))"</v>
      </c>
      <c r="AG59" s="245" t="str">
        <f t="shared" si="45"/>
        <v>EC</v>
      </c>
      <c r="AH59" s="237" t="str">
        <f t="shared" si="14"/>
        <v>"%USERPROFILE%\Documents\GitHub\eaglep3\Utilities\RefineRTDCRunTimes.py" --tripid 145-29 --locoid 4020 --swversion DE.1.0.9.0 --startMP 204:528 --initTime 2017-11-29T09:12:26 --startdatetime 2017-11-29T09:15:12 --delay 48 --endMP 204:233198 --enddatetime 2017-11-29T09:50:43 --enforcementcount 0 &gt;&gt;%USERPROFILE%\Documents\GitHub\eaglep3-reporting\EC\2017-11-29-refined-times.txt</v>
      </c>
      <c r="AI59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{"issue":{"subject":"","project_id":79,"tracker_id":40,"status_id":1,"priority_id":2,"assigned_to_id":338,"start_date":"2017-11-29","description":"","custom_fields":[{"id":1,"name":"Subdivision","value":"EC"},{"id":4,"name":"Milepost","value":"23.3198"},{"id":17,"name":"Train ID","value":"145-29"},{"id":16,"name":"Locomotive ID","value":"4020"},{"id":130,"name":"Impact","value":""},{"id":150,"name":"Time of Event (Mountain Time)","value":"09:50:43"},{"id":151,"name":"Denver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4"/>
      <c r="AK59" s="232"/>
      <c r="AL59" s="232"/>
      <c r="AM59" s="241" t="str">
        <f t="shared" si="16"/>
        <v>start /low /b %USERPROFILE%\Documents\GitHub\eaglep3\Utilities\DownloadLogsFromS3.py --loco 4020 --day 2017-11-29</v>
      </c>
      <c r="AN59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16:50:43"},{"id":29,"name":"Sharepoint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1" t="str">
        <f t="shared" si="18"/>
        <v>https://d0f6bd738d7f1b3e5a7ca70fe4ff75f0.us-east-1.aws.found.io/app/kibana#/discover/Steve-Slow-Train-Analysis-(2080s-and-2083s)?_g=(refreshInterval:(display:Off,pause:!f,section:0,value:0),time:(from:'2017-11-29T08:12:26-0700',mode:absolute,to:'2017-11-29T10:50:43-0700'))&amp;_a=(columns:!('Message%20ID',Summary),filters:!(),index:'emp_*',interval:auto,query:(query_string:(analyze_wildcard:!t,query:'%22rtdc.l.rtdc.4020%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230" t="s">
        <v>731</v>
      </c>
      <c r="B60" s="226">
        <v>4019</v>
      </c>
      <c r="C60" s="228" t="s">
        <v>192</v>
      </c>
      <c r="D60" s="228" t="s">
        <v>913</v>
      </c>
      <c r="E60" s="227">
        <v>43068.411932870367</v>
      </c>
      <c r="F60" s="227">
        <v>43068.425347222219</v>
      </c>
      <c r="G60" s="226">
        <v>49</v>
      </c>
      <c r="H60" s="228" t="s">
        <v>440</v>
      </c>
      <c r="I60" s="227">
        <v>43068.450972222221</v>
      </c>
      <c r="J60" s="226">
        <v>0</v>
      </c>
      <c r="K60" s="238" t="str">
        <f t="shared" si="40"/>
        <v>4019/4020</v>
      </c>
      <c r="L60" s="246" t="str">
        <f>VLOOKUP(A60,'Trips&amp;Operators'!$C$1:$G$99911,5,FALSE)</f>
        <v>FORTUNATO FRANK</v>
      </c>
      <c r="M60" s="225">
        <f t="shared" si="41"/>
        <v>2.5625000002037268E-2</v>
      </c>
      <c r="N60" s="226">
        <f t="shared" si="35"/>
        <v>36.900000002933666</v>
      </c>
      <c r="O60" s="226"/>
      <c r="P60" s="226"/>
      <c r="Q60" s="229"/>
      <c r="R60" s="243"/>
      <c r="S60" s="250">
        <f t="shared" si="27"/>
        <v>1</v>
      </c>
      <c r="T60" s="243" t="str">
        <f t="shared" si="42"/>
        <v>Southbound</v>
      </c>
      <c r="U60" s="24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9" t="str">
        <f t="shared" si="3"/>
        <v>https://d0f6bd738d7f1b3e5a7ca70fe4ff75f0.us-east-1.aws.found.io/app/kibana#/discover/Steve-Slow-Train-Analysis-(2080s-and-2083s)?_g=(refreshInterval:(display:Off,pause:!f,section:0,value:0),time:(from:'2017-11-29T08:53:11-0700',mode:absolute,to:'2017-11-29T11:49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0" s="248" t="str">
        <f>IF(AA60&lt;VLOOKUP(AG60,Variables!$AC$3:$AD$8,2,FALSE),"Y","N")</f>
        <v>N</v>
      </c>
      <c r="X60" s="248">
        <f t="shared" si="39"/>
        <v>1</v>
      </c>
      <c r="Y60" s="248">
        <f t="shared" ref="Y60:Y91" si="46">RIGHT(D60,LEN(D60)-4)/10000</f>
        <v>23.288499999999999</v>
      </c>
      <c r="Z60" s="248">
        <f t="shared" ref="Z60:Z91" si="47">RIGHT(H60,LEN(H60)-4)/10000</f>
        <v>2.18E-2</v>
      </c>
      <c r="AA60" s="248">
        <f t="shared" si="43"/>
        <v>23.2667</v>
      </c>
      <c r="AB60" s="234" t="e">
        <f>VLOOKUP(A60,Enforcements!$C$7:$K$9,8,0)</f>
        <v>#N/A</v>
      </c>
      <c r="AC60" s="233" t="e">
        <f>VLOOKUP(A60,Enforcements!$C$7:$E$9,3,0)</f>
        <v>#N/A</v>
      </c>
      <c r="AD60" s="244">
        <f t="shared" si="44"/>
        <v>146</v>
      </c>
      <c r="AE60" s="236" t="str">
        <f t="shared" si="6"/>
        <v>aws s3 cp s3://rtdc.mdm.uploadarchive.raw/RTDC4019/ "%USERPROFILE%\AppData\Local\Temp\OnboardLogs"\RTDC4019\2017-11-29 --exclude "*" --recursive --include "*20171129*" &amp; "%USERPROFILE%\Documents\GitHub\mrs-test-scripts\Headless Mode &amp; Sideloading\WalkAndUnGZ.bat" "%USERPROFILE%\AppData\Local\Temp\OnboardLogs"\RTDC4019\2017-11-29 &amp; aws s3 cp s3://rtdc.mdm.uploadarchive.raw/RTDC4019/ "%USERPROFILE%\AppData\Local\Temp\OnboardLogs"\RTDC4019\2017-11-30 --exclude "*" --recursive --include "*20171130*" &amp; "%USERPROFILE%\Documents\GitHub\mrs-test-scripts\Headless Mode &amp; Sideloading\WalkAndUnGZ.bat" "%USERPROFILE%\AppData\Local\Temp\OnboardLogs"\RTDC4019\2017-11-30</v>
      </c>
      <c r="AF60" s="235" t="str">
        <f t="shared" si="7"/>
        <v>"C:\Program Files (x86)\AstroGrep\AstroGrep.exe" /e /r /s /spath="%USERPROFILE%\AppData\Local\Temp\OnboardLogs" /stypes="app*4019*20171129*" /stext=" 17:.+((SYSTEM_STATE.+slice.+state.+changed )|(ment ac)|(multiple cpu faults)|(system.+state.+changed )|(\[timeout)|(PRM\|1\|D)|(kpr)|(kdp)|(train st.+moving)|(\|lc)|(penalty))"</v>
      </c>
      <c r="AG60" s="245" t="str">
        <f t="shared" si="45"/>
        <v>EC</v>
      </c>
      <c r="AH60" s="237" t="str">
        <f t="shared" si="14"/>
        <v>"%USERPROFILE%\Documents\GitHub\eaglep3\Utilities\RefineRTDCRunTimes.py" --tripid 146-29 --locoid 4019 --swversion DE.1.0.9.0 --startMP 204:232885 --initTime 2017-11-29T09:53:11 --startdatetime 2017-11-29T10:12:30 --delay 49 --endMP 204:218 --enddatetime 2017-11-29T10:49:24 --enforcementcount 0 &gt;&gt;%USERPROFILE%\Documents\GitHub\eaglep3-reporting\EC\2017-11-29-refined-times.txt</v>
      </c>
      <c r="AI60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{"issue":{"subject":"","project_id":79,"tracker_id":40,"status_id":1,"priority_id":2,"assigned_to_id":338,"start_date":"2017-11-29","description":"","custom_fields":[{"id":1,"name":"Subdivision","value":"EC"},{"id":4,"name":"Milepost","value":"0.0218"},{"id":17,"name":"Train ID","value":"146-29"},{"id":16,"name":"Locomotive ID","value":"4019"},{"id":130,"name":"Impact","value":""},{"id":150,"name":"Time of Event (Mountain Time)","value":"10:49:24"},{"id":151,"name":"Denver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4"/>
      <c r="AK60" s="232"/>
      <c r="AL60" s="232"/>
      <c r="AM60" s="241" t="str">
        <f t="shared" si="16"/>
        <v>start /low /b %USERPROFILE%\Documents\GitHub\eaglep3\Utilities\DownloadLogsFromS3.py --loco 4019 --day 2017-11-29</v>
      </c>
      <c r="AN60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17:49:24"},{"id":29,"name":"Sharepoint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1" t="str">
        <f t="shared" si="18"/>
        <v>https://d0f6bd738d7f1b3e5a7ca70fe4ff75f0.us-east-1.aws.found.io/app/kibana#/discover/Steve-Slow-Train-Analysis-(2080s-and-2083s)?_g=(refreshInterval:(display:Off,pause:!f,section:0,value:0),time:(from:'2017-11-29T08:53:11-0700',mode:absolute,to:'2017-11-29T11:49:24-0700'))&amp;_a=(columns:!('Message%20ID',Summary),filters:!(),index:'emp_*',interval:auto,query:(query_string:(analyze_wildcard:!t,query:'%22rtdc.l.rtdc.4019%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230" t="s">
        <v>727</v>
      </c>
      <c r="B61" s="226">
        <v>4002</v>
      </c>
      <c r="C61" s="228" t="s">
        <v>192</v>
      </c>
      <c r="D61" s="228" t="s">
        <v>448</v>
      </c>
      <c r="E61" s="227">
        <v>43068.389270833337</v>
      </c>
      <c r="F61" s="227">
        <v>43068.396041666667</v>
      </c>
      <c r="G61" s="226">
        <v>213</v>
      </c>
      <c r="H61" s="228" t="s">
        <v>914</v>
      </c>
      <c r="I61" s="227">
        <v>43068.419618055559</v>
      </c>
      <c r="J61" s="226">
        <v>0</v>
      </c>
      <c r="K61" s="238" t="str">
        <f t="shared" si="40"/>
        <v>4001/4002</v>
      </c>
      <c r="L61" s="246" t="str">
        <f>VLOOKUP(A61,'Trips&amp;Operators'!$C$1:$G$99911,5,FALSE)</f>
        <v>YORK EDGAR</v>
      </c>
      <c r="M61" s="225">
        <f t="shared" si="41"/>
        <v>2.3576388892251998E-2</v>
      </c>
      <c r="N61" s="226">
        <f t="shared" si="35"/>
        <v>33.950000004842877</v>
      </c>
      <c r="O61" s="226"/>
      <c r="P61" s="226"/>
      <c r="Q61" s="229"/>
      <c r="R61" s="243"/>
      <c r="S61" s="250">
        <f t="shared" si="27"/>
        <v>1</v>
      </c>
      <c r="T61" s="243" t="str">
        <f t="shared" si="42"/>
        <v>NorthBound</v>
      </c>
      <c r="U61" s="24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9" t="str">
        <f t="shared" si="3"/>
        <v>https://d0f6bd738d7f1b3e5a7ca70fe4ff75f0.us-east-1.aws.found.io/app/kibana#/discover/Steve-Slow-Train-Analysis-(2080s-and-2083s)?_g=(refreshInterval:(display:Off,pause:!f,section:0,value:0),time:(from:'2017-11-29T08:20:33-0700',mode:absolute,to:'2017-11-29T11:04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1" s="248" t="str">
        <f>IF(AA61&lt;VLOOKUP(AG61,Variables!$AC$3:$AD$8,2,FALSE),"Y","N")</f>
        <v>N</v>
      </c>
      <c r="X61" s="248">
        <f t="shared" si="39"/>
        <v>1</v>
      </c>
      <c r="Y61" s="248">
        <f t="shared" si="46"/>
        <v>4.53E-2</v>
      </c>
      <c r="Z61" s="248">
        <f t="shared" si="47"/>
        <v>23.328800000000001</v>
      </c>
      <c r="AA61" s="248">
        <f t="shared" si="43"/>
        <v>23.2835</v>
      </c>
      <c r="AB61" s="234" t="e">
        <f>VLOOKUP(A61,Enforcements!$C$7:$K$9,8,0)</f>
        <v>#N/A</v>
      </c>
      <c r="AC61" s="233" t="e">
        <f>VLOOKUP(A61,Enforcements!$C$7:$E$9,3,0)</f>
        <v>#N/A</v>
      </c>
      <c r="AD61" s="244">
        <f t="shared" si="44"/>
        <v>147</v>
      </c>
      <c r="AE61" s="236" t="str">
        <f t="shared" si="6"/>
        <v>aws s3 cp s3://rtdc.mdm.uploadarchive.raw/RTDC4002/ "%USERPROFILE%\AppData\Local\Temp\OnboardLogs"\RTDC4002\2017-11-29 --exclude "*" --recursive --include "*20171129*" &amp; "%USERPROFILE%\Documents\GitHub\mrs-test-scripts\Headless Mode &amp; Sideloading\WalkAndUnGZ.bat" "%USERPROFILE%\AppData\Local\Temp\OnboardLogs"\RTDC4002\2017-11-29 &amp; aws s3 cp s3://rtdc.mdm.uploadarchive.raw/RTDC4002/ "%USERPROFILE%\AppData\Local\Temp\OnboardLogs"\RTDC4002\2017-11-30 --exclude "*" --recursive --include "*20171130*" &amp; "%USERPROFILE%\Documents\GitHub\mrs-test-scripts\Headless Mode &amp; Sideloading\WalkAndUnGZ.bat" "%USERPROFILE%\AppData\Local\Temp\OnboardLogs"\RTDC4002\2017-11-30</v>
      </c>
      <c r="AF61" s="235" t="str">
        <f t="shared" si="7"/>
        <v>"C:\Program Files (x86)\AstroGrep\AstroGrep.exe" /e /r /s /spath="%USERPROFILE%\AppData\Local\Temp\OnboardLogs" /stypes="app*4002*20171129*" /stext=" 17:.+((SYSTEM_STATE.+slice.+state.+changed )|(ment ac)|(multiple cpu faults)|(system.+state.+changed )|(\[timeout)|(PRM\|1\|D)|(kpr)|(kdp)|(train st.+moving)|(\|lc)|(penalty))"</v>
      </c>
      <c r="AG61" s="245" t="str">
        <f t="shared" si="45"/>
        <v>EC</v>
      </c>
      <c r="AH61" s="237" t="str">
        <f t="shared" si="14"/>
        <v>"%USERPROFILE%\Documents\GitHub\eaglep3\Utilities\RefineRTDCRunTimes.py" --tripid 147-29 --locoid 4002 --swversion DE.1.0.9.0 --startMP 204:453 --initTime 2017-11-29T09:20:33 --startdatetime 2017-11-29T09:30:18 --delay 213 --endMP 204:233288 --enddatetime 2017-11-29T10:04:15 --enforcementcount 0 &gt;&gt;%USERPROFILE%\Documents\GitHub\eaglep3-reporting\EC\2017-11-29-refined-times.txt</v>
      </c>
      <c r="AI61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{"issue":{"subject":"","project_id":79,"tracker_id":40,"status_id":1,"priority_id":2,"assigned_to_id":338,"start_date":"2017-11-29","description":"","custom_fields":[{"id":1,"name":"Subdivision","value":"EC"},{"id":4,"name":"Milepost","value":"23.3288"},{"id":17,"name":"Train ID","value":"147-29"},{"id":16,"name":"Locomotive ID","value":"4002"},{"id":130,"name":"Impact","value":""},{"id":150,"name":"Time of Event (Mountain Time)","value":"10:04:15"},{"id":151,"name":"Denver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4"/>
      <c r="AK61" s="232"/>
      <c r="AL61" s="232"/>
      <c r="AM61" s="241" t="str">
        <f t="shared" si="16"/>
        <v>start /low /b %USERPROFILE%\Documents\GitHub\eaglep3\Utilities\DownloadLogsFromS3.py --loco 4002 --day 2017-11-29</v>
      </c>
      <c r="AN61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17:04:15"},{"id":29,"name":"Sharepoint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1" t="str">
        <f t="shared" si="18"/>
        <v>https://d0f6bd738d7f1b3e5a7ca70fe4ff75f0.us-east-1.aws.found.io/app/kibana#/discover/Steve-Slow-Train-Analysis-(2080s-and-2083s)?_g=(refreshInterval:(display:Off,pause:!f,section:0,value:0),time:(from:'2017-11-29T08:20:33-0700',mode:absolute,to:'2017-11-29T11:04:15-0700'))&amp;_a=(columns:!('Message%20ID',Summary),filters:!(),index:'emp_*',interval:auto,query:(query_string:(analyze_wildcard:!t,query:'%22rtdc.l.rtdc.4002%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230" t="s">
        <v>734</v>
      </c>
      <c r="B62" s="226">
        <v>4001</v>
      </c>
      <c r="C62" s="228" t="s">
        <v>192</v>
      </c>
      <c r="D62" s="228" t="s">
        <v>552</v>
      </c>
      <c r="E62" s="227">
        <v>43068.421076388891</v>
      </c>
      <c r="F62" s="227">
        <v>43068.435891203706</v>
      </c>
      <c r="G62" s="226">
        <v>49</v>
      </c>
      <c r="H62" s="228" t="s">
        <v>566</v>
      </c>
      <c r="I62" s="227">
        <v>43068.461851851855</v>
      </c>
      <c r="J62" s="226">
        <v>0</v>
      </c>
      <c r="K62" s="238" t="str">
        <f t="shared" si="40"/>
        <v>4001/4002</v>
      </c>
      <c r="L62" s="246" t="str">
        <f>VLOOKUP(A62,'Trips&amp;Operators'!$C$1:$G$99911,5,FALSE)</f>
        <v>YORK EDGAR</v>
      </c>
      <c r="M62" s="225">
        <f t="shared" si="41"/>
        <v>2.5960648148611654E-2</v>
      </c>
      <c r="N62" s="226">
        <f t="shared" si="35"/>
        <v>37.383333334000781</v>
      </c>
      <c r="O62" s="226"/>
      <c r="P62" s="226"/>
      <c r="Q62" s="229"/>
      <c r="R62" s="243"/>
      <c r="S62" s="250">
        <f t="shared" si="27"/>
        <v>1</v>
      </c>
      <c r="T62" s="243" t="str">
        <f t="shared" si="42"/>
        <v>Southbound</v>
      </c>
      <c r="U62" s="24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9" t="str">
        <f t="shared" si="3"/>
        <v>https://d0f6bd738d7f1b3e5a7ca70fe4ff75f0.us-east-1.aws.found.io/app/kibana#/discover/Steve-Slow-Train-Analysis-(2080s-and-2083s)?_g=(refreshInterval:(display:Off,pause:!f,section:0,value:0),time:(from:'2017-11-29T09:06:21-0700',mode:absolute,to:'2017-11-29T12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2" s="248" t="str">
        <f>IF(AA62&lt;VLOOKUP(AG62,Variables!$AC$3:$AD$8,2,FALSE),"Y","N")</f>
        <v>N</v>
      </c>
      <c r="X62" s="248">
        <f t="shared" si="39"/>
        <v>1</v>
      </c>
      <c r="Y62" s="248">
        <f t="shared" si="46"/>
        <v>23.295500000000001</v>
      </c>
      <c r="Z62" s="248">
        <f t="shared" si="47"/>
        <v>1.5800000000000002E-2</v>
      </c>
      <c r="AA62" s="248">
        <f t="shared" si="43"/>
        <v>23.279700000000002</v>
      </c>
      <c r="AB62" s="234" t="e">
        <f>VLOOKUP(A62,Enforcements!$C$7:$K$9,8,0)</f>
        <v>#N/A</v>
      </c>
      <c r="AC62" s="233" t="e">
        <f>VLOOKUP(A62,Enforcements!$C$7:$E$9,3,0)</f>
        <v>#N/A</v>
      </c>
      <c r="AD62" s="244">
        <f t="shared" si="44"/>
        <v>148</v>
      </c>
      <c r="AE62" s="236" t="str">
        <f t="shared" si="6"/>
        <v>aws s3 cp s3://rtdc.mdm.uploadarchive.raw/RTDC4001/ "%USERPROFILE%\AppData\Local\Temp\OnboardLogs"\RTDC4001\2017-11-29 --exclude "*" --recursive --include "*20171129*" &amp; "%USERPROFILE%\Documents\GitHub\mrs-test-scripts\Headless Mode &amp; Sideloading\WalkAndUnGZ.bat" "%USERPROFILE%\AppData\Local\Temp\OnboardLogs"\RTDC4001\2017-11-29 &amp; aws s3 cp s3://rtdc.mdm.uploadarchive.raw/RTDC4001/ "%USERPROFILE%\AppData\Local\Temp\OnboardLogs"\RTDC4001\2017-11-30 --exclude "*" --recursive --include "*20171130*" &amp; "%USERPROFILE%\Documents\GitHub\mrs-test-scripts\Headless Mode &amp; Sideloading\WalkAndUnGZ.bat" "%USERPROFILE%\AppData\Local\Temp\OnboardLogs"\RTDC4001\2017-11-30</v>
      </c>
      <c r="AF62" s="235" t="str">
        <f t="shared" si="7"/>
        <v>"C:\Program Files (x86)\AstroGrep\AstroGrep.exe" /e /r /s /spath="%USERPROFILE%\AppData\Local\Temp\OnboardLogs" /stypes="app*4001*20171129*" /stext=" 18:.+((SYSTEM_STATE.+slice.+state.+changed )|(ment ac)|(multiple cpu faults)|(system.+state.+changed )|(\[timeout)|(PRM\|1\|D)|(kpr)|(kdp)|(train st.+moving)|(\|lc)|(penalty))"</v>
      </c>
      <c r="AG62" s="245" t="str">
        <f t="shared" si="45"/>
        <v>EC</v>
      </c>
      <c r="AH62" s="237" t="str">
        <f t="shared" si="14"/>
        <v>"%USERPROFILE%\Documents\GitHub\eaglep3\Utilities\RefineRTDCRunTimes.py" --tripid 148-29 --locoid 4001 --swversion DE.1.0.9.0 --startMP 204:232955 --initTime 2017-11-29T10:06:21 --startdatetime 2017-11-29T10:27:41 --delay 49 --endMP 204:158 --enddatetime 2017-11-29T11:05:04 --enforcementcount 0 &gt;&gt;%USERPROFILE%\Documents\GitHub\eaglep3-reporting\EC\2017-11-29-refined-times.txt</v>
      </c>
      <c r="AI62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{"issue":{"subject":"","project_id":79,"tracker_id":40,"status_id":1,"priority_id":2,"assigned_to_id":338,"start_date":"2017-11-29","description":"","custom_fields":[{"id":1,"name":"Subdivision","value":"EC"},{"id":4,"name":"Milepost","value":"0.0158"},{"id":17,"name":"Train ID","value":"148-29"},{"id":16,"name":"Locomotive ID","value":"4001"},{"id":130,"name":"Impact","value":""},{"id":150,"name":"Time of Event (Mountain Time)","value":"11:05:04"},{"id":151,"name":"Denver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4"/>
      <c r="AK62" s="232"/>
      <c r="AL62" s="232"/>
      <c r="AM62" s="241" t="str">
        <f t="shared" si="16"/>
        <v>start /low /b %USERPROFILE%\Documents\GitHub\eaglep3\Utilities\DownloadLogsFromS3.py --loco 4001 --day 2017-11-29</v>
      </c>
      <c r="AN62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18:05:04"},{"id":29,"name":"Sharepoint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1" t="str">
        <f t="shared" si="18"/>
        <v>https://d0f6bd738d7f1b3e5a7ca70fe4ff75f0.us-east-1.aws.found.io/app/kibana#/discover/Steve-Slow-Train-Analysis-(2080s-and-2083s)?_g=(refreshInterval:(display:Off,pause:!f,section:0,value:0),time:(from:'2017-11-29T09:06:21-0700',mode:absolute,to:'2017-11-29T12:05:04-0700'))&amp;_a=(columns:!('Message%20ID',Summary),filters:!(),index:'emp_*',interval:auto,query:(query_string:(analyze_wildcard:!t,query:'%22rtdc.l.rtdc.4001%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230" t="s">
        <v>729</v>
      </c>
      <c r="B63" s="226">
        <v>4006</v>
      </c>
      <c r="C63" s="228" t="s">
        <v>192</v>
      </c>
      <c r="D63" s="228" t="s">
        <v>427</v>
      </c>
      <c r="E63" s="227">
        <v>43068.401423611111</v>
      </c>
      <c r="F63" s="227">
        <v>43068.406481481485</v>
      </c>
      <c r="G63" s="226">
        <v>57</v>
      </c>
      <c r="H63" s="228" t="s">
        <v>513</v>
      </c>
      <c r="I63" s="227">
        <v>43068.431504629632</v>
      </c>
      <c r="J63" s="226">
        <v>0</v>
      </c>
      <c r="K63" s="238" t="str">
        <f t="shared" si="40"/>
        <v>4005/4006</v>
      </c>
      <c r="L63" s="246" t="str">
        <f>VLOOKUP(A63,'Trips&amp;Operators'!$C$1:$G$99911,5,FALSE)</f>
        <v>DAVIDSON DAVID</v>
      </c>
      <c r="M63" s="225">
        <f t="shared" si="41"/>
        <v>2.5023148147738539E-2</v>
      </c>
      <c r="N63" s="226">
        <f t="shared" si="35"/>
        <v>36.033333332743496</v>
      </c>
      <c r="O63" s="226"/>
      <c r="P63" s="226"/>
      <c r="Q63" s="229"/>
      <c r="R63" s="243"/>
      <c r="S63" s="250">
        <f t="shared" si="27"/>
        <v>1</v>
      </c>
      <c r="T63" s="243" t="str">
        <f t="shared" si="42"/>
        <v>NorthBound</v>
      </c>
      <c r="U63" s="24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9" t="str">
        <f t="shared" si="3"/>
        <v>https://d0f6bd738d7f1b3e5a7ca70fe4ff75f0.us-east-1.aws.found.io/app/kibana#/discover/Steve-Slow-Train-Analysis-(2080s-and-2083s)?_g=(refreshInterval:(display:Off,pause:!f,section:0,value:0),time:(from:'2017-11-29T08:38:03-0700',mode:absolute,to:'2017-11-29T11:21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3" s="248" t="str">
        <f>IF(AA63&lt;VLOOKUP(AG63,Variables!$AC$3:$AD$8,2,FALSE),"Y","N")</f>
        <v>N</v>
      </c>
      <c r="X63" s="248">
        <f t="shared" ref="X63:X94" si="48">VALUE(LEFT(AD63,4))-VALUE(LEFT(AD62,4))</f>
        <v>1</v>
      </c>
      <c r="Y63" s="248">
        <f t="shared" si="46"/>
        <v>5.2600000000000001E-2</v>
      </c>
      <c r="Z63" s="248">
        <f t="shared" si="47"/>
        <v>23.324000000000002</v>
      </c>
      <c r="AA63" s="248">
        <f t="shared" si="43"/>
        <v>23.2714</v>
      </c>
      <c r="AB63" s="234" t="e">
        <f>VLOOKUP(A63,Enforcements!$C$7:$K$9,8,0)</f>
        <v>#N/A</v>
      </c>
      <c r="AC63" s="233" t="e">
        <f>VLOOKUP(A63,Enforcements!$C$7:$E$9,3,0)</f>
        <v>#N/A</v>
      </c>
      <c r="AD63" s="244">
        <f t="shared" si="44"/>
        <v>149</v>
      </c>
      <c r="AE63" s="236" t="str">
        <f t="shared" si="6"/>
        <v>aws s3 cp s3://rtdc.mdm.uploadarchive.raw/RTDC4006/ "%USERPROFILE%\AppData\Local\Temp\OnboardLogs"\RTDC4006\2017-11-29 --exclude "*" --recursive --include "*20171129*" &amp; "%USERPROFILE%\Documents\GitHub\mrs-test-scripts\Headless Mode &amp; Sideloading\WalkAndUnGZ.bat" "%USERPROFILE%\AppData\Local\Temp\OnboardLogs"\RTDC4006\2017-11-29 &amp; aws s3 cp s3://rtdc.mdm.uploadarchive.raw/RTDC4006/ "%USERPROFILE%\AppData\Local\Temp\OnboardLogs"\RTDC4006\2017-11-30 --exclude "*" --recursive --include "*20171130*" &amp; "%USERPROFILE%\Documents\GitHub\mrs-test-scripts\Headless Mode &amp; Sideloading\WalkAndUnGZ.bat" "%USERPROFILE%\AppData\Local\Temp\OnboardLogs"\RTDC4006\2017-11-30</v>
      </c>
      <c r="AF63" s="235" t="str">
        <f t="shared" si="7"/>
        <v>"C:\Program Files (x86)\AstroGrep\AstroGrep.exe" /e /r /s /spath="%USERPROFILE%\AppData\Local\Temp\OnboardLogs" /stypes="app*4006*20171129*" /stext=" 17:.+((SYSTEM_STATE.+slice.+state.+changed )|(ment ac)|(multiple cpu faults)|(system.+state.+changed )|(\[timeout)|(PRM\|1\|D)|(kpr)|(kdp)|(train st.+moving)|(\|lc)|(penalty))"</v>
      </c>
      <c r="AG63" s="245" t="str">
        <f t="shared" si="45"/>
        <v>EC</v>
      </c>
      <c r="AH63" s="237" t="str">
        <f t="shared" si="14"/>
        <v>"%USERPROFILE%\Documents\GitHub\eaglep3\Utilities\RefineRTDCRunTimes.py" --tripid 149-29 --locoid 4006 --swversion DE.1.0.9.0 --startMP 204:526 --initTime 2017-11-29T09:38:03 --startdatetime 2017-11-29T09:45:20 --delay 57 --endMP 204:233240 --enddatetime 2017-11-29T10:21:22 --enforcementcount 0 &gt;&gt;%USERPROFILE%\Documents\GitHub\eaglep3-reporting\EC\2017-11-29-refined-times.txt</v>
      </c>
      <c r="AI63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{"issue":{"subject":"","project_id":79,"tracker_id":40,"status_id":1,"priority_id":2,"assigned_to_id":338,"start_date":"2017-11-29","description":"","custom_fields":[{"id":1,"name":"Subdivision","value":"EC"},{"id":4,"name":"Milepost","value":"23.324"},{"id":17,"name":"Train ID","value":"149-29"},{"id":16,"name":"Locomotive ID","value":"4006"},{"id":130,"name":"Impact","value":""},{"id":150,"name":"Time of Event (Mountain Time)","value":"10:21:22"},{"id":151,"name":"Denver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4"/>
      <c r="AK63" s="232"/>
      <c r="AL63" s="232"/>
      <c r="AM63" s="241" t="str">
        <f t="shared" si="16"/>
        <v>start /low /b %USERPROFILE%\Documents\GitHub\eaglep3\Utilities\DownloadLogsFromS3.py --loco 4006 --day 2017-11-29</v>
      </c>
      <c r="AN63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17:21:22"},{"id":29,"name":"Sharepoint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1" t="str">
        <f t="shared" si="18"/>
        <v>https://d0f6bd738d7f1b3e5a7ca70fe4ff75f0.us-east-1.aws.found.io/app/kibana#/discover/Steve-Slow-Train-Analysis-(2080s-and-2083s)?_g=(refreshInterval:(display:Off,pause:!f,section:0,value:0),time:(from:'2017-11-29T08:38:03-0700',mode:absolute,to:'2017-11-29T11:21:22-0700'))&amp;_a=(columns:!('Message%20ID',Summary),filters:!(),index:'emp_*',interval:auto,query:(query_string:(analyze_wildcard:!t,query:'%22rtdc.l.rtdc.4006%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230" t="s">
        <v>736</v>
      </c>
      <c r="B64" s="226">
        <v>4005</v>
      </c>
      <c r="C64" s="228" t="s">
        <v>192</v>
      </c>
      <c r="D64" s="228" t="s">
        <v>552</v>
      </c>
      <c r="E64" s="227">
        <v>43068.432847222219</v>
      </c>
      <c r="F64" s="227">
        <v>43068.446053240739</v>
      </c>
      <c r="G64" s="226">
        <v>55</v>
      </c>
      <c r="H64" s="228" t="s">
        <v>915</v>
      </c>
      <c r="I64" s="227">
        <v>43068.475613425922</v>
      </c>
      <c r="J64" s="226">
        <v>0</v>
      </c>
      <c r="K64" s="238" t="str">
        <f t="shared" si="40"/>
        <v>4005/4006</v>
      </c>
      <c r="L64" s="246" t="str">
        <f>VLOOKUP(A64,'Trips&amp;Operators'!$C$1:$G$99911,5,FALSE)</f>
        <v>DAVIDSON DAVID</v>
      </c>
      <c r="M64" s="225">
        <f t="shared" si="41"/>
        <v>2.9560185183072463E-2</v>
      </c>
      <c r="N64" s="226"/>
      <c r="O64" s="226"/>
      <c r="P64" s="226">
        <f>24*60*SUM($M64:$M64)</f>
        <v>42.566666663624346</v>
      </c>
      <c r="Q64" s="229"/>
      <c r="R64" s="243" t="s">
        <v>1126</v>
      </c>
      <c r="S64" s="250">
        <f>1/IF(AG64="EC",12,1)*SUM(U64:U65)</f>
        <v>0.66666666666666663</v>
      </c>
      <c r="T64" s="243" t="str">
        <f t="shared" si="42"/>
        <v>Southbound</v>
      </c>
      <c r="U64" s="24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8</v>
      </c>
      <c r="V64" s="249" t="str">
        <f t="shared" si="3"/>
        <v>https://d0f6bd738d7f1b3e5a7ca70fe4ff75f0.us-east-1.aws.found.io/app/kibana#/discover/Steve-Slow-Train-Analysis-(2080s-and-2083s)?_g=(refreshInterval:(display:Off,pause:!f,section:0,value:0),time:(from:'2017-11-29T09:23:18-0700',mode:absolute,to:'2017-11-29T12:24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4" s="248" t="str">
        <f>IF(AA64&lt;VLOOKUP(AG64,Variables!$AC$3:$AD$8,2,FALSE),"Y","N")</f>
        <v>Y</v>
      </c>
      <c r="X64" s="248">
        <f t="shared" si="48"/>
        <v>1</v>
      </c>
      <c r="Y64" s="248">
        <f t="shared" si="46"/>
        <v>23.295500000000001</v>
      </c>
      <c r="Z64" s="248">
        <f t="shared" si="47"/>
        <v>4.3613999999999997</v>
      </c>
      <c r="AA64" s="248">
        <f t="shared" si="43"/>
        <v>18.934100000000001</v>
      </c>
      <c r="AB64" s="234" t="e">
        <f>VLOOKUP(A64,Enforcements!$C$7:$K$9,8,0)</f>
        <v>#N/A</v>
      </c>
      <c r="AC64" s="233" t="e">
        <f>VLOOKUP(A64,Enforcements!$C$7:$E$9,3,0)</f>
        <v>#N/A</v>
      </c>
      <c r="AD64" s="244">
        <f t="shared" si="44"/>
        <v>150</v>
      </c>
      <c r="AE64" s="236" t="str">
        <f t="shared" si="6"/>
        <v>aws s3 cp s3://rtdc.mdm.uploadarchive.raw/RTDC4005/ "%USERPROFILE%\AppData\Local\Temp\OnboardLogs"\RTDC4005\2017-11-29 --exclude "*" --recursive --include "*20171129*" &amp; "%USERPROFILE%\Documents\GitHub\mrs-test-scripts\Headless Mode &amp; Sideloading\WalkAndUnGZ.bat" "%USERPROFILE%\AppData\Local\Temp\OnboardLogs"\RTDC4005\2017-11-29 &amp; aws s3 cp s3://rtdc.mdm.uploadarchive.raw/RTDC4005/ "%USERPROFILE%\AppData\Local\Temp\OnboardLogs"\RTDC4005\2017-11-30 --exclude "*" --recursive --include "*20171130*" &amp; "%USERPROFILE%\Documents\GitHub\mrs-test-scripts\Headless Mode &amp; Sideloading\WalkAndUnGZ.bat" "%USERPROFILE%\AppData\Local\Temp\OnboardLogs"\RTDC4005\2017-11-30</v>
      </c>
      <c r="AF64" s="235" t="str">
        <f t="shared" si="7"/>
        <v>"C:\Program Files (x86)\AstroGrep\AstroGrep.exe" /e /r /s /spath="%USERPROFILE%\AppData\Local\Temp\OnboardLogs" /stypes="app*4005*20171129*" /stext=" 18:.+((SYSTEM_STATE.+slice.+state.+changed )|(ment ac)|(multiple cpu faults)|(system.+state.+changed )|(\[timeout)|(PRM\|1\|D)|(kpr)|(kdp)|(train st.+moving)|(\|lc)|(penalty))"</v>
      </c>
      <c r="AG64" s="245" t="str">
        <f t="shared" si="45"/>
        <v>EC</v>
      </c>
      <c r="AH64" s="237" t="str">
        <f t="shared" si="14"/>
        <v>"%USERPROFILE%\Documents\GitHub\eaglep3\Utilities\RefineRTDCRunTimes.py" --tripid 150-29 --locoid 4005 --swversion DE.1.0.9.0 --startMP 204:232955 --initTime 2017-11-29T10:23:18 --startdatetime 2017-11-29T10:42:19 --delay 55 --endMP 204:43614 --enddatetime 2017-11-29T11:24:53 --enforcementcount 0 &gt;&gt;%USERPROFILE%\Documents\GitHub\eaglep3-reporting\EC\2017-11-29-refined-times.txt</v>
      </c>
      <c r="AI64" s="239" t="str">
        <f t="shared" si="15"/>
        <v>echo {"issue":{"subject":"Minor onboard in-route failure caused signal unknown banner","project_id":79,"tracker_id":40,"status_id":1,"priority_id":2,"assigned_to_id":338,"start_date":"2017-11-29","description":"","custom_fields":[{"id":1,"name":"Subdivision","value":"EC"},{"id":4,"name":"Milepost","value":"4.3614"},{"id":17,"name":"Train ID","value":"150-29"},{"id":16,"name":"Locomotive ID","value":"4005"},{"id":130,"name":"Impact","value":""},{"id":150,"name":"Time of Event (Mountain Time)","value":"11:24:53"},{"id":151,"name":"Denver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4"/>
      <c r="AK64" s="232"/>
      <c r="AL64" s="232"/>
      <c r="AM64" s="241" t="str">
        <f t="shared" si="16"/>
        <v>start /low /b %USERPROFILE%\Documents\GitHub\eaglep3\Utilities\DownloadLogsFromS3.py --loco 4005 --day 2017-11-29</v>
      </c>
      <c r="AN64" s="242" t="str">
        <f t="shared" si="17"/>
        <v>echo {"issue":{"subject":"Minor onboard in-route failure caused signal unknown banner","project_id":30,"tracker_id":4,"status_id":1,"priority_id":1,"assigned_to_id":10,"start_date":"2017-11-29","description":"","custom_fields":[{"id":30,"name":"Category","value":"Issue"},{"id":3,"name":"Functional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18:24:53"},{"id":29,"name":"Sharepoint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1" t="str">
        <f t="shared" si="18"/>
        <v>https://d0f6bd738d7f1b3e5a7ca70fe4ff75f0.us-east-1.aws.found.io/app/kibana#/discover/Steve-Slow-Train-Analysis-(2080s-and-2083s)?_g=(refreshInterval:(display:Off,pause:!f,section:0,value:0),time:(from:'2017-11-29T09:23:18-0700',mode:absolute,to:'2017-11-29T12:24:53-0700'))&amp;_a=(columns:!('Message%20ID',Summary),filters:!(),index:'emp_*',interval:auto,query:(query_string:(analyze_wildcard:!t,query:'%22rtdc.l.rtdc.4005%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230" t="s">
        <v>736</v>
      </c>
      <c r="B65" s="226">
        <v>4005</v>
      </c>
      <c r="C65" s="228" t="s">
        <v>192</v>
      </c>
      <c r="D65" s="228" t="s">
        <v>916</v>
      </c>
      <c r="E65" s="227">
        <v>43068.470451388886</v>
      </c>
      <c r="F65" s="227">
        <v>43068.471331018518</v>
      </c>
      <c r="G65" s="226">
        <v>38</v>
      </c>
      <c r="H65" s="228" t="s">
        <v>917</v>
      </c>
      <c r="I65" s="227">
        <v>43068.475613425922</v>
      </c>
      <c r="J65" s="226">
        <v>0</v>
      </c>
      <c r="K65" s="238" t="str">
        <f t="shared" si="40"/>
        <v>4005/4006</v>
      </c>
      <c r="L65" s="246" t="str">
        <f>VLOOKUP(A65,'Trips&amp;Operators'!$C$1:$G$99911,5,FALSE)</f>
        <v>DAVIDSON DAVID</v>
      </c>
      <c r="M65" s="225">
        <f t="shared" si="41"/>
        <v>4.2824074043892324E-3</v>
      </c>
      <c r="N65" s="226"/>
      <c r="O65" s="226"/>
      <c r="P65" s="226"/>
      <c r="Q65" s="229"/>
      <c r="R65" s="243"/>
      <c r="S65" s="250"/>
      <c r="T65" s="243" t="str">
        <f t="shared" si="42"/>
        <v>Southbound</v>
      </c>
      <c r="U65" s="24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0</v>
      </c>
      <c r="V65" s="249" t="str">
        <f t="shared" si="3"/>
        <v>https://d0f6bd738d7f1b3e5a7ca70fe4ff75f0.us-east-1.aws.found.io/app/kibana#/discover/Steve-Slow-Train-Analysis-(2080s-and-2083s)?_g=(refreshInterval:(display:Off,pause:!f,section:0,value:0),time:(from:'2017-11-29T10:17:27-0700',mode:absolute,to:'2017-11-29T12:24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5" s="248" t="str">
        <f>IF(AA65&lt;VLOOKUP(AG65,Variables!$AC$3:$AD$8,2,FALSE),"Y","N")</f>
        <v>Y</v>
      </c>
      <c r="X65" s="248">
        <f t="shared" si="48"/>
        <v>0</v>
      </c>
      <c r="Y65" s="248">
        <f t="shared" si="46"/>
        <v>1.8768</v>
      </c>
      <c r="Z65" s="248">
        <f t="shared" si="47"/>
        <v>2.3199999999999998E-2</v>
      </c>
      <c r="AA65" s="248">
        <f t="shared" si="43"/>
        <v>1.8536000000000001</v>
      </c>
      <c r="AB65" s="234" t="e">
        <f>VLOOKUP(A65,Enforcements!$C$7:$K$9,8,0)</f>
        <v>#N/A</v>
      </c>
      <c r="AC65" s="233" t="e">
        <f>VLOOKUP(A65,Enforcements!$C$7:$E$9,3,0)</f>
        <v>#N/A</v>
      </c>
      <c r="AD65" s="244">
        <f t="shared" si="44"/>
        <v>150</v>
      </c>
      <c r="AE65" s="236" t="str">
        <f t="shared" si="6"/>
        <v>aws s3 cp s3://rtdc.mdm.uploadarchive.raw/RTDC4005/ "%USERPROFILE%\AppData\Local\Temp\OnboardLogs"\RTDC4005\2017-11-29 --exclude "*" --recursive --include "*20171129*" &amp; "%USERPROFILE%\Documents\GitHub\mrs-test-scripts\Headless Mode &amp; Sideloading\WalkAndUnGZ.bat" "%USERPROFILE%\AppData\Local\Temp\OnboardLogs"\RTDC4005\2017-11-29 &amp; aws s3 cp s3://rtdc.mdm.uploadarchive.raw/RTDC4005/ "%USERPROFILE%\AppData\Local\Temp\OnboardLogs"\RTDC4005\2017-11-30 --exclude "*" --recursive --include "*20171130*" &amp; "%USERPROFILE%\Documents\GitHub\mrs-test-scripts\Headless Mode &amp; Sideloading\WalkAndUnGZ.bat" "%USERPROFILE%\AppData\Local\Temp\OnboardLogs"\RTDC4005\2017-11-30</v>
      </c>
      <c r="AF65" s="235" t="str">
        <f t="shared" si="7"/>
        <v>"C:\Program Files (x86)\AstroGrep\AstroGrep.exe" /e /r /s /spath="%USERPROFILE%\AppData\Local\Temp\OnboardLogs" /stypes="app*4005*20171129*" /stext=" 18:.+((SYSTEM_STATE.+slice.+state.+changed )|(ment ac)|(multiple cpu faults)|(system.+state.+changed )|(\[timeout)|(PRM\|1\|D)|(kpr)|(kdp)|(train st.+moving)|(\|lc)|(penalty))"</v>
      </c>
      <c r="AG65" s="245" t="str">
        <f t="shared" si="45"/>
        <v>EC</v>
      </c>
      <c r="AH65" s="237" t="str">
        <f t="shared" si="14"/>
        <v>"%USERPROFILE%\Documents\GitHub\eaglep3\Utilities\RefineRTDCRunTimes.py" --tripid 150-29 --locoid 4005 --swversion DE.1.0.9.0 --startMP 204:18768 --initTime 2017-11-29T11:17:27 --startdatetime 2017-11-29T11:18:43 --delay 38 --endMP 204:232 --enddatetime 2017-11-29T11:24:53 --enforcementcount 0 &gt;&gt;%USERPROFILE%\Documents\GitHub\eaglep3-reporting\EC\2017-11-29-refined-times.txt</v>
      </c>
      <c r="AI65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{"issue":{"subject":"","project_id":79,"tracker_id":40,"status_id":1,"priority_id":2,"assigned_to_id":338,"start_date":"2017-11-29","description":"","custom_fields":[{"id":1,"name":"Subdivision","value":"EC"},{"id":4,"name":"Milepost","value":"0.0232"},{"id":17,"name":"Train ID","value":"150-29"},{"id":16,"name":"Locomotive ID","value":"4005"},{"id":130,"name":"Impact","value":""},{"id":150,"name":"Time of Event (Mountain Time)","value":"11:24:53"},{"id":151,"name":"Denver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4"/>
      <c r="AK65" s="232"/>
      <c r="AL65" s="232"/>
      <c r="AM65" s="241" t="str">
        <f t="shared" si="16"/>
        <v>start /low /b %USERPROFILE%\Documents\GitHub\eaglep3\Utilities\DownloadLogsFromS3.py --loco 4005 --day 2017-11-29</v>
      </c>
      <c r="AN65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18:24:53"},{"id":29,"name":"Sharepoint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1" t="str">
        <f t="shared" si="18"/>
        <v>https://d0f6bd738d7f1b3e5a7ca70fe4ff75f0.us-east-1.aws.found.io/app/kibana#/discover/Steve-Slow-Train-Analysis-(2080s-and-2083s)?_g=(refreshInterval:(display:Off,pause:!f,section:0,value:0),time:(from:'2017-11-29T10:17:27-0700',mode:absolute,to:'2017-11-29T12:24:53-0700'))&amp;_a=(columns:!('Message%20ID',Summary),filters:!(),index:'emp_*',interval:auto,query:(query_string:(analyze_wildcard:!t,query:'%22rtdc.l.rtdc.4005%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230" t="s">
        <v>730</v>
      </c>
      <c r="B66" s="226">
        <v>4066</v>
      </c>
      <c r="C66" s="228" t="s">
        <v>192</v>
      </c>
      <c r="D66" s="228" t="s">
        <v>509</v>
      </c>
      <c r="E66" s="227">
        <v>43068.410810185182</v>
      </c>
      <c r="F66" s="227">
        <v>43068.416851851849</v>
      </c>
      <c r="G66" s="226">
        <v>52</v>
      </c>
      <c r="H66" s="228" t="s">
        <v>562</v>
      </c>
      <c r="I66" s="227">
        <v>43068.440659722219</v>
      </c>
      <c r="J66" s="226">
        <v>0</v>
      </c>
      <c r="K66" s="238" t="str">
        <f t="shared" si="40"/>
        <v>4065/4066</v>
      </c>
      <c r="L66" s="246" t="str">
        <f>VLOOKUP(A66,'Trips&amp;Operators'!$C$1:$G$99911,5,FALSE)</f>
        <v>LOPES KIMBERLY</v>
      </c>
      <c r="M66" s="225">
        <f t="shared" si="41"/>
        <v>2.3807870369637385E-2</v>
      </c>
      <c r="N66" s="226">
        <f t="shared" ref="N66:N84" si="49">24*60*SUM($M66:$M66)</f>
        <v>34.283333332277834</v>
      </c>
      <c r="O66" s="226"/>
      <c r="P66" s="226"/>
      <c r="Q66" s="229"/>
      <c r="R66" s="243"/>
      <c r="S66" s="250">
        <f t="shared" ref="S66:S100" si="50">1/IF(AG66="EC",12,1)*SUM(U66:U66)</f>
        <v>1</v>
      </c>
      <c r="T66" s="243" t="str">
        <f t="shared" si="42"/>
        <v>NorthBound</v>
      </c>
      <c r="U66" s="24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9" t="str">
        <f t="shared" si="3"/>
        <v>https://d0f6bd738d7f1b3e5a7ca70fe4ff75f0.us-east-1.aws.found.io/app/kibana#/discover/Steve-Slow-Train-Analysis-(2080s-and-2083s)?_g=(refreshInterval:(display:Off,pause:!f,section:0,value:0),time:(from:'2017-11-29T08:51:34-0700',mode:absolute,to:'2017-11-29T11:34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66" s="248" t="str">
        <f>IF(AA66&lt;VLOOKUP(AG66,Variables!$AC$3:$AD$8,2,FALSE),"Y","N")</f>
        <v>N</v>
      </c>
      <c r="X66" s="248">
        <f t="shared" si="48"/>
        <v>1</v>
      </c>
      <c r="Y66" s="248">
        <f t="shared" si="46"/>
        <v>5.2900000000000003E-2</v>
      </c>
      <c r="Z66" s="248">
        <f t="shared" si="47"/>
        <v>23.319299999999998</v>
      </c>
      <c r="AA66" s="248">
        <f t="shared" si="43"/>
        <v>23.266399999999997</v>
      </c>
      <c r="AB66" s="234" t="e">
        <f>VLOOKUP(A66,Enforcements!$C$7:$K$9,8,0)</f>
        <v>#N/A</v>
      </c>
      <c r="AC66" s="233" t="e">
        <f>VLOOKUP(A66,Enforcements!$C$7:$E$9,3,0)</f>
        <v>#N/A</v>
      </c>
      <c r="AD66" s="244">
        <f t="shared" si="44"/>
        <v>151</v>
      </c>
      <c r="AE66" s="236" t="str">
        <f t="shared" si="6"/>
        <v>aws s3 cp s3://rtdc.mdm.uploadarchive.raw/RTDC4066/ "%USERPROFILE%\AppData\Local\Temp\OnboardLogs"\RTDC4066\2017-11-29 --exclude "*" --recursive --include "*20171129*" &amp; "%USERPROFILE%\Documents\GitHub\mrs-test-scripts\Headless Mode &amp; Sideloading\WalkAndUnGZ.bat" "%USERPROFILE%\AppData\Local\Temp\OnboardLogs"\RTDC4066\2017-11-29 &amp; aws s3 cp s3://rtdc.mdm.uploadarchive.raw/RTDC4066/ "%USERPROFILE%\AppData\Local\Temp\OnboardLogs"\RTDC4066\2017-11-30 --exclude "*" --recursive --include "*20171130*" &amp; "%USERPROFILE%\Documents\GitHub\mrs-test-scripts\Headless Mode &amp; Sideloading\WalkAndUnGZ.bat" "%USERPROFILE%\AppData\Local\Temp\OnboardLogs"\RTDC4066\2017-11-30</v>
      </c>
      <c r="AF66" s="235" t="str">
        <f t="shared" si="7"/>
        <v>"C:\Program Files (x86)\AstroGrep\AstroGrep.exe" /e /r /s /spath="%USERPROFILE%\AppData\Local\Temp\OnboardLogs" /stypes="app*4066*20171129*" /stext=" 17:.+((SYSTEM_STATE.+slice.+state.+changed )|(ment ac)|(multiple cpu faults)|(system.+state.+changed )|(\[timeout)|(PRM\|1\|D)|(kpr)|(kdp)|(train st.+moving)|(\|lc)|(penalty))"</v>
      </c>
      <c r="AG66" s="245" t="str">
        <f t="shared" si="45"/>
        <v>EC</v>
      </c>
      <c r="AH66" s="237" t="str">
        <f t="shared" si="14"/>
        <v>"%USERPROFILE%\Documents\GitHub\eaglep3\Utilities\RefineRTDCRunTimes.py" --tripid 151-29 --locoid 4066 --swversion DE.1.0.9.0 --startMP 204:529 --initTime 2017-11-29T09:51:34 --startdatetime 2017-11-29T10:00:16 --delay 52 --endMP 204:233193 --enddatetime 2017-11-29T10:34:33 --enforcementcount 0 &gt;&gt;%USERPROFILE%\Documents\GitHub\eaglep3-reporting\EC\2017-11-29-refined-times.txt</v>
      </c>
      <c r="AI66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{"issue":{"subject":"","project_id":79,"tracker_id":40,"status_id":1,"priority_id":2,"assigned_to_id":338,"start_date":"2017-11-29","description":"","custom_fields":[{"id":1,"name":"Subdivision","value":"EC"},{"id":4,"name":"Milepost","value":"23.3193"},{"id":17,"name":"Train ID","value":"151-29"},{"id":16,"name":"Locomotive ID","value":"4066"},{"id":130,"name":"Impact","value":""},{"id":150,"name":"Time of Event (Mountain Time)","value":"10:34:33"},{"id":151,"name":"Denver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4"/>
      <c r="AK66" s="232"/>
      <c r="AL66" s="232"/>
      <c r="AM66" s="241" t="str">
        <f t="shared" si="16"/>
        <v>start /low /b %USERPROFILE%\Documents\GitHub\eaglep3\Utilities\DownloadLogsFromS3.py --loco 4066 --day 2017-11-29</v>
      </c>
      <c r="AN66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17:34:33"},{"id":29,"name":"Sharepoint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1" t="str">
        <f t="shared" si="18"/>
        <v>https://d0f6bd738d7f1b3e5a7ca70fe4ff75f0.us-east-1.aws.found.io/app/kibana#/discover/Steve-Slow-Train-Analysis-(2080s-and-2083s)?_g=(refreshInterval:(display:Off,pause:!f,section:0,value:0),time:(from:'2017-11-29T08:51:34-0700',mode:absolute,to:'2017-11-29T11:34:33-0700'))&amp;_a=(columns:!('Message%20ID',Summary),filters:!(),index:'emp_*',interval:auto,query:(query_string:(analyze_wildcard:!t,query:'%22rtdc.l.rtdc.4066%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230" t="s">
        <v>743</v>
      </c>
      <c r="B67" s="226">
        <v>4065</v>
      </c>
      <c r="C67" s="228" t="s">
        <v>192</v>
      </c>
      <c r="D67" s="228" t="s">
        <v>582</v>
      </c>
      <c r="E67" s="227">
        <v>43068.449166666665</v>
      </c>
      <c r="F67" s="227">
        <v>43068.456585648149</v>
      </c>
      <c r="G67" s="226">
        <v>64</v>
      </c>
      <c r="H67" s="228" t="s">
        <v>550</v>
      </c>
      <c r="I67" s="227">
        <v>43068.482974537037</v>
      </c>
      <c r="J67" s="226">
        <v>0</v>
      </c>
      <c r="K67" s="238" t="str">
        <f t="shared" si="40"/>
        <v>4065/4066</v>
      </c>
      <c r="L67" s="246" t="str">
        <f>VLOOKUP(A67,'Trips&amp;Operators'!$C$1:$G$99911,5,FALSE)</f>
        <v>LOPES KIMBERLY</v>
      </c>
      <c r="M67" s="225">
        <f t="shared" si="41"/>
        <v>2.6388888887595385E-2</v>
      </c>
      <c r="N67" s="226">
        <f t="shared" si="49"/>
        <v>37.999999998137355</v>
      </c>
      <c r="O67" s="226"/>
      <c r="P67" s="226"/>
      <c r="Q67" s="229"/>
      <c r="R67" s="243"/>
      <c r="S67" s="250">
        <f t="shared" si="50"/>
        <v>1</v>
      </c>
      <c r="T67" s="243" t="str">
        <f t="shared" si="42"/>
        <v>Southbound</v>
      </c>
      <c r="U67" s="24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9" t="str">
        <f t="shared" si="3"/>
        <v>https://d0f6bd738d7f1b3e5a7ca70fe4ff75f0.us-east-1.aws.found.io/app/kibana#/discover/Steve-Slow-Train-Analysis-(2080s-and-2083s)?_g=(refreshInterval:(display:Off,pause:!f,section:0,value:0),time:(from:'2017-11-29T09:46:48-0700',mode:absolute,to:'2017-11-29T12:35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67" s="248" t="str">
        <f>IF(AA67&lt;VLOOKUP(AG67,Variables!$AC$3:$AD$8,2,FALSE),"Y","N")</f>
        <v>N</v>
      </c>
      <c r="X67" s="248">
        <f t="shared" si="48"/>
        <v>1</v>
      </c>
      <c r="Y67" s="248">
        <f t="shared" si="46"/>
        <v>23.288799999999998</v>
      </c>
      <c r="Z67" s="248">
        <f t="shared" si="47"/>
        <v>2.0299999999999999E-2</v>
      </c>
      <c r="AA67" s="248">
        <f t="shared" si="43"/>
        <v>23.2685</v>
      </c>
      <c r="AB67" s="234" t="e">
        <f>VLOOKUP(A67,Enforcements!$C$7:$K$9,8,0)</f>
        <v>#N/A</v>
      </c>
      <c r="AC67" s="233" t="e">
        <f>VLOOKUP(A67,Enforcements!$C$7:$E$9,3,0)</f>
        <v>#N/A</v>
      </c>
      <c r="AD67" s="244">
        <f t="shared" si="44"/>
        <v>152</v>
      </c>
      <c r="AE67" s="236" t="str">
        <f t="shared" si="6"/>
        <v>aws s3 cp s3://rtdc.mdm.uploadarchive.raw/RTDC4065/ "%USERPROFILE%\AppData\Local\Temp\OnboardLogs"\RTDC4065\2017-11-29 --exclude "*" --recursive --include "*20171129*" &amp; "%USERPROFILE%\Documents\GitHub\mrs-test-scripts\Headless Mode &amp; Sideloading\WalkAndUnGZ.bat" "%USERPROFILE%\AppData\Local\Temp\OnboardLogs"\RTDC4065\2017-11-29 &amp; aws s3 cp s3://rtdc.mdm.uploadarchive.raw/RTDC4065/ "%USERPROFILE%\AppData\Local\Temp\OnboardLogs"\RTDC4065\2017-11-30 --exclude "*" --recursive --include "*20171130*" &amp; "%USERPROFILE%\Documents\GitHub\mrs-test-scripts\Headless Mode &amp; Sideloading\WalkAndUnGZ.bat" "%USERPROFILE%\AppData\Local\Temp\OnboardLogs"\RTDC4065\2017-11-30</v>
      </c>
      <c r="AF67" s="235" t="str">
        <f t="shared" si="7"/>
        <v>"C:\Program Files (x86)\AstroGrep\AstroGrep.exe" /e /r /s /spath="%USERPROFILE%\AppData\Local\Temp\OnboardLogs" /stypes="app*4065*20171129*" /stext=" 18:.+((SYSTEM_STATE.+slice.+state.+changed )|(ment ac)|(multiple cpu faults)|(system.+state.+changed )|(\[timeout)|(PRM\|1\|D)|(kpr)|(kdp)|(train st.+moving)|(\|lc)|(penalty))"</v>
      </c>
      <c r="AG67" s="245" t="str">
        <f t="shared" si="45"/>
        <v>EC</v>
      </c>
      <c r="AH67" s="237" t="str">
        <f t="shared" si="14"/>
        <v>"%USERPROFILE%\Documents\GitHub\eaglep3\Utilities\RefineRTDCRunTimes.py" --tripid 152-29 --locoid 4065 --swversion DE.1.0.9.0 --startMP 204:232888 --initTime 2017-11-29T10:46:48 --startdatetime 2017-11-29T10:57:29 --delay 64 --endMP 204:203 --enddatetime 2017-11-29T11:35:29 --enforcementcount 0 &gt;&gt;%USERPROFILE%\Documents\GitHub\eaglep3-reporting\EC\2017-11-29-refined-times.txt</v>
      </c>
      <c r="AI67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{"issue":{"subject":"","project_id":79,"tracker_id":40,"status_id":1,"priority_id":2,"assigned_to_id":338,"start_date":"2017-11-29","description":"","custom_fields":[{"id":1,"name":"Subdivision","value":"EC"},{"id":4,"name":"Milepost","value":"0.0203"},{"id":17,"name":"Train ID","value":"152-29"},{"id":16,"name":"Locomotive ID","value":"4065"},{"id":130,"name":"Impact","value":""},{"id":150,"name":"Time of Event (Mountain Time)","value":"11:35:29"},{"id":151,"name":"Denver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4"/>
      <c r="AK67" s="232"/>
      <c r="AL67" s="232"/>
      <c r="AM67" s="241" t="str">
        <f t="shared" si="16"/>
        <v>start /low /b %USERPROFILE%\Documents\GitHub\eaglep3\Utilities\DownloadLogsFromS3.py --loco 4065 --day 2017-11-29</v>
      </c>
      <c r="AN67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18:35:29"},{"id":29,"name":"Sharepoint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1" t="str">
        <f t="shared" si="18"/>
        <v>https://d0f6bd738d7f1b3e5a7ca70fe4ff75f0.us-east-1.aws.found.io/app/kibana#/discover/Steve-Slow-Train-Analysis-(2080s-and-2083s)?_g=(refreshInterval:(display:Off,pause:!f,section:0,value:0),time:(from:'2017-11-29T09:46:48-0700',mode:absolute,to:'2017-11-29T12:35:29-0700'))&amp;_a=(columns:!('Message%20ID',Summary),filters:!(),index:'emp_*',interval:auto,query:(query_string:(analyze_wildcard:!t,query:'%22rtdc.l.rtdc.4065%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230" t="s">
        <v>632</v>
      </c>
      <c r="B68" s="226">
        <v>4022</v>
      </c>
      <c r="C68" s="228" t="s">
        <v>192</v>
      </c>
      <c r="D68" s="228" t="s">
        <v>435</v>
      </c>
      <c r="E68" s="227">
        <v>43068.423460648148</v>
      </c>
      <c r="F68" s="227">
        <v>43068.427268518521</v>
      </c>
      <c r="G68" s="226">
        <v>71</v>
      </c>
      <c r="H68" s="228" t="s">
        <v>461</v>
      </c>
      <c r="I68" s="227">
        <v>43068.452106481483</v>
      </c>
      <c r="J68" s="226">
        <v>0</v>
      </c>
      <c r="K68" s="238" t="str">
        <f t="shared" si="40"/>
        <v>4021/4022</v>
      </c>
      <c r="L68" s="246" t="str">
        <f>VLOOKUP(A68,'Trips&amp;Operators'!$C$1:$G$99911,5,FALSE)</f>
        <v>LAMAR NEKESHA</v>
      </c>
      <c r="M68" s="225">
        <f t="shared" si="41"/>
        <v>2.4837962962919846E-2</v>
      </c>
      <c r="N68" s="226">
        <f t="shared" si="49"/>
        <v>35.766666666604578</v>
      </c>
      <c r="O68" s="226"/>
      <c r="P68" s="226"/>
      <c r="Q68" s="229"/>
      <c r="R68" s="243"/>
      <c r="S68" s="250">
        <f t="shared" si="50"/>
        <v>1</v>
      </c>
      <c r="T68" s="243" t="str">
        <f t="shared" si="42"/>
        <v>NorthBound</v>
      </c>
      <c r="U68" s="24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9" t="str">
        <f t="shared" si="3"/>
        <v>https://d0f6bd738d7f1b3e5a7ca70fe4ff75f0.us-east-1.aws.found.io/app/kibana#/discover/Steve-Slow-Train-Analysis-(2080s-and-2083s)?_g=(refreshInterval:(display:Off,pause:!f,section:0,value:0),time:(from:'2017-11-29T09:09:47-0700',mode:absolute,to:'2017-11-29T11:51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8" s="248" t="str">
        <f>IF(AA68&lt;VLOOKUP(AG68,Variables!$AC$3:$AD$8,2,FALSE),"Y","N")</f>
        <v>N</v>
      </c>
      <c r="X68" s="248">
        <f t="shared" si="48"/>
        <v>1</v>
      </c>
      <c r="Y68" s="248">
        <f t="shared" si="46"/>
        <v>5.0799999999999998E-2</v>
      </c>
      <c r="Z68" s="248">
        <f t="shared" si="47"/>
        <v>23.3232</v>
      </c>
      <c r="AA68" s="248">
        <f t="shared" si="43"/>
        <v>23.272400000000001</v>
      </c>
      <c r="AB68" s="234" t="e">
        <f>VLOOKUP(A68,Enforcements!$C$7:$K$9,8,0)</f>
        <v>#N/A</v>
      </c>
      <c r="AC68" s="233" t="e">
        <f>VLOOKUP(A68,Enforcements!$C$7:$E$9,3,0)</f>
        <v>#N/A</v>
      </c>
      <c r="AD68" s="244">
        <f t="shared" si="44"/>
        <v>153</v>
      </c>
      <c r="AE68" s="236" t="str">
        <f t="shared" si="6"/>
        <v>aws s3 cp s3://rtdc.mdm.uploadarchive.raw/RTDC4022/ "%USERPROFILE%\AppData\Local\Temp\OnboardLogs"\RTDC4022\2017-11-29 --exclude "*" --recursive --include "*20171129*" &amp; "%USERPROFILE%\Documents\GitHub\mrs-test-scripts\Headless Mode &amp; Sideloading\WalkAndUnGZ.bat" "%USERPROFILE%\AppData\Local\Temp\OnboardLogs"\RTDC4022\2017-11-29 &amp; aws s3 cp s3://rtdc.mdm.uploadarchive.raw/RTDC4022/ "%USERPROFILE%\AppData\Local\Temp\OnboardLogs"\RTDC4022\2017-11-30 --exclude "*" --recursive --include "*20171130*" &amp; "%USERPROFILE%\Documents\GitHub\mrs-test-scripts\Headless Mode &amp; Sideloading\WalkAndUnGZ.bat" "%USERPROFILE%\AppData\Local\Temp\OnboardLogs"\RTDC4022\2017-11-30</v>
      </c>
      <c r="AF68" s="235" t="str">
        <f t="shared" si="7"/>
        <v>"C:\Program Files (x86)\AstroGrep\AstroGrep.exe" /e /r /s /spath="%USERPROFILE%\AppData\Local\Temp\OnboardLogs" /stypes="app*4022*20171129*" /stext=" 17:.+((SYSTEM_STATE.+slice.+state.+changed )|(ment ac)|(multiple cpu faults)|(system.+state.+changed )|(\[timeout)|(PRM\|1\|D)|(kpr)|(kdp)|(train st.+moving)|(\|lc)|(penalty))"</v>
      </c>
      <c r="AG68" s="245" t="str">
        <f t="shared" si="45"/>
        <v>EC</v>
      </c>
      <c r="AH68" s="237" t="str">
        <f t="shared" si="14"/>
        <v>"%USERPROFILE%\Documents\GitHub\eaglep3\Utilities\RefineRTDCRunTimes.py" --tripid 153-29 --locoid 4022 --swversion DE.1.0.9.0 --startMP 204:508 --initTime 2017-11-29T10:09:47 --startdatetime 2017-11-29T10:15:16 --delay 71 --endMP 204:233232 --enddatetime 2017-11-29T10:51:02 --enforcementcount 0 &gt;&gt;%USERPROFILE%\Documents\GitHub\eaglep3-reporting\EC\2017-11-29-refined-times.txt</v>
      </c>
      <c r="AI68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{"issue":{"subject":"","project_id":79,"tracker_id":40,"status_id":1,"priority_id":2,"assigned_to_id":338,"start_date":"2017-11-29","description":"","custom_fields":[{"id":1,"name":"Subdivision","value":"EC"},{"id":4,"name":"Milepost","value":"23.3232"},{"id":17,"name":"Train ID","value":"153-29"},{"id":16,"name":"Locomotive ID","value":"4022"},{"id":130,"name":"Impact","value":""},{"id":150,"name":"Time of Event (Mountain Time)","value":"10:51:02"},{"id":151,"name":"Denver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4"/>
      <c r="AK68" s="232"/>
      <c r="AL68" s="232"/>
      <c r="AM68" s="241" t="str">
        <f t="shared" si="16"/>
        <v>start /low /b %USERPROFILE%\Documents\GitHub\eaglep3\Utilities\DownloadLogsFromS3.py --loco 4022 --day 2017-11-29</v>
      </c>
      <c r="AN68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17:51:02"},{"id":29,"name":"Sharepoint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1" t="str">
        <f t="shared" si="18"/>
        <v>https://d0f6bd738d7f1b3e5a7ca70fe4ff75f0.us-east-1.aws.found.io/app/kibana#/discover/Steve-Slow-Train-Analysis-(2080s-and-2083s)?_g=(refreshInterval:(display:Off,pause:!f,section:0,value:0),time:(from:'2017-11-29T09:09:47-0700',mode:absolute,to:'2017-11-29T11:51:02-0700'))&amp;_a=(columns:!('Message%20ID',Summary),filters:!(),index:'emp_*',interval:auto,query:(query_string:(analyze_wildcard:!t,query:'%22rtdc.l.rtdc.4022%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230" t="s">
        <v>746</v>
      </c>
      <c r="B69" s="226">
        <v>4021</v>
      </c>
      <c r="C69" s="228" t="s">
        <v>192</v>
      </c>
      <c r="D69" s="228" t="s">
        <v>459</v>
      </c>
      <c r="E69" s="227">
        <v>43068.464826388888</v>
      </c>
      <c r="F69" s="227">
        <v>43068.466863425929</v>
      </c>
      <c r="G69" s="226">
        <v>69</v>
      </c>
      <c r="H69" s="228" t="s">
        <v>464</v>
      </c>
      <c r="I69" s="227">
        <v>43068.492893518516</v>
      </c>
      <c r="J69" s="226">
        <v>0</v>
      </c>
      <c r="K69" s="238" t="str">
        <f t="shared" si="40"/>
        <v>4021/4022</v>
      </c>
      <c r="L69" s="246" t="str">
        <f>VLOOKUP(A69,'Trips&amp;Operators'!$C$1:$G$99911,5,FALSE)</f>
        <v>LAMAR NEKESHA</v>
      </c>
      <c r="M69" s="225">
        <f t="shared" si="41"/>
        <v>2.6030092587461695E-2</v>
      </c>
      <c r="N69" s="226">
        <f t="shared" si="49"/>
        <v>37.483333325944841</v>
      </c>
      <c r="O69" s="226"/>
      <c r="P69" s="226"/>
      <c r="Q69" s="229"/>
      <c r="R69" s="243"/>
      <c r="S69" s="250">
        <f t="shared" si="50"/>
        <v>1</v>
      </c>
      <c r="T69" s="243" t="str">
        <f t="shared" si="42"/>
        <v>Southbound</v>
      </c>
      <c r="U69" s="24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9" t="str">
        <f t="shared" si="3"/>
        <v>https://d0f6bd738d7f1b3e5a7ca70fe4ff75f0.us-east-1.aws.found.io/app/kibana#/discover/Steve-Slow-Train-Analysis-(2080s-and-2083s)?_g=(refreshInterval:(display:Off,pause:!f,section:0,value:0),time:(from:'2017-11-29T10:09:21-0700',mode:absolute,to:'2017-11-29T12:49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9" s="248" t="str">
        <f>IF(AA69&lt;VLOOKUP(AG69,Variables!$AC$3:$AD$8,2,FALSE),"Y","N")</f>
        <v>N</v>
      </c>
      <c r="X69" s="248">
        <f t="shared" si="48"/>
        <v>1</v>
      </c>
      <c r="Y69" s="248">
        <f t="shared" si="46"/>
        <v>23.291899999999998</v>
      </c>
      <c r="Z69" s="248">
        <f t="shared" si="47"/>
        <v>1.7600000000000001E-2</v>
      </c>
      <c r="AA69" s="248">
        <f t="shared" si="43"/>
        <v>23.274299999999997</v>
      </c>
      <c r="AB69" s="234" t="e">
        <f>VLOOKUP(A69,Enforcements!$C$7:$K$9,8,0)</f>
        <v>#N/A</v>
      </c>
      <c r="AC69" s="233" t="e">
        <f>VLOOKUP(A69,Enforcements!$C$7:$E$9,3,0)</f>
        <v>#N/A</v>
      </c>
      <c r="AD69" s="244">
        <f t="shared" si="44"/>
        <v>154</v>
      </c>
      <c r="AE69" s="236" t="str">
        <f t="shared" si="6"/>
        <v>aws s3 cp s3://rtdc.mdm.uploadarchive.raw/RTDC4021/ "%USERPROFILE%\AppData\Local\Temp\OnboardLogs"\RTDC4021\2017-11-29 --exclude "*" --recursive --include "*20171129*" &amp; "%USERPROFILE%\Documents\GitHub\mrs-test-scripts\Headless Mode &amp; Sideloading\WalkAndUnGZ.bat" "%USERPROFILE%\AppData\Local\Temp\OnboardLogs"\RTDC4021\2017-11-29 &amp; aws s3 cp s3://rtdc.mdm.uploadarchive.raw/RTDC4021/ "%USERPROFILE%\AppData\Local\Temp\OnboardLogs"\RTDC4021\2017-11-30 --exclude "*" --recursive --include "*20171130*" &amp; "%USERPROFILE%\Documents\GitHub\mrs-test-scripts\Headless Mode &amp; Sideloading\WalkAndUnGZ.bat" "%USERPROFILE%\AppData\Local\Temp\OnboardLogs"\RTDC4021\2017-11-30</v>
      </c>
      <c r="AF69" s="235" t="str">
        <f t="shared" si="7"/>
        <v>"C:\Program Files (x86)\AstroGrep\AstroGrep.exe" /e /r /s /spath="%USERPROFILE%\AppData\Local\Temp\OnboardLogs" /stypes="app*4021*20171129*" /stext=" 18:.+((SYSTEM_STATE.+slice.+state.+changed )|(ment ac)|(multiple cpu faults)|(system.+state.+changed )|(\[timeout)|(PRM\|1\|D)|(kpr)|(kdp)|(train st.+moving)|(\|lc)|(penalty))"</v>
      </c>
      <c r="AG69" s="245" t="str">
        <f t="shared" si="45"/>
        <v>EC</v>
      </c>
      <c r="AH69" s="237" t="str">
        <f t="shared" si="14"/>
        <v>"%USERPROFILE%\Documents\GitHub\eaglep3\Utilities\RefineRTDCRunTimes.py" --tripid 154-29 --locoid 4021 --swversion DE.1.0.9.0 --startMP 204:232919 --initTime 2017-11-29T11:09:21 --startdatetime 2017-11-29T11:12:17 --delay 69 --endMP 204:176 --enddatetime 2017-11-29T11:49:46 --enforcementcount 0 &gt;&gt;%USERPROFILE%\Documents\GitHub\eaglep3-reporting\EC\2017-11-29-refined-times.txt</v>
      </c>
      <c r="AI69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{"issue":{"subject":"","project_id":79,"tracker_id":40,"status_id":1,"priority_id":2,"assigned_to_id":338,"start_date":"2017-11-29","description":"","custom_fields":[{"id":1,"name":"Subdivision","value":"EC"},{"id":4,"name":"Milepost","value":"0.0176"},{"id":17,"name":"Train ID","value":"154-29"},{"id":16,"name":"Locomotive ID","value":"4021"},{"id":130,"name":"Impact","value":""},{"id":150,"name":"Time of Event (Mountain Time)","value":"11:49:46"},{"id":151,"name":"Denver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4"/>
      <c r="AK69" s="232"/>
      <c r="AL69" s="232"/>
      <c r="AM69" s="241" t="str">
        <f t="shared" si="16"/>
        <v>start /low /b %USERPROFILE%\Documents\GitHub\eaglep3\Utilities\DownloadLogsFromS3.py --loco 4021 --day 2017-11-29</v>
      </c>
      <c r="AN69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18:49:46"},{"id":29,"name":"Sharepoint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1" t="str">
        <f t="shared" si="18"/>
        <v>https://d0f6bd738d7f1b3e5a7ca70fe4ff75f0.us-east-1.aws.found.io/app/kibana#/discover/Steve-Slow-Train-Analysis-(2080s-and-2083s)?_g=(refreshInterval:(display:Off,pause:!f,section:0,value:0),time:(from:'2017-11-29T10:09:21-0700',mode:absolute,to:'2017-11-29T12:49:46-0700'))&amp;_a=(columns:!('Message%20ID',Summary),filters:!(),index:'emp_*',interval:auto,query:(query_string:(analyze_wildcard:!t,query:'%22rtdc.l.rtdc.4021%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230" t="s">
        <v>735</v>
      </c>
      <c r="B70" s="226">
        <v>4028</v>
      </c>
      <c r="C70" s="228" t="s">
        <v>192</v>
      </c>
      <c r="D70" s="228" t="s">
        <v>918</v>
      </c>
      <c r="E70" s="227">
        <v>43068.431481481479</v>
      </c>
      <c r="F70" s="227">
        <v>43068.437673611108</v>
      </c>
      <c r="G70" s="226">
        <v>58</v>
      </c>
      <c r="H70" s="228" t="s">
        <v>919</v>
      </c>
      <c r="I70" s="227">
        <v>43068.461550925924</v>
      </c>
      <c r="J70" s="226">
        <v>0</v>
      </c>
      <c r="K70" s="238" t="str">
        <f t="shared" si="40"/>
        <v>4027/4028</v>
      </c>
      <c r="L70" s="246" t="str">
        <f>VLOOKUP(A70,'Trips&amp;Operators'!$C$1:$G$99911,5,FALSE)</f>
        <v>YANAI IAN</v>
      </c>
      <c r="M70" s="225">
        <f t="shared" si="41"/>
        <v>2.3877314815763384E-2</v>
      </c>
      <c r="N70" s="226">
        <f t="shared" si="49"/>
        <v>34.383333334699273</v>
      </c>
      <c r="O70" s="226"/>
      <c r="P70" s="226"/>
      <c r="Q70" s="229"/>
      <c r="R70" s="243"/>
      <c r="S70" s="250">
        <f t="shared" si="50"/>
        <v>1</v>
      </c>
      <c r="T70" s="243" t="str">
        <f t="shared" si="42"/>
        <v>NorthBound</v>
      </c>
      <c r="U70" s="24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9" t="str">
        <f t="shared" si="3"/>
        <v>https://d0f6bd738d7f1b3e5a7ca70fe4ff75f0.us-east-1.aws.found.io/app/kibana#/discover/Steve-Slow-Train-Analysis-(2080s-and-2083s)?_g=(refreshInterval:(display:Off,pause:!f,section:0,value:0),time:(from:'2017-11-29T09:21:20-0700',mode:absolute,to:'2017-11-29T12:04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0" s="248" t="str">
        <f>IF(AA70&lt;VLOOKUP(AG70,Variables!$AC$3:$AD$8,2,FALSE),"Y","N")</f>
        <v>N</v>
      </c>
      <c r="X70" s="248">
        <f t="shared" si="48"/>
        <v>1</v>
      </c>
      <c r="Y70" s="248">
        <f t="shared" si="46"/>
        <v>4.4699999999999997E-2</v>
      </c>
      <c r="Z70" s="248">
        <f t="shared" si="47"/>
        <v>23.3291</v>
      </c>
      <c r="AA70" s="248">
        <f t="shared" si="43"/>
        <v>23.284400000000002</v>
      </c>
      <c r="AB70" s="234" t="e">
        <f>VLOOKUP(A70,Enforcements!$C$7:$K$9,8,0)</f>
        <v>#N/A</v>
      </c>
      <c r="AC70" s="233" t="e">
        <f>VLOOKUP(A70,Enforcements!$C$7:$E$9,3,0)</f>
        <v>#N/A</v>
      </c>
      <c r="AD70" s="244">
        <f t="shared" si="44"/>
        <v>155</v>
      </c>
      <c r="AE70" s="236" t="str">
        <f t="shared" si="6"/>
        <v>aws s3 cp s3://rtdc.mdm.uploadarchive.raw/RTDC4028/ "%USERPROFILE%\AppData\Local\Temp\OnboardLogs"\RTDC4028\2017-11-29 --exclude "*" --recursive --include "*20171129*" &amp; "%USERPROFILE%\Documents\GitHub\mrs-test-scripts\Headless Mode &amp; Sideloading\WalkAndUnGZ.bat" "%USERPROFILE%\AppData\Local\Temp\OnboardLogs"\RTDC4028\2017-11-29 &amp; aws s3 cp s3://rtdc.mdm.uploadarchive.raw/RTDC4028/ "%USERPROFILE%\AppData\Local\Temp\OnboardLogs"\RTDC4028\2017-11-30 --exclude "*" --recursive --include "*20171130*" &amp; "%USERPROFILE%\Documents\GitHub\mrs-test-scripts\Headless Mode &amp; Sideloading\WalkAndUnGZ.bat" "%USERPROFILE%\AppData\Local\Temp\OnboardLogs"\RTDC4028\2017-11-30</v>
      </c>
      <c r="AF70" s="235" t="str">
        <f t="shared" si="7"/>
        <v>"C:\Program Files (x86)\AstroGrep\AstroGrep.exe" /e /r /s /spath="%USERPROFILE%\AppData\Local\Temp\OnboardLogs" /stypes="app*4028*20171129*" /stext=" 18:.+((SYSTEM_STATE.+slice.+state.+changed )|(ment ac)|(multiple cpu faults)|(system.+state.+changed )|(\[timeout)|(PRM\|1\|D)|(kpr)|(kdp)|(train st.+moving)|(\|lc)|(penalty))"</v>
      </c>
      <c r="AG70" s="245" t="str">
        <f t="shared" si="45"/>
        <v>EC</v>
      </c>
      <c r="AH70" s="237" t="str">
        <f t="shared" si="14"/>
        <v>"%USERPROFILE%\Documents\GitHub\eaglep3\Utilities\RefineRTDCRunTimes.py" --tripid 155-29 --locoid 4028 --swversion DE.1.0.9.0 --startMP 204:447 --initTime 2017-11-29T10:21:20 --startdatetime 2017-11-29T10:30:15 --delay 58 --endMP 204:233291 --enddatetime 2017-11-29T11:04:38 --enforcementcount 0 &gt;&gt;%USERPROFILE%\Documents\GitHub\eaglep3-reporting\EC\2017-11-29-refined-times.txt</v>
      </c>
      <c r="AI70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{"issue":{"subject":"","project_id":79,"tracker_id":40,"status_id":1,"priority_id":2,"assigned_to_id":338,"start_date":"2017-11-29","description":"","custom_fields":[{"id":1,"name":"Subdivision","value":"EC"},{"id":4,"name":"Milepost","value":"23.3291"},{"id":17,"name":"Train ID","value":"155-29"},{"id":16,"name":"Locomotive ID","value":"4028"},{"id":130,"name":"Impact","value":""},{"id":150,"name":"Time of Event (Mountain Time)","value":"11:04:38"},{"id":151,"name":"Denver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4"/>
      <c r="AK70" s="232"/>
      <c r="AL70" s="232"/>
      <c r="AM70" s="241" t="str">
        <f t="shared" si="16"/>
        <v>start /low /b %USERPROFILE%\Documents\GitHub\eaglep3\Utilities\DownloadLogsFromS3.py --loco 4028 --day 2017-11-29</v>
      </c>
      <c r="AN70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18:04:38"},{"id":29,"name":"Sharepoint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1" t="str">
        <f t="shared" si="18"/>
        <v>https://d0f6bd738d7f1b3e5a7ca70fe4ff75f0.us-east-1.aws.found.io/app/kibana#/discover/Steve-Slow-Train-Analysis-(2080s-and-2083s)?_g=(refreshInterval:(display:Off,pause:!f,section:0,value:0),time:(from:'2017-11-29T09:21:20-0700',mode:absolute,to:'2017-11-29T12:04:38-0700'))&amp;_a=(columns:!('Message%20ID',Summary),filters:!(),index:'emp_*',interval:auto,query:(query_string:(analyze_wildcard:!t,query:'%22rtdc.l.rtdc.4028%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230" t="s">
        <v>745</v>
      </c>
      <c r="B71" s="226">
        <v>4027</v>
      </c>
      <c r="C71" s="228" t="s">
        <v>192</v>
      </c>
      <c r="D71" s="228" t="s">
        <v>467</v>
      </c>
      <c r="E71" s="227">
        <v>43068.462673611109</v>
      </c>
      <c r="F71" s="227">
        <v>43068.47724537037</v>
      </c>
      <c r="G71" s="226">
        <v>54</v>
      </c>
      <c r="H71" s="228" t="s">
        <v>437</v>
      </c>
      <c r="I71" s="227">
        <v>43068.502870370372</v>
      </c>
      <c r="J71" s="226">
        <v>0</v>
      </c>
      <c r="K71" s="238" t="str">
        <f t="shared" si="40"/>
        <v>4027/4028</v>
      </c>
      <c r="L71" s="246" t="str">
        <f>VLOOKUP(A71,'Trips&amp;Operators'!$C$1:$G$99911,5,FALSE)</f>
        <v>YANAI IAN</v>
      </c>
      <c r="M71" s="225">
        <f t="shared" si="41"/>
        <v>2.5625000002037268E-2</v>
      </c>
      <c r="N71" s="226">
        <f t="shared" si="49"/>
        <v>36.900000002933666</v>
      </c>
      <c r="O71" s="226"/>
      <c r="P71" s="226"/>
      <c r="Q71" s="229"/>
      <c r="R71" s="243"/>
      <c r="S71" s="250">
        <f t="shared" si="50"/>
        <v>1</v>
      </c>
      <c r="T71" s="243" t="str">
        <f t="shared" si="42"/>
        <v>Southbound</v>
      </c>
      <c r="U71" s="24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9" t="str">
        <f t="shared" si="3"/>
        <v>https://d0f6bd738d7f1b3e5a7ca70fe4ff75f0.us-east-1.aws.found.io/app/kibana#/discover/Steve-Slow-Train-Analysis-(2080s-and-2083s)?_g=(refreshInterval:(display:Off,pause:!f,section:0,value:0),time:(from:'2017-11-29T10:06:15-0700',mode:absolute,to:'2017-11-29T13:04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1" s="248" t="str">
        <f>IF(AA71&lt;VLOOKUP(AG71,Variables!$AC$3:$AD$8,2,FALSE),"Y","N")</f>
        <v>N</v>
      </c>
      <c r="X71" s="248">
        <f t="shared" si="48"/>
        <v>1</v>
      </c>
      <c r="Y71" s="248">
        <f t="shared" si="46"/>
        <v>23.297999999999998</v>
      </c>
      <c r="Z71" s="248">
        <f t="shared" si="47"/>
        <v>1.41E-2</v>
      </c>
      <c r="AA71" s="248">
        <f t="shared" si="43"/>
        <v>23.283899999999999</v>
      </c>
      <c r="AB71" s="234" t="e">
        <f>VLOOKUP(A71,Enforcements!$C$7:$K$9,8,0)</f>
        <v>#N/A</v>
      </c>
      <c r="AC71" s="233" t="e">
        <f>VLOOKUP(A71,Enforcements!$C$7:$E$9,3,0)</f>
        <v>#N/A</v>
      </c>
      <c r="AD71" s="244">
        <f t="shared" si="44"/>
        <v>156</v>
      </c>
      <c r="AE71" s="236" t="str">
        <f t="shared" si="6"/>
        <v>aws s3 cp s3://rtdc.mdm.uploadarchive.raw/RTDC4027/ "%USERPROFILE%\AppData\Local\Temp\OnboardLogs"\RTDC4027\2017-11-29 --exclude "*" --recursive --include "*20171129*" &amp; "%USERPROFILE%\Documents\GitHub\mrs-test-scripts\Headless Mode &amp; Sideloading\WalkAndUnGZ.bat" "%USERPROFILE%\AppData\Local\Temp\OnboardLogs"\RTDC4027\2017-11-29 &amp; aws s3 cp s3://rtdc.mdm.uploadarchive.raw/RTDC4027/ "%USERPROFILE%\AppData\Local\Temp\OnboardLogs"\RTDC4027\2017-11-30 --exclude "*" --recursive --include "*20171130*" &amp; "%USERPROFILE%\Documents\GitHub\mrs-test-scripts\Headless Mode &amp; Sideloading\WalkAndUnGZ.bat" "%USERPROFILE%\AppData\Local\Temp\OnboardLogs"\RTDC4027\2017-11-30</v>
      </c>
      <c r="AF71" s="235" t="str">
        <f t="shared" si="7"/>
        <v>"C:\Program Files (x86)\AstroGrep\AstroGrep.exe" /e /r /s /spath="%USERPROFILE%\AppData\Local\Temp\OnboardLogs" /stypes="app*4027*20171129*" /stext=" 19:.+((SYSTEM_STATE.+slice.+state.+changed )|(ment ac)|(multiple cpu faults)|(system.+state.+changed )|(\[timeout)|(PRM\|1\|D)|(kpr)|(kdp)|(train st.+moving)|(\|lc)|(penalty))"</v>
      </c>
      <c r="AG71" s="245" t="str">
        <f t="shared" si="45"/>
        <v>EC</v>
      </c>
      <c r="AH71" s="237" t="str">
        <f t="shared" si="14"/>
        <v>"%USERPROFILE%\Documents\GitHub\eaglep3\Utilities\RefineRTDCRunTimes.py" --tripid 156-29 --locoid 4027 --swversion DE.1.0.9.0 --startMP 204:232980 --initTime 2017-11-29T11:06:15 --startdatetime 2017-11-29T11:27:14 --delay 54 --endMP 204:141 --enddatetime 2017-11-29T12:04:08 --enforcementcount 0 &gt;&gt;%USERPROFILE%\Documents\GitHub\eaglep3-reporting\EC\2017-11-29-refined-times.txt</v>
      </c>
      <c r="AI71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{"issue":{"subject":"","project_id":79,"tracker_id":40,"status_id":1,"priority_id":2,"assigned_to_id":338,"start_date":"2017-11-29","description":"","custom_fields":[{"id":1,"name":"Subdivision","value":"EC"},{"id":4,"name":"Milepost","value":"0.0141"},{"id":17,"name":"Train ID","value":"156-29"},{"id":16,"name":"Locomotive ID","value":"4027"},{"id":130,"name":"Impact","value":""},{"id":150,"name":"Time of Event (Mountain Time)","value":"12:04:08"},{"id":151,"name":"Denver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4"/>
      <c r="AK71" s="232"/>
      <c r="AL71" s="232"/>
      <c r="AM71" s="241" t="str">
        <f t="shared" si="16"/>
        <v>start /low /b %USERPROFILE%\Documents\GitHub\eaglep3\Utilities\DownloadLogsFromS3.py --loco 4027 --day 2017-11-29</v>
      </c>
      <c r="AN71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19:04:08"},{"id":29,"name":"Sharepoint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1" t="str">
        <f t="shared" si="18"/>
        <v>https://d0f6bd738d7f1b3e5a7ca70fe4ff75f0.us-east-1.aws.found.io/app/kibana#/discover/Steve-Slow-Train-Analysis-(2080s-and-2083s)?_g=(refreshInterval:(display:Off,pause:!f,section:0,value:0),time:(from:'2017-11-29T10:06:15-0700',mode:absolute,to:'2017-11-29T13:04:08-0700'))&amp;_a=(columns:!('Message%20ID',Summary),filters:!(),index:'emp_*',interval:auto,query:(query_string:(analyze_wildcard:!t,query:'%22rtdc.l.rtdc.4027%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230" t="s">
        <v>742</v>
      </c>
      <c r="B72" s="226">
        <v>4026</v>
      </c>
      <c r="C72" s="228" t="s">
        <v>192</v>
      </c>
      <c r="D72" s="228" t="s">
        <v>920</v>
      </c>
      <c r="E72" s="227">
        <v>43068.444664351853</v>
      </c>
      <c r="F72" s="227">
        <v>43068.448379629626</v>
      </c>
      <c r="G72" s="226">
        <v>120</v>
      </c>
      <c r="H72" s="228" t="s">
        <v>921</v>
      </c>
      <c r="I72" s="227">
        <v>43068.473749999997</v>
      </c>
      <c r="J72" s="226">
        <v>0</v>
      </c>
      <c r="K72" s="238" t="str">
        <f t="shared" si="40"/>
        <v>4025/4026</v>
      </c>
      <c r="L72" s="246" t="str">
        <f>VLOOKUP(A72,'Trips&amp;Operators'!$C$1:$G$99911,5,FALSE)</f>
        <v>DAVIS MICHAEL</v>
      </c>
      <c r="M72" s="225">
        <f t="shared" si="41"/>
        <v>2.5370370371092577E-2</v>
      </c>
      <c r="N72" s="226">
        <f t="shared" si="49"/>
        <v>36.53333333437331</v>
      </c>
      <c r="O72" s="226"/>
      <c r="P72" s="226"/>
      <c r="Q72" s="229"/>
      <c r="R72" s="243"/>
      <c r="S72" s="250">
        <f t="shared" si="50"/>
        <v>1</v>
      </c>
      <c r="T72" s="243" t="str">
        <f t="shared" si="42"/>
        <v>NorthBound</v>
      </c>
      <c r="U72" s="24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9" t="str">
        <f t="shared" si="3"/>
        <v>https://d0f6bd738d7f1b3e5a7ca70fe4ff75f0.us-east-1.aws.found.io/app/kibana#/discover/Steve-Slow-Train-Analysis-(2080s-and-2083s)?_g=(refreshInterval:(display:Off,pause:!f,section:0,value:0),time:(from:'2017-11-29T09:40:19-0700',mode:absolute,to:'2017-11-29T12:22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2" s="248" t="str">
        <f>IF(AA72&lt;VLOOKUP(AG72,Variables!$AC$3:$AD$8,2,FALSE),"Y","N")</f>
        <v>N</v>
      </c>
      <c r="X72" s="248">
        <f t="shared" si="48"/>
        <v>1</v>
      </c>
      <c r="Y72" s="248">
        <f t="shared" si="46"/>
        <v>5.04E-2</v>
      </c>
      <c r="Z72" s="248">
        <f t="shared" si="47"/>
        <v>23.332899999999999</v>
      </c>
      <c r="AA72" s="248">
        <f t="shared" si="43"/>
        <v>23.282499999999999</v>
      </c>
      <c r="AB72" s="234" t="e">
        <f>VLOOKUP(A72,Enforcements!$C$7:$K$9,8,0)</f>
        <v>#N/A</v>
      </c>
      <c r="AC72" s="233" t="e">
        <f>VLOOKUP(A72,Enforcements!$C$7:$E$9,3,0)</f>
        <v>#N/A</v>
      </c>
      <c r="AD72" s="244">
        <f t="shared" si="44"/>
        <v>157</v>
      </c>
      <c r="AE72" s="236" t="str">
        <f t="shared" si="6"/>
        <v>aws s3 cp s3://rtdc.mdm.uploadarchive.raw/RTDC4026/ "%USERPROFILE%\AppData\Local\Temp\OnboardLogs"\RTDC4026\2017-11-29 --exclude "*" --recursive --include "*20171129*" &amp; "%USERPROFILE%\Documents\GitHub\mrs-test-scripts\Headless Mode &amp; Sideloading\WalkAndUnGZ.bat" "%USERPROFILE%\AppData\Local\Temp\OnboardLogs"\RTDC4026\2017-11-29 &amp; aws s3 cp s3://rtdc.mdm.uploadarchive.raw/RTDC4026/ "%USERPROFILE%\AppData\Local\Temp\OnboardLogs"\RTDC4026\2017-11-30 --exclude "*" --recursive --include "*20171130*" &amp; "%USERPROFILE%\Documents\GitHub\mrs-test-scripts\Headless Mode &amp; Sideloading\WalkAndUnGZ.bat" "%USERPROFILE%\AppData\Local\Temp\OnboardLogs"\RTDC4026\2017-11-30</v>
      </c>
      <c r="AF72" s="235" t="str">
        <f t="shared" si="7"/>
        <v>"C:\Program Files (x86)\AstroGrep\AstroGrep.exe" /e /r /s /spath="%USERPROFILE%\AppData\Local\Temp\OnboardLogs" /stypes="app*4026*20171129*" /stext=" 18:.+((SYSTEM_STATE.+slice.+state.+changed )|(ment ac)|(multiple cpu faults)|(system.+state.+changed )|(\[timeout)|(PRM\|1\|D)|(kpr)|(kdp)|(train st.+moving)|(\|lc)|(penalty))"</v>
      </c>
      <c r="AG72" s="245" t="str">
        <f t="shared" si="45"/>
        <v>EC</v>
      </c>
      <c r="AH72" s="237" t="str">
        <f t="shared" si="14"/>
        <v>"%USERPROFILE%\Documents\GitHub\eaglep3\Utilities\RefineRTDCRunTimes.py" --tripid 157-29 --locoid 4026 --swversion DE.1.0.9.0 --startMP 204:504 --initTime 2017-11-29T10:40:19 --startdatetime 2017-11-29T10:45:40 --delay 120 --endMP 204:233329 --enddatetime 2017-11-29T11:22:12 --enforcementcount 0 &gt;&gt;%USERPROFILE%\Documents\GitHub\eaglep3-reporting\EC\2017-11-29-refined-times.txt</v>
      </c>
      <c r="AI72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{"issue":{"subject":"","project_id":79,"tracker_id":40,"status_id":1,"priority_id":2,"assigned_to_id":338,"start_date":"2017-11-29","description":"","custom_fields":[{"id":1,"name":"Subdivision","value":"EC"},{"id":4,"name":"Milepost","value":"23.3329"},{"id":17,"name":"Train ID","value":"157-29"},{"id":16,"name":"Locomotive ID","value":"4026"},{"id":130,"name":"Impact","value":""},{"id":150,"name":"Time of Event (Mountain Time)","value":"11:22:12"},{"id":151,"name":"Denver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4"/>
      <c r="AK72" s="232"/>
      <c r="AL72" s="232"/>
      <c r="AM72" s="241" t="str">
        <f t="shared" si="16"/>
        <v>start /low /b %USERPROFILE%\Documents\GitHub\eaglep3\Utilities\DownloadLogsFromS3.py --loco 4026 --day 2017-11-29</v>
      </c>
      <c r="AN72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18:22:12"},{"id":29,"name":"Sharepoint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1" t="str">
        <f t="shared" si="18"/>
        <v>https://d0f6bd738d7f1b3e5a7ca70fe4ff75f0.us-east-1.aws.found.io/app/kibana#/discover/Steve-Slow-Train-Analysis-(2080s-and-2083s)?_g=(refreshInterval:(display:Off,pause:!f,section:0,value:0),time:(from:'2017-11-29T09:40:19-0700',mode:absolute,to:'2017-11-29T12:22:12-0700'))&amp;_a=(columns:!('Message%20ID',Summary),filters:!(),index:'emp_*',interval:auto,query:(query_string:(analyze_wildcard:!t,query:'%22rtdc.l.rtdc.4026%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230" t="s">
        <v>637</v>
      </c>
      <c r="B73" s="226">
        <v>4025</v>
      </c>
      <c r="C73" s="228" t="s">
        <v>192</v>
      </c>
      <c r="D73" s="228" t="s">
        <v>922</v>
      </c>
      <c r="E73" s="227">
        <v>43068.485625000001</v>
      </c>
      <c r="F73" s="227">
        <v>43068.487928240742</v>
      </c>
      <c r="G73" s="226">
        <v>95</v>
      </c>
      <c r="H73" s="228" t="s">
        <v>923</v>
      </c>
      <c r="I73" s="227">
        <v>43068.515011574076</v>
      </c>
      <c r="J73" s="226">
        <v>0</v>
      </c>
      <c r="K73" s="238" t="str">
        <f t="shared" si="40"/>
        <v>4025/4026</v>
      </c>
      <c r="L73" s="246" t="str">
        <f>VLOOKUP(A73,'Trips&amp;Operators'!$C$1:$G$99911,5,FALSE)</f>
        <v>DAVIS MICHAEL</v>
      </c>
      <c r="M73" s="225">
        <f t="shared" si="41"/>
        <v>2.7083333334303461E-2</v>
      </c>
      <c r="N73" s="226">
        <f t="shared" si="49"/>
        <v>39.000000001396984</v>
      </c>
      <c r="O73" s="226"/>
      <c r="P73" s="226"/>
      <c r="Q73" s="229"/>
      <c r="R73" s="243"/>
      <c r="S73" s="250">
        <f t="shared" si="50"/>
        <v>1</v>
      </c>
      <c r="T73" s="243" t="str">
        <f t="shared" si="42"/>
        <v>Southbound</v>
      </c>
      <c r="U73" s="24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9" t="str">
        <f t="shared" si="3"/>
        <v>https://d0f6bd738d7f1b3e5a7ca70fe4ff75f0.us-east-1.aws.found.io/app/kibana#/discover/Steve-Slow-Train-Analysis-(2080s-and-2083s)?_g=(refreshInterval:(display:Off,pause:!f,section:0,value:0),time:(from:'2017-11-29T10:39:18-0700',mode:absolute,to:'2017-11-29T13:21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3" s="248" t="str">
        <f>IF(AA73&lt;VLOOKUP(AG73,Variables!$AC$3:$AD$8,2,FALSE),"Y","N")</f>
        <v>N</v>
      </c>
      <c r="X73" s="248">
        <f t="shared" si="48"/>
        <v>1</v>
      </c>
      <c r="Y73" s="248">
        <f t="shared" si="46"/>
        <v>23.299399999999999</v>
      </c>
      <c r="Z73" s="248">
        <f t="shared" si="47"/>
        <v>2.0899999999999998E-2</v>
      </c>
      <c r="AA73" s="248">
        <f t="shared" si="43"/>
        <v>23.278499999999998</v>
      </c>
      <c r="AB73" s="234" t="str">
        <f>VLOOKUP(A73,Enforcements!$C$7:$K$9,8,0)</f>
        <v>Bulletin (2)</v>
      </c>
      <c r="AC73" s="233" t="str">
        <f>VLOOKUP(A73,Enforcements!$C$7:$E$9,3,0)</f>
        <v>GRADE CROSSING</v>
      </c>
      <c r="AD73" s="244">
        <f t="shared" si="44"/>
        <v>158</v>
      </c>
      <c r="AE73" s="236" t="str">
        <f t="shared" si="6"/>
        <v>aws s3 cp s3://rtdc.mdm.uploadarchive.raw/RTDC4025/ "%USERPROFILE%\AppData\Local\Temp\OnboardLogs"\RTDC4025\2017-11-29 --exclude "*" --recursive --include "*20171129*" &amp; "%USERPROFILE%\Documents\GitHub\mrs-test-scripts\Headless Mode &amp; Sideloading\WalkAndUnGZ.bat" "%USERPROFILE%\AppData\Local\Temp\OnboardLogs"\RTDC4025\2017-11-29 &amp; aws s3 cp s3://rtdc.mdm.uploadarchive.raw/RTDC4025/ "%USERPROFILE%\AppData\Local\Temp\OnboardLogs"\RTDC4025\2017-11-30 --exclude "*" --recursive --include "*20171130*" &amp; "%USERPROFILE%\Documents\GitHub\mrs-test-scripts\Headless Mode &amp; Sideloading\WalkAndUnGZ.bat" "%USERPROFILE%\AppData\Local\Temp\OnboardLogs"\RTDC4025\2017-11-30</v>
      </c>
      <c r="AF73" s="235" t="str">
        <f t="shared" si="7"/>
        <v>"C:\Program Files (x86)\AstroGrep\AstroGrep.exe" /e /r /s /spath="%USERPROFILE%\AppData\Local\Temp\OnboardLogs" /stypes="app*4025*20171129*" /stext=" 19:.+((SYSTEM_STATE.+slice.+state.+changed )|(ment ac)|(multiple cpu faults)|(system.+state.+changed )|(\[timeout)|(PRM\|1\|D)|(kpr)|(kdp)|(train st.+moving)|(\|lc)|(penalty))"</v>
      </c>
      <c r="AG73" s="245" t="str">
        <f t="shared" si="45"/>
        <v>EC</v>
      </c>
      <c r="AH73" s="237" t="str">
        <f t="shared" si="14"/>
        <v>"%USERPROFILE%\Documents\GitHub\eaglep3\Utilities\RefineRTDCRunTimes.py" --tripid 158-29 --locoid 4025 --swversion DE.1.0.9.0 --startMP 204:232994 --initTime 2017-11-29T11:39:18 --startdatetime 2017-11-29T11:42:37 --delay 95 --endMP 204:209 --enddatetime 2017-11-29T12:21:37 --enforcementcount 0 &gt;&gt;%USERPROFILE%\Documents\GitHub\eaglep3-reporting\EC\2017-11-29-refined-times.txt</v>
      </c>
      <c r="AI73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{"issue":{"subject":"","project_id":79,"tracker_id":40,"status_id":1,"priority_id":2,"assigned_to_id":338,"start_date":"2017-11-29","description":"","custom_fields":[{"id":1,"name":"Subdivision","value":"EC"},{"id":4,"name":"Milepost","value":"0.0209"},{"id":17,"name":"Train ID","value":"158-29"},{"id":16,"name":"Locomotive ID","value":"4025"},{"id":130,"name":"Impact","value":""},{"id":150,"name":"Time of Event (Mountain Time)","value":"12:21:37"},{"id":151,"name":"Denver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4"/>
      <c r="AK73" s="232"/>
      <c r="AL73" s="232"/>
      <c r="AM73" s="241" t="str">
        <f t="shared" si="16"/>
        <v>start /low /b %USERPROFILE%\Documents\GitHub\eaglep3\Utilities\DownloadLogsFromS3.py --loco 4025 --day 2017-11-29</v>
      </c>
      <c r="AN73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19:21:37"},{"id":29,"name":"Sharepoint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1" t="str">
        <f t="shared" si="18"/>
        <v>https://d0f6bd738d7f1b3e5a7ca70fe4ff75f0.us-east-1.aws.found.io/app/kibana#/discover/Steve-Slow-Train-Analysis-(2080s-and-2083s)?_g=(refreshInterval:(display:Off,pause:!f,section:0,value:0),time:(from:'2017-11-29T10:39:18-0700',mode:absolute,to:'2017-11-29T13:21:37-0700'))&amp;_a=(columns:!('Message%20ID',Summary),filters:!(),index:'emp_*',interval:auto,query:(query_string:(analyze_wildcard:!t,query:'%22rtdc.l.rtdc.4025%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230" t="s">
        <v>744</v>
      </c>
      <c r="B74" s="226">
        <v>4020</v>
      </c>
      <c r="C74" s="228" t="s">
        <v>192</v>
      </c>
      <c r="D74" s="228" t="s">
        <v>509</v>
      </c>
      <c r="E74" s="227">
        <v>43068.452592592592</v>
      </c>
      <c r="F74" s="227">
        <v>43068.458483796298</v>
      </c>
      <c r="G74" s="226">
        <v>50</v>
      </c>
      <c r="H74" s="228" t="s">
        <v>924</v>
      </c>
      <c r="I74" s="227">
        <v>43068.482395833336</v>
      </c>
      <c r="J74" s="226">
        <v>0</v>
      </c>
      <c r="K74" s="238" t="str">
        <f t="shared" si="40"/>
        <v>4019/4020</v>
      </c>
      <c r="L74" s="246" t="str">
        <f>VLOOKUP(A74,'Trips&amp;Operators'!$C$1:$G$99911,5,FALSE)</f>
        <v>FORTUNATO FRANK</v>
      </c>
      <c r="M74" s="225">
        <f t="shared" si="41"/>
        <v>2.3912037038826384E-2</v>
      </c>
      <c r="N74" s="226">
        <f t="shared" si="49"/>
        <v>34.433333335909992</v>
      </c>
      <c r="O74" s="226"/>
      <c r="P74" s="226"/>
      <c r="Q74" s="229"/>
      <c r="R74" s="243"/>
      <c r="S74" s="250">
        <f t="shared" si="50"/>
        <v>1</v>
      </c>
      <c r="T74" s="243" t="str">
        <f t="shared" si="42"/>
        <v>NorthBound</v>
      </c>
      <c r="U74" s="24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9" t="str">
        <f t="shared" si="3"/>
        <v>https://d0f6bd738d7f1b3e5a7ca70fe4ff75f0.us-east-1.aws.found.io/app/kibana#/discover/Steve-Slow-Train-Analysis-(2080s-and-2083s)?_g=(refreshInterval:(display:Off,pause:!f,section:0,value:0),time:(from:'2017-11-29T09:51:44-0700',mode:absolute,to:'2017-11-29T12:34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4" s="248" t="str">
        <f>IF(AA74&lt;VLOOKUP(AG74,Variables!$AC$3:$AD$8,2,FALSE),"Y","N")</f>
        <v>N</v>
      </c>
      <c r="X74" s="248">
        <f t="shared" si="48"/>
        <v>1</v>
      </c>
      <c r="Y74" s="248">
        <f t="shared" si="46"/>
        <v>5.2900000000000003E-2</v>
      </c>
      <c r="Z74" s="248">
        <f t="shared" si="47"/>
        <v>23.319199999999999</v>
      </c>
      <c r="AA74" s="248">
        <f t="shared" si="43"/>
        <v>23.266299999999998</v>
      </c>
      <c r="AB74" s="234" t="e">
        <f>VLOOKUP(A74,Enforcements!$C$7:$K$9,8,0)</f>
        <v>#N/A</v>
      </c>
      <c r="AC74" s="233" t="e">
        <f>VLOOKUP(A74,Enforcements!$C$7:$E$9,3,0)</f>
        <v>#N/A</v>
      </c>
      <c r="AD74" s="244">
        <f t="shared" si="44"/>
        <v>159</v>
      </c>
      <c r="AE74" s="236" t="str">
        <f t="shared" si="6"/>
        <v>aws s3 cp s3://rtdc.mdm.uploadarchive.raw/RTDC4020/ "%USERPROFILE%\AppData\Local\Temp\OnboardLogs"\RTDC4020\2017-11-29 --exclude "*" --recursive --include "*20171129*" &amp; "%USERPROFILE%\Documents\GitHub\mrs-test-scripts\Headless Mode &amp; Sideloading\WalkAndUnGZ.bat" "%USERPROFILE%\AppData\Local\Temp\OnboardLogs"\RTDC4020\2017-11-29 &amp; aws s3 cp s3://rtdc.mdm.uploadarchive.raw/RTDC4020/ "%USERPROFILE%\AppData\Local\Temp\OnboardLogs"\RTDC4020\2017-11-30 --exclude "*" --recursive --include "*20171130*" &amp; "%USERPROFILE%\Documents\GitHub\mrs-test-scripts\Headless Mode &amp; Sideloading\WalkAndUnGZ.bat" "%USERPROFILE%\AppData\Local\Temp\OnboardLogs"\RTDC4020\2017-11-30</v>
      </c>
      <c r="AF74" s="235" t="str">
        <f t="shared" si="7"/>
        <v>"C:\Program Files (x86)\AstroGrep\AstroGrep.exe" /e /r /s /spath="%USERPROFILE%\AppData\Local\Temp\OnboardLogs" /stypes="app*4020*20171129*" /stext=" 18:.+((SYSTEM_STATE.+slice.+state.+changed )|(ment ac)|(multiple cpu faults)|(system.+state.+changed )|(\[timeout)|(PRM\|1\|D)|(kpr)|(kdp)|(train st.+moving)|(\|lc)|(penalty))"</v>
      </c>
      <c r="AG74" s="245" t="str">
        <f t="shared" si="45"/>
        <v>EC</v>
      </c>
      <c r="AH74" s="237" t="str">
        <f t="shared" si="14"/>
        <v>"%USERPROFILE%\Documents\GitHub\eaglep3\Utilities\RefineRTDCRunTimes.py" --tripid 159-29 --locoid 4020 --swversion DE.1.0.9.0 --startMP 204:529 --initTime 2017-11-29T10:51:44 --startdatetime 2017-11-29T11:00:13 --delay 50 --endMP 204:233192 --enddatetime 2017-11-29T11:34:39 --enforcementcount 0 &gt;&gt;%USERPROFILE%\Documents\GitHub\eaglep3-reporting\EC\2017-11-29-refined-times.txt</v>
      </c>
      <c r="AI74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{"issue":{"subject":"","project_id":79,"tracker_id":40,"status_id":1,"priority_id":2,"assigned_to_id":338,"start_date":"2017-11-29","description":"","custom_fields":[{"id":1,"name":"Subdivision","value":"EC"},{"id":4,"name":"Milepost","value":"23.3192"},{"id":17,"name":"Train ID","value":"159-29"},{"id":16,"name":"Locomotive ID","value":"4020"},{"id":130,"name":"Impact","value":""},{"id":150,"name":"Time of Event (Mountain Time)","value":"11:34:39"},{"id":151,"name":"Denver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4"/>
      <c r="AK74" s="232"/>
      <c r="AL74" s="232"/>
      <c r="AM74" s="241" t="str">
        <f t="shared" si="16"/>
        <v>start /low /b %USERPROFILE%\Documents\GitHub\eaglep3\Utilities\DownloadLogsFromS3.py --loco 4020 --day 2017-11-29</v>
      </c>
      <c r="AN74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18:34:39"},{"id":29,"name":"Sharepoint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1" t="str">
        <f t="shared" si="18"/>
        <v>https://d0f6bd738d7f1b3e5a7ca70fe4ff75f0.us-east-1.aws.found.io/app/kibana#/discover/Steve-Slow-Train-Analysis-(2080s-and-2083s)?_g=(refreshInterval:(display:Off,pause:!f,section:0,value:0),time:(from:'2017-11-29T09:51:44-0700',mode:absolute,to:'2017-11-29T12:34:39-0700'))&amp;_a=(columns:!('Message%20ID',Summary),filters:!(),index:'emp_*',interval:auto,query:(query_string:(analyze_wildcard:!t,query:'%22rtdc.l.rtdc.4020%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230" t="s">
        <v>638</v>
      </c>
      <c r="B75" s="226">
        <v>4019</v>
      </c>
      <c r="C75" s="228" t="s">
        <v>192</v>
      </c>
      <c r="D75" s="228" t="s">
        <v>925</v>
      </c>
      <c r="E75" s="227">
        <v>43068.484027777777</v>
      </c>
      <c r="F75" s="227">
        <v>43068.498796296299</v>
      </c>
      <c r="G75" s="226">
        <v>51</v>
      </c>
      <c r="H75" s="228" t="s">
        <v>563</v>
      </c>
      <c r="I75" s="227">
        <v>43068.525393518517</v>
      </c>
      <c r="J75" s="226">
        <v>0</v>
      </c>
      <c r="K75" s="238" t="str">
        <f t="shared" si="40"/>
        <v>4019/4020</v>
      </c>
      <c r="L75" s="246" t="str">
        <f>VLOOKUP(A75,'Trips&amp;Operators'!$C$1:$G$99911,5,FALSE)</f>
        <v>FORTUNATO FRANK</v>
      </c>
      <c r="M75" s="225">
        <f t="shared" si="41"/>
        <v>2.6597222218697425E-2</v>
      </c>
      <c r="N75" s="226">
        <f t="shared" si="49"/>
        <v>38.299999994924292</v>
      </c>
      <c r="O75" s="226"/>
      <c r="P75" s="226"/>
      <c r="Q75" s="229"/>
      <c r="R75" s="243"/>
      <c r="S75" s="250">
        <f t="shared" si="50"/>
        <v>1</v>
      </c>
      <c r="T75" s="243" t="str">
        <f t="shared" si="42"/>
        <v>Southbound</v>
      </c>
      <c r="U75" s="24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9" t="str">
        <f t="shared" si="3"/>
        <v>https://d0f6bd738d7f1b3e5a7ca70fe4ff75f0.us-east-1.aws.found.io/app/kibana#/discover/Steve-Slow-Train-Analysis-(2080s-and-2083s)?_g=(refreshInterval:(display:Off,pause:!f,section:0,value:0),time:(from:'2017-11-29T10:37:00-0700',mode:absolute,to:'2017-11-29T13:36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5" s="248" t="str">
        <f>IF(AA75&lt;VLOOKUP(AG75,Variables!$AC$3:$AD$8,2,FALSE),"Y","N")</f>
        <v>N</v>
      </c>
      <c r="X75" s="248">
        <f t="shared" si="48"/>
        <v>1</v>
      </c>
      <c r="Y75" s="248">
        <f t="shared" si="46"/>
        <v>23.2865</v>
      </c>
      <c r="Z75" s="248">
        <f t="shared" si="47"/>
        <v>2.1600000000000001E-2</v>
      </c>
      <c r="AA75" s="248">
        <f t="shared" si="43"/>
        <v>23.264900000000001</v>
      </c>
      <c r="AB75" s="234" t="str">
        <f>VLOOKUP(A75,Enforcements!$C$7:$K$9,8,0)</f>
        <v>Bulletin (2)</v>
      </c>
      <c r="AC75" s="233" t="str">
        <f>VLOOKUP(A75,Enforcements!$C$7:$E$9,3,0)</f>
        <v>GRADE CROSSING</v>
      </c>
      <c r="AD75" s="244">
        <f t="shared" si="44"/>
        <v>160</v>
      </c>
      <c r="AE75" s="236" t="str">
        <f t="shared" si="6"/>
        <v>aws s3 cp s3://rtdc.mdm.uploadarchive.raw/RTDC4019/ "%USERPROFILE%\AppData\Local\Temp\OnboardLogs"\RTDC4019\2017-11-29 --exclude "*" --recursive --include "*20171129*" &amp; "%USERPROFILE%\Documents\GitHub\mrs-test-scripts\Headless Mode &amp; Sideloading\WalkAndUnGZ.bat" "%USERPROFILE%\AppData\Local\Temp\OnboardLogs"\RTDC4019\2017-11-29 &amp; aws s3 cp s3://rtdc.mdm.uploadarchive.raw/RTDC4019/ "%USERPROFILE%\AppData\Local\Temp\OnboardLogs"\RTDC4019\2017-11-30 --exclude "*" --recursive --include "*20171130*" &amp; "%USERPROFILE%\Documents\GitHub\mrs-test-scripts\Headless Mode &amp; Sideloading\WalkAndUnGZ.bat" "%USERPROFILE%\AppData\Local\Temp\OnboardLogs"\RTDC4019\2017-11-30</v>
      </c>
      <c r="AF75" s="235" t="str">
        <f t="shared" si="7"/>
        <v>"C:\Program Files (x86)\AstroGrep\AstroGrep.exe" /e /r /s /spath="%USERPROFILE%\AppData\Local\Temp\OnboardLogs" /stypes="app*4019*20171129*" /stext=" 19:.+((SYSTEM_STATE.+slice.+state.+changed )|(ment ac)|(multiple cpu faults)|(system.+state.+changed )|(\[timeout)|(PRM\|1\|D)|(kpr)|(kdp)|(train st.+moving)|(\|lc)|(penalty))"</v>
      </c>
      <c r="AG75" s="245" t="str">
        <f t="shared" si="45"/>
        <v>EC</v>
      </c>
      <c r="AH75" s="237" t="str">
        <f t="shared" si="14"/>
        <v>"%USERPROFILE%\Documents\GitHub\eaglep3\Utilities\RefineRTDCRunTimes.py" --tripid 160-29 --locoid 4019 --swversion DE.1.0.9.0 --startMP 204:232865 --initTime 2017-11-29T11:37:00 --startdatetime 2017-11-29T11:58:16 --delay 51 --endMP 204:216 --enddatetime 2017-11-29T12:36:34 --enforcementcount 0 &gt;&gt;%USERPROFILE%\Documents\GitHub\eaglep3-reporting\EC\2017-11-29-refined-times.txt</v>
      </c>
      <c r="AI75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{"issue":{"subject":"","project_id":79,"tracker_id":40,"status_id":1,"priority_id":2,"assigned_to_id":338,"start_date":"2017-11-29","description":"","custom_fields":[{"id":1,"name":"Subdivision","value":"EC"},{"id":4,"name":"Milepost","value":"0.0216"},{"id":17,"name":"Train ID","value":"160-29"},{"id":16,"name":"Locomotive ID","value":"4019"},{"id":130,"name":"Impact","value":""},{"id":150,"name":"Time of Event (Mountain Time)","value":"12:36:34"},{"id":151,"name":"Denver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4"/>
      <c r="AK75" s="232"/>
      <c r="AL75" s="232"/>
      <c r="AM75" s="241" t="str">
        <f t="shared" si="16"/>
        <v>start /low /b %USERPROFILE%\Documents\GitHub\eaglep3\Utilities\DownloadLogsFromS3.py --loco 4019 --day 2017-11-29</v>
      </c>
      <c r="AN75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19:36:34"},{"id":29,"name":"Sharepoint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1" t="str">
        <f t="shared" si="18"/>
        <v>https://d0f6bd738d7f1b3e5a7ca70fe4ff75f0.us-east-1.aws.found.io/app/kibana#/discover/Steve-Slow-Train-Analysis-(2080s-and-2083s)?_g=(refreshInterval:(display:Off,pause:!f,section:0,value:0),time:(from:'2017-11-29T10:37:00-0700',mode:absolute,to:'2017-11-29T13:36:34-0700'))&amp;_a=(columns:!('Message%20ID',Summary),filters:!(),index:'emp_*',interval:auto,query:(query_string:(analyze_wildcard:!t,query:'%22rtdc.l.rtdc.4019%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230" t="s">
        <v>747</v>
      </c>
      <c r="B76" s="226">
        <v>4002</v>
      </c>
      <c r="C76" s="228" t="s">
        <v>192</v>
      </c>
      <c r="D76" s="228" t="s">
        <v>551</v>
      </c>
      <c r="E76" s="227">
        <v>43068.466203703705</v>
      </c>
      <c r="F76" s="227">
        <v>43068.468923611108</v>
      </c>
      <c r="G76" s="226">
        <v>89</v>
      </c>
      <c r="H76" s="228" t="s">
        <v>926</v>
      </c>
      <c r="I76" s="227">
        <v>43068.49417824074</v>
      </c>
      <c r="J76" s="226">
        <v>0</v>
      </c>
      <c r="K76" s="238" t="str">
        <f t="shared" si="40"/>
        <v>4001/4002</v>
      </c>
      <c r="L76" s="246" t="str">
        <f>VLOOKUP(A76,'Trips&amp;Operators'!$C$1:$G$99911,5,FALSE)</f>
        <v>BRUDER RICHARD</v>
      </c>
      <c r="M76" s="225">
        <f t="shared" si="41"/>
        <v>2.5254629632399883E-2</v>
      </c>
      <c r="N76" s="226">
        <f t="shared" si="49"/>
        <v>36.366666670655832</v>
      </c>
      <c r="O76" s="226"/>
      <c r="P76" s="226"/>
      <c r="Q76" s="229"/>
      <c r="R76" s="243"/>
      <c r="S76" s="250">
        <f t="shared" si="50"/>
        <v>1</v>
      </c>
      <c r="T76" s="243" t="str">
        <f t="shared" si="42"/>
        <v>NorthBound</v>
      </c>
      <c r="U76" s="24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9" t="str">
        <f t="shared" si="3"/>
        <v>https://d0f6bd738d7f1b3e5a7ca70fe4ff75f0.us-east-1.aws.found.io/app/kibana#/discover/Steve-Slow-Train-Analysis-(2080s-and-2083s)?_g=(refreshInterval:(display:Off,pause:!f,section:0,value:0),time:(from:'2017-11-29T10:11:20-0700',mode:absolute,to:'2017-11-29T12:51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6" s="248" t="str">
        <f>IF(AA76&lt;VLOOKUP(AG76,Variables!$AC$3:$AD$8,2,FALSE),"Y","N")</f>
        <v>N</v>
      </c>
      <c r="X76" s="248">
        <f t="shared" si="48"/>
        <v>1</v>
      </c>
      <c r="Y76" s="248">
        <f t="shared" si="46"/>
        <v>4.6199999999999998E-2</v>
      </c>
      <c r="Z76" s="248">
        <f t="shared" si="47"/>
        <v>23.3217</v>
      </c>
      <c r="AA76" s="248">
        <f t="shared" si="43"/>
        <v>23.275500000000001</v>
      </c>
      <c r="AB76" s="234" t="e">
        <f>VLOOKUP(A76,Enforcements!$C$7:$K$9,8,0)</f>
        <v>#N/A</v>
      </c>
      <c r="AC76" s="233" t="e">
        <f>VLOOKUP(A76,Enforcements!$C$7:$E$9,3,0)</f>
        <v>#N/A</v>
      </c>
      <c r="AD76" s="244">
        <f t="shared" si="44"/>
        <v>161</v>
      </c>
      <c r="AE76" s="236" t="str">
        <f t="shared" si="6"/>
        <v>aws s3 cp s3://rtdc.mdm.uploadarchive.raw/RTDC4002/ "%USERPROFILE%\AppData\Local\Temp\OnboardLogs"\RTDC4002\2017-11-29 --exclude "*" --recursive --include "*20171129*" &amp; "%USERPROFILE%\Documents\GitHub\mrs-test-scripts\Headless Mode &amp; Sideloading\WalkAndUnGZ.bat" "%USERPROFILE%\AppData\Local\Temp\OnboardLogs"\RTDC4002\2017-11-29 &amp; aws s3 cp s3://rtdc.mdm.uploadarchive.raw/RTDC4002/ "%USERPROFILE%\AppData\Local\Temp\OnboardLogs"\RTDC4002\2017-11-30 --exclude "*" --recursive --include "*20171130*" &amp; "%USERPROFILE%\Documents\GitHub\mrs-test-scripts\Headless Mode &amp; Sideloading\WalkAndUnGZ.bat" "%USERPROFILE%\AppData\Local\Temp\OnboardLogs"\RTDC4002\2017-11-30</v>
      </c>
      <c r="AF76" s="235" t="str">
        <f t="shared" si="7"/>
        <v>"C:\Program Files (x86)\AstroGrep\AstroGrep.exe" /e /r /s /spath="%USERPROFILE%\AppData\Local\Temp\OnboardLogs" /stypes="app*4002*20171129*" /stext=" 18:.+((SYSTEM_STATE.+slice.+state.+changed )|(ment ac)|(multiple cpu faults)|(system.+state.+changed )|(\[timeout)|(PRM\|1\|D)|(kpr)|(kdp)|(train st.+moving)|(\|lc)|(penalty))"</v>
      </c>
      <c r="AG76" s="245" t="str">
        <f t="shared" si="45"/>
        <v>EC</v>
      </c>
      <c r="AH76" s="237" t="str">
        <f t="shared" si="14"/>
        <v>"%USERPROFILE%\Documents\GitHub\eaglep3\Utilities\RefineRTDCRunTimes.py" --tripid 161-29 --locoid 4002 --swversion DE.1.0.9.0 --startMP 204:462 --initTime 2017-11-29T11:11:20 --startdatetime 2017-11-29T11:15:15 --delay 89 --endMP 204:233217 --enddatetime 2017-11-29T11:51:37 --enforcementcount 0 &gt;&gt;%USERPROFILE%\Documents\GitHub\eaglep3-reporting\EC\2017-11-29-refined-times.txt</v>
      </c>
      <c r="AI76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{"issue":{"subject":"","project_id":79,"tracker_id":40,"status_id":1,"priority_id":2,"assigned_to_id":338,"start_date":"2017-11-29","description":"","custom_fields":[{"id":1,"name":"Subdivision","value":"EC"},{"id":4,"name":"Milepost","value":"23.3217"},{"id":17,"name":"Train ID","value":"161-29"},{"id":16,"name":"Locomotive ID","value":"4002"},{"id":130,"name":"Impact","value":""},{"id":150,"name":"Time of Event (Mountain Time)","value":"11:51:37"},{"id":151,"name":"Denver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4"/>
      <c r="AK76" s="232"/>
      <c r="AL76" s="232"/>
      <c r="AM76" s="241" t="str">
        <f t="shared" si="16"/>
        <v>start /low /b %USERPROFILE%\Documents\GitHub\eaglep3\Utilities\DownloadLogsFromS3.py --loco 4002 --day 2017-11-29</v>
      </c>
      <c r="AN76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18:51:37"},{"id":29,"name":"Sharepoint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1" t="str">
        <f t="shared" si="18"/>
        <v>https://d0f6bd738d7f1b3e5a7ca70fe4ff75f0.us-east-1.aws.found.io/app/kibana#/discover/Steve-Slow-Train-Analysis-(2080s-and-2083s)?_g=(refreshInterval:(display:Off,pause:!f,section:0,value:0),time:(from:'2017-11-29T10:11:20-0700',mode:absolute,to:'2017-11-29T12:51:37-0700'))&amp;_a=(columns:!('Message%20ID',Summary),filters:!(),index:'emp_*',interval:auto,query:(query_string:(analyze_wildcard:!t,query:'%22rtdc.l.rtdc.4002%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230" t="s">
        <v>756</v>
      </c>
      <c r="B77" s="226">
        <v>4001</v>
      </c>
      <c r="C77" s="228" t="s">
        <v>192</v>
      </c>
      <c r="D77" s="228" t="s">
        <v>505</v>
      </c>
      <c r="E77" s="227">
        <v>43068.505243055559</v>
      </c>
      <c r="F77" s="227">
        <v>43068.508530092593</v>
      </c>
      <c r="G77" s="226">
        <v>103</v>
      </c>
      <c r="H77" s="228" t="s">
        <v>438</v>
      </c>
      <c r="I77" s="227">
        <v>43068.534039351849</v>
      </c>
      <c r="J77" s="226">
        <v>0</v>
      </c>
      <c r="K77" s="238" t="str">
        <f t="shared" ref="K77:K108" si="51">IF(ISEVEN(B77),(B77-1)&amp;"/"&amp;B77,B77&amp;"/"&amp;(B77+1))</f>
        <v>4001/4002</v>
      </c>
      <c r="L77" s="246" t="str">
        <f>VLOOKUP(A77,'Trips&amp;Operators'!$C$1:$G$99911,5,FALSE)</f>
        <v>BRUDER RICHARD</v>
      </c>
      <c r="M77" s="225">
        <f t="shared" ref="M77:M108" si="52">I77-F77</f>
        <v>2.5509259256068617E-2</v>
      </c>
      <c r="N77" s="226">
        <f t="shared" si="49"/>
        <v>36.733333328738809</v>
      </c>
      <c r="O77" s="226"/>
      <c r="P77" s="226"/>
      <c r="Q77" s="229"/>
      <c r="R77" s="243"/>
      <c r="S77" s="250">
        <f t="shared" si="50"/>
        <v>1</v>
      </c>
      <c r="T77" s="243" t="str">
        <f t="shared" ref="T77:T108" si="53">IF(ISEVEN(LEFT(AD77,4)),"Southbound","NorthBound")</f>
        <v>Southbound</v>
      </c>
      <c r="U77" s="24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9" t="str">
        <f t="shared" ref="V77:V140" si="54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-29T11:07:33-0700',mode:absolute,to:'2017-11-29T13:49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7" s="248" t="str">
        <f>IF(AA77&lt;VLOOKUP(AG77,Variables!$AC$3:$AD$8,2,FALSE),"Y","N")</f>
        <v>N</v>
      </c>
      <c r="X77" s="248">
        <f t="shared" si="48"/>
        <v>1</v>
      </c>
      <c r="Y77" s="248">
        <f t="shared" si="46"/>
        <v>23.2896</v>
      </c>
      <c r="Z77" s="248">
        <f t="shared" si="47"/>
        <v>2.29E-2</v>
      </c>
      <c r="AA77" s="248">
        <f t="shared" ref="AA77:AA108" si="55">ABS(Z77-Y77)</f>
        <v>23.2667</v>
      </c>
      <c r="AB77" s="234" t="e">
        <f>VLOOKUP(A77,Enforcements!$C$7:$K$9,8,0)</f>
        <v>#N/A</v>
      </c>
      <c r="AC77" s="233" t="e">
        <f>VLOOKUP(A77,Enforcements!$C$7:$E$9,3,0)</f>
        <v>#N/A</v>
      </c>
      <c r="AD77" s="244">
        <f t="shared" ref="AD77:AD108" si="56">VALUE(LEFT(A77,LEN(A77)-3))</f>
        <v>162</v>
      </c>
      <c r="AE77" s="236" t="str">
        <f t="shared" ref="AE77:AE140" si="5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s3://rtdc.mdm.uploadarchive.raw/RTDC4001/ "%USERPROFILE%\AppData\Local\Temp\OnboardLogs"\RTDC4001\2017-11-29 --exclude "*" --recursive --include "*20171129*" &amp; "%USERPROFILE%\Documents\GitHub\mrs-test-scripts\Headless Mode &amp; Sideloading\WalkAndUnGZ.bat" "%USERPROFILE%\AppData\Local\Temp\OnboardLogs"\RTDC4001\2017-11-29 &amp; aws s3 cp s3://rtdc.mdm.uploadarchive.raw/RTDC4001/ "%USERPROFILE%\AppData\Local\Temp\OnboardLogs"\RTDC4001\2017-11-30 --exclude "*" --recursive --include "*20171130*" &amp; "%USERPROFILE%\Documents\GitHub\mrs-test-scripts\Headless Mode &amp; Sideloading\WalkAndUnGZ.bat" "%USERPROFILE%\AppData\Local\Temp\OnboardLogs"\RTDC4001\2017-11-30</v>
      </c>
      <c r="AF77" s="235" t="str">
        <f t="shared" ref="AF77:AF140" si="58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/stypes="app*4001*20171129*" /stext=" 19:.+((SYSTEM_STATE.+slice.+state.+changed )|(ment ac)|(multiple cpu faults)|(system.+state.+changed )|(\[timeout)|(PRM\|1\|D)|(kpr)|(kdp)|(train st.+moving)|(\|lc)|(penalty))"</v>
      </c>
      <c r="AG77" s="245" t="str">
        <f t="shared" ref="AG77:AG108" si="59">DetSubdiv(A77)</f>
        <v>EC</v>
      </c>
      <c r="AH77" s="237" t="str">
        <f t="shared" si="14"/>
        <v>"%USERPROFILE%\Documents\GitHub\eaglep3\Utilities\RefineRTDCRunTimes.py" --tripid 162-29 --locoid 4001 --swversion DE.1.0.9.0 --startMP 204:232896 --initTime 2017-11-29T12:07:33 --startdatetime 2017-11-29T12:12:17 --delay 103 --endMP 204:229 --enddatetime 2017-11-29T12:49:01 --enforcementcount 0 &gt;&gt;%USERPROFILE%\Documents\GitHub\eaglep3-reporting\EC\2017-11-29-refined-times.txt</v>
      </c>
      <c r="AI77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{"issue":{"subject":"","project_id":79,"tracker_id":40,"status_id":1,"priority_id":2,"assigned_to_id":338,"start_date":"2017-11-29","description":"","custom_fields":[{"id":1,"name":"Subdivision","value":"EC"},{"id":4,"name":"Milepost","value":"0.0229"},{"id":17,"name":"Train ID","value":"162-29"},{"id":16,"name":"Locomotive ID","value":"4001"},{"id":130,"name":"Impact","value":""},{"id":150,"name":"Time of Event (Mountain Time)","value":"12:49:01"},{"id":151,"name":"Denver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4"/>
      <c r="AK77" s="232"/>
      <c r="AL77" s="232"/>
      <c r="AM77" s="241" t="str">
        <f t="shared" si="16"/>
        <v>start /low /b %USERPROFILE%\Documents\GitHub\eaglep3\Utilities\DownloadLogsFromS3.py --loco 4001 --day 2017-11-29</v>
      </c>
      <c r="AN77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19:49:01"},{"id":29,"name":"Sharepoint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1" t="str">
        <f t="shared" si="18"/>
        <v>https://d0f6bd738d7f1b3e5a7ca70fe4ff75f0.us-east-1.aws.found.io/app/kibana#/discover/Steve-Slow-Train-Analysis-(2080s-and-2083s)?_g=(refreshInterval:(display:Off,pause:!f,section:0,value:0),time:(from:'2017-11-29T11:07:33-0700',mode:absolute,to:'2017-11-29T13:49:01-0700'))&amp;_a=(columns:!('Message%20ID',Summary),filters:!(),index:'emp_*',interval:auto,query:(query_string:(analyze_wildcard:!t,query:'%22rtdc.l.rtdc.4001%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230" t="s">
        <v>750</v>
      </c>
      <c r="B78" s="226">
        <v>4006</v>
      </c>
      <c r="C78" s="228" t="s">
        <v>192</v>
      </c>
      <c r="D78" s="228" t="s">
        <v>420</v>
      </c>
      <c r="E78" s="227">
        <v>43068.477476851855</v>
      </c>
      <c r="F78" s="227">
        <v>43068.479409722226</v>
      </c>
      <c r="G78" s="226">
        <v>70</v>
      </c>
      <c r="H78" s="228" t="s">
        <v>927</v>
      </c>
      <c r="I78" s="227">
        <v>43068.503587962965</v>
      </c>
      <c r="J78" s="226">
        <v>0</v>
      </c>
      <c r="K78" s="238" t="str">
        <f t="shared" si="51"/>
        <v>4005/4006</v>
      </c>
      <c r="L78" s="246" t="str">
        <f>VLOOKUP(A78,'Trips&amp;Operators'!$C$1:$G$99911,5,FALSE)</f>
        <v>STEWART MICHAEL</v>
      </c>
      <c r="M78" s="225">
        <f t="shared" si="52"/>
        <v>2.417824073927477E-2</v>
      </c>
      <c r="N78" s="226">
        <f t="shared" si="49"/>
        <v>34.816666664555669</v>
      </c>
      <c r="O78" s="226"/>
      <c r="P78" s="226"/>
      <c r="Q78" s="229"/>
      <c r="R78" s="243"/>
      <c r="S78" s="250">
        <f t="shared" si="50"/>
        <v>1</v>
      </c>
      <c r="T78" s="243" t="str">
        <f t="shared" si="53"/>
        <v>NorthBound</v>
      </c>
      <c r="U78" s="24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9" t="str">
        <f t="shared" si="54"/>
        <v>https://d0f6bd738d7f1b3e5a7ca70fe4ff75f0.us-east-1.aws.found.io/app/kibana#/discover/Steve-Slow-Train-Analysis-(2080s-and-2083s)?_g=(refreshInterval:(display:Off,pause:!f,section:0,value:0),time:(from:'2017-11-29T10:27:34-0700',mode:absolute,to:'2017-11-29T13:05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8" s="248" t="str">
        <f>IF(AA78&lt;VLOOKUP(AG78,Variables!$AC$3:$AD$8,2,FALSE),"Y","N")</f>
        <v>N</v>
      </c>
      <c r="X78" s="248">
        <f t="shared" si="48"/>
        <v>1</v>
      </c>
      <c r="Y78" s="248">
        <f t="shared" si="46"/>
        <v>5.2400000000000002E-2</v>
      </c>
      <c r="Z78" s="248">
        <f t="shared" si="47"/>
        <v>23.318000000000001</v>
      </c>
      <c r="AA78" s="248">
        <f t="shared" si="55"/>
        <v>23.265600000000003</v>
      </c>
      <c r="AB78" s="234" t="e">
        <f>VLOOKUP(A78,Enforcements!$C$7:$K$9,8,0)</f>
        <v>#N/A</v>
      </c>
      <c r="AC78" s="233" t="e">
        <f>VLOOKUP(A78,Enforcements!$C$7:$E$9,3,0)</f>
        <v>#N/A</v>
      </c>
      <c r="AD78" s="244">
        <f t="shared" si="56"/>
        <v>163</v>
      </c>
      <c r="AE78" s="236" t="str">
        <f t="shared" si="57"/>
        <v>aws s3 cp s3://rtdc.mdm.uploadarchive.raw/RTDC4006/ "%USERPROFILE%\AppData\Local\Temp\OnboardLogs"\RTDC4006\2017-11-29 --exclude "*" --recursive --include "*20171129*" &amp; "%USERPROFILE%\Documents\GitHub\mrs-test-scripts\Headless Mode &amp; Sideloading\WalkAndUnGZ.bat" "%USERPROFILE%\AppData\Local\Temp\OnboardLogs"\RTDC4006\2017-11-29 &amp; aws s3 cp s3://rtdc.mdm.uploadarchive.raw/RTDC4006/ "%USERPROFILE%\AppData\Local\Temp\OnboardLogs"\RTDC4006\2017-11-30 --exclude "*" --recursive --include "*20171130*" &amp; "%USERPROFILE%\Documents\GitHub\mrs-test-scripts\Headless Mode &amp; Sideloading\WalkAndUnGZ.bat" "%USERPROFILE%\AppData\Local\Temp\OnboardLogs"\RTDC4006\2017-11-30</v>
      </c>
      <c r="AF78" s="235" t="str">
        <f t="shared" si="58"/>
        <v>"C:\Program Files (x86)\AstroGrep\AstroGrep.exe" /e /r /s /spath="%USERPROFILE%\AppData\Local\Temp\OnboardLogs" /stypes="app*4006*20171129*" /stext=" 19:.+((SYSTEM_STATE.+slice.+state.+changed )|(ment ac)|(multiple cpu faults)|(system.+state.+changed )|(\[timeout)|(PRM\|1\|D)|(kpr)|(kdp)|(train st.+moving)|(\|lc)|(penalty))"</v>
      </c>
      <c r="AG78" s="245" t="str">
        <f t="shared" si="59"/>
        <v>EC</v>
      </c>
      <c r="AH78" s="237" t="str">
        <f t="shared" si="14"/>
        <v>"%USERPROFILE%\Documents\GitHub\eaglep3\Utilities\RefineRTDCRunTimes.py" --tripid 163-29 --locoid 4006 --swversion DE.1.0.9.0 --startMP 204:524 --initTime 2017-11-29T11:27:34 --startdatetime 2017-11-29T11:30:21 --delay 70 --endMP 204:233180 --enddatetime 2017-11-29T12:05:10 --enforcementcount 0 &gt;&gt;%USERPROFILE%\Documents\GitHub\eaglep3-reporting\EC\2017-11-29-refined-times.txt</v>
      </c>
      <c r="AI78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{"issue":{"subject":"","project_id":79,"tracker_id":40,"status_id":1,"priority_id":2,"assigned_to_id":338,"start_date":"2017-11-29","description":"","custom_fields":[{"id":1,"name":"Subdivision","value":"EC"},{"id":4,"name":"Milepost","value":"23.318"},{"id":17,"name":"Train ID","value":"163-29"},{"id":16,"name":"Locomotive ID","value":"4006"},{"id":130,"name":"Impact","value":""},{"id":150,"name":"Time of Event (Mountain Time)","value":"12:05:10"},{"id":151,"name":"Denver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4"/>
      <c r="AK78" s="232"/>
      <c r="AL78" s="232"/>
      <c r="AM78" s="241" t="str">
        <f t="shared" si="16"/>
        <v>start /low /b %USERPROFILE%\Documents\GitHub\eaglep3\Utilities\DownloadLogsFromS3.py --loco 4006 --day 2017-11-29</v>
      </c>
      <c r="AN78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19:05:10"},{"id":29,"name":"Sharepoint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1" t="str">
        <f t="shared" si="18"/>
        <v>https://d0f6bd738d7f1b3e5a7ca70fe4ff75f0.us-east-1.aws.found.io/app/kibana#/discover/Steve-Slow-Train-Analysis-(2080s-and-2083s)?_g=(refreshInterval:(display:Off,pause:!f,section:0,value:0),time:(from:'2017-11-29T10:27:34-0700',mode:absolute,to:'2017-11-29T13:05:10-0700'))&amp;_a=(columns:!('Message%20ID',Summary),filters:!(),index:'emp_*',interval:auto,query:(query_string:(analyze_wildcard:!t,query:'%22rtdc.l.rtdc.4006%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230" t="s">
        <v>760</v>
      </c>
      <c r="B79" s="226">
        <v>4005</v>
      </c>
      <c r="C79" s="228" t="s">
        <v>192</v>
      </c>
      <c r="D79" s="228" t="s">
        <v>569</v>
      </c>
      <c r="E79" s="227">
        <v>43068.514143518521</v>
      </c>
      <c r="F79" s="227">
        <v>43068.518969907411</v>
      </c>
      <c r="G79" s="226">
        <v>87</v>
      </c>
      <c r="H79" s="228" t="s">
        <v>550</v>
      </c>
      <c r="I79" s="227">
        <v>43068.545370370368</v>
      </c>
      <c r="J79" s="226">
        <v>0</v>
      </c>
      <c r="K79" s="238" t="str">
        <f t="shared" si="51"/>
        <v>4005/4006</v>
      </c>
      <c r="L79" s="246" t="str">
        <f>VLOOKUP(A79,'Trips&amp;Operators'!$C$1:$G$99911,5,FALSE)</f>
        <v>STEWART MICHAEL</v>
      </c>
      <c r="M79" s="225">
        <f t="shared" si="52"/>
        <v>2.640046295709908E-2</v>
      </c>
      <c r="N79" s="226">
        <f t="shared" si="49"/>
        <v>38.016666658222675</v>
      </c>
      <c r="O79" s="226"/>
      <c r="P79" s="226"/>
      <c r="Q79" s="229"/>
      <c r="R79" s="243"/>
      <c r="S79" s="250">
        <f t="shared" si="50"/>
        <v>1</v>
      </c>
      <c r="T79" s="243" t="str">
        <f t="shared" si="53"/>
        <v>Southbound</v>
      </c>
      <c r="U79" s="24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9" t="str">
        <f t="shared" si="54"/>
        <v>https://d0f6bd738d7f1b3e5a7ca70fe4ff75f0.us-east-1.aws.found.io/app/kibana#/discover/Steve-Slow-Train-Analysis-(2080s-and-2083s)?_g=(refreshInterval:(display:Off,pause:!f,section:0,value:0),time:(from:'2017-11-29T11:20:22-0700',mode:absolute,to:'2017-11-29T14:05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9" s="248" t="str">
        <f>IF(AA79&lt;VLOOKUP(AG79,Variables!$AC$3:$AD$8,2,FALSE),"Y","N")</f>
        <v>N</v>
      </c>
      <c r="X79" s="248">
        <f t="shared" si="48"/>
        <v>1</v>
      </c>
      <c r="Y79" s="248">
        <f t="shared" si="46"/>
        <v>23.288399999999999</v>
      </c>
      <c r="Z79" s="248">
        <f t="shared" si="47"/>
        <v>2.0299999999999999E-2</v>
      </c>
      <c r="AA79" s="248">
        <f t="shared" si="55"/>
        <v>23.2681</v>
      </c>
      <c r="AB79" s="234" t="e">
        <f>VLOOKUP(A79,Enforcements!$C$7:$K$9,8,0)</f>
        <v>#N/A</v>
      </c>
      <c r="AC79" s="233" t="e">
        <f>VLOOKUP(A79,Enforcements!$C$7:$E$9,3,0)</f>
        <v>#N/A</v>
      </c>
      <c r="AD79" s="244">
        <f t="shared" si="56"/>
        <v>164</v>
      </c>
      <c r="AE79" s="236" t="str">
        <f t="shared" si="57"/>
        <v>aws s3 cp s3://rtdc.mdm.uploadarchive.raw/RTDC4005/ "%USERPROFILE%\AppData\Local\Temp\OnboardLogs"\RTDC4005\2017-11-29 --exclude "*" --recursive --include "*20171129*" &amp; "%USERPROFILE%\Documents\GitHub\mrs-test-scripts\Headless Mode &amp; Sideloading\WalkAndUnGZ.bat" "%USERPROFILE%\AppData\Local\Temp\OnboardLogs"\RTDC4005\2017-11-29 &amp; aws s3 cp s3://rtdc.mdm.uploadarchive.raw/RTDC4005/ "%USERPROFILE%\AppData\Local\Temp\OnboardLogs"\RTDC4005\2017-11-30 --exclude "*" --recursive --include "*20171130*" &amp; "%USERPROFILE%\Documents\GitHub\mrs-test-scripts\Headless Mode &amp; Sideloading\WalkAndUnGZ.bat" "%USERPROFILE%\AppData\Local\Temp\OnboardLogs"\RTDC4005\2017-11-30</v>
      </c>
      <c r="AF79" s="235" t="str">
        <f t="shared" si="58"/>
        <v>"C:\Program Files (x86)\AstroGrep\AstroGrep.exe" /e /r /s /spath="%USERPROFILE%\AppData\Local\Temp\OnboardLogs" /stypes="app*4005*20171129*" /stext=" 20:.+((SYSTEM_STATE.+slice.+state.+changed )|(ment ac)|(multiple cpu faults)|(system.+state.+changed )|(\[timeout)|(PRM\|1\|D)|(kpr)|(kdp)|(train st.+moving)|(\|lc)|(penalty))"</v>
      </c>
      <c r="AG79" s="245" t="str">
        <f t="shared" si="59"/>
        <v>EC</v>
      </c>
      <c r="AH79" s="237" t="str">
        <f t="shared" si="14"/>
        <v>"%USERPROFILE%\Documents\GitHub\eaglep3\Utilities\RefineRTDCRunTimes.py" --tripid 164-29 --locoid 4005 --swversion DE.1.0.9.0 --startMP 204:232884 --initTime 2017-11-29T12:20:22 --startdatetime 2017-11-29T12:27:19 --delay 87 --endMP 204:203 --enddatetime 2017-11-29T13:05:20 --enforcementcount 0 &gt;&gt;%USERPROFILE%\Documents\GitHub\eaglep3-reporting\EC\2017-11-29-refined-times.txt</v>
      </c>
      <c r="AI79" s="239" t="str">
        <f t="shared" si="15"/>
        <v>echo {"issue":{"subject":"","project_id":79,"tracker_id":40,"status_id":1,"priority_id":2,"assigned_to_id":338,"start_date":"2017-11-29","description":"","custom_fields":[{"id":1,"name":"Subdivision","value":"EC"},{"id":4,"name":"Milepost","value":"0.0203"},{"id":17,"name":"Train ID","value":"164-29"},{"id":16,"name":"Locomotive ID","value":"4005"},{"id":130,"name":"Impact","value":""},{"id":150,"name":"Time of Event (Mountain Time)","value":"13:05:20"},{"id":151,"name":"Denver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4"/>
      <c r="AK79" s="232"/>
      <c r="AL79" s="232"/>
      <c r="AM79" s="241" t="str">
        <f t="shared" si="16"/>
        <v>start /low /b %USERPROFILE%\Documents\GitHub\eaglep3\Utilities\DownloadLogsFromS3.py --loco 4005 --day 2017-11-29</v>
      </c>
      <c r="AN79" s="242" t="str">
        <f t="shared" si="17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20:05:20"},{"id":29,"name":"Sharepoint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1" t="str">
        <f t="shared" si="18"/>
        <v>https://d0f6bd738d7f1b3e5a7ca70fe4ff75f0.us-east-1.aws.found.io/app/kibana#/discover/Steve-Slow-Train-Analysis-(2080s-and-2083s)?_g=(refreshInterval:(display:Off,pause:!f,section:0,value:0),time:(from:'2017-11-29T11:20:22-0700',mode:absolute,to:'2017-11-29T14:05:20-0700'))&amp;_a=(columns:!('Message%20ID',Summary),filters:!(),index:'emp_*',interval:auto,query:(query_string:(analyze_wildcard:!t,query:'%22rtdc.l.rtdc.4005%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230" t="s">
        <v>753</v>
      </c>
      <c r="B80" s="226">
        <v>4066</v>
      </c>
      <c r="C80" s="228" t="s">
        <v>192</v>
      </c>
      <c r="D80" s="228" t="s">
        <v>435</v>
      </c>
      <c r="E80" s="227">
        <v>43068.48505787037</v>
      </c>
      <c r="F80" s="227">
        <v>43068.489756944444</v>
      </c>
      <c r="G80" s="226">
        <v>82</v>
      </c>
      <c r="H80" s="228" t="s">
        <v>584</v>
      </c>
      <c r="I80" s="227">
        <v>43068.514768518522</v>
      </c>
      <c r="J80" s="226">
        <v>0</v>
      </c>
      <c r="K80" s="238" t="str">
        <f t="shared" si="51"/>
        <v>4065/4066</v>
      </c>
      <c r="L80" s="246" t="str">
        <f>VLOOKUP(A80,'Trips&amp;Operators'!$C$1:$G$99911,5,FALSE)</f>
        <v>GUZMAN DANNY</v>
      </c>
      <c r="M80" s="225">
        <f t="shared" si="52"/>
        <v>2.5011574078234844E-2</v>
      </c>
      <c r="N80" s="226">
        <f t="shared" si="49"/>
        <v>36.016666672658175</v>
      </c>
      <c r="O80" s="226"/>
      <c r="P80" s="226"/>
      <c r="Q80" s="229"/>
      <c r="R80" s="243"/>
      <c r="S80" s="250">
        <f t="shared" si="50"/>
        <v>1</v>
      </c>
      <c r="T80" s="243" t="str">
        <f t="shared" si="53"/>
        <v>NorthBound</v>
      </c>
      <c r="U80" s="24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9" t="str">
        <f t="shared" si="54"/>
        <v>https://d0f6bd738d7f1b3e5a7ca70fe4ff75f0.us-east-1.aws.found.io/app/kibana#/discover/Steve-Slow-Train-Analysis-(2080s-and-2083s)?_g=(refreshInterval:(display:Off,pause:!f,section:0,value:0),time:(from:'2017-11-29T10:38:29-0700',mode:absolute,to:'2017-11-29T13:21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80" s="248" t="str">
        <f>IF(AA80&lt;VLOOKUP(AG80,Variables!$AC$3:$AD$8,2,FALSE),"Y","N")</f>
        <v>N</v>
      </c>
      <c r="X80" s="248">
        <f t="shared" si="48"/>
        <v>1</v>
      </c>
      <c r="Y80" s="248">
        <f t="shared" si="46"/>
        <v>5.0799999999999998E-2</v>
      </c>
      <c r="Z80" s="248">
        <f t="shared" si="47"/>
        <v>23.321200000000001</v>
      </c>
      <c r="AA80" s="248">
        <f t="shared" si="55"/>
        <v>23.270400000000002</v>
      </c>
      <c r="AB80" s="234" t="e">
        <f>VLOOKUP(A80,Enforcements!$C$7:$K$9,8,0)</f>
        <v>#N/A</v>
      </c>
      <c r="AC80" s="233" t="e">
        <f>VLOOKUP(A80,Enforcements!$C$7:$E$9,3,0)</f>
        <v>#N/A</v>
      </c>
      <c r="AD80" s="244">
        <f t="shared" si="56"/>
        <v>165</v>
      </c>
      <c r="AE80" s="236" t="str">
        <f t="shared" si="57"/>
        <v>aws s3 cp s3://rtdc.mdm.uploadarchive.raw/RTDC4066/ "%USERPROFILE%\AppData\Local\Temp\OnboardLogs"\RTDC4066\2017-11-29 --exclude "*" --recursive --include "*20171129*" &amp; "%USERPROFILE%\Documents\GitHub\mrs-test-scripts\Headless Mode &amp; Sideloading\WalkAndUnGZ.bat" "%USERPROFILE%\AppData\Local\Temp\OnboardLogs"\RTDC4066\2017-11-29 &amp; aws s3 cp s3://rtdc.mdm.uploadarchive.raw/RTDC4066/ "%USERPROFILE%\AppData\Local\Temp\OnboardLogs"\RTDC4066\2017-11-30 --exclude "*" --recursive --include "*20171130*" &amp; "%USERPROFILE%\Documents\GitHub\mrs-test-scripts\Headless Mode &amp; Sideloading\WalkAndUnGZ.bat" "%USERPROFILE%\AppData\Local\Temp\OnboardLogs"\RTDC4066\2017-11-30</v>
      </c>
      <c r="AF80" s="235" t="str">
        <f t="shared" si="58"/>
        <v>"C:\Program Files (x86)\AstroGrep\AstroGrep.exe" /e /r /s /spath="%USERPROFILE%\AppData\Local\Temp\OnboardLogs" /stypes="app*4066*20171129*" /stext=" 19:.+((SYSTEM_STATE.+slice.+state.+changed )|(ment ac)|(multiple cpu faults)|(system.+state.+changed )|(\[timeout)|(PRM\|1\|D)|(kpr)|(kdp)|(train st.+moving)|(\|lc)|(penalty))"</v>
      </c>
      <c r="AG80" s="245" t="str">
        <f t="shared" si="59"/>
        <v>EC</v>
      </c>
      <c r="AH80" s="237" t="str">
        <f t="shared" ref="AH80:AH147" si="60"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165-29 --locoid 4066 --swversion DE.1.0.9.0 --startMP 204:508 --initTime 2017-11-29T11:38:29 --startdatetime 2017-11-29T11:45:15 --delay 82 --endMP 204:233212 --enddatetime 2017-11-29T12:21:16 --enforcementcount 0 &gt;&gt;%USERPROFILE%\Documents\GitHub\eaglep3-reporting\EC\2017-11-29-refined-times.txt</v>
      </c>
      <c r="AI80" s="239" t="str">
        <f t="shared" ref="AI80:AI147" si="61"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Z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{"issue":{"subject":"","project_id":79,"tracker_id":40,"status_id":1,"priority_id":2,"assigned_to_id":338,"start_date":"2017-11-29","description":"","custom_fields":[{"id":1,"name":"Subdivision","value":"EC"},{"id":4,"name":"Milepost","value":"23.3212"},{"id":17,"name":"Train ID","value":"165-29"},{"id":16,"name":"Locomotive ID","value":"4066"},{"id":130,"name":"Impact","value":""},{"id":150,"name":"Time of Event (Mountain Time)","value":"12:21:16"},{"id":151,"name":"Denver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4"/>
      <c r="AK80" s="232"/>
      <c r="AL80" s="232"/>
      <c r="AM80" s="241" t="str">
        <f t="shared" ref="AM80:AM147" si="62">"start /low /b "&amp;dls3logs&amp;" --loco "&amp;B80&amp;" --day "&amp;TEXT(F80,"YYYY-MM-DD")</f>
        <v>start /low /b %USERPROFILE%\Documents\GitHub\eaglep3\Utilities\DownloadLogsFromS3.py --loco 4066 --day 2017-11-29</v>
      </c>
      <c r="AN80" s="242" t="str">
        <f t="shared" ref="AN80:AN147" si="63">"echo {""issue"":{""subject"":"""&amp;R80&amp;""",""project_id"":30,""tracker_id"":4,""status_id"":"&amp;redmine_status_wcr&amp;",""priority_id"":"&amp;redmine_priority_wcr&amp;",""assigned_to_id"":"&amp;redmine_assignee_wcr&amp;",""start_date"":"""&amp;TEXT(I80-utc_offset/24,"YYYY-mm-dd")&amp;""",""description"":"""&amp;AJ80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19:21:16"},{"id":29,"name":"Sharepoint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1" t="str">
        <f t="shared" ref="AO80:AO147" si="64"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Message%20ID',Summary),filters:!(),index:'emp_*',interval:auto,query:"&amp;"(query_string:(analyze_wildcard:!t,query:'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-11-29T10:38:29-0700',mode:absolute,to:'2017-11-29T13:21:16-0700'))&amp;_a=(columns:!('Message%20ID',Summary),filters:!(),index:'emp_*',interval:auto,query:(query_string:(analyze_wildcard:!t,query:'%22rtdc.l.rtdc.4066%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230" t="s">
        <v>762</v>
      </c>
      <c r="B81" s="226">
        <v>4065</v>
      </c>
      <c r="C81" s="228" t="s">
        <v>192</v>
      </c>
      <c r="D81" s="228" t="s">
        <v>555</v>
      </c>
      <c r="E81" s="227">
        <v>43068.517592592594</v>
      </c>
      <c r="F81" s="227">
        <v>43068.529328703706</v>
      </c>
      <c r="G81" s="226">
        <v>69</v>
      </c>
      <c r="H81" s="228" t="s">
        <v>928</v>
      </c>
      <c r="I81" s="227">
        <v>43068.555162037039</v>
      </c>
      <c r="J81" s="226">
        <v>0</v>
      </c>
      <c r="K81" s="238" t="str">
        <f t="shared" si="51"/>
        <v>4065/4066</v>
      </c>
      <c r="L81" s="246" t="str">
        <f>VLOOKUP(A81,'Trips&amp;Operators'!$C$1:$G$99911,5,FALSE)</f>
        <v>GUZMAN DANNY</v>
      </c>
      <c r="M81" s="225">
        <f t="shared" si="52"/>
        <v>2.5833333333139308E-2</v>
      </c>
      <c r="N81" s="226">
        <f t="shared" si="49"/>
        <v>37.199999999720603</v>
      </c>
      <c r="O81" s="226"/>
      <c r="P81" s="226"/>
      <c r="Q81" s="229"/>
      <c r="R81" s="243"/>
      <c r="S81" s="250">
        <f t="shared" si="50"/>
        <v>1</v>
      </c>
      <c r="T81" s="243" t="str">
        <f t="shared" si="53"/>
        <v>Southbound</v>
      </c>
      <c r="U81" s="24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9" t="str">
        <f t="shared" si="54"/>
        <v>https://d0f6bd738d7f1b3e5a7ca70fe4ff75f0.us-east-1.aws.found.io/app/kibana#/discover/Steve-Slow-Train-Analysis-(2080s-and-2083s)?_g=(refreshInterval:(display:Off,pause:!f,section:0,value:0),time:(from:'2017-11-29T11:25:20-0700',mode:absolute,to:'2017-11-29T14:19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81" s="248" t="str">
        <f>IF(AA81&lt;VLOOKUP(AG81,Variables!$AC$3:$AD$8,2,FALSE),"Y","N")</f>
        <v>N</v>
      </c>
      <c r="X81" s="248">
        <f t="shared" si="48"/>
        <v>1</v>
      </c>
      <c r="Y81" s="248">
        <f t="shared" si="46"/>
        <v>23.289200000000001</v>
      </c>
      <c r="Z81" s="248">
        <f t="shared" si="47"/>
        <v>2.8199999999999999E-2</v>
      </c>
      <c r="AA81" s="248">
        <f t="shared" si="55"/>
        <v>23.261000000000003</v>
      </c>
      <c r="AB81" s="234" t="e">
        <f>VLOOKUP(A81,Enforcements!$C$7:$K$9,8,0)</f>
        <v>#N/A</v>
      </c>
      <c r="AC81" s="233" t="e">
        <f>VLOOKUP(A81,Enforcements!$C$7:$E$9,3,0)</f>
        <v>#N/A</v>
      </c>
      <c r="AD81" s="244">
        <f t="shared" si="56"/>
        <v>166</v>
      </c>
      <c r="AE81" s="236" t="str">
        <f t="shared" si="57"/>
        <v>aws s3 cp s3://rtdc.mdm.uploadarchive.raw/RTDC4065/ "%USERPROFILE%\AppData\Local\Temp\OnboardLogs"\RTDC4065\2017-11-29 --exclude "*" --recursive --include "*20171129*" &amp; "%USERPROFILE%\Documents\GitHub\mrs-test-scripts\Headless Mode &amp; Sideloading\WalkAndUnGZ.bat" "%USERPROFILE%\AppData\Local\Temp\OnboardLogs"\RTDC4065\2017-11-29 &amp; aws s3 cp s3://rtdc.mdm.uploadarchive.raw/RTDC4065/ "%USERPROFILE%\AppData\Local\Temp\OnboardLogs"\RTDC4065\2017-11-30 --exclude "*" --recursive --include "*20171130*" &amp; "%USERPROFILE%\Documents\GitHub\mrs-test-scripts\Headless Mode &amp; Sideloading\WalkAndUnGZ.bat" "%USERPROFILE%\AppData\Local\Temp\OnboardLogs"\RTDC4065\2017-11-30</v>
      </c>
      <c r="AF81" s="235" t="str">
        <f t="shared" si="58"/>
        <v>"C:\Program Files (x86)\AstroGrep\AstroGrep.exe" /e /r /s /spath="%USERPROFILE%\AppData\Local\Temp\OnboardLogs" /stypes="app*4065*20171129*" /stext=" 20:.+((SYSTEM_STATE.+slice.+state.+changed )|(ment ac)|(multiple cpu faults)|(system.+state.+changed )|(\[timeout)|(PRM\|1\|D)|(kpr)|(kdp)|(train st.+moving)|(\|lc)|(penalty))"</v>
      </c>
      <c r="AG81" s="245" t="str">
        <f t="shared" si="59"/>
        <v>EC</v>
      </c>
      <c r="AH81" s="237" t="str">
        <f t="shared" si="60"/>
        <v>"%USERPROFILE%\Documents\GitHub\eaglep3\Utilities\RefineRTDCRunTimes.py" --tripid 166-29 --locoid 4065 --swversion DE.1.0.9.0 --startMP 204:232892 --initTime 2017-11-29T12:25:20 --startdatetime 2017-11-29T12:42:14 --delay 69 --endMP 204:282 --enddatetime 2017-11-29T13:19:26 --enforcementcount 0 &gt;&gt;%USERPROFILE%\Documents\GitHub\eaglep3-reporting\EC\2017-11-29-refined-times.txt</v>
      </c>
      <c r="AI81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{"issue":{"subject":"","project_id":79,"tracker_id":40,"status_id":1,"priority_id":2,"assigned_to_id":338,"start_date":"2017-11-29","description":"","custom_fields":[{"id":1,"name":"Subdivision","value":"EC"},{"id":4,"name":"Milepost","value":"0.0282"},{"id":17,"name":"Train ID","value":"166-29"},{"id":16,"name":"Locomotive ID","value":"4065"},{"id":130,"name":"Impact","value":""},{"id":150,"name":"Time of Event (Mountain Time)","value":"13:19:26"},{"id":151,"name":"Denver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4"/>
      <c r="AK81" s="232"/>
      <c r="AL81" s="232"/>
      <c r="AM81" s="241" t="str">
        <f t="shared" si="62"/>
        <v>start /low /b %USERPROFILE%\Documents\GitHub\eaglep3\Utilities\DownloadLogsFromS3.py --loco 4065 --day 2017-11-29</v>
      </c>
      <c r="AN81" s="242" t="str">
        <f t="shared" si="63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20:19:26"},{"id":29,"name":"Sharepoint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1" t="str">
        <f t="shared" si="64"/>
        <v>https://d0f6bd738d7f1b3e5a7ca70fe4ff75f0.us-east-1.aws.found.io/app/kibana#/discover/Steve-Slow-Train-Analysis-(2080s-and-2083s)?_g=(refreshInterval:(display:Off,pause:!f,section:0,value:0),time:(from:'2017-11-29T11:25:20-0700',mode:absolute,to:'2017-11-29T14:19:26-0700'))&amp;_a=(columns:!('Message%20ID',Summary),filters:!(),index:'emp_*',interval:auto,query:(query_string:(analyze_wildcard:!t,query:'%22rtdc.l.rtdc.4065%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230" t="s">
        <v>754</v>
      </c>
      <c r="B82" s="226">
        <v>4022</v>
      </c>
      <c r="C82" s="228" t="s">
        <v>192</v>
      </c>
      <c r="D82" s="228" t="s">
        <v>439</v>
      </c>
      <c r="E82" s="227">
        <v>43068.494479166664</v>
      </c>
      <c r="F82" s="227">
        <v>43068.500219907408</v>
      </c>
      <c r="G82" s="226">
        <v>123</v>
      </c>
      <c r="H82" s="228" t="s">
        <v>445</v>
      </c>
      <c r="I82" s="227">
        <v>43068.52416666667</v>
      </c>
      <c r="J82" s="226">
        <v>0</v>
      </c>
      <c r="K82" s="238" t="str">
        <f t="shared" si="51"/>
        <v>4021/4022</v>
      </c>
      <c r="L82" s="246" t="str">
        <f>VLOOKUP(A82,'Trips&amp;Operators'!$C$1:$G$99911,5,FALSE)</f>
        <v>LEVIN SCOTT</v>
      </c>
      <c r="M82" s="225">
        <f t="shared" si="52"/>
        <v>2.3946759261889383E-2</v>
      </c>
      <c r="N82" s="226">
        <f t="shared" si="49"/>
        <v>34.483333337120712</v>
      </c>
      <c r="O82" s="226"/>
      <c r="P82" s="226"/>
      <c r="Q82" s="229"/>
      <c r="R82" s="243"/>
      <c r="S82" s="250">
        <f t="shared" si="50"/>
        <v>1</v>
      </c>
      <c r="T82" s="243" t="str">
        <f t="shared" si="53"/>
        <v>NorthBound</v>
      </c>
      <c r="U82" s="24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9" t="str">
        <f t="shared" si="54"/>
        <v>https://d0f6bd738d7f1b3e5a7ca70fe4ff75f0.us-east-1.aws.found.io/app/kibana#/discover/Steve-Slow-Train-Analysis-(2080s-and-2083s)?_g=(refreshInterval:(display:Off,pause:!f,section:0,value:0),time:(from:'2017-11-29T10:52:03-0700',mode:absolute,to:'2017-11-29T13:34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2" s="248" t="str">
        <f>IF(AA82&lt;VLOOKUP(AG82,Variables!$AC$3:$AD$8,2,FALSE),"Y","N")</f>
        <v>N</v>
      </c>
      <c r="X82" s="248">
        <f t="shared" si="48"/>
        <v>1</v>
      </c>
      <c r="Y82" s="248">
        <f t="shared" si="46"/>
        <v>4.7500000000000001E-2</v>
      </c>
      <c r="Z82" s="248">
        <f t="shared" si="47"/>
        <v>23.327999999999999</v>
      </c>
      <c r="AA82" s="248">
        <f t="shared" si="55"/>
        <v>23.2805</v>
      </c>
      <c r="AB82" s="234" t="e">
        <f>VLOOKUP(A82,Enforcements!$C$7:$K$9,8,0)</f>
        <v>#N/A</v>
      </c>
      <c r="AC82" s="233" t="e">
        <f>VLOOKUP(A82,Enforcements!$C$7:$E$9,3,0)</f>
        <v>#N/A</v>
      </c>
      <c r="AD82" s="244">
        <f t="shared" si="56"/>
        <v>167</v>
      </c>
      <c r="AE82" s="236" t="str">
        <f t="shared" si="57"/>
        <v>aws s3 cp s3://rtdc.mdm.uploadarchive.raw/RTDC4022/ "%USERPROFILE%\AppData\Local\Temp\OnboardLogs"\RTDC4022\2017-11-29 --exclude "*" --recursive --include "*20171129*" &amp; "%USERPROFILE%\Documents\GitHub\mrs-test-scripts\Headless Mode &amp; Sideloading\WalkAndUnGZ.bat" "%USERPROFILE%\AppData\Local\Temp\OnboardLogs"\RTDC4022\2017-11-29 &amp; aws s3 cp s3://rtdc.mdm.uploadarchive.raw/RTDC4022/ "%USERPROFILE%\AppData\Local\Temp\OnboardLogs"\RTDC4022\2017-11-30 --exclude "*" --recursive --include "*20171130*" &amp; "%USERPROFILE%\Documents\GitHub\mrs-test-scripts\Headless Mode &amp; Sideloading\WalkAndUnGZ.bat" "%USERPROFILE%\AppData\Local\Temp\OnboardLogs"\RTDC4022\2017-11-30</v>
      </c>
      <c r="AF82" s="235" t="str">
        <f t="shared" si="58"/>
        <v>"C:\Program Files (x86)\AstroGrep\AstroGrep.exe" /e /r /s /spath="%USERPROFILE%\AppData\Local\Temp\OnboardLogs" /stypes="app*4022*20171129*" /stext=" 19:.+((SYSTEM_STATE.+slice.+state.+changed )|(ment ac)|(multiple cpu faults)|(system.+state.+changed )|(\[timeout)|(PRM\|1\|D)|(kpr)|(kdp)|(train st.+moving)|(\|lc)|(penalty))"</v>
      </c>
      <c r="AG82" s="245" t="str">
        <f t="shared" si="59"/>
        <v>EC</v>
      </c>
      <c r="AH82" s="237" t="str">
        <f t="shared" si="60"/>
        <v>"%USERPROFILE%\Documents\GitHub\eaglep3\Utilities\RefineRTDCRunTimes.py" --tripid 167-29 --locoid 4022 --swversion DE.1.0.9.0 --startMP 204:475 --initTime 2017-11-29T11:52:03 --startdatetime 2017-11-29T12:00:19 --delay 123 --endMP 204:233280 --enddatetime 2017-11-29T12:34:48 --enforcementcount 0 &gt;&gt;%USERPROFILE%\Documents\GitHub\eaglep3-reporting\EC\2017-11-29-refined-times.txt</v>
      </c>
      <c r="AI82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{"issue":{"subject":"","project_id":79,"tracker_id":40,"status_id":1,"priority_id":2,"assigned_to_id":338,"start_date":"2017-11-29","description":"","custom_fields":[{"id":1,"name":"Subdivision","value":"EC"},{"id":4,"name":"Milepost","value":"23.328"},{"id":17,"name":"Train ID","value":"167-29"},{"id":16,"name":"Locomotive ID","value":"4022"},{"id":130,"name":"Impact","value":""},{"id":150,"name":"Time of Event (Mountain Time)","value":"12:34:48"},{"id":151,"name":"Denver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4"/>
      <c r="AK82" s="232"/>
      <c r="AL82" s="232"/>
      <c r="AM82" s="241" t="str">
        <f t="shared" si="62"/>
        <v>start /low /b %USERPROFILE%\Documents\GitHub\eaglep3\Utilities\DownloadLogsFromS3.py --loco 4022 --day 2017-11-29</v>
      </c>
      <c r="AN82" s="242" t="str">
        <f t="shared" si="63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19:34:48"},{"id":29,"name":"Sharepoint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1" t="str">
        <f t="shared" si="64"/>
        <v>https://d0f6bd738d7f1b3e5a7ca70fe4ff75f0.us-east-1.aws.found.io/app/kibana#/discover/Steve-Slow-Train-Analysis-(2080s-and-2083s)?_g=(refreshInterval:(display:Off,pause:!f,section:0,value:0),time:(from:'2017-11-29T10:52:03-0700',mode:absolute,to:'2017-11-29T13:34:48-0700'))&amp;_a=(columns:!('Message%20ID',Summary),filters:!(),index:'emp_*',interval:auto,query:(query_string:(analyze_wildcard:!t,query:'%22rtdc.l.rtdc.4022%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230" t="s">
        <v>767</v>
      </c>
      <c r="B83" s="226">
        <v>4021</v>
      </c>
      <c r="C83" s="228" t="s">
        <v>192</v>
      </c>
      <c r="D83" s="228" t="s">
        <v>466</v>
      </c>
      <c r="E83" s="227">
        <v>43068.531701388885</v>
      </c>
      <c r="F83" s="227">
        <v>43068.539814814816</v>
      </c>
      <c r="G83" s="226">
        <v>64</v>
      </c>
      <c r="H83" s="228" t="s">
        <v>434</v>
      </c>
      <c r="I83" s="227">
        <v>43068.565983796296</v>
      </c>
      <c r="J83" s="226">
        <v>0</v>
      </c>
      <c r="K83" s="238" t="str">
        <f t="shared" si="51"/>
        <v>4021/4022</v>
      </c>
      <c r="L83" s="246" t="str">
        <f>VLOOKUP(A83,'Trips&amp;Operators'!$C$1:$G$99911,5,FALSE)</f>
        <v>LEVIN SCOTT</v>
      </c>
      <c r="M83" s="225">
        <f t="shared" si="52"/>
        <v>2.6168981479713693E-2</v>
      </c>
      <c r="N83" s="226">
        <f t="shared" si="49"/>
        <v>37.683333330787718</v>
      </c>
      <c r="O83" s="226"/>
      <c r="P83" s="226"/>
      <c r="Q83" s="229"/>
      <c r="R83" s="243"/>
      <c r="S83" s="250">
        <f t="shared" si="50"/>
        <v>1</v>
      </c>
      <c r="T83" s="243" t="str">
        <f t="shared" si="53"/>
        <v>Southbound</v>
      </c>
      <c r="U83" s="24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9" t="str">
        <f t="shared" si="54"/>
        <v>https://d0f6bd738d7f1b3e5a7ca70fe4ff75f0.us-east-1.aws.found.io/app/kibana#/discover/Steve-Slow-Train-Analysis-(2080s-and-2083s)?_g=(refreshInterval:(display:Off,pause:!f,section:0,value:0),time:(from:'2017-11-29T11:45:39-0700',mode:absolute,to:'2017-11-29T14:35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3" s="248" t="str">
        <f>IF(AA83&lt;VLOOKUP(AG83,Variables!$AC$3:$AD$8,2,FALSE),"Y","N")</f>
        <v>N</v>
      </c>
      <c r="X83" s="248">
        <f t="shared" si="48"/>
        <v>1</v>
      </c>
      <c r="Y83" s="248">
        <f t="shared" si="46"/>
        <v>23.294599999999999</v>
      </c>
      <c r="Z83" s="248">
        <f t="shared" si="47"/>
        <v>1.61E-2</v>
      </c>
      <c r="AA83" s="248">
        <f t="shared" si="55"/>
        <v>23.278499999999998</v>
      </c>
      <c r="AB83" s="234" t="e">
        <f>VLOOKUP(A83,Enforcements!$C$7:$K$9,8,0)</f>
        <v>#N/A</v>
      </c>
      <c r="AC83" s="233" t="e">
        <f>VLOOKUP(A83,Enforcements!$C$7:$E$9,3,0)</f>
        <v>#N/A</v>
      </c>
      <c r="AD83" s="244">
        <f t="shared" si="56"/>
        <v>168</v>
      </c>
      <c r="AE83" s="236" t="str">
        <f t="shared" si="57"/>
        <v>aws s3 cp s3://rtdc.mdm.uploadarchive.raw/RTDC4021/ "%USERPROFILE%\AppData\Local\Temp\OnboardLogs"\RTDC4021\2017-11-29 --exclude "*" --recursive --include "*20171129*" &amp; "%USERPROFILE%\Documents\GitHub\mrs-test-scripts\Headless Mode &amp; Sideloading\WalkAndUnGZ.bat" "%USERPROFILE%\AppData\Local\Temp\OnboardLogs"\RTDC4021\2017-11-29 &amp; aws s3 cp s3://rtdc.mdm.uploadarchive.raw/RTDC4021/ "%USERPROFILE%\AppData\Local\Temp\OnboardLogs"\RTDC4021\2017-11-30 --exclude "*" --recursive --include "*20171130*" &amp; "%USERPROFILE%\Documents\GitHub\mrs-test-scripts\Headless Mode &amp; Sideloading\WalkAndUnGZ.bat" "%USERPROFILE%\AppData\Local\Temp\OnboardLogs"\RTDC4021\2017-11-30</v>
      </c>
      <c r="AF83" s="235" t="str">
        <f t="shared" si="58"/>
        <v>"C:\Program Files (x86)\AstroGrep\AstroGrep.exe" /e /r /s /spath="%USERPROFILE%\AppData\Local\Temp\OnboardLogs" /stypes="app*4021*20171129*" /stext=" 20:.+((SYSTEM_STATE.+slice.+state.+changed )|(ment ac)|(multiple cpu faults)|(system.+state.+changed )|(\[timeout)|(PRM\|1\|D)|(kpr)|(kdp)|(train st.+moving)|(\|lc)|(penalty))"</v>
      </c>
      <c r="AG83" s="245" t="str">
        <f t="shared" si="59"/>
        <v>EC</v>
      </c>
      <c r="AH83" s="237" t="str">
        <f t="shared" si="60"/>
        <v>"%USERPROFILE%\Documents\GitHub\eaglep3\Utilities\RefineRTDCRunTimes.py" --tripid 168-29 --locoid 4021 --swversion DE.1.0.9.0 --startMP 204:232946 --initTime 2017-11-29T12:45:39 --startdatetime 2017-11-29T12:57:20 --delay 64 --endMP 204:161 --enddatetime 2017-11-29T13:35:01 --enforcementcount 0 &gt;&gt;%USERPROFILE%\Documents\GitHub\eaglep3-reporting\EC\2017-11-29-refined-times.txt</v>
      </c>
      <c r="AI83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{"issue":{"subject":"","project_id":79,"tracker_id":40,"status_id":1,"priority_id":2,"assigned_to_id":338,"start_date":"2017-11-29","description":"","custom_fields":[{"id":1,"name":"Subdivision","value":"EC"},{"id":4,"name":"Milepost","value":"0.0161"},{"id":17,"name":"Train ID","value":"168-29"},{"id":16,"name":"Locomotive ID","value":"4021"},{"id":130,"name":"Impact","value":""},{"id":150,"name":"Time of Event (Mountain Time)","value":"13:35:01"},{"id":151,"name":"Denver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4"/>
      <c r="AK83" s="232"/>
      <c r="AL83" s="232"/>
      <c r="AM83" s="241" t="str">
        <f t="shared" si="62"/>
        <v>start /low /b %USERPROFILE%\Documents\GitHub\eaglep3\Utilities\DownloadLogsFromS3.py --loco 4021 --day 2017-11-29</v>
      </c>
      <c r="AN83" s="242" t="str">
        <f t="shared" si="63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20:35:01"},{"id":29,"name":"Sharepoint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1" t="str">
        <f t="shared" si="64"/>
        <v>https://d0f6bd738d7f1b3e5a7ca70fe4ff75f0.us-east-1.aws.found.io/app/kibana#/discover/Steve-Slow-Train-Analysis-(2080s-and-2083s)?_g=(refreshInterval:(display:Off,pause:!f,section:0,value:0),time:(from:'2017-11-29T11:45:39-0700',mode:absolute,to:'2017-11-29T14:35:01-0700'))&amp;_a=(columns:!('Message%20ID',Summary),filters:!(),index:'emp_*',interval:auto,query:(query_string:(analyze_wildcard:!t,query:'%22rtdc.l.rtdc.4021%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230" t="s">
        <v>757</v>
      </c>
      <c r="B84" s="226">
        <v>4028</v>
      </c>
      <c r="C84" s="228" t="s">
        <v>192</v>
      </c>
      <c r="D84" s="228" t="s">
        <v>448</v>
      </c>
      <c r="E84" s="227">
        <v>43068.506203703706</v>
      </c>
      <c r="F84" s="227">
        <v>43068.510567129626</v>
      </c>
      <c r="G84" s="226">
        <v>129</v>
      </c>
      <c r="H84" s="228" t="s">
        <v>461</v>
      </c>
      <c r="I84" s="227">
        <v>43068.535474537035</v>
      </c>
      <c r="J84" s="226">
        <v>0</v>
      </c>
      <c r="K84" s="238" t="str">
        <f t="shared" si="51"/>
        <v>4027/4028</v>
      </c>
      <c r="L84" s="246" t="str">
        <f>VLOOKUP(A84,'Trips&amp;Operators'!$C$1:$G$99911,5,FALSE)</f>
        <v>BERLING GARY</v>
      </c>
      <c r="M84" s="225">
        <f t="shared" si="52"/>
        <v>2.4907407409045845E-2</v>
      </c>
      <c r="N84" s="226">
        <f t="shared" si="49"/>
        <v>35.866666669026017</v>
      </c>
      <c r="O84" s="226"/>
      <c r="P84" s="226"/>
      <c r="Q84" s="229"/>
      <c r="R84" s="243"/>
      <c r="S84" s="250">
        <f t="shared" si="50"/>
        <v>1</v>
      </c>
      <c r="T84" s="243" t="str">
        <f t="shared" si="53"/>
        <v>NorthBound</v>
      </c>
      <c r="U84" s="24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9" t="str">
        <f t="shared" si="54"/>
        <v>https://d0f6bd738d7f1b3e5a7ca70fe4ff75f0.us-east-1.aws.found.io/app/kibana#/discover/Steve-Slow-Train-Analysis-(2080s-and-2083s)?_g=(refreshInterval:(display:Off,pause:!f,section:0,value:0),time:(from:'2017-11-29T11:08:56-0700',mode:absolute,to:'2017-11-29T13:51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4" s="248" t="str">
        <f>IF(AA84&lt;VLOOKUP(AG84,Variables!$AC$3:$AD$8,2,FALSE),"Y","N")</f>
        <v>N</v>
      </c>
      <c r="X84" s="248">
        <f t="shared" si="48"/>
        <v>1</v>
      </c>
      <c r="Y84" s="248">
        <f t="shared" si="46"/>
        <v>4.53E-2</v>
      </c>
      <c r="Z84" s="248">
        <f t="shared" si="47"/>
        <v>23.3232</v>
      </c>
      <c r="AA84" s="248">
        <f t="shared" si="55"/>
        <v>23.277899999999999</v>
      </c>
      <c r="AB84" s="234" t="e">
        <f>VLOOKUP(A84,Enforcements!$C$7:$K$9,8,0)</f>
        <v>#N/A</v>
      </c>
      <c r="AC84" s="233" t="e">
        <f>VLOOKUP(A84,Enforcements!$C$7:$E$9,3,0)</f>
        <v>#N/A</v>
      </c>
      <c r="AD84" s="244">
        <f t="shared" si="56"/>
        <v>169</v>
      </c>
      <c r="AE84" s="236" t="str">
        <f t="shared" si="57"/>
        <v>aws s3 cp s3://rtdc.mdm.uploadarchive.raw/RTDC4028/ "%USERPROFILE%\AppData\Local\Temp\OnboardLogs"\RTDC4028\2017-11-29 --exclude "*" --recursive --include "*20171129*" &amp; "%USERPROFILE%\Documents\GitHub\mrs-test-scripts\Headless Mode &amp; Sideloading\WalkAndUnGZ.bat" "%USERPROFILE%\AppData\Local\Temp\OnboardLogs"\RTDC4028\2017-11-29 &amp; aws s3 cp s3://rtdc.mdm.uploadarchive.raw/RTDC4028/ "%USERPROFILE%\AppData\Local\Temp\OnboardLogs"\RTDC4028\2017-11-30 --exclude "*" --recursive --include "*20171130*" &amp; "%USERPROFILE%\Documents\GitHub\mrs-test-scripts\Headless Mode &amp; Sideloading\WalkAndUnGZ.bat" "%USERPROFILE%\AppData\Local\Temp\OnboardLogs"\RTDC4028\2017-11-30</v>
      </c>
      <c r="AF84" s="235" t="str">
        <f t="shared" si="58"/>
        <v>"C:\Program Files (x86)\AstroGrep\AstroGrep.exe" /e /r /s /spath="%USERPROFILE%\AppData\Local\Temp\OnboardLogs" /stypes="app*4028*20171129*" /stext=" 19:.+((SYSTEM_STATE.+slice.+state.+changed )|(ment ac)|(multiple cpu faults)|(system.+state.+changed )|(\[timeout)|(PRM\|1\|D)|(kpr)|(kdp)|(train st.+moving)|(\|lc)|(penalty))"</v>
      </c>
      <c r="AG84" s="245" t="str">
        <f t="shared" si="59"/>
        <v>EC</v>
      </c>
      <c r="AH84" s="237" t="str">
        <f t="shared" si="60"/>
        <v>"%USERPROFILE%\Documents\GitHub\eaglep3\Utilities\RefineRTDCRunTimes.py" --tripid 169-29 --locoid 4028 --swversion DE.1.0.9.0 --startMP 204:453 --initTime 2017-11-29T12:08:56 --startdatetime 2017-11-29T12:15:13 --delay 129 --endMP 204:233232 --enddatetime 2017-11-29T12:51:05 --enforcementcount 0 &gt;&gt;%USERPROFILE%\Documents\GitHub\eaglep3-reporting\EC\2017-11-29-refined-times.txt</v>
      </c>
      <c r="AI84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{"issue":{"subject":"","project_id":79,"tracker_id":40,"status_id":1,"priority_id":2,"assigned_to_id":338,"start_date":"2017-11-29","description":"","custom_fields":[{"id":1,"name":"Subdivision","value":"EC"},{"id":4,"name":"Milepost","value":"23.3232"},{"id":17,"name":"Train ID","value":"169-29"},{"id":16,"name":"Locomotive ID","value":"4028"},{"id":130,"name":"Impact","value":""},{"id":150,"name":"Time of Event (Mountain Time)","value":"12:51:05"},{"id":151,"name":"Denver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4"/>
      <c r="AK84" s="232"/>
      <c r="AL84" s="232"/>
      <c r="AM84" s="241" t="str">
        <f t="shared" si="62"/>
        <v>start /low /b %USERPROFILE%\Documents\GitHub\eaglep3\Utilities\DownloadLogsFromS3.py --loco 4028 --day 2017-11-29</v>
      </c>
      <c r="AN84" s="242" t="str">
        <f t="shared" si="63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19:51:05"},{"id":29,"name":"Sharepoint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1" t="str">
        <f t="shared" si="64"/>
        <v>https://d0f6bd738d7f1b3e5a7ca70fe4ff75f0.us-east-1.aws.found.io/app/kibana#/discover/Steve-Slow-Train-Analysis-(2080s-and-2083s)?_g=(refreshInterval:(display:Off,pause:!f,section:0,value:0),time:(from:'2017-11-29T11:08:56-0700',mode:absolute,to:'2017-11-29T13:51:05-0700'))&amp;_a=(columns:!('Message%20ID',Summary),filters:!(),index:'emp_*',interval:auto,query:(query_string:(analyze_wildcard:!t,query:'%22rtdc.l.rtdc.4028%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230" t="s">
        <v>771</v>
      </c>
      <c r="B85" s="226">
        <v>4027</v>
      </c>
      <c r="C85" s="228" t="s">
        <v>192</v>
      </c>
      <c r="D85" s="228" t="s">
        <v>444</v>
      </c>
      <c r="E85" s="227">
        <v>43068.543900462966</v>
      </c>
      <c r="F85" s="227">
        <v>43068.544872685183</v>
      </c>
      <c r="G85" s="226">
        <v>73</v>
      </c>
      <c r="H85" s="228" t="s">
        <v>430</v>
      </c>
      <c r="I85" s="227">
        <v>43068.551712962966</v>
      </c>
      <c r="J85" s="226">
        <v>0</v>
      </c>
      <c r="K85" s="238" t="str">
        <f t="shared" si="51"/>
        <v>4027/4028</v>
      </c>
      <c r="L85" s="246" t="str">
        <f>VLOOKUP(A85,'Trips&amp;Operators'!$C$1:$G$99911,5,FALSE)</f>
        <v>BERLING GARY</v>
      </c>
      <c r="M85" s="225">
        <f t="shared" si="52"/>
        <v>6.8402777833398432E-3</v>
      </c>
      <c r="N85" s="226"/>
      <c r="O85" s="226"/>
      <c r="P85" s="226">
        <f>24*60*SUM($M85:$M85)</f>
        <v>9.8500000080093741</v>
      </c>
      <c r="Q85" s="229"/>
      <c r="R85" s="243" t="s">
        <v>1127</v>
      </c>
      <c r="S85" s="250">
        <f t="shared" si="50"/>
        <v>0</v>
      </c>
      <c r="T85" s="243" t="str">
        <f t="shared" si="53"/>
        <v>Southbound</v>
      </c>
      <c r="U85" s="24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0</v>
      </c>
      <c r="V85" s="249" t="str">
        <f t="shared" si="54"/>
        <v>https://d0f6bd738d7f1b3e5a7ca70fe4ff75f0.us-east-1.aws.found.io/app/kibana#/discover/Steve-Slow-Train-Analysis-(2080s-and-2083s)?_g=(refreshInterval:(display:Off,pause:!f,section:0,value:0),time:(from:'2017-11-29T12:03:13-0700',mode:absolute,to:'2017-11-29T14:14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5" s="248" t="str">
        <f>IF(AA85&lt;VLOOKUP(AG85,Variables!$AC$3:$AD$8,2,FALSE),"Y","N")</f>
        <v>Y</v>
      </c>
      <c r="X85" s="248">
        <f t="shared" si="48"/>
        <v>1</v>
      </c>
      <c r="Y85" s="248">
        <f t="shared" si="46"/>
        <v>23.293199999999999</v>
      </c>
      <c r="Z85" s="248">
        <f t="shared" si="47"/>
        <v>23.293399999999998</v>
      </c>
      <c r="AA85" s="248">
        <f t="shared" si="55"/>
        <v>1.9999999999953388E-4</v>
      </c>
      <c r="AB85" s="234" t="e">
        <f>VLOOKUP(A85,Enforcements!$C$7:$K$9,8,0)</f>
        <v>#N/A</v>
      </c>
      <c r="AC85" s="233" t="e">
        <f>VLOOKUP(A85,Enforcements!$C$7:$E$9,3,0)</f>
        <v>#N/A</v>
      </c>
      <c r="AD85" s="244">
        <f t="shared" si="56"/>
        <v>170</v>
      </c>
      <c r="AE85" s="236" t="str">
        <f t="shared" si="57"/>
        <v>aws s3 cp s3://rtdc.mdm.uploadarchive.raw/RTDC4027/ "%USERPROFILE%\AppData\Local\Temp\OnboardLogs"\RTDC4027\2017-11-29 --exclude "*" --recursive --include "*20171129*" &amp; "%USERPROFILE%\Documents\GitHub\mrs-test-scripts\Headless Mode &amp; Sideloading\WalkAndUnGZ.bat" "%USERPROFILE%\AppData\Local\Temp\OnboardLogs"\RTDC4027\2017-11-29 &amp; aws s3 cp s3://rtdc.mdm.uploadarchive.raw/RTDC4027/ "%USERPROFILE%\AppData\Local\Temp\OnboardLogs"\RTDC4027\2017-11-30 --exclude "*" --recursive --include "*20171130*" &amp; "%USERPROFILE%\Documents\GitHub\mrs-test-scripts\Headless Mode &amp; Sideloading\WalkAndUnGZ.bat" "%USERPROFILE%\AppData\Local\Temp\OnboardLogs"\RTDC4027\2017-11-30</v>
      </c>
      <c r="AF85" s="235" t="str">
        <f t="shared" si="58"/>
        <v>"C:\Program Files (x86)\AstroGrep\AstroGrep.exe" /e /r /s /spath="%USERPROFILE%\AppData\Local\Temp\OnboardLogs" /stypes="app*4027*20171129*" /stext=" 20:.+((SYSTEM_STATE.+slice.+state.+changed )|(ment ac)|(multiple cpu faults)|(system.+state.+changed )|(\[timeout)|(PRM\|1\|D)|(kpr)|(kdp)|(train st.+moving)|(\|lc)|(penalty))"</v>
      </c>
      <c r="AG85" s="245" t="str">
        <f t="shared" si="59"/>
        <v>EC</v>
      </c>
      <c r="AH85" s="237" t="str">
        <f t="shared" si="60"/>
        <v>"%USERPROFILE%\Documents\GitHub\eaglep3\Utilities\RefineRTDCRunTimes.py" --tripid 170-29 --locoid 4027 --swversion DE.1.0.9.0 --startMP 204:232932 --initTime 2017-11-29T13:03:13 --startdatetime 2017-11-29T13:04:37 --delay 73 --endMP 204:232934 --enddatetime 2017-11-29T13:14:28 --enforcementcount 0 &gt;&gt;%USERPROFILE%\Documents\GitHub\eaglep3-reporting\EC\2017-11-29-refined-times.txt</v>
      </c>
      <c r="AI85" s="239" t="str">
        <f t="shared" si="61"/>
        <v>echo {"issue":{"subject":"Brake pressure issue","project_id":79,"tracker_id":40,"status_id":1,"priority_id":2,"assigned_to_id":338,"start_date":"2017-11-29","description":"","custom_fields":[{"id":1,"name":"Subdivision","value":"EC"},{"id":4,"name":"Milepost","value":"23.2934"},{"id":17,"name":"Train ID","value":"170-29"},{"id":16,"name":"Locomotive ID","value":"4027"},{"id":130,"name":"Impact","value":""},{"id":150,"name":"Time of Event (Mountain Time)","value":"13:14:28"},{"id":151,"name":"Denver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4"/>
      <c r="AK85" s="232"/>
      <c r="AL85" s="232"/>
      <c r="AM85" s="241" t="str">
        <f t="shared" si="62"/>
        <v>start /low /b %USERPROFILE%\Documents\GitHub\eaglep3\Utilities\DownloadLogsFromS3.py --loco 4027 --day 2017-11-29</v>
      </c>
      <c r="AN85" s="242" t="str">
        <f t="shared" si="63"/>
        <v>echo {"issue":{"subject":"Brake pressure issue","project_id":30,"tracker_id":4,"status_id":1,"priority_id":1,"assigned_to_id":10,"start_date":"2017-11-29","description":"","custom_fields":[{"id":30,"name":"Category","value":"Issue"},{"id":3,"name":"Functional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20:14:28"},{"id":29,"name":"Sharepoint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1" t="str">
        <f t="shared" si="64"/>
        <v>https://d0f6bd738d7f1b3e5a7ca70fe4ff75f0.us-east-1.aws.found.io/app/kibana#/discover/Steve-Slow-Train-Analysis-(2080s-and-2083s)?_g=(refreshInterval:(display:Off,pause:!f,section:0,value:0),time:(from:'2017-11-29T12:03:13-0700',mode:absolute,to:'2017-11-29T14:14:28-0700'))&amp;_a=(columns:!('Message%20ID',Summary),filters:!(),index:'emp_*',interval:auto,query:(query_string:(analyze_wildcard:!t,query:'%22rtdc.l.rtdc.4027%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230" t="s">
        <v>763</v>
      </c>
      <c r="B86" s="226">
        <v>4026</v>
      </c>
      <c r="C86" s="228" t="s">
        <v>192</v>
      </c>
      <c r="D86" s="228" t="s">
        <v>427</v>
      </c>
      <c r="E86" s="227">
        <v>43068.518518518518</v>
      </c>
      <c r="F86" s="227">
        <v>43068.521273148152</v>
      </c>
      <c r="G86" s="226">
        <v>85</v>
      </c>
      <c r="H86" s="228" t="s">
        <v>914</v>
      </c>
      <c r="I86" s="227">
        <v>43068.5466087963</v>
      </c>
      <c r="J86" s="226">
        <v>0</v>
      </c>
      <c r="K86" s="238" t="str">
        <f t="shared" si="51"/>
        <v>4025/4026</v>
      </c>
      <c r="L86" s="246" t="str">
        <f>VLOOKUP(A86,'Trips&amp;Operators'!$C$1:$G$99911,5,FALSE)</f>
        <v>DAVIS MICHAEL</v>
      </c>
      <c r="M86" s="225">
        <f t="shared" si="52"/>
        <v>2.5335648148029577E-2</v>
      </c>
      <c r="N86" s="226">
        <f t="shared" ref="N86:N100" si="65">24*60*SUM($M86:$M86)</f>
        <v>36.483333333162591</v>
      </c>
      <c r="O86" s="226"/>
      <c r="P86" s="226"/>
      <c r="Q86" s="229"/>
      <c r="R86" s="243"/>
      <c r="S86" s="250">
        <f t="shared" si="50"/>
        <v>1</v>
      </c>
      <c r="T86" s="243" t="str">
        <f t="shared" si="53"/>
        <v>NorthBound</v>
      </c>
      <c r="U86" s="24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9" t="str">
        <f t="shared" si="54"/>
        <v>https://d0f6bd738d7f1b3e5a7ca70fe4ff75f0.us-east-1.aws.found.io/app/kibana#/discover/Steve-Slow-Train-Analysis-(2080s-and-2083s)?_g=(refreshInterval:(display:Off,pause:!f,section:0,value:0),time:(from:'2017-11-29T11:26:40-0700',mode:absolute,to:'2017-11-29T14:07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6" s="248" t="str">
        <f>IF(AA86&lt;VLOOKUP(AG86,Variables!$AC$3:$AD$8,2,FALSE),"Y","N")</f>
        <v>N</v>
      </c>
      <c r="X86" s="248">
        <f t="shared" si="48"/>
        <v>1</v>
      </c>
      <c r="Y86" s="248">
        <f t="shared" si="46"/>
        <v>5.2600000000000001E-2</v>
      </c>
      <c r="Z86" s="248">
        <f t="shared" si="47"/>
        <v>23.328800000000001</v>
      </c>
      <c r="AA86" s="248">
        <f t="shared" si="55"/>
        <v>23.276199999999999</v>
      </c>
      <c r="AB86" s="234" t="e">
        <f>VLOOKUP(A86,Enforcements!$C$7:$K$9,8,0)</f>
        <v>#N/A</v>
      </c>
      <c r="AC86" s="233" t="e">
        <f>VLOOKUP(A86,Enforcements!$C$7:$E$9,3,0)</f>
        <v>#N/A</v>
      </c>
      <c r="AD86" s="244">
        <f t="shared" si="56"/>
        <v>171</v>
      </c>
      <c r="AE86" s="236" t="str">
        <f t="shared" si="57"/>
        <v>aws s3 cp s3://rtdc.mdm.uploadarchive.raw/RTDC4026/ "%USERPROFILE%\AppData\Local\Temp\OnboardLogs"\RTDC4026\2017-11-29 --exclude "*" --recursive --include "*20171129*" &amp; "%USERPROFILE%\Documents\GitHub\mrs-test-scripts\Headless Mode &amp; Sideloading\WalkAndUnGZ.bat" "%USERPROFILE%\AppData\Local\Temp\OnboardLogs"\RTDC4026\2017-11-29 &amp; aws s3 cp s3://rtdc.mdm.uploadarchive.raw/RTDC4026/ "%USERPROFILE%\AppData\Local\Temp\OnboardLogs"\RTDC4026\2017-11-30 --exclude "*" --recursive --include "*20171130*" &amp; "%USERPROFILE%\Documents\GitHub\mrs-test-scripts\Headless Mode &amp; Sideloading\WalkAndUnGZ.bat" "%USERPROFILE%\AppData\Local\Temp\OnboardLogs"\RTDC4026\2017-11-30</v>
      </c>
      <c r="AF86" s="235" t="str">
        <f t="shared" si="58"/>
        <v>"C:\Program Files (x86)\AstroGrep\AstroGrep.exe" /e /r /s /spath="%USERPROFILE%\AppData\Local\Temp\OnboardLogs" /stypes="app*4026*20171129*" /stext=" 20:.+((SYSTEM_STATE.+slice.+state.+changed )|(ment ac)|(multiple cpu faults)|(system.+state.+changed )|(\[timeout)|(PRM\|1\|D)|(kpr)|(kdp)|(train st.+moving)|(\|lc)|(penalty))"</v>
      </c>
      <c r="AG86" s="245" t="str">
        <f t="shared" si="59"/>
        <v>EC</v>
      </c>
      <c r="AH86" s="237" t="str">
        <f t="shared" si="60"/>
        <v>"%USERPROFILE%\Documents\GitHub\eaglep3\Utilities\RefineRTDCRunTimes.py" --tripid 171-29 --locoid 4026 --swversion DE.1.0.9.0 --startMP 204:526 --initTime 2017-11-29T12:26:40 --startdatetime 2017-11-29T12:30:38 --delay 85 --endMP 204:233288 --enddatetime 2017-11-29T13:07:07 --enforcementcount 0 &gt;&gt;%USERPROFILE%\Documents\GitHub\eaglep3-reporting\EC\2017-11-29-refined-times.txt</v>
      </c>
      <c r="AI86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{"issue":{"subject":"","project_id":79,"tracker_id":40,"status_id":1,"priority_id":2,"assigned_to_id":338,"start_date":"2017-11-29","description":"","custom_fields":[{"id":1,"name":"Subdivision","value":"EC"},{"id":4,"name":"Milepost","value":"23.3288"},{"id":17,"name":"Train ID","value":"171-29"},{"id":16,"name":"Locomotive ID","value":"4026"},{"id":130,"name":"Impact","value":""},{"id":150,"name":"Time of Event (Mountain Time)","value":"13:07:07"},{"id":151,"name":"Denver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4"/>
      <c r="AK86" s="232"/>
      <c r="AL86" s="232"/>
      <c r="AM86" s="241" t="str">
        <f t="shared" si="62"/>
        <v>start /low /b %USERPROFILE%\Documents\GitHub\eaglep3\Utilities\DownloadLogsFromS3.py --loco 4026 --day 2017-11-29</v>
      </c>
      <c r="AN86" s="242" t="str">
        <f t="shared" si="63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20:07:07"},{"id":29,"name":"Sharepoint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1" t="str">
        <f t="shared" si="64"/>
        <v>https://d0f6bd738d7f1b3e5a7ca70fe4ff75f0.us-east-1.aws.found.io/app/kibana#/discover/Steve-Slow-Train-Analysis-(2080s-and-2083s)?_g=(refreshInterval:(display:Off,pause:!f,section:0,value:0),time:(from:'2017-11-29T11:26:40-0700',mode:absolute,to:'2017-11-29T14:07:07-0700'))&amp;_a=(columns:!('Message%20ID',Summary),filters:!(),index:'emp_*',interval:auto,query:(query_string:(analyze_wildcard:!t,query:'%22rtdc.l.rtdc.4026%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230" t="s">
        <v>773</v>
      </c>
      <c r="B87" s="226">
        <v>4025</v>
      </c>
      <c r="C87" s="228" t="s">
        <v>192</v>
      </c>
      <c r="D87" s="228" t="s">
        <v>929</v>
      </c>
      <c r="E87" s="227">
        <v>43068.558587962965</v>
      </c>
      <c r="F87" s="227">
        <v>43068.560914351852</v>
      </c>
      <c r="G87" s="226">
        <v>67</v>
      </c>
      <c r="H87" s="228" t="s">
        <v>442</v>
      </c>
      <c r="I87" s="227">
        <v>43068.588819444441</v>
      </c>
      <c r="J87" s="226">
        <v>0</v>
      </c>
      <c r="K87" s="238" t="str">
        <f t="shared" si="51"/>
        <v>4025/4026</v>
      </c>
      <c r="L87" s="246" t="str">
        <f>VLOOKUP(A87,'Trips&amp;Operators'!$C$1:$G$99911,5,FALSE)</f>
        <v>DAVIS MICHAEL</v>
      </c>
      <c r="M87" s="225">
        <f t="shared" si="52"/>
        <v>2.7905092589207925E-2</v>
      </c>
      <c r="N87" s="226">
        <f t="shared" si="65"/>
        <v>40.183333328459412</v>
      </c>
      <c r="O87" s="226"/>
      <c r="P87" s="226"/>
      <c r="Q87" s="229"/>
      <c r="R87" s="243"/>
      <c r="S87" s="250">
        <f t="shared" si="50"/>
        <v>1</v>
      </c>
      <c r="T87" s="243" t="str">
        <f t="shared" si="53"/>
        <v>Southbound</v>
      </c>
      <c r="U87" s="24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9" t="str">
        <f t="shared" si="54"/>
        <v>https://d0f6bd738d7f1b3e5a7ca70fe4ff75f0.us-east-1.aws.found.io/app/kibana#/discover/Steve-Slow-Train-Analysis-(2080s-and-2083s)?_g=(refreshInterval:(display:Off,pause:!f,section:0,value:0),time:(from:'2017-11-29T12:24:22-0700',mode:absolute,to:'2017-11-29T15:07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7" s="248" t="str">
        <f>IF(AA87&lt;VLOOKUP(AG87,Variables!$AC$3:$AD$8,2,FALSE),"Y","N")</f>
        <v>N</v>
      </c>
      <c r="X87" s="248">
        <f t="shared" si="48"/>
        <v>1</v>
      </c>
      <c r="Y87" s="248">
        <f t="shared" si="46"/>
        <v>23.296900000000001</v>
      </c>
      <c r="Z87" s="248">
        <f t="shared" si="47"/>
        <v>2.2100000000000002E-2</v>
      </c>
      <c r="AA87" s="248">
        <f t="shared" si="55"/>
        <v>23.274800000000003</v>
      </c>
      <c r="AB87" s="234" t="e">
        <f>VLOOKUP(A87,Enforcements!$C$7:$K$9,8,0)</f>
        <v>#N/A</v>
      </c>
      <c r="AC87" s="233" t="e">
        <f>VLOOKUP(A87,Enforcements!$C$7:$E$9,3,0)</f>
        <v>#N/A</v>
      </c>
      <c r="AD87" s="244">
        <f t="shared" si="56"/>
        <v>172</v>
      </c>
      <c r="AE87" s="236" t="str">
        <f t="shared" si="57"/>
        <v>aws s3 cp s3://rtdc.mdm.uploadarchive.raw/RTDC4025/ "%USERPROFILE%\AppData\Local\Temp\OnboardLogs"\RTDC4025\2017-11-29 --exclude "*" --recursive --include "*20171129*" &amp; "%USERPROFILE%\Documents\GitHub\mrs-test-scripts\Headless Mode &amp; Sideloading\WalkAndUnGZ.bat" "%USERPROFILE%\AppData\Local\Temp\OnboardLogs"\RTDC4025\2017-11-29 &amp; aws s3 cp s3://rtdc.mdm.uploadarchive.raw/RTDC4025/ "%USERPROFILE%\AppData\Local\Temp\OnboardLogs"\RTDC4025\2017-11-30 --exclude "*" --recursive --include "*20171130*" &amp; "%USERPROFILE%\Documents\GitHub\mrs-test-scripts\Headless Mode &amp; Sideloading\WalkAndUnGZ.bat" "%USERPROFILE%\AppData\Local\Temp\OnboardLogs"\RTDC4025\2017-11-30</v>
      </c>
      <c r="AF87" s="235" t="str">
        <f t="shared" si="58"/>
        <v>"C:\Program Files (x86)\AstroGrep\AstroGrep.exe" /e /r /s /spath="%USERPROFILE%\AppData\Local\Temp\OnboardLogs" /stypes="app*4025*20171129*" /stext=" 21:.+((SYSTEM_STATE.+slice.+state.+changed )|(ment ac)|(multiple cpu faults)|(system.+state.+changed )|(\[timeout)|(PRM\|1\|D)|(kpr)|(kdp)|(train st.+moving)|(\|lc)|(penalty))"</v>
      </c>
      <c r="AG87" s="245" t="str">
        <f t="shared" si="59"/>
        <v>EC</v>
      </c>
      <c r="AH87" s="237" t="str">
        <f t="shared" si="60"/>
        <v>"%USERPROFILE%\Documents\GitHub\eaglep3\Utilities\RefineRTDCRunTimes.py" --tripid 172-29 --locoid 4025 --swversion DE.1.0.9.0 --startMP 204:232969 --initTime 2017-11-29T13:24:22 --startdatetime 2017-11-29T13:27:43 --delay 67 --endMP 204:221 --enddatetime 2017-11-29T14:07:54 --enforcementcount 0 &gt;&gt;%USERPROFILE%\Documents\GitHub\eaglep3-reporting\EC\2017-11-29-refined-times.txt</v>
      </c>
      <c r="AI87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{"issue":{"subject":"","project_id":79,"tracker_id":40,"status_id":1,"priority_id":2,"assigned_to_id":338,"start_date":"2017-11-29","description":"","custom_fields":[{"id":1,"name":"Subdivision","value":"EC"},{"id":4,"name":"Milepost","value":"0.0221"},{"id":17,"name":"Train ID","value":"172-29"},{"id":16,"name":"Locomotive ID","value":"4025"},{"id":130,"name":"Impact","value":""},{"id":150,"name":"Time of Event (Mountain Time)","value":"14:07:54"},{"id":151,"name":"Denver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4"/>
      <c r="AK87" s="232"/>
      <c r="AL87" s="232"/>
      <c r="AM87" s="241" t="str">
        <f t="shared" si="62"/>
        <v>start /low /b %USERPROFILE%\Documents\GitHub\eaglep3\Utilities\DownloadLogsFromS3.py --loco 4025 --day 2017-11-29</v>
      </c>
      <c r="AN87" s="242" t="str">
        <f t="shared" si="63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21:07:54"},{"id":29,"name":"Sharepoint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1" t="str">
        <f t="shared" si="64"/>
        <v>https://d0f6bd738d7f1b3e5a7ca70fe4ff75f0.us-east-1.aws.found.io/app/kibana#/discover/Steve-Slow-Train-Analysis-(2080s-and-2083s)?_g=(refreshInterval:(display:Off,pause:!f,section:0,value:0),time:(from:'2017-11-29T12:24:22-0700',mode:absolute,to:'2017-11-29T15:07:54-0700'))&amp;_a=(columns:!('Message%20ID',Summary),filters:!(),index:'emp_*',interval:auto,query:(query_string:(analyze_wildcard:!t,query:'%22rtdc.l.rtdc.4025%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230" t="s">
        <v>764</v>
      </c>
      <c r="B88" s="226">
        <v>4020</v>
      </c>
      <c r="C88" s="228" t="s">
        <v>192</v>
      </c>
      <c r="D88" s="228" t="s">
        <v>420</v>
      </c>
      <c r="E88" s="227">
        <v>43068.527719907404</v>
      </c>
      <c r="F88" s="227">
        <v>43068.531608796293</v>
      </c>
      <c r="G88" s="226">
        <v>78</v>
      </c>
      <c r="H88" s="228" t="s">
        <v>585</v>
      </c>
      <c r="I88" s="227">
        <v>43068.557152777779</v>
      </c>
      <c r="J88" s="226">
        <v>0</v>
      </c>
      <c r="K88" s="238" t="str">
        <f t="shared" si="51"/>
        <v>4019/4020</v>
      </c>
      <c r="L88" s="246" t="str">
        <f>VLOOKUP(A88,'Trips&amp;Operators'!$C$1:$G$99911,5,FALSE)</f>
        <v>HOLCOMB KAMDEN</v>
      </c>
      <c r="M88" s="225">
        <f t="shared" si="52"/>
        <v>2.5543981486407574E-2</v>
      </c>
      <c r="N88" s="226">
        <f t="shared" si="65"/>
        <v>36.783333340426907</v>
      </c>
      <c r="O88" s="226"/>
      <c r="P88" s="226"/>
      <c r="Q88" s="229"/>
      <c r="R88" s="243"/>
      <c r="S88" s="250">
        <f t="shared" si="50"/>
        <v>1</v>
      </c>
      <c r="T88" s="243" t="str">
        <f t="shared" si="53"/>
        <v>NorthBound</v>
      </c>
      <c r="U88" s="24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9" t="str">
        <f t="shared" si="54"/>
        <v>https://d0f6bd738d7f1b3e5a7ca70fe4ff75f0.us-east-1.aws.found.io/app/kibana#/discover/Steve-Slow-Train-Analysis-(2080s-and-2083s)?_g=(refreshInterval:(display:Off,pause:!f,section:0,value:0),time:(from:'2017-11-29T11:39:55-0700',mode:absolute,to:'2017-11-29T14:22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8" s="248" t="str">
        <f>IF(AA88&lt;VLOOKUP(AG88,Variables!$AC$3:$AD$8,2,FALSE),"Y","N")</f>
        <v>N</v>
      </c>
      <c r="X88" s="248">
        <f t="shared" si="48"/>
        <v>1</v>
      </c>
      <c r="Y88" s="248">
        <f t="shared" si="46"/>
        <v>5.2400000000000002E-2</v>
      </c>
      <c r="Z88" s="248">
        <f t="shared" si="47"/>
        <v>23.2925</v>
      </c>
      <c r="AA88" s="248">
        <f t="shared" si="55"/>
        <v>23.240100000000002</v>
      </c>
      <c r="AB88" s="234" t="e">
        <f>VLOOKUP(A88,Enforcements!$C$7:$K$9,8,0)</f>
        <v>#N/A</v>
      </c>
      <c r="AC88" s="233" t="e">
        <f>VLOOKUP(A88,Enforcements!$C$7:$E$9,3,0)</f>
        <v>#N/A</v>
      </c>
      <c r="AD88" s="244">
        <f t="shared" si="56"/>
        <v>173</v>
      </c>
      <c r="AE88" s="236" t="str">
        <f t="shared" si="57"/>
        <v>aws s3 cp s3://rtdc.mdm.uploadarchive.raw/RTDC4020/ "%USERPROFILE%\AppData\Local\Temp\OnboardLogs"\RTDC4020\2017-11-29 --exclude "*" --recursive --include "*20171129*" &amp; "%USERPROFILE%\Documents\GitHub\mrs-test-scripts\Headless Mode &amp; Sideloading\WalkAndUnGZ.bat" "%USERPROFILE%\AppData\Local\Temp\OnboardLogs"\RTDC4020\2017-11-29 &amp; aws s3 cp s3://rtdc.mdm.uploadarchive.raw/RTDC4020/ "%USERPROFILE%\AppData\Local\Temp\OnboardLogs"\RTDC4020\2017-11-30 --exclude "*" --recursive --include "*20171130*" &amp; "%USERPROFILE%\Documents\GitHub\mrs-test-scripts\Headless Mode &amp; Sideloading\WalkAndUnGZ.bat" "%USERPROFILE%\AppData\Local\Temp\OnboardLogs"\RTDC4020\2017-11-30</v>
      </c>
      <c r="AF88" s="235" t="str">
        <f t="shared" si="58"/>
        <v>"C:\Program Files (x86)\AstroGrep\AstroGrep.exe" /e /r /s /spath="%USERPROFILE%\AppData\Local\Temp\OnboardLogs" /stypes="app*4020*20171129*" /stext=" 20:.+((SYSTEM_STATE.+slice.+state.+changed )|(ment ac)|(multiple cpu faults)|(system.+state.+changed )|(\[timeout)|(PRM\|1\|D)|(kpr)|(kdp)|(train st.+moving)|(\|lc)|(penalty))"</v>
      </c>
      <c r="AG88" s="245" t="str">
        <f t="shared" si="59"/>
        <v>EC</v>
      </c>
      <c r="AH88" s="237" t="str">
        <f t="shared" si="60"/>
        <v>"%USERPROFILE%\Documents\GitHub\eaglep3\Utilities\RefineRTDCRunTimes.py" --tripid 173-29 --locoid 4020 --swversion DE.1.0.9.0 --startMP 204:524 --initTime 2017-11-29T12:39:55 --startdatetime 2017-11-29T12:45:31 --delay 78 --endMP 204:232925 --enddatetime 2017-11-29T13:22:18 --enforcementcount 0 &gt;&gt;%USERPROFILE%\Documents\GitHub\eaglep3-reporting\EC\2017-11-29-refined-times.txt</v>
      </c>
      <c r="AI88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{"issue":{"subject":"","project_id":79,"tracker_id":40,"status_id":1,"priority_id":2,"assigned_to_id":338,"start_date":"2017-11-29","description":"","custom_fields":[{"id":1,"name":"Subdivision","value":"EC"},{"id":4,"name":"Milepost","value":"23.2925"},{"id":17,"name":"Train ID","value":"173-29"},{"id":16,"name":"Locomotive ID","value":"4020"},{"id":130,"name":"Impact","value":""},{"id":150,"name":"Time of Event (Mountain Time)","value":"13:22:18"},{"id":151,"name":"Denver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4"/>
      <c r="AK88" s="232"/>
      <c r="AL88" s="232"/>
      <c r="AM88" s="241" t="str">
        <f t="shared" si="62"/>
        <v>start /low /b %USERPROFILE%\Documents\GitHub\eaglep3\Utilities\DownloadLogsFromS3.py --loco 4020 --day 2017-11-29</v>
      </c>
      <c r="AN88" s="242" t="str">
        <f t="shared" si="63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20:22:18"},{"id":29,"name":"Sharepoint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1" t="str">
        <f t="shared" si="64"/>
        <v>https://d0f6bd738d7f1b3e5a7ca70fe4ff75f0.us-east-1.aws.found.io/app/kibana#/discover/Steve-Slow-Train-Analysis-(2080s-and-2083s)?_g=(refreshInterval:(display:Off,pause:!f,section:0,value:0),time:(from:'2017-11-29T11:39:55-0700',mode:absolute,to:'2017-11-29T14:22:18-0700'))&amp;_a=(columns:!('Message%20ID',Summary),filters:!(),index:'emp_*',interval:auto,query:(query_string:(analyze_wildcard:!t,query:'%22rtdc.l.rtdc.4020%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230" t="s">
        <v>781</v>
      </c>
      <c r="B89" s="226">
        <v>4019</v>
      </c>
      <c r="C89" s="228" t="s">
        <v>192</v>
      </c>
      <c r="D89" s="228" t="s">
        <v>930</v>
      </c>
      <c r="E89" s="227">
        <v>43068.570405092592</v>
      </c>
      <c r="F89" s="227">
        <v>43068.571828703702</v>
      </c>
      <c r="G89" s="226">
        <v>66</v>
      </c>
      <c r="H89" s="228" t="s">
        <v>931</v>
      </c>
      <c r="I89" s="227">
        <v>43068.596608796295</v>
      </c>
      <c r="J89" s="226">
        <v>0</v>
      </c>
      <c r="K89" s="238" t="str">
        <f t="shared" si="51"/>
        <v>4019/4020</v>
      </c>
      <c r="L89" s="246" t="str">
        <f>VLOOKUP(A89,'Trips&amp;Operators'!$C$1:$G$99911,5,FALSE)</f>
        <v>HOLCOMB KAMDEN</v>
      </c>
      <c r="M89" s="225">
        <f t="shared" si="52"/>
        <v>2.4780092593573499E-2</v>
      </c>
      <c r="N89" s="226">
        <f t="shared" si="65"/>
        <v>35.683333334745839</v>
      </c>
      <c r="O89" s="226"/>
      <c r="P89" s="226"/>
      <c r="Q89" s="229"/>
      <c r="R89" s="243"/>
      <c r="S89" s="250">
        <f t="shared" si="50"/>
        <v>1</v>
      </c>
      <c r="T89" s="243" t="str">
        <f t="shared" si="53"/>
        <v>Southbound</v>
      </c>
      <c r="U89" s="24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9" t="str">
        <f t="shared" si="54"/>
        <v>https://d0f6bd738d7f1b3e5a7ca70fe4ff75f0.us-east-1.aws.found.io/app/kibana#/discover/Steve-Slow-Train-Analysis-(2080s-and-2083s)?_g=(refreshInterval:(display:Off,pause:!f,section:0,value:0),time:(from:'2017-11-29T12:41:23-0700',mode:absolute,to:'2017-11-29T15:19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9" s="248" t="str">
        <f>IF(AA89&lt;VLOOKUP(AG89,Variables!$AC$3:$AD$8,2,FALSE),"Y","N")</f>
        <v>N</v>
      </c>
      <c r="X89" s="248">
        <f t="shared" si="48"/>
        <v>1</v>
      </c>
      <c r="Y89" s="248">
        <f t="shared" si="46"/>
        <v>23.260200000000001</v>
      </c>
      <c r="Z89" s="248">
        <f t="shared" si="47"/>
        <v>1.6299999999999999E-2</v>
      </c>
      <c r="AA89" s="248">
        <f t="shared" si="55"/>
        <v>23.2439</v>
      </c>
      <c r="AB89" s="234" t="e">
        <f>VLOOKUP(A89,Enforcements!$C$7:$K$9,8,0)</f>
        <v>#N/A</v>
      </c>
      <c r="AC89" s="233" t="e">
        <f>VLOOKUP(A89,Enforcements!$C$7:$E$9,3,0)</f>
        <v>#N/A</v>
      </c>
      <c r="AD89" s="244">
        <f t="shared" si="56"/>
        <v>174</v>
      </c>
      <c r="AE89" s="236" t="str">
        <f t="shared" si="57"/>
        <v>aws s3 cp s3://rtdc.mdm.uploadarchive.raw/RTDC4019/ "%USERPROFILE%\AppData\Local\Temp\OnboardLogs"\RTDC4019\2017-11-29 --exclude "*" --recursive --include "*20171129*" &amp; "%USERPROFILE%\Documents\GitHub\mrs-test-scripts\Headless Mode &amp; Sideloading\WalkAndUnGZ.bat" "%USERPROFILE%\AppData\Local\Temp\OnboardLogs"\RTDC4019\2017-11-29 &amp; aws s3 cp s3://rtdc.mdm.uploadarchive.raw/RTDC4019/ "%USERPROFILE%\AppData\Local\Temp\OnboardLogs"\RTDC4019\2017-11-30 --exclude "*" --recursive --include "*20171130*" &amp; "%USERPROFILE%\Documents\GitHub\mrs-test-scripts\Headless Mode &amp; Sideloading\WalkAndUnGZ.bat" "%USERPROFILE%\AppData\Local\Temp\OnboardLogs"\RTDC4019\2017-11-30</v>
      </c>
      <c r="AF89" s="235" t="str">
        <f t="shared" si="58"/>
        <v>"C:\Program Files (x86)\AstroGrep\AstroGrep.exe" /e /r /s /spath="%USERPROFILE%\AppData\Local\Temp\OnboardLogs" /stypes="app*4019*20171129*" /stext=" 21:.+((SYSTEM_STATE.+slice.+state.+changed )|(ment ac)|(multiple cpu faults)|(system.+state.+changed )|(\[timeout)|(PRM\|1\|D)|(kpr)|(kdp)|(train st.+moving)|(\|lc)|(penalty))"</v>
      </c>
      <c r="AG89" s="245" t="str">
        <f t="shared" si="59"/>
        <v>EC</v>
      </c>
      <c r="AH89" s="237" t="str">
        <f t="shared" si="60"/>
        <v>"%USERPROFILE%\Documents\GitHub\eaglep3\Utilities\RefineRTDCRunTimes.py" --tripid 174-29 --locoid 4019 --swversion DE.1.0.9.0 --startMP 204:232602 --initTime 2017-11-29T13:41:23 --startdatetime 2017-11-29T13:43:26 --delay 66 --endMP 204:163 --enddatetime 2017-11-29T14:19:07 --enforcementcount 0 &gt;&gt;%USERPROFILE%\Documents\GitHub\eaglep3-reporting\EC\2017-11-29-refined-times.txt</v>
      </c>
      <c r="AI89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{"issue":{"subject":"","project_id":79,"tracker_id":40,"status_id":1,"priority_id":2,"assigned_to_id":338,"start_date":"2017-11-29","description":"","custom_fields":[{"id":1,"name":"Subdivision","value":"EC"},{"id":4,"name":"Milepost","value":"0.0163"},{"id":17,"name":"Train ID","value":"174-29"},{"id":16,"name":"Locomotive ID","value":"4019"},{"id":130,"name":"Impact","value":""},{"id":150,"name":"Time of Event (Mountain Time)","value":"14:19:07"},{"id":151,"name":"Denver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4"/>
      <c r="AK89" s="232"/>
      <c r="AL89" s="232"/>
      <c r="AM89" s="241" t="str">
        <f t="shared" si="62"/>
        <v>start /low /b %USERPROFILE%\Documents\GitHub\eaglep3\Utilities\DownloadLogsFromS3.py --loco 4019 --day 2017-11-29</v>
      </c>
      <c r="AN89" s="242" t="str">
        <f t="shared" si="63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21:19:07"},{"id":29,"name":"Sharepoint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1" t="str">
        <f t="shared" si="64"/>
        <v>https://d0f6bd738d7f1b3e5a7ca70fe4ff75f0.us-east-1.aws.found.io/app/kibana#/discover/Steve-Slow-Train-Analysis-(2080s-and-2083s)?_g=(refreshInterval:(display:Off,pause:!f,section:0,value:0),time:(from:'2017-11-29T12:41:23-0700',mode:absolute,to:'2017-11-29T15:19:07-0700'))&amp;_a=(columns:!('Message%20ID',Summary),filters:!(),index:'emp_*',interval:auto,query:(query_string:(analyze_wildcard:!t,query:'%22rtdc.l.rtdc.4019%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230" t="s">
        <v>640</v>
      </c>
      <c r="B90" s="226">
        <v>4002</v>
      </c>
      <c r="C90" s="228" t="s">
        <v>192</v>
      </c>
      <c r="D90" s="228" t="s">
        <v>511</v>
      </c>
      <c r="E90" s="227">
        <v>43068.536041666666</v>
      </c>
      <c r="F90" s="227">
        <v>43068.54184027778</v>
      </c>
      <c r="G90" s="226">
        <v>57</v>
      </c>
      <c r="H90" s="228" t="s">
        <v>932</v>
      </c>
      <c r="I90" s="227">
        <v>43068.567037037035</v>
      </c>
      <c r="J90" s="226">
        <v>0</v>
      </c>
      <c r="K90" s="238" t="str">
        <f t="shared" si="51"/>
        <v>4001/4002</v>
      </c>
      <c r="L90" s="246" t="str">
        <f>VLOOKUP(A90,'Trips&amp;Operators'!$C$1:$G$99911,5,FALSE)</f>
        <v>NEWELL JAMES</v>
      </c>
      <c r="M90" s="225">
        <f t="shared" si="52"/>
        <v>2.5196759255777579E-2</v>
      </c>
      <c r="N90" s="226">
        <f t="shared" si="65"/>
        <v>36.283333328319713</v>
      </c>
      <c r="O90" s="226"/>
      <c r="P90" s="226"/>
      <c r="Q90" s="229"/>
      <c r="R90" s="243"/>
      <c r="S90" s="250">
        <f t="shared" si="50"/>
        <v>1</v>
      </c>
      <c r="T90" s="243" t="str">
        <f t="shared" si="53"/>
        <v>NorthBound</v>
      </c>
      <c r="U90" s="24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9" t="str">
        <f t="shared" si="54"/>
        <v>https://d0f6bd738d7f1b3e5a7ca70fe4ff75f0.us-east-1.aws.found.io/app/kibana#/discover/Steve-Slow-Train-Analysis-(2080s-and-2083s)?_g=(refreshInterval:(display:Off,pause:!f,section:0,value:0),time:(from:'2017-11-29T11:51:54-0700',mode:absolute,to:'2017-11-29T14:36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0" s="248" t="str">
        <f>IF(AA90&lt;VLOOKUP(AG90,Variables!$AC$3:$AD$8,2,FALSE),"Y","N")</f>
        <v>N</v>
      </c>
      <c r="X90" s="248">
        <f t="shared" si="48"/>
        <v>1</v>
      </c>
      <c r="Y90" s="248">
        <f t="shared" si="46"/>
        <v>5.3699999999999998E-2</v>
      </c>
      <c r="Z90" s="248">
        <f t="shared" si="47"/>
        <v>23.315300000000001</v>
      </c>
      <c r="AA90" s="248">
        <f t="shared" si="55"/>
        <v>23.261600000000001</v>
      </c>
      <c r="AB90" s="234" t="e">
        <f>VLOOKUP(A90,Enforcements!$C$7:$K$9,8,0)</f>
        <v>#N/A</v>
      </c>
      <c r="AC90" s="233" t="e">
        <f>VLOOKUP(A90,Enforcements!$C$7:$E$9,3,0)</f>
        <v>#N/A</v>
      </c>
      <c r="AD90" s="244">
        <f t="shared" si="56"/>
        <v>175</v>
      </c>
      <c r="AE90" s="236" t="str">
        <f t="shared" si="57"/>
        <v>aws s3 cp s3://rtdc.mdm.uploadarchive.raw/RTDC4002/ "%USERPROFILE%\AppData\Local\Temp\OnboardLogs"\RTDC4002\2017-11-29 --exclude "*" --recursive --include "*20171129*" &amp; "%USERPROFILE%\Documents\GitHub\mrs-test-scripts\Headless Mode &amp; Sideloading\WalkAndUnGZ.bat" "%USERPROFILE%\AppData\Local\Temp\OnboardLogs"\RTDC4002\2017-11-29 &amp; aws s3 cp s3://rtdc.mdm.uploadarchive.raw/RTDC4002/ "%USERPROFILE%\AppData\Local\Temp\OnboardLogs"\RTDC4002\2017-11-30 --exclude "*" --recursive --include "*20171130*" &amp; "%USERPROFILE%\Documents\GitHub\mrs-test-scripts\Headless Mode &amp; Sideloading\WalkAndUnGZ.bat" "%USERPROFILE%\AppData\Local\Temp\OnboardLogs"\RTDC4002\2017-11-30</v>
      </c>
      <c r="AF90" s="235" t="str">
        <f t="shared" si="58"/>
        <v>"C:\Program Files (x86)\AstroGrep\AstroGrep.exe" /e /r /s /spath="%USERPROFILE%\AppData\Local\Temp\OnboardLogs" /stypes="app*4002*20171129*" /stext=" 20:.+((SYSTEM_STATE.+slice.+state.+changed )|(ment ac)|(multiple cpu faults)|(system.+state.+changed )|(\[timeout)|(PRM\|1\|D)|(kpr)|(kdp)|(train st.+moving)|(\|lc)|(penalty))"</v>
      </c>
      <c r="AG90" s="245" t="str">
        <f t="shared" si="59"/>
        <v>EC</v>
      </c>
      <c r="AH90" s="237" t="str">
        <f t="shared" si="60"/>
        <v>"%USERPROFILE%\Documents\GitHub\eaglep3\Utilities\RefineRTDCRunTimes.py" --tripid 175-29 --locoid 4002 --swversion DE.1.0.9.0 --startMP 204:537 --initTime 2017-11-29T12:51:54 --startdatetime 2017-11-29T13:00:15 --delay 57 --endMP 204:233153 --enddatetime 2017-11-29T13:36:32 --enforcementcount 0 &gt;&gt;%USERPROFILE%\Documents\GitHub\eaglep3-reporting\EC\2017-11-29-refined-times.txt</v>
      </c>
      <c r="AI90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{"issue":{"subject":"","project_id":79,"tracker_id":40,"status_id":1,"priority_id":2,"assigned_to_id":338,"start_date":"2017-11-29","description":"","custom_fields":[{"id":1,"name":"Subdivision","value":"EC"},{"id":4,"name":"Milepost","value":"23.3153"},{"id":17,"name":"Train ID","value":"175-29"},{"id":16,"name":"Locomotive ID","value":"4002"},{"id":130,"name":"Impact","value":""},{"id":150,"name":"Time of Event (Mountain Time)","value":"13:36:32"},{"id":151,"name":"Denver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4"/>
      <c r="AK90" s="232"/>
      <c r="AL90" s="232"/>
      <c r="AM90" s="241" t="str">
        <f t="shared" si="62"/>
        <v>start /low /b %USERPROFILE%\Documents\GitHub\eaglep3\Utilities\DownloadLogsFromS3.py --loco 4002 --day 2017-11-29</v>
      </c>
      <c r="AN90" s="242" t="str">
        <f t="shared" si="63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20:36:32"},{"id":29,"name":"Sharepoint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1" t="str">
        <f t="shared" si="64"/>
        <v>https://d0f6bd738d7f1b3e5a7ca70fe4ff75f0.us-east-1.aws.found.io/app/kibana#/discover/Steve-Slow-Train-Analysis-(2080s-and-2083s)?_g=(refreshInterval:(display:Off,pause:!f,section:0,value:0),time:(from:'2017-11-29T11:51:54-0700',mode:absolute,to:'2017-11-29T14:36:32-0700'))&amp;_a=(columns:!('Message%20ID',Summary),filters:!(),index:'emp_*',interval:auto,query:(query_string:(analyze_wildcard:!t,query:'%22rtdc.l.rtdc.4002%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230" t="s">
        <v>779</v>
      </c>
      <c r="B91" s="226">
        <v>4001</v>
      </c>
      <c r="C91" s="228" t="s">
        <v>192</v>
      </c>
      <c r="D91" s="228" t="s">
        <v>933</v>
      </c>
      <c r="E91" s="227">
        <v>43068.568796296298</v>
      </c>
      <c r="F91" s="227">
        <v>43068.581423611111</v>
      </c>
      <c r="G91" s="226">
        <v>65</v>
      </c>
      <c r="H91" s="228" t="s">
        <v>934</v>
      </c>
      <c r="I91" s="227">
        <v>43068.607534722221</v>
      </c>
      <c r="J91" s="226">
        <v>0</v>
      </c>
      <c r="K91" s="238" t="str">
        <f t="shared" si="51"/>
        <v>4001/4002</v>
      </c>
      <c r="L91" s="246" t="str">
        <f>VLOOKUP(A91,'Trips&amp;Operators'!$C$1:$G$99911,5,FALSE)</f>
        <v>NEWELL JAMES</v>
      </c>
      <c r="M91" s="225">
        <f t="shared" si="52"/>
        <v>2.6111111110367347E-2</v>
      </c>
      <c r="N91" s="226">
        <f t="shared" si="65"/>
        <v>37.599999998928979</v>
      </c>
      <c r="O91" s="226"/>
      <c r="P91" s="226"/>
      <c r="Q91" s="229"/>
      <c r="R91" s="243"/>
      <c r="S91" s="250">
        <f t="shared" si="50"/>
        <v>1</v>
      </c>
      <c r="T91" s="243" t="str">
        <f t="shared" si="53"/>
        <v>Southbound</v>
      </c>
      <c r="U91" s="24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9" t="str">
        <f t="shared" si="54"/>
        <v>https://d0f6bd738d7f1b3e5a7ca70fe4ff75f0.us-east-1.aws.found.io/app/kibana#/discover/Steve-Slow-Train-Analysis-(2080s-and-2083s)?_g=(refreshInterval:(display:Off,pause:!f,section:0,value:0),time:(from:'2017-11-29T12:39:04-0700',mode:absolute,to:'2017-11-29T15:34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1" s="248" t="str">
        <f>IF(AA91&lt;VLOOKUP(AG91,Variables!$AC$3:$AD$8,2,FALSE),"Y","N")</f>
        <v>N</v>
      </c>
      <c r="X91" s="248">
        <f t="shared" si="48"/>
        <v>1</v>
      </c>
      <c r="Y91" s="248">
        <f t="shared" si="46"/>
        <v>23.282699999999998</v>
      </c>
      <c r="Z91" s="248">
        <f t="shared" si="47"/>
        <v>2.5399999999999999E-2</v>
      </c>
      <c r="AA91" s="248">
        <f t="shared" si="55"/>
        <v>23.257299999999997</v>
      </c>
      <c r="AB91" s="234" t="e">
        <f>VLOOKUP(A91,Enforcements!$C$7:$K$9,8,0)</f>
        <v>#N/A</v>
      </c>
      <c r="AC91" s="233" t="e">
        <f>VLOOKUP(A91,Enforcements!$C$7:$E$9,3,0)</f>
        <v>#N/A</v>
      </c>
      <c r="AD91" s="244">
        <f t="shared" si="56"/>
        <v>176</v>
      </c>
      <c r="AE91" s="236" t="str">
        <f t="shared" si="57"/>
        <v>aws s3 cp s3://rtdc.mdm.uploadarchive.raw/RTDC4001/ "%USERPROFILE%\AppData\Local\Temp\OnboardLogs"\RTDC4001\2017-11-29 --exclude "*" --recursive --include "*20171129*" &amp; "%USERPROFILE%\Documents\GitHub\mrs-test-scripts\Headless Mode &amp; Sideloading\WalkAndUnGZ.bat" "%USERPROFILE%\AppData\Local\Temp\OnboardLogs"\RTDC4001\2017-11-29 &amp; aws s3 cp s3://rtdc.mdm.uploadarchive.raw/RTDC4001/ "%USERPROFILE%\AppData\Local\Temp\OnboardLogs"\RTDC4001\2017-11-30 --exclude "*" --recursive --include "*20171130*" &amp; "%USERPROFILE%\Documents\GitHub\mrs-test-scripts\Headless Mode &amp; Sideloading\WalkAndUnGZ.bat" "%USERPROFILE%\AppData\Local\Temp\OnboardLogs"\RTDC4001\2017-11-30</v>
      </c>
      <c r="AF91" s="235" t="str">
        <f t="shared" si="58"/>
        <v>"C:\Program Files (x86)\AstroGrep\AstroGrep.exe" /e /r /s /spath="%USERPROFILE%\AppData\Local\Temp\OnboardLogs" /stypes="app*4001*20171129*" /stext=" 21:.+((SYSTEM_STATE.+slice.+state.+changed )|(ment ac)|(multiple cpu faults)|(system.+state.+changed )|(\[timeout)|(PRM\|1\|D)|(kpr)|(kdp)|(train st.+moving)|(\|lc)|(penalty))"</v>
      </c>
      <c r="AG91" s="245" t="str">
        <f t="shared" si="59"/>
        <v>EC</v>
      </c>
      <c r="AH91" s="237" t="str">
        <f t="shared" si="60"/>
        <v>"%USERPROFILE%\Documents\GitHub\eaglep3\Utilities\RefineRTDCRunTimes.py" --tripid 176-29 --locoid 4001 --swversion DE.1.0.9.0 --startMP 204:232827 --initTime 2017-11-29T13:39:04 --startdatetime 2017-11-29T13:57:15 --delay 65 --endMP 204:254 --enddatetime 2017-11-29T14:34:51 --enforcementcount 0 &gt;&gt;%USERPROFILE%\Documents\GitHub\eaglep3-reporting\EC\2017-11-29-refined-times.txt</v>
      </c>
      <c r="AI91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{"issue":{"subject":"","project_id":79,"tracker_id":40,"status_id":1,"priority_id":2,"assigned_to_id":338,"start_date":"2017-11-29","description":"","custom_fields":[{"id":1,"name":"Subdivision","value":"EC"},{"id":4,"name":"Milepost","value":"0.0254"},{"id":17,"name":"Train ID","value":"176-29"},{"id":16,"name":"Locomotive ID","value":"4001"},{"id":130,"name":"Impact","value":""},{"id":150,"name":"Time of Event (Mountain Time)","value":"14:34:51"},{"id":151,"name":"Denver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4"/>
      <c r="AK91" s="232"/>
      <c r="AL91" s="232"/>
      <c r="AM91" s="241" t="str">
        <f t="shared" si="62"/>
        <v>start /low /b %USERPROFILE%\Documents\GitHub\eaglep3\Utilities\DownloadLogsFromS3.py --loco 4001 --day 2017-11-29</v>
      </c>
      <c r="AN91" s="242" t="str">
        <f t="shared" si="63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21:34:51"},{"id":29,"name":"Sharepoint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1" t="str">
        <f t="shared" si="64"/>
        <v>https://d0f6bd738d7f1b3e5a7ca70fe4ff75f0.us-east-1.aws.found.io/app/kibana#/discover/Steve-Slow-Train-Analysis-(2080s-and-2083s)?_g=(refreshInterval:(display:Off,pause:!f,section:0,value:0),time:(from:'2017-11-29T12:39:04-0700',mode:absolute,to:'2017-11-29T15:34:51-0700'))&amp;_a=(columns:!('Message%20ID',Summary),filters:!(),index:'emp_*',interval:auto,query:(query_string:(analyze_wildcard:!t,query:'%22rtdc.l.rtdc.4001%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230" t="s">
        <v>772</v>
      </c>
      <c r="B92" s="226">
        <v>4006</v>
      </c>
      <c r="C92" s="228" t="s">
        <v>192</v>
      </c>
      <c r="D92" s="228" t="s">
        <v>905</v>
      </c>
      <c r="E92" s="227">
        <v>43068.548263888886</v>
      </c>
      <c r="F92" s="227">
        <v>43068.552488425928</v>
      </c>
      <c r="G92" s="226">
        <v>57</v>
      </c>
      <c r="H92" s="228" t="s">
        <v>935</v>
      </c>
      <c r="I92" s="227">
        <v>43068.578287037039</v>
      </c>
      <c r="J92" s="226">
        <v>0</v>
      </c>
      <c r="K92" s="238" t="str">
        <f t="shared" si="51"/>
        <v>4005/4006</v>
      </c>
      <c r="L92" s="246" t="str">
        <f>VLOOKUP(A92,'Trips&amp;Operators'!$C$1:$G$99911,5,FALSE)</f>
        <v>STEWART MICHAEL</v>
      </c>
      <c r="M92" s="225">
        <f t="shared" si="52"/>
        <v>2.5798611110076308E-2</v>
      </c>
      <c r="N92" s="226">
        <f t="shared" si="65"/>
        <v>37.149999998509884</v>
      </c>
      <c r="O92" s="226"/>
      <c r="P92" s="226"/>
      <c r="Q92" s="229"/>
      <c r="R92" s="243"/>
      <c r="S92" s="250">
        <f t="shared" si="50"/>
        <v>1</v>
      </c>
      <c r="T92" s="243" t="str">
        <f t="shared" si="53"/>
        <v>NorthBound</v>
      </c>
      <c r="U92" s="24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9" t="str">
        <f t="shared" si="54"/>
        <v>https://d0f6bd738d7f1b3e5a7ca70fe4ff75f0.us-east-1.aws.found.io/app/kibana#/discover/Steve-Slow-Train-Analysis-(2080s-and-2083s)?_g=(refreshInterval:(display:Off,pause:!f,section:0,value:0),time:(from:'2017-11-29T12:09:30-0700',mode:absolute,to:'2017-11-29T14:52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2" s="248" t="str">
        <f>IF(AA92&lt;VLOOKUP(AG92,Variables!$AC$3:$AD$8,2,FALSE),"Y","N")</f>
        <v>N</v>
      </c>
      <c r="X92" s="248">
        <f t="shared" si="48"/>
        <v>1</v>
      </c>
      <c r="Y92" s="248">
        <f t="shared" ref="Y92:Y115" si="66">RIGHT(D92,LEN(D92)-4)/10000</f>
        <v>5.1299999999999998E-2</v>
      </c>
      <c r="Z92" s="248">
        <f t="shared" ref="Z92:Z115" si="67">RIGHT(H92,LEN(H92)-4)/10000</f>
        <v>23.318100000000001</v>
      </c>
      <c r="AA92" s="248">
        <f t="shared" si="55"/>
        <v>23.2668</v>
      </c>
      <c r="AB92" s="234" t="e">
        <f>VLOOKUP(A92,Enforcements!$C$7:$K$9,8,0)</f>
        <v>#N/A</v>
      </c>
      <c r="AC92" s="233" t="e">
        <f>VLOOKUP(A92,Enforcements!$C$7:$E$9,3,0)</f>
        <v>#N/A</v>
      </c>
      <c r="AD92" s="244">
        <f t="shared" si="56"/>
        <v>177</v>
      </c>
      <c r="AE92" s="236" t="str">
        <f t="shared" si="57"/>
        <v>aws s3 cp s3://rtdc.mdm.uploadarchive.raw/RTDC4006/ "%USERPROFILE%\AppData\Local\Temp\OnboardLogs"\RTDC4006\2017-11-29 --exclude "*" --recursive --include "*20171129*" &amp; "%USERPROFILE%\Documents\GitHub\mrs-test-scripts\Headless Mode &amp; Sideloading\WalkAndUnGZ.bat" "%USERPROFILE%\AppData\Local\Temp\OnboardLogs"\RTDC4006\2017-11-29 &amp; aws s3 cp s3://rtdc.mdm.uploadarchive.raw/RTDC4006/ "%USERPROFILE%\AppData\Local\Temp\OnboardLogs"\RTDC4006\2017-11-30 --exclude "*" --recursive --include "*20171130*" &amp; "%USERPROFILE%\Documents\GitHub\mrs-test-scripts\Headless Mode &amp; Sideloading\WalkAndUnGZ.bat" "%USERPROFILE%\AppData\Local\Temp\OnboardLogs"\RTDC4006\2017-11-30</v>
      </c>
      <c r="AF92" s="235" t="str">
        <f t="shared" si="58"/>
        <v>"C:\Program Files (x86)\AstroGrep\AstroGrep.exe" /e /r /s /spath="%USERPROFILE%\AppData\Local\Temp\OnboardLogs" /stypes="app*4006*20171129*" /stext=" 20:.+((SYSTEM_STATE.+slice.+state.+changed )|(ment ac)|(multiple cpu faults)|(system.+state.+changed )|(\[timeout)|(PRM\|1\|D)|(kpr)|(kdp)|(train st.+moving)|(\|lc)|(penalty))"</v>
      </c>
      <c r="AG92" s="245" t="str">
        <f t="shared" si="59"/>
        <v>EC</v>
      </c>
      <c r="AH92" s="237" t="str">
        <f t="shared" si="60"/>
        <v>"%USERPROFILE%\Documents\GitHub\eaglep3\Utilities\RefineRTDCRunTimes.py" --tripid 177-29 --locoid 4006 --swversion DE.1.0.9.0 --startMP 204:513 --initTime 2017-11-29T13:09:30 --startdatetime 2017-11-29T13:15:35 --delay 57 --endMP 204:233181 --enddatetime 2017-11-29T13:52:44 --enforcementcount 0 &gt;&gt;%USERPROFILE%\Documents\GitHub\eaglep3-reporting\EC\2017-11-29-refined-times.txt</v>
      </c>
      <c r="AI92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{"issue":{"subject":"","project_id":79,"tracker_id":40,"status_id":1,"priority_id":2,"assigned_to_id":338,"start_date":"2017-11-29","description":"","custom_fields":[{"id":1,"name":"Subdivision","value":"EC"},{"id":4,"name":"Milepost","value":"23.3181"},{"id":17,"name":"Train ID","value":"177-29"},{"id":16,"name":"Locomotive ID","value":"4006"},{"id":130,"name":"Impact","value":""},{"id":150,"name":"Time of Event (Mountain Time)","value":"13:52:44"},{"id":151,"name":"Denver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4"/>
      <c r="AK92" s="232"/>
      <c r="AL92" s="232"/>
      <c r="AM92" s="241" t="str">
        <f t="shared" si="62"/>
        <v>start /low /b %USERPROFILE%\Documents\GitHub\eaglep3\Utilities\DownloadLogsFromS3.py --loco 4006 --day 2017-11-29</v>
      </c>
      <c r="AN92" s="242" t="str">
        <f t="shared" si="63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20:52:44"},{"id":29,"name":"Sharepoint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1" t="str">
        <f t="shared" si="64"/>
        <v>https://d0f6bd738d7f1b3e5a7ca70fe4ff75f0.us-east-1.aws.found.io/app/kibana#/discover/Steve-Slow-Train-Analysis-(2080s-and-2083s)?_g=(refreshInterval:(display:Off,pause:!f,section:0,value:0),time:(from:'2017-11-29T12:09:30-0700',mode:absolute,to:'2017-11-29T14:52:44-0700'))&amp;_a=(columns:!('Message%20ID',Summary),filters:!(),index:'emp_*',interval:auto,query:(query_string:(analyze_wildcard:!t,query:'%22rtdc.l.rtdc.4006%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230" t="s">
        <v>783</v>
      </c>
      <c r="B93" s="226">
        <v>4005</v>
      </c>
      <c r="C93" s="228" t="s">
        <v>192</v>
      </c>
      <c r="D93" s="228" t="s">
        <v>936</v>
      </c>
      <c r="E93" s="227">
        <v>43068.589398148149</v>
      </c>
      <c r="F93" s="227">
        <v>43068.592141203706</v>
      </c>
      <c r="G93" s="226">
        <v>66</v>
      </c>
      <c r="H93" s="228" t="s">
        <v>463</v>
      </c>
      <c r="I93" s="227">
        <v>43068.618935185186</v>
      </c>
      <c r="J93" s="226">
        <v>0</v>
      </c>
      <c r="K93" s="238" t="str">
        <f t="shared" si="51"/>
        <v>4005/4006</v>
      </c>
      <c r="L93" s="246" t="str">
        <f>VLOOKUP(A93,'Trips&amp;Operators'!$C$1:$G$99911,5,FALSE)</f>
        <v>STEWART MICHAEL</v>
      </c>
      <c r="M93" s="225">
        <f t="shared" si="52"/>
        <v>2.679398148029577E-2</v>
      </c>
      <c r="N93" s="226">
        <f t="shared" si="65"/>
        <v>38.583333331625909</v>
      </c>
      <c r="O93" s="226"/>
      <c r="P93" s="226"/>
      <c r="Q93" s="229"/>
      <c r="R93" s="243"/>
      <c r="S93" s="250">
        <f t="shared" si="50"/>
        <v>1</v>
      </c>
      <c r="T93" s="243" t="str">
        <f t="shared" si="53"/>
        <v>Southbound</v>
      </c>
      <c r="U93" s="24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9" t="str">
        <f t="shared" si="54"/>
        <v>https://d0f6bd738d7f1b3e5a7ca70fe4ff75f0.us-east-1.aws.found.io/app/kibana#/discover/Steve-Slow-Train-Analysis-(2080s-and-2083s)?_g=(refreshInterval:(display:Off,pause:!f,section:0,value:0),time:(from:'2017-11-29T13:08:44-0700',mode:absolute,to:'2017-11-29T15:51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3" s="248" t="str">
        <f>IF(AA93&lt;VLOOKUP(AG93,Variables!$AC$3:$AD$8,2,FALSE),"Y","N")</f>
        <v>N</v>
      </c>
      <c r="X93" s="248">
        <f t="shared" si="48"/>
        <v>1</v>
      </c>
      <c r="Y93" s="248">
        <f t="shared" si="66"/>
        <v>23.286200000000001</v>
      </c>
      <c r="Z93" s="248">
        <f t="shared" si="67"/>
        <v>1.8700000000000001E-2</v>
      </c>
      <c r="AA93" s="248">
        <f t="shared" si="55"/>
        <v>23.267500000000002</v>
      </c>
      <c r="AB93" s="234" t="e">
        <f>VLOOKUP(A93,Enforcements!$C$7:$K$9,8,0)</f>
        <v>#N/A</v>
      </c>
      <c r="AC93" s="233" t="e">
        <f>VLOOKUP(A93,Enforcements!$C$7:$E$9,3,0)</f>
        <v>#N/A</v>
      </c>
      <c r="AD93" s="244">
        <f t="shared" si="56"/>
        <v>178</v>
      </c>
      <c r="AE93" s="236" t="str">
        <f t="shared" si="57"/>
        <v>aws s3 cp s3://rtdc.mdm.uploadarchive.raw/RTDC4005/ "%USERPROFILE%\AppData\Local\Temp\OnboardLogs"\RTDC4005\2017-11-29 --exclude "*" --recursive --include "*20171129*" &amp; "%USERPROFILE%\Documents\GitHub\mrs-test-scripts\Headless Mode &amp; Sideloading\WalkAndUnGZ.bat" "%USERPROFILE%\AppData\Local\Temp\OnboardLogs"\RTDC4005\2017-11-29 &amp; aws s3 cp s3://rtdc.mdm.uploadarchive.raw/RTDC4005/ "%USERPROFILE%\AppData\Local\Temp\OnboardLogs"\RTDC4005\2017-11-30 --exclude "*" --recursive --include "*20171130*" &amp; "%USERPROFILE%\Documents\GitHub\mrs-test-scripts\Headless Mode &amp; Sideloading\WalkAndUnGZ.bat" "%USERPROFILE%\AppData\Local\Temp\OnboardLogs"\RTDC4005\2017-11-30</v>
      </c>
      <c r="AF93" s="235" t="str">
        <f t="shared" si="58"/>
        <v>"C:\Program Files (x86)\AstroGrep\AstroGrep.exe" /e /r /s /spath="%USERPROFILE%\AppData\Local\Temp\OnboardLogs" /stypes="app*4005*20171129*" /stext=" 21:.+((SYSTEM_STATE.+slice.+state.+changed )|(ment ac)|(multiple cpu faults)|(system.+state.+changed )|(\[timeout)|(PRM\|1\|D)|(kpr)|(kdp)|(train st.+moving)|(\|lc)|(penalty))"</v>
      </c>
      <c r="AG93" s="245" t="str">
        <f t="shared" si="59"/>
        <v>EC</v>
      </c>
      <c r="AH93" s="237" t="str">
        <f t="shared" si="60"/>
        <v>"%USERPROFILE%\Documents\GitHub\eaglep3\Utilities\RefineRTDCRunTimes.py" --tripid 178-29 --locoid 4005 --swversion DE.1.0.9.0 --startMP 204:232862 --initTime 2017-11-29T14:08:44 --startdatetime 2017-11-29T14:12:41 --delay 66 --endMP 204:187 --enddatetime 2017-11-29T14:51:16 --enforcementcount 0 &gt;&gt;%USERPROFILE%\Documents\GitHub\eaglep3-reporting\EC\2017-11-29-refined-times.txt</v>
      </c>
      <c r="AI93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{"issue":{"subject":"","project_id":79,"tracker_id":40,"status_id":1,"priority_id":2,"assigned_to_id":338,"start_date":"2017-11-29","description":"","custom_fields":[{"id":1,"name":"Subdivision","value":"EC"},{"id":4,"name":"Milepost","value":"0.0187"},{"id":17,"name":"Train ID","value":"178-29"},{"id":16,"name":"Locomotive ID","value":"4005"},{"id":130,"name":"Impact","value":""},{"id":150,"name":"Time of Event (Mountain Time)","value":"14:51:16"},{"id":151,"name":"Denver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4"/>
      <c r="AK93" s="232"/>
      <c r="AL93" s="232"/>
      <c r="AM93" s="241" t="str">
        <f t="shared" si="62"/>
        <v>start /low /b %USERPROFILE%\Documents\GitHub\eaglep3\Utilities\DownloadLogsFromS3.py --loco 4005 --day 2017-11-29</v>
      </c>
      <c r="AN93" s="242" t="str">
        <f t="shared" si="63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21:51:16"},{"id":29,"name":"Sharepoint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1" t="str">
        <f t="shared" si="64"/>
        <v>https://d0f6bd738d7f1b3e5a7ca70fe4ff75f0.us-east-1.aws.found.io/app/kibana#/discover/Steve-Slow-Train-Analysis-(2080s-and-2083s)?_g=(refreshInterval:(display:Off,pause:!f,section:0,value:0),time:(from:'2017-11-29T13:08:44-0700',mode:absolute,to:'2017-11-29T15:51:16-0700'))&amp;_a=(columns:!('Message%20ID',Summary),filters:!(),index:'emp_*',interval:auto,query:(query_string:(analyze_wildcard:!t,query:'%22rtdc.l.rtdc.4005%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230" t="s">
        <v>774</v>
      </c>
      <c r="B94" s="226">
        <v>4066</v>
      </c>
      <c r="C94" s="228" t="s">
        <v>192</v>
      </c>
      <c r="D94" s="228" t="s">
        <v>937</v>
      </c>
      <c r="E94" s="227">
        <v>43068.558888888889</v>
      </c>
      <c r="F94" s="227">
        <v>43068.562673611108</v>
      </c>
      <c r="G94" s="226">
        <v>53</v>
      </c>
      <c r="H94" s="228" t="s">
        <v>938</v>
      </c>
      <c r="I94" s="227">
        <v>43068.588958333334</v>
      </c>
      <c r="J94" s="226">
        <v>0</v>
      </c>
      <c r="K94" s="238" t="str">
        <f t="shared" si="51"/>
        <v>4065/4066</v>
      </c>
      <c r="L94" s="246" t="str">
        <f>VLOOKUP(A94,'Trips&amp;Operators'!$C$1:$G$99911,5,FALSE)</f>
        <v>GUZMAN DANNY</v>
      </c>
      <c r="M94" s="225">
        <f t="shared" si="52"/>
        <v>2.6284722225682344E-2</v>
      </c>
      <c r="N94" s="226">
        <f t="shared" si="65"/>
        <v>37.850000004982576</v>
      </c>
      <c r="O94" s="226"/>
      <c r="P94" s="226"/>
      <c r="Q94" s="229"/>
      <c r="R94" s="243" t="s">
        <v>1134</v>
      </c>
      <c r="S94" s="250">
        <f t="shared" si="50"/>
        <v>1</v>
      </c>
      <c r="T94" s="243" t="str">
        <f t="shared" si="53"/>
        <v>NorthBound</v>
      </c>
      <c r="U94" s="24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9" t="str">
        <f t="shared" si="54"/>
        <v>https://d0f6bd738d7f1b3e5a7ca70fe4ff75f0.us-east-1.aws.found.io/app/kibana#/discover/Steve-Slow-Train-Analysis-(2080s-and-2083s)?_g=(refreshInterval:(display:Off,pause:!f,section:0,value:0),time:(from:'2017-11-29T12:24:48-0700',mode:absolute,to:'2017-11-29T15:08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94" s="248" t="str">
        <f>IF(AA94&lt;VLOOKUP(AG94,Variables!$AC$3:$AD$8,2,FALSE),"Y","N")</f>
        <v>N</v>
      </c>
      <c r="X94" s="248">
        <f t="shared" si="48"/>
        <v>1</v>
      </c>
      <c r="Y94" s="248">
        <f t="shared" si="66"/>
        <v>5.7099999999999998E-2</v>
      </c>
      <c r="Z94" s="248">
        <f t="shared" si="67"/>
        <v>23.316800000000001</v>
      </c>
      <c r="AA94" s="248">
        <f t="shared" si="55"/>
        <v>23.259700000000002</v>
      </c>
      <c r="AB94" s="234" t="e">
        <f>VLOOKUP(A94,Enforcements!$C$7:$K$9,8,0)</f>
        <v>#N/A</v>
      </c>
      <c r="AC94" s="233" t="e">
        <f>VLOOKUP(A94,Enforcements!$C$7:$E$9,3,0)</f>
        <v>#N/A</v>
      </c>
      <c r="AD94" s="244">
        <f t="shared" si="56"/>
        <v>179</v>
      </c>
      <c r="AE94" s="236" t="str">
        <f t="shared" si="57"/>
        <v>aws s3 cp s3://rtdc.mdm.uploadarchive.raw/RTDC4066/ "%USERPROFILE%\AppData\Local\Temp\OnboardLogs"\RTDC4066\2017-11-29 --exclude "*" --recursive --include "*20171129*" &amp; "%USERPROFILE%\Documents\GitHub\mrs-test-scripts\Headless Mode &amp; Sideloading\WalkAndUnGZ.bat" "%USERPROFILE%\AppData\Local\Temp\OnboardLogs"\RTDC4066\2017-11-29 &amp; aws s3 cp s3://rtdc.mdm.uploadarchive.raw/RTDC4066/ "%USERPROFILE%\AppData\Local\Temp\OnboardLogs"\RTDC4066\2017-11-30 --exclude "*" --recursive --include "*20171130*" &amp; "%USERPROFILE%\Documents\GitHub\mrs-test-scripts\Headless Mode &amp; Sideloading\WalkAndUnGZ.bat" "%USERPROFILE%\AppData\Local\Temp\OnboardLogs"\RTDC4066\2017-11-30</v>
      </c>
      <c r="AF94" s="235" t="str">
        <f t="shared" si="58"/>
        <v>"C:\Program Files (x86)\AstroGrep\AstroGrep.exe" /e /r /s /spath="%USERPROFILE%\AppData\Local\Temp\OnboardLogs" /stypes="app*4066*20171129*" /stext=" 21:.+((SYSTEM_STATE.+slice.+state.+changed )|(ment ac)|(multiple cpu faults)|(system.+state.+changed )|(\[timeout)|(PRM\|1\|D)|(kpr)|(kdp)|(train st.+moving)|(\|lc)|(penalty))"</v>
      </c>
      <c r="AG94" s="245" t="str">
        <f t="shared" si="59"/>
        <v>EC</v>
      </c>
      <c r="AH94" s="237" t="str">
        <f t="shared" si="60"/>
        <v>"%USERPROFILE%\Documents\GitHub\eaglep3\Utilities\RefineRTDCRunTimes.py" --tripid 179-29 --locoid 4066 --swversion DE.1.0.9.0 --startMP 204:571 --initTime 2017-11-29T13:24:48 --startdatetime 2017-11-29T13:30:15 --delay 53 --endMP 204:233168 --enddatetime 2017-11-29T14:08:06 --enforcementcount 0 &gt;&gt;%USERPROFILE%\Documents\GitHub\eaglep3-reporting\EC\2017-11-29-refined-times.txt</v>
      </c>
      <c r="AI94" s="239" t="str">
        <f t="shared" si="61"/>
        <v>echo {"issue":{"subject":"Brief Wi-MAX data drop caused unhealthy banner","project_id":79,"tracker_id":40,"status_id":1,"priority_id":2,"assigned_to_id":338,"start_date":"2017-11-29","description":"","custom_fields":[{"id":1,"name":"Subdivision","value":"EC"},{"id":4,"name":"Milepost","value":"23.3168"},{"id":17,"name":"Train ID","value":"179-29"},{"id":16,"name":"Locomotive ID","value":"4066"},{"id":130,"name":"Impact","value":""},{"id":150,"name":"Time of Event (Mountain Time)","value":"14:08:06"},{"id":151,"name":"Denver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4"/>
      <c r="AK94" s="232"/>
      <c r="AL94" s="232"/>
      <c r="AM94" s="241" t="str">
        <f t="shared" si="62"/>
        <v>start /low /b %USERPROFILE%\Documents\GitHub\eaglep3\Utilities\DownloadLogsFromS3.py --loco 4066 --day 2017-11-29</v>
      </c>
      <c r="AN94" s="242" t="str">
        <f t="shared" si="63"/>
        <v>echo {"issue":{"subject":"Brief Wi-MAX data drop caused unhealthy banner","project_id":30,"tracker_id":4,"status_id":1,"priority_id":1,"assigned_to_id":10,"start_date":"2017-11-29","description":"","custom_fields":[{"id":30,"name":"Category","value":"Issue"},{"id":3,"name":"Functional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21:08:06"},{"id":29,"name":"Sharepoint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1" t="str">
        <f t="shared" si="64"/>
        <v>https://d0f6bd738d7f1b3e5a7ca70fe4ff75f0.us-east-1.aws.found.io/app/kibana#/discover/Steve-Slow-Train-Analysis-(2080s-and-2083s)?_g=(refreshInterval:(display:Off,pause:!f,section:0,value:0),time:(from:'2017-11-29T12:24:48-0700',mode:absolute,to:'2017-11-29T15:08:06-0700'))&amp;_a=(columns:!('Message%20ID',Summary),filters:!(),index:'emp_*',interval:auto,query:(query_string:(analyze_wildcard:!t,query:'%22rtdc.l.rtdc.4066%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230" t="s">
        <v>784</v>
      </c>
      <c r="B95" s="226">
        <v>4065</v>
      </c>
      <c r="C95" s="228" t="s">
        <v>192</v>
      </c>
      <c r="D95" s="228" t="s">
        <v>939</v>
      </c>
      <c r="E95" s="227">
        <v>43068.590069444443</v>
      </c>
      <c r="F95" s="227">
        <v>43068.602314814816</v>
      </c>
      <c r="G95" s="226">
        <v>64</v>
      </c>
      <c r="H95" s="228" t="s">
        <v>883</v>
      </c>
      <c r="I95" s="227">
        <v>43068.627766203703</v>
      </c>
      <c r="J95" s="226">
        <v>0</v>
      </c>
      <c r="K95" s="238" t="str">
        <f t="shared" si="51"/>
        <v>4065/4066</v>
      </c>
      <c r="L95" s="246" t="str">
        <f>VLOOKUP(A95,'Trips&amp;Operators'!$C$1:$G$99911,5,FALSE)</f>
        <v>GUZMAN DANNY</v>
      </c>
      <c r="M95" s="225">
        <f t="shared" si="52"/>
        <v>2.545138888672227E-2</v>
      </c>
      <c r="N95" s="226">
        <f t="shared" si="65"/>
        <v>36.649999996880069</v>
      </c>
      <c r="O95" s="226"/>
      <c r="P95" s="226"/>
      <c r="Q95" s="229"/>
      <c r="R95" s="243"/>
      <c r="S95" s="250">
        <f t="shared" si="50"/>
        <v>1</v>
      </c>
      <c r="T95" s="243" t="str">
        <f t="shared" si="53"/>
        <v>Southbound</v>
      </c>
      <c r="U95" s="24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9" t="str">
        <f t="shared" si="54"/>
        <v>https://d0f6bd738d7f1b3e5a7ca70fe4ff75f0.us-east-1.aws.found.io/app/kibana#/discover/Steve-Slow-Train-Analysis-(2080s-and-2083s)?_g=(refreshInterval:(display:Off,pause:!f,section:0,value:0),time:(from:'2017-11-29T13:09:42-0700',mode:absolute,to:'2017-11-29T16:03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95" s="248" t="str">
        <f>IF(AA95&lt;VLOOKUP(AG95,Variables!$AC$3:$AD$8,2,FALSE),"Y","N")</f>
        <v>N</v>
      </c>
      <c r="X95" s="248">
        <f t="shared" ref="X95:X115" si="68">VALUE(LEFT(AD95,4))-VALUE(LEFT(AD94,4))</f>
        <v>1</v>
      </c>
      <c r="Y95" s="248">
        <f t="shared" si="66"/>
        <v>23.285</v>
      </c>
      <c r="Z95" s="248">
        <f t="shared" si="67"/>
        <v>2.5600000000000001E-2</v>
      </c>
      <c r="AA95" s="248">
        <f t="shared" si="55"/>
        <v>23.259399999999999</v>
      </c>
      <c r="AB95" s="234" t="e">
        <f>VLOOKUP(A95,Enforcements!$C$7:$K$9,8,0)</f>
        <v>#N/A</v>
      </c>
      <c r="AC95" s="233" t="e">
        <f>VLOOKUP(A95,Enforcements!$C$7:$E$9,3,0)</f>
        <v>#N/A</v>
      </c>
      <c r="AD95" s="244">
        <f t="shared" si="56"/>
        <v>180</v>
      </c>
      <c r="AE95" s="236" t="str">
        <f t="shared" si="57"/>
        <v>aws s3 cp s3://rtdc.mdm.uploadarchive.raw/RTDC4065/ "%USERPROFILE%\AppData\Local\Temp\OnboardLogs"\RTDC4065\2017-11-29 --exclude "*" --recursive --include "*20171129*" &amp; "%USERPROFILE%\Documents\GitHub\mrs-test-scripts\Headless Mode &amp; Sideloading\WalkAndUnGZ.bat" "%USERPROFILE%\AppData\Local\Temp\OnboardLogs"\RTDC4065\2017-11-29 &amp; aws s3 cp s3://rtdc.mdm.uploadarchive.raw/RTDC4065/ "%USERPROFILE%\AppData\Local\Temp\OnboardLogs"\RTDC4065\2017-11-30 --exclude "*" --recursive --include "*20171130*" &amp; "%USERPROFILE%\Documents\GitHub\mrs-test-scripts\Headless Mode &amp; Sideloading\WalkAndUnGZ.bat" "%USERPROFILE%\AppData\Local\Temp\OnboardLogs"\RTDC4065\2017-11-30</v>
      </c>
      <c r="AF95" s="235" t="str">
        <f t="shared" si="58"/>
        <v>"C:\Program Files (x86)\AstroGrep\AstroGrep.exe" /e /r /s /spath="%USERPROFILE%\AppData\Local\Temp\OnboardLogs" /stypes="app*4065*20171129*" /stext=" 22:.+((SYSTEM_STATE.+slice.+state.+changed )|(ment ac)|(multiple cpu faults)|(system.+state.+changed )|(\[timeout)|(PRM\|1\|D)|(kpr)|(kdp)|(train st.+moving)|(\|lc)|(penalty))"</v>
      </c>
      <c r="AG95" s="245" t="str">
        <f t="shared" si="59"/>
        <v>EC</v>
      </c>
      <c r="AH95" s="237" t="str">
        <f t="shared" si="60"/>
        <v>"%USERPROFILE%\Documents\GitHub\eaglep3\Utilities\RefineRTDCRunTimes.py" --tripid 180-29 --locoid 4065 --swversion DE.1.0.9.0 --startMP 204:232850 --initTime 2017-11-29T14:09:42 --startdatetime 2017-11-29T14:27:20 --delay 64 --endMP 204:256 --enddatetime 2017-11-29T15:03:59 --enforcementcount 0 &gt;&gt;%USERPROFILE%\Documents\GitHub\eaglep3-reporting\EC\2017-11-29-refined-times.txt</v>
      </c>
      <c r="AI95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{"issue":{"subject":"","project_id":79,"tracker_id":40,"status_id":1,"priority_id":2,"assigned_to_id":338,"start_date":"2017-11-29","description":"","custom_fields":[{"id":1,"name":"Subdivision","value":"EC"},{"id":4,"name":"Milepost","value":"0.0256"},{"id":17,"name":"Train ID","value":"180-29"},{"id":16,"name":"Locomotive ID","value":"4065"},{"id":130,"name":"Impact","value":""},{"id":150,"name":"Time of Event (Mountain Time)","value":"15:03:59"},{"id":151,"name":"Denver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4"/>
      <c r="AK95" s="232"/>
      <c r="AL95" s="232"/>
      <c r="AM95" s="241" t="str">
        <f t="shared" si="62"/>
        <v>start /low /b %USERPROFILE%\Documents\GitHub\eaglep3\Utilities\DownloadLogsFromS3.py --loco 4065 --day 2017-11-29</v>
      </c>
      <c r="AN95" s="242" t="str">
        <f t="shared" si="63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22:03:59"},{"id":29,"name":"Sharepoint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1" t="str">
        <f t="shared" si="64"/>
        <v>https://d0f6bd738d7f1b3e5a7ca70fe4ff75f0.us-east-1.aws.found.io/app/kibana#/discover/Steve-Slow-Train-Analysis-(2080s-and-2083s)?_g=(refreshInterval:(display:Off,pause:!f,section:0,value:0),time:(from:'2017-11-29T13:09:42-0700',mode:absolute,to:'2017-11-29T16:03:59-0700'))&amp;_a=(columns:!('Message%20ID',Summary),filters:!(),index:'emp_*',interval:auto,query:(query_string:(analyze_wildcard:!t,query:'%22rtdc.l.rtdc.4065%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230" t="s">
        <v>780</v>
      </c>
      <c r="B96" s="226">
        <v>4022</v>
      </c>
      <c r="C96" s="228" t="s">
        <v>192</v>
      </c>
      <c r="D96" s="228" t="s">
        <v>559</v>
      </c>
      <c r="E96" s="227">
        <v>43068.569791666669</v>
      </c>
      <c r="F96" s="227">
        <v>43068.57309027778</v>
      </c>
      <c r="G96" s="226">
        <v>72</v>
      </c>
      <c r="H96" s="228" t="s">
        <v>565</v>
      </c>
      <c r="I96" s="227">
        <v>43068.597870370373</v>
      </c>
      <c r="J96" s="226">
        <v>0</v>
      </c>
      <c r="K96" s="238" t="str">
        <f t="shared" si="51"/>
        <v>4021/4022</v>
      </c>
      <c r="L96" s="246" t="str">
        <f>VLOOKUP(A96,'Trips&amp;Operators'!$C$1:$G$99911,5,FALSE)</f>
        <v>LEVIN SCOTT</v>
      </c>
      <c r="M96" s="225">
        <f t="shared" si="52"/>
        <v>2.4780092593573499E-2</v>
      </c>
      <c r="N96" s="226">
        <f t="shared" si="65"/>
        <v>35.683333334745839</v>
      </c>
      <c r="O96" s="226"/>
      <c r="P96" s="226"/>
      <c r="Q96" s="229"/>
      <c r="R96" s="243"/>
      <c r="S96" s="250">
        <f t="shared" si="50"/>
        <v>1</v>
      </c>
      <c r="T96" s="243" t="str">
        <f t="shared" si="53"/>
        <v>NorthBound</v>
      </c>
      <c r="U96" s="24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9" t="str">
        <f t="shared" si="54"/>
        <v>https://d0f6bd738d7f1b3e5a7ca70fe4ff75f0.us-east-1.aws.found.io/app/kibana#/discover/Steve-Slow-Train-Analysis-(2080s-and-2083s)?_g=(refreshInterval:(display:Off,pause:!f,section:0,value:0),time:(from:'2017-11-29T12:40:30-0700',mode:absolute,to:'2017-11-29T15:20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6" s="248" t="str">
        <f>IF(AA96&lt;VLOOKUP(AG96,Variables!$AC$3:$AD$8,2,FALSE),"Y","N")</f>
        <v>N</v>
      </c>
      <c r="X96" s="248">
        <f t="shared" si="68"/>
        <v>1</v>
      </c>
      <c r="Y96" s="248">
        <f t="shared" si="66"/>
        <v>4.6399999999999997E-2</v>
      </c>
      <c r="Z96" s="248">
        <f t="shared" si="67"/>
        <v>23.330400000000001</v>
      </c>
      <c r="AA96" s="248">
        <f t="shared" si="55"/>
        <v>23.284000000000002</v>
      </c>
      <c r="AB96" s="234" t="e">
        <f>VLOOKUP(A96,Enforcements!$C$7:$K$9,8,0)</f>
        <v>#N/A</v>
      </c>
      <c r="AC96" s="233" t="e">
        <f>VLOOKUP(A96,Enforcements!$C$7:$E$9,3,0)</f>
        <v>#N/A</v>
      </c>
      <c r="AD96" s="244">
        <f t="shared" si="56"/>
        <v>181</v>
      </c>
      <c r="AE96" s="236" t="str">
        <f t="shared" si="57"/>
        <v>aws s3 cp s3://rtdc.mdm.uploadarchive.raw/RTDC4022/ "%USERPROFILE%\AppData\Local\Temp\OnboardLogs"\RTDC4022\2017-11-29 --exclude "*" --recursive --include "*20171129*" &amp; "%USERPROFILE%\Documents\GitHub\mrs-test-scripts\Headless Mode &amp; Sideloading\WalkAndUnGZ.bat" "%USERPROFILE%\AppData\Local\Temp\OnboardLogs"\RTDC4022\2017-11-29 &amp; aws s3 cp s3://rtdc.mdm.uploadarchive.raw/RTDC4022/ "%USERPROFILE%\AppData\Local\Temp\OnboardLogs"\RTDC4022\2017-11-30 --exclude "*" --recursive --include "*20171130*" &amp; "%USERPROFILE%\Documents\GitHub\mrs-test-scripts\Headless Mode &amp; Sideloading\WalkAndUnGZ.bat" "%USERPROFILE%\AppData\Local\Temp\OnboardLogs"\RTDC4022\2017-11-30</v>
      </c>
      <c r="AF96" s="235" t="str">
        <f t="shared" si="58"/>
        <v>"C:\Program Files (x86)\AstroGrep\AstroGrep.exe" /e /r /s /spath="%USERPROFILE%\AppData\Local\Temp\OnboardLogs" /stypes="app*4022*20171129*" /stext=" 21:.+((SYSTEM_STATE.+slice.+state.+changed )|(ment ac)|(multiple cpu faults)|(system.+state.+changed )|(\[timeout)|(PRM\|1\|D)|(kpr)|(kdp)|(train st.+moving)|(\|lc)|(penalty))"</v>
      </c>
      <c r="AG96" s="245" t="str">
        <f t="shared" si="59"/>
        <v>EC</v>
      </c>
      <c r="AH96" s="237" t="str">
        <f t="shared" si="60"/>
        <v>"%USERPROFILE%\Documents\GitHub\eaglep3\Utilities\RefineRTDCRunTimes.py" --tripid 181-29 --locoid 4022 --swversion DE.1.0.9.0 --startMP 204:464 --initTime 2017-11-29T13:40:30 --startdatetime 2017-11-29T13:45:15 --delay 72 --endMP 204:233304 --enddatetime 2017-11-29T14:20:56 --enforcementcount 0 &gt;&gt;%USERPROFILE%\Documents\GitHub\eaglep3-reporting\EC\2017-11-29-refined-times.txt</v>
      </c>
      <c r="AI96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{"issue":{"subject":"","project_id":79,"tracker_id":40,"status_id":1,"priority_id":2,"assigned_to_id":338,"start_date":"2017-11-29","description":"","custom_fields":[{"id":1,"name":"Subdivision","value":"EC"},{"id":4,"name":"Milepost","value":"23.3304"},{"id":17,"name":"Train ID","value":"181-29"},{"id":16,"name":"Locomotive ID","value":"4022"},{"id":130,"name":"Impact","value":""},{"id":150,"name":"Time of Event (Mountain Time)","value":"14:20:56"},{"id":151,"name":"Denver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4"/>
      <c r="AK96" s="232"/>
      <c r="AL96" s="232"/>
      <c r="AM96" s="241" t="str">
        <f t="shared" si="62"/>
        <v>start /low /b %USERPROFILE%\Documents\GitHub\eaglep3\Utilities\DownloadLogsFromS3.py --loco 4022 --day 2017-11-29</v>
      </c>
      <c r="AN96" s="242" t="str">
        <f t="shared" si="63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21:20:56"},{"id":29,"name":"Sharepoint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1" t="str">
        <f t="shared" si="64"/>
        <v>https://d0f6bd738d7f1b3e5a7ca70fe4ff75f0.us-east-1.aws.found.io/app/kibana#/discover/Steve-Slow-Train-Analysis-(2080s-and-2083s)?_g=(refreshInterval:(display:Off,pause:!f,section:0,value:0),time:(from:'2017-11-29T12:40:30-0700',mode:absolute,to:'2017-11-29T15:20:56-0700'))&amp;_a=(columns:!('Message%20ID',Summary),filters:!(),index:'emp_*',interval:auto,query:(query_string:(analyze_wildcard:!t,query:'%22rtdc.l.rtdc.4022%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230" t="s">
        <v>787</v>
      </c>
      <c r="B97" s="226">
        <v>4021</v>
      </c>
      <c r="C97" s="228" t="s">
        <v>192</v>
      </c>
      <c r="D97" s="228" t="s">
        <v>940</v>
      </c>
      <c r="E97" s="227">
        <v>43068.609143518515</v>
      </c>
      <c r="F97" s="227">
        <v>43068.612696759257</v>
      </c>
      <c r="G97" s="226">
        <v>51</v>
      </c>
      <c r="H97" s="228" t="s">
        <v>558</v>
      </c>
      <c r="I97" s="227">
        <v>43068.638993055552</v>
      </c>
      <c r="J97" s="226">
        <v>0</v>
      </c>
      <c r="K97" s="238" t="str">
        <f t="shared" si="51"/>
        <v>4021/4022</v>
      </c>
      <c r="L97" s="246" t="str">
        <f>VLOOKUP(A97,'Trips&amp;Operators'!$C$1:$G$99911,5,FALSE)</f>
        <v>LEVIN SCOTT</v>
      </c>
      <c r="M97" s="225">
        <f t="shared" si="52"/>
        <v>2.6296296295186039E-2</v>
      </c>
      <c r="N97" s="226">
        <f t="shared" si="65"/>
        <v>37.866666665067896</v>
      </c>
      <c r="O97" s="226"/>
      <c r="P97" s="226"/>
      <c r="Q97" s="229"/>
      <c r="R97" s="243"/>
      <c r="S97" s="250">
        <f t="shared" si="50"/>
        <v>1</v>
      </c>
      <c r="T97" s="243" t="str">
        <f t="shared" si="53"/>
        <v>Southbound</v>
      </c>
      <c r="U97" s="24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9" t="str">
        <f t="shared" si="54"/>
        <v>https://d0f6bd738d7f1b3e5a7ca70fe4ff75f0.us-east-1.aws.found.io/app/kibana#/discover/Steve-Slow-Train-Analysis-(2080s-and-2083s)?_g=(refreshInterval:(display:Off,pause:!f,section:0,value:0),time:(from:'2017-11-29T13:37:10-0700',mode:absolute,to:'2017-11-29T16:20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7" s="248" t="str">
        <f>IF(AA97&lt;VLOOKUP(AG97,Variables!$AC$3:$AD$8,2,FALSE),"Y","N")</f>
        <v>N</v>
      </c>
      <c r="X97" s="248">
        <f t="shared" si="68"/>
        <v>1</v>
      </c>
      <c r="Y97" s="248">
        <f t="shared" si="66"/>
        <v>23.298100000000002</v>
      </c>
      <c r="Z97" s="248">
        <f t="shared" si="67"/>
        <v>1.72E-2</v>
      </c>
      <c r="AA97" s="248">
        <f t="shared" si="55"/>
        <v>23.280900000000003</v>
      </c>
      <c r="AB97" s="234" t="e">
        <f>VLOOKUP(A97,Enforcements!$C$7:$K$9,8,0)</f>
        <v>#N/A</v>
      </c>
      <c r="AC97" s="233" t="e">
        <f>VLOOKUP(A97,Enforcements!$C$7:$E$9,3,0)</f>
        <v>#N/A</v>
      </c>
      <c r="AD97" s="244">
        <f t="shared" si="56"/>
        <v>182</v>
      </c>
      <c r="AE97" s="236" t="str">
        <f t="shared" si="57"/>
        <v>aws s3 cp s3://rtdc.mdm.uploadarchive.raw/RTDC4021/ "%USERPROFILE%\AppData\Local\Temp\OnboardLogs"\RTDC4021\2017-11-29 --exclude "*" --recursive --include "*20171129*" &amp; "%USERPROFILE%\Documents\GitHub\mrs-test-scripts\Headless Mode &amp; Sideloading\WalkAndUnGZ.bat" "%USERPROFILE%\AppData\Local\Temp\OnboardLogs"\RTDC4021\2017-11-29 &amp; aws s3 cp s3://rtdc.mdm.uploadarchive.raw/RTDC4021/ "%USERPROFILE%\AppData\Local\Temp\OnboardLogs"\RTDC4021\2017-11-30 --exclude "*" --recursive --include "*20171130*" &amp; "%USERPROFILE%\Documents\GitHub\mrs-test-scripts\Headless Mode &amp; Sideloading\WalkAndUnGZ.bat" "%USERPROFILE%\AppData\Local\Temp\OnboardLogs"\RTDC4021\2017-11-30</v>
      </c>
      <c r="AF97" s="235" t="str">
        <f t="shared" si="58"/>
        <v>"C:\Program Files (x86)\AstroGrep\AstroGrep.exe" /e /r /s /spath="%USERPROFILE%\AppData\Local\Temp\OnboardLogs" /stypes="app*4021*20171129*" /stext=" 22:.+((SYSTEM_STATE.+slice.+state.+changed )|(ment ac)|(multiple cpu faults)|(system.+state.+changed )|(\[timeout)|(PRM\|1\|D)|(kpr)|(kdp)|(train st.+moving)|(\|lc)|(penalty))"</v>
      </c>
      <c r="AG97" s="245" t="str">
        <f t="shared" si="59"/>
        <v>EC</v>
      </c>
      <c r="AH97" s="237" t="str">
        <f t="shared" si="60"/>
        <v>"%USERPROFILE%\Documents\GitHub\eaglep3\Utilities\RefineRTDCRunTimes.py" --tripid 182-29 --locoid 4021 --swversion DE.1.0.9.0 --startMP 204:232981 --initTime 2017-11-29T14:37:10 --startdatetime 2017-11-29T14:42:17 --delay 51 --endMP 204:172 --enddatetime 2017-11-29T15:20:09 --enforcementcount 0 &gt;&gt;%USERPROFILE%\Documents\GitHub\eaglep3-reporting\EC\2017-11-29-refined-times.txt</v>
      </c>
      <c r="AI97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{"issue":{"subject":"","project_id":79,"tracker_id":40,"status_id":1,"priority_id":2,"assigned_to_id":338,"start_date":"2017-11-29","description":"","custom_fields":[{"id":1,"name":"Subdivision","value":"EC"},{"id":4,"name":"Milepost","value":"0.0172"},{"id":17,"name":"Train ID","value":"182-29"},{"id":16,"name":"Locomotive ID","value":"4021"},{"id":130,"name":"Impact","value":""},{"id":150,"name":"Time of Event (Mountain Time)","value":"15:20:09"},{"id":151,"name":"Denver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4"/>
      <c r="AK97" s="232"/>
      <c r="AL97" s="232"/>
      <c r="AM97" s="241" t="str">
        <f t="shared" si="62"/>
        <v>start /low /b %USERPROFILE%\Documents\GitHub\eaglep3\Utilities\DownloadLogsFromS3.py --loco 4021 --day 2017-11-29</v>
      </c>
      <c r="AN97" s="242" t="str">
        <f t="shared" si="63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22:20:09"},{"id":29,"name":"Sharepoint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1" t="str">
        <f t="shared" si="64"/>
        <v>https://d0f6bd738d7f1b3e5a7ca70fe4ff75f0.us-east-1.aws.found.io/app/kibana#/discover/Steve-Slow-Train-Analysis-(2080s-and-2083s)?_g=(refreshInterval:(display:Off,pause:!f,section:0,value:0),time:(from:'2017-11-29T13:37:10-0700',mode:absolute,to:'2017-11-29T16:20:09-0700'))&amp;_a=(columns:!('Message%20ID',Summary),filters:!(),index:'emp_*',interval:auto,query:(query_string:(analyze_wildcard:!t,query:'%22rtdc.l.rtdc.4021%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230" t="s">
        <v>782</v>
      </c>
      <c r="B98" s="226">
        <v>4044</v>
      </c>
      <c r="C98" s="228" t="s">
        <v>192</v>
      </c>
      <c r="D98" s="228" t="s">
        <v>941</v>
      </c>
      <c r="E98" s="227">
        <v>43068.571666666663</v>
      </c>
      <c r="F98" s="227">
        <v>43068.583645833336</v>
      </c>
      <c r="G98" s="226">
        <v>134</v>
      </c>
      <c r="H98" s="228" t="s">
        <v>515</v>
      </c>
      <c r="I98" s="227">
        <v>43068.608819444446</v>
      </c>
      <c r="J98" s="226">
        <v>0</v>
      </c>
      <c r="K98" s="238" t="str">
        <f t="shared" si="51"/>
        <v>4043/4044</v>
      </c>
      <c r="L98" s="246" t="str">
        <f>VLOOKUP(A98,'Trips&amp;Operators'!$C$1:$G$99911,5,FALSE)</f>
        <v>DE LA ROSA ALEX</v>
      </c>
      <c r="M98" s="225">
        <f t="shared" si="52"/>
        <v>2.5173611109494232E-2</v>
      </c>
      <c r="N98" s="226">
        <f t="shared" si="65"/>
        <v>36.249999997671694</v>
      </c>
      <c r="O98" s="226"/>
      <c r="P98" s="226"/>
      <c r="Q98" s="229"/>
      <c r="R98" s="243"/>
      <c r="S98" s="250">
        <f t="shared" si="50"/>
        <v>1</v>
      </c>
      <c r="T98" s="243" t="str">
        <f t="shared" si="53"/>
        <v>NorthBound</v>
      </c>
      <c r="U98" s="24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9" t="str">
        <f t="shared" si="54"/>
        <v>https://d0f6bd738d7f1b3e5a7ca70fe4ff75f0.us-east-1.aws.found.io/app/kibana#/discover/Steve-Slow-Train-Analysis-(2080s-and-2083s)?_g=(refreshInterval:(display:Off,pause:!f,section:0,value:0),time:(from:'2017-11-29T12:43:12-0700',mode:absolute,to:'2017-11-29T15:36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8" s="248" t="str">
        <f>IF(AA98&lt;VLOOKUP(AG98,Variables!$AC$3:$AD$8,2,FALSE),"Y","N")</f>
        <v>N</v>
      </c>
      <c r="X98" s="248">
        <f t="shared" si="68"/>
        <v>1</v>
      </c>
      <c r="Y98" s="248">
        <f t="shared" si="66"/>
        <v>4.4900000000000002E-2</v>
      </c>
      <c r="Z98" s="248">
        <f t="shared" si="67"/>
        <v>23.327200000000001</v>
      </c>
      <c r="AA98" s="248">
        <f t="shared" si="55"/>
        <v>23.282300000000003</v>
      </c>
      <c r="AB98" s="234" t="e">
        <f>VLOOKUP(A98,Enforcements!$C$7:$K$9,8,0)</f>
        <v>#N/A</v>
      </c>
      <c r="AC98" s="233" t="e">
        <f>VLOOKUP(A98,Enforcements!$C$7:$E$9,3,0)</f>
        <v>#N/A</v>
      </c>
      <c r="AD98" s="244">
        <f t="shared" si="56"/>
        <v>183</v>
      </c>
      <c r="AE98" s="236" t="str">
        <f t="shared" si="57"/>
        <v>aws s3 cp s3://rtdc.mdm.uploadarchive.raw/RTDC4044/ "%USERPROFILE%\AppData\Local\Temp\OnboardLogs"\RTDC4044\2017-11-29 --exclude "*" --recursive --include "*20171129*" &amp; "%USERPROFILE%\Documents\GitHub\mrs-test-scripts\Headless Mode &amp; Sideloading\WalkAndUnGZ.bat" "%USERPROFILE%\AppData\Local\Temp\OnboardLogs"\RTDC4044\2017-11-29 &amp; aws s3 cp s3://rtdc.mdm.uploadarchive.raw/RTDC4044/ "%USERPROFILE%\AppData\Local\Temp\OnboardLogs"\RTDC4044\2017-11-30 --exclude "*" --recursive --include "*20171130*" &amp; "%USERPROFILE%\Documents\GitHub\mrs-test-scripts\Headless Mode &amp; Sideloading\WalkAndUnGZ.bat" "%USERPROFILE%\AppData\Local\Temp\OnboardLogs"\RTDC4044\2017-11-30</v>
      </c>
      <c r="AF98" s="235" t="str">
        <f t="shared" si="58"/>
        <v>"C:\Program Files (x86)\AstroGrep\AstroGrep.exe" /e /r /s /spath="%USERPROFILE%\AppData\Local\Temp\OnboardLogs" /stypes="app*4044*20171129*" /stext=" 21:.+((SYSTEM_STATE.+slice.+state.+changed )|(ment ac)|(multiple cpu faults)|(system.+state.+changed )|(\[timeout)|(PRM\|1\|D)|(kpr)|(kdp)|(train st.+moving)|(\|lc)|(penalty))"</v>
      </c>
      <c r="AG98" s="245" t="str">
        <f t="shared" si="59"/>
        <v>EC</v>
      </c>
      <c r="AH98" s="237" t="str">
        <f t="shared" si="60"/>
        <v>"%USERPROFILE%\Documents\GitHub\eaglep3\Utilities\RefineRTDCRunTimes.py" --tripid 183-29 --locoid 4044 --swversion DE.1.0.9.0 --startMP 204:449 --initTime 2017-11-29T13:43:12 --startdatetime 2017-11-29T14:00:27 --delay 134 --endMP 204:233272 --enddatetime 2017-11-29T14:36:42 --enforcementcount 0 &gt;&gt;%USERPROFILE%\Documents\GitHub\eaglep3-reporting\EC\2017-11-29-refined-times.txt</v>
      </c>
      <c r="AI98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{"issue":{"subject":"","project_id":79,"tracker_id":40,"status_id":1,"priority_id":2,"assigned_to_id":338,"start_date":"2017-11-29","description":"","custom_fields":[{"id":1,"name":"Subdivision","value":"EC"},{"id":4,"name":"Milepost","value":"23.3272"},{"id":17,"name":"Train ID","value":"183-29"},{"id":16,"name":"Locomotive ID","value":"4044"},{"id":130,"name":"Impact","value":""},{"id":150,"name":"Time of Event (Mountain Time)","value":"14:36:42"},{"id":151,"name":"Denver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4"/>
      <c r="AK98" s="232"/>
      <c r="AL98" s="232"/>
      <c r="AM98" s="241" t="str">
        <f t="shared" si="62"/>
        <v>start /low /b %USERPROFILE%\Documents\GitHub\eaglep3\Utilities\DownloadLogsFromS3.py --loco 4044 --day 2017-11-29</v>
      </c>
      <c r="AN98" s="242" t="str">
        <f t="shared" si="63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21:36:42"},{"id":29,"name":"Sharepoint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1" t="str">
        <f t="shared" si="64"/>
        <v>https://d0f6bd738d7f1b3e5a7ca70fe4ff75f0.us-east-1.aws.found.io/app/kibana#/discover/Steve-Slow-Train-Analysis-(2080s-and-2083s)?_g=(refreshInterval:(display:Off,pause:!f,section:0,value:0),time:(from:'2017-11-29T12:43:12-0700',mode:absolute,to:'2017-11-29T15:36:42-0700'))&amp;_a=(columns:!('Message%20ID',Summary),filters:!(),index:'emp_*',interval:auto,query:(query_string:(analyze_wildcard:!t,query:'%22rtdc.l.rtdc.4044%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230" t="s">
        <v>789</v>
      </c>
      <c r="B99" s="226">
        <v>4043</v>
      </c>
      <c r="C99" s="228" t="s">
        <v>192</v>
      </c>
      <c r="D99" s="228" t="s">
        <v>942</v>
      </c>
      <c r="E99" s="227">
        <v>43068.617511574077</v>
      </c>
      <c r="F99" s="227">
        <v>43068.623124999998</v>
      </c>
      <c r="G99" s="226">
        <v>76</v>
      </c>
      <c r="H99" s="228" t="s">
        <v>567</v>
      </c>
      <c r="I99" s="227">
        <v>43068.648622685185</v>
      </c>
      <c r="J99" s="226">
        <v>0</v>
      </c>
      <c r="K99" s="238" t="str">
        <f t="shared" si="51"/>
        <v>4043/4044</v>
      </c>
      <c r="L99" s="246" t="str">
        <f>VLOOKUP(A99,'Trips&amp;Operators'!$C$1:$G$99911,5,FALSE)</f>
        <v>DE LA ROSA ALEX</v>
      </c>
      <c r="M99" s="225">
        <f t="shared" si="52"/>
        <v>2.5497685186564922E-2</v>
      </c>
      <c r="N99" s="226">
        <f t="shared" si="65"/>
        <v>36.716666668653488</v>
      </c>
      <c r="O99" s="226"/>
      <c r="P99" s="226"/>
      <c r="Q99" s="229"/>
      <c r="R99" s="243"/>
      <c r="S99" s="250">
        <f t="shared" si="50"/>
        <v>1</v>
      </c>
      <c r="T99" s="243" t="str">
        <f t="shared" si="53"/>
        <v>Southbound</v>
      </c>
      <c r="U99" s="24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9" t="str">
        <f t="shared" si="54"/>
        <v>https://d0f6bd738d7f1b3e5a7ca70fe4ff75f0.us-east-1.aws.found.io/app/kibana#/discover/Steve-Slow-Train-Analysis-(2080s-and-2083s)?_g=(refreshInterval:(display:Off,pause:!f,section:0,value:0),time:(from:'2017-11-29T13:49:13-0700',mode:absolute,to:'2017-11-29T16:34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9" s="248" t="str">
        <f>IF(AA99&lt;VLOOKUP(AG99,Variables!$AC$3:$AD$8,2,FALSE),"Y","N")</f>
        <v>N</v>
      </c>
      <c r="X99" s="248">
        <f t="shared" si="68"/>
        <v>1</v>
      </c>
      <c r="Y99" s="248">
        <f t="shared" si="66"/>
        <v>23.2944</v>
      </c>
      <c r="Z99" s="248">
        <f t="shared" si="67"/>
        <v>0.02</v>
      </c>
      <c r="AA99" s="248">
        <f t="shared" si="55"/>
        <v>23.2744</v>
      </c>
      <c r="AB99" s="234" t="e">
        <f>VLOOKUP(A99,Enforcements!$C$7:$K$9,8,0)</f>
        <v>#N/A</v>
      </c>
      <c r="AC99" s="233" t="e">
        <f>VLOOKUP(A99,Enforcements!$C$7:$E$9,3,0)</f>
        <v>#N/A</v>
      </c>
      <c r="AD99" s="244">
        <f t="shared" si="56"/>
        <v>184</v>
      </c>
      <c r="AE99" s="236" t="str">
        <f t="shared" si="57"/>
        <v>aws s3 cp s3://rtdc.mdm.uploadarchive.raw/RTDC4043/ "%USERPROFILE%\AppData\Local\Temp\OnboardLogs"\RTDC4043\2017-11-29 --exclude "*" --recursive --include "*20171129*" &amp; "%USERPROFILE%\Documents\GitHub\mrs-test-scripts\Headless Mode &amp; Sideloading\WalkAndUnGZ.bat" "%USERPROFILE%\AppData\Local\Temp\OnboardLogs"\RTDC4043\2017-11-29 &amp; aws s3 cp s3://rtdc.mdm.uploadarchive.raw/RTDC4043/ "%USERPROFILE%\AppData\Local\Temp\OnboardLogs"\RTDC4043\2017-11-30 --exclude "*" --recursive --include "*20171130*" &amp; "%USERPROFILE%\Documents\GitHub\mrs-test-scripts\Headless Mode &amp; Sideloading\WalkAndUnGZ.bat" "%USERPROFILE%\AppData\Local\Temp\OnboardLogs"\RTDC4043\2017-11-30</v>
      </c>
      <c r="AF99" s="235" t="str">
        <f t="shared" si="58"/>
        <v>"C:\Program Files (x86)\AstroGrep\AstroGrep.exe" /e /r /s /spath="%USERPROFILE%\AppData\Local\Temp\OnboardLogs" /stypes="app*4043*20171129*" /stext=" 22:.+((SYSTEM_STATE.+slice.+state.+changed )|(ment ac)|(multiple cpu faults)|(system.+state.+changed )|(\[timeout)|(PRM\|1\|D)|(kpr)|(kdp)|(train st.+moving)|(\|lc)|(penalty))"</v>
      </c>
      <c r="AG99" s="245" t="str">
        <f t="shared" si="59"/>
        <v>EC</v>
      </c>
      <c r="AH99" s="237" t="str">
        <f t="shared" si="60"/>
        <v>"%USERPROFILE%\Documents\GitHub\eaglep3\Utilities\RefineRTDCRunTimes.py" --tripid 184-29 --locoid 4043 --swversion DE.1.0.9.0 --startMP 204:232944 --initTime 2017-11-29T14:49:13 --startdatetime 2017-11-29T14:57:18 --delay 76 --endMP 204:200 --enddatetime 2017-11-29T15:34:01 --enforcementcount 0 &gt;&gt;%USERPROFILE%\Documents\GitHub\eaglep3-reporting\EC\2017-11-29-refined-times.txt</v>
      </c>
      <c r="AI99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{"issue":{"subject":"","project_id":79,"tracker_id":40,"status_id":1,"priority_id":2,"assigned_to_id":338,"start_date":"2017-11-29","description":"","custom_fields":[{"id":1,"name":"Subdivision","value":"EC"},{"id":4,"name":"Milepost","value":"0.02"},{"id":17,"name":"Train ID","value":"184-29"},{"id":16,"name":"Locomotive ID","value":"4043"},{"id":130,"name":"Impact","value":""},{"id":150,"name":"Time of Event (Mountain Time)","value":"15:34:01"},{"id":151,"name":"Denver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4"/>
      <c r="AK99" s="232"/>
      <c r="AL99" s="232"/>
      <c r="AM99" s="241" t="str">
        <f t="shared" si="62"/>
        <v>start /low /b %USERPROFILE%\Documents\GitHub\eaglep3\Utilities\DownloadLogsFromS3.py --loco 4043 --day 2017-11-29</v>
      </c>
      <c r="AN99" s="242" t="str">
        <f t="shared" si="63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22:34:01"},{"id":29,"name":"Sharepoint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1" t="str">
        <f t="shared" si="64"/>
        <v>https://d0f6bd738d7f1b3e5a7ca70fe4ff75f0.us-east-1.aws.found.io/app/kibana#/discover/Steve-Slow-Train-Analysis-(2080s-and-2083s)?_g=(refreshInterval:(display:Off,pause:!f,section:0,value:0),time:(from:'2017-11-29T13:49:13-0700',mode:absolute,to:'2017-11-29T16:34:01-0700'))&amp;_a=(columns:!('Message%20ID',Summary),filters:!(),index:'emp_*',interval:auto,query:(query_string:(analyze_wildcard:!t,query:'%22rtdc.l.rtdc.4043%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230" t="s">
        <v>785</v>
      </c>
      <c r="B100" s="226">
        <v>4026</v>
      </c>
      <c r="C100" s="228" t="s">
        <v>192</v>
      </c>
      <c r="D100" s="228" t="s">
        <v>593</v>
      </c>
      <c r="E100" s="227">
        <v>43068.591851851852</v>
      </c>
      <c r="F100" s="227">
        <v>43068.594074074077</v>
      </c>
      <c r="G100" s="226">
        <v>57</v>
      </c>
      <c r="H100" s="228" t="s">
        <v>943</v>
      </c>
      <c r="I100" s="227">
        <v>43068.619490740741</v>
      </c>
      <c r="J100" s="226">
        <v>0</v>
      </c>
      <c r="K100" s="238" t="str">
        <f t="shared" si="51"/>
        <v>4025/4026</v>
      </c>
      <c r="L100" s="246" t="str">
        <f>VLOOKUP(A100,'Trips&amp;Operators'!$C$1:$G$99911,5,FALSE)</f>
        <v>DAVIS MICHAEL</v>
      </c>
      <c r="M100" s="225">
        <f t="shared" si="52"/>
        <v>2.5416666663659271E-2</v>
      </c>
      <c r="N100" s="226">
        <f t="shared" si="65"/>
        <v>36.59999999566935</v>
      </c>
      <c r="O100" s="226"/>
      <c r="P100" s="226"/>
      <c r="Q100" s="229"/>
      <c r="R100" s="243"/>
      <c r="S100" s="250">
        <f t="shared" si="50"/>
        <v>1</v>
      </c>
      <c r="T100" s="243" t="str">
        <f t="shared" si="53"/>
        <v>NorthBound</v>
      </c>
      <c r="U100" s="24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9" t="str">
        <f t="shared" si="54"/>
        <v>https://d0f6bd738d7f1b3e5a7ca70fe4ff75f0.us-east-1.aws.found.io/app/kibana#/discover/Steve-Slow-Train-Analysis-(2080s-and-2083s)?_g=(refreshInterval:(display:Off,pause:!f,section:0,value:0),time:(from:'2017-11-29T13:12:16-0700',mode:absolute,to:'2017-11-29T15:52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0" s="248" t="str">
        <f>IF(AA100&lt;VLOOKUP(AG100,Variables!$AC$3:$AD$8,2,FALSE),"Y","N")</f>
        <v>N</v>
      </c>
      <c r="X100" s="248">
        <f t="shared" si="68"/>
        <v>1</v>
      </c>
      <c r="Y100" s="248">
        <f t="shared" si="66"/>
        <v>5.1700000000000003E-2</v>
      </c>
      <c r="Z100" s="248">
        <f t="shared" si="67"/>
        <v>23.33</v>
      </c>
      <c r="AA100" s="248">
        <f t="shared" si="55"/>
        <v>23.278299999999998</v>
      </c>
      <c r="AB100" s="234" t="e">
        <f>VLOOKUP(A100,Enforcements!$C$7:$K$9,8,0)</f>
        <v>#N/A</v>
      </c>
      <c r="AC100" s="233" t="e">
        <f>VLOOKUP(A100,Enforcements!$C$7:$E$9,3,0)</f>
        <v>#N/A</v>
      </c>
      <c r="AD100" s="244">
        <f t="shared" si="56"/>
        <v>185</v>
      </c>
      <c r="AE100" s="236" t="str">
        <f t="shared" si="57"/>
        <v>aws s3 cp s3://rtdc.mdm.uploadarchive.raw/RTDC4026/ "%USERPROFILE%\AppData\Local\Temp\OnboardLogs"\RTDC4026\2017-11-29 --exclude "*" --recursive --include "*20171129*" &amp; "%USERPROFILE%\Documents\GitHub\mrs-test-scripts\Headless Mode &amp; Sideloading\WalkAndUnGZ.bat" "%USERPROFILE%\AppData\Local\Temp\OnboardLogs"\RTDC4026\2017-11-29 &amp; aws s3 cp s3://rtdc.mdm.uploadarchive.raw/RTDC4026/ "%USERPROFILE%\AppData\Local\Temp\OnboardLogs"\RTDC4026\2017-11-30 --exclude "*" --recursive --include "*20171130*" &amp; "%USERPROFILE%\Documents\GitHub\mrs-test-scripts\Headless Mode &amp; Sideloading\WalkAndUnGZ.bat" "%USERPROFILE%\AppData\Local\Temp\OnboardLogs"\RTDC4026\2017-11-30</v>
      </c>
      <c r="AF100" s="235" t="str">
        <f t="shared" si="58"/>
        <v>"C:\Program Files (x86)\AstroGrep\AstroGrep.exe" /e /r /s /spath="%USERPROFILE%\AppData\Local\Temp\OnboardLogs" /stypes="app*4026*20171129*" /stext=" 21:.+((SYSTEM_STATE.+slice.+state.+changed )|(ment ac)|(multiple cpu faults)|(system.+state.+changed )|(\[timeout)|(PRM\|1\|D)|(kpr)|(kdp)|(train st.+moving)|(\|lc)|(penalty))"</v>
      </c>
      <c r="AG100" s="245" t="str">
        <f t="shared" si="59"/>
        <v>EC</v>
      </c>
      <c r="AH100" s="237" t="str">
        <f t="shared" si="60"/>
        <v>"%USERPROFILE%\Documents\GitHub\eaglep3\Utilities\RefineRTDCRunTimes.py" --tripid 185-29 --locoid 4026 --swversion DE.1.0.9.0 --startMP 204:517 --initTime 2017-11-29T14:12:16 --startdatetime 2017-11-29T14:15:28 --delay 57 --endMP 204:233300 --enddatetime 2017-11-29T14:52:04 --enforcementcount 0 &gt;&gt;%USERPROFILE%\Documents\GitHub\eaglep3-reporting\EC\2017-11-29-refined-times.txt</v>
      </c>
      <c r="AI100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{"issue":{"subject":"","project_id":79,"tracker_id":40,"status_id":1,"priority_id":2,"assigned_to_id":338,"start_date":"2017-11-29","description":"","custom_fields":[{"id":1,"name":"Subdivision","value":"EC"},{"id":4,"name":"Milepost","value":"23.33"},{"id":17,"name":"Train ID","value":"185-29"},{"id":16,"name":"Locomotive ID","value":"4026"},{"id":130,"name":"Impact","value":""},{"id":150,"name":"Time of Event (Mountain Time)","value":"14:52:04"},{"id":151,"name":"Denver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4"/>
      <c r="AK100" s="232"/>
      <c r="AL100" s="232"/>
      <c r="AM100" s="241" t="str">
        <f t="shared" si="62"/>
        <v>start /low /b %USERPROFILE%\Documents\GitHub\eaglep3\Utilities\DownloadLogsFromS3.py --loco 4026 --day 2017-11-29</v>
      </c>
      <c r="AN100" s="242" t="str">
        <f t="shared" si="63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21:52:04"},{"id":29,"name":"Sharepoint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1" t="str">
        <f t="shared" si="64"/>
        <v>https://d0f6bd738d7f1b3e5a7ca70fe4ff75f0.us-east-1.aws.found.io/app/kibana#/discover/Steve-Slow-Train-Analysis-(2080s-and-2083s)?_g=(refreshInterval:(display:Off,pause:!f,section:0,value:0),time:(from:'2017-11-29T13:12:16-0700',mode:absolute,to:'2017-11-29T15:52:04-0700'))&amp;_a=(columns:!('Message%20ID',Summary),filters:!(),index:'emp_*',interval:auto,query:(query_string:(analyze_wildcard:!t,query:'%22rtdc.l.rtdc.4026%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230" t="s">
        <v>793</v>
      </c>
      <c r="B101" s="226">
        <v>4025</v>
      </c>
      <c r="C101" s="228" t="s">
        <v>192</v>
      </c>
      <c r="D101" s="228" t="s">
        <v>940</v>
      </c>
      <c r="E101" s="227">
        <v>43068.631261574075</v>
      </c>
      <c r="F101" s="227">
        <v>43068.650509259256</v>
      </c>
      <c r="G101" s="226">
        <v>61</v>
      </c>
      <c r="H101" s="228" t="s">
        <v>578</v>
      </c>
      <c r="I101" s="227">
        <v>43068.668240740742</v>
      </c>
      <c r="J101" s="226">
        <v>0</v>
      </c>
      <c r="K101" s="238" t="str">
        <f t="shared" si="51"/>
        <v>4025/4026</v>
      </c>
      <c r="L101" s="246" t="str">
        <f>VLOOKUP(A101,'Trips&amp;Operators'!$C$1:$G$99911,5,FALSE)</f>
        <v>DAVIS MICHAEL</v>
      </c>
      <c r="M101" s="225">
        <f t="shared" si="52"/>
        <v>1.7731481486407574E-2</v>
      </c>
      <c r="N101" s="226"/>
      <c r="O101" s="226"/>
      <c r="P101" s="226"/>
      <c r="Q101" s="229"/>
      <c r="R101" s="243"/>
      <c r="S101" s="250"/>
      <c r="T101" s="243" t="str">
        <f t="shared" si="53"/>
        <v>Southbound</v>
      </c>
      <c r="U101" s="24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0</v>
      </c>
      <c r="V101" s="249" t="str">
        <f t="shared" si="54"/>
        <v>https://d0f6bd738d7f1b3e5a7ca70fe4ff75f0.us-east-1.aws.found.io/app/kibana#/discover/Steve-Slow-Train-Analysis-(2080s-and-2083s)?_g=(refreshInterval:(display:Off,pause:!f,section:0,value:0),time:(from:'2017-11-29T14:09:01-0700',mode:absolute,to:'2017-11-29T17:02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1" s="248" t="str">
        <f>IF(AA101&lt;VLOOKUP(AG101,Variables!$AC$3:$AD$8,2,FALSE),"Y","N")</f>
        <v>Y</v>
      </c>
      <c r="X101" s="248">
        <f t="shared" si="68"/>
        <v>1</v>
      </c>
      <c r="Y101" s="248">
        <f t="shared" si="66"/>
        <v>23.298100000000002</v>
      </c>
      <c r="Z101" s="248">
        <f t="shared" si="67"/>
        <v>23.2989</v>
      </c>
      <c r="AA101" s="248">
        <f t="shared" si="55"/>
        <v>7.9999999999813554E-4</v>
      </c>
      <c r="AB101" s="234" t="e">
        <f>VLOOKUP(A101,Enforcements!$C$7:$K$9,8,0)</f>
        <v>#N/A</v>
      </c>
      <c r="AC101" s="233" t="e">
        <f>VLOOKUP(A101,Enforcements!$C$7:$E$9,3,0)</f>
        <v>#N/A</v>
      </c>
      <c r="AD101" s="244">
        <f t="shared" si="56"/>
        <v>186</v>
      </c>
      <c r="AE101" s="236" t="str">
        <f t="shared" si="57"/>
        <v>aws s3 cp s3://rtdc.mdm.uploadarchive.raw/RTDC4025/ "%USERPROFILE%\AppData\Local\Temp\OnboardLogs"\RTDC4025\2017-11-29 --exclude "*" --recursive --include "*20171129*" &amp; "%USERPROFILE%\Documents\GitHub\mrs-test-scripts\Headless Mode &amp; Sideloading\WalkAndUnGZ.bat" "%USERPROFILE%\AppData\Local\Temp\OnboardLogs"\RTDC4025\2017-11-29 &amp; aws s3 cp s3://rtdc.mdm.uploadarchive.raw/RTDC4025/ "%USERPROFILE%\AppData\Local\Temp\OnboardLogs"\RTDC4025\2017-11-30 --exclude "*" --recursive --include "*20171130*" &amp; "%USERPROFILE%\Documents\GitHub\mrs-test-scripts\Headless Mode &amp; Sideloading\WalkAndUnGZ.bat" "%USERPROFILE%\AppData\Local\Temp\OnboardLogs"\RTDC4025\2017-11-30</v>
      </c>
      <c r="AF101" s="235" t="str">
        <f t="shared" si="58"/>
        <v>"C:\Program Files (x86)\AstroGrep\AstroGrep.exe" /e /r /s /spath="%USERPROFILE%\AppData\Local\Temp\OnboardLogs" /stypes="app*4025*20171129*" /stext=" 23:.+((SYSTEM_STATE.+slice.+state.+changed )|(ment ac)|(multiple cpu faults)|(system.+state.+changed )|(\[timeout)|(PRM\|1\|D)|(kpr)|(kdp)|(train st.+moving)|(\|lc)|(penalty))"</v>
      </c>
      <c r="AG101" s="245" t="str">
        <f t="shared" si="59"/>
        <v>EC</v>
      </c>
      <c r="AH101" s="237" t="str">
        <f t="shared" si="60"/>
        <v>"%USERPROFILE%\Documents\GitHub\eaglep3\Utilities\RefineRTDCRunTimes.py" --tripid 186-29 --locoid 4025 --swversion DE.1.0.9.0 --startMP 204:232981 --initTime 2017-11-29T15:09:01 --startdatetime 2017-11-29T15:36:44 --delay 61 --endMP 204:232989 --enddatetime 2017-11-29T16:02:16 --enforcementcount 0 &gt;&gt;%USERPROFILE%\Documents\GitHub\eaglep3-reporting\EC\2017-11-29-refined-times.txt</v>
      </c>
      <c r="AI101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{"issue":{"subject":"","project_id":79,"tracker_id":40,"status_id":1,"priority_id":2,"assigned_to_id":338,"start_date":"2017-11-29","description":"","custom_fields":[{"id":1,"name":"Subdivision","value":"EC"},{"id":4,"name":"Milepost","value":"23.2989"},{"id":17,"name":"Train ID","value":"186-29"},{"id":16,"name":"Locomotive ID","value":"4025"},{"id":130,"name":"Impact","value":""},{"id":150,"name":"Time of Event (Mountain Time)","value":"16:02:16"},{"id":151,"name":"Denver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4"/>
      <c r="AK101" s="232"/>
      <c r="AL101" s="232"/>
      <c r="AM101" s="241" t="str">
        <f t="shared" si="62"/>
        <v>start /low /b %USERPROFILE%\Documents\GitHub\eaglep3\Utilities\DownloadLogsFromS3.py --loco 4025 --day 2017-11-29</v>
      </c>
      <c r="AN101" s="242" t="str">
        <f t="shared" si="63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23:02:16"},{"id":29,"name":"Sharepoint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1" t="str">
        <f t="shared" si="64"/>
        <v>https://d0f6bd738d7f1b3e5a7ca70fe4ff75f0.us-east-1.aws.found.io/app/kibana#/discover/Steve-Slow-Train-Analysis-(2080s-and-2083s)?_g=(refreshInterval:(display:Off,pause:!f,section:0,value:0),time:(from:'2017-11-29T14:09:01-0700',mode:absolute,to:'2017-11-29T17:02:16-0700'))&amp;_a=(columns:!('Message%20ID',Summary),filters:!(),index:'emp_*',interval:auto,query:(query_string:(analyze_wildcard:!t,query:'%22rtdc.l.rtdc.4025%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25">
      <c r="A102" s="230" t="s">
        <v>793</v>
      </c>
      <c r="B102" s="226">
        <v>4025</v>
      </c>
      <c r="C102" s="228" t="s">
        <v>192</v>
      </c>
      <c r="D102" s="228" t="s">
        <v>944</v>
      </c>
      <c r="E102" s="227">
        <v>43068.647592592592</v>
      </c>
      <c r="F102" s="227">
        <v>43068.650509259256</v>
      </c>
      <c r="G102" s="226">
        <v>124</v>
      </c>
      <c r="H102" s="228" t="s">
        <v>945</v>
      </c>
      <c r="I102" s="227">
        <v>43068.668240740742</v>
      </c>
      <c r="J102" s="226">
        <v>0</v>
      </c>
      <c r="K102" s="238" t="str">
        <f t="shared" si="51"/>
        <v>4025/4026</v>
      </c>
      <c r="L102" s="246" t="str">
        <f>VLOOKUP(A102,'Trips&amp;Operators'!$C$1:$G$99911,5,FALSE)</f>
        <v>DAVIS MICHAEL</v>
      </c>
      <c r="M102" s="225">
        <f t="shared" si="52"/>
        <v>1.7731481486407574E-2</v>
      </c>
      <c r="N102" s="226"/>
      <c r="O102" s="226"/>
      <c r="P102" s="226">
        <f>24*60*SUM($M102:$M102)</f>
        <v>25.533333340426907</v>
      </c>
      <c r="Q102" s="229"/>
      <c r="R102" s="243" t="s">
        <v>1128</v>
      </c>
      <c r="S102" s="250">
        <f>1/IF(AG102="EC",12,1)*SUM(U102:U102)</f>
        <v>1</v>
      </c>
      <c r="T102" s="243" t="str">
        <f t="shared" si="53"/>
        <v>Southbound</v>
      </c>
      <c r="U102" s="24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9" t="str">
        <f t="shared" si="54"/>
        <v>https://d0f6bd738d7f1b3e5a7ca70fe4ff75f0.us-east-1.aws.found.io/app/kibana#/discover/Steve-Slow-Train-Analysis-(2080s-and-2083s)?_g=(refreshInterval:(display:Off,pause:!f,section:0,value:0),time:(from:'2017-11-29T14:32:32-0700',mode:absolute,to:'2017-11-29T17:02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2" s="248" t="str">
        <f>IF(AA102&lt;VLOOKUP(AG102,Variables!$AC$3:$AD$8,2,FALSE),"Y","N")</f>
        <v>Y</v>
      </c>
      <c r="X102" s="248">
        <f t="shared" si="68"/>
        <v>0</v>
      </c>
      <c r="Y102" s="248">
        <f t="shared" si="66"/>
        <v>12.786899999999999</v>
      </c>
      <c r="Z102" s="248">
        <f t="shared" si="67"/>
        <v>0.19120000000000001</v>
      </c>
      <c r="AA102" s="248">
        <f t="shared" si="55"/>
        <v>12.595699999999999</v>
      </c>
      <c r="AB102" s="234" t="e">
        <f>VLOOKUP(A102,Enforcements!$C$7:$K$9,8,0)</f>
        <v>#N/A</v>
      </c>
      <c r="AC102" s="233" t="e">
        <f>VLOOKUP(A102,Enforcements!$C$7:$E$9,3,0)</f>
        <v>#N/A</v>
      </c>
      <c r="AD102" s="244">
        <f t="shared" si="56"/>
        <v>186</v>
      </c>
      <c r="AE102" s="236" t="str">
        <f t="shared" si="57"/>
        <v>aws s3 cp s3://rtdc.mdm.uploadarchive.raw/RTDC4025/ "%USERPROFILE%\AppData\Local\Temp\OnboardLogs"\RTDC4025\2017-11-29 --exclude "*" --recursive --include "*20171129*" &amp; "%USERPROFILE%\Documents\GitHub\mrs-test-scripts\Headless Mode &amp; Sideloading\WalkAndUnGZ.bat" "%USERPROFILE%\AppData\Local\Temp\OnboardLogs"\RTDC4025\2017-11-29 &amp; aws s3 cp s3://rtdc.mdm.uploadarchive.raw/RTDC4025/ "%USERPROFILE%\AppData\Local\Temp\OnboardLogs"\RTDC4025\2017-11-30 --exclude "*" --recursive --include "*20171130*" &amp; "%USERPROFILE%\Documents\GitHub\mrs-test-scripts\Headless Mode &amp; Sideloading\WalkAndUnGZ.bat" "%USERPROFILE%\AppData\Local\Temp\OnboardLogs"\RTDC4025\2017-11-30</v>
      </c>
      <c r="AF102" s="235" t="str">
        <f t="shared" si="58"/>
        <v>"C:\Program Files (x86)\AstroGrep\AstroGrep.exe" /e /r /s /spath="%USERPROFILE%\AppData\Local\Temp\OnboardLogs" /stypes="app*4025*20171129*" /stext=" 23:.+((SYSTEM_STATE.+slice.+state.+changed )|(ment ac)|(multiple cpu faults)|(system.+state.+changed )|(\[timeout)|(PRM\|1\|D)|(kpr)|(kdp)|(train st.+moving)|(\|lc)|(penalty))"</v>
      </c>
      <c r="AG102" s="245" t="str">
        <f t="shared" si="59"/>
        <v>EC</v>
      </c>
      <c r="AH102" s="237" t="str">
        <f t="shared" si="60"/>
        <v>"%USERPROFILE%\Documents\GitHub\eaglep3\Utilities\RefineRTDCRunTimes.py" --tripid 186-29 --locoid 4025 --swversion DE.1.0.9.0 --startMP 204:127869 --initTime 2017-11-29T15:32:32 --startdatetime 2017-11-29T15:36:44 --delay 124 --endMP 204:1912 --enddatetime 2017-11-29T16:02:16 --enforcementcount 0 &gt;&gt;%USERPROFILE%\Documents\GitHub\eaglep3-reporting\EC\2017-11-29-refined-times.txt</v>
      </c>
      <c r="AI102" s="239" t="str">
        <f t="shared" si="61"/>
        <v>echo {"issue":{"subject":"Onboard in-route failure","project_id":79,"tracker_id":40,"status_id":1,"priority_id":2,"assigned_to_id":338,"start_date":"2017-11-29","description":"","custom_fields":[{"id":1,"name":"Subdivision","value":"EC"},{"id":4,"name":"Milepost","value":"0.1912"},{"id":17,"name":"Train ID","value":"186-29"},{"id":16,"name":"Locomotive ID","value":"4025"},{"id":130,"name":"Impact","value":""},{"id":150,"name":"Time of Event (Mountain Time)","value":"16:02:16"},{"id":151,"name":"Denver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4"/>
      <c r="AK102" s="232"/>
      <c r="AL102" s="232"/>
      <c r="AM102" s="241" t="str">
        <f t="shared" si="62"/>
        <v>start /low /b %USERPROFILE%\Documents\GitHub\eaglep3\Utilities\DownloadLogsFromS3.py --loco 4025 --day 2017-11-29</v>
      </c>
      <c r="AN102" s="242" t="str">
        <f t="shared" si="63"/>
        <v>echo {"issue":{"subject":"Onboard in-route failure","project_id":30,"tracker_id":4,"status_id":1,"priority_id":1,"assigned_to_id":10,"start_date":"2017-11-29","description":"","custom_fields":[{"id":30,"name":"Category","value":"Issue"},{"id":3,"name":"Functional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23:02:16"},{"id":29,"name":"Sharepoint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1" t="str">
        <f t="shared" si="64"/>
        <v>https://d0f6bd738d7f1b3e5a7ca70fe4ff75f0.us-east-1.aws.found.io/app/kibana#/discover/Steve-Slow-Train-Analysis-(2080s-and-2083s)?_g=(refreshInterval:(display:Off,pause:!f,section:0,value:0),time:(from:'2017-11-29T14:32:32-0700',mode:absolute,to:'2017-11-29T17:02:16-0700'))&amp;_a=(columns:!('Message%20ID',Summary),filters:!(),index:'emp_*',interval:auto,query:(query_string:(analyze_wildcard:!t,query:'%22rtdc.l.rtdc.4025%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25">
      <c r="A103" s="230" t="s">
        <v>645</v>
      </c>
      <c r="B103" s="226">
        <v>4020</v>
      </c>
      <c r="C103" s="228" t="s">
        <v>192</v>
      </c>
      <c r="D103" s="228" t="s">
        <v>941</v>
      </c>
      <c r="E103" s="227">
        <v>43068.598032407404</v>
      </c>
      <c r="F103" s="227">
        <v>43068.604363425926</v>
      </c>
      <c r="G103" s="226">
        <v>58</v>
      </c>
      <c r="H103" s="228" t="s">
        <v>515</v>
      </c>
      <c r="I103" s="227">
        <v>43068.629108796296</v>
      </c>
      <c r="J103" s="226">
        <v>0</v>
      </c>
      <c r="K103" s="238" t="str">
        <f t="shared" si="51"/>
        <v>4019/4020</v>
      </c>
      <c r="L103" s="246" t="str">
        <f>VLOOKUP(A103,'Trips&amp;Operators'!$C$1:$G$99911,5,FALSE)</f>
        <v>HOLCOMB KAMDEN</v>
      </c>
      <c r="M103" s="225">
        <f t="shared" si="52"/>
        <v>2.47453703705105E-2</v>
      </c>
      <c r="N103" s="226">
        <f>24*60*SUM($M103:$M103)</f>
        <v>35.63333333353512</v>
      </c>
      <c r="O103" s="226"/>
      <c r="P103" s="226"/>
      <c r="Q103" s="229"/>
      <c r="R103" s="243"/>
      <c r="S103" s="250">
        <f>1/IF(AG103="EC",12,1)*SUM(U103:U103)</f>
        <v>1</v>
      </c>
      <c r="T103" s="243" t="str">
        <f t="shared" si="53"/>
        <v>NorthBound</v>
      </c>
      <c r="U103" s="24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9" t="str">
        <f t="shared" si="54"/>
        <v>https://d0f6bd738d7f1b3e5a7ca70fe4ff75f0.us-east-1.aws.found.io/app/kibana#/discover/Steve-Slow-Train-Analysis-(2080s-and-2083s)?_g=(refreshInterval:(display:Off,pause:!f,section:0,value:0),time:(from:'2017-11-29T13:21:10-0700',mode:absolute,to:'2017-11-29T16:05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3" s="248" t="str">
        <f>IF(AA103&lt;VLOOKUP(AG103,Variables!$AC$3:$AD$8,2,FALSE),"Y","N")</f>
        <v>N</v>
      </c>
      <c r="X103" s="248">
        <f t="shared" si="68"/>
        <v>1</v>
      </c>
      <c r="Y103" s="248">
        <f t="shared" si="66"/>
        <v>4.4900000000000002E-2</v>
      </c>
      <c r="Z103" s="248">
        <f t="shared" si="67"/>
        <v>23.327200000000001</v>
      </c>
      <c r="AA103" s="248">
        <f t="shared" si="55"/>
        <v>23.282300000000003</v>
      </c>
      <c r="AB103" s="234" t="e">
        <f>VLOOKUP(A103,Enforcements!$C$7:$K$9,8,0)</f>
        <v>#N/A</v>
      </c>
      <c r="AC103" s="233" t="e">
        <f>VLOOKUP(A103,Enforcements!$C$7:$E$9,3,0)</f>
        <v>#N/A</v>
      </c>
      <c r="AD103" s="244">
        <f t="shared" si="56"/>
        <v>187</v>
      </c>
      <c r="AE103" s="236" t="str">
        <f t="shared" si="57"/>
        <v>aws s3 cp s3://rtdc.mdm.uploadarchive.raw/RTDC4020/ "%USERPROFILE%\AppData\Local\Temp\OnboardLogs"\RTDC4020\2017-11-29 --exclude "*" --recursive --include "*20171129*" &amp; "%USERPROFILE%\Documents\GitHub\mrs-test-scripts\Headless Mode &amp; Sideloading\WalkAndUnGZ.bat" "%USERPROFILE%\AppData\Local\Temp\OnboardLogs"\RTDC4020\2017-11-29 &amp; aws s3 cp s3://rtdc.mdm.uploadarchive.raw/RTDC4020/ "%USERPROFILE%\AppData\Local\Temp\OnboardLogs"\RTDC4020\2017-11-30 --exclude "*" --recursive --include "*20171130*" &amp; "%USERPROFILE%\Documents\GitHub\mrs-test-scripts\Headless Mode &amp; Sideloading\WalkAndUnGZ.bat" "%USERPROFILE%\AppData\Local\Temp\OnboardLogs"\RTDC4020\2017-11-30</v>
      </c>
      <c r="AF103" s="235" t="str">
        <f t="shared" si="58"/>
        <v>"C:\Program Files (x86)\AstroGrep\AstroGrep.exe" /e /r /s /spath="%USERPROFILE%\AppData\Local\Temp\OnboardLogs" /stypes="app*4020*20171129*" /stext=" 22:.+((SYSTEM_STATE.+slice.+state.+changed )|(ment ac)|(multiple cpu faults)|(system.+state.+changed )|(\[timeout)|(PRM\|1\|D)|(kpr)|(kdp)|(train st.+moving)|(\|lc)|(penalty))"</v>
      </c>
      <c r="AG103" s="245" t="str">
        <f t="shared" si="59"/>
        <v>EC</v>
      </c>
      <c r="AH103" s="237" t="str">
        <f t="shared" si="60"/>
        <v>"%USERPROFILE%\Documents\GitHub\eaglep3\Utilities\RefineRTDCRunTimes.py" --tripid 187-29 --locoid 4020 --swversion DE.1.0.9.0 --startMP 204:449 --initTime 2017-11-29T14:21:10 --startdatetime 2017-11-29T14:30:17 --delay 58 --endMP 204:233272 --enddatetime 2017-11-29T15:05:55 --enforcementcount 0 &gt;&gt;%USERPROFILE%\Documents\GitHub\eaglep3-reporting\EC\2017-11-29-refined-times.txt</v>
      </c>
      <c r="AI103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{"issue":{"subject":"","project_id":79,"tracker_id":40,"status_id":1,"priority_id":2,"assigned_to_id":338,"start_date":"2017-11-29","description":"","custom_fields":[{"id":1,"name":"Subdivision","value":"EC"},{"id":4,"name":"Milepost","value":"23.3272"},{"id":17,"name":"Train ID","value":"187-29"},{"id":16,"name":"Locomotive ID","value":"4020"},{"id":130,"name":"Impact","value":""},{"id":150,"name":"Time of Event (Mountain Time)","value":"15:05:55"},{"id":151,"name":"Denver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4"/>
      <c r="AK103" s="232"/>
      <c r="AL103" s="232"/>
      <c r="AM103" s="241" t="str">
        <f t="shared" si="62"/>
        <v>start /low /b %USERPROFILE%\Documents\GitHub\eaglep3\Utilities\DownloadLogsFromS3.py --loco 4020 --day 2017-11-29</v>
      </c>
      <c r="AN103" s="242" t="str">
        <f t="shared" si="63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22:05:55"},{"id":29,"name":"Sharepoint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1" t="str">
        <f t="shared" si="64"/>
        <v>https://d0f6bd738d7f1b3e5a7ca70fe4ff75f0.us-east-1.aws.found.io/app/kibana#/discover/Steve-Slow-Train-Analysis-(2080s-and-2083s)?_g=(refreshInterval:(display:Off,pause:!f,section:0,value:0),time:(from:'2017-11-29T13:21:10-0700',mode:absolute,to:'2017-11-29T16:05:55-0700'))&amp;_a=(columns:!('Message%20ID',Summary),filters:!(),index:'emp_*',interval:auto,query:(query_string:(analyze_wildcard:!t,query:'%22rtdc.l.rtdc.4020%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1" customFormat="1" x14ac:dyDescent="0.25">
      <c r="A104" s="230" t="s">
        <v>646</v>
      </c>
      <c r="B104" s="226">
        <v>4019</v>
      </c>
      <c r="C104" s="228" t="s">
        <v>192</v>
      </c>
      <c r="D104" s="228" t="s">
        <v>877</v>
      </c>
      <c r="E104" s="227">
        <v>43068.638055555559</v>
      </c>
      <c r="F104" s="227">
        <v>43068.643969907411</v>
      </c>
      <c r="G104" s="226">
        <v>58</v>
      </c>
      <c r="H104" s="228" t="s">
        <v>457</v>
      </c>
      <c r="I104" s="227">
        <v>43068.672534722224</v>
      </c>
      <c r="J104" s="226">
        <v>0</v>
      </c>
      <c r="K104" s="238" t="str">
        <f t="shared" si="51"/>
        <v>4019/4020</v>
      </c>
      <c r="L104" s="246" t="str">
        <f>VLOOKUP(A104,'Trips&amp;Operators'!$C$1:$G$99911,5,FALSE)</f>
        <v>HOLCOMB KAMDEN</v>
      </c>
      <c r="M104" s="225">
        <f t="shared" si="52"/>
        <v>2.8564814812853001E-2</v>
      </c>
      <c r="N104" s="226">
        <f>24*60*SUM($M104:$M104)</f>
        <v>41.133333330508322</v>
      </c>
      <c r="O104" s="226"/>
      <c r="P104" s="226"/>
      <c r="Q104" s="229"/>
      <c r="R104" s="243"/>
      <c r="S104" s="250">
        <f>1/IF(AG104="EC",12,1)*SUM(U104:U104)</f>
        <v>1</v>
      </c>
      <c r="T104" s="243" t="str">
        <f t="shared" si="53"/>
        <v>Southbound</v>
      </c>
      <c r="U104" s="24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9" t="str">
        <f t="shared" si="54"/>
        <v>https://d0f6bd738d7f1b3e5a7ca70fe4ff75f0.us-east-1.aws.found.io/app/kibana#/discover/Steve-Slow-Train-Analysis-(2080s-and-2083s)?_g=(refreshInterval:(display:Off,pause:!f,section:0,value:0),time:(from:'2017-11-29T14:18:48-0700',mode:absolute,to:'2017-11-29T17:08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4" s="248" t="str">
        <f>IF(AA104&lt;VLOOKUP(AG104,Variables!$AC$3:$AD$8,2,FALSE),"Y","N")</f>
        <v>N</v>
      </c>
      <c r="X104" s="248">
        <f t="shared" si="68"/>
        <v>1</v>
      </c>
      <c r="Y104" s="248">
        <f t="shared" si="66"/>
        <v>23.295300000000001</v>
      </c>
      <c r="Z104" s="248">
        <f t="shared" si="67"/>
        <v>2.0500000000000001E-2</v>
      </c>
      <c r="AA104" s="248">
        <f t="shared" si="55"/>
        <v>23.274800000000003</v>
      </c>
      <c r="AB104" s="234" t="str">
        <f>VLOOKUP(A104,Enforcements!$C$7:$K$9,8,0)</f>
        <v>Bulletin (2)</v>
      </c>
      <c r="AC104" s="233" t="str">
        <f>VLOOKUP(A104,Enforcements!$C$7:$E$9,3,0)</f>
        <v>GRADE CROSSING</v>
      </c>
      <c r="AD104" s="244">
        <f t="shared" si="56"/>
        <v>188</v>
      </c>
      <c r="AE104" s="236" t="str">
        <f t="shared" si="57"/>
        <v>aws s3 cp s3://rtdc.mdm.uploadarchive.raw/RTDC4019/ "%USERPROFILE%\AppData\Local\Temp\OnboardLogs"\RTDC4019\2017-11-29 --exclude "*" --recursive --include "*20171129*" &amp; "%USERPROFILE%\Documents\GitHub\mrs-test-scripts\Headless Mode &amp; Sideloading\WalkAndUnGZ.bat" "%USERPROFILE%\AppData\Local\Temp\OnboardLogs"\RTDC4019\2017-11-29 &amp; aws s3 cp s3://rtdc.mdm.uploadarchive.raw/RTDC4019/ "%USERPROFILE%\AppData\Local\Temp\OnboardLogs"\RTDC4019\2017-11-30 --exclude "*" --recursive --include "*20171130*" &amp; "%USERPROFILE%\Documents\GitHub\mrs-test-scripts\Headless Mode &amp; Sideloading\WalkAndUnGZ.bat" "%USERPROFILE%\AppData\Local\Temp\OnboardLogs"\RTDC4019\2017-11-30</v>
      </c>
      <c r="AF104" s="235" t="str">
        <f t="shared" si="58"/>
        <v>"C:\Program Files (x86)\AstroGrep\AstroGrep.exe" /e /r /s /spath="%USERPROFILE%\AppData\Local\Temp\OnboardLogs" /stypes="app*4019*20171129*" /stext=" 23:.+((SYSTEM_STATE.+slice.+state.+changed )|(ment ac)|(multiple cpu faults)|(system.+state.+changed )|(\[timeout)|(PRM\|1\|D)|(kpr)|(kdp)|(train st.+moving)|(\|lc)|(penalty))"</v>
      </c>
      <c r="AG104" s="245" t="str">
        <f t="shared" si="59"/>
        <v>EC</v>
      </c>
      <c r="AH104" s="237" t="str">
        <f t="shared" si="60"/>
        <v>"%USERPROFILE%\Documents\GitHub\eaglep3\Utilities\RefineRTDCRunTimes.py" --tripid 188-29 --locoid 4019 --swversion DE.1.0.9.0 --startMP 204:232953 --initTime 2017-11-29T15:18:48 --startdatetime 2017-11-29T15:27:19 --delay 58 --endMP 204:205 --enddatetime 2017-11-29T16:08:27 --enforcementcount 0 &gt;&gt;%USERPROFILE%\Documents\GitHub\eaglep3-reporting\EC\2017-11-29-refined-times.txt</v>
      </c>
      <c r="AI104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{"issue":{"subject":"","project_id":79,"tracker_id":40,"status_id":1,"priority_id":2,"assigned_to_id":338,"start_date":"2017-11-29","description":"","custom_fields":[{"id":1,"name":"Subdivision","value":"EC"},{"id":4,"name":"Milepost","value":"0.0205"},{"id":17,"name":"Train ID","value":"188-29"},{"id":16,"name":"Locomotive ID","value":"4019"},{"id":130,"name":"Impact","value":""},{"id":150,"name":"Time of Event (Mountain Time)","value":"16:08:27"},{"id":151,"name":"Denver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4"/>
      <c r="AK104" s="232"/>
      <c r="AL104" s="232"/>
      <c r="AM104" s="241" t="str">
        <f t="shared" si="62"/>
        <v>start /low /b %USERPROFILE%\Documents\GitHub\eaglep3\Utilities\DownloadLogsFromS3.py --loco 4019 --day 2017-11-29</v>
      </c>
      <c r="AN104" s="242" t="str">
        <f t="shared" si="63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23:08:27"},{"id":29,"name":"Sharepoint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1" t="str">
        <f t="shared" si="64"/>
        <v>https://d0f6bd738d7f1b3e5a7ca70fe4ff75f0.us-east-1.aws.found.io/app/kibana#/discover/Steve-Slow-Train-Analysis-(2080s-and-2083s)?_g=(refreshInterval:(display:Off,pause:!f,section:0,value:0),time:(from:'2017-11-29T14:18:48-0700',mode:absolute,to:'2017-11-29T17:08:27-0700'))&amp;_a=(columns:!('Message%20ID',Summary),filters:!(),index:'emp_*',interval:auto,query:(query_string:(analyze_wildcard:!t,query:'%22rtdc.l.rtdc.4019%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1" customFormat="1" x14ac:dyDescent="0.25">
      <c r="A105" s="230" t="s">
        <v>788</v>
      </c>
      <c r="B105" s="226">
        <v>4002</v>
      </c>
      <c r="C105" s="228" t="s">
        <v>192</v>
      </c>
      <c r="D105" s="228" t="s">
        <v>586</v>
      </c>
      <c r="E105" s="227">
        <v>43068.611192129632</v>
      </c>
      <c r="F105" s="227">
        <v>43068.614768518521</v>
      </c>
      <c r="G105" s="226">
        <v>61</v>
      </c>
      <c r="H105" s="228" t="s">
        <v>576</v>
      </c>
      <c r="I105" s="227">
        <v>43068.641747685186</v>
      </c>
      <c r="J105" s="226">
        <v>0</v>
      </c>
      <c r="K105" s="238" t="str">
        <f t="shared" si="51"/>
        <v>4001/4002</v>
      </c>
      <c r="L105" s="246" t="str">
        <f>VLOOKUP(A105,'Trips&amp;Operators'!$C$1:$G$99911,5,FALSE)</f>
        <v>BRUDER RICHARD</v>
      </c>
      <c r="M105" s="225">
        <f t="shared" si="52"/>
        <v>2.6979166665114462E-2</v>
      </c>
      <c r="N105" s="226">
        <f>24*60*SUM($M105:$M105)</f>
        <v>38.849999997764826</v>
      </c>
      <c r="O105" s="226"/>
      <c r="P105" s="226"/>
      <c r="Q105" s="229"/>
      <c r="R105" s="243"/>
      <c r="S105" s="250">
        <f>1/IF(AG105="EC",12,1)*SUM(U105:U105)</f>
        <v>1</v>
      </c>
      <c r="T105" s="243" t="str">
        <f t="shared" si="53"/>
        <v>NorthBound</v>
      </c>
      <c r="U105" s="24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9" t="str">
        <f t="shared" si="54"/>
        <v>https://d0f6bd738d7f1b3e5a7ca70fe4ff75f0.us-east-1.aws.found.io/app/kibana#/discover/Steve-Slow-Train-Analysis-(2080s-and-2083s)?_g=(refreshInterval:(display:Off,pause:!f,section:0,value:0),time:(from:'2017-11-29T13:40:07-0700',mode:absolute,to:'2017-11-29T16:24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5" s="248" t="str">
        <f>IF(AA105&lt;VLOOKUP(AG105,Variables!$AC$3:$AD$8,2,FALSE),"Y","N")</f>
        <v>N</v>
      </c>
      <c r="X105" s="248">
        <f t="shared" si="68"/>
        <v>1</v>
      </c>
      <c r="Y105" s="248">
        <f t="shared" si="66"/>
        <v>5.6599999999999998E-2</v>
      </c>
      <c r="Z105" s="248">
        <f t="shared" si="67"/>
        <v>23.3215</v>
      </c>
      <c r="AA105" s="248">
        <f t="shared" si="55"/>
        <v>23.264900000000001</v>
      </c>
      <c r="AB105" s="234" t="e">
        <f>VLOOKUP(A105,Enforcements!$C$7:$K$9,8,0)</f>
        <v>#N/A</v>
      </c>
      <c r="AC105" s="233" t="e">
        <f>VLOOKUP(A105,Enforcements!$C$7:$E$9,3,0)</f>
        <v>#N/A</v>
      </c>
      <c r="AD105" s="244">
        <f t="shared" si="56"/>
        <v>189</v>
      </c>
      <c r="AE105" s="236" t="str">
        <f t="shared" si="57"/>
        <v>aws s3 cp s3://rtdc.mdm.uploadarchive.raw/RTDC4002/ "%USERPROFILE%\AppData\Local\Temp\OnboardLogs"\RTDC4002\2017-11-29 --exclude "*" --recursive --include "*20171129*" &amp; "%USERPROFILE%\Documents\GitHub\mrs-test-scripts\Headless Mode &amp; Sideloading\WalkAndUnGZ.bat" "%USERPROFILE%\AppData\Local\Temp\OnboardLogs"\RTDC4002\2017-11-29 &amp; aws s3 cp s3://rtdc.mdm.uploadarchive.raw/RTDC4002/ "%USERPROFILE%\AppData\Local\Temp\OnboardLogs"\RTDC4002\2017-11-30 --exclude "*" --recursive --include "*20171130*" &amp; "%USERPROFILE%\Documents\GitHub\mrs-test-scripts\Headless Mode &amp; Sideloading\WalkAndUnGZ.bat" "%USERPROFILE%\AppData\Local\Temp\OnboardLogs"\RTDC4002\2017-11-30</v>
      </c>
      <c r="AF105" s="235" t="str">
        <f t="shared" si="58"/>
        <v>"C:\Program Files (x86)\AstroGrep\AstroGrep.exe" /e /r /s /spath="%USERPROFILE%\AppData\Local\Temp\OnboardLogs" /stypes="app*4002*20171129*" /stext=" 22:.+((SYSTEM_STATE.+slice.+state.+changed )|(ment ac)|(multiple cpu faults)|(system.+state.+changed )|(\[timeout)|(PRM\|1\|D)|(kpr)|(kdp)|(train st.+moving)|(\|lc)|(penalty))"</v>
      </c>
      <c r="AG105" s="245" t="str">
        <f t="shared" si="59"/>
        <v>EC</v>
      </c>
      <c r="AH105" s="237" t="str">
        <f t="shared" si="60"/>
        <v>"%USERPROFILE%\Documents\GitHub\eaglep3\Utilities\RefineRTDCRunTimes.py" --tripid 189-29 --locoid 4002 --swversion DE.1.0.9.0 --startMP 204:566 --initTime 2017-11-29T14:40:07 --startdatetime 2017-11-29T14:45:16 --delay 61 --endMP 204:233215 --enddatetime 2017-11-29T15:24:07 --enforcementcount 0 &gt;&gt;%USERPROFILE%\Documents\GitHub\eaglep3-reporting\EC\2017-11-29-refined-times.txt</v>
      </c>
      <c r="AI105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{"issue":{"subject":"","project_id":79,"tracker_id":40,"status_id":1,"priority_id":2,"assigned_to_id":338,"start_date":"2017-11-29","description":"","custom_fields":[{"id":1,"name":"Subdivision","value":"EC"},{"id":4,"name":"Milepost","value":"23.3215"},{"id":17,"name":"Train ID","value":"189-29"},{"id":16,"name":"Locomotive ID","value":"4002"},{"id":130,"name":"Impact","value":""},{"id":150,"name":"Time of Event (Mountain Time)","value":"15:24:07"},{"id":151,"name":"Denver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4"/>
      <c r="AK105" s="232"/>
      <c r="AL105" s="232"/>
      <c r="AM105" s="241" t="str">
        <f t="shared" si="62"/>
        <v>start /low /b %USERPROFILE%\Documents\GitHub\eaglep3\Utilities\DownloadLogsFromS3.py --loco 4002 --day 2017-11-29</v>
      </c>
      <c r="AN105" s="242" t="str">
        <f t="shared" si="63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22:24:07"},{"id":29,"name":"Sharepoint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1" t="str">
        <f t="shared" si="64"/>
        <v>https://d0f6bd738d7f1b3e5a7ca70fe4ff75f0.us-east-1.aws.found.io/app/kibana#/discover/Steve-Slow-Train-Analysis-(2080s-and-2083s)?_g=(refreshInterval:(display:Off,pause:!f,section:0,value:0),time:(from:'2017-11-29T13:40:07-0700',mode:absolute,to:'2017-11-29T16:24:07-0700'))&amp;_a=(columns:!('Message%20ID',Summary),filters:!(),index:'emp_*',interval:auto,query:(query_string:(analyze_wildcard:!t,query:'%22rtdc.l.rtdc.4002%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1" customFormat="1" x14ac:dyDescent="0.25">
      <c r="A106" s="230" t="s">
        <v>799</v>
      </c>
      <c r="B106" s="226">
        <v>4001</v>
      </c>
      <c r="C106" s="228" t="s">
        <v>192</v>
      </c>
      <c r="D106" s="228" t="s">
        <v>946</v>
      </c>
      <c r="E106" s="227">
        <v>43068.667395833334</v>
      </c>
      <c r="F106" s="227">
        <v>43068.668796296297</v>
      </c>
      <c r="G106" s="226">
        <v>60</v>
      </c>
      <c r="H106" s="228" t="s">
        <v>917</v>
      </c>
      <c r="I106" s="227">
        <v>43068.685358796298</v>
      </c>
      <c r="J106" s="226">
        <v>0</v>
      </c>
      <c r="K106" s="238" t="str">
        <f t="shared" si="51"/>
        <v>4001/4002</v>
      </c>
      <c r="L106" s="246" t="str">
        <f>VLOOKUP(A106,'Trips&amp;Operators'!$C$1:$G$99911,5,FALSE)</f>
        <v>BRUDER RICHARD</v>
      </c>
      <c r="M106" s="225">
        <f t="shared" si="52"/>
        <v>1.6562500000873115E-2</v>
      </c>
      <c r="N106" s="226"/>
      <c r="O106" s="226"/>
      <c r="P106" s="226">
        <f>24*60*SUM($M106:$M106)</f>
        <v>23.850000001257285</v>
      </c>
      <c r="Q106" s="229"/>
      <c r="R106" s="243" t="s">
        <v>1129</v>
      </c>
      <c r="S106" s="250">
        <f>1/IF(AG106="EC",12,1)*SUM(U106:U106)</f>
        <v>1</v>
      </c>
      <c r="T106" s="243" t="str">
        <f t="shared" si="53"/>
        <v>Southbound</v>
      </c>
      <c r="U106" s="24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9" t="str">
        <f t="shared" si="54"/>
        <v>https://d0f6bd738d7f1b3e5a7ca70fe4ff75f0.us-east-1.aws.found.io/app/kibana#/discover/Steve-Slow-Train-Analysis-(2080s-and-2083s)?_g=(refreshInterval:(display:Off,pause:!f,section:0,value:0),time:(from:'2017-11-29T15:01:03-0700',mode:absolute,to:'2017-11-29T17:26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6" s="248" t="str">
        <f>IF(AA106&lt;VLOOKUP(AG106,Variables!$AC$3:$AD$8,2,FALSE),"Y","N")</f>
        <v>Y</v>
      </c>
      <c r="X106" s="248">
        <f t="shared" si="68"/>
        <v>1</v>
      </c>
      <c r="Y106" s="248">
        <f t="shared" si="66"/>
        <v>12.786</v>
      </c>
      <c r="Z106" s="248">
        <f t="shared" si="67"/>
        <v>2.3199999999999998E-2</v>
      </c>
      <c r="AA106" s="248">
        <f t="shared" si="55"/>
        <v>12.7628</v>
      </c>
      <c r="AB106" s="234" t="e">
        <f>VLOOKUP(A106,Enforcements!$C$7:$K$9,8,0)</f>
        <v>#N/A</v>
      </c>
      <c r="AC106" s="233" t="e">
        <f>VLOOKUP(A106,Enforcements!$C$7:$E$9,3,0)</f>
        <v>#N/A</v>
      </c>
      <c r="AD106" s="244">
        <f t="shared" si="56"/>
        <v>190</v>
      </c>
      <c r="AE106" s="236" t="str">
        <f t="shared" si="57"/>
        <v>aws s3 cp s3://rtdc.mdm.uploadarchive.raw/RTDC4001/ "%USERPROFILE%\AppData\Local\Temp\OnboardLogs"\RTDC4001\2017-11-29 --exclude "*" --recursive --include "*20171129*" &amp; "%USERPROFILE%\Documents\GitHub\mrs-test-scripts\Headless Mode &amp; Sideloading\WalkAndUnGZ.bat" "%USERPROFILE%\AppData\Local\Temp\OnboardLogs"\RTDC4001\2017-11-29 &amp; aws s3 cp s3://rtdc.mdm.uploadarchive.raw/RTDC4001/ "%USERPROFILE%\AppData\Local\Temp\OnboardLogs"\RTDC4001\2017-11-30 --exclude "*" --recursive --include "*20171130*" &amp; "%USERPROFILE%\Documents\GitHub\mrs-test-scripts\Headless Mode &amp; Sideloading\WalkAndUnGZ.bat" "%USERPROFILE%\AppData\Local\Temp\OnboardLogs"\RTDC4001\2017-11-30</v>
      </c>
      <c r="AF106" s="235" t="str">
        <f t="shared" si="58"/>
        <v>"C:\Program Files (x86)\AstroGrep\AstroGrep.exe" /e /r /s /spath="%USERPROFILE%\AppData\Local\Temp\OnboardLogs" /stypes="app*4001*20171129*" /stext=" 23:.+((SYSTEM_STATE.+slice.+state.+changed )|(ment ac)|(multiple cpu faults)|(system.+state.+changed )|(\[timeout)|(PRM\|1\|D)|(kpr)|(kdp)|(train st.+moving)|(\|lc)|(penalty))"</v>
      </c>
      <c r="AG106" s="245" t="str">
        <f t="shared" si="59"/>
        <v>EC</v>
      </c>
      <c r="AH106" s="237" t="str">
        <f t="shared" si="60"/>
        <v>"%USERPROFILE%\Documents\GitHub\eaglep3\Utilities\RefineRTDCRunTimes.py" --tripid 190-29 --locoid 4001 --swversion DE.1.0.9.0 --startMP 204:127860 --initTime 2017-11-29T16:01:03 --startdatetime 2017-11-29T16:03:04 --delay 60 --endMP 204:232 --enddatetime 2017-11-29T16:26:55 --enforcementcount 0 &gt;&gt;%USERPROFILE%\Documents\GitHub\eaglep3-reporting\EC\2017-11-29-refined-times.txt</v>
      </c>
      <c r="AI106" s="239" t="str">
        <f t="shared" si="61"/>
        <v>echo {"issue":{"subject":"Poor GPS @ DIA","project_id":79,"tracker_id":40,"status_id":1,"priority_id":2,"assigned_to_id":338,"start_date":"2017-11-29","description":"","custom_fields":[{"id":1,"name":"Subdivision","value":"EC"},{"id":4,"name":"Milepost","value":"0.0232"},{"id":17,"name":"Train ID","value":"190-29"},{"id":16,"name":"Locomotive ID","value":"4001"},{"id":130,"name":"Impact","value":""},{"id":150,"name":"Time of Event (Mountain Time)","value":"16:26:55"},{"id":151,"name":"Denver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4"/>
      <c r="AK106" s="232"/>
      <c r="AL106" s="232"/>
      <c r="AM106" s="241" t="str">
        <f t="shared" si="62"/>
        <v>start /low /b %USERPROFILE%\Documents\GitHub\eaglep3\Utilities\DownloadLogsFromS3.py --loco 4001 --day 2017-11-29</v>
      </c>
      <c r="AN106" s="242" t="str">
        <f t="shared" si="63"/>
        <v>echo {"issue":{"subject":"Poor GPS @ DIA","project_id":30,"tracker_id":4,"status_id":1,"priority_id":1,"assigned_to_id":10,"start_date":"2017-11-29","description":"","custom_fields":[{"id":30,"name":"Category","value":"Issue"},{"id":3,"name":"Functional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23:26:55"},{"id":29,"name":"Sharepoint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1" t="str">
        <f t="shared" si="64"/>
        <v>https://d0f6bd738d7f1b3e5a7ca70fe4ff75f0.us-east-1.aws.found.io/app/kibana#/discover/Steve-Slow-Train-Analysis-(2080s-and-2083s)?_g=(refreshInterval:(display:Off,pause:!f,section:0,value:0),time:(from:'2017-11-29T15:01:03-0700',mode:absolute,to:'2017-11-29T17:26:55-0700'))&amp;_a=(columns:!('Message%20ID',Summary),filters:!(),index:'emp_*',interval:auto,query:(query_string:(analyze_wildcard:!t,query:'%22rtdc.l.rtdc.4001%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230" t="s">
        <v>799</v>
      </c>
      <c r="B107" s="226">
        <v>4001</v>
      </c>
      <c r="C107" s="228" t="s">
        <v>192</v>
      </c>
      <c r="D107" s="228" t="s">
        <v>946</v>
      </c>
      <c r="E107" s="227">
        <v>43068.650891203702</v>
      </c>
      <c r="F107" s="227">
        <v>43068.668796296297</v>
      </c>
      <c r="G107" s="226">
        <v>70</v>
      </c>
      <c r="H107" s="228" t="s">
        <v>917</v>
      </c>
      <c r="I107" s="227">
        <v>43068.685358796298</v>
      </c>
      <c r="J107" s="226">
        <v>0</v>
      </c>
      <c r="K107" s="238" t="str">
        <f t="shared" si="51"/>
        <v>4001/4002</v>
      </c>
      <c r="L107" s="246" t="str">
        <f>VLOOKUP(A107,'Trips&amp;Operators'!$C$1:$G$99911,5,FALSE)</f>
        <v>BRUDER RICHARD</v>
      </c>
      <c r="M107" s="225">
        <f t="shared" si="52"/>
        <v>1.6562500000873115E-2</v>
      </c>
      <c r="N107" s="226"/>
      <c r="O107" s="226"/>
      <c r="P107" s="226"/>
      <c r="Q107" s="229"/>
      <c r="R107" s="243"/>
      <c r="S107" s="250"/>
      <c r="T107" s="243" t="str">
        <f t="shared" si="53"/>
        <v>Southbound</v>
      </c>
      <c r="U107" s="24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9" t="str">
        <f t="shared" si="54"/>
        <v>https://d0f6bd738d7f1b3e5a7ca70fe4ff75f0.us-east-1.aws.found.io/app/kibana#/discover/Steve-Slow-Train-Analysis-(2080s-and-2083s)?_g=(refreshInterval:(display:Off,pause:!f,section:0,value:0),time:(from:'2017-11-29T14:37:17-0700',mode:absolute,to:'2017-11-29T17:26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7" s="248" t="str">
        <f>IF(AA107&lt;VLOOKUP(AG107,Variables!$AC$3:$AD$8,2,FALSE),"Y","N")</f>
        <v>Y</v>
      </c>
      <c r="X107" s="248">
        <f t="shared" si="68"/>
        <v>0</v>
      </c>
      <c r="Y107" s="248">
        <f t="shared" si="66"/>
        <v>12.786</v>
      </c>
      <c r="Z107" s="248">
        <f t="shared" si="67"/>
        <v>2.3199999999999998E-2</v>
      </c>
      <c r="AA107" s="248">
        <f t="shared" si="55"/>
        <v>12.7628</v>
      </c>
      <c r="AB107" s="234" t="e">
        <f>VLOOKUP(A107,Enforcements!$C$7:$K$9,8,0)</f>
        <v>#N/A</v>
      </c>
      <c r="AC107" s="233" t="e">
        <f>VLOOKUP(A107,Enforcements!$C$7:$E$9,3,0)</f>
        <v>#N/A</v>
      </c>
      <c r="AD107" s="244">
        <f t="shared" si="56"/>
        <v>190</v>
      </c>
      <c r="AE107" s="236" t="str">
        <f t="shared" si="57"/>
        <v>aws s3 cp s3://rtdc.mdm.uploadarchive.raw/RTDC4001/ "%USERPROFILE%\AppData\Local\Temp\OnboardLogs"\RTDC4001\2017-11-29 --exclude "*" --recursive --include "*20171129*" &amp; "%USERPROFILE%\Documents\GitHub\mrs-test-scripts\Headless Mode &amp; Sideloading\WalkAndUnGZ.bat" "%USERPROFILE%\AppData\Local\Temp\OnboardLogs"\RTDC4001\2017-11-29 &amp; aws s3 cp s3://rtdc.mdm.uploadarchive.raw/RTDC4001/ "%USERPROFILE%\AppData\Local\Temp\OnboardLogs"\RTDC4001\2017-11-30 --exclude "*" --recursive --include "*20171130*" &amp; "%USERPROFILE%\Documents\GitHub\mrs-test-scripts\Headless Mode &amp; Sideloading\WalkAndUnGZ.bat" "%USERPROFILE%\AppData\Local\Temp\OnboardLogs"\RTDC4001\2017-11-30</v>
      </c>
      <c r="AF107" s="235" t="str">
        <f t="shared" si="58"/>
        <v>"C:\Program Files (x86)\AstroGrep\AstroGrep.exe" /e /r /s /spath="%USERPROFILE%\AppData\Local\Temp\OnboardLogs" /stypes="app*4001*20171129*" /stext=" 23:.+((SYSTEM_STATE.+slice.+state.+changed )|(ment ac)|(multiple cpu faults)|(system.+state.+changed )|(\[timeout)|(PRM\|1\|D)|(kpr)|(kdp)|(train st.+moving)|(\|lc)|(penalty))"</v>
      </c>
      <c r="AG107" s="245" t="str">
        <f t="shared" si="59"/>
        <v>EC</v>
      </c>
      <c r="AH107" s="237" t="str">
        <f t="shared" si="60"/>
        <v>"%USERPROFILE%\Documents\GitHub\eaglep3\Utilities\RefineRTDCRunTimes.py" --tripid 190-29 --locoid 4001 --swversion DE.1.0.9.0 --startMP 204:127860 --initTime 2017-11-29T15:37:17 --startdatetime 2017-11-29T16:03:04 --delay 70 --endMP 204:232 --enddatetime 2017-11-29T16:26:55 --enforcementcount 0 &gt;&gt;%USERPROFILE%\Documents\GitHub\eaglep3-reporting\EC\2017-11-29-refined-times.txt</v>
      </c>
      <c r="AI107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{"issue":{"subject":"","project_id":79,"tracker_id":40,"status_id":1,"priority_id":2,"assigned_to_id":338,"start_date":"2017-11-29","description":"","custom_fields":[{"id":1,"name":"Subdivision","value":"EC"},{"id":4,"name":"Milepost","value":"0.0232"},{"id":17,"name":"Train ID","value":"190-29"},{"id":16,"name":"Locomotive ID","value":"4001"},{"id":130,"name":"Impact","value":""},{"id":150,"name":"Time of Event (Mountain Time)","value":"16:26:55"},{"id":151,"name":"Denver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4"/>
      <c r="AK107" s="232"/>
      <c r="AL107" s="232"/>
      <c r="AM107" s="241" t="str">
        <f t="shared" si="62"/>
        <v>start /low /b %USERPROFILE%\Documents\GitHub\eaglep3\Utilities\DownloadLogsFromS3.py --loco 4001 --day 2017-11-29</v>
      </c>
      <c r="AN107" s="242" t="str">
        <f t="shared" si="63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23:26:55"},{"id":29,"name":"Sharepoint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1" t="str">
        <f t="shared" si="64"/>
        <v>https://d0f6bd738d7f1b3e5a7ca70fe4ff75f0.us-east-1.aws.found.io/app/kibana#/discover/Steve-Slow-Train-Analysis-(2080s-and-2083s)?_g=(refreshInterval:(display:Off,pause:!f,section:0,value:0),time:(from:'2017-11-29T14:37:17-0700',mode:absolute,to:'2017-11-29T17:26:55-0700'))&amp;_a=(columns:!('Message%20ID',Summary),filters:!(),index:'emp_*',interval:auto,query:(query_string:(analyze_wildcard:!t,query:'%22rtdc.l.rtdc.4001%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230" t="s">
        <v>790</v>
      </c>
      <c r="B108" s="226">
        <v>4006</v>
      </c>
      <c r="C108" s="228" t="s">
        <v>192</v>
      </c>
      <c r="D108" s="228" t="s">
        <v>435</v>
      </c>
      <c r="E108" s="227">
        <v>43068.622731481482</v>
      </c>
      <c r="F108" s="227">
        <v>43068.625196759262</v>
      </c>
      <c r="G108" s="226">
        <v>50</v>
      </c>
      <c r="H108" s="228" t="s">
        <v>568</v>
      </c>
      <c r="I108" s="227">
        <v>43068.651134259257</v>
      </c>
      <c r="J108" s="226">
        <v>0</v>
      </c>
      <c r="K108" s="238" t="str">
        <f t="shared" si="51"/>
        <v>4005/4006</v>
      </c>
      <c r="L108" s="246" t="str">
        <f>VLOOKUP(A108,'Trips&amp;Operators'!$C$1:$G$99911,5,FALSE)</f>
        <v>STEWART MICHAEL</v>
      </c>
      <c r="M108" s="225">
        <f t="shared" si="52"/>
        <v>2.5937499995052349E-2</v>
      </c>
      <c r="N108" s="226">
        <f t="shared" ref="N108:N115" si="69">24*60*SUM($M108:$M108)</f>
        <v>37.349999992875382</v>
      </c>
      <c r="O108" s="226"/>
      <c r="P108" s="226"/>
      <c r="Q108" s="229"/>
      <c r="R108" s="243"/>
      <c r="S108" s="250">
        <f t="shared" ref="S108:S115" si="70">1/IF(AG108="EC",12,1)*SUM(U108:U108)</f>
        <v>1</v>
      </c>
      <c r="T108" s="243" t="str">
        <f t="shared" si="53"/>
        <v>NorthBound</v>
      </c>
      <c r="U108" s="24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9" t="str">
        <f t="shared" si="54"/>
        <v>https://d0f6bd738d7f1b3e5a7ca70fe4ff75f0.us-east-1.aws.found.io/app/kibana#/discover/Steve-Slow-Train-Analysis-(2080s-and-2083s)?_g=(refreshInterval:(display:Off,pause:!f,section:0,value:0),time:(from:'2017-11-29T13:56:44-0700',mode:absolute,to:'2017-11-29T16:37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8" s="248" t="str">
        <f>IF(AA108&lt;VLOOKUP(AG108,Variables!$AC$3:$AD$8,2,FALSE),"Y","N")</f>
        <v>N</v>
      </c>
      <c r="X108" s="248">
        <f t="shared" si="68"/>
        <v>1</v>
      </c>
      <c r="Y108" s="248">
        <f t="shared" si="66"/>
        <v>5.0799999999999998E-2</v>
      </c>
      <c r="Z108" s="248">
        <f t="shared" si="67"/>
        <v>23.320900000000002</v>
      </c>
      <c r="AA108" s="248">
        <f t="shared" si="55"/>
        <v>23.270100000000003</v>
      </c>
      <c r="AB108" s="234" t="e">
        <f>VLOOKUP(A108,Enforcements!$C$7:$K$9,8,0)</f>
        <v>#N/A</v>
      </c>
      <c r="AC108" s="233" t="e">
        <f>VLOOKUP(A108,Enforcements!$C$7:$E$9,3,0)</f>
        <v>#N/A</v>
      </c>
      <c r="AD108" s="244">
        <f t="shared" si="56"/>
        <v>191</v>
      </c>
      <c r="AE108" s="236" t="str">
        <f t="shared" si="57"/>
        <v>aws s3 cp s3://rtdc.mdm.uploadarchive.raw/RTDC4006/ "%USERPROFILE%\AppData\Local\Temp\OnboardLogs"\RTDC4006\2017-11-29 --exclude "*" --recursive --include "*20171129*" &amp; "%USERPROFILE%\Documents\GitHub\mrs-test-scripts\Headless Mode &amp; Sideloading\WalkAndUnGZ.bat" "%USERPROFILE%\AppData\Local\Temp\OnboardLogs"\RTDC4006\2017-11-29 &amp; aws s3 cp s3://rtdc.mdm.uploadarchive.raw/RTDC4006/ "%USERPROFILE%\AppData\Local\Temp\OnboardLogs"\RTDC4006\2017-11-30 --exclude "*" --recursive --include "*20171130*" &amp; "%USERPROFILE%\Documents\GitHub\mrs-test-scripts\Headless Mode &amp; Sideloading\WalkAndUnGZ.bat" "%USERPROFILE%\AppData\Local\Temp\OnboardLogs"\RTDC4006\2017-11-30</v>
      </c>
      <c r="AF108" s="235" t="str">
        <f t="shared" si="58"/>
        <v>"C:\Program Files (x86)\AstroGrep\AstroGrep.exe" /e /r /s /spath="%USERPROFILE%\AppData\Local\Temp\OnboardLogs" /stypes="app*4006*20171129*" /stext=" 22:.+((SYSTEM_STATE.+slice.+state.+changed )|(ment ac)|(multiple cpu faults)|(system.+state.+changed )|(\[timeout)|(PRM\|1\|D)|(kpr)|(kdp)|(train st.+moving)|(\|lc)|(penalty))"</v>
      </c>
      <c r="AG108" s="245" t="str">
        <f t="shared" si="59"/>
        <v>EC</v>
      </c>
      <c r="AH108" s="237" t="str">
        <f t="shared" si="60"/>
        <v>"%USERPROFILE%\Documents\GitHub\eaglep3\Utilities\RefineRTDCRunTimes.py" --tripid 191-29 --locoid 4006 --swversion DE.1.0.9.0 --startMP 204:508 --initTime 2017-11-29T14:56:44 --startdatetime 2017-11-29T15:00:17 --delay 50 --endMP 204:233209 --enddatetime 2017-11-29T15:37:38 --enforcementcount 0 &gt;&gt;%USERPROFILE%\Documents\GitHub\eaglep3-reporting\EC\2017-11-29-refined-times.txt</v>
      </c>
      <c r="AI108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{"issue":{"subject":"","project_id":79,"tracker_id":40,"status_id":1,"priority_id":2,"assigned_to_id":338,"start_date":"2017-11-29","description":"","custom_fields":[{"id":1,"name":"Subdivision","value":"EC"},{"id":4,"name":"Milepost","value":"23.3209"},{"id":17,"name":"Train ID","value":"191-29"},{"id":16,"name":"Locomotive ID","value":"4006"},{"id":130,"name":"Impact","value":""},{"id":150,"name":"Time of Event (Mountain Time)","value":"15:37:38"},{"id":151,"name":"Denver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4"/>
      <c r="AK108" s="232"/>
      <c r="AL108" s="232"/>
      <c r="AM108" s="241" t="str">
        <f t="shared" si="62"/>
        <v>start /low /b %USERPROFILE%\Documents\GitHub\eaglep3\Utilities\DownloadLogsFromS3.py --loco 4006 --day 2017-11-29</v>
      </c>
      <c r="AN108" s="242" t="str">
        <f t="shared" si="63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22:37:38"},{"id":29,"name":"Sharepoint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1" t="str">
        <f t="shared" si="64"/>
        <v>https://d0f6bd738d7f1b3e5a7ca70fe4ff75f0.us-east-1.aws.found.io/app/kibana#/discover/Steve-Slow-Train-Analysis-(2080s-and-2083s)?_g=(refreshInterval:(display:Off,pause:!f,section:0,value:0),time:(from:'2017-11-29T13:56:44-0700',mode:absolute,to:'2017-11-29T16:37:38-0700'))&amp;_a=(columns:!('Message%20ID',Summary),filters:!(),index:'emp_*',interval:auto,query:(query_string:(analyze_wildcard:!t,query:'%22rtdc.l.rtdc.4006%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230" t="s">
        <v>801</v>
      </c>
      <c r="B109" s="226">
        <v>4005</v>
      </c>
      <c r="C109" s="228" t="s">
        <v>192</v>
      </c>
      <c r="D109" s="228" t="s">
        <v>898</v>
      </c>
      <c r="E109" s="227">
        <v>43068.661643518521</v>
      </c>
      <c r="F109" s="227">
        <v>43068.664780092593</v>
      </c>
      <c r="G109" s="226">
        <v>57</v>
      </c>
      <c r="H109" s="228" t="s">
        <v>567</v>
      </c>
      <c r="I109" s="227">
        <v>43068.692245370374</v>
      </c>
      <c r="J109" s="226">
        <v>0</v>
      </c>
      <c r="K109" s="238" t="str">
        <f t="shared" ref="K109:K115" si="71">IF(ISEVEN(B109),(B109-1)&amp;"/"&amp;B109,B109&amp;"/"&amp;(B109+1))</f>
        <v>4005/4006</v>
      </c>
      <c r="L109" s="246" t="str">
        <f>VLOOKUP(A109,'Trips&amp;Operators'!$C$1:$G$99911,5,FALSE)</f>
        <v>STEWART MICHAEL</v>
      </c>
      <c r="M109" s="225">
        <f t="shared" ref="M109:M115" si="72">I109-F109</f>
        <v>2.7465277780720498E-2</v>
      </c>
      <c r="N109" s="226">
        <f t="shared" si="69"/>
        <v>39.550000004237518</v>
      </c>
      <c r="O109" s="226"/>
      <c r="P109" s="226"/>
      <c r="Q109" s="229"/>
      <c r="R109" s="243"/>
      <c r="S109" s="250">
        <f t="shared" si="70"/>
        <v>1</v>
      </c>
      <c r="T109" s="243" t="str">
        <f t="shared" ref="T109:T115" si="73">IF(ISEVEN(LEFT(AD109,4)),"Southbound","NorthBound")</f>
        <v>Southbound</v>
      </c>
      <c r="U109" s="24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9" t="str">
        <f t="shared" si="54"/>
        <v>https://d0f6bd738d7f1b3e5a7ca70fe4ff75f0.us-east-1.aws.found.io/app/kibana#/discover/Steve-Slow-Train-Analysis-(2080s-and-2083s)?_g=(refreshInterval:(display:Off,pause:!f,section:0,value:0),time:(from:'2017-11-29T14:52:46-0700',mode:absolute,to:'2017-11-29T17:36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9" s="248" t="str">
        <f>IF(AA109&lt;VLOOKUP(AG109,Variables!$AC$3:$AD$8,2,FALSE),"Y","N")</f>
        <v>N</v>
      </c>
      <c r="X109" s="248">
        <f t="shared" si="68"/>
        <v>1</v>
      </c>
      <c r="Y109" s="248">
        <f t="shared" si="66"/>
        <v>23.289000000000001</v>
      </c>
      <c r="Z109" s="248">
        <f t="shared" si="67"/>
        <v>0.02</v>
      </c>
      <c r="AA109" s="248">
        <f t="shared" ref="AA109:AA140" si="74">ABS(Z109-Y109)</f>
        <v>23.269000000000002</v>
      </c>
      <c r="AB109" s="234" t="e">
        <f>VLOOKUP(A109,Enforcements!$C$7:$K$9,8,0)</f>
        <v>#N/A</v>
      </c>
      <c r="AC109" s="233" t="e">
        <f>VLOOKUP(A109,Enforcements!$C$7:$E$9,3,0)</f>
        <v>#N/A</v>
      </c>
      <c r="AD109" s="244">
        <f t="shared" ref="AD109:AD115" si="75">VALUE(LEFT(A109,LEN(A109)-3))</f>
        <v>192</v>
      </c>
      <c r="AE109" s="236" t="str">
        <f t="shared" si="57"/>
        <v>aws s3 cp s3://rtdc.mdm.uploadarchive.raw/RTDC4005/ "%USERPROFILE%\AppData\Local\Temp\OnboardLogs"\RTDC4005\2017-11-29 --exclude "*" --recursive --include "*20171129*" &amp; "%USERPROFILE%\Documents\GitHub\mrs-test-scripts\Headless Mode &amp; Sideloading\WalkAndUnGZ.bat" "%USERPROFILE%\AppData\Local\Temp\OnboardLogs"\RTDC4005\2017-11-29 &amp; aws s3 cp s3://rtdc.mdm.uploadarchive.raw/RTDC4005/ "%USERPROFILE%\AppData\Local\Temp\OnboardLogs"\RTDC4005\2017-11-30 --exclude "*" --recursive --include "*20171130*" &amp; "%USERPROFILE%\Documents\GitHub\mrs-test-scripts\Headless Mode &amp; Sideloading\WalkAndUnGZ.bat" "%USERPROFILE%\AppData\Local\Temp\OnboardLogs"\RTDC4005\2017-11-30</v>
      </c>
      <c r="AF109" s="235" t="str">
        <f t="shared" si="58"/>
        <v>"C:\Program Files (x86)\AstroGrep\AstroGrep.exe" /e /r /s /spath="%USERPROFILE%\AppData\Local\Temp\OnboardLogs" /stypes="app*4005*20171129*" /stext=" 23:.+((SYSTEM_STATE.+slice.+state.+changed )|(ment ac)|(multiple cpu faults)|(system.+state.+changed )|(\[timeout)|(PRM\|1\|D)|(kpr)|(kdp)|(train st.+moving)|(\|lc)|(penalty))"</v>
      </c>
      <c r="AG109" s="245" t="str">
        <f t="shared" ref="AG109:AG115" si="76">DetSubdiv(A109)</f>
        <v>EC</v>
      </c>
      <c r="AH109" s="237" t="str">
        <f t="shared" si="60"/>
        <v>"%USERPROFILE%\Documents\GitHub\eaglep3\Utilities\RefineRTDCRunTimes.py" --tripid 192-29 --locoid 4005 --swversion DE.1.0.9.0 --startMP 204:232890 --initTime 2017-11-29T15:52:46 --startdatetime 2017-11-29T15:57:17 --delay 57 --endMP 204:200 --enddatetime 2017-11-29T16:36:50 --enforcementcount 0 &gt;&gt;%USERPROFILE%\Documents\GitHub\eaglep3-reporting\EC\2017-11-29-refined-times.txt</v>
      </c>
      <c r="AI109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{"issue":{"subject":"","project_id":79,"tracker_id":40,"status_id":1,"priority_id":2,"assigned_to_id":338,"start_date":"2017-11-29","description":"","custom_fields":[{"id":1,"name":"Subdivision","value":"EC"},{"id":4,"name":"Milepost","value":"0.02"},{"id":17,"name":"Train ID","value":"192-29"},{"id":16,"name":"Locomotive ID","value":"4005"},{"id":130,"name":"Impact","value":""},{"id":150,"name":"Time of Event (Mountain Time)","value":"16:36:50"},{"id":151,"name":"Denver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4"/>
      <c r="AK109" s="232"/>
      <c r="AL109" s="232"/>
      <c r="AM109" s="241" t="str">
        <f t="shared" si="62"/>
        <v>start /low /b %USERPROFILE%\Documents\GitHub\eaglep3\Utilities\DownloadLogsFromS3.py --loco 4005 --day 2017-11-29</v>
      </c>
      <c r="AN109" s="242" t="str">
        <f t="shared" si="63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23:36:50"},{"id":29,"name":"Sharepoint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1" t="str">
        <f t="shared" si="64"/>
        <v>https://d0f6bd738d7f1b3e5a7ca70fe4ff75f0.us-east-1.aws.found.io/app/kibana#/discover/Steve-Slow-Train-Analysis-(2080s-and-2083s)?_g=(refreshInterval:(display:Off,pause:!f,section:0,value:0),time:(from:'2017-11-29T14:52:46-0700',mode:absolute,to:'2017-11-29T17:36:50-0700'))&amp;_a=(columns:!('Message%20ID',Summary),filters:!(),index:'emp_*',interval:auto,query:(query_string:(analyze_wildcard:!t,query:'%22rtdc.l.rtdc.4005%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230" t="s">
        <v>792</v>
      </c>
      <c r="B110" s="226">
        <v>4066</v>
      </c>
      <c r="C110" s="228" t="s">
        <v>192</v>
      </c>
      <c r="D110" s="228" t="s">
        <v>516</v>
      </c>
      <c r="E110" s="227">
        <v>43068.630578703705</v>
      </c>
      <c r="F110" s="227">
        <v>43068.635578703703</v>
      </c>
      <c r="G110" s="226">
        <v>50</v>
      </c>
      <c r="H110" s="228" t="s">
        <v>947</v>
      </c>
      <c r="I110" s="227">
        <v>43068.665335648147</v>
      </c>
      <c r="J110" s="226">
        <v>0</v>
      </c>
      <c r="K110" s="238" t="str">
        <f t="shared" si="71"/>
        <v>4065/4066</v>
      </c>
      <c r="L110" s="246" t="str">
        <f>VLOOKUP(A110,'Trips&amp;Operators'!$C$1:$G$99911,5,FALSE)</f>
        <v>GUZMAN DANNY</v>
      </c>
      <c r="M110" s="225">
        <f t="shared" si="72"/>
        <v>2.9756944444670808E-2</v>
      </c>
      <c r="N110" s="226">
        <f t="shared" si="69"/>
        <v>42.850000000325963</v>
      </c>
      <c r="O110" s="226"/>
      <c r="P110" s="226"/>
      <c r="Q110" s="229"/>
      <c r="R110" s="243"/>
      <c r="S110" s="250">
        <f t="shared" si="70"/>
        <v>1</v>
      </c>
      <c r="T110" s="243" t="str">
        <f t="shared" si="73"/>
        <v>NorthBound</v>
      </c>
      <c r="U110" s="24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9" t="str">
        <f t="shared" si="54"/>
        <v>https://d0f6bd738d7f1b3e5a7ca70fe4ff75f0.us-east-1.aws.found.io/app/kibana#/discover/Steve-Slow-Train-Analysis-(2080s-and-2083s)?_g=(refreshInterval:(display:Off,pause:!f,section:0,value:0),time:(from:'2017-11-29T14:08:02-0700',mode:absolute,to:'2017-11-29T16:58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10" s="248" t="str">
        <f>IF(AA110&lt;VLOOKUP(AG110,Variables!$AC$3:$AD$8,2,FALSE),"Y","N")</f>
        <v>N</v>
      </c>
      <c r="X110" s="248">
        <f t="shared" si="68"/>
        <v>1</v>
      </c>
      <c r="Y110" s="248">
        <f t="shared" si="66"/>
        <v>5.5899999999999998E-2</v>
      </c>
      <c r="Z110" s="248">
        <f t="shared" si="67"/>
        <v>23.322900000000001</v>
      </c>
      <c r="AA110" s="248">
        <f t="shared" si="74"/>
        <v>23.266999999999999</v>
      </c>
      <c r="AB110" s="234" t="e">
        <f>VLOOKUP(A110,Enforcements!$C$7:$K$9,8,0)</f>
        <v>#N/A</v>
      </c>
      <c r="AC110" s="233" t="e">
        <f>VLOOKUP(A110,Enforcements!$C$7:$E$9,3,0)</f>
        <v>#N/A</v>
      </c>
      <c r="AD110" s="244">
        <f t="shared" si="75"/>
        <v>193</v>
      </c>
      <c r="AE110" s="236" t="str">
        <f t="shared" si="57"/>
        <v>aws s3 cp s3://rtdc.mdm.uploadarchive.raw/RTDC4066/ "%USERPROFILE%\AppData\Local\Temp\OnboardLogs"\RTDC4066\2017-11-29 --exclude "*" --recursive --include "*20171129*" &amp; "%USERPROFILE%\Documents\GitHub\mrs-test-scripts\Headless Mode &amp; Sideloading\WalkAndUnGZ.bat" "%USERPROFILE%\AppData\Local\Temp\OnboardLogs"\RTDC4066\2017-11-29 &amp; aws s3 cp s3://rtdc.mdm.uploadarchive.raw/RTDC4066/ "%USERPROFILE%\AppData\Local\Temp\OnboardLogs"\RTDC4066\2017-11-30 --exclude "*" --recursive --include "*20171130*" &amp; "%USERPROFILE%\Documents\GitHub\mrs-test-scripts\Headless Mode &amp; Sideloading\WalkAndUnGZ.bat" "%USERPROFILE%\AppData\Local\Temp\OnboardLogs"\RTDC4066\2017-11-30</v>
      </c>
      <c r="AF110" s="235" t="str">
        <f t="shared" si="58"/>
        <v>"C:\Program Files (x86)\AstroGrep\AstroGrep.exe" /e /r /s /spath="%USERPROFILE%\AppData\Local\Temp\OnboardLogs" /stypes="app*4066*20171129*" /stext=" 22:.+((SYSTEM_STATE.+slice.+state.+changed )|(ment ac)|(multiple cpu faults)|(system.+state.+changed )|(\[timeout)|(PRM\|1\|D)|(kpr)|(kdp)|(train st.+moving)|(\|lc)|(penalty))"</v>
      </c>
      <c r="AG110" s="245" t="str">
        <f t="shared" si="76"/>
        <v>EC</v>
      </c>
      <c r="AH110" s="237" t="str">
        <f t="shared" si="60"/>
        <v>"%USERPROFILE%\Documents\GitHub\eaglep3\Utilities\RefineRTDCRunTimes.py" --tripid 193-29 --locoid 4066 --swversion DE.1.0.9.0 --startMP 204:559 --initTime 2017-11-29T15:08:02 --startdatetime 2017-11-29T15:15:14 --delay 50 --endMP 204:233229 --enddatetime 2017-11-29T15:58:05 --enforcementcount 0 &gt;&gt;%USERPROFILE%\Documents\GitHub\eaglep3-reporting\EC\2017-11-29-refined-times.txt</v>
      </c>
      <c r="AI110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{"issue":{"subject":"","project_id":79,"tracker_id":40,"status_id":1,"priority_id":2,"assigned_to_id":338,"start_date":"2017-11-29","description":"","custom_fields":[{"id":1,"name":"Subdivision","value":"EC"},{"id":4,"name":"Milepost","value":"23.3229"},{"id":17,"name":"Train ID","value":"193-29"},{"id":16,"name":"Locomotive ID","value":"4066"},{"id":130,"name":"Impact","value":""},{"id":150,"name":"Time of Event (Mountain Time)","value":"15:58:05"},{"id":151,"name":"Denver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4"/>
      <c r="AK110" s="232"/>
      <c r="AL110" s="232"/>
      <c r="AM110" s="241" t="str">
        <f t="shared" si="62"/>
        <v>start /low /b %USERPROFILE%\Documents\GitHub\eaglep3\Utilities\DownloadLogsFromS3.py --loco 4066 --day 2017-11-29</v>
      </c>
      <c r="AN110" s="242" t="str">
        <f t="shared" si="63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22:58:05"},{"id":29,"name":"Sharepoint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1" t="str">
        <f t="shared" si="64"/>
        <v>https://d0f6bd738d7f1b3e5a7ca70fe4ff75f0.us-east-1.aws.found.io/app/kibana#/discover/Steve-Slow-Train-Analysis-(2080s-and-2083s)?_g=(refreshInterval:(display:Off,pause:!f,section:0,value:0),time:(from:'2017-11-29T14:08:02-0700',mode:absolute,to:'2017-11-29T16:58:05-0700'))&amp;_a=(columns:!('Message%20ID',Summary),filters:!(),index:'emp_*',interval:auto,query:(query_string:(analyze_wildcard:!t,query:'%22rtdc.l.rtdc.4066%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230" t="s">
        <v>805</v>
      </c>
      <c r="B111" s="226">
        <v>4065</v>
      </c>
      <c r="C111" s="228" t="s">
        <v>192</v>
      </c>
      <c r="D111" s="228" t="s">
        <v>579</v>
      </c>
      <c r="E111" s="227">
        <v>43068.671898148146</v>
      </c>
      <c r="F111" s="227">
        <v>43068.675474537034</v>
      </c>
      <c r="G111" s="226">
        <v>51</v>
      </c>
      <c r="H111" s="228" t="s">
        <v>514</v>
      </c>
      <c r="I111" s="227">
        <v>43068.70239583333</v>
      </c>
      <c r="J111" s="226">
        <v>0</v>
      </c>
      <c r="K111" s="238" t="str">
        <f t="shared" si="71"/>
        <v>4065/4066</v>
      </c>
      <c r="L111" s="246" t="str">
        <f>VLOOKUP(A111,'Trips&amp;Operators'!$C$1:$G$99911,5,FALSE)</f>
        <v>GUZMAN DANNY</v>
      </c>
      <c r="M111" s="225">
        <f t="shared" si="72"/>
        <v>2.6921296295768116E-2</v>
      </c>
      <c r="N111" s="226">
        <f t="shared" si="69"/>
        <v>38.766666665906087</v>
      </c>
      <c r="O111" s="226"/>
      <c r="P111" s="226"/>
      <c r="Q111" s="229"/>
      <c r="R111" s="243"/>
      <c r="S111" s="250">
        <f t="shared" si="70"/>
        <v>1</v>
      </c>
      <c r="T111" s="243" t="str">
        <f t="shared" si="73"/>
        <v>Southbound</v>
      </c>
      <c r="U111" s="24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9" t="str">
        <f t="shared" si="54"/>
        <v>https://d0f6bd738d7f1b3e5a7ca70fe4ff75f0.us-east-1.aws.found.io/app/kibana#/discover/Steve-Slow-Train-Analysis-(2080s-and-2083s)?_g=(refreshInterval:(display:Off,pause:!f,section:0,value:0),time:(from:'2017-11-29T15:07:32-0700',mode:absolute,to:'2017-11-29T17:51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11" s="248" t="str">
        <f>IF(AA111&lt;VLOOKUP(AG111,Variables!$AC$3:$AD$8,2,FALSE),"Y","N")</f>
        <v>N</v>
      </c>
      <c r="X111" s="248">
        <f t="shared" si="68"/>
        <v>1</v>
      </c>
      <c r="Y111" s="248">
        <f t="shared" si="66"/>
        <v>23.290199999999999</v>
      </c>
      <c r="Z111" s="248">
        <f t="shared" si="67"/>
        <v>2.4899999999999999E-2</v>
      </c>
      <c r="AA111" s="248">
        <f t="shared" si="74"/>
        <v>23.2653</v>
      </c>
      <c r="AB111" s="234" t="e">
        <f>VLOOKUP(A111,Enforcements!$C$7:$K$9,8,0)</f>
        <v>#N/A</v>
      </c>
      <c r="AC111" s="233" t="e">
        <f>VLOOKUP(A111,Enforcements!$C$7:$E$9,3,0)</f>
        <v>#N/A</v>
      </c>
      <c r="AD111" s="244">
        <f t="shared" si="75"/>
        <v>194</v>
      </c>
      <c r="AE111" s="236" t="str">
        <f t="shared" si="57"/>
        <v>aws s3 cp s3://rtdc.mdm.uploadarchive.raw/RTDC4065/ "%USERPROFILE%\AppData\Local\Temp\OnboardLogs"\RTDC4065\2017-11-29 --exclude "*" --recursive --include "*20171129*" &amp; "%USERPROFILE%\Documents\GitHub\mrs-test-scripts\Headless Mode &amp; Sideloading\WalkAndUnGZ.bat" "%USERPROFILE%\AppData\Local\Temp\OnboardLogs"\RTDC4065\2017-11-29 &amp; aws s3 cp s3://rtdc.mdm.uploadarchive.raw/RTDC4065/ "%USERPROFILE%\AppData\Local\Temp\OnboardLogs"\RTDC4065\2017-11-30 --exclude "*" --recursive --include "*20171130*" &amp; "%USERPROFILE%\Documents\GitHub\mrs-test-scripts\Headless Mode &amp; Sideloading\WalkAndUnGZ.bat" "%USERPROFILE%\AppData\Local\Temp\OnboardLogs"\RTDC4065\2017-11-30</v>
      </c>
      <c r="AF111" s="235" t="str">
        <f t="shared" si="58"/>
        <v>"C:\Program Files (x86)\AstroGrep\AstroGrep.exe" /e /r /s /spath="%USERPROFILE%\AppData\Local\Temp\OnboardLogs" /stypes="app*4065*20171129*" /stext=" 23:.+((SYSTEM_STATE.+slice.+state.+changed )|(ment ac)|(multiple cpu faults)|(system.+state.+changed )|(\[timeout)|(PRM\|1\|D)|(kpr)|(kdp)|(train st.+moving)|(\|lc)|(penalty))"</v>
      </c>
      <c r="AG111" s="245" t="str">
        <f t="shared" si="76"/>
        <v>EC</v>
      </c>
      <c r="AH111" s="237" t="str">
        <f t="shared" si="60"/>
        <v>"%USERPROFILE%\Documents\GitHub\eaglep3\Utilities\RefineRTDCRunTimes.py" --tripid 194-29 --locoid 4065 --swversion DE.1.0.9.0 --startMP 204:232902 --initTime 2017-11-29T16:07:32 --startdatetime 2017-11-29T16:12:41 --delay 51 --endMP 204:249 --enddatetime 2017-11-29T16:51:27 --enforcementcount 0 &gt;&gt;%USERPROFILE%\Documents\GitHub\eaglep3-reporting\EC\2017-11-29-refined-times.txt</v>
      </c>
      <c r="AI111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{"issue":{"subject":"","project_id":79,"tracker_id":40,"status_id":1,"priority_id":2,"assigned_to_id":338,"start_date":"2017-11-29","description":"","custom_fields":[{"id":1,"name":"Subdivision","value":"EC"},{"id":4,"name":"Milepost","value":"0.0249"},{"id":17,"name":"Train ID","value":"194-29"},{"id":16,"name":"Locomotive ID","value":"4065"},{"id":130,"name":"Impact","value":""},{"id":150,"name":"Time of Event (Mountain Time)","value":"16:51:27"},{"id":151,"name":"Denver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4"/>
      <c r="AK111" s="232"/>
      <c r="AL111" s="232"/>
      <c r="AM111" s="241" t="str">
        <f t="shared" si="62"/>
        <v>start /low /b %USERPROFILE%\Documents\GitHub\eaglep3\Utilities\DownloadLogsFromS3.py --loco 4065 --day 2017-11-29</v>
      </c>
      <c r="AN111" s="242" t="str">
        <f t="shared" si="63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23:51:27"},{"id":29,"name":"Sharepoint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1" t="str">
        <f t="shared" si="64"/>
        <v>https://d0f6bd738d7f1b3e5a7ca70fe4ff75f0.us-east-1.aws.found.io/app/kibana#/discover/Steve-Slow-Train-Analysis-(2080s-and-2083s)?_g=(refreshInterval:(display:Off,pause:!f,section:0,value:0),time:(from:'2017-11-29T15:07:32-0700',mode:absolute,to:'2017-11-29T17:51:27-0700'))&amp;_a=(columns:!('Message%20ID',Summary),filters:!(),index:'emp_*',interval:auto,query:(query_string:(analyze_wildcard:!t,query:'%22rtdc.l.rtdc.4065%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230" t="s">
        <v>795</v>
      </c>
      <c r="B112" s="226">
        <v>4022</v>
      </c>
      <c r="C112" s="228" t="s">
        <v>192</v>
      </c>
      <c r="D112" s="228" t="s">
        <v>556</v>
      </c>
      <c r="E112" s="227">
        <v>43068.6409375</v>
      </c>
      <c r="F112" s="227">
        <v>43068.646006944444</v>
      </c>
      <c r="G112" s="226">
        <v>51</v>
      </c>
      <c r="H112" s="228" t="s">
        <v>914</v>
      </c>
      <c r="I112" s="227">
        <v>43068.672523148147</v>
      </c>
      <c r="J112" s="226">
        <v>0</v>
      </c>
      <c r="K112" s="238" t="str">
        <f t="shared" si="71"/>
        <v>4021/4022</v>
      </c>
      <c r="L112" s="246" t="str">
        <f>VLOOKUP(A112,'Trips&amp;Operators'!$C$1:$G$99911,5,FALSE)</f>
        <v>LEVIN SCOTT</v>
      </c>
      <c r="M112" s="225">
        <f t="shared" si="72"/>
        <v>2.6516203703067731E-2</v>
      </c>
      <c r="N112" s="226">
        <f t="shared" si="69"/>
        <v>38.183333332417533</v>
      </c>
      <c r="O112" s="226"/>
      <c r="P112" s="226"/>
      <c r="Q112" s="229"/>
      <c r="R112" s="243"/>
      <c r="S112" s="250">
        <f t="shared" si="70"/>
        <v>1</v>
      </c>
      <c r="T112" s="243" t="str">
        <f t="shared" si="73"/>
        <v>NorthBound</v>
      </c>
      <c r="U112" s="24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9" t="str">
        <f t="shared" si="54"/>
        <v>https://d0f6bd738d7f1b3e5a7ca70fe4ff75f0.us-east-1.aws.found.io/app/kibana#/discover/Steve-Slow-Train-Analysis-(2080s-and-2083s)?_g=(refreshInterval:(display:Off,pause:!f,section:0,value:0),time:(from:'2017-11-29T14:22:57-0700',mode:absolute,to:'2017-11-29T17:08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2" s="248" t="str">
        <f>IF(AA112&lt;VLOOKUP(AG112,Variables!$AC$3:$AD$8,2,FALSE),"Y","N")</f>
        <v>N</v>
      </c>
      <c r="X112" s="248">
        <f t="shared" si="68"/>
        <v>1</v>
      </c>
      <c r="Y112" s="248">
        <f t="shared" si="66"/>
        <v>4.7300000000000002E-2</v>
      </c>
      <c r="Z112" s="248">
        <f t="shared" si="67"/>
        <v>23.328800000000001</v>
      </c>
      <c r="AA112" s="248">
        <f t="shared" si="74"/>
        <v>23.281500000000001</v>
      </c>
      <c r="AB112" s="234" t="e">
        <f>VLOOKUP(A112,Enforcements!$C$7:$K$9,8,0)</f>
        <v>#N/A</v>
      </c>
      <c r="AC112" s="233" t="e">
        <f>VLOOKUP(A112,Enforcements!$C$7:$E$9,3,0)</f>
        <v>#N/A</v>
      </c>
      <c r="AD112" s="244">
        <f t="shared" si="75"/>
        <v>195</v>
      </c>
      <c r="AE112" s="236" t="str">
        <f t="shared" si="57"/>
        <v>aws s3 cp s3://rtdc.mdm.uploadarchive.raw/RTDC4022/ "%USERPROFILE%\AppData\Local\Temp\OnboardLogs"\RTDC4022\2017-11-29 --exclude "*" --recursive --include "*20171129*" &amp; "%USERPROFILE%\Documents\GitHub\mrs-test-scripts\Headless Mode &amp; Sideloading\WalkAndUnGZ.bat" "%USERPROFILE%\AppData\Local\Temp\OnboardLogs"\RTDC4022\2017-11-29 &amp; aws s3 cp s3://rtdc.mdm.uploadarchive.raw/RTDC4022/ "%USERPROFILE%\AppData\Local\Temp\OnboardLogs"\RTDC4022\2017-11-30 --exclude "*" --recursive --include "*20171130*" &amp; "%USERPROFILE%\Documents\GitHub\mrs-test-scripts\Headless Mode &amp; Sideloading\WalkAndUnGZ.bat" "%USERPROFILE%\AppData\Local\Temp\OnboardLogs"\RTDC4022\2017-11-30</v>
      </c>
      <c r="AF112" s="235" t="str">
        <f t="shared" si="58"/>
        <v>"C:\Program Files (x86)\AstroGrep\AstroGrep.exe" /e /r /s /spath="%USERPROFILE%\AppData\Local\Temp\OnboardLogs" /stypes="app*4022*20171129*" /stext=" 23:.+((SYSTEM_STATE.+slice.+state.+changed )|(ment ac)|(multiple cpu faults)|(system.+state.+changed )|(\[timeout)|(PRM\|1\|D)|(kpr)|(kdp)|(train st.+moving)|(\|lc)|(penalty))"</v>
      </c>
      <c r="AG112" s="245" t="str">
        <f t="shared" si="76"/>
        <v>EC</v>
      </c>
      <c r="AH112" s="237" t="str">
        <f t="shared" si="60"/>
        <v>"%USERPROFILE%\Documents\GitHub\eaglep3\Utilities\RefineRTDCRunTimes.py" --tripid 195-29 --locoid 4022 --swversion DE.1.0.9.0 --startMP 204:473 --initTime 2017-11-29T15:22:57 --startdatetime 2017-11-29T15:30:15 --delay 51 --endMP 204:233288 --enddatetime 2017-11-29T16:08:26 --enforcementcount 0 &gt;&gt;%USERPROFILE%\Documents\GitHub\eaglep3-reporting\EC\2017-11-29-refined-times.txt</v>
      </c>
      <c r="AI112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{"issue":{"subject":"","project_id":79,"tracker_id":40,"status_id":1,"priority_id":2,"assigned_to_id":338,"start_date":"2017-11-29","description":"","custom_fields":[{"id":1,"name":"Subdivision","value":"EC"},{"id":4,"name":"Milepost","value":"23.3288"},{"id":17,"name":"Train ID","value":"195-29"},{"id":16,"name":"Locomotive ID","value":"4022"},{"id":130,"name":"Impact","value":""},{"id":150,"name":"Time of Event (Mountain Time)","value":"16:08:26"},{"id":151,"name":"Denver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4"/>
      <c r="AK112" s="232"/>
      <c r="AL112" s="232"/>
      <c r="AM112" s="241" t="str">
        <f t="shared" si="62"/>
        <v>start /low /b %USERPROFILE%\Documents\GitHub\eaglep3\Utilities\DownloadLogsFromS3.py --loco 4022 --day 2017-11-29</v>
      </c>
      <c r="AN112" s="242" t="str">
        <f t="shared" si="63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23:08:26"},{"id":29,"name":"Sharepoint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1" t="str">
        <f t="shared" si="64"/>
        <v>https://d0f6bd738d7f1b3e5a7ca70fe4ff75f0.us-east-1.aws.found.io/app/kibana#/discover/Steve-Slow-Train-Analysis-(2080s-and-2083s)?_g=(refreshInterval:(display:Off,pause:!f,section:0,value:0),time:(from:'2017-11-29T14:22:57-0700',mode:absolute,to:'2017-11-29T17:08:26-0700'))&amp;_a=(columns:!('Message%20ID',Summary),filters:!(),index:'emp_*',interval:auto,query:(query_string:(analyze_wildcard:!t,query:'%22rtdc.l.rtdc.4022%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230" t="s">
        <v>808</v>
      </c>
      <c r="B113" s="226">
        <v>4021</v>
      </c>
      <c r="C113" s="228" t="s">
        <v>192</v>
      </c>
      <c r="D113" s="228" t="s">
        <v>948</v>
      </c>
      <c r="E113" s="227">
        <v>43068.676874999997</v>
      </c>
      <c r="F113" s="227">
        <v>43068.685601851852</v>
      </c>
      <c r="G113" s="226">
        <v>47</v>
      </c>
      <c r="H113" s="228" t="s">
        <v>949</v>
      </c>
      <c r="I113" s="227">
        <v>43068.712245370371</v>
      </c>
      <c r="J113" s="226">
        <v>0</v>
      </c>
      <c r="K113" s="238" t="str">
        <f t="shared" si="71"/>
        <v>4021/4022</v>
      </c>
      <c r="L113" s="246" t="str">
        <f>VLOOKUP(A113,'Trips&amp;Operators'!$C$1:$G$99911,5,FALSE)</f>
        <v>LEVIN SCOTT</v>
      </c>
      <c r="M113" s="225">
        <f t="shared" si="72"/>
        <v>2.6643518518540077E-2</v>
      </c>
      <c r="N113" s="226">
        <f t="shared" si="69"/>
        <v>38.366666666697711</v>
      </c>
      <c r="O113" s="226"/>
      <c r="P113" s="226"/>
      <c r="Q113" s="229"/>
      <c r="R113" s="243"/>
      <c r="S113" s="250">
        <f t="shared" si="70"/>
        <v>1</v>
      </c>
      <c r="T113" s="243" t="str">
        <f t="shared" si="73"/>
        <v>Southbound</v>
      </c>
      <c r="U113" s="24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9" t="str">
        <f t="shared" si="54"/>
        <v>https://d0f6bd738d7f1b3e5a7ca70fe4ff75f0.us-east-1.aws.found.io/app/kibana#/discover/Steve-Slow-Train-Analysis-(2080s-and-2083s)?_g=(refreshInterval:(display:Off,pause:!f,section:0,value:0),time:(from:'2017-11-29T15:14:42-0700',mode:absolute,to:'2017-11-29T18:05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3" s="248" t="str">
        <f>IF(AA113&lt;VLOOKUP(AG113,Variables!$AC$3:$AD$8,2,FALSE),"Y","N")</f>
        <v>N</v>
      </c>
      <c r="X113" s="248">
        <f t="shared" si="68"/>
        <v>1</v>
      </c>
      <c r="Y113" s="248">
        <f t="shared" si="66"/>
        <v>23.2973</v>
      </c>
      <c r="Z113" s="248">
        <f t="shared" si="67"/>
        <v>1.6E-2</v>
      </c>
      <c r="AA113" s="248">
        <f t="shared" si="74"/>
        <v>23.281300000000002</v>
      </c>
      <c r="AB113" s="234" t="e">
        <f>VLOOKUP(A113,Enforcements!$C$7:$K$9,8,0)</f>
        <v>#N/A</v>
      </c>
      <c r="AC113" s="233" t="e">
        <f>VLOOKUP(A113,Enforcements!$C$7:$E$9,3,0)</f>
        <v>#N/A</v>
      </c>
      <c r="AD113" s="244">
        <f t="shared" si="75"/>
        <v>196</v>
      </c>
      <c r="AE113" s="236" t="str">
        <f t="shared" si="57"/>
        <v>aws s3 cp s3://rtdc.mdm.uploadarchive.raw/RTDC4021/ "%USERPROFILE%\AppData\Local\Temp\OnboardLogs"\RTDC4021\2017-11-29 --exclude "*" --recursive --include "*20171129*" &amp; "%USERPROFILE%\Documents\GitHub\mrs-test-scripts\Headless Mode &amp; Sideloading\WalkAndUnGZ.bat" "%USERPROFILE%\AppData\Local\Temp\OnboardLogs"\RTDC4021\2017-11-29 &amp; aws s3 cp s3://rtdc.mdm.uploadarchive.raw/RTDC4021/ "%USERPROFILE%\AppData\Local\Temp\OnboardLogs"\RTDC4021\2017-11-30 --exclude "*" --recursive --include "*20171130*" &amp; "%USERPROFILE%\Documents\GitHub\mrs-test-scripts\Headless Mode &amp; Sideloading\WalkAndUnGZ.bat" "%USERPROFILE%\AppData\Local\Temp\OnboardLogs"\RTDC4021\2017-11-30</v>
      </c>
      <c r="AF113" s="235" t="str">
        <f t="shared" si="58"/>
        <v>"C:\Program Files (x86)\AstroGrep\AstroGrep.exe" /e /r /s /spath="%USERPROFILE%\AppData\Local\Temp\OnboardLogs" /stypes="app*4021*20171130*" /stext=" 00:.+((SYSTEM_STATE.+slice.+state.+changed )|(ment ac)|(multiple cpu faults)|(system.+state.+changed )|(\[timeout)|(PRM\|1\|D)|(kpr)|(kdp)|(train st.+moving)|(\|lc)|(penalty))"</v>
      </c>
      <c r="AG113" s="245" t="str">
        <f t="shared" si="76"/>
        <v>EC</v>
      </c>
      <c r="AH113" s="237" t="str">
        <f t="shared" si="60"/>
        <v>"%USERPROFILE%\Documents\GitHub\eaglep3\Utilities\RefineRTDCRunTimes.py" --tripid 196-29 --locoid 4021 --swversion DE.1.0.9.0 --startMP 204:232973 --initTime 2017-11-29T16:14:42 --startdatetime 2017-11-29T16:27:16 --delay 47 --endMP 204:160 --enddatetime 2017-11-29T17:05:38 --enforcementcount 0 &gt;&gt;%USERPROFILE%\Documents\GitHub\eaglep3-reporting\EC\2017-11-29-refined-times.txt</v>
      </c>
      <c r="AI113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{"issue":{"subject":"","project_id":79,"tracker_id":40,"status_id":1,"priority_id":2,"assigned_to_id":338,"start_date":"2017-11-29","description":"","custom_fields":[{"id":1,"name":"Subdivision","value":"EC"},{"id":4,"name":"Milepost","value":"0.016"},{"id":17,"name":"Train ID","value":"196-29"},{"id":16,"name":"Locomotive ID","value":"4021"},{"id":130,"name":"Impact","value":""},{"id":150,"name":"Time of Event (Mountain Time)","value":"17:05:38"},{"id":151,"name":"Denver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4"/>
      <c r="AK113" s="232"/>
      <c r="AL113" s="232"/>
      <c r="AM113" s="241" t="str">
        <f t="shared" si="62"/>
        <v>start /low /b %USERPROFILE%\Documents\GitHub\eaglep3\Utilities\DownloadLogsFromS3.py --loco 4021 --day 2017-11-29</v>
      </c>
      <c r="AN113" s="242" t="str">
        <f t="shared" si="6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00:05:38"},{"id":29,"name":"Sharepoint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1" t="str">
        <f t="shared" si="64"/>
        <v>https://d0f6bd738d7f1b3e5a7ca70fe4ff75f0.us-east-1.aws.found.io/app/kibana#/discover/Steve-Slow-Train-Analysis-(2080s-and-2083s)?_g=(refreshInterval:(display:Off,pause:!f,section:0,value:0),time:(from:'2017-11-29T15:14:42-0700',mode:absolute,to:'2017-11-29T18:05:38-0700'))&amp;_a=(columns:!('Message%20ID',Summary),filters:!(),index:'emp_*',interval:auto,query:(query_string:(analyze_wildcard:!t,query:'%22rtdc.l.rtdc.4021%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230" t="s">
        <v>798</v>
      </c>
      <c r="B114" s="226">
        <v>4044</v>
      </c>
      <c r="C114" s="228" t="s">
        <v>192</v>
      </c>
      <c r="D114" s="228" t="s">
        <v>950</v>
      </c>
      <c r="E114" s="227">
        <v>43068.650335648148</v>
      </c>
      <c r="F114" s="227">
        <v>43068.656446759262</v>
      </c>
      <c r="G114" s="226">
        <v>119</v>
      </c>
      <c r="H114" s="228" t="s">
        <v>951</v>
      </c>
      <c r="I114" s="227">
        <v>43068.683877314812</v>
      </c>
      <c r="J114" s="226">
        <v>0</v>
      </c>
      <c r="K114" s="238" t="str">
        <f t="shared" si="71"/>
        <v>4043/4044</v>
      </c>
      <c r="L114" s="246" t="str">
        <f>VLOOKUP(A114,'Trips&amp;Operators'!$C$1:$G$99911,5,FALSE)</f>
        <v>BERLING GARY</v>
      </c>
      <c r="M114" s="225">
        <f t="shared" si="72"/>
        <v>2.7430555550381541E-2</v>
      </c>
      <c r="N114" s="226">
        <f t="shared" si="69"/>
        <v>39.499999992549419</v>
      </c>
      <c r="O114" s="226"/>
      <c r="P114" s="226"/>
      <c r="Q114" s="229"/>
      <c r="R114" s="243"/>
      <c r="S114" s="250">
        <f t="shared" si="70"/>
        <v>1</v>
      </c>
      <c r="T114" s="243" t="str">
        <f t="shared" si="73"/>
        <v>NorthBound</v>
      </c>
      <c r="U114" s="24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9" t="str">
        <f t="shared" si="54"/>
        <v>https://d0f6bd738d7f1b3e5a7ca70fe4ff75f0.us-east-1.aws.found.io/app/kibana#/discover/Steve-Slow-Train-Analysis-(2080s-and-2083s)?_g=(refreshInterval:(display:Off,pause:!f,section:0,value:0),time:(from:'2017-11-29T14:36:29-0700',mode:absolute,to:'2017-11-29T17:24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4" s="248" t="str">
        <f>IF(AA114&lt;VLOOKUP(AG114,Variables!$AC$3:$AD$8,2,FALSE),"Y","N")</f>
        <v>N</v>
      </c>
      <c r="X114" s="248">
        <f t="shared" si="68"/>
        <v>1</v>
      </c>
      <c r="Y114" s="248">
        <f t="shared" si="66"/>
        <v>5.1900000000000002E-2</v>
      </c>
      <c r="Z114" s="248">
        <f t="shared" si="67"/>
        <v>23.323599999999999</v>
      </c>
      <c r="AA114" s="248">
        <f t="shared" si="74"/>
        <v>23.271699999999999</v>
      </c>
      <c r="AB114" s="234" t="e">
        <f>VLOOKUP(A114,Enforcements!$C$7:$K$9,8,0)</f>
        <v>#N/A</v>
      </c>
      <c r="AC114" s="233" t="e">
        <f>VLOOKUP(A114,Enforcements!$C$7:$E$9,3,0)</f>
        <v>#N/A</v>
      </c>
      <c r="AD114" s="244">
        <f t="shared" si="75"/>
        <v>197</v>
      </c>
      <c r="AE114" s="236" t="str">
        <f t="shared" si="57"/>
        <v>aws s3 cp s3://rtdc.mdm.uploadarchive.raw/RTDC4044/ "%USERPROFILE%\AppData\Local\Temp\OnboardLogs"\RTDC4044\2017-11-29 --exclude "*" --recursive --include "*20171129*" &amp; "%USERPROFILE%\Documents\GitHub\mrs-test-scripts\Headless Mode &amp; Sideloading\WalkAndUnGZ.bat" "%USERPROFILE%\AppData\Local\Temp\OnboardLogs"\RTDC4044\2017-11-29 &amp; aws s3 cp s3://rtdc.mdm.uploadarchive.raw/RTDC4044/ "%USERPROFILE%\AppData\Local\Temp\OnboardLogs"\RTDC4044\2017-11-30 --exclude "*" --recursive --include "*20171130*" &amp; "%USERPROFILE%\Documents\GitHub\mrs-test-scripts\Headless Mode &amp; Sideloading\WalkAndUnGZ.bat" "%USERPROFILE%\AppData\Local\Temp\OnboardLogs"\RTDC4044\2017-11-30</v>
      </c>
      <c r="AF114" s="235" t="str">
        <f t="shared" si="58"/>
        <v>"C:\Program Files (x86)\AstroGrep\AstroGrep.exe" /e /r /s /spath="%USERPROFILE%\AppData\Local\Temp\OnboardLogs" /stypes="app*4044*20171129*" /stext=" 23:.+((SYSTEM_STATE.+slice.+state.+changed )|(ment ac)|(multiple cpu faults)|(system.+state.+changed )|(\[timeout)|(PRM\|1\|D)|(kpr)|(kdp)|(train st.+moving)|(\|lc)|(penalty))"</v>
      </c>
      <c r="AG114" s="245" t="str">
        <f t="shared" si="76"/>
        <v>EC</v>
      </c>
      <c r="AH114" s="237" t="str">
        <f t="shared" si="60"/>
        <v>"%USERPROFILE%\Documents\GitHub\eaglep3\Utilities\RefineRTDCRunTimes.py" --tripid 197-29 --locoid 4044 --swversion DE.1.0.9.0 --startMP 204:519 --initTime 2017-11-29T15:36:29 --startdatetime 2017-11-29T15:45:17 --delay 119 --endMP 204:233236 --enddatetime 2017-11-29T16:24:47 --enforcementcount 0 &gt;&gt;%USERPROFILE%\Documents\GitHub\eaglep3-reporting\EC\2017-11-29-refined-times.txt</v>
      </c>
      <c r="AI114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{"issue":{"subject":"","project_id":79,"tracker_id":40,"status_id":1,"priority_id":2,"assigned_to_id":338,"start_date":"2017-11-29","description":"","custom_fields":[{"id":1,"name":"Subdivision","value":"EC"},{"id":4,"name":"Milepost","value":"23.3236"},{"id":17,"name":"Train ID","value":"197-29"},{"id":16,"name":"Locomotive ID","value":"4044"},{"id":130,"name":"Impact","value":""},{"id":150,"name":"Time of Event (Mountain Time)","value":"16:24:47"},{"id":151,"name":"Denver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4"/>
      <c r="AK114" s="232"/>
      <c r="AL114" s="232"/>
      <c r="AM114" s="241" t="str">
        <f t="shared" si="62"/>
        <v>start /low /b %USERPROFILE%\Documents\GitHub\eaglep3\Utilities\DownloadLogsFromS3.py --loco 4044 --day 2017-11-29</v>
      </c>
      <c r="AN114" s="242" t="str">
        <f t="shared" si="63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23:24:47"},{"id":29,"name":"Sharepoint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1" t="str">
        <f t="shared" si="64"/>
        <v>https://d0f6bd738d7f1b3e5a7ca70fe4ff75f0.us-east-1.aws.found.io/app/kibana#/discover/Steve-Slow-Train-Analysis-(2080s-and-2083s)?_g=(refreshInterval:(display:Off,pause:!f,section:0,value:0),time:(from:'2017-11-29T14:36:29-0700',mode:absolute,to:'2017-11-29T17:24:47-0700'))&amp;_a=(columns:!('Message%20ID',Summary),filters:!(),index:'emp_*',interval:auto,query:(query_string:(analyze_wildcard:!t,query:'%22rtdc.l.rtdc.4044%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230" t="s">
        <v>811</v>
      </c>
      <c r="B115" s="226">
        <v>4043</v>
      </c>
      <c r="C115" s="228" t="s">
        <v>192</v>
      </c>
      <c r="D115" s="228" t="s">
        <v>952</v>
      </c>
      <c r="E115" s="227">
        <v>43068.690833333334</v>
      </c>
      <c r="F115" s="227">
        <v>43068.696076388886</v>
      </c>
      <c r="G115" s="226">
        <v>76</v>
      </c>
      <c r="H115" s="228" t="s">
        <v>413</v>
      </c>
      <c r="I115" s="227">
        <v>43068.722685185188</v>
      </c>
      <c r="J115" s="226">
        <v>0</v>
      </c>
      <c r="K115" s="238" t="str">
        <f t="shared" si="71"/>
        <v>4043/4044</v>
      </c>
      <c r="L115" s="246" t="str">
        <f>VLOOKUP(A115,'Trips&amp;Operators'!$C$1:$G$99911,5,FALSE)</f>
        <v>BERLING GARY</v>
      </c>
      <c r="M115" s="225">
        <f t="shared" si="72"/>
        <v>2.6608796302753035E-2</v>
      </c>
      <c r="N115" s="226">
        <f t="shared" si="69"/>
        <v>38.31666667596437</v>
      </c>
      <c r="O115" s="226"/>
      <c r="P115" s="226"/>
      <c r="Q115" s="229"/>
      <c r="R115" s="243"/>
      <c r="S115" s="250">
        <f t="shared" si="70"/>
        <v>1</v>
      </c>
      <c r="T115" s="243" t="str">
        <f t="shared" si="73"/>
        <v>Southbound</v>
      </c>
      <c r="U115" s="24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9" t="str">
        <f t="shared" si="54"/>
        <v>https://d0f6bd738d7f1b3e5a7ca70fe4ff75f0.us-east-1.aws.found.io/app/kibana#/discover/Steve-Slow-Train-Analysis-(2080s-and-2083s)?_g=(refreshInterval:(display:Off,pause:!f,section:0,value:0),time:(from:'2017-11-29T15:34:48-0700',mode:absolute,to:'2017-11-29T18:20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5" s="248" t="str">
        <f>IF(AA115&lt;VLOOKUP(AG115,Variables!$AC$3:$AD$8,2,FALSE),"Y","N")</f>
        <v>N</v>
      </c>
      <c r="X115" s="248">
        <f t="shared" si="68"/>
        <v>1</v>
      </c>
      <c r="Y115" s="248">
        <f t="shared" si="66"/>
        <v>23.292999999999999</v>
      </c>
      <c r="Z115" s="248">
        <f t="shared" si="67"/>
        <v>2.07E-2</v>
      </c>
      <c r="AA115" s="248">
        <f t="shared" si="74"/>
        <v>23.272299999999998</v>
      </c>
      <c r="AB115" s="234" t="e">
        <f>VLOOKUP(A115,Enforcements!$C$7:$K$9,8,0)</f>
        <v>#N/A</v>
      </c>
      <c r="AC115" s="233" t="e">
        <f>VLOOKUP(A115,Enforcements!$C$7:$E$9,3,0)</f>
        <v>#N/A</v>
      </c>
      <c r="AD115" s="244">
        <f t="shared" si="75"/>
        <v>198</v>
      </c>
      <c r="AE115" s="236" t="str">
        <f t="shared" si="57"/>
        <v>aws s3 cp s3://rtdc.mdm.uploadarchive.raw/RTDC4043/ "%USERPROFILE%\AppData\Local\Temp\OnboardLogs"\RTDC4043\2017-11-29 --exclude "*" --recursive --include "*20171129*" &amp; "%USERPROFILE%\Documents\GitHub\mrs-test-scripts\Headless Mode &amp; Sideloading\WalkAndUnGZ.bat" "%USERPROFILE%\AppData\Local\Temp\OnboardLogs"\RTDC4043\2017-11-29 &amp; aws s3 cp s3://rtdc.mdm.uploadarchive.raw/RTDC4043/ "%USERPROFILE%\AppData\Local\Temp\OnboardLogs"\RTDC4043\2017-11-30 --exclude "*" --recursive --include "*20171130*" &amp; "%USERPROFILE%\Documents\GitHub\mrs-test-scripts\Headless Mode &amp; Sideloading\WalkAndUnGZ.bat" "%USERPROFILE%\AppData\Local\Temp\OnboardLogs"\RTDC4043\2017-11-30</v>
      </c>
      <c r="AF115" s="235" t="str">
        <f t="shared" si="58"/>
        <v>"C:\Program Files (x86)\AstroGrep\AstroGrep.exe" /e /r /s /spath="%USERPROFILE%\AppData\Local\Temp\OnboardLogs" /stypes="app*4043*20171130*" /stext=" 00:.+((SYSTEM_STATE.+slice.+state.+changed )|(ment ac)|(multiple cpu faults)|(system.+state.+changed )|(\[timeout)|(PRM\|1\|D)|(kpr)|(kdp)|(train st.+moving)|(\|lc)|(penalty))"</v>
      </c>
      <c r="AG115" s="245" t="str">
        <f t="shared" si="76"/>
        <v>EC</v>
      </c>
      <c r="AH115" s="237" t="str">
        <f t="shared" si="60"/>
        <v>"%USERPROFILE%\Documents\GitHub\eaglep3\Utilities\RefineRTDCRunTimes.py" --tripid 198-29 --locoid 4043 --swversion DE.1.0.9.0 --startMP 204:232930 --initTime 2017-11-29T16:34:48 --startdatetime 2017-11-29T16:42:21 --delay 76 --endMP 204:207 --enddatetime 2017-11-29T17:20:40 --enforcementcount 0 &gt;&gt;%USERPROFILE%\Documents\GitHub\eaglep3-reporting\EC\2017-11-29-refined-times.txt</v>
      </c>
      <c r="AI115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{"issue":{"subject":"","project_id":79,"tracker_id":40,"status_id":1,"priority_id":2,"assigned_to_id":338,"start_date":"2017-11-29","description":"","custom_fields":[{"id":1,"name":"Subdivision","value":"EC"},{"id":4,"name":"Milepost","value":"0.0207"},{"id":17,"name":"Train ID","value":"198-29"},{"id":16,"name":"Locomotive ID","value":"4043"},{"id":130,"name":"Impact","value":""},{"id":150,"name":"Time of Event (Mountain Time)","value":"17:20:40"},{"id":151,"name":"Denver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4"/>
      <c r="AK115" s="232"/>
      <c r="AL115" s="232"/>
      <c r="AM115" s="241" t="str">
        <f t="shared" si="62"/>
        <v>start /low /b %USERPROFILE%\Documents\GitHub\eaglep3\Utilities\DownloadLogsFromS3.py --loco 4043 --day 2017-11-29</v>
      </c>
      <c r="AN115" s="242" t="str">
        <f t="shared" si="6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00:20:40"},{"id":29,"name":"Sharepoint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1" t="str">
        <f t="shared" si="64"/>
        <v>https://d0f6bd738d7f1b3e5a7ca70fe4ff75f0.us-east-1.aws.found.io/app/kibana#/discover/Steve-Slow-Train-Analysis-(2080s-and-2083s)?_g=(refreshInterval:(display:Off,pause:!f,section:0,value:0),time:(from:'2017-11-29T15:34:48-0700',mode:absolute,to:'2017-11-29T18:20:40-0700'))&amp;_a=(columns:!('Message%20ID',Summary),filters:!(),index:'emp_*',interval:auto,query:(query_string:(analyze_wildcard:!t,query:'%22rtdc.l.rtdc.4043%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24" customFormat="1" x14ac:dyDescent="0.25">
      <c r="A116" s="230" t="s">
        <v>803</v>
      </c>
      <c r="B116" s="226">
        <v>4064</v>
      </c>
      <c r="C116" s="228" t="s">
        <v>192</v>
      </c>
      <c r="D116" s="228" t="s">
        <v>952</v>
      </c>
      <c r="E116" s="227">
        <v>43068.690833333334</v>
      </c>
      <c r="F116" s="227">
        <v>43068.667129629626</v>
      </c>
      <c r="G116" s="226">
        <v>76</v>
      </c>
      <c r="H116" s="228" t="s">
        <v>413</v>
      </c>
      <c r="I116" s="227">
        <v>43068.69321759259</v>
      </c>
      <c r="J116" s="226">
        <v>0</v>
      </c>
      <c r="K116" s="238" t="str">
        <f t="shared" ref="K116:K117" si="77">IF(ISEVEN(B116),(B116-1)&amp;"/"&amp;B116,B116&amp;"/"&amp;(B116+1))</f>
        <v>4063/4064</v>
      </c>
      <c r="L116" s="246" t="str">
        <f>VLOOKUP(A116,'Trips&amp;Operators'!$C$1:$G$99911,5,FALSE)</f>
        <v>MOSES BRADLEY</v>
      </c>
      <c r="M116" s="225">
        <f t="shared" ref="M116:M117" si="78">I116-F116</f>
        <v>2.6087962964083999E-2</v>
      </c>
      <c r="N116" s="226">
        <f t="shared" ref="N116:N117" si="79">24*60*SUM($M116:$M116)</f>
        <v>37.566666668280959</v>
      </c>
      <c r="O116" s="226"/>
      <c r="P116" s="226"/>
      <c r="Q116" s="229"/>
      <c r="R116" s="243"/>
      <c r="S116" s="250">
        <f t="shared" ref="S116:S117" si="80">1/IF(AG116="EC",12,1)*SUM(U116:U116)</f>
        <v>1</v>
      </c>
      <c r="T116" s="243" t="str">
        <f t="shared" ref="T116:T117" si="81">IF(ISEVEN(LEFT(AD116,4)),"Southbound","NorthBound")</f>
        <v>NorthBound</v>
      </c>
      <c r="U116" s="24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9" t="str">
        <f t="shared" si="54"/>
        <v>https://d0f6bd738d7f1b3e5a7ca70fe4ff75f0.us-east-1.aws.found.io/app/kibana#/discover/Steve-Slow-Train-Analysis-(2080s-and-2083s)?_g=(refreshInterval:(display:Off,pause:!f,section:0,value:0),time:(from:'2017-11-29T15:34:48-0700',mode:absolute,to:'2017-11-29T17:38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6" s="248" t="str">
        <f>IF(AA116&lt;VLOOKUP(AG116,Variables!$AC$3:$AD$8,2,FALSE),"Y","N")</f>
        <v>N</v>
      </c>
      <c r="X116" s="248">
        <f t="shared" ref="X116:X118" si="82">VALUE(LEFT(AD116,4))-VALUE(LEFT(AD115,4))</f>
        <v>1</v>
      </c>
      <c r="Y116" s="248">
        <v>5.1900000000000002E-2</v>
      </c>
      <c r="Z116" s="248">
        <v>23.323599999999999</v>
      </c>
      <c r="AA116" s="248">
        <f t="shared" ref="AA116:AA117" si="83">ABS(Z116-Y116)</f>
        <v>23.271699999999999</v>
      </c>
      <c r="AB116" s="234" t="e">
        <f>VLOOKUP(A116,Enforcements!$C$7:$K$9,8,0)</f>
        <v>#N/A</v>
      </c>
      <c r="AC116" s="233" t="e">
        <f>VLOOKUP(A116,Enforcements!$C$7:$E$9,3,0)</f>
        <v>#N/A</v>
      </c>
      <c r="AD116" s="244">
        <f t="shared" ref="AD116:AD117" si="84">VALUE(LEFT(A116,LEN(A116)-3))</f>
        <v>199</v>
      </c>
      <c r="AE116" s="236" t="str">
        <f t="shared" si="57"/>
        <v>aws s3 cp s3://rtdc.mdm.uploadarchive.raw/RTDC4064/ "%USERPROFILE%\AppData\Local\Temp\OnboardLogs"\RTDC4064\2017-11-29 --exclude "*" --recursive --include "*20171129*" &amp; "%USERPROFILE%\Documents\GitHub\mrs-test-scripts\Headless Mode &amp; Sideloading\WalkAndUnGZ.bat" "%USERPROFILE%\AppData\Local\Temp\OnboardLogs"\RTDC4064\2017-11-29 &amp; aws s3 cp s3://rtdc.mdm.uploadarchive.raw/RTDC4064/ "%USERPROFILE%\AppData\Local\Temp\OnboardLogs"\RTDC4064\2017-11-30 --exclude "*" --recursive --include "*20171130*" &amp; "%USERPROFILE%\Documents\GitHub\mrs-test-scripts\Headless Mode &amp; Sideloading\WalkAndUnGZ.bat" "%USERPROFILE%\AppData\Local\Temp\OnboardLogs"\RTDC4064\2017-11-30</v>
      </c>
      <c r="AF116" s="235" t="str">
        <f t="shared" si="58"/>
        <v>"C:\Program Files (x86)\AstroGrep\AstroGrep.exe" /e /r /s /spath="%USERPROFILE%\AppData\Local\Temp\OnboardLogs" /stypes="app*4064*20171129*" /stext=" 23:.+((SYSTEM_STATE.+slice.+state.+changed )|(ment ac)|(multiple cpu faults)|(system.+state.+changed )|(\[timeout)|(PRM\|1\|D)|(kpr)|(kdp)|(train st.+moving)|(\|lc)|(penalty))"</v>
      </c>
      <c r="AG116" s="245" t="str">
        <f t="shared" ref="AG116:AG117" si="85">DetSubdiv(A116)</f>
        <v>EC</v>
      </c>
      <c r="AH116" s="237" t="str">
        <f t="shared" ref="AH116:AH117" si="86">refinertdcruntimes&amp;" --tripid "&amp;A116&amp;" --locoid "&amp;B116&amp;" --swversion "&amp;C116&amp;" --startMP "&amp;D116&amp;" --initTime "&amp;TEXT(E116,"yyyy-mm-ddTHH:MM:SS")&amp;" --startdatetime "&amp;TEXT(F116,"yyyy-mm-ddTHH:MM:SS")&amp;" --delay "&amp;G116&amp;" --endMP "&amp;H116&amp;" --enddatetime "&amp;TEXT(I116,"yyyy-mm-ddTHH:MM:SS")&amp;" --enforcementcount "&amp;J116&amp;IF(outputrefinedruntimes," &gt;&gt;"&amp;RefinedRTDCRunTimesOutputFile,"")</f>
        <v>"%USERPROFILE%\Documents\GitHub\eaglep3\Utilities\RefineRTDCRunTimes.py" --tripid 199-29 --locoid 4064 --swversion DE.1.0.9.0 --startMP 204:232930 --initTime 2017-11-29T16:34:48 --startdatetime 2017-11-29T16:00:40 --delay 76 --endMP 204:207 --enddatetime 2017-11-29T16:38:14 --enforcementcount 0 &gt;&gt;%USERPROFILE%\Documents\GitHub\eaglep3-reporting\EC\2017-11-29-refined-times.txt</v>
      </c>
      <c r="AI116" s="239" t="str">
        <f t="shared" ref="AI116:AI117" si="87">"echo {""issue"":{""subject"":"""&amp;R116&amp;""",""project_id"":79,""tracker_id"":40,""status_id"":"&amp;redmine_status&amp;",""priority_id"":"&amp;redmine_priority&amp;",""assigned_to_id"":"&amp;redmine_assignee&amp;",""start_date"":"""&amp;TEXT(I116,"YYYY-mm-dd")&amp;""",""description"":"""&amp;AJ116&amp;""",""custom_fields"":[{""id"":1,""name"":""Subdivision"",""value"":"""&amp;AG116&amp;"""},{""id"":4,""name"":""Milepost"",""value"":"""&amp;Z116&amp;"""},{""id"":17,""name"":""Train ID"",""value"":"""&amp;A116&amp;"""},{""id"":16,""name"":""Locomotive ID"",""value"":"""&amp;B116&amp;"""},{""id"":130,""name"":""Impact"",""value"":"""&amp;AK116&amp;"""},{""id"":150,""name"":""Time of Event (Mountain Time)"",""value"":"""&amp;TEXT(I116,"hh:mm:ss")&amp;"""},{""id"":151,""name"":""Denver Issue ID"",""value"":"""&amp;"""},{""id"":178,""name"":""Operational Impact"",""value"":"""&amp;redmine_op_impact&amp;"""},{""id"":179,""name"":""Denver Segment Assigned"",""value"":"""&amp;AL116&amp;"""}]}}"&amp;"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{"issue":{"subject":"","project_id":79,"tracker_id":40,"status_id":1,"priority_id":2,"assigned_to_id":338,"start_date":"2017-11-29","description":"","custom_fields":[{"id":1,"name":"Subdivision","value":"EC"},{"id":4,"name":"Milepost","value":"23.3236"},{"id":17,"name":"Train ID","value":"199-29"},{"id":16,"name":"Locomotive ID","value":"4064"},{"id":130,"name":"Impact","value":""},{"id":150,"name":"Time of Event (Mountain Time)","value":"16:38:14"},{"id":151,"name":"Denver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232"/>
      <c r="AL116" s="232"/>
      <c r="AM116" s="241" t="str">
        <f t="shared" ref="AM116:AM117" si="88">"start /low /b "&amp;dls3logs&amp;" --loco "&amp;B116&amp;" --day "&amp;TEXT(F116,"YYYY-MM-DD")</f>
        <v>start /low /b %USERPROFILE%\Documents\GitHub\eaglep3\Utilities\DownloadLogsFromS3.py --loco 4064 --day 2017-11-29</v>
      </c>
      <c r="AN116" s="242" t="str">
        <f t="shared" ref="AN116:AN117" si="89">"echo {""issue"":{""subject"":"""&amp;R116&amp;""",""project_id"":30,""tracker_id"":4,""status_id"":"&amp;redmine_status_wcr&amp;",""priority_id"":"&amp;redmine_priority_wcr&amp;",""assigned_to_id"":"&amp;redmine_assignee_wcr&amp;",""start_date"":"""&amp;TEXT(I116-utc_offset/24,"YYYY-mm-dd")&amp;""",""description"":"""&amp;AJ116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23:38:14"},{"id":29,"name":"Sharepoint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1" t="str">
        <f t="shared" ref="AO116:AO117" si="90"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Message%20ID',Summary),filters:!(),index:'emp_*',interval:auto,query:"&amp;"(query_string:(analyze_wildcard:!t,query:'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-11-29T15:34:48-0700',mode:absolute,to:'2017-11-29T17:38:14-0700'))&amp;_a=(columns:!('Message%20ID',Summary),filters:!(),index:'emp_*',interval:auto,query:(query_string:(analyze_wildcard:!t,query:'%22rtdc.l.rtdc.4064%22')),sort:!(Time.ISO8601,asc))</v>
      </c>
    </row>
    <row r="117" spans="1:91" s="224" customFormat="1" x14ac:dyDescent="0.25">
      <c r="A117" s="230" t="s">
        <v>813</v>
      </c>
      <c r="B117" s="226">
        <v>4063</v>
      </c>
      <c r="C117" s="228" t="s">
        <v>192</v>
      </c>
      <c r="D117" s="228" t="s">
        <v>952</v>
      </c>
      <c r="E117" s="227">
        <v>43068.690833333334</v>
      </c>
      <c r="F117" s="227">
        <v>43068.706585648149</v>
      </c>
      <c r="G117" s="226">
        <v>76</v>
      </c>
      <c r="H117" s="228" t="s">
        <v>413</v>
      </c>
      <c r="I117" s="227">
        <v>43068.732615740744</v>
      </c>
      <c r="J117" s="226">
        <v>0</v>
      </c>
      <c r="K117" s="238" t="str">
        <f t="shared" si="77"/>
        <v>4063/4064</v>
      </c>
      <c r="L117" s="246" t="str">
        <f>VLOOKUP(A117,'Trips&amp;Operators'!$C$1:$G$99911,5,FALSE)</f>
        <v>MOSES BRADLEY</v>
      </c>
      <c r="M117" s="225">
        <f t="shared" si="78"/>
        <v>2.6030092594737653E-2</v>
      </c>
      <c r="N117" s="226">
        <f t="shared" si="79"/>
        <v>37.48333333642222</v>
      </c>
      <c r="O117" s="226"/>
      <c r="P117" s="226"/>
      <c r="Q117" s="229"/>
      <c r="R117" s="243"/>
      <c r="S117" s="250">
        <f t="shared" si="80"/>
        <v>1</v>
      </c>
      <c r="T117" s="243" t="str">
        <f t="shared" si="81"/>
        <v>Southbound</v>
      </c>
      <c r="U117" s="24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9" t="str">
        <f t="shared" si="54"/>
        <v>https://d0f6bd738d7f1b3e5a7ca70fe4ff75f0.us-east-1.aws.found.io/app/kibana#/discover/Steve-Slow-Train-Analysis-(2080s-and-2083s)?_g=(refreshInterval:(display:Off,pause:!f,section:0,value:0),time:(from:'2017-11-29T15:34:48-0700',mode:absolute,to:'2017-11-29T18:34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7" s="248" t="str">
        <f>IF(AA117&lt;VLOOKUP(AG117,Variables!$AC$3:$AD$8,2,FALSE),"Y","N")</f>
        <v>N</v>
      </c>
      <c r="X117" s="248">
        <f t="shared" si="82"/>
        <v>1</v>
      </c>
      <c r="Y117" s="248">
        <f t="shared" ref="Y117" si="91">RIGHT(D117,LEN(D117)-4)/10000</f>
        <v>23.292999999999999</v>
      </c>
      <c r="Z117" s="248">
        <f t="shared" ref="Z117" si="92">RIGHT(H117,LEN(H117)-4)/10000</f>
        <v>2.07E-2</v>
      </c>
      <c r="AA117" s="248">
        <f t="shared" si="83"/>
        <v>23.272299999999998</v>
      </c>
      <c r="AB117" s="234" t="e">
        <f>VLOOKUP(A117,Enforcements!$C$7:$K$9,8,0)</f>
        <v>#N/A</v>
      </c>
      <c r="AC117" s="233" t="e">
        <f>VLOOKUP(A117,Enforcements!$C$7:$E$9,3,0)</f>
        <v>#N/A</v>
      </c>
      <c r="AD117" s="244">
        <f t="shared" si="84"/>
        <v>200</v>
      </c>
      <c r="AE117" s="236" t="str">
        <f t="shared" si="57"/>
        <v>aws s3 cp s3://rtdc.mdm.uploadarchive.raw/RTDC4063/ "%USERPROFILE%\AppData\Local\Temp\OnboardLogs"\RTDC4063\2017-11-29 --exclude "*" --recursive --include "*20171129*" &amp; "%USERPROFILE%\Documents\GitHub\mrs-test-scripts\Headless Mode &amp; Sideloading\WalkAndUnGZ.bat" "%USERPROFILE%\AppData\Local\Temp\OnboardLogs"\RTDC4063\2017-11-29 &amp; aws s3 cp s3://rtdc.mdm.uploadarchive.raw/RTDC4063/ "%USERPROFILE%\AppData\Local\Temp\OnboardLogs"\RTDC4063\2017-11-30 --exclude "*" --recursive --include "*20171130*" &amp; "%USERPROFILE%\Documents\GitHub\mrs-test-scripts\Headless Mode &amp; Sideloading\WalkAndUnGZ.bat" "%USERPROFILE%\AppData\Local\Temp\OnboardLogs"\RTDC4063\2017-11-30</v>
      </c>
      <c r="AF117" s="235" t="str">
        <f t="shared" si="58"/>
        <v>"C:\Program Files (x86)\AstroGrep\AstroGrep.exe" /e /r /s /spath="%USERPROFILE%\AppData\Local\Temp\OnboardLogs" /stypes="app*4063*20171130*" /stext=" 00:.+((SYSTEM_STATE.+slice.+state.+changed )|(ment ac)|(multiple cpu faults)|(system.+state.+changed )|(\[timeout)|(PRM\|1\|D)|(kpr)|(kdp)|(train st.+moving)|(\|lc)|(penalty))"</v>
      </c>
      <c r="AG117" s="245" t="str">
        <f t="shared" si="85"/>
        <v>EC</v>
      </c>
      <c r="AH117" s="237" t="str">
        <f t="shared" si="86"/>
        <v>"%USERPROFILE%\Documents\GitHub\eaglep3\Utilities\RefineRTDCRunTimes.py" --tripid 200-29 --locoid 4063 --swversion DE.1.0.9.0 --startMP 204:232930 --initTime 2017-11-29T16:34:48 --startdatetime 2017-11-29T16:57:29 --delay 76 --endMP 204:207 --enddatetime 2017-11-29T17:34:58 --enforcementcount 0 &gt;&gt;%USERPROFILE%\Documents\GitHub\eaglep3-reporting\EC\2017-11-29-refined-times.txt</v>
      </c>
      <c r="AI117" s="239" t="str">
        <f t="shared" si="87"/>
        <v>echo {"issue":{"subject":"","project_id":79,"tracker_id":40,"status_id":1,"priority_id":2,"assigned_to_id":338,"start_date":"2017-11-29","description":"","custom_fields":[{"id":1,"name":"Subdivision","value":"EC"},{"id":4,"name":"Milepost","value":"0.0207"},{"id":17,"name":"Train ID","value":"200-29"},{"id":16,"name":"Locomotive ID","value":"4063"},{"id":130,"name":"Impact","value":""},{"id":150,"name":"Time of Event (Mountain Time)","value":"17:34:58"},{"id":151,"name":"Denver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232"/>
      <c r="AL117" s="232"/>
      <c r="AM117" s="241" t="str">
        <f t="shared" si="88"/>
        <v>start /low /b %USERPROFILE%\Documents\GitHub\eaglep3\Utilities\DownloadLogsFromS3.py --loco 4063 --day 2017-11-29</v>
      </c>
      <c r="AN117" s="242" t="str">
        <f t="shared" si="89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00:34:58"},{"id":29,"name":"Sharepoint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1" t="str">
        <f t="shared" si="90"/>
        <v>https://d0f6bd738d7f1b3e5a7ca70fe4ff75f0.us-east-1.aws.found.io/app/kibana#/discover/Steve-Slow-Train-Analysis-(2080s-and-2083s)?_g=(refreshInterval:(display:Off,pause:!f,section:0,value:0),time:(from:'2017-11-29T15:34:48-0700',mode:absolute,to:'2017-11-29T18:34:58-0700'))&amp;_a=(columns:!('Message%20ID',Summary),filters:!(),index:'emp_*',interval:auto,query:(query_string:(analyze_wildcard:!t,query:'%22rtdc.l.rtdc.4063%22')),sort:!(Time.ISO8601,asc))</v>
      </c>
    </row>
    <row r="118" spans="1:91" s="20" customFormat="1" x14ac:dyDescent="0.25">
      <c r="A118" s="230" t="s">
        <v>806</v>
      </c>
      <c r="B118" s="226">
        <v>4020</v>
      </c>
      <c r="C118" s="228" t="s">
        <v>192</v>
      </c>
      <c r="D118" s="228" t="s">
        <v>436</v>
      </c>
      <c r="E118" s="227">
        <v>43068.674641203703</v>
      </c>
      <c r="F118" s="227">
        <v>43068.677303240744</v>
      </c>
      <c r="G118" s="226">
        <v>48</v>
      </c>
      <c r="H118" s="228" t="s">
        <v>581</v>
      </c>
      <c r="I118" s="227">
        <v>43068.701412037037</v>
      </c>
      <c r="J118" s="226">
        <v>0</v>
      </c>
      <c r="K118" s="238" t="str">
        <f t="shared" ref="K118:K149" si="93">IF(ISEVEN(B118),(B118-1)&amp;"/"&amp;B118,B118&amp;"/"&amp;(B118+1))</f>
        <v>4019/4020</v>
      </c>
      <c r="L118" s="246" t="str">
        <f>VLOOKUP(A118,'Trips&amp;Operators'!$C$1:$G$99911,5,FALSE)</f>
        <v>HOLCOMB KAMDEN</v>
      </c>
      <c r="M118" s="225">
        <f t="shared" ref="M118:M149" si="94">I118-F118</f>
        <v>2.4108796293148771E-2</v>
      </c>
      <c r="N118" s="226">
        <f>24*60*SUM($M118:$M118)</f>
        <v>34.71666666213423</v>
      </c>
      <c r="O118" s="226"/>
      <c r="P118" s="226"/>
      <c r="Q118" s="229"/>
      <c r="R118" s="243"/>
      <c r="S118" s="250">
        <f t="shared" ref="S118:S149" si="95">1/IF(AG118="EC",12,1)*SUM(U118:U118)</f>
        <v>1</v>
      </c>
      <c r="T118" s="243" t="str">
        <f t="shared" ref="T118:T149" si="96">IF(ISEVEN(LEFT(AD118,4)),"Southbound","NorthBound")</f>
        <v>NorthBound</v>
      </c>
      <c r="U118" s="24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9" t="str">
        <f t="shared" si="54"/>
        <v>https://d0f6bd738d7f1b3e5a7ca70fe4ff75f0.us-east-1.aws.found.io/app/kibana#/discover/Steve-Slow-Train-Analysis-(2080s-and-2083s)?_g=(refreshInterval:(display:Off,pause:!f,section:0,value:0),time:(from:'2017-11-29T15:11:29-0700',mode:absolute,to:'2017-11-29T17:50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8" s="248" t="str">
        <f>IF(AA118&lt;VLOOKUP(AG118,Variables!$AC$3:$AD$8,2,FALSE),"Y","N")</f>
        <v>N</v>
      </c>
      <c r="X118" s="248">
        <f t="shared" si="82"/>
        <v>1</v>
      </c>
      <c r="Y118" s="248">
        <f t="shared" ref="Y118:Y134" si="97">RIGHT(D118,LEN(D118)-4)/10000</f>
        <v>5.11E-2</v>
      </c>
      <c r="Z118" s="248">
        <f t="shared" ref="Z118:Z134" si="98">RIGHT(H118,LEN(H118)-4)/10000</f>
        <v>23.322299999999998</v>
      </c>
      <c r="AA118" s="248">
        <f t="shared" ref="AA118:AA149" si="99">ABS(Z118-Y118)</f>
        <v>23.271199999999997</v>
      </c>
      <c r="AB118" s="234" t="e">
        <f>VLOOKUP(A118,Enforcements!$C$7:$K$9,8,0)</f>
        <v>#N/A</v>
      </c>
      <c r="AC118" s="233" t="e">
        <f>VLOOKUP(A118,Enforcements!$C$7:$E$9,3,0)</f>
        <v>#N/A</v>
      </c>
      <c r="AD118" s="244">
        <f t="shared" ref="AD118:AD149" si="100">VALUE(LEFT(A118,LEN(A118)-3))</f>
        <v>201</v>
      </c>
      <c r="AE118" s="236" t="str">
        <f t="shared" si="57"/>
        <v>aws s3 cp s3://rtdc.mdm.uploadarchive.raw/RTDC4020/ "%USERPROFILE%\AppData\Local\Temp\OnboardLogs"\RTDC4020\2017-11-29 --exclude "*" --recursive --include "*20171129*" &amp; "%USERPROFILE%\Documents\GitHub\mrs-test-scripts\Headless Mode &amp; Sideloading\WalkAndUnGZ.bat" "%USERPROFILE%\AppData\Local\Temp\OnboardLogs"\RTDC4020\2017-11-29 &amp; aws s3 cp s3://rtdc.mdm.uploadarchive.raw/RTDC4020/ "%USERPROFILE%\AppData\Local\Temp\OnboardLogs"\RTDC4020\2017-11-30 --exclude "*" --recursive --include "*20171130*" &amp; "%USERPROFILE%\Documents\GitHub\mrs-test-scripts\Headless Mode &amp; Sideloading\WalkAndUnGZ.bat" "%USERPROFILE%\AppData\Local\Temp\OnboardLogs"\RTDC4020\2017-11-30</v>
      </c>
      <c r="AF118" s="235" t="str">
        <f t="shared" si="58"/>
        <v>"C:\Program Files (x86)\AstroGrep\AstroGrep.exe" /e /r /s /spath="%USERPROFILE%\AppData\Local\Temp\OnboardLogs" /stypes="app*4020*20171129*" /stext=" 23:.+((SYSTEM_STATE.+slice.+state.+changed )|(ment ac)|(multiple cpu faults)|(system.+state.+changed )|(\[timeout)|(PRM\|1\|D)|(kpr)|(kdp)|(train st.+moving)|(\|lc)|(penalty))"</v>
      </c>
      <c r="AG118" s="245" t="str">
        <f t="shared" ref="AG118:AG149" si="101">DetSubdiv(A118)</f>
        <v>EC</v>
      </c>
      <c r="AH118" s="237" t="str">
        <f t="shared" si="60"/>
        <v>"%USERPROFILE%\Documents\GitHub\eaglep3\Utilities\RefineRTDCRunTimes.py" --tripid 201-29 --locoid 4020 --swversion DE.1.0.9.0 --startMP 204:511 --initTime 2017-11-29T16:11:29 --startdatetime 2017-11-29T16:15:19 --delay 48 --endMP 204:233223 --enddatetime 2017-11-29T16:50:02 --enforcementcount 0 &gt;&gt;%USERPROFILE%\Documents\GitHub\eaglep3-reporting\EC\2017-11-29-refined-times.txt</v>
      </c>
      <c r="AI118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{"issue":{"subject":"","project_id":79,"tracker_id":40,"status_id":1,"priority_id":2,"assigned_to_id":338,"start_date":"2017-11-29","description":"","custom_fields":[{"id":1,"name":"Subdivision","value":"EC"},{"id":4,"name":"Milepost","value":"23.3223"},{"id":17,"name":"Train ID","value":"201-29"},{"id":16,"name":"Locomotive ID","value":"4020"},{"id":130,"name":"Impact","value":""},{"id":150,"name":"Time of Event (Mountain Time)","value":"16:50:02"},{"id":151,"name":"Denver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8" s="224"/>
      <c r="AK118" s="232"/>
      <c r="AL118" s="232"/>
      <c r="AM118" s="241" t="str">
        <f t="shared" si="62"/>
        <v>start /low /b %USERPROFILE%\Documents\GitHub\eaglep3\Utilities\DownloadLogsFromS3.py --loco 4020 --day 2017-11-29</v>
      </c>
      <c r="AN118" s="242" t="str">
        <f t="shared" si="63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23:50:02"},{"id":29,"name":"Sharepoint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1" t="str">
        <f t="shared" si="64"/>
        <v>https://d0f6bd738d7f1b3e5a7ca70fe4ff75f0.us-east-1.aws.found.io/app/kibana#/discover/Steve-Slow-Train-Analysis-(2080s-and-2083s)?_g=(refreshInterval:(display:Off,pause:!f,section:0,value:0),time:(from:'2017-11-29T15:11:29-0700',mode:absolute,to:'2017-11-29T17:50:02-0700'))&amp;_a=(columns:!('Message%20ID',Summary),filters:!(),index:'emp_*',interval:auto,query:(query_string:(analyze_wildcard:!t,query:'%22rtdc.l.rtdc.4020%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230" t="s">
        <v>818</v>
      </c>
      <c r="B119" s="226">
        <v>4019</v>
      </c>
      <c r="C119" s="228" t="s">
        <v>192</v>
      </c>
      <c r="D119" s="228" t="s">
        <v>505</v>
      </c>
      <c r="E119" s="227">
        <v>43068.714317129627</v>
      </c>
      <c r="F119" s="227">
        <v>43068.716979166667</v>
      </c>
      <c r="G119" s="226">
        <v>46</v>
      </c>
      <c r="H119" s="228" t="s">
        <v>506</v>
      </c>
      <c r="I119" s="227">
        <v>43068.742418981485</v>
      </c>
      <c r="J119" s="226">
        <v>0</v>
      </c>
      <c r="K119" s="238" t="str">
        <f t="shared" si="93"/>
        <v>4019/4020</v>
      </c>
      <c r="L119" s="246" t="str">
        <f>VLOOKUP(A119,'Trips&amp;Operators'!$C$1:$G$99911,5,FALSE)</f>
        <v>HOLCOMB KAMDEN</v>
      </c>
      <c r="M119" s="225">
        <f t="shared" si="94"/>
        <v>2.5439814817218576E-2</v>
      </c>
      <c r="N119" s="226">
        <f>24*60*SUM($M119:$M119)</f>
        <v>36.633333336794749</v>
      </c>
      <c r="O119" s="226"/>
      <c r="P119" s="226"/>
      <c r="Q119" s="229"/>
      <c r="R119" s="243"/>
      <c r="S119" s="250">
        <f t="shared" si="95"/>
        <v>1</v>
      </c>
      <c r="T119" s="243" t="str">
        <f t="shared" si="96"/>
        <v>Southbound</v>
      </c>
      <c r="U119" s="24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9" t="str">
        <f t="shared" si="54"/>
        <v>https://d0f6bd738d7f1b3e5a7ca70fe4ff75f0.us-east-1.aws.found.io/app/kibana#/discover/Steve-Slow-Train-Analysis-(2080s-and-2083s)?_g=(refreshInterval:(display:Off,pause:!f,section:0,value:0),time:(from:'2017-11-29T16:08:37-0700',mode:absolute,to:'2017-11-29T18:49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9" s="248" t="str">
        <f>IF(AA119&lt;VLOOKUP(AG119,Variables!$AC$3:$AD$8,2,FALSE),"Y","N")</f>
        <v>N</v>
      </c>
      <c r="X119" s="248">
        <f t="shared" ref="X119:X134" si="102">VALUE(LEFT(AD119,4))-VALUE(LEFT(AD118,4))</f>
        <v>1</v>
      </c>
      <c r="Y119" s="248">
        <f t="shared" si="97"/>
        <v>23.2896</v>
      </c>
      <c r="Z119" s="248">
        <f t="shared" si="98"/>
        <v>2.3099999999999999E-2</v>
      </c>
      <c r="AA119" s="248">
        <f t="shared" si="99"/>
        <v>23.266500000000001</v>
      </c>
      <c r="AB119" s="234" t="e">
        <f>VLOOKUP(A119,Enforcements!$C$7:$K$9,8,0)</f>
        <v>#N/A</v>
      </c>
      <c r="AC119" s="233" t="e">
        <f>VLOOKUP(A119,Enforcements!$C$7:$E$9,3,0)</f>
        <v>#N/A</v>
      </c>
      <c r="AD119" s="244">
        <f t="shared" si="100"/>
        <v>202</v>
      </c>
      <c r="AE119" s="236" t="str">
        <f t="shared" si="57"/>
        <v>aws s3 cp s3://rtdc.mdm.uploadarchive.raw/RTDC4019/ "%USERPROFILE%\AppData\Local\Temp\OnboardLogs"\RTDC4019\2017-11-29 --exclude "*" --recursive --include "*20171129*" &amp; "%USERPROFILE%\Documents\GitHub\mrs-test-scripts\Headless Mode &amp; Sideloading\WalkAndUnGZ.bat" "%USERPROFILE%\AppData\Local\Temp\OnboardLogs"\RTDC4019\2017-11-29 &amp; aws s3 cp s3://rtdc.mdm.uploadarchive.raw/RTDC4019/ "%USERPROFILE%\AppData\Local\Temp\OnboardLogs"\RTDC4019\2017-11-30 --exclude "*" --recursive --include "*20171130*" &amp; "%USERPROFILE%\Documents\GitHub\mrs-test-scripts\Headless Mode &amp; Sideloading\WalkAndUnGZ.bat" "%USERPROFILE%\AppData\Local\Temp\OnboardLogs"\RTDC4019\2017-11-30</v>
      </c>
      <c r="AF119" s="235" t="str">
        <f t="shared" si="58"/>
        <v>"C:\Program Files (x86)\AstroGrep\AstroGrep.exe" /e /r /s /spath="%USERPROFILE%\AppData\Local\Temp\OnboardLogs" /stypes="app*4019*20171130*" /stext=" 00:.+((SYSTEM_STATE.+slice.+state.+changed )|(ment ac)|(multiple cpu faults)|(system.+state.+changed )|(\[timeout)|(PRM\|1\|D)|(kpr)|(kdp)|(train st.+moving)|(\|lc)|(penalty))"</v>
      </c>
      <c r="AG119" s="245" t="str">
        <f t="shared" si="101"/>
        <v>EC</v>
      </c>
      <c r="AH119" s="237" t="str">
        <f t="shared" si="60"/>
        <v>"%USERPROFILE%\Documents\GitHub\eaglep3\Utilities\RefineRTDCRunTimes.py" --tripid 202-29 --locoid 4019 --swversion DE.1.0.9.0 --startMP 204:232896 --initTime 2017-11-29T17:08:37 --startdatetime 2017-11-29T17:12:27 --delay 46 --endMP 204:231 --enddatetime 2017-11-29T17:49:05 --enforcementcount 0 &gt;&gt;%USERPROFILE%\Documents\GitHub\eaglep3-reporting\EC\2017-11-29-refined-times.txt</v>
      </c>
      <c r="AI119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{"issue":{"subject":"","project_id":79,"tracker_id":40,"status_id":1,"priority_id":2,"assigned_to_id":338,"start_date":"2017-11-29","description":"","custom_fields":[{"id":1,"name":"Subdivision","value":"EC"},{"id":4,"name":"Milepost","value":"0.0231"},{"id":17,"name":"Train ID","value":"202-29"},{"id":16,"name":"Locomotive ID","value":"4019"},{"id":130,"name":"Impact","value":""},{"id":150,"name":"Time of Event (Mountain Time)","value":"17:49:05"},{"id":151,"name":"Denver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224"/>
      <c r="AK119" s="232"/>
      <c r="AL119" s="232"/>
      <c r="AM119" s="241" t="str">
        <f t="shared" si="62"/>
        <v>start /low /b %USERPROFILE%\Documents\GitHub\eaglep3\Utilities\DownloadLogsFromS3.py --loco 4019 --day 2017-11-29</v>
      </c>
      <c r="AN119" s="242" t="str">
        <f t="shared" si="6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00:49:05"},{"id":29,"name":"Sharepoint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1" t="str">
        <f t="shared" si="64"/>
        <v>https://d0f6bd738d7f1b3e5a7ca70fe4ff75f0.us-east-1.aws.found.io/app/kibana#/discover/Steve-Slow-Train-Analysis-(2080s-and-2083s)?_g=(refreshInterval:(display:Off,pause:!f,section:0,value:0),time:(from:'2017-11-29T16:08:37-0700',mode:absolute,to:'2017-11-29T18:49:05-0700'))&amp;_a=(columns:!('Message%20ID',Summary),filters:!(),index:'emp_*',interval:auto,query:(query_string:(analyze_wildcard:!t,query:'%22rtdc.l.rtdc.4019%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230" t="s">
        <v>809</v>
      </c>
      <c r="B120" s="226">
        <v>4002</v>
      </c>
      <c r="C120" s="228" t="s">
        <v>192</v>
      </c>
      <c r="D120" s="228" t="s">
        <v>508</v>
      </c>
      <c r="E120" s="227">
        <v>43068.686342592591</v>
      </c>
      <c r="F120" s="227">
        <v>43068.687916666669</v>
      </c>
      <c r="G120" s="226">
        <v>57</v>
      </c>
      <c r="H120" s="228" t="s">
        <v>580</v>
      </c>
      <c r="I120" s="227">
        <v>43068.71292824074</v>
      </c>
      <c r="J120" s="226">
        <v>0</v>
      </c>
      <c r="K120" s="238" t="str">
        <f t="shared" si="93"/>
        <v>4001/4002</v>
      </c>
      <c r="L120" s="246" t="str">
        <f>VLOOKUP(A120,'Trips&amp;Operators'!$C$1:$G$99911,5,FALSE)</f>
        <v>BRUDER RICHARD</v>
      </c>
      <c r="M120" s="225">
        <f t="shared" si="94"/>
        <v>2.5011574070958886E-2</v>
      </c>
      <c r="N120" s="226">
        <f>24*60*SUM($M120:$M120)</f>
        <v>36.016666662180796</v>
      </c>
      <c r="O120" s="226"/>
      <c r="P120" s="226"/>
      <c r="Q120" s="229"/>
      <c r="R120" s="243"/>
      <c r="S120" s="250">
        <f t="shared" si="95"/>
        <v>1</v>
      </c>
      <c r="T120" s="243" t="str">
        <f t="shared" si="96"/>
        <v>NorthBound</v>
      </c>
      <c r="U120" s="24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9" t="str">
        <f t="shared" si="54"/>
        <v>https://d0f6bd738d7f1b3e5a7ca70fe4ff75f0.us-east-1.aws.found.io/app/kibana#/discover/Steve-Slow-Train-Analysis-(2080s-and-2083s)?_g=(refreshInterval:(display:Off,pause:!f,section:0,value:0),time:(from:'2017-11-29T15:28:20-0700',mode:absolute,to:'2017-11-29T18:06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0" s="248" t="str">
        <f>IF(AA120&lt;VLOOKUP(AG120,Variables!$AC$3:$AD$8,2,FALSE),"Y","N")</f>
        <v>N</v>
      </c>
      <c r="X120" s="248">
        <f t="shared" si="102"/>
        <v>1</v>
      </c>
      <c r="Y120" s="248">
        <f t="shared" si="97"/>
        <v>5.33E-2</v>
      </c>
      <c r="Z120" s="248">
        <f t="shared" si="98"/>
        <v>23.320499999999999</v>
      </c>
      <c r="AA120" s="248">
        <f t="shared" si="99"/>
        <v>23.267199999999999</v>
      </c>
      <c r="AB120" s="234" t="e">
        <f>VLOOKUP(A120,Enforcements!$C$7:$K$9,8,0)</f>
        <v>#N/A</v>
      </c>
      <c r="AC120" s="233" t="e">
        <f>VLOOKUP(A120,Enforcements!$C$7:$E$9,3,0)</f>
        <v>#N/A</v>
      </c>
      <c r="AD120" s="244">
        <f t="shared" si="100"/>
        <v>203</v>
      </c>
      <c r="AE120" s="236" t="str">
        <f t="shared" si="57"/>
        <v>aws s3 cp s3://rtdc.mdm.uploadarchive.raw/RTDC4002/ "%USERPROFILE%\AppData\Local\Temp\OnboardLogs"\RTDC4002\2017-11-29 --exclude "*" --recursive --include "*20171129*" &amp; "%USERPROFILE%\Documents\GitHub\mrs-test-scripts\Headless Mode &amp; Sideloading\WalkAndUnGZ.bat" "%USERPROFILE%\AppData\Local\Temp\OnboardLogs"\RTDC4002\2017-11-29 &amp; aws s3 cp s3://rtdc.mdm.uploadarchive.raw/RTDC4002/ "%USERPROFILE%\AppData\Local\Temp\OnboardLogs"\RTDC4002\2017-11-30 --exclude "*" --recursive --include "*20171130*" &amp; "%USERPROFILE%\Documents\GitHub\mrs-test-scripts\Headless Mode &amp; Sideloading\WalkAndUnGZ.bat" "%USERPROFILE%\AppData\Local\Temp\OnboardLogs"\RTDC4002\2017-11-30</v>
      </c>
      <c r="AF120" s="235" t="str">
        <f t="shared" si="58"/>
        <v>"C:\Program Files (x86)\AstroGrep\AstroGrep.exe" /e /r /s /spath="%USERPROFILE%\AppData\Local\Temp\OnboardLogs" /stypes="app*4002*20171130*" /stext=" 00:.+((SYSTEM_STATE.+slice.+state.+changed )|(ment ac)|(multiple cpu faults)|(system.+state.+changed )|(\[timeout)|(PRM\|1\|D)|(kpr)|(kdp)|(train st.+moving)|(\|lc)|(penalty))"</v>
      </c>
      <c r="AG120" s="245" t="str">
        <f t="shared" si="101"/>
        <v>EC</v>
      </c>
      <c r="AH120" s="237" t="str">
        <f t="shared" si="60"/>
        <v>"%USERPROFILE%\Documents\GitHub\eaglep3\Utilities\RefineRTDCRunTimes.py" --tripid 203-29 --locoid 4002 --swversion DE.1.0.9.0 --startMP 204:533 --initTime 2017-11-29T16:28:20 --startdatetime 2017-11-29T16:30:36 --delay 57 --endMP 204:233205 --enddatetime 2017-11-29T17:06:37 --enforcementcount 0 &gt;&gt;%USERPROFILE%\Documents\GitHub\eaglep3-reporting\EC\2017-11-29-refined-times.txt</v>
      </c>
      <c r="AI120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{"issue":{"subject":"","project_id":79,"tracker_id":40,"status_id":1,"priority_id":2,"assigned_to_id":338,"start_date":"2017-11-29","description":"","custom_fields":[{"id":1,"name":"Subdivision","value":"EC"},{"id":4,"name":"Milepost","value":"23.3205"},{"id":17,"name":"Train ID","value":"203-29"},{"id":16,"name":"Locomotive ID","value":"4002"},{"id":130,"name":"Impact","value":""},{"id":150,"name":"Time of Event (Mountain Time)","value":"17:06:37"},{"id":151,"name":"Denver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0" s="224"/>
      <c r="AK120" s="232"/>
      <c r="AL120" s="232"/>
      <c r="AM120" s="241" t="str">
        <f t="shared" si="62"/>
        <v>start /low /b %USERPROFILE%\Documents\GitHub\eaglep3\Utilities\DownloadLogsFromS3.py --loco 4002 --day 2017-11-29</v>
      </c>
      <c r="AN120" s="242" t="str">
        <f t="shared" si="6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00:06:37"},{"id":29,"name":"Sharepoint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1" t="str">
        <f t="shared" si="64"/>
        <v>https://d0f6bd738d7f1b3e5a7ca70fe4ff75f0.us-east-1.aws.found.io/app/kibana#/discover/Steve-Slow-Train-Analysis-(2080s-and-2083s)?_g=(refreshInterval:(display:Off,pause:!f,section:0,value:0),time:(from:'2017-11-29T15:28:20-0700',mode:absolute,to:'2017-11-29T18:06:37-0700'))&amp;_a=(columns:!('Message%20ID',Summary),filters:!(),index:'emp_*',interval:auto,query:(query_string:(analyze_wildcard:!t,query:'%22rtdc.l.rtdc.4002%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230" t="s">
        <v>820</v>
      </c>
      <c r="B121" s="226">
        <v>4001</v>
      </c>
      <c r="C121" s="228" t="s">
        <v>192</v>
      </c>
      <c r="D121" s="228" t="s">
        <v>953</v>
      </c>
      <c r="E121" s="227">
        <v>43068.740335648145</v>
      </c>
      <c r="F121" s="227">
        <v>43068.742175925923</v>
      </c>
      <c r="G121" s="226">
        <v>106</v>
      </c>
      <c r="H121" s="228" t="s">
        <v>457</v>
      </c>
      <c r="I121" s="227">
        <v>43068.758287037039</v>
      </c>
      <c r="J121" s="226">
        <v>0</v>
      </c>
      <c r="K121" s="238" t="str">
        <f t="shared" si="93"/>
        <v>4001/4002</v>
      </c>
      <c r="L121" s="246" t="str">
        <f>VLOOKUP(A121,'Trips&amp;Operators'!$C$1:$G$99911,5,FALSE)</f>
        <v>BRUDER RICHARD</v>
      </c>
      <c r="M121" s="225">
        <f t="shared" si="94"/>
        <v>1.6111111115606036E-2</v>
      </c>
      <c r="N121" s="226"/>
      <c r="O121" s="226"/>
      <c r="P121" s="226">
        <f>24*60*SUM($M121:$M121)</f>
        <v>23.200000006472692</v>
      </c>
      <c r="Q121" s="229"/>
      <c r="R121" s="243" t="s">
        <v>1128</v>
      </c>
      <c r="S121" s="250">
        <f t="shared" si="95"/>
        <v>1</v>
      </c>
      <c r="T121" s="243" t="str">
        <f t="shared" si="96"/>
        <v>Southbound</v>
      </c>
      <c r="U121" s="24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9" t="str">
        <f t="shared" si="54"/>
        <v>https://d0f6bd738d7f1b3e5a7ca70fe4ff75f0.us-east-1.aws.found.io/app/kibana#/discover/Steve-Slow-Train-Analysis-(2080s-and-2083s)?_g=(refreshInterval:(display:Off,pause:!f,section:0,value:0),time:(from:'2017-11-29T16:46:05-0700',mode:absolute,to:'2017-11-29T19:11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1" s="248" t="str">
        <f>IF(AA121&lt;VLOOKUP(AG121,Variables!$AC$3:$AD$8,2,FALSE),"Y","N")</f>
        <v>Y</v>
      </c>
      <c r="X121" s="248">
        <f t="shared" si="102"/>
        <v>1</v>
      </c>
      <c r="Y121" s="248">
        <f t="shared" si="97"/>
        <v>12.7864</v>
      </c>
      <c r="Z121" s="248">
        <f t="shared" si="98"/>
        <v>2.0500000000000001E-2</v>
      </c>
      <c r="AA121" s="248">
        <f t="shared" si="99"/>
        <v>12.7659</v>
      </c>
      <c r="AB121" s="234" t="e">
        <f>VLOOKUP(A121,Enforcements!$C$7:$K$9,8,0)</f>
        <v>#N/A</v>
      </c>
      <c r="AC121" s="233" t="e">
        <f>VLOOKUP(A121,Enforcements!$C$7:$E$9,3,0)</f>
        <v>#N/A</v>
      </c>
      <c r="AD121" s="244">
        <f t="shared" si="100"/>
        <v>204</v>
      </c>
      <c r="AE121" s="236" t="str">
        <f t="shared" si="57"/>
        <v>aws s3 cp s3://rtdc.mdm.uploadarchive.raw/RTDC4001/ "%USERPROFILE%\AppData\Local\Temp\OnboardLogs"\RTDC4001\2017-11-29 --exclude "*" --recursive --include "*20171129*" &amp; "%USERPROFILE%\Documents\GitHub\mrs-test-scripts\Headless Mode &amp; Sideloading\WalkAndUnGZ.bat" "%USERPROFILE%\AppData\Local\Temp\OnboardLogs"\RTDC4001\2017-11-29 &amp; aws s3 cp s3://rtdc.mdm.uploadarchive.raw/RTDC4001/ "%USERPROFILE%\AppData\Local\Temp\OnboardLogs"\RTDC4001\2017-11-30 --exclude "*" --recursive --include "*20171130*" &amp; "%USERPROFILE%\Documents\GitHub\mrs-test-scripts\Headless Mode &amp; Sideloading\WalkAndUnGZ.bat" "%USERPROFILE%\AppData\Local\Temp\OnboardLogs"\RTDC4001\2017-11-30</v>
      </c>
      <c r="AF121" s="235" t="str">
        <f t="shared" si="58"/>
        <v>"C:\Program Files (x86)\AstroGrep\AstroGrep.exe" /e /r /s /spath="%USERPROFILE%\AppData\Local\Temp\OnboardLogs" /stypes="app*4001*20171130*" /stext=" 01:.+((SYSTEM_STATE.+slice.+state.+changed )|(ment ac)|(multiple cpu faults)|(system.+state.+changed )|(\[timeout)|(PRM\|1\|D)|(kpr)|(kdp)|(train st.+moving)|(\|lc)|(penalty))"</v>
      </c>
      <c r="AG121" s="245" t="str">
        <f t="shared" si="101"/>
        <v>EC</v>
      </c>
      <c r="AH121" s="237" t="str">
        <f t="shared" si="60"/>
        <v>"%USERPROFILE%\Documents\GitHub\eaglep3\Utilities\RefineRTDCRunTimes.py" --tripid 204-29 --locoid 4001 --swversion DE.1.0.9.0 --startMP 204:127864 --initTime 2017-11-29T17:46:05 --startdatetime 2017-11-29T17:48:44 --delay 106 --endMP 204:205 --enddatetime 2017-11-29T18:11:56 --enforcementcount 0 &gt;&gt;%USERPROFILE%\Documents\GitHub\eaglep3-reporting\EC\2017-11-29-refined-times.txt</v>
      </c>
      <c r="AI121" s="239" t="str">
        <f t="shared" si="61"/>
        <v>echo {"issue":{"subject":"Onboard in-route failure","project_id":79,"tracker_id":40,"status_id":1,"priority_id":2,"assigned_to_id":338,"start_date":"2017-11-29","description":"","custom_fields":[{"id":1,"name":"Subdivision","value":"EC"},{"id":4,"name":"Milepost","value":"0.0205"},{"id":17,"name":"Train ID","value":"204-29"},{"id":16,"name":"Locomotive ID","value":"4001"},{"id":130,"name":"Impact","value":""},{"id":150,"name":"Time of Event (Mountain Time)","value":"18:11:56"},{"id":151,"name":"Denver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1" s="224"/>
      <c r="AK121" s="232"/>
      <c r="AL121" s="232"/>
      <c r="AM121" s="241" t="str">
        <f t="shared" si="62"/>
        <v>start /low /b %USERPROFILE%\Documents\GitHub\eaglep3\Utilities\DownloadLogsFromS3.py --loco 4001 --day 2017-11-29</v>
      </c>
      <c r="AN121" s="242" t="str">
        <f t="shared" si="63"/>
        <v>echo {"issue":{"subject":"Onboard in-route failure","project_id":30,"tracker_id":4,"status_id":1,"priority_id":1,"assigned_to_id":10,"start_date":"2017-11-30","description":"","custom_fields":[{"id":30,"name":"Category","value":"Issue"},{"id":3,"name":"Functional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01:11:56"},{"id":29,"name":"Sharepoint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1" t="str">
        <f t="shared" si="64"/>
        <v>https://d0f6bd738d7f1b3e5a7ca70fe4ff75f0.us-east-1.aws.found.io/app/kibana#/discover/Steve-Slow-Train-Analysis-(2080s-and-2083s)?_g=(refreshInterval:(display:Off,pause:!f,section:0,value:0),time:(from:'2017-11-29T16:46:05-0700',mode:absolute,to:'2017-11-29T19:11:56-0700'))&amp;_a=(columns:!('Message%20ID',Summary),filters:!(),index:'emp_*',interval:auto,query:(query_string:(analyze_wildcard:!t,query:'%22rtdc.l.rtdc.4001%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24" customFormat="1" x14ac:dyDescent="0.25">
      <c r="A122" s="230" t="s">
        <v>812</v>
      </c>
      <c r="B122" s="226">
        <v>4006</v>
      </c>
      <c r="C122" s="228" t="s">
        <v>192</v>
      </c>
      <c r="D122" s="228" t="s">
        <v>954</v>
      </c>
      <c r="E122" s="227">
        <v>43068.694016203706</v>
      </c>
      <c r="F122" s="227">
        <v>43068.698171296295</v>
      </c>
      <c r="G122" s="226">
        <v>57</v>
      </c>
      <c r="H122" s="228" t="s">
        <v>512</v>
      </c>
      <c r="I122" s="227">
        <v>43068.723703703705</v>
      </c>
      <c r="J122" s="226">
        <v>0</v>
      </c>
      <c r="K122" s="238" t="str">
        <f t="shared" si="93"/>
        <v>4005/4006</v>
      </c>
      <c r="L122" s="246" t="str">
        <f>VLOOKUP(A122,'Trips&amp;Operators'!$C$1:$G$99911,5,FALSE)</f>
        <v>STEWART MICHAEL</v>
      </c>
      <c r="M122" s="225">
        <f t="shared" si="94"/>
        <v>2.5532407409627922E-2</v>
      </c>
      <c r="N122" s="226">
        <f t="shared" ref="N122:N153" si="103">24*60*SUM($M122:$M122)</f>
        <v>36.766666669864208</v>
      </c>
      <c r="O122" s="226"/>
      <c r="P122" s="226"/>
      <c r="Q122" s="229"/>
      <c r="R122" s="243"/>
      <c r="S122" s="250">
        <f t="shared" si="95"/>
        <v>1</v>
      </c>
      <c r="T122" s="243" t="str">
        <f t="shared" si="96"/>
        <v>NorthBound</v>
      </c>
      <c r="U122" s="24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9" t="str">
        <f t="shared" si="54"/>
        <v>https://d0f6bd738d7f1b3e5a7ca70fe4ff75f0.us-east-1.aws.found.io/app/kibana#/discover/Steve-Slow-Train-Analysis-(2080s-and-2083s)?_g=(refreshInterval:(display:Off,pause:!f,section:0,value:0),time:(from:'2017-11-29T15:39:23-0700',mode:absolute,to:'2017-11-29T18:22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2" s="248" t="str">
        <f>IF(AA122&lt;VLOOKUP(AG122,Variables!$AC$3:$AD$8,2,FALSE),"Y","N")</f>
        <v>N</v>
      </c>
      <c r="X122" s="248">
        <f t="shared" si="102"/>
        <v>1</v>
      </c>
      <c r="Y122" s="248">
        <f t="shared" si="97"/>
        <v>0.05</v>
      </c>
      <c r="Z122" s="248">
        <f t="shared" si="98"/>
        <v>23.324400000000001</v>
      </c>
      <c r="AA122" s="248">
        <f t="shared" si="99"/>
        <v>23.2744</v>
      </c>
      <c r="AB122" s="234" t="e">
        <f>VLOOKUP(A122,Enforcements!$C$7:$K$9,8,0)</f>
        <v>#N/A</v>
      </c>
      <c r="AC122" s="233" t="e">
        <f>VLOOKUP(A122,Enforcements!$C$7:$E$9,3,0)</f>
        <v>#N/A</v>
      </c>
      <c r="AD122" s="244">
        <f t="shared" si="100"/>
        <v>205</v>
      </c>
      <c r="AE122" s="236" t="str">
        <f t="shared" si="57"/>
        <v>aws s3 cp s3://rtdc.mdm.uploadarchive.raw/RTDC4006/ "%USERPROFILE%\AppData\Local\Temp\OnboardLogs"\RTDC4006\2017-11-29 --exclude "*" --recursive --include "*20171129*" &amp; "%USERPROFILE%\Documents\GitHub\mrs-test-scripts\Headless Mode &amp; Sideloading\WalkAndUnGZ.bat" "%USERPROFILE%\AppData\Local\Temp\OnboardLogs"\RTDC4006\2017-11-29 &amp; aws s3 cp s3://rtdc.mdm.uploadarchive.raw/RTDC4006/ "%USERPROFILE%\AppData\Local\Temp\OnboardLogs"\RTDC4006\2017-11-30 --exclude "*" --recursive --include "*20171130*" &amp; "%USERPROFILE%\Documents\GitHub\mrs-test-scripts\Headless Mode &amp; Sideloading\WalkAndUnGZ.bat" "%USERPROFILE%\AppData\Local\Temp\OnboardLogs"\RTDC4006\2017-11-30</v>
      </c>
      <c r="AF122" s="235" t="str">
        <f t="shared" si="58"/>
        <v>"C:\Program Files (x86)\AstroGrep\AstroGrep.exe" /e /r /s /spath="%USERPROFILE%\AppData\Local\Temp\OnboardLogs" /stypes="app*4006*20171130*" /stext=" 00:.+((SYSTEM_STATE.+slice.+state.+changed )|(ment ac)|(multiple cpu faults)|(system.+state.+changed )|(\[timeout)|(PRM\|1\|D)|(kpr)|(kdp)|(train st.+moving)|(\|lc)|(penalty))"</v>
      </c>
      <c r="AG122" s="245" t="str">
        <f t="shared" si="101"/>
        <v>EC</v>
      </c>
      <c r="AH122" s="237" t="str">
        <f t="shared" si="60"/>
        <v>"%USERPROFILE%\Documents\GitHub\eaglep3\Utilities\RefineRTDCRunTimes.py" --tripid 205-29 --locoid 4006 --swversion DE.1.0.9.0 --startMP 204:500 --initTime 2017-11-29T16:39:23 --startdatetime 2017-11-29T16:45:22 --delay 57 --endMP 204:233244 --enddatetime 2017-11-29T17:22:08 --enforcementcount 0 &gt;&gt;%USERPROFILE%\Documents\GitHub\eaglep3-reporting\EC\2017-11-29-refined-times.txt</v>
      </c>
      <c r="AI122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{"issue":{"subject":"","project_id":79,"tracker_id":40,"status_id":1,"priority_id":2,"assigned_to_id":338,"start_date":"2017-11-29","description":"","custom_fields":[{"id":1,"name":"Subdivision","value":"EC"},{"id":4,"name":"Milepost","value":"23.3244"},{"id":17,"name":"Train ID","value":"205-29"},{"id":16,"name":"Locomotive ID","value":"4006"},{"id":130,"name":"Impact","value":""},{"id":150,"name":"Time of Event (Mountain Time)","value":"17:22:08"},{"id":151,"name":"Denver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232"/>
      <c r="AL122" s="232"/>
      <c r="AM122" s="241" t="str">
        <f t="shared" si="62"/>
        <v>start /low /b %USERPROFILE%\Documents\GitHub\eaglep3\Utilities\DownloadLogsFromS3.py --loco 4006 --day 2017-11-29</v>
      </c>
      <c r="AN122" s="242" t="str">
        <f t="shared" si="6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00:22:08"},{"id":29,"name":"Sharepoint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1" t="str">
        <f t="shared" si="64"/>
        <v>https://d0f6bd738d7f1b3e5a7ca70fe4ff75f0.us-east-1.aws.found.io/app/kibana#/discover/Steve-Slow-Train-Analysis-(2080s-and-2083s)?_g=(refreshInterval:(display:Off,pause:!f,section:0,value:0),time:(from:'2017-11-29T15:39:23-0700',mode:absolute,to:'2017-11-29T18:22:08-0700'))&amp;_a=(columns:!('Message%20ID',Summary),filters:!(),index:'emp_*',interval:auto,query:(query_string:(analyze_wildcard:!t,query:'%22rtdc.l.rtdc.4006%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230" t="s">
        <v>825</v>
      </c>
      <c r="B123" s="226">
        <v>4005</v>
      </c>
      <c r="C123" s="228" t="s">
        <v>192</v>
      </c>
      <c r="D123" s="228" t="s">
        <v>585</v>
      </c>
      <c r="E123" s="227">
        <v>43068.736122685186</v>
      </c>
      <c r="F123" s="227">
        <v>43068.738252314812</v>
      </c>
      <c r="G123" s="226">
        <v>63</v>
      </c>
      <c r="H123" s="228" t="s">
        <v>955</v>
      </c>
      <c r="I123" s="227">
        <v>43068.767569444448</v>
      </c>
      <c r="J123" s="226">
        <v>0</v>
      </c>
      <c r="K123" s="238" t="str">
        <f t="shared" si="93"/>
        <v>4005/4006</v>
      </c>
      <c r="L123" s="246" t="str">
        <f>VLOOKUP(A123,'Trips&amp;Operators'!$C$1:$G$99911,5,FALSE)</f>
        <v>STEWART MICHAEL</v>
      </c>
      <c r="M123" s="225">
        <f t="shared" si="94"/>
        <v>2.9317129636183381E-2</v>
      </c>
      <c r="N123" s="226">
        <f t="shared" si="103"/>
        <v>42.216666676104069</v>
      </c>
      <c r="O123" s="226"/>
      <c r="P123" s="226"/>
      <c r="Q123" s="229"/>
      <c r="R123" s="243"/>
      <c r="S123" s="250">
        <f t="shared" si="95"/>
        <v>1</v>
      </c>
      <c r="T123" s="243" t="str">
        <f t="shared" si="96"/>
        <v>Southbound</v>
      </c>
      <c r="U123" s="24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9" t="str">
        <f t="shared" si="54"/>
        <v>https://d0f6bd738d7f1b3e5a7ca70fe4ff75f0.us-east-1.aws.found.io/app/kibana#/discover/Steve-Slow-Train-Analysis-(2080s-and-2083s)?_g=(refreshInterval:(display:Off,pause:!f,section:0,value:0),time:(from:'2017-11-29T16:40:01-0700',mode:absolute,to:'2017-11-29T19:25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3" s="248" t="str">
        <f>IF(AA123&lt;VLOOKUP(AG123,Variables!$AC$3:$AD$8,2,FALSE),"Y","N")</f>
        <v>N</v>
      </c>
      <c r="X123" s="248">
        <f t="shared" si="102"/>
        <v>1</v>
      </c>
      <c r="Y123" s="248">
        <f t="shared" si="97"/>
        <v>23.2925</v>
      </c>
      <c r="Z123" s="248">
        <f t="shared" si="98"/>
        <v>1.8499999999999999E-2</v>
      </c>
      <c r="AA123" s="248">
        <f t="shared" si="99"/>
        <v>23.274000000000001</v>
      </c>
      <c r="AB123" s="234" t="e">
        <f>VLOOKUP(A123,Enforcements!$C$7:$K$9,8,0)</f>
        <v>#N/A</v>
      </c>
      <c r="AC123" s="233" t="e">
        <f>VLOOKUP(A123,Enforcements!$C$7:$E$9,3,0)</f>
        <v>#N/A</v>
      </c>
      <c r="AD123" s="244">
        <f t="shared" si="100"/>
        <v>206</v>
      </c>
      <c r="AE123" s="236" t="str">
        <f t="shared" si="57"/>
        <v>aws s3 cp s3://rtdc.mdm.uploadarchive.raw/RTDC4005/ "%USERPROFILE%\AppData\Local\Temp\OnboardLogs"\RTDC4005\2017-11-29 --exclude "*" --recursive --include "*20171129*" &amp; "%USERPROFILE%\Documents\GitHub\mrs-test-scripts\Headless Mode &amp; Sideloading\WalkAndUnGZ.bat" "%USERPROFILE%\AppData\Local\Temp\OnboardLogs"\RTDC4005\2017-11-29 &amp; aws s3 cp s3://rtdc.mdm.uploadarchive.raw/RTDC4005/ "%USERPROFILE%\AppData\Local\Temp\OnboardLogs"\RTDC4005\2017-11-30 --exclude "*" --recursive --include "*20171130*" &amp; "%USERPROFILE%\Documents\GitHub\mrs-test-scripts\Headless Mode &amp; Sideloading\WalkAndUnGZ.bat" "%USERPROFILE%\AppData\Local\Temp\OnboardLogs"\RTDC4005\2017-11-30</v>
      </c>
      <c r="AF123" s="235" t="str">
        <f t="shared" si="58"/>
        <v>"C:\Program Files (x86)\AstroGrep\AstroGrep.exe" /e /r /s /spath="%USERPROFILE%\AppData\Local\Temp\OnboardLogs" /stypes="app*4005*20171130*" /stext=" 01:.+((SYSTEM_STATE.+slice.+state.+changed )|(ment ac)|(multiple cpu faults)|(system.+state.+changed )|(\[timeout)|(PRM\|1\|D)|(kpr)|(kdp)|(train st.+moving)|(\|lc)|(penalty))"</v>
      </c>
      <c r="AG123" s="245" t="str">
        <f t="shared" si="101"/>
        <v>EC</v>
      </c>
      <c r="AH123" s="237" t="str">
        <f t="shared" si="60"/>
        <v>"%USERPROFILE%\Documents\GitHub\eaglep3\Utilities\RefineRTDCRunTimes.py" --tripid 206-29 --locoid 4005 --swversion DE.1.0.9.0 --startMP 204:232925 --initTime 2017-11-29T17:40:01 --startdatetime 2017-11-29T17:43:05 --delay 63 --endMP 204:185 --enddatetime 2017-11-29T18:25:18 --enforcementcount 0 &gt;&gt;%USERPROFILE%\Documents\GitHub\eaglep3-reporting\EC\2017-11-29-refined-times.txt</v>
      </c>
      <c r="AI123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{"issue":{"subject":"","project_id":79,"tracker_id":40,"status_id":1,"priority_id":2,"assigned_to_id":338,"start_date":"2017-11-29","description":"","custom_fields":[{"id":1,"name":"Subdivision","value":"EC"},{"id":4,"name":"Milepost","value":"0.0185"},{"id":17,"name":"Train ID","value":"206-29"},{"id":16,"name":"Locomotive ID","value":"4005"},{"id":130,"name":"Impact","value":""},{"id":150,"name":"Time of Event (Mountain Time)","value":"18:25:18"},{"id":151,"name":"Denver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3" s="224"/>
      <c r="AK123" s="232"/>
      <c r="AL123" s="232"/>
      <c r="AM123" s="241" t="str">
        <f t="shared" si="62"/>
        <v>start /low /b %USERPROFILE%\Documents\GitHub\eaglep3\Utilities\DownloadLogsFromS3.py --loco 4005 --day 2017-11-29</v>
      </c>
      <c r="AN123" s="242" t="str">
        <f t="shared" si="6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01:25:18"},{"id":29,"name":"Sharepoint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1" t="str">
        <f t="shared" si="64"/>
        <v>https://d0f6bd738d7f1b3e5a7ca70fe4ff75f0.us-east-1.aws.found.io/app/kibana#/discover/Steve-Slow-Train-Analysis-(2080s-and-2083s)?_g=(refreshInterval:(display:Off,pause:!f,section:0,value:0),time:(from:'2017-11-29T16:40:01-0700',mode:absolute,to:'2017-11-29T19:25:18-0700'))&amp;_a=(columns:!('Message%20ID',Summary),filters:!(),index:'emp_*',interval:auto,query:(query_string:(analyze_wildcard:!t,query:'%22rtdc.l.rtdc.4005%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230" t="s">
        <v>814</v>
      </c>
      <c r="B124" s="226">
        <v>4066</v>
      </c>
      <c r="C124" s="228" t="s">
        <v>192</v>
      </c>
      <c r="D124" s="228" t="s">
        <v>508</v>
      </c>
      <c r="E124" s="227">
        <v>43068.704305555555</v>
      </c>
      <c r="F124" s="227">
        <v>43068.708483796298</v>
      </c>
      <c r="G124" s="226">
        <v>69</v>
      </c>
      <c r="H124" s="228" t="s">
        <v>956</v>
      </c>
      <c r="I124" s="227">
        <v>43068.737071759257</v>
      </c>
      <c r="J124" s="226">
        <v>0</v>
      </c>
      <c r="K124" s="238" t="str">
        <f t="shared" si="93"/>
        <v>4065/4066</v>
      </c>
      <c r="L124" s="246" t="str">
        <f>VLOOKUP(A124,'Trips&amp;Operators'!$C$1:$G$99911,5,FALSE)</f>
        <v>GUZMAN DANNY</v>
      </c>
      <c r="M124" s="225">
        <f t="shared" si="94"/>
        <v>2.8587962959136348E-2</v>
      </c>
      <c r="N124" s="226">
        <f t="shared" si="103"/>
        <v>41.166666661156341</v>
      </c>
      <c r="O124" s="226"/>
      <c r="P124" s="226"/>
      <c r="Q124" s="229"/>
      <c r="R124" s="243"/>
      <c r="S124" s="250">
        <f t="shared" si="95"/>
        <v>1</v>
      </c>
      <c r="T124" s="243" t="str">
        <f t="shared" si="96"/>
        <v>NorthBound</v>
      </c>
      <c r="U124" s="24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9" t="str">
        <f t="shared" si="54"/>
        <v>https://d0f6bd738d7f1b3e5a7ca70fe4ff75f0.us-east-1.aws.found.io/app/kibana#/discover/Steve-Slow-Train-Analysis-(2080s-and-2083s)?_g=(refreshInterval:(display:Off,pause:!f,section:0,value:0),time:(from:'2017-11-29T15:54:12-0700',mode:absolute,to:'2017-11-29T18:41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24" s="248" t="str">
        <f>IF(AA124&lt;VLOOKUP(AG124,Variables!$AC$3:$AD$8,2,FALSE),"Y","N")</f>
        <v>N</v>
      </c>
      <c r="X124" s="248">
        <f t="shared" si="102"/>
        <v>1</v>
      </c>
      <c r="Y124" s="248">
        <f t="shared" si="97"/>
        <v>5.33E-2</v>
      </c>
      <c r="Z124" s="248">
        <f t="shared" si="98"/>
        <v>23.323399999999999</v>
      </c>
      <c r="AA124" s="248">
        <f t="shared" si="99"/>
        <v>23.270099999999999</v>
      </c>
      <c r="AB124" s="234" t="e">
        <f>VLOOKUP(A124,Enforcements!$C$7:$K$9,8,0)</f>
        <v>#N/A</v>
      </c>
      <c r="AC124" s="233" t="e">
        <f>VLOOKUP(A124,Enforcements!$C$7:$E$9,3,0)</f>
        <v>#N/A</v>
      </c>
      <c r="AD124" s="244">
        <f t="shared" si="100"/>
        <v>207</v>
      </c>
      <c r="AE124" s="236" t="str">
        <f t="shared" si="57"/>
        <v>aws s3 cp s3://rtdc.mdm.uploadarchive.raw/RTDC4066/ "%USERPROFILE%\AppData\Local\Temp\OnboardLogs"\RTDC4066\2017-11-29 --exclude "*" --recursive --include "*20171129*" &amp; "%USERPROFILE%\Documents\GitHub\mrs-test-scripts\Headless Mode &amp; Sideloading\WalkAndUnGZ.bat" "%USERPROFILE%\AppData\Local\Temp\OnboardLogs"\RTDC4066\2017-11-29 &amp; aws s3 cp s3://rtdc.mdm.uploadarchive.raw/RTDC4066/ "%USERPROFILE%\AppData\Local\Temp\OnboardLogs"\RTDC4066\2017-11-30 --exclude "*" --recursive --include "*20171130*" &amp; "%USERPROFILE%\Documents\GitHub\mrs-test-scripts\Headless Mode &amp; Sideloading\WalkAndUnGZ.bat" "%USERPROFILE%\AppData\Local\Temp\OnboardLogs"\RTDC4066\2017-11-30</v>
      </c>
      <c r="AF124" s="235" t="str">
        <f t="shared" si="58"/>
        <v>"C:\Program Files (x86)\AstroGrep\AstroGrep.exe" /e /r /s /spath="%USERPROFILE%\AppData\Local\Temp\OnboardLogs" /stypes="app*4066*20171130*" /stext=" 00:.+((SYSTEM_STATE.+slice.+state.+changed )|(ment ac)|(multiple cpu faults)|(system.+state.+changed )|(\[timeout)|(PRM\|1\|D)|(kpr)|(kdp)|(train st.+moving)|(\|lc)|(penalty))"</v>
      </c>
      <c r="AG124" s="245" t="str">
        <f t="shared" si="101"/>
        <v>EC</v>
      </c>
      <c r="AH124" s="237" t="str">
        <f t="shared" si="60"/>
        <v>"%USERPROFILE%\Documents\GitHub\eaglep3\Utilities\RefineRTDCRunTimes.py" --tripid 207-29 --locoid 4066 --swversion DE.1.0.9.0 --startMP 204:533 --initTime 2017-11-29T16:54:12 --startdatetime 2017-11-29T17:00:13 --delay 69 --endMP 204:233234 --enddatetime 2017-11-29T17:41:23 --enforcementcount 0 &gt;&gt;%USERPROFILE%\Documents\GitHub\eaglep3-reporting\EC\2017-11-29-refined-times.txt</v>
      </c>
      <c r="AI124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{"issue":{"subject":"","project_id":79,"tracker_id":40,"status_id":1,"priority_id":2,"assigned_to_id":338,"start_date":"2017-11-29","description":"","custom_fields":[{"id":1,"name":"Subdivision","value":"EC"},{"id":4,"name":"Milepost","value":"23.3234"},{"id":17,"name":"Train ID","value":"207-29"},{"id":16,"name":"Locomotive ID","value":"4066"},{"id":130,"name":"Impact","value":""},{"id":150,"name":"Time of Event (Mountain Time)","value":"17:41:23"},{"id":151,"name":"Denver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4" s="224"/>
      <c r="AK124" s="232"/>
      <c r="AL124" s="232"/>
      <c r="AM124" s="241" t="str">
        <f t="shared" si="62"/>
        <v>start /low /b %USERPROFILE%\Documents\GitHub\eaglep3\Utilities\DownloadLogsFromS3.py --loco 4066 --day 2017-11-29</v>
      </c>
      <c r="AN124" s="242" t="str">
        <f t="shared" si="6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00:41:23"},{"id":29,"name":"Sharepoint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1" t="str">
        <f t="shared" si="64"/>
        <v>https://d0f6bd738d7f1b3e5a7ca70fe4ff75f0.us-east-1.aws.found.io/app/kibana#/discover/Steve-Slow-Train-Analysis-(2080s-and-2083s)?_g=(refreshInterval:(display:Off,pause:!f,section:0,value:0),time:(from:'2017-11-29T15:54:12-0700',mode:absolute,to:'2017-11-29T18:41:23-0700'))&amp;_a=(columns:!('Message%20ID',Summary),filters:!(),index:'emp_*',interval:auto,query:(query_string:(analyze_wildcard:!t,query:'%22rtdc.l.rtdc.4066%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230" t="s">
        <v>826</v>
      </c>
      <c r="B125" s="226">
        <v>4065</v>
      </c>
      <c r="C125" s="228" t="s">
        <v>192</v>
      </c>
      <c r="D125" s="228" t="s">
        <v>441</v>
      </c>
      <c r="E125" s="227">
        <v>43068.739247685182</v>
      </c>
      <c r="F125" s="227">
        <v>43068.748113425929</v>
      </c>
      <c r="G125" s="226">
        <v>51</v>
      </c>
      <c r="H125" s="228" t="s">
        <v>900</v>
      </c>
      <c r="I125" s="227">
        <v>43068.776504629626</v>
      </c>
      <c r="J125" s="226">
        <v>0</v>
      </c>
      <c r="K125" s="238" t="str">
        <f t="shared" si="93"/>
        <v>4065/4066</v>
      </c>
      <c r="L125" s="246" t="str">
        <f>VLOOKUP(A125,'Trips&amp;Operators'!$C$1:$G$99911,5,FALSE)</f>
        <v>GUZMAN DANNY</v>
      </c>
      <c r="M125" s="225">
        <f t="shared" si="94"/>
        <v>2.8391203697538003E-2</v>
      </c>
      <c r="N125" s="226">
        <f t="shared" si="103"/>
        <v>40.883333324454725</v>
      </c>
      <c r="O125" s="226"/>
      <c r="P125" s="226"/>
      <c r="Q125" s="229"/>
      <c r="R125" s="243"/>
      <c r="S125" s="250">
        <f t="shared" si="95"/>
        <v>1</v>
      </c>
      <c r="T125" s="243" t="str">
        <f t="shared" si="96"/>
        <v>Southbound</v>
      </c>
      <c r="U125" s="24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9" t="str">
        <f t="shared" si="54"/>
        <v>https://d0f6bd738d7f1b3e5a7ca70fe4ff75f0.us-east-1.aws.found.io/app/kibana#/discover/Steve-Slow-Train-Analysis-(2080s-and-2083s)?_g=(refreshInterval:(display:Off,pause:!f,section:0,value:0),time:(from:'2017-11-29T16:44:31-0700',mode:absolute,to:'2017-11-29T19:38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25" s="248" t="str">
        <f>IF(AA125&lt;VLOOKUP(AG125,Variables!$AC$3:$AD$8,2,FALSE),"Y","N")</f>
        <v>N</v>
      </c>
      <c r="X125" s="248">
        <f t="shared" si="102"/>
        <v>1</v>
      </c>
      <c r="Y125" s="248">
        <f t="shared" si="97"/>
        <v>23.290400000000002</v>
      </c>
      <c r="Z125" s="248">
        <f t="shared" si="98"/>
        <v>2.8299999999999999E-2</v>
      </c>
      <c r="AA125" s="248">
        <f t="shared" si="99"/>
        <v>23.2621</v>
      </c>
      <c r="AB125" s="234" t="e">
        <f>VLOOKUP(A125,Enforcements!$C$7:$K$9,8,0)</f>
        <v>#N/A</v>
      </c>
      <c r="AC125" s="233" t="e">
        <f>VLOOKUP(A125,Enforcements!$C$7:$E$9,3,0)</f>
        <v>#N/A</v>
      </c>
      <c r="AD125" s="244">
        <f t="shared" si="100"/>
        <v>208</v>
      </c>
      <c r="AE125" s="236" t="str">
        <f t="shared" si="57"/>
        <v>aws s3 cp s3://rtdc.mdm.uploadarchive.raw/RTDC4065/ "%USERPROFILE%\AppData\Local\Temp\OnboardLogs"\RTDC4065\2017-11-29 --exclude "*" --recursive --include "*20171129*" &amp; "%USERPROFILE%\Documents\GitHub\mrs-test-scripts\Headless Mode &amp; Sideloading\WalkAndUnGZ.bat" "%USERPROFILE%\AppData\Local\Temp\OnboardLogs"\RTDC4065\2017-11-29 &amp; aws s3 cp s3://rtdc.mdm.uploadarchive.raw/RTDC4065/ "%USERPROFILE%\AppData\Local\Temp\OnboardLogs"\RTDC4065\2017-11-30 --exclude "*" --recursive --include "*20171130*" &amp; "%USERPROFILE%\Documents\GitHub\mrs-test-scripts\Headless Mode &amp; Sideloading\WalkAndUnGZ.bat" "%USERPROFILE%\AppData\Local\Temp\OnboardLogs"\RTDC4065\2017-11-30</v>
      </c>
      <c r="AF125" s="235" t="str">
        <f t="shared" si="58"/>
        <v>"C:\Program Files (x86)\AstroGrep\AstroGrep.exe" /e /r /s /spath="%USERPROFILE%\AppData\Local\Temp\OnboardLogs" /stypes="app*4065*20171130*" /stext=" 01:.+((SYSTEM_STATE.+slice.+state.+changed )|(ment ac)|(multiple cpu faults)|(system.+state.+changed )|(\[timeout)|(PRM\|1\|D)|(kpr)|(kdp)|(train st.+moving)|(\|lc)|(penalty))"</v>
      </c>
      <c r="AG125" s="245" t="str">
        <f t="shared" si="101"/>
        <v>EC</v>
      </c>
      <c r="AH125" s="237" t="str">
        <f t="shared" si="60"/>
        <v>"%USERPROFILE%\Documents\GitHub\eaglep3\Utilities\RefineRTDCRunTimes.py" --tripid 208-29 --locoid 4065 --swversion DE.1.0.9.0 --startMP 204:232904 --initTime 2017-11-29T17:44:31 --startdatetime 2017-11-29T17:57:17 --delay 51 --endMP 204:283 --enddatetime 2017-11-29T18:38:10 --enforcementcount 0 &gt;&gt;%USERPROFILE%\Documents\GitHub\eaglep3-reporting\EC\2017-11-29-refined-times.txt</v>
      </c>
      <c r="AI125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{"issue":{"subject":"","project_id":79,"tracker_id":40,"status_id":1,"priority_id":2,"assigned_to_id":338,"start_date":"2017-11-29","description":"","custom_fields":[{"id":1,"name":"Subdivision","value":"EC"},{"id":4,"name":"Milepost","value":"0.0283"},{"id":17,"name":"Train ID","value":"208-29"},{"id":16,"name":"Locomotive ID","value":"4065"},{"id":130,"name":"Impact","value":""},{"id":150,"name":"Time of Event (Mountain Time)","value":"18:38:10"},{"id":151,"name":"Denver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5" s="224"/>
      <c r="AK125" s="232"/>
      <c r="AL125" s="232"/>
      <c r="AM125" s="241" t="str">
        <f t="shared" si="62"/>
        <v>start /low /b %USERPROFILE%\Documents\GitHub\eaglep3\Utilities\DownloadLogsFromS3.py --loco 4065 --day 2017-11-29</v>
      </c>
      <c r="AN125" s="242" t="str">
        <f t="shared" si="6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01:38:10"},{"id":29,"name":"Sharepoint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1" t="str">
        <f t="shared" si="64"/>
        <v>https://d0f6bd738d7f1b3e5a7ca70fe4ff75f0.us-east-1.aws.found.io/app/kibana#/discover/Steve-Slow-Train-Analysis-(2080s-and-2083s)?_g=(refreshInterval:(display:Off,pause:!f,section:0,value:0),time:(from:'2017-11-29T16:44:31-0700',mode:absolute,to:'2017-11-29T19:38:10-0700'))&amp;_a=(columns:!('Message%20ID',Summary),filters:!(),index:'emp_*',interval:auto,query:(query_string:(analyze_wildcard:!t,query:'%22rtdc.l.rtdc.4065%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24" customFormat="1" x14ac:dyDescent="0.25">
      <c r="A126" s="230" t="s">
        <v>819</v>
      </c>
      <c r="B126" s="226">
        <v>4022</v>
      </c>
      <c r="C126" s="228" t="s">
        <v>192</v>
      </c>
      <c r="D126" s="228" t="s">
        <v>439</v>
      </c>
      <c r="E126" s="227">
        <v>43068.716087962966</v>
      </c>
      <c r="F126" s="227">
        <v>43068.718935185185</v>
      </c>
      <c r="G126" s="226">
        <v>71</v>
      </c>
      <c r="H126" s="228" t="s">
        <v>957</v>
      </c>
      <c r="I126" s="227">
        <v>43068.746828703705</v>
      </c>
      <c r="J126" s="226">
        <v>0</v>
      </c>
      <c r="K126" s="238" t="str">
        <f t="shared" si="93"/>
        <v>4021/4022</v>
      </c>
      <c r="L126" s="246" t="str">
        <f>VLOOKUP(A126,'Trips&amp;Operators'!$C$1:$G$99911,5,FALSE)</f>
        <v>LEVIN SCOTT</v>
      </c>
      <c r="M126" s="225">
        <f t="shared" si="94"/>
        <v>2.789351851970423E-2</v>
      </c>
      <c r="N126" s="226">
        <f t="shared" si="103"/>
        <v>40.166666668374091</v>
      </c>
      <c r="O126" s="226"/>
      <c r="P126" s="226"/>
      <c r="Q126" s="229"/>
      <c r="R126" s="243"/>
      <c r="S126" s="250">
        <f t="shared" si="95"/>
        <v>1</v>
      </c>
      <c r="T126" s="243" t="str">
        <f t="shared" si="96"/>
        <v>NorthBound</v>
      </c>
      <c r="U126" s="24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9" t="str">
        <f t="shared" si="54"/>
        <v>https://d0f6bd738d7f1b3e5a7ca70fe4ff75f0.us-east-1.aws.found.io/app/kibana#/discover/Steve-Slow-Train-Analysis-(2080s-and-2083s)?_g=(refreshInterval:(display:Off,pause:!f,section:0,value:0),time:(from:'2017-11-29T16:11:10-0700',mode:absolute,to:'2017-11-29T18:55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6" s="248" t="str">
        <f>IF(AA126&lt;VLOOKUP(AG126,Variables!$AC$3:$AD$8,2,FALSE),"Y","N")</f>
        <v>N</v>
      </c>
      <c r="X126" s="248">
        <f t="shared" si="102"/>
        <v>1</v>
      </c>
      <c r="Y126" s="248">
        <f t="shared" si="97"/>
        <v>4.7500000000000001E-2</v>
      </c>
      <c r="Z126" s="248">
        <f t="shared" si="98"/>
        <v>23.3323</v>
      </c>
      <c r="AA126" s="248">
        <f t="shared" si="99"/>
        <v>23.284800000000001</v>
      </c>
      <c r="AB126" s="234" t="e">
        <f>VLOOKUP(A126,Enforcements!$C$7:$K$9,8,0)</f>
        <v>#N/A</v>
      </c>
      <c r="AC126" s="233" t="e">
        <f>VLOOKUP(A126,Enforcements!$C$7:$E$9,3,0)</f>
        <v>#N/A</v>
      </c>
      <c r="AD126" s="244">
        <f t="shared" si="100"/>
        <v>209</v>
      </c>
      <c r="AE126" s="236" t="str">
        <f t="shared" si="57"/>
        <v>aws s3 cp s3://rtdc.mdm.uploadarchive.raw/RTDC4022/ "%USERPROFILE%\AppData\Local\Temp\OnboardLogs"\RTDC4022\2017-11-29 --exclude "*" --recursive --include "*20171129*" &amp; "%USERPROFILE%\Documents\GitHub\mrs-test-scripts\Headless Mode &amp; Sideloading\WalkAndUnGZ.bat" "%USERPROFILE%\AppData\Local\Temp\OnboardLogs"\RTDC4022\2017-11-29 &amp; aws s3 cp s3://rtdc.mdm.uploadarchive.raw/RTDC4022/ "%USERPROFILE%\AppData\Local\Temp\OnboardLogs"\RTDC4022\2017-11-30 --exclude "*" --recursive --include "*20171130*" &amp; "%USERPROFILE%\Documents\GitHub\mrs-test-scripts\Headless Mode &amp; Sideloading\WalkAndUnGZ.bat" "%USERPROFILE%\AppData\Local\Temp\OnboardLogs"\RTDC4022\2017-11-30</v>
      </c>
      <c r="AF126" s="235" t="str">
        <f t="shared" si="58"/>
        <v>"C:\Program Files (x86)\AstroGrep\AstroGrep.exe" /e /r /s /spath="%USERPROFILE%\AppData\Local\Temp\OnboardLogs" /stypes="app*4022*20171130*" /stext=" 00:.+((SYSTEM_STATE.+slice.+state.+changed )|(ment ac)|(multiple cpu faults)|(system.+state.+changed )|(\[timeout)|(PRM\|1\|D)|(kpr)|(kdp)|(train st.+moving)|(\|lc)|(penalty))"</v>
      </c>
      <c r="AG126" s="245" t="str">
        <f t="shared" si="101"/>
        <v>EC</v>
      </c>
      <c r="AH126" s="237" t="str">
        <f t="shared" si="60"/>
        <v>"%USERPROFILE%\Documents\GitHub\eaglep3\Utilities\RefineRTDCRunTimes.py" --tripid 209-29 --locoid 4022 --swversion DE.1.0.9.0 --startMP 204:475 --initTime 2017-11-29T17:11:10 --startdatetime 2017-11-29T17:15:16 --delay 71 --endMP 204:233323 --enddatetime 2017-11-29T17:55:26 --enforcementcount 0 &gt;&gt;%USERPROFILE%\Documents\GitHub\eaglep3-reporting\EC\2017-11-29-refined-times.txt</v>
      </c>
      <c r="AI126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{"issue":{"subject":"","project_id":79,"tracker_id":40,"status_id":1,"priority_id":2,"assigned_to_id":338,"start_date":"2017-11-29","description":"","custom_fields":[{"id":1,"name":"Subdivision","value":"EC"},{"id":4,"name":"Milepost","value":"23.3323"},{"id":17,"name":"Train ID","value":"209-29"},{"id":16,"name":"Locomotive ID","value":"4022"},{"id":130,"name":"Impact","value":""},{"id":150,"name":"Time of Event (Mountain Time)","value":"17:55:26"},{"id":151,"name":"Denver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232"/>
      <c r="AL126" s="232"/>
      <c r="AM126" s="241" t="str">
        <f t="shared" si="62"/>
        <v>start /low /b %USERPROFILE%\Documents\GitHub\eaglep3\Utilities\DownloadLogsFromS3.py --loco 4022 --day 2017-11-29</v>
      </c>
      <c r="AN126" s="242" t="str">
        <f t="shared" si="6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00:55:26"},{"id":29,"name":"Sharepoint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1" t="str">
        <f t="shared" si="64"/>
        <v>https://d0f6bd738d7f1b3e5a7ca70fe4ff75f0.us-east-1.aws.found.io/app/kibana#/discover/Steve-Slow-Train-Analysis-(2080s-and-2083s)?_g=(refreshInterval:(display:Off,pause:!f,section:0,value:0),time:(from:'2017-11-29T16:11:10-0700',mode:absolute,to:'2017-11-29T18:55:26-0700'))&amp;_a=(columns:!('Message%20ID',Summary),filters:!(),index:'emp_*',interval:auto,query:(query_string:(analyze_wildcard:!t,query:'%22rtdc.l.rtdc.4022%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230" t="s">
        <v>829</v>
      </c>
      <c r="B127" s="226">
        <v>4021</v>
      </c>
      <c r="C127" s="228" t="s">
        <v>192</v>
      </c>
      <c r="D127" s="228" t="s">
        <v>958</v>
      </c>
      <c r="E127" s="227">
        <v>43068.752233796295</v>
      </c>
      <c r="F127" s="227">
        <v>43068.758564814816</v>
      </c>
      <c r="G127" s="226">
        <v>74</v>
      </c>
      <c r="H127" s="228" t="s">
        <v>566</v>
      </c>
      <c r="I127" s="227">
        <v>43068.784814814811</v>
      </c>
      <c r="J127" s="226">
        <v>0</v>
      </c>
      <c r="K127" s="238" t="str">
        <f t="shared" si="93"/>
        <v>4021/4022</v>
      </c>
      <c r="L127" s="246" t="str">
        <f>VLOOKUP(A127,'Trips&amp;Operators'!$C$1:$G$99911,5,FALSE)</f>
        <v>LEVIN SCOTT</v>
      </c>
      <c r="M127" s="225">
        <f t="shared" si="94"/>
        <v>2.6249999995343387E-2</v>
      </c>
      <c r="N127" s="226">
        <f t="shared" si="103"/>
        <v>37.799999993294477</v>
      </c>
      <c r="O127" s="226"/>
      <c r="P127" s="226"/>
      <c r="Q127" s="229"/>
      <c r="R127" s="243"/>
      <c r="S127" s="250">
        <f t="shared" si="95"/>
        <v>1</v>
      </c>
      <c r="T127" s="243" t="str">
        <f t="shared" si="96"/>
        <v>Southbound</v>
      </c>
      <c r="U127" s="24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9" t="str">
        <f t="shared" si="54"/>
        <v>https://d0f6bd738d7f1b3e5a7ca70fe4ff75f0.us-east-1.aws.found.io/app/kibana#/discover/Steve-Slow-Train-Analysis-(2080s-and-2083s)?_g=(refreshInterval:(display:Off,pause:!f,section:0,value:0),time:(from:'2017-11-29T17:03:13-0700',mode:absolute,to:'2017-11-29T19:50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7" s="248" t="str">
        <f>IF(AA127&lt;VLOOKUP(AG127,Variables!$AC$3:$AD$8,2,FALSE),"Y","N")</f>
        <v>N</v>
      </c>
      <c r="X127" s="248">
        <f t="shared" si="102"/>
        <v>1</v>
      </c>
      <c r="Y127" s="248">
        <f t="shared" si="97"/>
        <v>23.300799999999999</v>
      </c>
      <c r="Z127" s="248">
        <f t="shared" si="98"/>
        <v>1.5800000000000002E-2</v>
      </c>
      <c r="AA127" s="248">
        <f t="shared" si="99"/>
        <v>23.285</v>
      </c>
      <c r="AB127" s="234" t="e">
        <f>VLOOKUP(A127,Enforcements!$C$7:$K$9,8,0)</f>
        <v>#N/A</v>
      </c>
      <c r="AC127" s="233" t="e">
        <f>VLOOKUP(A127,Enforcements!$C$7:$E$9,3,0)</f>
        <v>#N/A</v>
      </c>
      <c r="AD127" s="244">
        <f t="shared" si="100"/>
        <v>210</v>
      </c>
      <c r="AE127" s="236" t="str">
        <f t="shared" si="57"/>
        <v>aws s3 cp s3://rtdc.mdm.uploadarchive.raw/RTDC4021/ "%USERPROFILE%\AppData\Local\Temp\OnboardLogs"\RTDC4021\2017-11-29 --exclude "*" --recursive --include "*20171129*" &amp; "%USERPROFILE%\Documents\GitHub\mrs-test-scripts\Headless Mode &amp; Sideloading\WalkAndUnGZ.bat" "%USERPROFILE%\AppData\Local\Temp\OnboardLogs"\RTDC4021\2017-11-29 &amp; aws s3 cp s3://rtdc.mdm.uploadarchive.raw/RTDC4021/ "%USERPROFILE%\AppData\Local\Temp\OnboardLogs"\RTDC4021\2017-11-30 --exclude "*" --recursive --include "*20171130*" &amp; "%USERPROFILE%\Documents\GitHub\mrs-test-scripts\Headless Mode &amp; Sideloading\WalkAndUnGZ.bat" "%USERPROFILE%\AppData\Local\Temp\OnboardLogs"\RTDC4021\2017-11-30</v>
      </c>
      <c r="AF127" s="235" t="str">
        <f t="shared" si="58"/>
        <v>"C:\Program Files (x86)\AstroGrep\AstroGrep.exe" /e /r /s /spath="%USERPROFILE%\AppData\Local\Temp\OnboardLogs" /stypes="app*4021*20171130*" /stext=" 01:.+((SYSTEM_STATE.+slice.+state.+changed )|(ment ac)|(multiple cpu faults)|(system.+state.+changed )|(\[timeout)|(PRM\|1\|D)|(kpr)|(kdp)|(train st.+moving)|(\|lc)|(penalty))"</v>
      </c>
      <c r="AG127" s="245" t="str">
        <f t="shared" si="101"/>
        <v>EC</v>
      </c>
      <c r="AH127" s="237" t="str">
        <f t="shared" si="60"/>
        <v>"%USERPROFILE%\Documents\GitHub\eaglep3\Utilities\RefineRTDCRunTimes.py" --tripid 210-29 --locoid 4021 --swversion DE.1.0.9.0 --startMP 204:233008 --initTime 2017-11-29T18:03:13 --startdatetime 2017-11-29T18:12:20 --delay 74 --endMP 204:158 --enddatetime 2017-11-29T18:50:08 --enforcementcount 0 &gt;&gt;%USERPROFILE%\Documents\GitHub\eaglep3-reporting\EC\2017-11-29-refined-times.txt</v>
      </c>
      <c r="AI127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{"issue":{"subject":"","project_id":79,"tracker_id":40,"status_id":1,"priority_id":2,"assigned_to_id":338,"start_date":"2017-11-29","description":"","custom_fields":[{"id":1,"name":"Subdivision","value":"EC"},{"id":4,"name":"Milepost","value":"0.0158"},{"id":17,"name":"Train ID","value":"210-29"},{"id":16,"name":"Locomotive ID","value":"4021"},{"id":130,"name":"Impact","value":""},{"id":150,"name":"Time of Event (Mountain Time)","value":"18:50:08"},{"id":151,"name":"Denver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7" s="224"/>
      <c r="AK127" s="232"/>
      <c r="AL127" s="232"/>
      <c r="AM127" s="241" t="str">
        <f t="shared" si="62"/>
        <v>start /low /b %USERPROFILE%\Documents\GitHub\eaglep3\Utilities\DownloadLogsFromS3.py --loco 4021 --day 2017-11-29</v>
      </c>
      <c r="AN127" s="242" t="str">
        <f t="shared" si="6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01:50:08"},{"id":29,"name":"Sharepoint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1" t="str">
        <f t="shared" si="64"/>
        <v>https://d0f6bd738d7f1b3e5a7ca70fe4ff75f0.us-east-1.aws.found.io/app/kibana#/discover/Steve-Slow-Train-Analysis-(2080s-and-2083s)?_g=(refreshInterval:(display:Off,pause:!f,section:0,value:0),time:(from:'2017-11-29T17:03:13-0700',mode:absolute,to:'2017-11-29T19:50:08-0700'))&amp;_a=(columns:!('Message%20ID',Summary),filters:!(),index:'emp_*',interval:auto,query:(query_string:(analyze_wildcard:!t,query:'%22rtdc.l.rtdc.4021%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230" t="s">
        <v>821</v>
      </c>
      <c r="B128" s="226">
        <v>4044</v>
      </c>
      <c r="C128" s="228" t="s">
        <v>192</v>
      </c>
      <c r="D128" s="228" t="s">
        <v>959</v>
      </c>
      <c r="E128" s="227">
        <v>43068.724027777775</v>
      </c>
      <c r="F128" s="227">
        <v>43068.729386574072</v>
      </c>
      <c r="G128" s="226">
        <v>63</v>
      </c>
      <c r="H128" s="228" t="s">
        <v>564</v>
      </c>
      <c r="I128" s="227">
        <v>43068.758043981485</v>
      </c>
      <c r="J128" s="226">
        <v>0</v>
      </c>
      <c r="K128" s="238" t="str">
        <f t="shared" si="93"/>
        <v>4043/4044</v>
      </c>
      <c r="L128" s="246" t="str">
        <f>VLOOKUP(A128,'Trips&amp;Operators'!$C$1:$G$99911,5,FALSE)</f>
        <v>BERLING GARY</v>
      </c>
      <c r="M128" s="225">
        <f t="shared" si="94"/>
        <v>2.8657407412538305E-2</v>
      </c>
      <c r="N128" s="226">
        <f t="shared" si="103"/>
        <v>41.266666674055159</v>
      </c>
      <c r="O128" s="226"/>
      <c r="P128" s="226"/>
      <c r="Q128" s="229"/>
      <c r="R128" s="243"/>
      <c r="S128" s="250">
        <f t="shared" si="95"/>
        <v>1</v>
      </c>
      <c r="T128" s="243" t="str">
        <f t="shared" si="96"/>
        <v>NorthBound</v>
      </c>
      <c r="U128" s="24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9" t="str">
        <f t="shared" si="54"/>
        <v>https://d0f6bd738d7f1b3e5a7ca70fe4ff75f0.us-east-1.aws.found.io/app/kibana#/discover/Steve-Slow-Train-Analysis-(2080s-and-2083s)?_g=(refreshInterval:(display:Off,pause:!f,section:0,value:0),time:(from:'2017-11-29T16:22:36-0700',mode:absolute,to:'2017-11-29T19:11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8" s="248" t="str">
        <f>IF(AA128&lt;VLOOKUP(AG128,Variables!$AC$3:$AD$8,2,FALSE),"Y","N")</f>
        <v>N</v>
      </c>
      <c r="X128" s="248">
        <f t="shared" si="102"/>
        <v>1</v>
      </c>
      <c r="Y128" s="248">
        <f t="shared" si="97"/>
        <v>5.3100000000000001E-2</v>
      </c>
      <c r="Z128" s="248">
        <f t="shared" si="98"/>
        <v>23.3216</v>
      </c>
      <c r="AA128" s="248">
        <f t="shared" si="99"/>
        <v>23.2685</v>
      </c>
      <c r="AB128" s="234" t="e">
        <f>VLOOKUP(A128,Enforcements!$C$7:$K$9,8,0)</f>
        <v>#N/A</v>
      </c>
      <c r="AC128" s="233" t="e">
        <f>VLOOKUP(A128,Enforcements!$C$7:$E$9,3,0)</f>
        <v>#N/A</v>
      </c>
      <c r="AD128" s="244">
        <f t="shared" si="100"/>
        <v>211</v>
      </c>
      <c r="AE128" s="236" t="str">
        <f t="shared" si="57"/>
        <v>aws s3 cp s3://rtdc.mdm.uploadarchive.raw/RTDC4044/ "%USERPROFILE%\AppData\Local\Temp\OnboardLogs"\RTDC4044\2017-11-29 --exclude "*" --recursive --include "*20171129*" &amp; "%USERPROFILE%\Documents\GitHub\mrs-test-scripts\Headless Mode &amp; Sideloading\WalkAndUnGZ.bat" "%USERPROFILE%\AppData\Local\Temp\OnboardLogs"\RTDC4044\2017-11-29 &amp; aws s3 cp s3://rtdc.mdm.uploadarchive.raw/RTDC4044/ "%USERPROFILE%\AppData\Local\Temp\OnboardLogs"\RTDC4044\2017-11-30 --exclude "*" --recursive --include "*20171130*" &amp; "%USERPROFILE%\Documents\GitHub\mrs-test-scripts\Headless Mode &amp; Sideloading\WalkAndUnGZ.bat" "%USERPROFILE%\AppData\Local\Temp\OnboardLogs"\RTDC4044\2017-11-30</v>
      </c>
      <c r="AF128" s="235" t="str">
        <f t="shared" si="58"/>
        <v>"C:\Program Files (x86)\AstroGrep\AstroGrep.exe" /e /r /s /spath="%USERPROFILE%\AppData\Local\Temp\OnboardLogs" /stypes="app*4044*20171130*" /stext=" 01:.+((SYSTEM_STATE.+slice.+state.+changed )|(ment ac)|(multiple cpu faults)|(system.+state.+changed )|(\[timeout)|(PRM\|1\|D)|(kpr)|(kdp)|(train st.+moving)|(\|lc)|(penalty))"</v>
      </c>
      <c r="AG128" s="245" t="str">
        <f t="shared" si="101"/>
        <v>EC</v>
      </c>
      <c r="AH128" s="237" t="str">
        <f t="shared" si="60"/>
        <v>"%USERPROFILE%\Documents\GitHub\eaglep3\Utilities\RefineRTDCRunTimes.py" --tripid 211-29 --locoid 4044 --swversion DE.1.0.9.0 --startMP 204:531 --initTime 2017-11-29T17:22:36 --startdatetime 2017-11-29T17:30:19 --delay 63 --endMP 204:233216 --enddatetime 2017-11-29T18:11:35 --enforcementcount 0 &gt;&gt;%USERPROFILE%\Documents\GitHub\eaglep3-reporting\EC\2017-11-29-refined-times.txt</v>
      </c>
      <c r="AI128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{"issue":{"subject":"","project_id":79,"tracker_id":40,"status_id":1,"priority_id":2,"assigned_to_id":338,"start_date":"2017-11-29","description":"","custom_fields":[{"id":1,"name":"Subdivision","value":"EC"},{"id":4,"name":"Milepost","value":"23.3216"},{"id":17,"name":"Train ID","value":"211-29"},{"id":16,"name":"Locomotive ID","value":"4044"},{"id":130,"name":"Impact","value":""},{"id":150,"name":"Time of Event (Mountain Time)","value":"18:11:35"},{"id":151,"name":"Denver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224"/>
      <c r="AK128" s="232"/>
      <c r="AL128" s="232"/>
      <c r="AM128" s="241" t="str">
        <f t="shared" si="62"/>
        <v>start /low /b %USERPROFILE%\Documents\GitHub\eaglep3\Utilities\DownloadLogsFromS3.py --loco 4044 --day 2017-11-29</v>
      </c>
      <c r="AN128" s="242" t="str">
        <f t="shared" si="6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01:11:35"},{"id":29,"name":"Sharepoint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1" t="str">
        <f t="shared" si="64"/>
        <v>https://d0f6bd738d7f1b3e5a7ca70fe4ff75f0.us-east-1.aws.found.io/app/kibana#/discover/Steve-Slow-Train-Analysis-(2080s-and-2083s)?_g=(refreshInterval:(display:Off,pause:!f,section:0,value:0),time:(from:'2017-11-29T16:22:36-0700',mode:absolute,to:'2017-11-29T19:11:35-0700'))&amp;_a=(columns:!('Message%20ID',Summary),filters:!(),index:'emp_*',interval:auto,query:(query_string:(analyze_wildcard:!t,query:'%22rtdc.l.rtdc.4044%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230" t="s">
        <v>832</v>
      </c>
      <c r="B129" s="226">
        <v>4043</v>
      </c>
      <c r="C129" s="228" t="s">
        <v>192</v>
      </c>
      <c r="D129" s="228" t="s">
        <v>555</v>
      </c>
      <c r="E129" s="227">
        <v>43068.763912037037</v>
      </c>
      <c r="F129" s="227">
        <v>43068.768923611111</v>
      </c>
      <c r="G129" s="226">
        <v>55</v>
      </c>
      <c r="H129" s="228" t="s">
        <v>415</v>
      </c>
      <c r="I129" s="227">
        <v>43068.796030092592</v>
      </c>
      <c r="J129" s="226">
        <v>0</v>
      </c>
      <c r="K129" s="238" t="str">
        <f t="shared" si="93"/>
        <v>4043/4044</v>
      </c>
      <c r="L129" s="246" t="str">
        <f>VLOOKUP(A129,'Trips&amp;Operators'!$C$1:$G$99911,5,FALSE)</f>
        <v>BERLING GARY</v>
      </c>
      <c r="M129" s="225">
        <f t="shared" si="94"/>
        <v>2.7106481480586808E-2</v>
      </c>
      <c r="N129" s="226">
        <f t="shared" si="103"/>
        <v>39.033333332045004</v>
      </c>
      <c r="O129" s="226"/>
      <c r="P129" s="226"/>
      <c r="Q129" s="229"/>
      <c r="R129" s="243"/>
      <c r="S129" s="250">
        <f t="shared" si="95"/>
        <v>1</v>
      </c>
      <c r="T129" s="243" t="str">
        <f t="shared" si="96"/>
        <v>Southbound</v>
      </c>
      <c r="U129" s="24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9" t="str">
        <f t="shared" si="54"/>
        <v>https://d0f6bd738d7f1b3e5a7ca70fe4ff75f0.us-east-1.aws.found.io/app/kibana#/discover/Steve-Slow-Train-Analysis-(2080s-and-2083s)?_g=(refreshInterval:(display:Off,pause:!f,section:0,value:0),time:(from:'2017-11-29T17:20:02-0700',mode:absolute,to:'2017-11-29T20:06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9" s="248" t="str">
        <f>IF(AA129&lt;VLOOKUP(AG129,Variables!$AC$3:$AD$8,2,FALSE),"Y","N")</f>
        <v>N</v>
      </c>
      <c r="X129" s="248">
        <f t="shared" si="102"/>
        <v>1</v>
      </c>
      <c r="Y129" s="248">
        <f t="shared" si="97"/>
        <v>23.289200000000001</v>
      </c>
      <c r="Z129" s="248">
        <f t="shared" si="98"/>
        <v>2.2700000000000001E-2</v>
      </c>
      <c r="AA129" s="248">
        <f t="shared" si="99"/>
        <v>23.266500000000001</v>
      </c>
      <c r="AB129" s="234" t="e">
        <f>VLOOKUP(A129,Enforcements!$C$7:$K$9,8,0)</f>
        <v>#N/A</v>
      </c>
      <c r="AC129" s="233" t="e">
        <f>VLOOKUP(A129,Enforcements!$C$7:$E$9,3,0)</f>
        <v>#N/A</v>
      </c>
      <c r="AD129" s="244">
        <f t="shared" si="100"/>
        <v>212</v>
      </c>
      <c r="AE129" s="236" t="str">
        <f t="shared" si="57"/>
        <v>aws s3 cp s3://rtdc.mdm.uploadarchive.raw/RTDC4043/ "%USERPROFILE%\AppData\Local\Temp\OnboardLogs"\RTDC4043\2017-11-29 --exclude "*" --recursive --include "*20171129*" &amp; "%USERPROFILE%\Documents\GitHub\mrs-test-scripts\Headless Mode &amp; Sideloading\WalkAndUnGZ.bat" "%USERPROFILE%\AppData\Local\Temp\OnboardLogs"\RTDC4043\2017-11-29 &amp; aws s3 cp s3://rtdc.mdm.uploadarchive.raw/RTDC4043/ "%USERPROFILE%\AppData\Local\Temp\OnboardLogs"\RTDC4043\2017-11-30 --exclude "*" --recursive --include "*20171130*" &amp; "%USERPROFILE%\Documents\GitHub\mrs-test-scripts\Headless Mode &amp; Sideloading\WalkAndUnGZ.bat" "%USERPROFILE%\AppData\Local\Temp\OnboardLogs"\RTDC4043\2017-11-30</v>
      </c>
      <c r="AF129" s="235" t="str">
        <f t="shared" si="58"/>
        <v>"C:\Program Files (x86)\AstroGrep\AstroGrep.exe" /e /r /s /spath="%USERPROFILE%\AppData\Local\Temp\OnboardLogs" /stypes="app*4043*20171130*" /stext=" 02:.+((SYSTEM_STATE.+slice.+state.+changed )|(ment ac)|(multiple cpu faults)|(system.+state.+changed )|(\[timeout)|(PRM\|1\|D)|(kpr)|(kdp)|(train st.+moving)|(\|lc)|(penalty))"</v>
      </c>
      <c r="AG129" s="245" t="str">
        <f t="shared" si="101"/>
        <v>EC</v>
      </c>
      <c r="AH129" s="237" t="str">
        <f t="shared" si="60"/>
        <v>"%USERPROFILE%\Documents\GitHub\eaglep3\Utilities\RefineRTDCRunTimes.py" --tripid 212-29 --locoid 4043 --swversion DE.1.0.9.0 --startMP 204:232892 --initTime 2017-11-29T18:20:02 --startdatetime 2017-11-29T18:27:15 --delay 55 --endMP 204:227 --enddatetime 2017-11-29T19:06:17 --enforcementcount 0 &gt;&gt;%USERPROFILE%\Documents\GitHub\eaglep3-reporting\EC\2017-11-29-refined-times.txt</v>
      </c>
      <c r="AI129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{"issue":{"subject":"","project_id":79,"tracker_id":40,"status_id":1,"priority_id":2,"assigned_to_id":338,"start_date":"2017-11-29","description":"","custom_fields":[{"id":1,"name":"Subdivision","value":"EC"},{"id":4,"name":"Milepost","value":"0.0227"},{"id":17,"name":"Train ID","value":"212-29"},{"id":16,"name":"Locomotive ID","value":"4043"},{"id":130,"name":"Impact","value":""},{"id":150,"name":"Time of Event (Mountain Time)","value":"19:06:17"},{"id":151,"name":"Denver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9" s="224"/>
      <c r="AK129" s="232"/>
      <c r="AL129" s="232"/>
      <c r="AM129" s="241" t="str">
        <f t="shared" si="62"/>
        <v>start /low /b %USERPROFILE%\Documents\GitHub\eaglep3\Utilities\DownloadLogsFromS3.py --loco 4043 --day 2017-11-29</v>
      </c>
      <c r="AN129" s="242" t="str">
        <f t="shared" si="6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02:06:17"},{"id":29,"name":"Sharepoint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1" t="str">
        <f t="shared" si="64"/>
        <v>https://d0f6bd738d7f1b3e5a7ca70fe4ff75f0.us-east-1.aws.found.io/app/kibana#/discover/Steve-Slow-Train-Analysis-(2080s-and-2083s)?_g=(refreshInterval:(display:Off,pause:!f,section:0,value:0),time:(from:'2017-11-29T17:20:02-0700',mode:absolute,to:'2017-11-29T20:06:17-0700'))&amp;_a=(columns:!('Message%20ID',Summary),filters:!(),index:'emp_*',interval:auto,query:(query_string:(analyze_wildcard:!t,query:'%22rtdc.l.rtdc.4043%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230" t="s">
        <v>824</v>
      </c>
      <c r="B130" s="226">
        <v>4026</v>
      </c>
      <c r="C130" s="228" t="s">
        <v>192</v>
      </c>
      <c r="D130" s="228" t="s">
        <v>960</v>
      </c>
      <c r="E130" s="227">
        <v>43068.732118055559</v>
      </c>
      <c r="F130" s="227">
        <v>43068.739803240744</v>
      </c>
      <c r="G130" s="226">
        <v>108</v>
      </c>
      <c r="H130" s="228" t="s">
        <v>926</v>
      </c>
      <c r="I130" s="227">
        <v>43068.764861111114</v>
      </c>
      <c r="J130" s="226">
        <v>0</v>
      </c>
      <c r="K130" s="238" t="str">
        <f t="shared" si="93"/>
        <v>4025/4026</v>
      </c>
      <c r="L130" s="246" t="str">
        <f>VLOOKUP(A130,'Trips&amp;Operators'!$C$1:$G$99911,5,FALSE)</f>
        <v>RESPASS AARON</v>
      </c>
      <c r="M130" s="225">
        <f t="shared" si="94"/>
        <v>2.5057870370801538E-2</v>
      </c>
      <c r="N130" s="226">
        <f t="shared" si="103"/>
        <v>36.083333333954215</v>
      </c>
      <c r="O130" s="226"/>
      <c r="P130" s="226"/>
      <c r="Q130" s="229"/>
      <c r="R130" s="243"/>
      <c r="S130" s="250">
        <f t="shared" si="95"/>
        <v>1</v>
      </c>
      <c r="T130" s="243" t="str">
        <f t="shared" si="96"/>
        <v>NorthBound</v>
      </c>
      <c r="U130" s="24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9" t="str">
        <f t="shared" si="54"/>
        <v>https://d0f6bd738d7f1b3e5a7ca70fe4ff75f0.us-east-1.aws.found.io/app/kibana#/discover/Steve-Slow-Train-Analysis-(2080s-and-2083s)?_g=(refreshInterval:(display:Off,pause:!f,section:0,value:0),time:(from:'2017-11-29T16:34:15-0700',mode:absolute,to:'2017-11-29T19:21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0" s="248" t="str">
        <f>IF(AA130&lt;VLOOKUP(AG130,Variables!$AC$3:$AD$8,2,FALSE),"Y","N")</f>
        <v>N</v>
      </c>
      <c r="X130" s="248">
        <f t="shared" si="102"/>
        <v>1</v>
      </c>
      <c r="Y130" s="248">
        <f t="shared" si="97"/>
        <v>4.9500000000000002E-2</v>
      </c>
      <c r="Z130" s="248">
        <f t="shared" si="98"/>
        <v>23.3217</v>
      </c>
      <c r="AA130" s="248">
        <f t="shared" si="99"/>
        <v>23.272200000000002</v>
      </c>
      <c r="AB130" s="234" t="e">
        <f>VLOOKUP(A130,Enforcements!$C$7:$K$9,8,0)</f>
        <v>#N/A</v>
      </c>
      <c r="AC130" s="233" t="e">
        <f>VLOOKUP(A130,Enforcements!$C$7:$E$9,3,0)</f>
        <v>#N/A</v>
      </c>
      <c r="AD130" s="244">
        <f t="shared" si="100"/>
        <v>213</v>
      </c>
      <c r="AE130" s="236" t="str">
        <f t="shared" si="57"/>
        <v>aws s3 cp s3://rtdc.mdm.uploadarchive.raw/RTDC4026/ "%USERPROFILE%\AppData\Local\Temp\OnboardLogs"\RTDC4026\2017-11-29 --exclude "*" --recursive --include "*20171129*" &amp; "%USERPROFILE%\Documents\GitHub\mrs-test-scripts\Headless Mode &amp; Sideloading\WalkAndUnGZ.bat" "%USERPROFILE%\AppData\Local\Temp\OnboardLogs"\RTDC4026\2017-11-29 &amp; aws s3 cp s3://rtdc.mdm.uploadarchive.raw/RTDC4026/ "%USERPROFILE%\AppData\Local\Temp\OnboardLogs"\RTDC4026\2017-11-30 --exclude "*" --recursive --include "*20171130*" &amp; "%USERPROFILE%\Documents\GitHub\mrs-test-scripts\Headless Mode &amp; Sideloading\WalkAndUnGZ.bat" "%USERPROFILE%\AppData\Local\Temp\OnboardLogs"\RTDC4026\2017-11-30</v>
      </c>
      <c r="AF130" s="235" t="str">
        <f t="shared" si="58"/>
        <v>"C:\Program Files (x86)\AstroGrep\AstroGrep.exe" /e /r /s /spath="%USERPROFILE%\AppData\Local\Temp\OnboardLogs" /stypes="app*4026*20171130*" /stext=" 01:.+((SYSTEM_STATE.+slice.+state.+changed )|(ment ac)|(multiple cpu faults)|(system.+state.+changed )|(\[timeout)|(PRM\|1\|D)|(kpr)|(kdp)|(train st.+moving)|(\|lc)|(penalty))"</v>
      </c>
      <c r="AG130" s="245" t="str">
        <f t="shared" si="101"/>
        <v>EC</v>
      </c>
      <c r="AH130" s="237" t="str">
        <f t="shared" si="60"/>
        <v>"%USERPROFILE%\Documents\GitHub\eaglep3\Utilities\RefineRTDCRunTimes.py" --tripid 213-29 --locoid 4026 --swversion DE.1.0.9.0 --startMP 204:495 --initTime 2017-11-29T17:34:15 --startdatetime 2017-11-29T17:45:19 --delay 108 --endMP 204:233217 --enddatetime 2017-11-29T18:21:24 --enforcementcount 0 &gt;&gt;%USERPROFILE%\Documents\GitHub\eaglep3-reporting\EC\2017-11-29-refined-times.txt</v>
      </c>
      <c r="AI130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{"issue":{"subject":"","project_id":79,"tracker_id":40,"status_id":1,"priority_id":2,"assigned_to_id":338,"start_date":"2017-11-29","description":"","custom_fields":[{"id":1,"name":"Subdivision","value":"EC"},{"id":4,"name":"Milepost","value":"23.3217"},{"id":17,"name":"Train ID","value":"213-29"},{"id":16,"name":"Locomotive ID","value":"4026"},{"id":130,"name":"Impact","value":""},{"id":150,"name":"Time of Event (Mountain Time)","value":"18:21:24"},{"id":151,"name":"Denver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0" s="224"/>
      <c r="AK130" s="232"/>
      <c r="AL130" s="232"/>
      <c r="AM130" s="241" t="str">
        <f t="shared" si="62"/>
        <v>start /low /b %USERPROFILE%\Documents\GitHub\eaglep3\Utilities\DownloadLogsFromS3.py --loco 4026 --day 2017-11-29</v>
      </c>
      <c r="AN130" s="242" t="str">
        <f t="shared" si="6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01:21:24"},{"id":29,"name":"Sharepoint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1" t="str">
        <f t="shared" si="64"/>
        <v>https://d0f6bd738d7f1b3e5a7ca70fe4ff75f0.us-east-1.aws.found.io/app/kibana#/discover/Steve-Slow-Train-Analysis-(2080s-and-2083s)?_g=(refreshInterval:(display:Off,pause:!f,section:0,value:0),time:(from:'2017-11-29T16:34:15-0700',mode:absolute,to:'2017-11-29T19:21:24-0700'))&amp;_a=(columns:!('Message%20ID',Summary),filters:!(),index:'emp_*',interval:auto,query:(query_string:(analyze_wildcard:!t,query:'%22rtdc.l.rtdc.4026%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230" t="s">
        <v>836</v>
      </c>
      <c r="B131" s="226">
        <v>4025</v>
      </c>
      <c r="C131" s="228" t="s">
        <v>192</v>
      </c>
      <c r="D131" s="228" t="s">
        <v>579</v>
      </c>
      <c r="E131" s="227">
        <v>43068.776597222219</v>
      </c>
      <c r="F131" s="227">
        <v>43068.779814814814</v>
      </c>
      <c r="G131" s="226">
        <v>79</v>
      </c>
      <c r="H131" s="228" t="s">
        <v>514</v>
      </c>
      <c r="I131" s="227">
        <v>43068.805393518516</v>
      </c>
      <c r="J131" s="226">
        <v>0</v>
      </c>
      <c r="K131" s="238" t="str">
        <f t="shared" si="93"/>
        <v>4025/4026</v>
      </c>
      <c r="L131" s="246" t="str">
        <f>VLOOKUP(A131,'Trips&amp;Operators'!$C$1:$G$99911,5,FALSE)</f>
        <v>RESPASS AARON</v>
      </c>
      <c r="M131" s="225">
        <f t="shared" si="94"/>
        <v>2.5578703702194616E-2</v>
      </c>
      <c r="N131" s="226">
        <f t="shared" si="103"/>
        <v>36.833333331160247</v>
      </c>
      <c r="O131" s="226"/>
      <c r="P131" s="226"/>
      <c r="Q131" s="229"/>
      <c r="R131" s="243"/>
      <c r="S131" s="250">
        <f t="shared" si="95"/>
        <v>1</v>
      </c>
      <c r="T131" s="243" t="str">
        <f t="shared" si="96"/>
        <v>Southbound</v>
      </c>
      <c r="U131" s="24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9" t="str">
        <f t="shared" si="54"/>
        <v>https://d0f6bd738d7f1b3e5a7ca70fe4ff75f0.us-east-1.aws.found.io/app/kibana#/discover/Steve-Slow-Train-Analysis-(2080s-and-2083s)?_g=(refreshInterval:(display:Off,pause:!f,section:0,value:0),time:(from:'2017-11-29T17:38:18-0700',mode:absolute,to:'2017-11-29T20:19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1" s="248" t="str">
        <f>IF(AA131&lt;VLOOKUP(AG131,Variables!$AC$3:$AD$8,2,FALSE),"Y","N")</f>
        <v>N</v>
      </c>
      <c r="X131" s="248">
        <f t="shared" si="102"/>
        <v>1</v>
      </c>
      <c r="Y131" s="248">
        <f t="shared" si="97"/>
        <v>23.290199999999999</v>
      </c>
      <c r="Z131" s="248">
        <f t="shared" si="98"/>
        <v>2.4899999999999999E-2</v>
      </c>
      <c r="AA131" s="248">
        <f t="shared" si="99"/>
        <v>23.2653</v>
      </c>
      <c r="AB131" s="234" t="e">
        <f>VLOOKUP(A131,Enforcements!$C$7:$K$9,8,0)</f>
        <v>#N/A</v>
      </c>
      <c r="AC131" s="233" t="e">
        <f>VLOOKUP(A131,Enforcements!$C$7:$E$9,3,0)</f>
        <v>#N/A</v>
      </c>
      <c r="AD131" s="244">
        <f t="shared" si="100"/>
        <v>214</v>
      </c>
      <c r="AE131" s="236" t="str">
        <f t="shared" si="57"/>
        <v>aws s3 cp s3://rtdc.mdm.uploadarchive.raw/RTDC4025/ "%USERPROFILE%\AppData\Local\Temp\OnboardLogs"\RTDC4025\2017-11-29 --exclude "*" --recursive --include "*20171129*" &amp; "%USERPROFILE%\Documents\GitHub\mrs-test-scripts\Headless Mode &amp; Sideloading\WalkAndUnGZ.bat" "%USERPROFILE%\AppData\Local\Temp\OnboardLogs"\RTDC4025\2017-11-29 &amp; aws s3 cp s3://rtdc.mdm.uploadarchive.raw/RTDC4025/ "%USERPROFILE%\AppData\Local\Temp\OnboardLogs"\RTDC4025\2017-11-30 --exclude "*" --recursive --include "*20171130*" &amp; "%USERPROFILE%\Documents\GitHub\mrs-test-scripts\Headless Mode &amp; Sideloading\WalkAndUnGZ.bat" "%USERPROFILE%\AppData\Local\Temp\OnboardLogs"\RTDC4025\2017-11-30</v>
      </c>
      <c r="AF131" s="235" t="str">
        <f t="shared" si="58"/>
        <v>"C:\Program Files (x86)\AstroGrep\AstroGrep.exe" /e /r /s /spath="%USERPROFILE%\AppData\Local\Temp\OnboardLogs" /stypes="app*4025*20171130*" /stext=" 02:.+((SYSTEM_STATE.+slice.+state.+changed )|(ment ac)|(multiple cpu faults)|(system.+state.+changed )|(\[timeout)|(PRM\|1\|D)|(kpr)|(kdp)|(train st.+moving)|(\|lc)|(penalty))"</v>
      </c>
      <c r="AG131" s="245" t="str">
        <f t="shared" si="101"/>
        <v>EC</v>
      </c>
      <c r="AH131" s="237" t="str">
        <f t="shared" si="60"/>
        <v>"%USERPROFILE%\Documents\GitHub\eaglep3\Utilities\RefineRTDCRunTimes.py" --tripid 214-29 --locoid 4025 --swversion DE.1.0.9.0 --startMP 204:232902 --initTime 2017-11-29T18:38:18 --startdatetime 2017-11-29T18:42:56 --delay 79 --endMP 204:249 --enddatetime 2017-11-29T19:19:46 --enforcementcount 0 &gt;&gt;%USERPROFILE%\Documents\GitHub\eaglep3-reporting\EC\2017-11-29-refined-times.txt</v>
      </c>
      <c r="AI131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{"issue":{"subject":"","project_id":79,"tracker_id":40,"status_id":1,"priority_id":2,"assigned_to_id":338,"start_date":"2017-11-29","description":"","custom_fields":[{"id":1,"name":"Subdivision","value":"EC"},{"id":4,"name":"Milepost","value":"0.0249"},{"id":17,"name":"Train ID","value":"214-29"},{"id":16,"name":"Locomotive ID","value":"4025"},{"id":130,"name":"Impact","value":""},{"id":150,"name":"Time of Event (Mountain Time)","value":"19:19:46"},{"id":151,"name":"Denver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224"/>
      <c r="AK131" s="232"/>
      <c r="AL131" s="232"/>
      <c r="AM131" s="241" t="str">
        <f t="shared" si="62"/>
        <v>start /low /b %USERPROFILE%\Documents\GitHub\eaglep3\Utilities\DownloadLogsFromS3.py --loco 4025 --day 2017-11-29</v>
      </c>
      <c r="AN131" s="242" t="str">
        <f t="shared" si="6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02:19:46"},{"id":29,"name":"Sharepoint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1" t="str">
        <f t="shared" si="64"/>
        <v>https://d0f6bd738d7f1b3e5a7ca70fe4ff75f0.us-east-1.aws.found.io/app/kibana#/discover/Steve-Slow-Train-Analysis-(2080s-and-2083s)?_g=(refreshInterval:(display:Off,pause:!f,section:0,value:0),time:(from:'2017-11-29T17:38:18-0700',mode:absolute,to:'2017-11-29T20:19:46-0700'))&amp;_a=(columns:!('Message%20ID',Summary),filters:!(),index:'emp_*',interval:auto,query:(query_string:(analyze_wildcard:!t,query:'%22rtdc.l.rtdc.4025%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230" t="s">
        <v>827</v>
      </c>
      <c r="B132" s="226">
        <v>4020</v>
      </c>
      <c r="C132" s="228" t="s">
        <v>192</v>
      </c>
      <c r="D132" s="228" t="s">
        <v>961</v>
      </c>
      <c r="E132" s="227">
        <v>43068.746145833335</v>
      </c>
      <c r="F132" s="227">
        <v>43068.750671296293</v>
      </c>
      <c r="G132" s="226">
        <v>82</v>
      </c>
      <c r="H132" s="228" t="s">
        <v>906</v>
      </c>
      <c r="I132" s="227">
        <v>43068.774201388886</v>
      </c>
      <c r="J132" s="226">
        <v>0</v>
      </c>
      <c r="K132" s="238" t="str">
        <f t="shared" si="93"/>
        <v>4019/4020</v>
      </c>
      <c r="L132" s="246" t="str">
        <f>VLOOKUP(A132,'Trips&amp;Operators'!$C$1:$G$99911,5,FALSE)</f>
        <v>HOLCOMB KAMDEN</v>
      </c>
      <c r="M132" s="225">
        <f t="shared" si="94"/>
        <v>2.3530092592409346E-2</v>
      </c>
      <c r="N132" s="226">
        <f t="shared" si="103"/>
        <v>33.883333333069459</v>
      </c>
      <c r="O132" s="226"/>
      <c r="P132" s="226"/>
      <c r="Q132" s="229"/>
      <c r="R132" s="243"/>
      <c r="S132" s="250">
        <f t="shared" si="95"/>
        <v>1</v>
      </c>
      <c r="T132" s="243" t="str">
        <f t="shared" si="96"/>
        <v>NorthBound</v>
      </c>
      <c r="U132" s="24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9" t="str">
        <f t="shared" si="54"/>
        <v>https://d0f6bd738d7f1b3e5a7ca70fe4ff75f0.us-east-1.aws.found.io/app/kibana#/discover/Steve-Slow-Train-Analysis-(2080s-and-2083s)?_g=(refreshInterval:(display:Off,pause:!f,section:0,value:0),time:(from:'2017-11-29T16:54:27-0700',mode:absolute,to:'2017-11-29T19:34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2" s="248" t="str">
        <f>IF(AA132&lt;VLOOKUP(AG132,Variables!$AC$3:$AD$8,2,FALSE),"Y","N")</f>
        <v>N</v>
      </c>
      <c r="X132" s="248">
        <f t="shared" si="102"/>
        <v>1</v>
      </c>
      <c r="Y132" s="248">
        <f t="shared" si="97"/>
        <v>5.1499999999999997E-2</v>
      </c>
      <c r="Z132" s="248">
        <f t="shared" si="98"/>
        <v>23.317599999999999</v>
      </c>
      <c r="AA132" s="248">
        <f t="shared" si="99"/>
        <v>23.266099999999998</v>
      </c>
      <c r="AB132" s="234" t="e">
        <f>VLOOKUP(A132,Enforcements!$C$7:$K$9,8,0)</f>
        <v>#N/A</v>
      </c>
      <c r="AC132" s="233" t="e">
        <f>VLOOKUP(A132,Enforcements!$C$7:$E$9,3,0)</f>
        <v>#N/A</v>
      </c>
      <c r="AD132" s="244">
        <f t="shared" si="100"/>
        <v>215</v>
      </c>
      <c r="AE132" s="236" t="str">
        <f t="shared" si="57"/>
        <v>aws s3 cp s3://rtdc.mdm.uploadarchive.raw/RTDC4020/ "%USERPROFILE%\AppData\Local\Temp\OnboardLogs"\RTDC4020\2017-11-29 --exclude "*" --recursive --include "*20171129*" &amp; "%USERPROFILE%\Documents\GitHub\mrs-test-scripts\Headless Mode &amp; Sideloading\WalkAndUnGZ.bat" "%USERPROFILE%\AppData\Local\Temp\OnboardLogs"\RTDC4020\2017-11-29 &amp; aws s3 cp s3://rtdc.mdm.uploadarchive.raw/RTDC4020/ "%USERPROFILE%\AppData\Local\Temp\OnboardLogs"\RTDC4020\2017-11-30 --exclude "*" --recursive --include "*20171130*" &amp; "%USERPROFILE%\Documents\GitHub\mrs-test-scripts\Headless Mode &amp; Sideloading\WalkAndUnGZ.bat" "%USERPROFILE%\AppData\Local\Temp\OnboardLogs"\RTDC4020\2017-11-30</v>
      </c>
      <c r="AF132" s="235" t="str">
        <f t="shared" si="58"/>
        <v>"C:\Program Files (x86)\AstroGrep\AstroGrep.exe" /e /r /s /spath="%USERPROFILE%\AppData\Local\Temp\OnboardLogs" /stypes="app*4020*20171130*" /stext=" 01:.+((SYSTEM_STATE.+slice.+state.+changed )|(ment ac)|(multiple cpu faults)|(system.+state.+changed )|(\[timeout)|(PRM\|1\|D)|(kpr)|(kdp)|(train st.+moving)|(\|lc)|(penalty))"</v>
      </c>
      <c r="AG132" s="245" t="str">
        <f t="shared" si="101"/>
        <v>EC</v>
      </c>
      <c r="AH132" s="237" t="str">
        <f t="shared" si="60"/>
        <v>"%USERPROFILE%\Documents\GitHub\eaglep3\Utilities\RefineRTDCRunTimes.py" --tripid 215-29 --locoid 4020 --swversion DE.1.0.9.0 --startMP 204:515 --initTime 2017-11-29T17:54:27 --startdatetime 2017-11-29T18:00:58 --delay 82 --endMP 204:233176 --enddatetime 2017-11-29T18:34:51 --enforcementcount 0 &gt;&gt;%USERPROFILE%\Documents\GitHub\eaglep3-reporting\EC\2017-11-29-refined-times.txt</v>
      </c>
      <c r="AI132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{"issue":{"subject":"","project_id":79,"tracker_id":40,"status_id":1,"priority_id":2,"assigned_to_id":338,"start_date":"2017-11-29","description":"","custom_fields":[{"id":1,"name":"Subdivision","value":"EC"},{"id":4,"name":"Milepost","value":"23.3176"},{"id":17,"name":"Train ID","value":"215-29"},{"id":16,"name":"Locomotive ID","value":"4020"},{"id":130,"name":"Impact","value":""},{"id":150,"name":"Time of Event (Mountain Time)","value":"18:34:51"},{"id":151,"name":"Denver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2" s="224"/>
      <c r="AK132" s="232"/>
      <c r="AL132" s="232"/>
      <c r="AM132" s="241" t="str">
        <f t="shared" si="62"/>
        <v>start /low /b %USERPROFILE%\Documents\GitHub\eaglep3\Utilities\DownloadLogsFromS3.py --loco 4020 --day 2017-11-29</v>
      </c>
      <c r="AN132" s="242" t="str">
        <f t="shared" si="6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01:34:51"},{"id":29,"name":"Sharepoint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1" t="str">
        <f t="shared" si="64"/>
        <v>https://d0f6bd738d7f1b3e5a7ca70fe4ff75f0.us-east-1.aws.found.io/app/kibana#/discover/Steve-Slow-Train-Analysis-(2080s-and-2083s)?_g=(refreshInterval:(display:Off,pause:!f,section:0,value:0),time:(from:'2017-11-29T16:54:27-0700',mode:absolute,to:'2017-11-29T19:34:51-0700'))&amp;_a=(columns:!('Message%20ID',Summary),filters:!(),index:'emp_*',interval:auto,query:(query_string:(analyze_wildcard:!t,query:'%22rtdc.l.rtdc.4020%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230" t="s">
        <v>649</v>
      </c>
      <c r="B133" s="226">
        <v>4019</v>
      </c>
      <c r="C133" s="228" t="s">
        <v>192</v>
      </c>
      <c r="D133" s="228" t="s">
        <v>962</v>
      </c>
      <c r="E133" s="227">
        <v>43068.786608796298</v>
      </c>
      <c r="F133" s="227">
        <v>43068.78979166667</v>
      </c>
      <c r="G133" s="226">
        <v>46</v>
      </c>
      <c r="H133" s="228" t="s">
        <v>457</v>
      </c>
      <c r="I133" s="227">
        <v>43068.816006944442</v>
      </c>
      <c r="J133" s="226">
        <v>0</v>
      </c>
      <c r="K133" s="238" t="str">
        <f t="shared" si="93"/>
        <v>4019/4020</v>
      </c>
      <c r="L133" s="246" t="str">
        <f>VLOOKUP(A133,'Trips&amp;Operators'!$C$1:$G$99911,5,FALSE)</f>
        <v>HOLCOMB KAMDEN</v>
      </c>
      <c r="M133" s="225">
        <f t="shared" si="94"/>
        <v>2.6215277772280388E-2</v>
      </c>
      <c r="N133" s="226">
        <f t="shared" si="103"/>
        <v>37.749999992083758</v>
      </c>
      <c r="O133" s="226"/>
      <c r="P133" s="226"/>
      <c r="Q133" s="229"/>
      <c r="R133" s="243"/>
      <c r="S133" s="250">
        <f t="shared" si="95"/>
        <v>1</v>
      </c>
      <c r="T133" s="243" t="str">
        <f t="shared" si="96"/>
        <v>Southbound</v>
      </c>
      <c r="U133" s="24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9" t="str">
        <f t="shared" si="54"/>
        <v>https://d0f6bd738d7f1b3e5a7ca70fe4ff75f0.us-east-1.aws.found.io/app/kibana#/discover/Steve-Slow-Train-Analysis-(2080s-and-2083s)?_g=(refreshInterval:(display:Off,pause:!f,section:0,value:0),time:(from:'2017-11-29T17:52:43-0700',mode:absolute,to:'2017-11-29T20:35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3" s="248" t="str">
        <f>IF(AA133&lt;VLOOKUP(AG133,Variables!$AC$3:$AD$8,2,FALSE),"Y","N")</f>
        <v>N</v>
      </c>
      <c r="X133" s="248">
        <f t="shared" si="102"/>
        <v>1</v>
      </c>
      <c r="Y133" s="248">
        <f t="shared" si="97"/>
        <v>23.285699999999999</v>
      </c>
      <c r="Z133" s="248">
        <f t="shared" si="98"/>
        <v>2.0500000000000001E-2</v>
      </c>
      <c r="AA133" s="248">
        <f t="shared" si="99"/>
        <v>23.2652</v>
      </c>
      <c r="AB133" s="234" t="e">
        <f>VLOOKUP(A133,Enforcements!$C$7:$K$9,8,0)</f>
        <v>#N/A</v>
      </c>
      <c r="AC133" s="233" t="e">
        <f>VLOOKUP(A133,Enforcements!$C$7:$E$9,3,0)</f>
        <v>#N/A</v>
      </c>
      <c r="AD133" s="244">
        <f t="shared" si="100"/>
        <v>216</v>
      </c>
      <c r="AE133" s="236" t="str">
        <f t="shared" si="57"/>
        <v>aws s3 cp s3://rtdc.mdm.uploadarchive.raw/RTDC4019/ "%USERPROFILE%\AppData\Local\Temp\OnboardLogs"\RTDC4019\2017-11-29 --exclude "*" --recursive --include "*20171129*" &amp; "%USERPROFILE%\Documents\GitHub\mrs-test-scripts\Headless Mode &amp; Sideloading\WalkAndUnGZ.bat" "%USERPROFILE%\AppData\Local\Temp\OnboardLogs"\RTDC4019\2017-11-29 &amp; aws s3 cp s3://rtdc.mdm.uploadarchive.raw/RTDC4019/ "%USERPROFILE%\AppData\Local\Temp\OnboardLogs"\RTDC4019\2017-11-30 --exclude "*" --recursive --include "*20171130*" &amp; "%USERPROFILE%\Documents\GitHub\mrs-test-scripts\Headless Mode &amp; Sideloading\WalkAndUnGZ.bat" "%USERPROFILE%\AppData\Local\Temp\OnboardLogs"\RTDC4019\2017-11-30</v>
      </c>
      <c r="AF133" s="235" t="str">
        <f t="shared" si="58"/>
        <v>"C:\Program Files (x86)\AstroGrep\AstroGrep.exe" /e /r /s /spath="%USERPROFILE%\AppData\Local\Temp\OnboardLogs" /stypes="app*4019*20171130*" /stext=" 02:.+((SYSTEM_STATE.+slice.+state.+changed )|(ment ac)|(multiple cpu faults)|(system.+state.+changed )|(\[timeout)|(PRM\|1\|D)|(kpr)|(kdp)|(train st.+moving)|(\|lc)|(penalty))"</v>
      </c>
      <c r="AG133" s="245" t="str">
        <f t="shared" si="101"/>
        <v>EC</v>
      </c>
      <c r="AH133" s="237" t="str">
        <f t="shared" si="60"/>
        <v>"%USERPROFILE%\Documents\GitHub\eaglep3\Utilities\RefineRTDCRunTimes.py" --tripid 216-29 --locoid 4019 --swversion DE.1.0.9.0 --startMP 204:232857 --initTime 2017-11-29T18:52:43 --startdatetime 2017-11-29T18:57:18 --delay 46 --endMP 204:205 --enddatetime 2017-11-29T19:35:03 --enforcementcount 0 &gt;&gt;%USERPROFILE%\Documents\GitHub\eaglep3-reporting\EC\2017-11-29-refined-times.txt</v>
      </c>
      <c r="AI133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{"issue":{"subject":"","project_id":79,"tracker_id":40,"status_id":1,"priority_id":2,"assigned_to_id":338,"start_date":"2017-11-29","description":"","custom_fields":[{"id":1,"name":"Subdivision","value":"EC"},{"id":4,"name":"Milepost","value":"0.0205"},{"id":17,"name":"Train ID","value":"216-29"},{"id":16,"name":"Locomotive ID","value":"4019"},{"id":130,"name":"Impact","value":""},{"id":150,"name":"Time of Event (Mountain Time)","value":"19:35:03"},{"id":151,"name":"Denver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224"/>
      <c r="AK133" s="232"/>
      <c r="AL133" s="232"/>
      <c r="AM133" s="241" t="str">
        <f t="shared" si="62"/>
        <v>start /low /b %USERPROFILE%\Documents\GitHub\eaglep3\Utilities\DownloadLogsFromS3.py --loco 4019 --day 2017-11-29</v>
      </c>
      <c r="AN133" s="242" t="str">
        <f t="shared" si="6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02:35:03"},{"id":29,"name":"Sharepoint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1" t="str">
        <f t="shared" si="64"/>
        <v>https://d0f6bd738d7f1b3e5a7ca70fe4ff75f0.us-east-1.aws.found.io/app/kibana#/discover/Steve-Slow-Train-Analysis-(2080s-and-2083s)?_g=(refreshInterval:(display:Off,pause:!f,section:0,value:0),time:(from:'2017-11-29T17:52:43-0700',mode:absolute,to:'2017-11-29T20:35:03-0700'))&amp;_a=(columns:!('Message%20ID',Summary),filters:!(),index:'emp_*',interval:auto,query:(query_string:(analyze_wildcard:!t,query:'%22rtdc.l.rtdc.4019%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24" customFormat="1" x14ac:dyDescent="0.25">
      <c r="A134" s="230" t="s">
        <v>831</v>
      </c>
      <c r="B134" s="226">
        <v>4002</v>
      </c>
      <c r="C134" s="228" t="s">
        <v>192</v>
      </c>
      <c r="D134" s="228" t="s">
        <v>963</v>
      </c>
      <c r="E134" s="227">
        <v>43068.759664351855</v>
      </c>
      <c r="F134" s="227">
        <v>43068.761331018519</v>
      </c>
      <c r="G134" s="226">
        <v>65</v>
      </c>
      <c r="H134" s="228" t="s">
        <v>896</v>
      </c>
      <c r="I134" s="227">
        <v>43068.785381944443</v>
      </c>
      <c r="J134" s="226">
        <v>0</v>
      </c>
      <c r="K134" s="238" t="str">
        <f t="shared" si="93"/>
        <v>4001/4002</v>
      </c>
      <c r="L134" s="246" t="str">
        <f>VLOOKUP(A134,'Trips&amp;Operators'!$C$1:$G$99911,5,FALSE)</f>
        <v>LOZA FIDEL</v>
      </c>
      <c r="M134" s="225">
        <f t="shared" si="94"/>
        <v>2.4050925923802424E-2</v>
      </c>
      <c r="N134" s="226">
        <f t="shared" si="103"/>
        <v>34.633333330275491</v>
      </c>
      <c r="O134" s="226"/>
      <c r="P134" s="226"/>
      <c r="Q134" s="229"/>
      <c r="R134" s="243"/>
      <c r="S134" s="250">
        <f t="shared" si="95"/>
        <v>1</v>
      </c>
      <c r="T134" s="243" t="str">
        <f t="shared" si="96"/>
        <v>NorthBound</v>
      </c>
      <c r="U134" s="24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9" t="str">
        <f t="shared" si="54"/>
        <v>https://d0f6bd738d7f1b3e5a7ca70fe4ff75f0.us-east-1.aws.found.io/app/kibana#/discover/Steve-Slow-Train-Analysis-(2080s-and-2083s)?_g=(refreshInterval:(display:Off,pause:!f,section:0,value:0),time:(from:'2017-11-29T17:13:55-0700',mode:absolute,to:'2017-11-29T19:50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4" s="248" t="str">
        <f>IF(AA134&lt;VLOOKUP(AG134,Variables!$AC$3:$AD$8,2,FALSE),"Y","N")</f>
        <v>N</v>
      </c>
      <c r="X134" s="248">
        <f t="shared" si="102"/>
        <v>1</v>
      </c>
      <c r="Y134" s="248">
        <f t="shared" si="97"/>
        <v>5.2200000000000003E-2</v>
      </c>
      <c r="Z134" s="248">
        <f t="shared" si="98"/>
        <v>23.3263</v>
      </c>
      <c r="AA134" s="248">
        <f t="shared" si="99"/>
        <v>23.274100000000001</v>
      </c>
      <c r="AB134" s="234" t="e">
        <f>VLOOKUP(A134,Enforcements!$C$7:$K$9,8,0)</f>
        <v>#N/A</v>
      </c>
      <c r="AC134" s="233" t="e">
        <f>VLOOKUP(A134,Enforcements!$C$7:$E$9,3,0)</f>
        <v>#N/A</v>
      </c>
      <c r="AD134" s="244">
        <f t="shared" si="100"/>
        <v>217</v>
      </c>
      <c r="AE134" s="236" t="str">
        <f t="shared" si="57"/>
        <v>aws s3 cp s3://rtdc.mdm.uploadarchive.raw/RTDC4002/ "%USERPROFILE%\AppData\Local\Temp\OnboardLogs"\RTDC4002\2017-11-29 --exclude "*" --recursive --include "*20171129*" &amp; "%USERPROFILE%\Documents\GitHub\mrs-test-scripts\Headless Mode &amp; Sideloading\WalkAndUnGZ.bat" "%USERPROFILE%\AppData\Local\Temp\OnboardLogs"\RTDC4002\2017-11-29 &amp; aws s3 cp s3://rtdc.mdm.uploadarchive.raw/RTDC4002/ "%USERPROFILE%\AppData\Local\Temp\OnboardLogs"\RTDC4002\2017-11-30 --exclude "*" --recursive --include "*20171130*" &amp; "%USERPROFILE%\Documents\GitHub\mrs-test-scripts\Headless Mode &amp; Sideloading\WalkAndUnGZ.bat" "%USERPROFILE%\AppData\Local\Temp\OnboardLogs"\RTDC4002\2017-11-30</v>
      </c>
      <c r="AF134" s="235" t="str">
        <f t="shared" si="58"/>
        <v>"C:\Program Files (x86)\AstroGrep\AstroGrep.exe" /e /r /s /spath="%USERPROFILE%\AppData\Local\Temp\OnboardLogs" /stypes="app*4002*20171130*" /stext=" 01:.+((SYSTEM_STATE.+slice.+state.+changed )|(ment ac)|(multiple cpu faults)|(system.+state.+changed )|(\[timeout)|(PRM\|1\|D)|(kpr)|(kdp)|(train st.+moving)|(\|lc)|(penalty))"</v>
      </c>
      <c r="AG134" s="245" t="str">
        <f t="shared" si="101"/>
        <v>EC</v>
      </c>
      <c r="AH134" s="237" t="str">
        <f t="shared" si="60"/>
        <v>"%USERPROFILE%\Documents\GitHub\eaglep3\Utilities\RefineRTDCRunTimes.py" --tripid 217-29 --locoid 4002 --swversion DE.1.0.9.0 --startMP 204:522 --initTime 2017-11-29T18:13:55 --startdatetime 2017-11-29T18:16:19 --delay 65 --endMP 204:233263 --enddatetime 2017-11-29T18:50:57 --enforcementcount 0 &gt;&gt;%USERPROFILE%\Documents\GitHub\eaglep3-reporting\EC\2017-11-29-refined-times.txt</v>
      </c>
      <c r="AI134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{"issue":{"subject":"","project_id":79,"tracker_id":40,"status_id":1,"priority_id":2,"assigned_to_id":338,"start_date":"2017-11-29","description":"","custom_fields":[{"id":1,"name":"Subdivision","value":"EC"},{"id":4,"name":"Milepost","value":"23.3263"},{"id":17,"name":"Train ID","value":"217-29"},{"id":16,"name":"Locomotive ID","value":"4002"},{"id":130,"name":"Impact","value":""},{"id":150,"name":"Time of Event (Mountain Time)","value":"18:50:57"},{"id":151,"name":"Denver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232"/>
      <c r="AL134" s="232"/>
      <c r="AM134" s="241" t="str">
        <f t="shared" si="62"/>
        <v>start /low /b %USERPROFILE%\Documents\GitHub\eaglep3\Utilities\DownloadLogsFromS3.py --loco 4002 --day 2017-11-29</v>
      </c>
      <c r="AN134" s="242" t="str">
        <f t="shared" si="6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01:50:57"},{"id":29,"name":"Sharepoint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1" t="str">
        <f t="shared" si="64"/>
        <v>https://d0f6bd738d7f1b3e5a7ca70fe4ff75f0.us-east-1.aws.found.io/app/kibana#/discover/Steve-Slow-Train-Analysis-(2080s-and-2083s)?_g=(refreshInterval:(display:Off,pause:!f,section:0,value:0),time:(from:'2017-11-29T17:13:55-0700',mode:absolute,to:'2017-11-29T19:50:57-0700'))&amp;_a=(columns:!('Message%20ID',Summary),filters:!(),index:'emp_*',interval:auto,query:(query_string:(analyze_wildcard:!t,query:'%22rtdc.l.rtdc.4002%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24" customFormat="1" x14ac:dyDescent="0.25">
      <c r="A135" s="230" t="s">
        <v>841</v>
      </c>
      <c r="B135" s="226">
        <v>4001</v>
      </c>
      <c r="C135" s="228" t="s">
        <v>192</v>
      </c>
      <c r="D135" s="228" t="s">
        <v>963</v>
      </c>
      <c r="E135" s="227">
        <v>43068.759664351855</v>
      </c>
      <c r="F135" s="227">
        <v>43068.800370370373</v>
      </c>
      <c r="G135" s="226">
        <v>65</v>
      </c>
      <c r="H135" s="228" t="s">
        <v>896</v>
      </c>
      <c r="I135" s="227">
        <v>43068.825428240743</v>
      </c>
      <c r="J135" s="226">
        <v>0</v>
      </c>
      <c r="K135" s="238" t="str">
        <f t="shared" si="93"/>
        <v>4001/4002</v>
      </c>
      <c r="L135" s="246" t="str">
        <f>VLOOKUP(A135,'Trips&amp;Operators'!$C$1:$G$99911,5,FALSE)</f>
        <v>LOZA FIDEL</v>
      </c>
      <c r="M135" s="225">
        <f t="shared" si="94"/>
        <v>2.5057870370801538E-2</v>
      </c>
      <c r="N135" s="226">
        <f t="shared" si="103"/>
        <v>36.083333333954215</v>
      </c>
      <c r="O135" s="226"/>
      <c r="P135" s="226"/>
      <c r="Q135" s="229"/>
      <c r="R135" s="243"/>
      <c r="S135" s="250">
        <f t="shared" si="95"/>
        <v>1</v>
      </c>
      <c r="T135" s="243" t="str">
        <f t="shared" si="96"/>
        <v>Southbound</v>
      </c>
      <c r="U135" s="24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9" t="str">
        <f t="shared" si="54"/>
        <v>https://d0f6bd738d7f1b3e5a7ca70fe4ff75f0.us-east-1.aws.found.io/app/kibana#/discover/Steve-Slow-Train-Analysis-(2080s-and-2083s)?_g=(refreshInterval:(display:Off,pause:!f,section:0,value:0),time:(from:'2017-11-29T17:13:55-0700',mode:absolute,to:'2017-11-29T20:48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5" s="248" t="str">
        <f>IF(AA135&lt;VLOOKUP(AG135,Variables!$AC$3:$AD$8,2,FALSE),"Y","N")</f>
        <v>N</v>
      </c>
      <c r="X135" s="248">
        <f t="shared" ref="X135:X137" si="104">VALUE(LEFT(AD135,4))-VALUE(LEFT(AD134,4))</f>
        <v>1</v>
      </c>
      <c r="Y135" s="248">
        <v>23.285699999999999</v>
      </c>
      <c r="Z135" s="248">
        <v>2.0500000000000001E-2</v>
      </c>
      <c r="AA135" s="248">
        <f t="shared" si="99"/>
        <v>23.2652</v>
      </c>
      <c r="AB135" s="234" t="e">
        <f>VLOOKUP(A135,Enforcements!$C$7:$K$9,8,0)</f>
        <v>#N/A</v>
      </c>
      <c r="AC135" s="233" t="e">
        <f>VLOOKUP(A135,Enforcements!$C$7:$E$9,3,0)</f>
        <v>#N/A</v>
      </c>
      <c r="AD135" s="244">
        <f t="shared" si="100"/>
        <v>218</v>
      </c>
      <c r="AE135" s="236" t="str">
        <f t="shared" si="57"/>
        <v>aws s3 cp s3://rtdc.mdm.uploadarchive.raw/RTDC4001/ "%USERPROFILE%\AppData\Local\Temp\OnboardLogs"\RTDC4001\2017-11-29 --exclude "*" --recursive --include "*20171129*" &amp; "%USERPROFILE%\Documents\GitHub\mrs-test-scripts\Headless Mode &amp; Sideloading\WalkAndUnGZ.bat" "%USERPROFILE%\AppData\Local\Temp\OnboardLogs"\RTDC4001\2017-11-29 &amp; aws s3 cp s3://rtdc.mdm.uploadarchive.raw/RTDC4001/ "%USERPROFILE%\AppData\Local\Temp\OnboardLogs"\RTDC4001\2017-11-30 --exclude "*" --recursive --include "*20171130*" &amp; "%USERPROFILE%\Documents\GitHub\mrs-test-scripts\Headless Mode &amp; Sideloading\WalkAndUnGZ.bat" "%USERPROFILE%\AppData\Local\Temp\OnboardLogs"\RTDC4001\2017-11-30</v>
      </c>
      <c r="AF135" s="235" t="str">
        <f t="shared" si="58"/>
        <v>"C:\Program Files (x86)\AstroGrep\AstroGrep.exe" /e /r /s /spath="%USERPROFILE%\AppData\Local\Temp\OnboardLogs" /stypes="app*4001*20171130*" /stext=" 02:.+((SYSTEM_STATE.+slice.+state.+changed )|(ment ac)|(multiple cpu faults)|(system.+state.+changed )|(\[timeout)|(PRM\|1\|D)|(kpr)|(kdp)|(train st.+moving)|(\|lc)|(penalty))"</v>
      </c>
      <c r="AG135" s="245" t="str">
        <f t="shared" si="101"/>
        <v>EC</v>
      </c>
      <c r="AH135" s="237" t="str">
        <f t="shared" ref="AH135" si="105">refinertdcruntimes&amp;" --tripid "&amp;A135&amp;" --locoid "&amp;B135&amp;" --swversion "&amp;C135&amp;" --startMP "&amp;D135&amp;" --initTime "&amp;TEXT(E135,"yyyy-mm-ddTHH:MM:SS")&amp;" --startdatetime "&amp;TEXT(F135,"yyyy-mm-ddTHH:MM:SS")&amp;" --delay "&amp;G135&amp;" --endMP "&amp;H135&amp;" --enddatetime "&amp;TEXT(I135,"yyyy-mm-ddTHH:MM:SS")&amp;" --enforcementcount "&amp;J135&amp;IF(outputrefinedruntimes," &gt;&gt;"&amp;RefinedRTDCRunTimesOutputFile,"")</f>
        <v>"%USERPROFILE%\Documents\GitHub\eaglep3\Utilities\RefineRTDCRunTimes.py" --tripid 218-29 --locoid 4001 --swversion DE.1.0.9.0 --startMP 204:522 --initTime 2017-11-29T18:13:55 --startdatetime 2017-11-29T19:12:32 --delay 65 --endMP 204:233263 --enddatetime 2017-11-29T19:48:37 --enforcementcount 0 &gt;&gt;%USERPROFILE%\Documents\GitHub\eaglep3-reporting\EC\2017-11-29-refined-times.txt</v>
      </c>
      <c r="AI135" s="239" t="str">
        <f t="shared" ref="AI135" si="106">"echo {""issue"":{""subject"":"""&amp;R135&amp;""",""project_id"":79,""tracker_id"":40,""status_id"":"&amp;redmine_status&amp;",""priority_id"":"&amp;redmine_priority&amp;",""assigned_to_id"":"&amp;redmine_assignee&amp;",""start_date"":"""&amp;TEXT(I135,"YYYY-mm-dd")&amp;""",""description"":"""&amp;AJ135&amp;""",""custom_fields"":[{""id"":1,""name"":""Subdivision"",""value"":"""&amp;AG135&amp;"""},{""id"":4,""name"":""Milepost"",""value"":"""&amp;Z135&amp;"""},{""id"":17,""name"":""Train ID"",""value"":"""&amp;A135&amp;"""},{""id"":16,""name"":""Locomotive ID"",""value"":"""&amp;B135&amp;"""},{""id"":130,""name"":""Impact"",""value"":"""&amp;AK135&amp;"""},{""id"":150,""name"":""Time of Event (Mountain Time)"",""value"":"""&amp;TEXT(I135,"hh:mm:ss")&amp;"""},{""id"":151,""name"":""Denver Issue ID"",""value"":"""&amp;"""},{""id"":178,""name"":""Operational Impact"",""value"":"""&amp;redmine_op_impact&amp;"""},{""id"":179,""name"":""Denver Segment Assigned"",""value"":"""&amp;AL135&amp;"""}]}}"&amp;"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{"issue":{"subject":"","project_id":79,"tracker_id":40,"status_id":1,"priority_id":2,"assigned_to_id":338,"start_date":"2017-11-29","description":"","custom_fields":[{"id":1,"name":"Subdivision","value":"EC"},{"id":4,"name":"Milepost","value":"0.0205"},{"id":17,"name":"Train ID","value":"218-29"},{"id":16,"name":"Locomotive ID","value":"4001"},{"id":130,"name":"Impact","value":""},{"id":150,"name":"Time of Event (Mountain Time)","value":"19:48:37"},{"id":151,"name":"Denver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232"/>
      <c r="AL135" s="232"/>
      <c r="AM135" s="241" t="str">
        <f t="shared" ref="AM135" si="107">"start /low /b "&amp;dls3logs&amp;" --loco "&amp;B135&amp;" --day "&amp;TEXT(F135,"YYYY-MM-DD")</f>
        <v>start /low /b %USERPROFILE%\Documents\GitHub\eaglep3\Utilities\DownloadLogsFromS3.py --loco 4001 --day 2017-11-29</v>
      </c>
      <c r="AN135" s="242" t="str">
        <f t="shared" ref="AN135" si="108">"echo {""issue"":{""subject"":"""&amp;R135&amp;""",""project_id"":30,""tracker_id"":4,""status_id"":"&amp;redmine_status_wcr&amp;",""priority_id"":"&amp;redmine_priority_wcr&amp;",""assigned_to_id"":"&amp;redmine_assignee_wcr&amp;",""start_date"":"""&amp;TEXT(I135-utc_offset/24,"YYYY-mm-dd")&amp;""",""description"":"""&amp;AJ135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02:48:37"},{"id":29,"name":"Sharepoint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1" t="str">
        <f t="shared" ref="AO135" si="109"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Message%20ID',Summary),filters:!(),index:'emp_*',interval:auto,query:"&amp;"(query_string:(analyze_wildcard:!t,query:'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-11-29T17:13:55-0700',mode:absolute,to:'2017-11-29T20:48:37-0700'))&amp;_a=(columns:!('Message%20ID',Summary),filters:!(),index:'emp_*',interval:auto,query:(query_string:(analyze_wildcard:!t,query:'%22rtdc.l.rtdc.4001%22')),sort:!(Time.ISO8601,asc))</v>
      </c>
    </row>
    <row r="136" spans="1:91" s="20" customFormat="1" x14ac:dyDescent="0.25">
      <c r="A136" s="230" t="s">
        <v>834</v>
      </c>
      <c r="B136" s="226">
        <v>4006</v>
      </c>
      <c r="C136" s="228" t="s">
        <v>192</v>
      </c>
      <c r="D136" s="228" t="s">
        <v>570</v>
      </c>
      <c r="E136" s="227">
        <v>43068.77008101852</v>
      </c>
      <c r="F136" s="227">
        <v>43068.771631944444</v>
      </c>
      <c r="G136" s="226">
        <v>61</v>
      </c>
      <c r="H136" s="228" t="s">
        <v>513</v>
      </c>
      <c r="I136" s="227">
        <v>43068.797824074078</v>
      </c>
      <c r="J136" s="226">
        <v>0</v>
      </c>
      <c r="K136" s="238" t="str">
        <f t="shared" si="93"/>
        <v>4005/4006</v>
      </c>
      <c r="L136" s="246" t="str">
        <f>VLOOKUP(A136,'Trips&amp;Operators'!$C$1:$G$99911,5,FALSE)</f>
        <v>ANDERS STEVEN</v>
      </c>
      <c r="M136" s="225">
        <f t="shared" si="94"/>
        <v>2.6192129633272998E-2</v>
      </c>
      <c r="N136" s="226">
        <f t="shared" si="103"/>
        <v>37.716666671913117</v>
      </c>
      <c r="O136" s="226"/>
      <c r="P136" s="226"/>
      <c r="Q136" s="229"/>
      <c r="R136" s="243" t="s">
        <v>1134</v>
      </c>
      <c r="S136" s="250">
        <f t="shared" si="95"/>
        <v>1</v>
      </c>
      <c r="T136" s="243" t="str">
        <f t="shared" si="96"/>
        <v>NorthBound</v>
      </c>
      <c r="U136" s="24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9" t="str">
        <f t="shared" si="54"/>
        <v>https://d0f6bd738d7f1b3e5a7ca70fe4ff75f0.us-east-1.aws.found.io/app/kibana#/discover/Steve-Slow-Train-Analysis-(2080s-and-2083s)?_g=(refreshInterval:(display:Off,pause:!f,section:0,value:0),time:(from:'2017-11-29T17:28:55-0700',mode:absolute,to:'2017-11-29T20:08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6" s="248" t="str">
        <f>IF(AA136&lt;VLOOKUP(AG136,Variables!$AC$3:$AD$8,2,FALSE),"Y","N")</f>
        <v>N</v>
      </c>
      <c r="X136" s="248">
        <f t="shared" si="104"/>
        <v>1</v>
      </c>
      <c r="Y136" s="248">
        <f>RIGHT(D136,LEN(D136)-4)/10000</f>
        <v>4.9299999999999997E-2</v>
      </c>
      <c r="Z136" s="248">
        <f>RIGHT(H136,LEN(H136)-4)/10000</f>
        <v>23.324000000000002</v>
      </c>
      <c r="AA136" s="248">
        <f t="shared" si="99"/>
        <v>23.274700000000003</v>
      </c>
      <c r="AB136" s="234" t="e">
        <f>VLOOKUP(A136,Enforcements!$C$7:$K$9,8,0)</f>
        <v>#N/A</v>
      </c>
      <c r="AC136" s="233" t="e">
        <f>VLOOKUP(A136,Enforcements!$C$7:$E$9,3,0)</f>
        <v>#N/A</v>
      </c>
      <c r="AD136" s="244">
        <f t="shared" si="100"/>
        <v>219</v>
      </c>
      <c r="AE136" s="236" t="str">
        <f t="shared" si="57"/>
        <v>aws s3 cp s3://rtdc.mdm.uploadarchive.raw/RTDC4006/ "%USERPROFILE%\AppData\Local\Temp\OnboardLogs"\RTDC4006\2017-11-29 --exclude "*" --recursive --include "*20171129*" &amp; "%USERPROFILE%\Documents\GitHub\mrs-test-scripts\Headless Mode &amp; Sideloading\WalkAndUnGZ.bat" "%USERPROFILE%\AppData\Local\Temp\OnboardLogs"\RTDC4006\2017-11-29 &amp; aws s3 cp s3://rtdc.mdm.uploadarchive.raw/RTDC4006/ "%USERPROFILE%\AppData\Local\Temp\OnboardLogs"\RTDC4006\2017-11-30 --exclude "*" --recursive --include "*20171130*" &amp; "%USERPROFILE%\Documents\GitHub\mrs-test-scripts\Headless Mode &amp; Sideloading\WalkAndUnGZ.bat" "%USERPROFILE%\AppData\Local\Temp\OnboardLogs"\RTDC4006\2017-11-30</v>
      </c>
      <c r="AF136" s="235" t="str">
        <f t="shared" si="58"/>
        <v>"C:\Program Files (x86)\AstroGrep\AstroGrep.exe" /e /r /s /spath="%USERPROFILE%\AppData\Local\Temp\OnboardLogs" /stypes="app*4006*20171130*" /stext=" 02:.+((SYSTEM_STATE.+slice.+state.+changed )|(ment ac)|(multiple cpu faults)|(system.+state.+changed )|(\[timeout)|(PRM\|1\|D)|(kpr)|(kdp)|(train st.+moving)|(\|lc)|(penalty))"</v>
      </c>
      <c r="AG136" s="245" t="str">
        <f t="shared" si="101"/>
        <v>EC</v>
      </c>
      <c r="AH136" s="237" t="str">
        <f t="shared" si="60"/>
        <v>"%USERPROFILE%\Documents\GitHub\eaglep3\Utilities\RefineRTDCRunTimes.py" --tripid 219-29 --locoid 4006 --swversion DE.1.0.9.0 --startMP 204:493 --initTime 2017-11-29T18:28:55 --startdatetime 2017-11-29T18:31:09 --delay 61 --endMP 204:233240 --enddatetime 2017-11-29T19:08:52 --enforcementcount 0 &gt;&gt;%USERPROFILE%\Documents\GitHub\eaglep3-reporting\EC\2017-11-29-refined-times.txt</v>
      </c>
      <c r="AI136" s="239" t="str">
        <f t="shared" si="61"/>
        <v>echo {"issue":{"subject":"Brief Wi-MAX data drop caused unhealthy banner","project_id":79,"tracker_id":40,"status_id":1,"priority_id":2,"assigned_to_id":338,"start_date":"2017-11-29","description":"","custom_fields":[{"id":1,"name":"Subdivision","value":"EC"},{"id":4,"name":"Milepost","value":"23.324"},{"id":17,"name":"Train ID","value":"219-29"},{"id":16,"name":"Locomotive ID","value":"4006"},{"id":130,"name":"Impact","value":""},{"id":150,"name":"Time of Event (Mountain Time)","value":"19:08:52"},{"id":151,"name":"Denver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4"/>
      <c r="AK136" s="232"/>
      <c r="AL136" s="232"/>
      <c r="AM136" s="241" t="str">
        <f t="shared" si="62"/>
        <v>start /low /b %USERPROFILE%\Documents\GitHub\eaglep3\Utilities\DownloadLogsFromS3.py --loco 4006 --day 2017-11-29</v>
      </c>
      <c r="AN136" s="242" t="str">
        <f t="shared" si="63"/>
        <v>echo {"issue":{"subject":"Brief Wi-MAX data drop caused unhealthy banner","project_id":30,"tracker_id":4,"status_id":1,"priority_id":1,"assigned_to_id":10,"start_date":"2017-11-30","description":"","custom_fields":[{"id":30,"name":"Category","value":"Issue"},{"id":3,"name":"Functional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02:08:52"},{"id":29,"name":"Sharepoint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1" t="str">
        <f t="shared" si="64"/>
        <v>https://d0f6bd738d7f1b3e5a7ca70fe4ff75f0.us-east-1.aws.found.io/app/kibana#/discover/Steve-Slow-Train-Analysis-(2080s-and-2083s)?_g=(refreshInterval:(display:Off,pause:!f,section:0,value:0),time:(from:'2017-11-29T17:28:55-0700',mode:absolute,to:'2017-11-29T20:08:52-0700'))&amp;_a=(columns:!('Message%20ID',Summary),filters:!(),index:'emp_*',interval:auto,query:(query_string:(analyze_wildcard:!t,query:'%22rtdc.l.rtdc.4006%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230" t="s">
        <v>844</v>
      </c>
      <c r="B137" s="226">
        <v>4005</v>
      </c>
      <c r="C137" s="228" t="s">
        <v>192</v>
      </c>
      <c r="D137" s="228" t="s">
        <v>590</v>
      </c>
      <c r="E137" s="227">
        <v>43068.807870370372</v>
      </c>
      <c r="F137" s="227">
        <v>43068.810810185183</v>
      </c>
      <c r="G137" s="226">
        <v>68</v>
      </c>
      <c r="H137" s="228" t="s">
        <v>415</v>
      </c>
      <c r="I137" s="227">
        <v>43068.836608796293</v>
      </c>
      <c r="J137" s="226">
        <v>0</v>
      </c>
      <c r="K137" s="238" t="str">
        <f t="shared" si="93"/>
        <v>4005/4006</v>
      </c>
      <c r="L137" s="246" t="str">
        <f>VLOOKUP(A137,'Trips&amp;Operators'!$C$1:$G$99911,5,FALSE)</f>
        <v>ANDERS STEVEN</v>
      </c>
      <c r="M137" s="225">
        <f t="shared" si="94"/>
        <v>2.5798611110076308E-2</v>
      </c>
      <c r="N137" s="226">
        <f t="shared" si="103"/>
        <v>37.149999998509884</v>
      </c>
      <c r="O137" s="226"/>
      <c r="P137" s="226"/>
      <c r="Q137" s="229"/>
      <c r="R137" s="243"/>
      <c r="S137" s="250">
        <f t="shared" si="95"/>
        <v>1</v>
      </c>
      <c r="T137" s="243" t="str">
        <f t="shared" si="96"/>
        <v>Southbound</v>
      </c>
      <c r="U137" s="24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9" t="str">
        <f t="shared" si="54"/>
        <v>https://d0f6bd738d7f1b3e5a7ca70fe4ff75f0.us-east-1.aws.found.io/app/kibana#/discover/Steve-Slow-Train-Analysis-(2080s-and-2083s)?_g=(refreshInterval:(display:Off,pause:!f,section:0,value:0),time:(from:'2017-11-29T18:23:20-0700',mode:absolute,to:'2017-11-29T21:04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7" s="248" t="str">
        <f>IF(AA137&lt;VLOOKUP(AG137,Variables!$AC$3:$AD$8,2,FALSE),"Y","N")</f>
        <v>N</v>
      </c>
      <c r="X137" s="248">
        <f t="shared" si="104"/>
        <v>1</v>
      </c>
      <c r="Y137" s="248">
        <f>RIGHT(D137,LEN(D137)-4)/10000</f>
        <v>23.292100000000001</v>
      </c>
      <c r="Z137" s="248">
        <f>RIGHT(H137,LEN(H137)-4)/10000</f>
        <v>2.2700000000000001E-2</v>
      </c>
      <c r="AA137" s="248">
        <f t="shared" si="99"/>
        <v>23.269400000000001</v>
      </c>
      <c r="AB137" s="234" t="e">
        <f>VLOOKUP(A137,Enforcements!$C$7:$K$9,8,0)</f>
        <v>#N/A</v>
      </c>
      <c r="AC137" s="233" t="e">
        <f>VLOOKUP(A137,Enforcements!$C$7:$E$9,3,0)</f>
        <v>#N/A</v>
      </c>
      <c r="AD137" s="244">
        <f t="shared" si="100"/>
        <v>220</v>
      </c>
      <c r="AE137" s="236" t="str">
        <f t="shared" si="57"/>
        <v>aws s3 cp s3://rtdc.mdm.uploadarchive.raw/RTDC4005/ "%USERPROFILE%\AppData\Local\Temp\OnboardLogs"\RTDC4005\2017-11-29 --exclude "*" --recursive --include "*20171129*" &amp; "%USERPROFILE%\Documents\GitHub\mrs-test-scripts\Headless Mode &amp; Sideloading\WalkAndUnGZ.bat" "%USERPROFILE%\AppData\Local\Temp\OnboardLogs"\RTDC4005\2017-11-29 &amp; aws s3 cp s3://rtdc.mdm.uploadarchive.raw/RTDC4005/ "%USERPROFILE%\AppData\Local\Temp\OnboardLogs"\RTDC4005\2017-11-30 --exclude "*" --recursive --include "*20171130*" &amp; "%USERPROFILE%\Documents\GitHub\mrs-test-scripts\Headless Mode &amp; Sideloading\WalkAndUnGZ.bat" "%USERPROFILE%\AppData\Local\Temp\OnboardLogs"\RTDC4005\2017-11-30</v>
      </c>
      <c r="AF137" s="235" t="str">
        <f t="shared" si="58"/>
        <v>"C:\Program Files (x86)\AstroGrep\AstroGrep.exe" /e /r /s /spath="%USERPROFILE%\AppData\Local\Temp\OnboardLogs" /stypes="app*4005*20171130*" /stext=" 03:.+((SYSTEM_STATE.+slice.+state.+changed )|(ment ac)|(multiple cpu faults)|(system.+state.+changed )|(\[timeout)|(PRM\|1\|D)|(kpr)|(kdp)|(train st.+moving)|(\|lc)|(penalty))"</v>
      </c>
      <c r="AG137" s="245" t="str">
        <f t="shared" si="101"/>
        <v>EC</v>
      </c>
      <c r="AH137" s="237" t="str">
        <f t="shared" si="60"/>
        <v>"%USERPROFILE%\Documents\GitHub\eaglep3\Utilities\RefineRTDCRunTimes.py" --tripid 220-29 --locoid 4005 --swversion DE.1.0.9.0 --startMP 204:232921 --initTime 2017-11-29T19:23:20 --startdatetime 2017-11-29T19:27:34 --delay 68 --endMP 204:227 --enddatetime 2017-11-29T20:04:43 --enforcementcount 0 &gt;&gt;%USERPROFILE%\Documents\GitHub\eaglep3-reporting\EC\2017-11-29-refined-times.txt</v>
      </c>
      <c r="AI137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{"issue":{"subject":"","project_id":79,"tracker_id":40,"status_id":1,"priority_id":2,"assigned_to_id":338,"start_date":"2017-11-29","description":"","custom_fields":[{"id":1,"name":"Subdivision","value":"EC"},{"id":4,"name":"Milepost","value":"0.0227"},{"id":17,"name":"Train ID","value":"220-29"},{"id":16,"name":"Locomotive ID","value":"4005"},{"id":130,"name":"Impact","value":""},{"id":150,"name":"Time of Event (Mountain Time)","value":"20:04:43"},{"id":151,"name":"Denver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4"/>
      <c r="AK137" s="232"/>
      <c r="AL137" s="232"/>
      <c r="AM137" s="241" t="str">
        <f t="shared" si="62"/>
        <v>start /low /b %USERPROFILE%\Documents\GitHub\eaglep3\Utilities\DownloadLogsFromS3.py --loco 4005 --day 2017-11-29</v>
      </c>
      <c r="AN137" s="242" t="str">
        <f t="shared" si="6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03:04:43"},{"id":29,"name":"Sharepoint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1" t="str">
        <f t="shared" si="64"/>
        <v>https://d0f6bd738d7f1b3e5a7ca70fe4ff75f0.us-east-1.aws.found.io/app/kibana#/discover/Steve-Slow-Train-Analysis-(2080s-and-2083s)?_g=(refreshInterval:(display:Off,pause:!f,section:0,value:0),time:(from:'2017-11-29T18:23:20-0700',mode:absolute,to:'2017-11-29T21:04:43-0700'))&amp;_a=(columns:!('Message%20ID',Summary),filters:!(),index:'emp_*',interval:auto,query:(query_string:(analyze_wildcard:!t,query:'%22rtdc.l.rtdc.4005%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230" t="s">
        <v>838</v>
      </c>
      <c r="B138" s="226">
        <v>4022</v>
      </c>
      <c r="C138" s="228" t="s">
        <v>192</v>
      </c>
      <c r="D138" s="228" t="s">
        <v>879</v>
      </c>
      <c r="E138" s="227">
        <v>43068.787303240744</v>
      </c>
      <c r="F138" s="227">
        <v>43068.791921296295</v>
      </c>
      <c r="G138" s="226">
        <v>92</v>
      </c>
      <c r="H138" s="228" t="s">
        <v>964</v>
      </c>
      <c r="I138" s="227">
        <v>43068.817083333335</v>
      </c>
      <c r="J138" s="226">
        <v>0</v>
      </c>
      <c r="K138" s="238" t="str">
        <f t="shared" si="93"/>
        <v>4021/4022</v>
      </c>
      <c r="L138" s="246" t="str">
        <f>VLOOKUP(A138,'Trips&amp;Operators'!$C$1:$G$99911,5,FALSE)</f>
        <v>NICHOLSON WESLEY</v>
      </c>
      <c r="M138" s="225">
        <f t="shared" si="94"/>
        <v>2.5162037039990537E-2</v>
      </c>
      <c r="N138" s="226">
        <f t="shared" si="103"/>
        <v>36.233333337586373</v>
      </c>
      <c r="O138" s="226"/>
      <c r="P138" s="226"/>
      <c r="Q138" s="229"/>
      <c r="R138" s="243"/>
      <c r="S138" s="250">
        <f t="shared" si="95"/>
        <v>1</v>
      </c>
      <c r="T138" s="243" t="str">
        <f t="shared" si="96"/>
        <v>NorthBound</v>
      </c>
      <c r="U138" s="24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9" t="str">
        <f t="shared" si="54"/>
        <v>https://d0f6bd738d7f1b3e5a7ca70fe4ff75f0.us-east-1.aws.found.io/app/kibana#/discover/Steve-Slow-Train-Analysis-(2080s-and-2083s)?_g=(refreshInterval:(display:Off,pause:!f,section:0,value:0),time:(from:'2017-11-29T17:53:43-0700',mode:absolute,to:'2017-11-29T20:36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8" s="248" t="str">
        <f>IF(AA138&lt;VLOOKUP(AG138,Variables!$AC$3:$AD$8,2,FALSE),"Y","N")</f>
        <v>N</v>
      </c>
      <c r="X138" s="248">
        <f t="shared" ref="X138:X150" si="110">VALUE(LEFT(AD138,4))-VALUE(LEFT(AD137,4))</f>
        <v>1</v>
      </c>
      <c r="Y138" s="248">
        <f>RIGHT(D138,LEN(D138)-4)/10000</f>
        <v>4.9099999999999998E-2</v>
      </c>
      <c r="Z138" s="248">
        <f>RIGHT(H138,LEN(H138)-4)/10000</f>
        <v>23.316199999999998</v>
      </c>
      <c r="AA138" s="248">
        <f t="shared" si="99"/>
        <v>23.267099999999999</v>
      </c>
      <c r="AB138" s="234" t="e">
        <f>VLOOKUP(A138,Enforcements!$C$7:$K$9,8,0)</f>
        <v>#N/A</v>
      </c>
      <c r="AC138" s="233" t="e">
        <f>VLOOKUP(A138,Enforcements!$C$7:$E$9,3,0)</f>
        <v>#N/A</v>
      </c>
      <c r="AD138" s="244">
        <f t="shared" si="100"/>
        <v>221</v>
      </c>
      <c r="AE138" s="236" t="str">
        <f t="shared" si="57"/>
        <v>aws s3 cp s3://rtdc.mdm.uploadarchive.raw/RTDC4022/ "%USERPROFILE%\AppData\Local\Temp\OnboardLogs"\RTDC4022\2017-11-29 --exclude "*" --recursive --include "*20171129*" &amp; "%USERPROFILE%\Documents\GitHub\mrs-test-scripts\Headless Mode &amp; Sideloading\WalkAndUnGZ.bat" "%USERPROFILE%\AppData\Local\Temp\OnboardLogs"\RTDC4022\2017-11-29 &amp; aws s3 cp s3://rtdc.mdm.uploadarchive.raw/RTDC4022/ "%USERPROFILE%\AppData\Local\Temp\OnboardLogs"\RTDC4022\2017-11-30 --exclude "*" --recursive --include "*20171130*" &amp; "%USERPROFILE%\Documents\GitHub\mrs-test-scripts\Headless Mode &amp; Sideloading\WalkAndUnGZ.bat" "%USERPROFILE%\AppData\Local\Temp\OnboardLogs"\RTDC4022\2017-11-30</v>
      </c>
      <c r="AF138" s="235" t="str">
        <f t="shared" si="58"/>
        <v>"C:\Program Files (x86)\AstroGrep\AstroGrep.exe" /e /r /s /spath="%USERPROFILE%\AppData\Local\Temp\OnboardLogs" /stypes="app*4022*20171130*" /stext=" 02:.+((SYSTEM_STATE.+slice.+state.+changed )|(ment ac)|(multiple cpu faults)|(system.+state.+changed )|(\[timeout)|(PRM\|1\|D)|(kpr)|(kdp)|(train st.+moving)|(\|lc)|(penalty))"</v>
      </c>
      <c r="AG138" s="245" t="str">
        <f t="shared" si="101"/>
        <v>EC</v>
      </c>
      <c r="AH138" s="237" t="str">
        <f t="shared" si="60"/>
        <v>"%USERPROFILE%\Documents\GitHub\eaglep3\Utilities\RefineRTDCRunTimes.py" --tripid 221-29 --locoid 4022 --swversion DE.1.0.9.0 --startMP 204:491 --initTime 2017-11-29T18:53:43 --startdatetime 2017-11-29T19:00:22 --delay 92 --endMP 204:233162 --enddatetime 2017-11-29T19:36:36 --enforcementcount 0 &gt;&gt;%USERPROFILE%\Documents\GitHub\eaglep3-reporting\EC\2017-11-29-refined-times.txt</v>
      </c>
      <c r="AI138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{"issue":{"subject":"","project_id":79,"tracker_id":40,"status_id":1,"priority_id":2,"assigned_to_id":338,"start_date":"2017-11-29","description":"","custom_fields":[{"id":1,"name":"Subdivision","value":"EC"},{"id":4,"name":"Milepost","value":"23.3162"},{"id":17,"name":"Train ID","value":"221-29"},{"id":16,"name":"Locomotive ID","value":"4022"},{"id":130,"name":"Impact","value":""},{"id":150,"name":"Time of Event (Mountain Time)","value":"19:36:36"},{"id":151,"name":"Denver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4"/>
      <c r="AK138" s="232"/>
      <c r="AL138" s="232"/>
      <c r="AM138" s="241" t="str">
        <f t="shared" si="62"/>
        <v>start /low /b %USERPROFILE%\Documents\GitHub\eaglep3\Utilities\DownloadLogsFromS3.py --loco 4022 --day 2017-11-29</v>
      </c>
      <c r="AN138" s="242" t="str">
        <f t="shared" si="6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02:36:36"},{"id":29,"name":"Sharepoint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1" t="str">
        <f t="shared" si="64"/>
        <v>https://d0f6bd738d7f1b3e5a7ca70fe4ff75f0.us-east-1.aws.found.io/app/kibana#/discover/Steve-Slow-Train-Analysis-(2080s-and-2083s)?_g=(refreshInterval:(display:Off,pause:!f,section:0,value:0),time:(from:'2017-11-29T17:53:43-0700',mode:absolute,to:'2017-11-29T20:36:36-0700'))&amp;_a=(columns:!('Message%20ID',Summary),filters:!(),index:'emp_*',interval:auto,query:(query_string:(analyze_wildcard:!t,query:'%22rtdc.l.rtdc.4022%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230" t="s">
        <v>845</v>
      </c>
      <c r="B139" s="226">
        <v>4021</v>
      </c>
      <c r="C139" s="228" t="s">
        <v>192</v>
      </c>
      <c r="D139" s="228" t="s">
        <v>613</v>
      </c>
      <c r="E139" s="227">
        <v>43068.822384259256</v>
      </c>
      <c r="F139" s="227">
        <v>43068.831493055557</v>
      </c>
      <c r="G139" s="226">
        <v>170</v>
      </c>
      <c r="H139" s="228" t="s">
        <v>591</v>
      </c>
      <c r="I139" s="227">
        <v>43068.858865740738</v>
      </c>
      <c r="J139" s="226">
        <v>0</v>
      </c>
      <c r="K139" s="238" t="str">
        <f t="shared" si="93"/>
        <v>4021/4022</v>
      </c>
      <c r="L139" s="246" t="str">
        <f>VLOOKUP(A139,'Trips&amp;Operators'!$C$1:$G$99911,5,FALSE)</f>
        <v>NICHOLSON WESLEY</v>
      </c>
      <c r="M139" s="225">
        <f t="shared" si="94"/>
        <v>2.7372685181035195E-2</v>
      </c>
      <c r="N139" s="226">
        <f t="shared" si="103"/>
        <v>39.41666666069068</v>
      </c>
      <c r="O139" s="226"/>
      <c r="P139" s="226"/>
      <c r="Q139" s="229"/>
      <c r="R139" s="243"/>
      <c r="S139" s="250">
        <f t="shared" si="95"/>
        <v>1</v>
      </c>
      <c r="T139" s="243" t="str">
        <f t="shared" si="96"/>
        <v>Southbound</v>
      </c>
      <c r="U139" s="24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9" t="str">
        <f t="shared" si="54"/>
        <v>https://d0f6bd738d7f1b3e5a7ca70fe4ff75f0.us-east-1.aws.found.io/app/kibana#/discover/Steve-Slow-Train-Analysis-(2080s-and-2083s)?_g=(refreshInterval:(display:Off,pause:!f,section:0,value:0),time:(from:'2017-11-29T18:44:14-0700',mode:absolute,to:'2017-11-29T21:36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9" s="248" t="str">
        <f>IF(AA139&lt;VLOOKUP(AG139,Variables!$AC$3:$AD$8,2,FALSE),"Y","N")</f>
        <v>N</v>
      </c>
      <c r="X139" s="248">
        <f t="shared" si="110"/>
        <v>1</v>
      </c>
      <c r="Y139" s="248">
        <f>RIGHT(D139,LEN(D139)-4)/10000</f>
        <v>23.2879</v>
      </c>
      <c r="Z139" s="248">
        <f>RIGHT(H139,LEN(H139)-4)/10000</f>
        <v>2.3599999999999999E-2</v>
      </c>
      <c r="AA139" s="248">
        <f t="shared" si="99"/>
        <v>23.264300000000002</v>
      </c>
      <c r="AB139" s="234" t="e">
        <f>VLOOKUP(A139,Enforcements!$C$7:$K$9,8,0)</f>
        <v>#N/A</v>
      </c>
      <c r="AC139" s="233" t="e">
        <f>VLOOKUP(A139,Enforcements!$C$7:$E$9,3,0)</f>
        <v>#N/A</v>
      </c>
      <c r="AD139" s="244">
        <f t="shared" si="100"/>
        <v>222</v>
      </c>
      <c r="AE139" s="236" t="str">
        <f t="shared" si="57"/>
        <v>aws s3 cp s3://rtdc.mdm.uploadarchive.raw/RTDC4021/ "%USERPROFILE%\AppData\Local\Temp\OnboardLogs"\RTDC4021\2017-11-29 --exclude "*" --recursive --include "*20171129*" &amp; "%USERPROFILE%\Documents\GitHub\mrs-test-scripts\Headless Mode &amp; Sideloading\WalkAndUnGZ.bat" "%USERPROFILE%\AppData\Local\Temp\OnboardLogs"\RTDC4021\2017-11-29 &amp; aws s3 cp s3://rtdc.mdm.uploadarchive.raw/RTDC4021/ "%USERPROFILE%\AppData\Local\Temp\OnboardLogs"\RTDC4021\2017-11-30 --exclude "*" --recursive --include "*20171130*" &amp; "%USERPROFILE%\Documents\GitHub\mrs-test-scripts\Headless Mode &amp; Sideloading\WalkAndUnGZ.bat" "%USERPROFILE%\AppData\Local\Temp\OnboardLogs"\RTDC4021\2017-11-30</v>
      </c>
      <c r="AF139" s="235" t="str">
        <f t="shared" si="58"/>
        <v>"C:\Program Files (x86)\AstroGrep\AstroGrep.exe" /e /r /s /spath="%USERPROFILE%\AppData\Local\Temp\OnboardLogs" /stypes="app*4021*20171130*" /stext=" 03:.+((SYSTEM_STATE.+slice.+state.+changed )|(ment ac)|(multiple cpu faults)|(system.+state.+changed )|(\[timeout)|(PRM\|1\|D)|(kpr)|(kdp)|(train st.+moving)|(\|lc)|(penalty))"</v>
      </c>
      <c r="AG139" s="245" t="str">
        <f t="shared" si="101"/>
        <v>EC</v>
      </c>
      <c r="AH139" s="237" t="str">
        <f t="shared" si="60"/>
        <v>"%USERPROFILE%\Documents\GitHub\eaglep3\Utilities\RefineRTDCRunTimes.py" --tripid 222-29 --locoid 4021 --swversion DE.1.0.9.0 --startMP 204:232879 --initTime 2017-11-29T19:44:14 --startdatetime 2017-11-29T19:57:21 --delay 170 --endMP 204:236 --enddatetime 2017-11-29T20:36:46 --enforcementcount 0 &gt;&gt;%USERPROFILE%\Documents\GitHub\eaglep3-reporting\EC\2017-11-29-refined-times.txt</v>
      </c>
      <c r="AI139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{"issue":{"subject":"","project_id":79,"tracker_id":40,"status_id":1,"priority_id":2,"assigned_to_id":338,"start_date":"2017-11-29","description":"","custom_fields":[{"id":1,"name":"Subdivision","value":"EC"},{"id":4,"name":"Milepost","value":"0.0236"},{"id":17,"name":"Train ID","value":"222-29"},{"id":16,"name":"Locomotive ID","value":"4021"},{"id":130,"name":"Impact","value":""},{"id":150,"name":"Time of Event (Mountain Time)","value":"20:36:46"},{"id":151,"name":"Denver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224"/>
      <c r="AK139" s="232"/>
      <c r="AL139" s="232"/>
      <c r="AM139" s="241" t="str">
        <f t="shared" si="62"/>
        <v>start /low /b %USERPROFILE%\Documents\GitHub\eaglep3\Utilities\DownloadLogsFromS3.py --loco 4021 --day 2017-11-29</v>
      </c>
      <c r="AN139" s="242" t="str">
        <f t="shared" si="6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03:36:46"},{"id":29,"name":"Sharepoint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1" t="str">
        <f t="shared" si="64"/>
        <v>https://d0f6bd738d7f1b3e5a7ca70fe4ff75f0.us-east-1.aws.found.io/app/kibana#/discover/Steve-Slow-Train-Analysis-(2080s-and-2083s)?_g=(refreshInterval:(display:Off,pause:!f,section:0,value:0),time:(from:'2017-11-29T18:44:14-0700',mode:absolute,to:'2017-11-29T21:36:46-0700'))&amp;_a=(columns:!('Message%20ID',Summary),filters:!(),index:'emp_*',interval:auto,query:(query_string:(analyze_wildcard:!t,query:'%22rtdc.l.rtdc.4021%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230" t="s">
        <v>843</v>
      </c>
      <c r="B140" s="226">
        <v>4026</v>
      </c>
      <c r="C140" s="228" t="s">
        <v>192</v>
      </c>
      <c r="D140" s="228" t="s">
        <v>965</v>
      </c>
      <c r="E140" s="227">
        <v>43068.807962962965</v>
      </c>
      <c r="F140" s="227">
        <v>43068.812662037039</v>
      </c>
      <c r="G140" s="226">
        <v>55</v>
      </c>
      <c r="H140" s="228" t="s">
        <v>587</v>
      </c>
      <c r="I140" s="227">
        <v>43068.836956018517</v>
      </c>
      <c r="J140" s="226">
        <v>0</v>
      </c>
      <c r="K140" s="238" t="str">
        <f t="shared" si="93"/>
        <v>4025/4026</v>
      </c>
      <c r="L140" s="246" t="str">
        <f>VLOOKUP(A140,'Trips&amp;Operators'!$C$1:$G$99911,5,FALSE)</f>
        <v>RESPASS AARON</v>
      </c>
      <c r="M140" s="225">
        <f t="shared" si="94"/>
        <v>2.4293981477967463E-2</v>
      </c>
      <c r="N140" s="226">
        <f t="shared" si="103"/>
        <v>34.983333328273147</v>
      </c>
      <c r="O140" s="226"/>
      <c r="P140" s="226"/>
      <c r="Q140" s="229"/>
      <c r="R140" s="243"/>
      <c r="S140" s="250">
        <f t="shared" si="95"/>
        <v>1</v>
      </c>
      <c r="T140" s="243" t="str">
        <f t="shared" si="96"/>
        <v>NorthBound</v>
      </c>
      <c r="U140" s="24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9" t="str">
        <f t="shared" si="54"/>
        <v>https://d0f6bd738d7f1b3e5a7ca70fe4ff75f0.us-east-1.aws.found.io/app/kibana#/discover/Steve-Slow-Train-Analysis-(2080s-and-2083s)?_g=(refreshInterval:(display:Off,pause:!f,section:0,value:0),time:(from:'2017-11-29T18:23:28-0700',mode:absolute,to:'2017-11-29T21:05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0" s="248" t="str">
        <f>IF(AA140&lt;VLOOKUP(AG140,Variables!$AC$3:$AD$8,2,FALSE),"Y","N")</f>
        <v>N</v>
      </c>
      <c r="X140" s="248">
        <f t="shared" si="110"/>
        <v>1</v>
      </c>
      <c r="Y140" s="248">
        <f>RIGHT(D140,LEN(D140)-4)/10000</f>
        <v>5.8599999999999999E-2</v>
      </c>
      <c r="Z140" s="248">
        <f>RIGHT(H140,LEN(H140)-4)/10000</f>
        <v>23.3247</v>
      </c>
      <c r="AA140" s="248">
        <f t="shared" si="99"/>
        <v>23.266100000000002</v>
      </c>
      <c r="AB140" s="234" t="e">
        <f>VLOOKUP(A140,Enforcements!$C$7:$K$9,8,0)</f>
        <v>#N/A</v>
      </c>
      <c r="AC140" s="233" t="e">
        <f>VLOOKUP(A140,Enforcements!$C$7:$E$9,3,0)</f>
        <v>#N/A</v>
      </c>
      <c r="AD140" s="244">
        <f t="shared" si="100"/>
        <v>223</v>
      </c>
      <c r="AE140" s="236" t="str">
        <f t="shared" si="57"/>
        <v>aws s3 cp s3://rtdc.mdm.uploadarchive.raw/RTDC4026/ "%USERPROFILE%\AppData\Local\Temp\OnboardLogs"\RTDC4026\2017-11-29 --exclude "*" --recursive --include "*20171129*" &amp; "%USERPROFILE%\Documents\GitHub\mrs-test-scripts\Headless Mode &amp; Sideloading\WalkAndUnGZ.bat" "%USERPROFILE%\AppData\Local\Temp\OnboardLogs"\RTDC4026\2017-11-29 &amp; aws s3 cp s3://rtdc.mdm.uploadarchive.raw/RTDC4026/ "%USERPROFILE%\AppData\Local\Temp\OnboardLogs"\RTDC4026\2017-11-30 --exclude "*" --recursive --include "*20171130*" &amp; "%USERPROFILE%\Documents\GitHub\mrs-test-scripts\Headless Mode &amp; Sideloading\WalkAndUnGZ.bat" "%USERPROFILE%\AppData\Local\Temp\OnboardLogs"\RTDC4026\2017-11-30</v>
      </c>
      <c r="AF140" s="235" t="str">
        <f t="shared" si="58"/>
        <v>"C:\Program Files (x86)\AstroGrep\AstroGrep.exe" /e /r /s /spath="%USERPROFILE%\AppData\Local\Temp\OnboardLogs" /stypes="app*4026*20171130*" /stext=" 03:.+((SYSTEM_STATE.+slice.+state.+changed )|(ment ac)|(multiple cpu faults)|(system.+state.+changed )|(\[timeout)|(PRM\|1\|D)|(kpr)|(kdp)|(train st.+moving)|(\|lc)|(penalty))"</v>
      </c>
      <c r="AG140" s="245" t="str">
        <f t="shared" si="101"/>
        <v>EC</v>
      </c>
      <c r="AH140" s="237" t="str">
        <f t="shared" si="60"/>
        <v>"%USERPROFILE%\Documents\GitHub\eaglep3\Utilities\RefineRTDCRunTimes.py" --tripid 223-29 --locoid 4026 --swversion DE.1.0.9.0 --startMP 204:586 --initTime 2017-11-29T19:23:28 --startdatetime 2017-11-29T19:30:14 --delay 55 --endMP 204:233247 --enddatetime 2017-11-29T20:05:13 --enforcementcount 0 &gt;&gt;%USERPROFILE%\Documents\GitHub\eaglep3-reporting\EC\2017-11-29-refined-times.txt</v>
      </c>
      <c r="AI140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{"issue":{"subject":"","project_id":79,"tracker_id":40,"status_id":1,"priority_id":2,"assigned_to_id":338,"start_date":"2017-11-29","description":"","custom_fields":[{"id":1,"name":"Subdivision","value":"EC"},{"id":4,"name":"Milepost","value":"23.3247"},{"id":17,"name":"Train ID","value":"223-29"},{"id":16,"name":"Locomotive ID","value":"4026"},{"id":130,"name":"Impact","value":""},{"id":150,"name":"Time of Event (Mountain Time)","value":"20:05:13"},{"id":151,"name":"Denver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4"/>
      <c r="AK140" s="232"/>
      <c r="AL140" s="232"/>
      <c r="AM140" s="241" t="str">
        <f t="shared" si="62"/>
        <v>start /low /b %USERPROFILE%\Documents\GitHub\eaglep3\Utilities\DownloadLogsFromS3.py --loco 4026 --day 2017-11-29</v>
      </c>
      <c r="AN140" s="242" t="str">
        <f t="shared" si="6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03:05:13"},{"id":29,"name":"Sharepoint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1" t="str">
        <f t="shared" si="64"/>
        <v>https://d0f6bd738d7f1b3e5a7ca70fe4ff75f0.us-east-1.aws.found.io/app/kibana#/discover/Steve-Slow-Train-Analysis-(2080s-and-2083s)?_g=(refreshInterval:(display:Off,pause:!f,section:0,value:0),time:(from:'2017-11-29T18:23:28-0700',mode:absolute,to:'2017-11-29T21:05:13-0700'))&amp;_a=(columns:!('Message%20ID',Summary),filters:!(),index:'emp_*',interval:auto,query:(query_string:(analyze_wildcard:!t,query:'%22rtdc.l.rtdc.4026%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24" customFormat="1" x14ac:dyDescent="0.25">
      <c r="A141" s="230" t="s">
        <v>847</v>
      </c>
      <c r="B141" s="226">
        <v>4025</v>
      </c>
      <c r="C141" s="228" t="s">
        <v>192</v>
      </c>
      <c r="D141" s="228" t="s">
        <v>965</v>
      </c>
      <c r="E141" s="227">
        <v>43068.807962962965</v>
      </c>
      <c r="F141" s="227">
        <v>43068.852337962962</v>
      </c>
      <c r="G141" s="226">
        <v>55</v>
      </c>
      <c r="H141" s="228" t="s">
        <v>587</v>
      </c>
      <c r="I141" s="227">
        <v>43068.878217592595</v>
      </c>
      <c r="J141" s="226">
        <v>0</v>
      </c>
      <c r="K141" s="238" t="str">
        <f t="shared" si="93"/>
        <v>4025/4026</v>
      </c>
      <c r="L141" s="246" t="str">
        <f>VLOOKUP(A141,'Trips&amp;Operators'!$C$1:$G$99911,5,FALSE)</f>
        <v>RESPASS AARON</v>
      </c>
      <c r="M141" s="225">
        <f t="shared" si="94"/>
        <v>2.587962963298196E-2</v>
      </c>
      <c r="N141" s="226">
        <f t="shared" si="103"/>
        <v>37.266666671494022</v>
      </c>
      <c r="O141" s="226"/>
      <c r="P141" s="226"/>
      <c r="Q141" s="229"/>
      <c r="R141" s="243"/>
      <c r="S141" s="250">
        <f t="shared" si="95"/>
        <v>1</v>
      </c>
      <c r="T141" s="243" t="str">
        <f t="shared" si="96"/>
        <v>Southbound</v>
      </c>
      <c r="U141" s="24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9" t="str">
        <f t="shared" ref="V141:V204" si="111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-11-29T18:23:28-0700',mode:absolute,to:'2017-11-29T22:04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1" s="248" t="str">
        <f>IF(AA141&lt;VLOOKUP(AG141,Variables!$AC$3:$AD$8,2,FALSE),"Y","N")</f>
        <v>N</v>
      </c>
      <c r="X141" s="248">
        <f t="shared" si="110"/>
        <v>1</v>
      </c>
      <c r="Y141" s="248">
        <v>23.2879</v>
      </c>
      <c r="Z141" s="248">
        <v>2.3599999999999999E-2</v>
      </c>
      <c r="AA141" s="248">
        <f t="shared" si="99"/>
        <v>23.264300000000002</v>
      </c>
      <c r="AB141" s="234" t="e">
        <f>VLOOKUP(A141,Enforcements!$C$7:$K$9,8,0)</f>
        <v>#N/A</v>
      </c>
      <c r="AC141" s="233" t="e">
        <f>VLOOKUP(A141,Enforcements!$C$7:$E$9,3,0)</f>
        <v>#N/A</v>
      </c>
      <c r="AD141" s="244">
        <f t="shared" si="100"/>
        <v>224</v>
      </c>
      <c r="AE141" s="236" t="str">
        <f t="shared" ref="AE141:AE204" si="112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s3://rtdc.mdm.uploadarchive.raw/RTDC4025/ "%USERPROFILE%\AppData\Local\Temp\OnboardLogs"\RTDC4025\2017-11-29 --exclude "*" --recursive --include "*20171129*" &amp; "%USERPROFILE%\Documents\GitHub\mrs-test-scripts\Headless Mode &amp; Sideloading\WalkAndUnGZ.bat" "%USERPROFILE%\AppData\Local\Temp\OnboardLogs"\RTDC4025\2017-11-29 &amp; aws s3 cp s3://rtdc.mdm.uploadarchive.raw/RTDC4025/ "%USERPROFILE%\AppData\Local\Temp\OnboardLogs"\RTDC4025\2017-11-30 --exclude "*" --recursive --include "*20171130*" &amp; "%USERPROFILE%\Documents\GitHub\mrs-test-scripts\Headless Mode &amp; Sideloading\WalkAndUnGZ.bat" "%USERPROFILE%\AppData\Local\Temp\OnboardLogs"\RTDC4025\2017-11-30</v>
      </c>
      <c r="AF141" s="235" t="str">
        <f t="shared" ref="AF141:AF204" si="113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/stypes="app*4025*20171130*" /stext=" 04:.+((SYSTEM_STATE.+slice.+state.+changed )|(ment ac)|(multiple cpu faults)|(system.+state.+changed )|(\[timeout)|(PRM\|1\|D)|(kpr)|(kdp)|(train st.+moving)|(\|lc)|(penalty))"</v>
      </c>
      <c r="AG141" s="245" t="str">
        <f t="shared" si="101"/>
        <v>EC</v>
      </c>
      <c r="AH141" s="237" t="str">
        <f t="shared" ref="AH141" si="114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224-29 --locoid 4025 --swversion DE.1.0.9.0 --startMP 204:586 --initTime 2017-11-29T19:23:28 --startdatetime 2017-11-29T20:27:22 --delay 55 --endMP 204:233247 --enddatetime 2017-11-29T21:04:38 --enforcementcount 0 &gt;&gt;%USERPROFILE%\Documents\GitHub\eaglep3-reporting\EC\2017-11-29-refined-times.txt</v>
      </c>
      <c r="AI141" s="239" t="str">
        <f t="shared" ref="AI141" si="115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{"issue":{"subject":"","project_id":79,"tracker_id":40,"status_id":1,"priority_id":2,"assigned_to_id":338,"start_date":"2017-11-29","description":"","custom_fields":[{"id":1,"name":"Subdivision","value":"EC"},{"id":4,"name":"Milepost","value":"0.0236"},{"id":17,"name":"Train ID","value":"224-29"},{"id":16,"name":"Locomotive ID","value":"4025"},{"id":130,"name":"Impact","value":""},{"id":150,"name":"Time of Event (Mountain Time)","value":"21:04:38"},{"id":151,"name":"Denver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232"/>
      <c r="AL141" s="232"/>
      <c r="AM141" s="241" t="str">
        <f t="shared" ref="AM141" si="116">"start /low /b "&amp;dls3logs&amp;" --loco "&amp;B141&amp;" --day "&amp;TEXT(F141,"YYYY-MM-DD")</f>
        <v>start /low /b %USERPROFILE%\Documents\GitHub\eaglep3\Utilities\DownloadLogsFromS3.py --loco 4025 --day 2017-11-29</v>
      </c>
      <c r="AN141" s="242" t="str">
        <f t="shared" ref="AN141" si="117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04:04:38"},{"id":29,"name":"Sharepoint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1" t="str">
        <f t="shared" ref="AO141" si="118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Message%20ID',Summary),filters:!(),index:'emp_*',interval:auto,query:"&amp;"(query_string:(analyze_wildcard:!t,query:'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-11-29T18:23:28-0700',mode:absolute,to:'2017-11-29T22:04:38-0700'))&amp;_a=(columns:!('Message%20ID',Summary),filters:!(),index:'emp_*',interval:auto,query:(query_string:(analyze_wildcard:!t,query:'%22rtdc.l.rtdc.4025%22')),sort:!(Time.ISO8601,asc))</v>
      </c>
    </row>
    <row r="142" spans="1:91" s="20" customFormat="1" x14ac:dyDescent="0.25">
      <c r="A142" s="230" t="s">
        <v>846</v>
      </c>
      <c r="B142" s="226">
        <v>4002</v>
      </c>
      <c r="C142" s="228" t="s">
        <v>192</v>
      </c>
      <c r="D142" s="228" t="s">
        <v>920</v>
      </c>
      <c r="E142" s="227">
        <v>43068.830428240741</v>
      </c>
      <c r="F142" s="227">
        <v>43068.833703703705</v>
      </c>
      <c r="G142" s="226">
        <v>73</v>
      </c>
      <c r="H142" s="228" t="s">
        <v>445</v>
      </c>
      <c r="I142" s="227">
        <v>43068.857754629629</v>
      </c>
      <c r="J142" s="226">
        <v>0</v>
      </c>
      <c r="K142" s="238" t="str">
        <f t="shared" si="93"/>
        <v>4001/4002</v>
      </c>
      <c r="L142" s="246" t="str">
        <f>VLOOKUP(A142,'Trips&amp;Operators'!$C$1:$G$99911,5,FALSE)</f>
        <v>LOZA FIDEL</v>
      </c>
      <c r="M142" s="225">
        <f t="shared" si="94"/>
        <v>2.4050925923802424E-2</v>
      </c>
      <c r="N142" s="226">
        <f t="shared" si="103"/>
        <v>34.633333330275491</v>
      </c>
      <c r="O142" s="226"/>
      <c r="P142" s="226"/>
      <c r="Q142" s="229"/>
      <c r="R142" s="243"/>
      <c r="S142" s="250">
        <f t="shared" si="95"/>
        <v>1</v>
      </c>
      <c r="T142" s="243" t="str">
        <f t="shared" si="96"/>
        <v>NorthBound</v>
      </c>
      <c r="U142" s="24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9" t="str">
        <f t="shared" si="111"/>
        <v>https://d0f6bd738d7f1b3e5a7ca70fe4ff75f0.us-east-1.aws.found.io/app/kibana#/discover/Steve-Slow-Train-Analysis-(2080s-and-2083s)?_g=(refreshInterval:(display:Off,pause:!f,section:0,value:0),time:(from:'2017-11-29T18:55:49-0700',mode:absolute,to:'2017-11-29T21:35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2" s="248" t="str">
        <f>IF(AA142&lt;VLOOKUP(AG142,Variables!$AC$3:$AD$8,2,FALSE),"Y","N")</f>
        <v>N</v>
      </c>
      <c r="X142" s="248">
        <f t="shared" si="110"/>
        <v>1</v>
      </c>
      <c r="Y142" s="248">
        <f t="shared" ref="Y142:Y150" si="119">RIGHT(D142,LEN(D142)-4)/10000</f>
        <v>5.04E-2</v>
      </c>
      <c r="Z142" s="248">
        <f t="shared" ref="Z142:Z150" si="120">RIGHT(H142,LEN(H142)-4)/10000</f>
        <v>23.327999999999999</v>
      </c>
      <c r="AA142" s="248">
        <f t="shared" si="99"/>
        <v>23.2776</v>
      </c>
      <c r="AB142" s="234" t="e">
        <f>VLOOKUP(A142,Enforcements!$C$7:$K$9,8,0)</f>
        <v>#N/A</v>
      </c>
      <c r="AC142" s="233" t="e">
        <f>VLOOKUP(A142,Enforcements!$C$7:$E$9,3,0)</f>
        <v>#N/A</v>
      </c>
      <c r="AD142" s="244">
        <f t="shared" si="100"/>
        <v>225</v>
      </c>
      <c r="AE142" s="236" t="str">
        <f t="shared" si="112"/>
        <v>aws s3 cp s3://rtdc.mdm.uploadarchive.raw/RTDC4002/ "%USERPROFILE%\AppData\Local\Temp\OnboardLogs"\RTDC4002\2017-11-29 --exclude "*" --recursive --include "*20171129*" &amp; "%USERPROFILE%\Documents\GitHub\mrs-test-scripts\Headless Mode &amp; Sideloading\WalkAndUnGZ.bat" "%USERPROFILE%\AppData\Local\Temp\OnboardLogs"\RTDC4002\2017-11-29 &amp; aws s3 cp s3://rtdc.mdm.uploadarchive.raw/RTDC4002/ "%USERPROFILE%\AppData\Local\Temp\OnboardLogs"\RTDC4002\2017-11-30 --exclude "*" --recursive --include "*20171130*" &amp; "%USERPROFILE%\Documents\GitHub\mrs-test-scripts\Headless Mode &amp; Sideloading\WalkAndUnGZ.bat" "%USERPROFILE%\AppData\Local\Temp\OnboardLogs"\RTDC4002\2017-11-30</v>
      </c>
      <c r="AF142" s="235" t="str">
        <f t="shared" si="113"/>
        <v>"C:\Program Files (x86)\AstroGrep\AstroGrep.exe" /e /r /s /spath="%USERPROFILE%\AppData\Local\Temp\OnboardLogs" /stypes="app*4002*20171130*" /stext=" 03:.+((SYSTEM_STATE.+slice.+state.+changed )|(ment ac)|(multiple cpu faults)|(system.+state.+changed )|(\[timeout)|(PRM\|1\|D)|(kpr)|(kdp)|(train st.+moving)|(\|lc)|(penalty))"</v>
      </c>
      <c r="AG142" s="245" t="str">
        <f t="shared" si="101"/>
        <v>EC</v>
      </c>
      <c r="AH142" s="237" t="str">
        <f t="shared" si="60"/>
        <v>"%USERPROFILE%\Documents\GitHub\eaglep3\Utilities\RefineRTDCRunTimes.py" --tripid 225-29 --locoid 4002 --swversion DE.1.0.9.0 --startMP 204:504 --initTime 2017-11-29T19:55:49 --startdatetime 2017-11-29T20:00:32 --delay 73 --endMP 204:233280 --enddatetime 2017-11-29T20:35:10 --enforcementcount 0 &gt;&gt;%USERPROFILE%\Documents\GitHub\eaglep3-reporting\EC\2017-11-29-refined-times.txt</v>
      </c>
      <c r="AI142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{"issue":{"subject":"","project_id":79,"tracker_id":40,"status_id":1,"priority_id":2,"assigned_to_id":338,"start_date":"2017-11-29","description":"","custom_fields":[{"id":1,"name":"Subdivision","value":"EC"},{"id":4,"name":"Milepost","value":"23.328"},{"id":17,"name":"Train ID","value":"225-29"},{"id":16,"name":"Locomotive ID","value":"4002"},{"id":130,"name":"Impact","value":""},{"id":150,"name":"Time of Event (Mountain Time)","value":"20:35:10"},{"id":151,"name":"Denver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224"/>
      <c r="AK142" s="232"/>
      <c r="AL142" s="232"/>
      <c r="AM142" s="241" t="str">
        <f t="shared" si="62"/>
        <v>start /low /b %USERPROFILE%\Documents\GitHub\eaglep3\Utilities\DownloadLogsFromS3.py --loco 4002 --day 2017-11-29</v>
      </c>
      <c r="AN142" s="242" t="str">
        <f t="shared" si="6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03:35:10"},{"id":29,"name":"Sharepoint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1" t="str">
        <f t="shared" si="64"/>
        <v>https://d0f6bd738d7f1b3e5a7ca70fe4ff75f0.us-east-1.aws.found.io/app/kibana#/discover/Steve-Slow-Train-Analysis-(2080s-and-2083s)?_g=(refreshInterval:(display:Off,pause:!f,section:0,value:0),time:(from:'2017-11-29T18:55:49-0700',mode:absolute,to:'2017-11-29T21:35:10-0700'))&amp;_a=(columns:!('Message%20ID',Summary),filters:!(),index:'emp_*',interval:auto,query:(query_string:(analyze_wildcard:!t,query:'%22rtdc.l.rtdc.4002%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230" t="s">
        <v>851</v>
      </c>
      <c r="B143" s="226">
        <v>4001</v>
      </c>
      <c r="C143" s="228" t="s">
        <v>192</v>
      </c>
      <c r="D143" s="228" t="s">
        <v>877</v>
      </c>
      <c r="E143" s="227">
        <v>43068.87090277778</v>
      </c>
      <c r="F143" s="227">
        <v>43068.873136574075</v>
      </c>
      <c r="G143" s="226">
        <v>62</v>
      </c>
      <c r="H143" s="228" t="s">
        <v>428</v>
      </c>
      <c r="I143" s="227">
        <v>43068.899664351855</v>
      </c>
      <c r="J143" s="226">
        <v>0</v>
      </c>
      <c r="K143" s="238" t="str">
        <f t="shared" si="93"/>
        <v>4001/4002</v>
      </c>
      <c r="L143" s="246" t="str">
        <f>VLOOKUP(A143,'Trips&amp;Operators'!$C$1:$G$99911,5,FALSE)</f>
        <v>LOZA FIDEL</v>
      </c>
      <c r="M143" s="225">
        <f t="shared" si="94"/>
        <v>2.6527777779847383E-2</v>
      </c>
      <c r="N143" s="226">
        <f t="shared" si="103"/>
        <v>38.200000002980232</v>
      </c>
      <c r="O143" s="226"/>
      <c r="P143" s="226"/>
      <c r="Q143" s="229"/>
      <c r="R143" s="243"/>
      <c r="S143" s="250">
        <f t="shared" si="95"/>
        <v>1</v>
      </c>
      <c r="T143" s="243" t="str">
        <f t="shared" si="96"/>
        <v>Southbound</v>
      </c>
      <c r="U143" s="24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9" t="str">
        <f t="shared" si="111"/>
        <v>https://d0f6bd738d7f1b3e5a7ca70fe4ff75f0.us-east-1.aws.found.io/app/kibana#/discover/Steve-Slow-Train-Analysis-(2080s-and-2083s)?_g=(refreshInterval:(display:Off,pause:!f,section:0,value:0),time:(from:'2017-11-29T19:54:06-0700',mode:absolute,to:'2017-11-29T22:35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3" s="248" t="str">
        <f>IF(AA143&lt;VLOOKUP(AG143,Variables!$AC$3:$AD$8,2,FALSE),"Y","N")</f>
        <v>N</v>
      </c>
      <c r="X143" s="248">
        <f t="shared" si="110"/>
        <v>1</v>
      </c>
      <c r="Y143" s="248">
        <f t="shared" si="119"/>
        <v>23.295300000000001</v>
      </c>
      <c r="Z143" s="248">
        <f t="shared" si="120"/>
        <v>2.12E-2</v>
      </c>
      <c r="AA143" s="248">
        <f t="shared" si="99"/>
        <v>23.274100000000001</v>
      </c>
      <c r="AB143" s="234" t="e">
        <f>VLOOKUP(A143,Enforcements!$C$7:$K$9,8,0)</f>
        <v>#N/A</v>
      </c>
      <c r="AC143" s="233" t="e">
        <f>VLOOKUP(A143,Enforcements!$C$7:$E$9,3,0)</f>
        <v>#N/A</v>
      </c>
      <c r="AD143" s="244">
        <f t="shared" si="100"/>
        <v>226</v>
      </c>
      <c r="AE143" s="236" t="str">
        <f t="shared" si="112"/>
        <v>aws s3 cp s3://rtdc.mdm.uploadarchive.raw/RTDC4001/ "%USERPROFILE%\AppData\Local\Temp\OnboardLogs"\RTDC4001\2017-11-29 --exclude "*" --recursive --include "*20171129*" &amp; "%USERPROFILE%\Documents\GitHub\mrs-test-scripts\Headless Mode &amp; Sideloading\WalkAndUnGZ.bat" "%USERPROFILE%\AppData\Local\Temp\OnboardLogs"\RTDC4001\2017-11-29 &amp; aws s3 cp s3://rtdc.mdm.uploadarchive.raw/RTDC4001/ "%USERPROFILE%\AppData\Local\Temp\OnboardLogs"\RTDC4001\2017-11-30 --exclude "*" --recursive --include "*20171130*" &amp; "%USERPROFILE%\Documents\GitHub\mrs-test-scripts\Headless Mode &amp; Sideloading\WalkAndUnGZ.bat" "%USERPROFILE%\AppData\Local\Temp\OnboardLogs"\RTDC4001\2017-11-30</v>
      </c>
      <c r="AF143" s="235" t="str">
        <f t="shared" si="113"/>
        <v>"C:\Program Files (x86)\AstroGrep\AstroGrep.exe" /e /r /s /spath="%USERPROFILE%\AppData\Local\Temp\OnboardLogs" /stypes="app*4001*20171130*" /stext=" 04:.+((SYSTEM_STATE.+slice.+state.+changed )|(ment ac)|(multiple cpu faults)|(system.+state.+changed )|(\[timeout)|(PRM\|1\|D)|(kpr)|(kdp)|(train st.+moving)|(\|lc)|(penalty))"</v>
      </c>
      <c r="AG143" s="245" t="str">
        <f t="shared" si="101"/>
        <v>EC</v>
      </c>
      <c r="AH143" s="237" t="str">
        <f t="shared" si="60"/>
        <v>"%USERPROFILE%\Documents\GitHub\eaglep3\Utilities\RefineRTDCRunTimes.py" --tripid 226-29 --locoid 4001 --swversion DE.1.0.9.0 --startMP 204:232953 --initTime 2017-11-29T20:54:06 --startdatetime 2017-11-29T20:57:19 --delay 62 --endMP 204:212 --enddatetime 2017-11-29T21:35:31 --enforcementcount 0 &gt;&gt;%USERPROFILE%\Documents\GitHub\eaglep3-reporting\EC\2017-11-29-refined-times.txt</v>
      </c>
      <c r="AI143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{"issue":{"subject":"","project_id":79,"tracker_id":40,"status_id":1,"priority_id":2,"assigned_to_id":338,"start_date":"2017-11-29","description":"","custom_fields":[{"id":1,"name":"Subdivision","value":"EC"},{"id":4,"name":"Milepost","value":"0.0212"},{"id":17,"name":"Train ID","value":"226-29"},{"id":16,"name":"Locomotive ID","value":"4001"},{"id":130,"name":"Impact","value":""},{"id":150,"name":"Time of Event (Mountain Time)","value":"21:35:31"},{"id":151,"name":"Denver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3" s="224"/>
      <c r="AK143" s="232"/>
      <c r="AL143" s="232"/>
      <c r="AM143" s="241" t="str">
        <f t="shared" si="62"/>
        <v>start /low /b %USERPROFILE%\Documents\GitHub\eaglep3\Utilities\DownloadLogsFromS3.py --loco 4001 --day 2017-11-29</v>
      </c>
      <c r="AN143" s="242" t="str">
        <f t="shared" si="6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04:35:31"},{"id":29,"name":"Sharepoint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1" t="str">
        <f t="shared" si="64"/>
        <v>https://d0f6bd738d7f1b3e5a7ca70fe4ff75f0.us-east-1.aws.found.io/app/kibana#/discover/Steve-Slow-Train-Analysis-(2080s-and-2083s)?_g=(refreshInterval:(display:Off,pause:!f,section:0,value:0),time:(from:'2017-11-29T19:54:06-0700',mode:absolute,to:'2017-11-29T22:35:31-0700'))&amp;_a=(columns:!('Message%20ID',Summary),filters:!(),index:'emp_*',interval:auto,query:(query_string:(analyze_wildcard:!t,query:'%22rtdc.l.rtdc.4001%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230" t="s">
        <v>848</v>
      </c>
      <c r="B144" s="226">
        <v>4006</v>
      </c>
      <c r="C144" s="228" t="s">
        <v>192</v>
      </c>
      <c r="D144" s="228" t="s">
        <v>420</v>
      </c>
      <c r="E144" s="227">
        <v>43068.850636574076</v>
      </c>
      <c r="F144" s="227">
        <v>43068.854583333334</v>
      </c>
      <c r="G144" s="226">
        <v>67</v>
      </c>
      <c r="H144" s="228" t="s">
        <v>966</v>
      </c>
      <c r="I144" s="227">
        <v>43068.880798611113</v>
      </c>
      <c r="J144" s="226">
        <v>0</v>
      </c>
      <c r="K144" s="238" t="str">
        <f t="shared" si="93"/>
        <v>4005/4006</v>
      </c>
      <c r="L144" s="246" t="str">
        <f>VLOOKUP(A144,'Trips&amp;Operators'!$C$1:$G$99911,5,FALSE)</f>
        <v>ANDERS STEVEN</v>
      </c>
      <c r="M144" s="225">
        <f t="shared" si="94"/>
        <v>2.6215277779556345E-2</v>
      </c>
      <c r="N144" s="226">
        <f t="shared" si="103"/>
        <v>37.750000002561137</v>
      </c>
      <c r="O144" s="226"/>
      <c r="P144" s="226"/>
      <c r="Q144" s="229"/>
      <c r="R144" s="243"/>
      <c r="S144" s="250">
        <f t="shared" si="95"/>
        <v>1</v>
      </c>
      <c r="T144" s="243" t="str">
        <f t="shared" si="96"/>
        <v>NorthBound</v>
      </c>
      <c r="U144" s="24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9" t="str">
        <f t="shared" si="111"/>
        <v>https://d0f6bd738d7f1b3e5a7ca70fe4ff75f0.us-east-1.aws.found.io/app/kibana#/discover/Steve-Slow-Train-Analysis-(2080s-and-2083s)?_g=(refreshInterval:(display:Off,pause:!f,section:0,value:0),time:(from:'2017-11-29T19:24:55-0700',mode:absolute,to:'2017-11-29T22:08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4" s="248" t="str">
        <f>IF(AA144&lt;VLOOKUP(AG144,Variables!$AC$3:$AD$8,2,FALSE),"Y","N")</f>
        <v>N</v>
      </c>
      <c r="X144" s="248">
        <f t="shared" si="110"/>
        <v>1</v>
      </c>
      <c r="Y144" s="248">
        <f t="shared" si="119"/>
        <v>5.2400000000000002E-2</v>
      </c>
      <c r="Z144" s="248">
        <f t="shared" si="120"/>
        <v>23.325299999999999</v>
      </c>
      <c r="AA144" s="248">
        <f t="shared" si="99"/>
        <v>23.2729</v>
      </c>
      <c r="AB144" s="234" t="e">
        <f>VLOOKUP(A144,Enforcements!$C$7:$K$9,8,0)</f>
        <v>#N/A</v>
      </c>
      <c r="AC144" s="233" t="e">
        <f>VLOOKUP(A144,Enforcements!$C$7:$E$9,3,0)</f>
        <v>#N/A</v>
      </c>
      <c r="AD144" s="244">
        <f t="shared" si="100"/>
        <v>227</v>
      </c>
      <c r="AE144" s="236" t="str">
        <f t="shared" si="112"/>
        <v>aws s3 cp s3://rtdc.mdm.uploadarchive.raw/RTDC4006/ "%USERPROFILE%\AppData\Local\Temp\OnboardLogs"\RTDC4006\2017-11-29 --exclude "*" --recursive --include "*20171129*" &amp; "%USERPROFILE%\Documents\GitHub\mrs-test-scripts\Headless Mode &amp; Sideloading\WalkAndUnGZ.bat" "%USERPROFILE%\AppData\Local\Temp\OnboardLogs"\RTDC4006\2017-11-29 &amp; aws s3 cp s3://rtdc.mdm.uploadarchive.raw/RTDC4006/ "%USERPROFILE%\AppData\Local\Temp\OnboardLogs"\RTDC4006\2017-11-30 --exclude "*" --recursive --include "*20171130*" &amp; "%USERPROFILE%\Documents\GitHub\mrs-test-scripts\Headless Mode &amp; Sideloading\WalkAndUnGZ.bat" "%USERPROFILE%\AppData\Local\Temp\OnboardLogs"\RTDC4006\2017-11-30</v>
      </c>
      <c r="AF144" s="235" t="str">
        <f t="shared" si="113"/>
        <v>"C:\Program Files (x86)\AstroGrep\AstroGrep.exe" /e /r /s /spath="%USERPROFILE%\AppData\Local\Temp\OnboardLogs" /stypes="app*4006*20171130*" /stext=" 04:.+((SYSTEM_STATE.+slice.+state.+changed )|(ment ac)|(multiple cpu faults)|(system.+state.+changed )|(\[timeout)|(PRM\|1\|D)|(kpr)|(kdp)|(train st.+moving)|(\|lc)|(penalty))"</v>
      </c>
      <c r="AG144" s="245" t="str">
        <f t="shared" si="101"/>
        <v>EC</v>
      </c>
      <c r="AH144" s="237" t="str">
        <f t="shared" si="60"/>
        <v>"%USERPROFILE%\Documents\GitHub\eaglep3\Utilities\RefineRTDCRunTimes.py" --tripid 227-29 --locoid 4006 --swversion DE.1.0.9.0 --startMP 204:524 --initTime 2017-11-29T20:24:55 --startdatetime 2017-11-29T20:30:36 --delay 67 --endMP 204:233253 --enddatetime 2017-11-29T21:08:21 --enforcementcount 0 &gt;&gt;%USERPROFILE%\Documents\GitHub\eaglep3-reporting\EC\2017-11-29-refined-times.txt</v>
      </c>
      <c r="AI144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{"issue":{"subject":"","project_id":79,"tracker_id":40,"status_id":1,"priority_id":2,"assigned_to_id":338,"start_date":"2017-11-29","description":"","custom_fields":[{"id":1,"name":"Subdivision","value":"EC"},{"id":4,"name":"Milepost","value":"23.3253"},{"id":17,"name":"Train ID","value":"227-29"},{"id":16,"name":"Locomotive ID","value":"4006"},{"id":130,"name":"Impact","value":""},{"id":150,"name":"Time of Event (Mountain Time)","value":"21:08:21"},{"id":151,"name":"Denver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4" s="224"/>
      <c r="AK144" s="232"/>
      <c r="AL144" s="232"/>
      <c r="AM144" s="241" t="str">
        <f t="shared" si="62"/>
        <v>start /low /b %USERPROFILE%\Documents\GitHub\eaglep3\Utilities\DownloadLogsFromS3.py --loco 4006 --day 2017-11-29</v>
      </c>
      <c r="AN144" s="242" t="str">
        <f t="shared" si="6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04:08:21"},{"id":29,"name":"Sharepoint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1" t="str">
        <f t="shared" si="64"/>
        <v>https://d0f6bd738d7f1b3e5a7ca70fe4ff75f0.us-east-1.aws.found.io/app/kibana#/discover/Steve-Slow-Train-Analysis-(2080s-and-2083s)?_g=(refreshInterval:(display:Off,pause:!f,section:0,value:0),time:(from:'2017-11-29T19:24:55-0700',mode:absolute,to:'2017-11-29T22:08:21-0700'))&amp;_a=(columns:!('Message%20ID',Summary),filters:!(),index:'emp_*',interval:auto,query:(query_string:(analyze_wildcard:!t,query:'%22rtdc.l.rtdc.4006%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230" t="s">
        <v>654</v>
      </c>
      <c r="B145" s="226">
        <v>4005</v>
      </c>
      <c r="C145" s="228" t="s">
        <v>192</v>
      </c>
      <c r="D145" s="228" t="s">
        <v>967</v>
      </c>
      <c r="E145" s="227">
        <v>43068.891273148147</v>
      </c>
      <c r="F145" s="227">
        <v>43068.894143518519</v>
      </c>
      <c r="G145" s="226">
        <v>66</v>
      </c>
      <c r="H145" s="228" t="s">
        <v>506</v>
      </c>
      <c r="I145" s="227">
        <v>43068.923587962963</v>
      </c>
      <c r="J145" s="226">
        <v>0</v>
      </c>
      <c r="K145" s="238" t="str">
        <f t="shared" si="93"/>
        <v>4005/4006</v>
      </c>
      <c r="L145" s="246" t="str">
        <f>VLOOKUP(A145,'Trips&amp;Operators'!$C$1:$G$99911,5,FALSE)</f>
        <v>ANDERS STEVEN</v>
      </c>
      <c r="M145" s="225">
        <f t="shared" si="94"/>
        <v>2.9444444444379769E-2</v>
      </c>
      <c r="N145" s="226">
        <f t="shared" si="103"/>
        <v>42.399999999906868</v>
      </c>
      <c r="O145" s="226"/>
      <c r="P145" s="226"/>
      <c r="Q145" s="229"/>
      <c r="R145" s="243"/>
      <c r="S145" s="250">
        <f t="shared" si="95"/>
        <v>1</v>
      </c>
      <c r="T145" s="243" t="str">
        <f t="shared" si="96"/>
        <v>Southbound</v>
      </c>
      <c r="U145" s="24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9" t="str">
        <f t="shared" si="111"/>
        <v>https://d0f6bd738d7f1b3e5a7ca70fe4ff75f0.us-east-1.aws.found.io/app/kibana#/discover/Steve-Slow-Train-Analysis-(2080s-and-2083s)?_g=(refreshInterval:(display:Off,pause:!f,section:0,value:0),time:(from:'2017-11-29T20:23:26-0700',mode:absolute,to:'2017-11-29T23:09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5" s="248" t="str">
        <f>IF(AA145&lt;VLOOKUP(AG145,Variables!$AC$3:$AD$8,2,FALSE),"Y","N")</f>
        <v>N</v>
      </c>
      <c r="X145" s="248">
        <f t="shared" si="110"/>
        <v>1</v>
      </c>
      <c r="Y145" s="248">
        <f t="shared" si="119"/>
        <v>23.293600000000001</v>
      </c>
      <c r="Z145" s="248">
        <f t="shared" si="120"/>
        <v>2.3099999999999999E-2</v>
      </c>
      <c r="AA145" s="248">
        <f t="shared" si="99"/>
        <v>23.270500000000002</v>
      </c>
      <c r="AB145" s="234" t="e">
        <f>VLOOKUP(A145,Enforcements!$C$7:$K$9,8,0)</f>
        <v>#N/A</v>
      </c>
      <c r="AC145" s="233" t="e">
        <f>VLOOKUP(A145,Enforcements!$C$7:$E$9,3,0)</f>
        <v>#N/A</v>
      </c>
      <c r="AD145" s="244">
        <f t="shared" si="100"/>
        <v>228</v>
      </c>
      <c r="AE145" s="236" t="str">
        <f t="shared" si="112"/>
        <v>aws s3 cp s3://rtdc.mdm.uploadarchive.raw/RTDC4005/ "%USERPROFILE%\AppData\Local\Temp\OnboardLogs"\RTDC4005\2017-11-29 --exclude "*" --recursive --include "*20171129*" &amp; "%USERPROFILE%\Documents\GitHub\mrs-test-scripts\Headless Mode &amp; Sideloading\WalkAndUnGZ.bat" "%USERPROFILE%\AppData\Local\Temp\OnboardLogs"\RTDC4005\2017-11-29 &amp; aws s3 cp s3://rtdc.mdm.uploadarchive.raw/RTDC4005/ "%USERPROFILE%\AppData\Local\Temp\OnboardLogs"\RTDC4005\2017-11-30 --exclude "*" --recursive --include "*20171130*" &amp; "%USERPROFILE%\Documents\GitHub\mrs-test-scripts\Headless Mode &amp; Sideloading\WalkAndUnGZ.bat" "%USERPROFILE%\AppData\Local\Temp\OnboardLogs"\RTDC4005\2017-11-30</v>
      </c>
      <c r="AF145" s="235" t="str">
        <f t="shared" si="113"/>
        <v>"C:\Program Files (x86)\AstroGrep\AstroGrep.exe" /e /r /s /spath="%USERPROFILE%\AppData\Local\Temp\OnboardLogs" /stypes="app*4005*20171130*" /stext=" 05:.+((SYSTEM_STATE.+slice.+state.+changed )|(ment ac)|(multiple cpu faults)|(system.+state.+changed )|(\[timeout)|(PRM\|1\|D)|(kpr)|(kdp)|(train st.+moving)|(\|lc)|(penalty))"</v>
      </c>
      <c r="AG145" s="245" t="str">
        <f t="shared" si="101"/>
        <v>EC</v>
      </c>
      <c r="AH145" s="237" t="str">
        <f t="shared" si="60"/>
        <v>"%USERPROFILE%\Documents\GitHub\eaglep3\Utilities\RefineRTDCRunTimes.py" --tripid 228-29 --locoid 4005 --swversion DE.1.0.9.0 --startMP 204:232936 --initTime 2017-11-29T21:23:26 --startdatetime 2017-11-29T21:27:34 --delay 66 --endMP 204:231 --enddatetime 2017-11-29T22:09:58 --enforcementcount 0 &gt;&gt;%USERPROFILE%\Documents\GitHub\eaglep3-reporting\EC\2017-11-29-refined-times.txt</v>
      </c>
      <c r="AI145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{"issue":{"subject":"","project_id":79,"tracker_id":40,"status_id":1,"priority_id":2,"assigned_to_id":338,"start_date":"2017-11-29","description":"","custom_fields":[{"id":1,"name":"Subdivision","value":"EC"},{"id":4,"name":"Milepost","value":"0.0231"},{"id":17,"name":"Train ID","value":"228-29"},{"id":16,"name":"Locomotive ID","value":"4005"},{"id":130,"name":"Impact","value":""},{"id":150,"name":"Time of Event (Mountain Time)","value":"22:09:58"},{"id":151,"name":"Denver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5" s="224"/>
      <c r="AK145" s="232"/>
      <c r="AL145" s="232"/>
      <c r="AM145" s="241" t="str">
        <f t="shared" si="62"/>
        <v>start /low /b %USERPROFILE%\Documents\GitHub\eaglep3\Utilities\DownloadLogsFromS3.py --loco 4005 --day 2017-11-29</v>
      </c>
      <c r="AN145" s="242" t="str">
        <f t="shared" si="6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05:09:58"},{"id":29,"name":"Sharepoint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1" t="str">
        <f t="shared" si="64"/>
        <v>https://d0f6bd738d7f1b3e5a7ca70fe4ff75f0.us-east-1.aws.found.io/app/kibana#/discover/Steve-Slow-Train-Analysis-(2080s-and-2083s)?_g=(refreshInterval:(display:Off,pause:!f,section:0,value:0),time:(from:'2017-11-29T20:23:26-0700',mode:absolute,to:'2017-11-29T23:09:58-0700'))&amp;_a=(columns:!('Message%20ID',Summary),filters:!(),index:'emp_*',interval:auto,query:(query_string:(analyze_wildcard:!t,query:'%22rtdc.l.rtdc.4005%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230" t="s">
        <v>850</v>
      </c>
      <c r="B146" s="226">
        <v>4022</v>
      </c>
      <c r="C146" s="228" t="s">
        <v>192</v>
      </c>
      <c r="D146" s="228" t="s">
        <v>583</v>
      </c>
      <c r="E146" s="227">
        <v>43068.864895833336</v>
      </c>
      <c r="F146" s="227">
        <v>43068.875358796293</v>
      </c>
      <c r="G146" s="226">
        <v>67</v>
      </c>
      <c r="H146" s="228" t="s">
        <v>968</v>
      </c>
      <c r="I146" s="227">
        <v>43068.900613425925</v>
      </c>
      <c r="J146" s="226">
        <v>0</v>
      </c>
      <c r="K146" s="238" t="str">
        <f t="shared" si="93"/>
        <v>4021/4022</v>
      </c>
      <c r="L146" s="246" t="str">
        <f>VLOOKUP(A146,'Trips&amp;Operators'!$C$1:$G$99911,5,FALSE)</f>
        <v>NICHOLSON WESLEY</v>
      </c>
      <c r="M146" s="225">
        <f t="shared" si="94"/>
        <v>2.5254629632399883E-2</v>
      </c>
      <c r="N146" s="226">
        <f t="shared" si="103"/>
        <v>36.366666670655832</v>
      </c>
      <c r="O146" s="226"/>
      <c r="P146" s="226"/>
      <c r="Q146" s="229"/>
      <c r="R146" s="243"/>
      <c r="S146" s="250">
        <f t="shared" si="95"/>
        <v>1</v>
      </c>
      <c r="T146" s="243" t="str">
        <f t="shared" si="96"/>
        <v>NorthBound</v>
      </c>
      <c r="U146" s="24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9" t="str">
        <f t="shared" si="111"/>
        <v>https://d0f6bd738d7f1b3e5a7ca70fe4ff75f0.us-east-1.aws.found.io/app/kibana#/discover/Steve-Slow-Train-Analysis-(2080s-and-2083s)?_g=(refreshInterval:(display:Off,pause:!f,section:0,value:0),time:(from:'2017-11-29T19:45:27-0700',mode:absolute,to:'2017-11-29T22:36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6" s="248" t="str">
        <f>IF(AA146&lt;VLOOKUP(AG146,Variables!$AC$3:$AD$8,2,FALSE),"Y","N")</f>
        <v>N</v>
      </c>
      <c r="X146" s="248">
        <f t="shared" si="110"/>
        <v>1</v>
      </c>
      <c r="Y146" s="248">
        <f t="shared" si="119"/>
        <v>5.4399999999999997E-2</v>
      </c>
      <c r="Z146" s="248">
        <f t="shared" si="120"/>
        <v>23.317399999999999</v>
      </c>
      <c r="AA146" s="248">
        <f t="shared" si="99"/>
        <v>23.262999999999998</v>
      </c>
      <c r="AB146" s="234" t="e">
        <f>VLOOKUP(A146,Enforcements!$C$7:$K$9,8,0)</f>
        <v>#N/A</v>
      </c>
      <c r="AC146" s="233" t="e">
        <f>VLOOKUP(A146,Enforcements!$C$7:$E$9,3,0)</f>
        <v>#N/A</v>
      </c>
      <c r="AD146" s="244">
        <f t="shared" si="100"/>
        <v>229</v>
      </c>
      <c r="AE146" s="236" t="str">
        <f t="shared" si="112"/>
        <v>aws s3 cp s3://rtdc.mdm.uploadarchive.raw/RTDC4022/ "%USERPROFILE%\AppData\Local\Temp\OnboardLogs"\RTDC4022\2017-11-29 --exclude "*" --recursive --include "*20171129*" &amp; "%USERPROFILE%\Documents\GitHub\mrs-test-scripts\Headless Mode &amp; Sideloading\WalkAndUnGZ.bat" "%USERPROFILE%\AppData\Local\Temp\OnboardLogs"\RTDC4022\2017-11-29 &amp; aws s3 cp s3://rtdc.mdm.uploadarchive.raw/RTDC4022/ "%USERPROFILE%\AppData\Local\Temp\OnboardLogs"\RTDC4022\2017-11-30 --exclude "*" --recursive --include "*20171130*" &amp; "%USERPROFILE%\Documents\GitHub\mrs-test-scripts\Headless Mode &amp; Sideloading\WalkAndUnGZ.bat" "%USERPROFILE%\AppData\Local\Temp\OnboardLogs"\RTDC4022\2017-11-30</v>
      </c>
      <c r="AF146" s="235" t="str">
        <f t="shared" si="113"/>
        <v>"C:\Program Files (x86)\AstroGrep\AstroGrep.exe" /e /r /s /spath="%USERPROFILE%\AppData\Local\Temp\OnboardLogs" /stypes="app*4022*20171130*" /stext=" 04:.+((SYSTEM_STATE.+slice.+state.+changed )|(ment ac)|(multiple cpu faults)|(system.+state.+changed )|(\[timeout)|(PRM\|1\|D)|(kpr)|(kdp)|(train st.+moving)|(\|lc)|(penalty))"</v>
      </c>
      <c r="AG146" s="245" t="str">
        <f t="shared" si="101"/>
        <v>EC</v>
      </c>
      <c r="AH146" s="237" t="str">
        <f t="shared" si="60"/>
        <v>"%USERPROFILE%\Documents\GitHub\eaglep3\Utilities\RefineRTDCRunTimes.py" --tripid 229-29 --locoid 4022 --swversion DE.1.0.9.0 --startMP 204:544 --initTime 2017-11-29T20:45:27 --startdatetime 2017-11-29T21:00:31 --delay 67 --endMP 204:233174 --enddatetime 2017-11-29T21:36:53 --enforcementcount 0 &gt;&gt;%USERPROFILE%\Documents\GitHub\eaglep3-reporting\EC\2017-11-29-refined-times.txt</v>
      </c>
      <c r="AI146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{"issue":{"subject":"","project_id":79,"tracker_id":40,"status_id":1,"priority_id":2,"assigned_to_id":338,"start_date":"2017-11-29","description":"","custom_fields":[{"id":1,"name":"Subdivision","value":"EC"},{"id":4,"name":"Milepost","value":"23.3174"},{"id":17,"name":"Train ID","value":"229-29"},{"id":16,"name":"Locomotive ID","value":"4022"},{"id":130,"name":"Impact","value":""},{"id":150,"name":"Time of Event (Mountain Time)","value":"21:36:53"},{"id":151,"name":"Denver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6" s="224"/>
      <c r="AK146" s="232"/>
      <c r="AL146" s="232"/>
      <c r="AM146" s="241" t="str">
        <f t="shared" si="62"/>
        <v>start /low /b %USERPROFILE%\Documents\GitHub\eaglep3\Utilities\DownloadLogsFromS3.py --loco 4022 --day 2017-11-29</v>
      </c>
      <c r="AN146" s="242" t="str">
        <f t="shared" si="6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04:36:53"},{"id":29,"name":"Sharepoint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1" t="str">
        <f t="shared" si="64"/>
        <v>https://d0f6bd738d7f1b3e5a7ca70fe4ff75f0.us-east-1.aws.found.io/app/kibana#/discover/Steve-Slow-Train-Analysis-(2080s-and-2083s)?_g=(refreshInterval:(display:Off,pause:!f,section:0,value:0),time:(from:'2017-11-29T19:45:27-0700',mode:absolute,to:'2017-11-29T22:36:53-0700'))&amp;_a=(columns:!('Message%20ID',Summary),filters:!(),index:'emp_*',interval:auto,query:(query_string:(analyze_wildcard:!t,query:'%22rtdc.l.rtdc.4022%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230" t="s">
        <v>856</v>
      </c>
      <c r="B147" s="226">
        <v>4021</v>
      </c>
      <c r="C147" s="228" t="s">
        <v>192</v>
      </c>
      <c r="D147" s="228" t="s">
        <v>969</v>
      </c>
      <c r="E147" s="227">
        <v>43068.912708333337</v>
      </c>
      <c r="F147" s="227">
        <v>43068.915092592593</v>
      </c>
      <c r="G147" s="226">
        <v>65</v>
      </c>
      <c r="H147" s="228" t="s">
        <v>442</v>
      </c>
      <c r="I147" s="227">
        <v>43068.942013888889</v>
      </c>
      <c r="J147" s="226">
        <v>0</v>
      </c>
      <c r="K147" s="238" t="str">
        <f t="shared" si="93"/>
        <v>4021/4022</v>
      </c>
      <c r="L147" s="246" t="str">
        <f>VLOOKUP(A147,'Trips&amp;Operators'!$C$1:$G$99911,5,FALSE)</f>
        <v>NICHOLSON WESLEY</v>
      </c>
      <c r="M147" s="225">
        <f t="shared" si="94"/>
        <v>2.6921296295768116E-2</v>
      </c>
      <c r="N147" s="226">
        <f t="shared" si="103"/>
        <v>38.766666665906087</v>
      </c>
      <c r="O147" s="226"/>
      <c r="P147" s="226"/>
      <c r="Q147" s="229"/>
      <c r="R147" s="243"/>
      <c r="S147" s="250">
        <f t="shared" si="95"/>
        <v>1</v>
      </c>
      <c r="T147" s="243" t="str">
        <f t="shared" si="96"/>
        <v>Southbound</v>
      </c>
      <c r="U147" s="24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9" t="str">
        <f t="shared" si="111"/>
        <v>https://d0f6bd738d7f1b3e5a7ca70fe4ff75f0.us-east-1.aws.found.io/app/kibana#/discover/Steve-Slow-Train-Analysis-(2080s-and-2083s)?_g=(refreshInterval:(display:Off,pause:!f,section:0,value:0),time:(from:'2017-11-29T20:54:18-0700',mode:absolute,to:'2017-11-29T23:36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7" s="248" t="str">
        <f>IF(AA147&lt;VLOOKUP(AG147,Variables!$AC$3:$AD$8,2,FALSE),"Y","N")</f>
        <v>N</v>
      </c>
      <c r="X147" s="248">
        <f t="shared" si="110"/>
        <v>1</v>
      </c>
      <c r="Y147" s="248">
        <f t="shared" si="119"/>
        <v>23.287199999999999</v>
      </c>
      <c r="Z147" s="248">
        <f t="shared" si="120"/>
        <v>2.2100000000000002E-2</v>
      </c>
      <c r="AA147" s="248">
        <f t="shared" si="99"/>
        <v>23.2651</v>
      </c>
      <c r="AB147" s="234" t="e">
        <f>VLOOKUP(A147,Enforcements!$C$7:$K$9,8,0)</f>
        <v>#N/A</v>
      </c>
      <c r="AC147" s="233" t="e">
        <f>VLOOKUP(A147,Enforcements!$C$7:$E$9,3,0)</f>
        <v>#N/A</v>
      </c>
      <c r="AD147" s="244">
        <f t="shared" si="100"/>
        <v>230</v>
      </c>
      <c r="AE147" s="236" t="str">
        <f t="shared" si="112"/>
        <v>aws s3 cp s3://rtdc.mdm.uploadarchive.raw/RTDC4021/ "%USERPROFILE%\AppData\Local\Temp\OnboardLogs"\RTDC4021\2017-11-29 --exclude "*" --recursive --include "*20171129*" &amp; "%USERPROFILE%\Documents\GitHub\mrs-test-scripts\Headless Mode &amp; Sideloading\WalkAndUnGZ.bat" "%USERPROFILE%\AppData\Local\Temp\OnboardLogs"\RTDC4021\2017-11-29 &amp; aws s3 cp s3://rtdc.mdm.uploadarchive.raw/RTDC4021/ "%USERPROFILE%\AppData\Local\Temp\OnboardLogs"\RTDC4021\2017-11-30 --exclude "*" --recursive --include "*20171130*" &amp; "%USERPROFILE%\Documents\GitHub\mrs-test-scripts\Headless Mode &amp; Sideloading\WalkAndUnGZ.bat" "%USERPROFILE%\AppData\Local\Temp\OnboardLogs"\RTDC4021\2017-11-30</v>
      </c>
      <c r="AF147" s="235" t="str">
        <f t="shared" si="113"/>
        <v>"C:\Program Files (x86)\AstroGrep\AstroGrep.exe" /e /r /s /spath="%USERPROFILE%\AppData\Local\Temp\OnboardLogs" /stypes="app*4021*20171130*" /stext=" 05:.+((SYSTEM_STATE.+slice.+state.+changed )|(ment ac)|(multiple cpu faults)|(system.+state.+changed )|(\[timeout)|(PRM\|1\|D)|(kpr)|(kdp)|(train st.+moving)|(\|lc)|(penalty))"</v>
      </c>
      <c r="AG147" s="245" t="str">
        <f t="shared" si="101"/>
        <v>EC</v>
      </c>
      <c r="AH147" s="237" t="str">
        <f t="shared" si="60"/>
        <v>"%USERPROFILE%\Documents\GitHub\eaglep3\Utilities\RefineRTDCRunTimes.py" --tripid 230-29 --locoid 4021 --swversion DE.1.0.9.0 --startMP 204:232872 --initTime 2017-11-29T21:54:18 --startdatetime 2017-11-29T21:57:44 --delay 65 --endMP 204:221 --enddatetime 2017-11-29T22:36:30 --enforcementcount 0 &gt;&gt;%USERPROFILE%\Documents\GitHub\eaglep3-reporting\EC\2017-11-29-refined-times.txt</v>
      </c>
      <c r="AI147" s="239" t="str">
        <f t="shared" si="61"/>
        <v>echo {"issue":{"subject":"","project_id":79,"tracker_id":40,"status_id":1,"priority_id":2,"assigned_to_id":338,"start_date":"2017-11-29","description":"","custom_fields":[{"id":1,"name":"Subdivision","value":"EC"},{"id":4,"name":"Milepost","value":"0.0221"},{"id":17,"name":"Train ID","value":"230-29"},{"id":16,"name":"Locomotive ID","value":"4021"},{"id":130,"name":"Impact","value":""},{"id":150,"name":"Time of Event (Mountain Time)","value":"22:36:30"},{"id":151,"name":"Denver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7" s="224"/>
      <c r="AK147" s="232"/>
      <c r="AL147" s="232"/>
      <c r="AM147" s="241" t="str">
        <f t="shared" si="62"/>
        <v>start /low /b %USERPROFILE%\Documents\GitHub\eaglep3\Utilities\DownloadLogsFromS3.py --loco 4021 --day 2017-11-29</v>
      </c>
      <c r="AN147" s="242" t="str">
        <f t="shared" si="6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05:36:30"},{"id":29,"name":"Sharepoint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1" t="str">
        <f t="shared" si="64"/>
        <v>https://d0f6bd738d7f1b3e5a7ca70fe4ff75f0.us-east-1.aws.found.io/app/kibana#/discover/Steve-Slow-Train-Analysis-(2080s-and-2083s)?_g=(refreshInterval:(display:Off,pause:!f,section:0,value:0),time:(from:'2017-11-29T20:54:18-0700',mode:absolute,to:'2017-11-29T23:36:30-0700'))&amp;_a=(columns:!('Message%20ID',Summary),filters:!(),index:'emp_*',interval:auto,query:(query_string:(analyze_wildcard:!t,query:'%22rtdc.l.rtdc.4021%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230" t="s">
        <v>853</v>
      </c>
      <c r="B148" s="226">
        <v>4026</v>
      </c>
      <c r="C148" s="228" t="s">
        <v>192</v>
      </c>
      <c r="D148" s="228" t="s">
        <v>970</v>
      </c>
      <c r="E148" s="227">
        <v>43068.889930555553</v>
      </c>
      <c r="F148" s="227">
        <v>43068.896018518521</v>
      </c>
      <c r="G148" s="226">
        <v>59</v>
      </c>
      <c r="H148" s="228" t="s">
        <v>971</v>
      </c>
      <c r="I148" s="227">
        <v>43068.920405092591</v>
      </c>
      <c r="J148" s="226">
        <v>0</v>
      </c>
      <c r="K148" s="238" t="str">
        <f t="shared" si="93"/>
        <v>4025/4026</v>
      </c>
      <c r="L148" s="246" t="str">
        <f>VLOOKUP(A148,'Trips&amp;Operators'!$C$1:$G$99911,5,FALSE)</f>
        <v>RESPASS AARON</v>
      </c>
      <c r="M148" s="225">
        <f t="shared" si="94"/>
        <v>2.438657407037681E-2</v>
      </c>
      <c r="N148" s="226">
        <f t="shared" si="103"/>
        <v>35.116666661342606</v>
      </c>
      <c r="O148" s="226"/>
      <c r="P148" s="226"/>
      <c r="Q148" s="229"/>
      <c r="R148" s="243"/>
      <c r="S148" s="250">
        <f t="shared" si="95"/>
        <v>1</v>
      </c>
      <c r="T148" s="243" t="str">
        <f t="shared" si="96"/>
        <v>NorthBound</v>
      </c>
      <c r="U148" s="24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9" t="str">
        <f t="shared" si="111"/>
        <v>https://d0f6bd738d7f1b3e5a7ca70fe4ff75f0.us-east-1.aws.found.io/app/kibana#/discover/Steve-Slow-Train-Analysis-(2080s-and-2083s)?_g=(refreshInterval:(display:Off,pause:!f,section:0,value:0),time:(from:'2017-11-29T20:21:30-0700',mode:absolute,to:'2017-11-29T23:05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8" s="248" t="str">
        <f>IF(AA148&lt;VLOOKUP(AG148,Variables!$AC$3:$AD$8,2,FALSE),"Y","N")</f>
        <v>N</v>
      </c>
      <c r="X148" s="248">
        <f t="shared" si="110"/>
        <v>1</v>
      </c>
      <c r="Y148" s="248">
        <f t="shared" si="119"/>
        <v>5.6800000000000003E-2</v>
      </c>
      <c r="Z148" s="248">
        <f t="shared" si="120"/>
        <v>23.3308</v>
      </c>
      <c r="AA148" s="248">
        <f t="shared" si="99"/>
        <v>23.274000000000001</v>
      </c>
      <c r="AB148" s="234" t="e">
        <f>VLOOKUP(A148,Enforcements!$C$7:$K$9,8,0)</f>
        <v>#N/A</v>
      </c>
      <c r="AC148" s="233" t="e">
        <f>VLOOKUP(A148,Enforcements!$C$7:$E$9,3,0)</f>
        <v>#N/A</v>
      </c>
      <c r="AD148" s="244">
        <f t="shared" si="100"/>
        <v>231</v>
      </c>
      <c r="AE148" s="236" t="str">
        <f t="shared" si="112"/>
        <v>aws s3 cp s3://rtdc.mdm.uploadarchive.raw/RTDC4026/ "%USERPROFILE%\AppData\Local\Temp\OnboardLogs"\RTDC4026\2017-11-29 --exclude "*" --recursive --include "*20171129*" &amp; "%USERPROFILE%\Documents\GitHub\mrs-test-scripts\Headless Mode &amp; Sideloading\WalkAndUnGZ.bat" "%USERPROFILE%\AppData\Local\Temp\OnboardLogs"\RTDC4026\2017-11-29 &amp; aws s3 cp s3://rtdc.mdm.uploadarchive.raw/RTDC4026/ "%USERPROFILE%\AppData\Local\Temp\OnboardLogs"\RTDC4026\2017-11-30 --exclude "*" --recursive --include "*20171130*" &amp; "%USERPROFILE%\Documents\GitHub\mrs-test-scripts\Headless Mode &amp; Sideloading\WalkAndUnGZ.bat" "%USERPROFILE%\AppData\Local\Temp\OnboardLogs"\RTDC4026\2017-11-30</v>
      </c>
      <c r="AF148" s="235" t="str">
        <f t="shared" si="113"/>
        <v>"C:\Program Files (x86)\AstroGrep\AstroGrep.exe" /e /r /s /spath="%USERPROFILE%\AppData\Local\Temp\OnboardLogs" /stypes="app*4026*20171130*" /stext=" 05:.+((SYSTEM_STATE.+slice.+state.+changed )|(ment ac)|(multiple cpu faults)|(system.+state.+changed )|(\[timeout)|(PRM\|1\|D)|(kpr)|(kdp)|(train st.+moving)|(\|lc)|(penalty))"</v>
      </c>
      <c r="AG148" s="245" t="str">
        <f t="shared" si="101"/>
        <v>EC</v>
      </c>
      <c r="AH148" s="237" t="str">
        <f t="shared" ref="AH148:AH214" si="121">refinertdcruntimes&amp;" --tripid "&amp;A148&amp;" --locoid "&amp;B148&amp;" --swversion "&amp;C148&amp;" --startMP "&amp;D148&amp;" --initTime "&amp;TEXT(E148,"yyyy-mm-ddTHH:MM:SS")&amp;" --startdatetime "&amp;TEXT(F148,"yyyy-mm-ddTHH:MM:SS")&amp;" --delay "&amp;G148&amp;" --endMP "&amp;H148&amp;" --enddatetime "&amp;TEXT(I148,"yyyy-mm-ddTHH:MM:SS")&amp;" --enforcementcount "&amp;J148&amp;IF(outputrefinedruntimes," &gt;&gt;"&amp;RefinedRTDCRunTimesOutputFile,"")</f>
        <v>"%USERPROFILE%\Documents\GitHub\eaglep3\Utilities\RefineRTDCRunTimes.py" --tripid 231-29 --locoid 4026 --swversion DE.1.0.9.0 --startMP 204:568 --initTime 2017-11-29T21:21:30 --startdatetime 2017-11-29T21:30:16 --delay 59 --endMP 204:233308 --enddatetime 2017-11-29T22:05:23 --enforcementcount 0 &gt;&gt;%USERPROFILE%\Documents\GitHub\eaglep3-reporting\EC\2017-11-29-refined-times.txt</v>
      </c>
      <c r="AI148" s="239" t="str">
        <f t="shared" ref="AI148:AI214" si="122">"echo {""issue"":{""subject"":"""&amp;R148&amp;""",""project_id"":79,""tracker_id"":40,""status_id"":"&amp;redmine_status&amp;",""priority_id"":"&amp;redmine_priority&amp;",""assigned_to_id"":"&amp;redmine_assignee&amp;",""start_date"":"""&amp;TEXT(I148,"YYYY-mm-dd")&amp;""",""description"":"""&amp;AJ148&amp;""",""custom_fields"":[{""id"":1,""name"":""Subdivision"",""value"":"""&amp;AG148&amp;"""},{""id"":4,""name"":""Milepost"",""value"":"""&amp;Z148&amp;"""},{""id"":17,""name"":""Train ID"",""value"":"""&amp;A148&amp;"""},{""id"":16,""name"":""Locomotive ID"",""value"":"""&amp;B148&amp;"""},{""id"":130,""name"":""Impact"",""value"":"""&amp;AK148&amp;"""},{""id"":150,""name"":""Time of Event (Mountain Time)"",""value"":"""&amp;TEXT(I148,"hh:mm:ss")&amp;"""},{""id"":151,""name"":""Denver Issue ID"",""value"":"""&amp;"""},{""id"":178,""name"":""Operational Impact"",""value"":"""&amp;redmine_op_impact&amp;"""},{""id"":179,""name"":""Denver Segment Assigned"",""value"":"""&amp;AL148&amp;"""}]}}"&amp;"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{"issue":{"subject":"","project_id":79,"tracker_id":40,"status_id":1,"priority_id":2,"assigned_to_id":338,"start_date":"2017-11-29","description":"","custom_fields":[{"id":1,"name":"Subdivision","value":"EC"},{"id":4,"name":"Milepost","value":"23.3308"},{"id":17,"name":"Train ID","value":"231-29"},{"id":16,"name":"Locomotive ID","value":"4026"},{"id":130,"name":"Impact","value":""},{"id":150,"name":"Time of Event (Mountain Time)","value":"22:05:23"},{"id":151,"name":"Denver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8" s="224"/>
      <c r="AK148" s="232"/>
      <c r="AL148" s="232"/>
      <c r="AM148" s="241" t="str">
        <f t="shared" ref="AM148:AM214" si="123">"start /low /b "&amp;dls3logs&amp;" --loco "&amp;B148&amp;" --day "&amp;TEXT(F148,"YYYY-MM-DD")</f>
        <v>start /low /b %USERPROFILE%\Documents\GitHub\eaglep3\Utilities\DownloadLogsFromS3.py --loco 4026 --day 2017-11-29</v>
      </c>
      <c r="AN148" s="242" t="str">
        <f t="shared" ref="AN148:AN214" si="124">"echo {""issue"":{""subject"":"""&amp;R148&amp;""",""project_id"":30,""tracker_id"":4,""status_id"":"&amp;redmine_status_wcr&amp;",""priority_id"":"&amp;redmine_priority_wcr&amp;",""assigned_to_id"":"&amp;redmine_assignee_wcr&amp;",""start_date"":"""&amp;TEXT(I148-utc_offset/24,"YYYY-mm-dd")&amp;""",""description"":"""&amp;AJ148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05:05:23"},{"id":29,"name":"Sharepoint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1" t="str">
        <f t="shared" ref="AO148:AO214" si="125"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Message%20ID',Summary),filters:!(),index:'emp_*',interval:auto,query:"&amp;"(query_string:(analyze_wildcard:!t,query:'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-11-29T20:21:30-0700',mode:absolute,to:'2017-11-29T23:05:23-0700'))&amp;_a=(columns:!('Message%20ID',Summary),filters:!(),index:'emp_*',interval:auto,query:(query_string:(analyze_wildcard:!t,query:'%22rtdc.l.rtdc.4026%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230" t="s">
        <v>858</v>
      </c>
      <c r="B149" s="226">
        <v>4025</v>
      </c>
      <c r="C149" s="228" t="s">
        <v>192</v>
      </c>
      <c r="D149" s="228" t="s">
        <v>972</v>
      </c>
      <c r="E149" s="227">
        <v>43068.932442129626</v>
      </c>
      <c r="F149" s="227">
        <v>43068.935787037037</v>
      </c>
      <c r="G149" s="226">
        <v>65</v>
      </c>
      <c r="H149" s="228" t="s">
        <v>928</v>
      </c>
      <c r="I149" s="227">
        <v>43068.962569444448</v>
      </c>
      <c r="J149" s="226">
        <v>0</v>
      </c>
      <c r="K149" s="238" t="str">
        <f t="shared" si="93"/>
        <v>4025/4026</v>
      </c>
      <c r="L149" s="246" t="str">
        <f>VLOOKUP(A149,'Trips&amp;Operators'!$C$1:$G$99911,5,FALSE)</f>
        <v>RESPASS AARON</v>
      </c>
      <c r="M149" s="225">
        <f t="shared" si="94"/>
        <v>2.6782407410792075E-2</v>
      </c>
      <c r="N149" s="226">
        <f t="shared" si="103"/>
        <v>38.566666671540588</v>
      </c>
      <c r="O149" s="226"/>
      <c r="P149" s="226"/>
      <c r="Q149" s="229"/>
      <c r="R149" s="243"/>
      <c r="S149" s="250">
        <f t="shared" si="95"/>
        <v>1</v>
      </c>
      <c r="T149" s="243" t="str">
        <f t="shared" si="96"/>
        <v>Southbound</v>
      </c>
      <c r="U149" s="24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9" t="str">
        <f t="shared" si="111"/>
        <v>https://d0f6bd738d7f1b3e5a7ca70fe4ff75f0.us-east-1.aws.found.io/app/kibana#/discover/Steve-Slow-Train-Analysis-(2080s-and-2083s)?_g=(refreshInterval:(display:Off,pause:!f,section:0,value:0),time:(from:'2017-11-29T21:22:43-0700',mode:absolute,to:'2017-11-30T00:06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9" s="248" t="str">
        <f>IF(AA149&lt;VLOOKUP(AG149,Variables!$AC$3:$AD$8,2,FALSE),"Y","N")</f>
        <v>N</v>
      </c>
      <c r="X149" s="248">
        <f t="shared" si="110"/>
        <v>1</v>
      </c>
      <c r="Y149" s="248">
        <f t="shared" si="119"/>
        <v>23.297000000000001</v>
      </c>
      <c r="Z149" s="248">
        <f t="shared" si="120"/>
        <v>2.8199999999999999E-2</v>
      </c>
      <c r="AA149" s="248">
        <f t="shared" si="99"/>
        <v>23.268800000000002</v>
      </c>
      <c r="AB149" s="234" t="e">
        <f>VLOOKUP(A149,Enforcements!$C$7:$K$9,8,0)</f>
        <v>#N/A</v>
      </c>
      <c r="AC149" s="233" t="e">
        <f>VLOOKUP(A149,Enforcements!$C$7:$E$9,3,0)</f>
        <v>#N/A</v>
      </c>
      <c r="AD149" s="244">
        <f t="shared" si="100"/>
        <v>232</v>
      </c>
      <c r="AE149" s="236" t="str">
        <f t="shared" si="112"/>
        <v>aws s3 cp s3://rtdc.mdm.uploadarchive.raw/RTDC4025/ "%USERPROFILE%\AppData\Local\Temp\OnboardLogs"\RTDC4025\2017-11-29 --exclude "*" --recursive --include "*20171129*" &amp; "%USERPROFILE%\Documents\GitHub\mrs-test-scripts\Headless Mode &amp; Sideloading\WalkAndUnGZ.bat" "%USERPROFILE%\AppData\Local\Temp\OnboardLogs"\RTDC4025\2017-11-29 &amp; aws s3 cp s3://rtdc.mdm.uploadarchive.raw/RTDC4025/ "%USERPROFILE%\AppData\Local\Temp\OnboardLogs"\RTDC4025\2017-11-30 --exclude "*" --recursive --include "*20171130*" &amp; "%USERPROFILE%\Documents\GitHub\mrs-test-scripts\Headless Mode &amp; Sideloading\WalkAndUnGZ.bat" "%USERPROFILE%\AppData\Local\Temp\OnboardLogs"\RTDC4025\2017-11-30</v>
      </c>
      <c r="AF149" s="235" t="str">
        <f t="shared" si="113"/>
        <v>"C:\Program Files (x86)\AstroGrep\AstroGrep.exe" /e /r /s /spath="%USERPROFILE%\AppData\Local\Temp\OnboardLogs" /stypes="app*4025*20171130*" /stext=" 06:.+((SYSTEM_STATE.+slice.+state.+changed )|(ment ac)|(multiple cpu faults)|(system.+state.+changed )|(\[timeout)|(PRM\|1\|D)|(kpr)|(kdp)|(train st.+moving)|(\|lc)|(penalty))"</v>
      </c>
      <c r="AG149" s="245" t="str">
        <f t="shared" si="101"/>
        <v>EC</v>
      </c>
      <c r="AH149" s="237" t="str">
        <f t="shared" si="121"/>
        <v>"%USERPROFILE%\Documents\GitHub\eaglep3\Utilities\RefineRTDCRunTimes.py" --tripid 232-29 --locoid 4025 --swversion DE.1.0.9.0 --startMP 204:232970 --initTime 2017-11-29T22:22:43 --startdatetime 2017-11-29T22:27:32 --delay 65 --endMP 204:282 --enddatetime 2017-11-29T23:06:06 --enforcementcount 0 &gt;&gt;%USERPROFILE%\Documents\GitHub\eaglep3-reporting\EC\2017-11-29-refined-times.txt</v>
      </c>
      <c r="AI149" s="239" t="str">
        <f t="shared" si="122"/>
        <v>echo {"issue":{"subject":"","project_id":79,"tracker_id":40,"status_id":1,"priority_id":2,"assigned_to_id":338,"start_date":"2017-11-29","description":"","custom_fields":[{"id":1,"name":"Subdivision","value":"EC"},{"id":4,"name":"Milepost","value":"0.0282"},{"id":17,"name":"Train ID","value":"232-29"},{"id":16,"name":"Locomotive ID","value":"4025"},{"id":130,"name":"Impact","value":""},{"id":150,"name":"Time of Event (Mountain Time)","value":"23:06:06"},{"id":151,"name":"Denver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9" s="224"/>
      <c r="AK149" s="232"/>
      <c r="AL149" s="232"/>
      <c r="AM149" s="241" t="str">
        <f t="shared" si="123"/>
        <v>start /low /b %USERPROFILE%\Documents\GitHub\eaglep3\Utilities\DownloadLogsFromS3.py --loco 4025 --day 2017-11-29</v>
      </c>
      <c r="AN149" s="242" t="str">
        <f t="shared" si="124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06:06:06"},{"id":29,"name":"Sharepoint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1" t="str">
        <f t="shared" si="125"/>
        <v>https://d0f6bd738d7f1b3e5a7ca70fe4ff75f0.us-east-1.aws.found.io/app/kibana#/discover/Steve-Slow-Train-Analysis-(2080s-and-2083s)?_g=(refreshInterval:(display:Off,pause:!f,section:0,value:0),time:(from:'2017-11-29T21:22:43-0700',mode:absolute,to:'2017-11-30T00:06:06-0700'))&amp;_a=(columns:!('Message%20ID',Summary),filters:!(),index:'emp_*',interval:auto,query:(query_string:(analyze_wildcard:!t,query:'%22rtdc.l.rtdc.4025%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230" t="s">
        <v>855</v>
      </c>
      <c r="B150" s="226">
        <v>4002</v>
      </c>
      <c r="C150" s="228" t="s">
        <v>192</v>
      </c>
      <c r="D150" s="228" t="s">
        <v>414</v>
      </c>
      <c r="E150" s="227">
        <v>43068.90421296296</v>
      </c>
      <c r="F150" s="227">
        <v>43068.917013888888</v>
      </c>
      <c r="G150" s="226">
        <v>98</v>
      </c>
      <c r="H150" s="228" t="s">
        <v>587</v>
      </c>
      <c r="I150" s="227">
        <v>43068.940567129626</v>
      </c>
      <c r="J150" s="226">
        <v>0</v>
      </c>
      <c r="K150" s="238" t="str">
        <f t="shared" ref="K150:K181" si="126">IF(ISEVEN(B150),(B150-1)&amp;"/"&amp;B150,B150&amp;"/"&amp;(B150+1))</f>
        <v>4001/4002</v>
      </c>
      <c r="L150" s="246" t="str">
        <f>VLOOKUP(A150,'Trips&amp;Operators'!$C$1:$G$99911,5,FALSE)</f>
        <v>LOZA FIDEL</v>
      </c>
      <c r="M150" s="225">
        <f t="shared" ref="M150:M181" si="127">I150-F150</f>
        <v>2.3553240738692693E-2</v>
      </c>
      <c r="N150" s="226">
        <f t="shared" si="103"/>
        <v>33.916666663717479</v>
      </c>
      <c r="O150" s="226"/>
      <c r="P150" s="226"/>
      <c r="Q150" s="229"/>
      <c r="R150" s="243"/>
      <c r="S150" s="250">
        <f t="shared" ref="S150:S181" si="128">1/IF(AG150="EC",12,1)*SUM(U150:U150)</f>
        <v>1</v>
      </c>
      <c r="T150" s="243" t="str">
        <f t="shared" ref="T150:T181" si="129">IF(ISEVEN(LEFT(AD150,4)),"Southbound","NorthBound")</f>
        <v>NorthBound</v>
      </c>
      <c r="U150" s="24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9" t="str">
        <f t="shared" si="111"/>
        <v>https://d0f6bd738d7f1b3e5a7ca70fe4ff75f0.us-east-1.aws.found.io/app/kibana#/discover/Steve-Slow-Train-Analysis-(2080s-and-2083s)?_g=(refreshInterval:(display:Off,pause:!f,section:0,value:0),time:(from:'2017-11-29T20:42:04-0700',mode:absolute,to:'2017-11-29T23:34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0" s="248" t="str">
        <f>IF(AA150&lt;VLOOKUP(AG150,Variables!$AC$3:$AD$8,2,FALSE),"Y","N")</f>
        <v>N</v>
      </c>
      <c r="X150" s="248">
        <f t="shared" si="110"/>
        <v>1</v>
      </c>
      <c r="Y150" s="248">
        <f t="shared" si="119"/>
        <v>5.28E-2</v>
      </c>
      <c r="Z150" s="248">
        <f t="shared" si="120"/>
        <v>23.3247</v>
      </c>
      <c r="AA150" s="248">
        <f t="shared" ref="AA150:AA181" si="130">ABS(Z150-Y150)</f>
        <v>23.271899999999999</v>
      </c>
      <c r="AB150" s="234" t="e">
        <f>VLOOKUP(A150,Enforcements!$C$7:$K$9,8,0)</f>
        <v>#N/A</v>
      </c>
      <c r="AC150" s="233" t="e">
        <f>VLOOKUP(A150,Enforcements!$C$7:$E$9,3,0)</f>
        <v>#N/A</v>
      </c>
      <c r="AD150" s="244">
        <f t="shared" ref="AD150:AD181" si="131">VALUE(LEFT(A150,LEN(A150)-3))</f>
        <v>233</v>
      </c>
      <c r="AE150" s="236" t="str">
        <f t="shared" si="112"/>
        <v>aws s3 cp s3://rtdc.mdm.uploadarchive.raw/RTDC4002/ "%USERPROFILE%\AppData\Local\Temp\OnboardLogs"\RTDC4002\2017-11-29 --exclude "*" --recursive --include "*20171129*" &amp; "%USERPROFILE%\Documents\GitHub\mrs-test-scripts\Headless Mode &amp; Sideloading\WalkAndUnGZ.bat" "%USERPROFILE%\AppData\Local\Temp\OnboardLogs"\RTDC4002\2017-11-29 &amp; aws s3 cp s3://rtdc.mdm.uploadarchive.raw/RTDC4002/ "%USERPROFILE%\AppData\Local\Temp\OnboardLogs"\RTDC4002\2017-11-30 --exclude "*" --recursive --include "*20171130*" &amp; "%USERPROFILE%\Documents\GitHub\mrs-test-scripts\Headless Mode &amp; Sideloading\WalkAndUnGZ.bat" "%USERPROFILE%\AppData\Local\Temp\OnboardLogs"\RTDC4002\2017-11-30</v>
      </c>
      <c r="AF150" s="235" t="str">
        <f t="shared" si="113"/>
        <v>"C:\Program Files (x86)\AstroGrep\AstroGrep.exe" /e /r /s /spath="%USERPROFILE%\AppData\Local\Temp\OnboardLogs" /stypes="app*4002*20171130*" /stext=" 05:.+((SYSTEM_STATE.+slice.+state.+changed )|(ment ac)|(multiple cpu faults)|(system.+state.+changed )|(\[timeout)|(PRM\|1\|D)|(kpr)|(kdp)|(train st.+moving)|(\|lc)|(penalty))"</v>
      </c>
      <c r="AG150" s="245" t="str">
        <f t="shared" ref="AG150:AG181" si="132">DetSubdiv(A150)</f>
        <v>EC</v>
      </c>
      <c r="AH150" s="237" t="str">
        <f t="shared" si="121"/>
        <v>"%USERPROFILE%\Documents\GitHub\eaglep3\Utilities\RefineRTDCRunTimes.py" --tripid 233-29 --locoid 4002 --swversion DE.1.0.9.0 --startMP 204:528 --initTime 2017-11-29T21:42:04 --startdatetime 2017-11-29T22:00:30 --delay 98 --endMP 204:233247 --enddatetime 2017-11-29T22:34:25 --enforcementcount 0 &gt;&gt;%USERPROFILE%\Documents\GitHub\eaglep3-reporting\EC\2017-11-29-refined-times.txt</v>
      </c>
      <c r="AI150" s="239" t="str">
        <f t="shared" si="122"/>
        <v>echo {"issue":{"subject":"","project_id":79,"tracker_id":40,"status_id":1,"priority_id":2,"assigned_to_id":338,"start_date":"2017-11-29","description":"","custom_fields":[{"id":1,"name":"Subdivision","value":"EC"},{"id":4,"name":"Milepost","value":"23.3247"},{"id":17,"name":"Train ID","value":"233-29"},{"id":16,"name":"Locomotive ID","value":"4002"},{"id":130,"name":"Impact","value":""},{"id":150,"name":"Time of Event (Mountain Time)","value":"22:34:25"},{"id":151,"name":"Denver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0" s="224"/>
      <c r="AK150" s="232"/>
      <c r="AL150" s="232"/>
      <c r="AM150" s="241" t="str">
        <f t="shared" si="123"/>
        <v>start /low /b %USERPROFILE%\Documents\GitHub\eaglep3\Utilities\DownloadLogsFromS3.py --loco 4002 --day 2017-11-29</v>
      </c>
      <c r="AN150" s="242" t="str">
        <f t="shared" si="124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05:34:25"},{"id":29,"name":"Sharepoint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1" t="str">
        <f t="shared" si="125"/>
        <v>https://d0f6bd738d7f1b3e5a7ca70fe4ff75f0.us-east-1.aws.found.io/app/kibana#/discover/Steve-Slow-Train-Analysis-(2080s-and-2083s)?_g=(refreshInterval:(display:Off,pause:!f,section:0,value:0),time:(from:'2017-11-29T20:42:04-0700',mode:absolute,to:'2017-11-29T23:34:25-0700'))&amp;_a=(columns:!('Message%20ID',Summary),filters:!(),index:'emp_*',interval:auto,query:(query_string:(analyze_wildcard:!t,query:'%22rtdc.l.rtdc.4002%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24" customFormat="1" x14ac:dyDescent="0.25">
      <c r="A151" s="230" t="s">
        <v>862</v>
      </c>
      <c r="B151" s="226">
        <v>4001</v>
      </c>
      <c r="C151" s="228" t="s">
        <v>192</v>
      </c>
      <c r="D151" s="228" t="s">
        <v>414</v>
      </c>
      <c r="E151" s="227">
        <v>43068.90421296296</v>
      </c>
      <c r="F151" s="227">
        <v>43068.95689814815</v>
      </c>
      <c r="G151" s="226">
        <v>98</v>
      </c>
      <c r="H151" s="228" t="s">
        <v>587</v>
      </c>
      <c r="I151" s="227">
        <v>43068.981874999998</v>
      </c>
      <c r="J151" s="226">
        <v>0</v>
      </c>
      <c r="K151" s="238" t="str">
        <f t="shared" si="126"/>
        <v>4001/4002</v>
      </c>
      <c r="L151" s="246" t="str">
        <f>VLOOKUP(A151,'Trips&amp;Operators'!$C$1:$G$99911,5,FALSE)</f>
        <v>LOZA FIDEL</v>
      </c>
      <c r="M151" s="225">
        <f t="shared" si="127"/>
        <v>2.4976851847895887E-2</v>
      </c>
      <c r="N151" s="226">
        <f t="shared" si="103"/>
        <v>35.966666660970077</v>
      </c>
      <c r="O151" s="226"/>
      <c r="P151" s="226"/>
      <c r="Q151" s="229"/>
      <c r="R151" s="243"/>
      <c r="S151" s="250">
        <f t="shared" si="128"/>
        <v>1</v>
      </c>
      <c r="T151" s="243" t="str">
        <f t="shared" si="129"/>
        <v>Southbound</v>
      </c>
      <c r="U151" s="24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9" t="str">
        <f t="shared" si="111"/>
        <v>https://d0f6bd738d7f1b3e5a7ca70fe4ff75f0.us-east-1.aws.found.io/app/kibana#/discover/Steve-Slow-Train-Analysis-(2080s-and-2083s)?_g=(refreshInterval:(display:Off,pause:!f,section:0,value:0),time:(from:'2017-11-29T20:42:04-0700',mode:absolute,to:'2017-11-30T00:33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1" s="248" t="str">
        <f>IF(AA151&lt;VLOOKUP(AG151,Variables!$AC$3:$AD$8,2,FALSE),"Y","N")</f>
        <v>N</v>
      </c>
      <c r="X151" s="248">
        <f t="shared" ref="X151:X152" si="133">VALUE(LEFT(AD151,4))-VALUE(LEFT(AD150,4))</f>
        <v>1</v>
      </c>
      <c r="Y151" s="248">
        <v>23.297000000000001</v>
      </c>
      <c r="Z151" s="248">
        <v>2.8199999999999999E-2</v>
      </c>
      <c r="AA151" s="248">
        <f t="shared" si="130"/>
        <v>23.268800000000002</v>
      </c>
      <c r="AB151" s="234" t="e">
        <f>VLOOKUP(A151,Enforcements!$C$7:$K$9,8,0)</f>
        <v>#N/A</v>
      </c>
      <c r="AC151" s="233" t="e">
        <f>VLOOKUP(A151,Enforcements!$C$7:$E$9,3,0)</f>
        <v>#N/A</v>
      </c>
      <c r="AD151" s="244">
        <f t="shared" si="131"/>
        <v>234</v>
      </c>
      <c r="AE151" s="236" t="str">
        <f t="shared" si="112"/>
        <v>aws s3 cp s3://rtdc.mdm.uploadarchive.raw/RTDC4001/ "%USERPROFILE%\AppData\Local\Temp\OnboardLogs"\RTDC4001\2017-11-29 --exclude "*" --recursive --include "*20171129*" &amp; "%USERPROFILE%\Documents\GitHub\mrs-test-scripts\Headless Mode &amp; Sideloading\WalkAndUnGZ.bat" "%USERPROFILE%\AppData\Local\Temp\OnboardLogs"\RTDC4001\2017-11-29 &amp; aws s3 cp s3://rtdc.mdm.uploadarchive.raw/RTDC4001/ "%USERPROFILE%\AppData\Local\Temp\OnboardLogs"\RTDC4001\2017-11-30 --exclude "*" --recursive --include "*20171130*" &amp; "%USERPROFILE%\Documents\GitHub\mrs-test-scripts\Headless Mode &amp; Sideloading\WalkAndUnGZ.bat" "%USERPROFILE%\AppData\Local\Temp\OnboardLogs"\RTDC4001\2017-11-30</v>
      </c>
      <c r="AF151" s="235" t="str">
        <f t="shared" si="113"/>
        <v>"C:\Program Files (x86)\AstroGrep\AstroGrep.exe" /e /r /s /spath="%USERPROFILE%\AppData\Local\Temp\OnboardLogs" /stypes="app*4001*20171130*" /stext=" 06:.+((SYSTEM_STATE.+slice.+state.+changed )|(ment ac)|(multiple cpu faults)|(system.+state.+changed )|(\[timeout)|(PRM\|1\|D)|(kpr)|(kdp)|(train st.+moving)|(\|lc)|(penalty))"</v>
      </c>
      <c r="AG151" s="245" t="str">
        <f t="shared" si="132"/>
        <v>EC</v>
      </c>
      <c r="AH151" s="237" t="str">
        <f t="shared" ref="AH151" si="134">refinertdcruntimes&amp;" --tripid "&amp;A151&amp;" --locoid "&amp;B151&amp;" --swversion "&amp;C151&amp;" --startMP "&amp;D151&amp;" --initTime "&amp;TEXT(E151,"yyyy-mm-ddTHH:MM:SS")&amp;" --startdatetime "&amp;TEXT(F151,"yyyy-mm-ddTHH:MM:SS")&amp;" --delay "&amp;G151&amp;" --endMP "&amp;H151&amp;" --enddatetime "&amp;TEXT(I151,"yyyy-mm-ddTHH:MM:SS")&amp;" --enforcementcount "&amp;J151&amp;IF(outputrefinedruntimes," &gt;&gt;"&amp;RefinedRTDCRunTimesOutputFile,"")</f>
        <v>"%USERPROFILE%\Documents\GitHub\eaglep3\Utilities\RefineRTDCRunTimes.py" --tripid 234-29 --locoid 4001 --swversion DE.1.0.9.0 --startMP 204:528 --initTime 2017-11-29T21:42:04 --startdatetime 2017-11-29T22:57:56 --delay 98 --endMP 204:233247 --enddatetime 2017-11-29T23:33:54 --enforcementcount 0 &gt;&gt;%USERPROFILE%\Documents\GitHub\eaglep3-reporting\EC\2017-11-29-refined-times.txt</v>
      </c>
      <c r="AI151" s="239" t="str">
        <f t="shared" ref="AI151" si="135">"echo {""issue"":{""subject"":"""&amp;R151&amp;""",""project_id"":79,""tracker_id"":40,""status_id"":"&amp;redmine_status&amp;",""priority_id"":"&amp;redmine_priority&amp;",""assigned_to_id"":"&amp;redmine_assignee&amp;",""start_date"":"""&amp;TEXT(I151,"YYYY-mm-dd")&amp;""",""description"":"""&amp;AJ151&amp;""",""custom_fields"":[{""id"":1,""name"":""Subdivision"",""value"":"""&amp;AG151&amp;"""},{""id"":4,""name"":""Milepost"",""value"":"""&amp;Z151&amp;"""},{""id"":17,""name"":""Train ID"",""value"":"""&amp;A151&amp;"""},{""id"":16,""name"":""Locomotive ID"",""value"":"""&amp;B151&amp;"""},{""id"":130,""name"":""Impact"",""value"":"""&amp;AK151&amp;"""},{""id"":150,""name"":""Time of Event (Mountain Time)"",""value"":"""&amp;TEXT(I151,"hh:mm:ss")&amp;"""},{""id"":151,""name"":""Denver Issue ID"",""value"":"""&amp;"""},{""id"":178,""name"":""Operational Impact"",""value"":"""&amp;redmine_op_impact&amp;"""},{""id"":179,""name"":""Denver Segment Assigned"",""value"":"""&amp;AL151&amp;"""}]}}"&amp;"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{"issue":{"subject":"","project_id":79,"tracker_id":40,"status_id":1,"priority_id":2,"assigned_to_id":338,"start_date":"2017-11-29","description":"","custom_fields":[{"id":1,"name":"Subdivision","value":"EC"},{"id":4,"name":"Milepost","value":"0.0282"},{"id":17,"name":"Train ID","value":"234-29"},{"id":16,"name":"Locomotive ID","value":"4001"},{"id":130,"name":"Impact","value":""},{"id":150,"name":"Time of Event (Mountain Time)","value":"23:33:54"},{"id":151,"name":"Denver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232"/>
      <c r="AL151" s="232"/>
      <c r="AM151" s="241" t="str">
        <f t="shared" ref="AM151" si="136">"start /low /b "&amp;dls3logs&amp;" --loco "&amp;B151&amp;" --day "&amp;TEXT(F151,"YYYY-MM-DD")</f>
        <v>start /low /b %USERPROFILE%\Documents\GitHub\eaglep3\Utilities\DownloadLogsFromS3.py --loco 4001 --day 2017-11-29</v>
      </c>
      <c r="AN151" s="242" t="str">
        <f t="shared" ref="AN151" si="137">"echo {""issue"":{""subject"":"""&amp;R151&amp;""",""project_id"":30,""tracker_id"":4,""status_id"":"&amp;redmine_status_wcr&amp;",""priority_id"":"&amp;redmine_priority_wcr&amp;",""assigned_to_id"":"&amp;redmine_assignee_wcr&amp;",""start_date"":"""&amp;TEXT(I151-utc_offset/24,"YYYY-mm-dd")&amp;""",""description"":"""&amp;AJ151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06:33:54"},{"id":29,"name":"Sharepoint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1" t="str">
        <f t="shared" ref="AO151" si="138"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Message%20ID',Summary),filters:!(),index:'emp_*',interval:auto,query:"&amp;"(query_string:(analyze_wildcard:!t,query:'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-11-29T20:42:04-0700',mode:absolute,to:'2017-11-30T00:33:54-0700'))&amp;_a=(columns:!('Message%20ID',Summary),filters:!(),index:'emp_*',interval:auto,query:(query_string:(analyze_wildcard:!t,query:'%22rtdc.l.rtdc.4001%22')),sort:!(Time.ISO8601,asc))</v>
      </c>
    </row>
    <row r="152" spans="1:91" s="20" customFormat="1" x14ac:dyDescent="0.25">
      <c r="A152" s="230" t="s">
        <v>860</v>
      </c>
      <c r="B152" s="226">
        <v>4006</v>
      </c>
      <c r="C152" s="228" t="s">
        <v>192</v>
      </c>
      <c r="D152" s="228" t="s">
        <v>427</v>
      </c>
      <c r="E152" s="227">
        <v>43068.93540509259</v>
      </c>
      <c r="F152" s="227">
        <v>43068.938020833331</v>
      </c>
      <c r="G152" s="226">
        <v>78</v>
      </c>
      <c r="H152" s="228" t="s">
        <v>896</v>
      </c>
      <c r="I152" s="227">
        <v>43068.963865740741</v>
      </c>
      <c r="J152" s="226">
        <v>0</v>
      </c>
      <c r="K152" s="238" t="str">
        <f t="shared" si="126"/>
        <v>4005/4006</v>
      </c>
      <c r="L152" s="246" t="str">
        <f>VLOOKUP(A152,'Trips&amp;Operators'!$C$1:$G$99911,5,FALSE)</f>
        <v>ANDERS STEVEN</v>
      </c>
      <c r="M152" s="225">
        <f t="shared" si="127"/>
        <v>2.584490740991896E-2</v>
      </c>
      <c r="N152" s="226">
        <f t="shared" si="103"/>
        <v>37.216666670283303</v>
      </c>
      <c r="O152" s="226"/>
      <c r="P152" s="226"/>
      <c r="Q152" s="229"/>
      <c r="R152" s="243"/>
      <c r="S152" s="250">
        <f t="shared" si="128"/>
        <v>1</v>
      </c>
      <c r="T152" s="243" t="str">
        <f t="shared" si="129"/>
        <v>NorthBound</v>
      </c>
      <c r="U152" s="24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9" t="str">
        <f t="shared" si="111"/>
        <v>https://d0f6bd738d7f1b3e5a7ca70fe4ff75f0.us-east-1.aws.found.io/app/kibana#/discover/Steve-Slow-Train-Analysis-(2080s-and-2083s)?_g=(refreshInterval:(display:Off,pause:!f,section:0,value:0),time:(from:'2017-11-29T21:26:59-0700',mode:absolute,to:'2017-11-30T00:07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2" s="248" t="str">
        <f>IF(AA152&lt;VLOOKUP(AG152,Variables!$AC$3:$AD$8,2,FALSE),"Y","N")</f>
        <v>N</v>
      </c>
      <c r="X152" s="248">
        <f t="shared" si="133"/>
        <v>1</v>
      </c>
      <c r="Y152" s="248">
        <f>RIGHT(D152,LEN(D152)-4)/10000</f>
        <v>5.2600000000000001E-2</v>
      </c>
      <c r="Z152" s="248">
        <f>RIGHT(H152,LEN(H152)-4)/10000</f>
        <v>23.3263</v>
      </c>
      <c r="AA152" s="248">
        <f t="shared" si="130"/>
        <v>23.273699999999998</v>
      </c>
      <c r="AB152" s="234" t="e">
        <f>VLOOKUP(A152,Enforcements!$C$7:$K$9,8,0)</f>
        <v>#N/A</v>
      </c>
      <c r="AC152" s="233" t="e">
        <f>VLOOKUP(A152,Enforcements!$C$7:$E$9,3,0)</f>
        <v>#N/A</v>
      </c>
      <c r="AD152" s="244">
        <f t="shared" si="131"/>
        <v>235</v>
      </c>
      <c r="AE152" s="236" t="str">
        <f t="shared" si="112"/>
        <v>aws s3 cp s3://rtdc.mdm.uploadarchive.raw/RTDC4006/ "%USERPROFILE%\AppData\Local\Temp\OnboardLogs"\RTDC4006\2017-11-29 --exclude "*" --recursive --include "*20171129*" &amp; "%USERPROFILE%\Documents\GitHub\mrs-test-scripts\Headless Mode &amp; Sideloading\WalkAndUnGZ.bat" "%USERPROFILE%\AppData\Local\Temp\OnboardLogs"\RTDC4006\2017-11-29 &amp; aws s3 cp s3://rtdc.mdm.uploadarchive.raw/RTDC4006/ "%USERPROFILE%\AppData\Local\Temp\OnboardLogs"\RTDC4006\2017-11-30 --exclude "*" --recursive --include "*20171130*" &amp; "%USERPROFILE%\Documents\GitHub\mrs-test-scripts\Headless Mode &amp; Sideloading\WalkAndUnGZ.bat" "%USERPROFILE%\AppData\Local\Temp\OnboardLogs"\RTDC4006\2017-11-30</v>
      </c>
      <c r="AF152" s="235" t="str">
        <f t="shared" si="113"/>
        <v>"C:\Program Files (x86)\AstroGrep\AstroGrep.exe" /e /r /s /spath="%USERPROFILE%\AppData\Local\Temp\OnboardLogs" /stypes="app*4006*20171130*" /stext=" 06:.+((SYSTEM_STATE.+slice.+state.+changed )|(ment ac)|(multiple cpu faults)|(system.+state.+changed )|(\[timeout)|(PRM\|1\|D)|(kpr)|(kdp)|(train st.+moving)|(\|lc)|(penalty))"</v>
      </c>
      <c r="AG152" s="245" t="str">
        <f t="shared" si="132"/>
        <v>EC</v>
      </c>
      <c r="AH152" s="237" t="str">
        <f t="shared" si="121"/>
        <v>"%USERPROFILE%\Documents\GitHub\eaglep3\Utilities\RefineRTDCRunTimes.py" --tripid 235-29 --locoid 4006 --swversion DE.1.0.9.0 --startMP 204:526 --initTime 2017-11-29T22:26:59 --startdatetime 2017-11-29T22:30:45 --delay 78 --endMP 204:233263 --enddatetime 2017-11-29T23:07:58 --enforcementcount 0 &gt;&gt;%USERPROFILE%\Documents\GitHub\eaglep3-reporting\EC\2017-11-29-refined-times.txt</v>
      </c>
      <c r="AI152" s="239" t="str">
        <f t="shared" si="122"/>
        <v>echo {"issue":{"subject":"","project_id":79,"tracker_id":40,"status_id":1,"priority_id":2,"assigned_to_id":338,"start_date":"2017-11-29","description":"","custom_fields":[{"id":1,"name":"Subdivision","value":"EC"},{"id":4,"name":"Milepost","value":"23.3263"},{"id":17,"name":"Train ID","value":"235-29"},{"id":16,"name":"Locomotive ID","value":"4006"},{"id":130,"name":"Impact","value":""},{"id":150,"name":"Time of Event (Mountain Time)","value":"23:07:58"},{"id":151,"name":"Denver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2" s="224"/>
      <c r="AK152" s="232"/>
      <c r="AL152" s="232"/>
      <c r="AM152" s="241" t="str">
        <f t="shared" si="123"/>
        <v>start /low /b %USERPROFILE%\Documents\GitHub\eaglep3\Utilities\DownloadLogsFromS3.py --loco 4006 --day 2017-11-29</v>
      </c>
      <c r="AN152" s="242" t="str">
        <f t="shared" si="124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06:07:58"},{"id":29,"name":"Sharepoint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1" t="str">
        <f t="shared" si="125"/>
        <v>https://d0f6bd738d7f1b3e5a7ca70fe4ff75f0.us-east-1.aws.found.io/app/kibana#/discover/Steve-Slow-Train-Analysis-(2080s-and-2083s)?_g=(refreshInterval:(display:Off,pause:!f,section:0,value:0),time:(from:'2017-11-29T21:26:59-0700',mode:absolute,to:'2017-11-30T00:07:58-0700'))&amp;_a=(columns:!('Message%20ID',Summary),filters:!(),index:'emp_*',interval:auto,query:(query_string:(analyze_wildcard:!t,query:'%22rtdc.l.rtdc.4006%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24" customFormat="1" x14ac:dyDescent="0.25">
      <c r="A153" s="230" t="s">
        <v>866</v>
      </c>
      <c r="B153" s="226">
        <v>4005</v>
      </c>
      <c r="C153" s="228" t="s">
        <v>192</v>
      </c>
      <c r="D153" s="228" t="s">
        <v>510</v>
      </c>
      <c r="E153" s="227">
        <v>43068.975300925929</v>
      </c>
      <c r="F153" s="227">
        <v>43068.977418981478</v>
      </c>
      <c r="G153" s="226">
        <v>54</v>
      </c>
      <c r="H153" s="228" t="s">
        <v>438</v>
      </c>
      <c r="I153" s="227">
        <v>43069.004548611112</v>
      </c>
      <c r="J153" s="226">
        <v>0</v>
      </c>
      <c r="K153" s="238" t="str">
        <f t="shared" si="126"/>
        <v>4005/4006</v>
      </c>
      <c r="L153" s="246" t="str">
        <f>VLOOKUP(A153,'Trips&amp;Operators'!$C$1:$G$99911,5,FALSE)</f>
        <v>ANDERS STEVEN</v>
      </c>
      <c r="M153" s="225">
        <f t="shared" si="127"/>
        <v>2.7129629634146113E-2</v>
      </c>
      <c r="N153" s="226">
        <f t="shared" si="103"/>
        <v>39.066666673170403</v>
      </c>
      <c r="O153" s="226"/>
      <c r="P153" s="226"/>
      <c r="Q153" s="229"/>
      <c r="R153" s="243"/>
      <c r="S153" s="250">
        <f t="shared" si="128"/>
        <v>1</v>
      </c>
      <c r="T153" s="243" t="str">
        <f t="shared" si="129"/>
        <v>Southbound</v>
      </c>
      <c r="U153" s="24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9" t="str">
        <f t="shared" si="111"/>
        <v>https://d0f6bd738d7f1b3e5a7ca70fe4ff75f0.us-east-1.aws.found.io/app/kibana#/discover/Steve-Slow-Train-Analysis-(2080s-and-2083s)?_g=(refreshInterval:(display:Off,pause:!f,section:0,value:0),time:(from:'2017-11-29T22:24:26-0700',mode:absolute,to:'2017-11-30T01:06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3" s="248" t="str">
        <f>IF(AA153&lt;VLOOKUP(AG153,Variables!$AC$3:$AD$8,2,FALSE),"Y","N")</f>
        <v>N</v>
      </c>
      <c r="X153" s="248">
        <f>VALUE(LEFT(AD153,4))-VALUE(LEFT(AD152,4))</f>
        <v>1</v>
      </c>
      <c r="Y153" s="248">
        <f>RIGHT(D153,LEN(D153)-4)/10000</f>
        <v>23.294</v>
      </c>
      <c r="Z153" s="248">
        <f>RIGHT(H153,LEN(H153)-4)/10000</f>
        <v>2.29E-2</v>
      </c>
      <c r="AA153" s="248">
        <f t="shared" si="130"/>
        <v>23.271100000000001</v>
      </c>
      <c r="AB153" s="234" t="e">
        <f>VLOOKUP(A153,Enforcements!$C$7:$K$9,8,0)</f>
        <v>#N/A</v>
      </c>
      <c r="AC153" s="233" t="e">
        <f>VLOOKUP(A153,Enforcements!$C$7:$E$9,3,0)</f>
        <v>#N/A</v>
      </c>
      <c r="AD153" s="244">
        <f t="shared" si="131"/>
        <v>236</v>
      </c>
      <c r="AE153" s="236" t="str">
        <f t="shared" si="112"/>
        <v>aws s3 cp s3://rtdc.mdm.uploadarchive.raw/RTDC4005/ "%USERPROFILE%\AppData\Local\Temp\OnboardLogs"\RTDC4005\2017-11-29 --exclude "*" --recursive --include "*20171129*" &amp; "%USERPROFILE%\Documents\GitHub\mrs-test-scripts\Headless Mode &amp; Sideloading\WalkAndUnGZ.bat" "%USERPROFILE%\AppData\Local\Temp\OnboardLogs"\RTDC4005\2017-11-29 &amp; aws s3 cp s3://rtdc.mdm.uploadarchive.raw/RTDC4005/ "%USERPROFILE%\AppData\Local\Temp\OnboardLogs"\RTDC4005\2017-11-30 --exclude "*" --recursive --include "*20171130*" &amp; "%USERPROFILE%\Documents\GitHub\mrs-test-scripts\Headless Mode &amp; Sideloading\WalkAndUnGZ.bat" "%USERPROFILE%\AppData\Local\Temp\OnboardLogs"\RTDC4005\2017-11-30</v>
      </c>
      <c r="AF153" s="235" t="str">
        <f t="shared" si="113"/>
        <v>"C:\Program Files (x86)\AstroGrep\AstroGrep.exe" /e /r /s /spath="%USERPROFILE%\AppData\Local\Temp\OnboardLogs" /stypes="app*4005*20171130*" /stext=" 07:.+((SYSTEM_STATE.+slice.+state.+changed )|(ment ac)|(multiple cpu faults)|(system.+state.+changed )|(\[timeout)|(PRM\|1\|D)|(kpr)|(kdp)|(train st.+moving)|(\|lc)|(penalty))"</v>
      </c>
      <c r="AG153" s="245" t="str">
        <f t="shared" si="132"/>
        <v>EC</v>
      </c>
      <c r="AH153" s="237" t="str">
        <f t="shared" si="121"/>
        <v>"%USERPROFILE%\Documents\GitHub\eaglep3\Utilities\RefineRTDCRunTimes.py" --tripid 236-29 --locoid 4005 --swversion DE.1.0.9.0 --startMP 204:232940 --initTime 2017-11-29T23:24:26 --startdatetime 2017-11-29T23:27:29 --delay 54 --endMP 204:229 --enddatetime 2017-11-30T00:06:33 --enforcementcount 0 &gt;&gt;%USERPROFILE%\Documents\GitHub\eaglep3-reporting\EC\2017-11-29-refined-times.txt</v>
      </c>
      <c r="AI153" s="239" t="str">
        <f t="shared" si="122"/>
        <v>echo {"issue":{"subject":"","project_id":79,"tracker_id":40,"status_id":1,"priority_id":2,"assigned_to_id":338,"start_date":"2017-11-30","description":"","custom_fields":[{"id":1,"name":"Subdivision","value":"EC"},{"id":4,"name":"Milepost","value":"0.0229"},{"id":17,"name":"Train ID","value":"236-29"},{"id":16,"name":"Locomotive ID","value":"4005"},{"id":130,"name":"Impact","value":""},{"id":150,"name":"Time of Event (Mountain Time)","value":"00:06:33"},{"id":151,"name":"Denver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232"/>
      <c r="AL153" s="232"/>
      <c r="AM153" s="241" t="str">
        <f t="shared" si="123"/>
        <v>start /low /b %USERPROFILE%\Documents\GitHub\eaglep3\Utilities\DownloadLogsFromS3.py --loco 4005 --day 2017-11-29</v>
      </c>
      <c r="AN153" s="242" t="str">
        <f t="shared" si="124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07:06:33"},{"id":29,"name":"Sharepoint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1" t="str">
        <f t="shared" si="125"/>
        <v>https://d0f6bd738d7f1b3e5a7ca70fe4ff75f0.us-east-1.aws.found.io/app/kibana#/discover/Steve-Slow-Train-Analysis-(2080s-and-2083s)?_g=(refreshInterval:(display:Off,pause:!f,section:0,value:0),time:(from:'2017-11-29T22:24:26-0700',mode:absolute,to:'2017-11-30T01:06:33-0700'))&amp;_a=(columns:!('Message%20ID',Summary),filters:!(),index:'emp_*',interval:auto,query:(query_string:(analyze_wildcard:!t,query:'%22rtdc.l.rtdc.4005%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230" t="s">
        <v>861</v>
      </c>
      <c r="B154" s="226">
        <v>4022</v>
      </c>
      <c r="C154" s="228" t="s">
        <v>192</v>
      </c>
      <c r="D154" s="228" t="s">
        <v>516</v>
      </c>
      <c r="E154" s="227">
        <v>43068.944976851853</v>
      </c>
      <c r="F154" s="227">
        <v>43068.95853009259</v>
      </c>
      <c r="G154" s="226">
        <v>57</v>
      </c>
      <c r="H154" s="228" t="s">
        <v>973</v>
      </c>
      <c r="I154" s="227">
        <v>43068.984016203707</v>
      </c>
      <c r="J154" s="226">
        <v>0</v>
      </c>
      <c r="K154" s="238" t="str">
        <f t="shared" si="126"/>
        <v>4021/4022</v>
      </c>
      <c r="L154" s="246" t="str">
        <f>VLOOKUP(A154,'Trips&amp;Operators'!$C$1:$G$99911,5,FALSE)</f>
        <v>NICHOLSON WESLEY</v>
      </c>
      <c r="M154" s="225">
        <f t="shared" si="127"/>
        <v>2.5486111117061228E-2</v>
      </c>
      <c r="N154" s="226">
        <f t="shared" ref="N154:N185" si="139">24*60*SUM($M154:$M154)</f>
        <v>36.700000008568168</v>
      </c>
      <c r="O154" s="226"/>
      <c r="P154" s="226"/>
      <c r="Q154" s="229"/>
      <c r="R154" s="243"/>
      <c r="S154" s="250">
        <f t="shared" si="128"/>
        <v>1</v>
      </c>
      <c r="T154" s="243" t="str">
        <f t="shared" si="129"/>
        <v>NorthBound</v>
      </c>
      <c r="U154" s="24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9" t="str">
        <f t="shared" si="111"/>
        <v>https://d0f6bd738d7f1b3e5a7ca70fe4ff75f0.us-east-1.aws.found.io/app/kibana#/discover/Steve-Slow-Train-Analysis-(2080s-and-2083s)?_g=(refreshInterval:(display:Off,pause:!f,section:0,value:0),time:(from:'2017-11-29T21:40:46-0700',mode:absolute,to:'2017-11-30T00:36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4" s="248" t="str">
        <f>IF(AA154&lt;VLOOKUP(AG154,Variables!$AC$3:$AD$8,2,FALSE),"Y","N")</f>
        <v>N</v>
      </c>
      <c r="X154" s="248">
        <f>VALUE(LEFT(AD154,4))-VALUE(LEFT(AD153,4))</f>
        <v>1</v>
      </c>
      <c r="Y154" s="248">
        <f>RIGHT(D154,LEN(D154)-4)/10000</f>
        <v>5.5899999999999998E-2</v>
      </c>
      <c r="Z154" s="248">
        <f>RIGHT(H154,LEN(H154)-4)/10000</f>
        <v>23.318300000000001</v>
      </c>
      <c r="AA154" s="248">
        <f t="shared" si="130"/>
        <v>23.2624</v>
      </c>
      <c r="AB154" s="234" t="e">
        <f>VLOOKUP(A154,Enforcements!$C$7:$K$9,8,0)</f>
        <v>#N/A</v>
      </c>
      <c r="AC154" s="233" t="e">
        <f>VLOOKUP(A154,Enforcements!$C$7:$E$9,3,0)</f>
        <v>#N/A</v>
      </c>
      <c r="AD154" s="244">
        <f t="shared" si="131"/>
        <v>237</v>
      </c>
      <c r="AE154" s="236" t="str">
        <f t="shared" si="112"/>
        <v>aws s3 cp s3://rtdc.mdm.uploadarchive.raw/RTDC4022/ "%USERPROFILE%\AppData\Local\Temp\OnboardLogs"\RTDC4022\2017-11-29 --exclude "*" --recursive --include "*20171129*" &amp; "%USERPROFILE%\Documents\GitHub\mrs-test-scripts\Headless Mode &amp; Sideloading\WalkAndUnGZ.bat" "%USERPROFILE%\AppData\Local\Temp\OnboardLogs"\RTDC4022\2017-11-29 &amp; aws s3 cp s3://rtdc.mdm.uploadarchive.raw/RTDC4022/ "%USERPROFILE%\AppData\Local\Temp\OnboardLogs"\RTDC4022\2017-11-30 --exclude "*" --recursive --include "*20171130*" &amp; "%USERPROFILE%\Documents\GitHub\mrs-test-scripts\Headless Mode &amp; Sideloading\WalkAndUnGZ.bat" "%USERPROFILE%\AppData\Local\Temp\OnboardLogs"\RTDC4022\2017-11-30</v>
      </c>
      <c r="AF154" s="235" t="str">
        <f t="shared" si="113"/>
        <v>"C:\Program Files (x86)\AstroGrep\AstroGrep.exe" /e /r /s /spath="%USERPROFILE%\AppData\Local\Temp\OnboardLogs" /stypes="app*4022*20171130*" /stext=" 06:.+((SYSTEM_STATE.+slice.+state.+changed )|(ment ac)|(multiple cpu faults)|(system.+state.+changed )|(\[timeout)|(PRM\|1\|D)|(kpr)|(kdp)|(train st.+moving)|(\|lc)|(penalty))"</v>
      </c>
      <c r="AG154" s="245" t="str">
        <f t="shared" si="132"/>
        <v>EC</v>
      </c>
      <c r="AH154" s="237" t="str">
        <f t="shared" si="121"/>
        <v>"%USERPROFILE%\Documents\GitHub\eaglep3\Utilities\RefineRTDCRunTimes.py" --tripid 237-29 --locoid 4022 --swversion DE.1.0.9.0 --startMP 204:559 --initTime 2017-11-29T22:40:46 --startdatetime 2017-11-29T23:00:17 --delay 57 --endMP 204:233183 --enddatetime 2017-11-29T23:36:59 --enforcementcount 0 &gt;&gt;%USERPROFILE%\Documents\GitHub\eaglep3-reporting\EC\2017-11-29-refined-times.txt</v>
      </c>
      <c r="AI154" s="239" t="str">
        <f t="shared" si="122"/>
        <v>echo {"issue":{"subject":"","project_id":79,"tracker_id":40,"status_id":1,"priority_id":2,"assigned_to_id":338,"start_date":"2017-11-29","description":"","custom_fields":[{"id":1,"name":"Subdivision","value":"EC"},{"id":4,"name":"Milepost","value":"23.3183"},{"id":17,"name":"Train ID","value":"237-29"},{"id":16,"name":"Locomotive ID","value":"4022"},{"id":130,"name":"Impact","value":""},{"id":150,"name":"Time of Event (Mountain Time)","value":"23:36:59"},{"id":151,"name":"Denver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4" s="224"/>
      <c r="AK154" s="232"/>
      <c r="AL154" s="232"/>
      <c r="AM154" s="241" t="str">
        <f t="shared" si="123"/>
        <v>start /low /b %USERPROFILE%\Documents\GitHub\eaglep3\Utilities\DownloadLogsFromS3.py --loco 4022 --day 2017-11-29</v>
      </c>
      <c r="AN154" s="242" t="str">
        <f t="shared" si="124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06:36:59"},{"id":29,"name":"Sharepoint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1" t="str">
        <f t="shared" si="125"/>
        <v>https://d0f6bd738d7f1b3e5a7ca70fe4ff75f0.us-east-1.aws.found.io/app/kibana#/discover/Steve-Slow-Train-Analysis-(2080s-and-2083s)?_g=(refreshInterval:(display:Off,pause:!f,section:0,value:0),time:(from:'2017-11-29T21:40:46-0700',mode:absolute,to:'2017-11-30T00:36:59-0700'))&amp;_a=(columns:!('Message%20ID',Summary),filters:!(),index:'emp_*',interval:auto,query:(query_string:(analyze_wildcard:!t,query:'%22rtdc.l.rtdc.4022%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230" t="s">
        <v>868</v>
      </c>
      <c r="B155" s="226">
        <v>4021</v>
      </c>
      <c r="C155" s="228" t="s">
        <v>192</v>
      </c>
      <c r="D155" s="228" t="s">
        <v>969</v>
      </c>
      <c r="E155" s="227">
        <v>43068.989745370367</v>
      </c>
      <c r="F155" s="227">
        <v>43068.998148148145</v>
      </c>
      <c r="G155" s="226">
        <v>109</v>
      </c>
      <c r="H155" s="228" t="s">
        <v>883</v>
      </c>
      <c r="I155" s="227">
        <v>43069.025625000002</v>
      </c>
      <c r="J155" s="226">
        <v>0</v>
      </c>
      <c r="K155" s="238" t="str">
        <f t="shared" si="126"/>
        <v>4021/4022</v>
      </c>
      <c r="L155" s="246" t="str">
        <f>VLOOKUP(A155,'Trips&amp;Operators'!$C$1:$G$99911,5,FALSE)</f>
        <v>NICHOLSON WESLEY</v>
      </c>
      <c r="M155" s="225">
        <f t="shared" si="127"/>
        <v>2.7476851857500151E-2</v>
      </c>
      <c r="N155" s="226">
        <f t="shared" si="139"/>
        <v>39.566666674800217</v>
      </c>
      <c r="O155" s="226"/>
      <c r="P155" s="226"/>
      <c r="Q155" s="229"/>
      <c r="R155" s="243"/>
      <c r="S155" s="250">
        <f t="shared" si="128"/>
        <v>1</v>
      </c>
      <c r="T155" s="243" t="str">
        <f t="shared" si="129"/>
        <v>Southbound</v>
      </c>
      <c r="U155" s="24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9" t="str">
        <f t="shared" si="111"/>
        <v>https://d0f6bd738d7f1b3e5a7ca70fe4ff75f0.us-east-1.aws.found.io/app/kibana#/discover/Steve-Slow-Train-Analysis-(2080s-and-2083s)?_g=(refreshInterval:(display:Off,pause:!f,section:0,value:0),time:(from:'2017-11-29T22:45:14-0700',mode:absolute,to:'2017-11-30T01:36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5" s="248" t="str">
        <f>IF(AA155&lt;VLOOKUP(AG155,Variables!$AC$3:$AD$8,2,FALSE),"Y","N")</f>
        <v>N</v>
      </c>
      <c r="X155" s="248">
        <f>VALUE(LEFT(AD155,4))-VALUE(LEFT(AD154,4))</f>
        <v>1</v>
      </c>
      <c r="Y155" s="248">
        <f>RIGHT(D155,LEN(D155)-4)/10000</f>
        <v>23.287199999999999</v>
      </c>
      <c r="Z155" s="248">
        <f>RIGHT(H155,LEN(H155)-4)/10000</f>
        <v>2.5600000000000001E-2</v>
      </c>
      <c r="AA155" s="248">
        <f t="shared" si="130"/>
        <v>23.261599999999998</v>
      </c>
      <c r="AB155" s="234" t="e">
        <f>VLOOKUP(A155,Enforcements!$C$7:$K$9,8,0)</f>
        <v>#N/A</v>
      </c>
      <c r="AC155" s="233" t="e">
        <f>VLOOKUP(A155,Enforcements!$C$7:$E$9,3,0)</f>
        <v>#N/A</v>
      </c>
      <c r="AD155" s="244">
        <f t="shared" si="131"/>
        <v>238</v>
      </c>
      <c r="AE155" s="236" t="str">
        <f t="shared" si="112"/>
        <v>aws s3 cp s3://rtdc.mdm.uploadarchive.raw/RTDC4021/ "%USERPROFILE%\AppData\Local\Temp\OnboardLogs"\RTDC4021\2017-11-29 --exclude "*" --recursive --include "*20171129*" &amp; "%USERPROFILE%\Documents\GitHub\mrs-test-scripts\Headless Mode &amp; Sideloading\WalkAndUnGZ.bat" "%USERPROFILE%\AppData\Local\Temp\OnboardLogs"\RTDC4021\2017-11-29 &amp; aws s3 cp s3://rtdc.mdm.uploadarchive.raw/RTDC4021/ "%USERPROFILE%\AppData\Local\Temp\OnboardLogs"\RTDC4021\2017-11-30 --exclude "*" --recursive --include "*20171130*" &amp; "%USERPROFILE%\Documents\GitHub\mrs-test-scripts\Headless Mode &amp; Sideloading\WalkAndUnGZ.bat" "%USERPROFILE%\AppData\Local\Temp\OnboardLogs"\RTDC4021\2017-11-30</v>
      </c>
      <c r="AF155" s="235" t="str">
        <f t="shared" si="113"/>
        <v>"C:\Program Files (x86)\AstroGrep\AstroGrep.exe" /e /r /s /spath="%USERPROFILE%\AppData\Local\Temp\OnboardLogs" /stypes="app*4021*20171130*" /stext=" 07:.+((SYSTEM_STATE.+slice.+state.+changed )|(ment ac)|(multiple cpu faults)|(system.+state.+changed )|(\[timeout)|(PRM\|1\|D)|(kpr)|(kdp)|(train st.+moving)|(\|lc)|(penalty))"</v>
      </c>
      <c r="AG155" s="245" t="str">
        <f t="shared" si="132"/>
        <v>EC</v>
      </c>
      <c r="AH155" s="237" t="str">
        <f t="shared" si="121"/>
        <v>"%USERPROFILE%\Documents\GitHub\eaglep3\Utilities\RefineRTDCRunTimes.py" --tripid 238-29 --locoid 4021 --swversion DE.1.0.9.0 --startMP 204:232872 --initTime 2017-11-29T23:45:14 --startdatetime 2017-11-29T23:57:20 --delay 109 --endMP 204:256 --enddatetime 2017-11-30T00:36:54 --enforcementcount 0 &gt;&gt;%USERPROFILE%\Documents\GitHub\eaglep3-reporting\EC\2017-11-29-refined-times.txt</v>
      </c>
      <c r="AI155" s="239" t="str">
        <f t="shared" si="122"/>
        <v>echo {"issue":{"subject":"","project_id":79,"tracker_id":40,"status_id":1,"priority_id":2,"assigned_to_id":338,"start_date":"2017-11-30","description":"","custom_fields":[{"id":1,"name":"Subdivision","value":"EC"},{"id":4,"name":"Milepost","value":"0.0256"},{"id":17,"name":"Train ID","value":"238-29"},{"id":16,"name":"Locomotive ID","value":"4021"},{"id":130,"name":"Impact","value":""},{"id":150,"name":"Time of Event (Mountain Time)","value":"00:36:54"},{"id":151,"name":"Denver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224"/>
      <c r="AK155" s="232"/>
      <c r="AL155" s="232"/>
      <c r="AM155" s="241" t="str">
        <f t="shared" si="123"/>
        <v>start /low /b %USERPROFILE%\Documents\GitHub\eaglep3\Utilities\DownloadLogsFromS3.py --loco 4021 --day 2017-11-29</v>
      </c>
      <c r="AN155" s="242" t="str">
        <f t="shared" si="124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07:36:54"},{"id":29,"name":"Sharepoint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1" t="str">
        <f t="shared" si="125"/>
        <v>https://d0f6bd738d7f1b3e5a7ca70fe4ff75f0.us-east-1.aws.found.io/app/kibana#/discover/Steve-Slow-Train-Analysis-(2080s-and-2083s)?_g=(refreshInterval:(display:Off,pause:!f,section:0,value:0),time:(from:'2017-11-29T22:45:14-0700',mode:absolute,to:'2017-11-30T01:36:54-0700'))&amp;_a=(columns:!('Message%20ID',Summary),filters:!(),index:'emp_*',interval:auto,query:(query_string:(analyze_wildcard:!t,query:'%22rtdc.l.rtdc.4021%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230" t="s">
        <v>864</v>
      </c>
      <c r="B156" s="226">
        <v>4026</v>
      </c>
      <c r="C156" s="228" t="s">
        <v>192</v>
      </c>
      <c r="D156" s="228" t="s">
        <v>468</v>
      </c>
      <c r="E156" s="227">
        <v>43068.974027777775</v>
      </c>
      <c r="F156" s="227">
        <v>43068.979432870372</v>
      </c>
      <c r="G156" s="226">
        <v>62</v>
      </c>
      <c r="H156" s="228" t="s">
        <v>571</v>
      </c>
      <c r="I156" s="227">
        <v>43069.004131944443</v>
      </c>
      <c r="J156" s="226">
        <v>0</v>
      </c>
      <c r="K156" s="238" t="str">
        <f t="shared" si="126"/>
        <v>4025/4026</v>
      </c>
      <c r="L156" s="246" t="str">
        <f>VLOOKUP(A156,'Trips&amp;Operators'!$C$1:$G$99911,5,FALSE)</f>
        <v>RESPASS AARON</v>
      </c>
      <c r="M156" s="225">
        <f t="shared" si="127"/>
        <v>2.4699074070667848E-2</v>
      </c>
      <c r="N156" s="226">
        <f t="shared" si="139"/>
        <v>35.566666661761701</v>
      </c>
      <c r="O156" s="226"/>
      <c r="P156" s="226"/>
      <c r="Q156" s="229"/>
      <c r="R156" s="243"/>
      <c r="S156" s="250">
        <f t="shared" si="128"/>
        <v>1</v>
      </c>
      <c r="T156" s="243" t="str">
        <f t="shared" si="129"/>
        <v>NorthBound</v>
      </c>
      <c r="U156" s="24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9" t="str">
        <f t="shared" si="111"/>
        <v>https://d0f6bd738d7f1b3e5a7ca70fe4ff75f0.us-east-1.aws.found.io/app/kibana#/discover/Steve-Slow-Train-Analysis-(2080s-and-2083s)?_g=(refreshInterval:(display:Off,pause:!f,section:0,value:0),time:(from:'2017-11-29T22:22:36-0700',mode:absolute,to:'2017-11-30T01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6" s="248" t="str">
        <f>IF(AA156&lt;VLOOKUP(AG156,Variables!$AC$3:$AD$8,2,FALSE),"Y","N")</f>
        <v>N</v>
      </c>
      <c r="X156" s="248">
        <f>VALUE(LEFT(AD156,4))-VALUE(LEFT(AD155,4))</f>
        <v>1</v>
      </c>
      <c r="Y156" s="248">
        <f>RIGHT(D156,LEN(D156)-4)/10000</f>
        <v>5.7000000000000002E-2</v>
      </c>
      <c r="Z156" s="248">
        <f>RIGHT(H156,LEN(H156)-4)/10000</f>
        <v>23.3249</v>
      </c>
      <c r="AA156" s="248">
        <f t="shared" si="130"/>
        <v>23.267900000000001</v>
      </c>
      <c r="AB156" s="234" t="e">
        <f>VLOOKUP(A156,Enforcements!$C$7:$K$9,8,0)</f>
        <v>#N/A</v>
      </c>
      <c r="AC156" s="233" t="e">
        <f>VLOOKUP(A156,Enforcements!$C$7:$E$9,3,0)</f>
        <v>#N/A</v>
      </c>
      <c r="AD156" s="244">
        <f t="shared" si="131"/>
        <v>239</v>
      </c>
      <c r="AE156" s="236" t="str">
        <f t="shared" si="112"/>
        <v>aws s3 cp s3://rtdc.mdm.uploadarchive.raw/RTDC4026/ "%USERPROFILE%\AppData\Local\Temp\OnboardLogs"\RTDC4026\2017-11-29 --exclude "*" --recursive --include "*20171129*" &amp; "%USERPROFILE%\Documents\GitHub\mrs-test-scripts\Headless Mode &amp; Sideloading\WalkAndUnGZ.bat" "%USERPROFILE%\AppData\Local\Temp\OnboardLogs"\RTDC4026\2017-11-29 &amp; aws s3 cp s3://rtdc.mdm.uploadarchive.raw/RTDC4026/ "%USERPROFILE%\AppData\Local\Temp\OnboardLogs"\RTDC4026\2017-11-30 --exclude "*" --recursive --include "*20171130*" &amp; "%USERPROFILE%\Documents\GitHub\mrs-test-scripts\Headless Mode &amp; Sideloading\WalkAndUnGZ.bat" "%USERPROFILE%\AppData\Local\Temp\OnboardLogs"\RTDC4026\2017-11-30</v>
      </c>
      <c r="AF156" s="235" t="str">
        <f t="shared" si="113"/>
        <v>"C:\Program Files (x86)\AstroGrep\AstroGrep.exe" /e /r /s /spath="%USERPROFILE%\AppData\Local\Temp\OnboardLogs" /stypes="app*4026*20171130*" /stext=" 07:.+((SYSTEM_STATE.+slice.+state.+changed )|(ment ac)|(multiple cpu faults)|(system.+state.+changed )|(\[timeout)|(PRM\|1\|D)|(kpr)|(kdp)|(train st.+moving)|(\|lc)|(penalty))"</v>
      </c>
      <c r="AG156" s="245" t="str">
        <f t="shared" si="132"/>
        <v>EC</v>
      </c>
      <c r="AH156" s="237" t="str">
        <f t="shared" si="121"/>
        <v>"%USERPROFILE%\Documents\GitHub\eaglep3\Utilities\RefineRTDCRunTimes.py" --tripid 239-29 --locoid 4026 --swversion DE.1.0.9.0 --startMP 204:570 --initTime 2017-11-29T23:22:36 --startdatetime 2017-11-29T23:30:23 --delay 62 --endMP 204:233249 --enddatetime 2017-11-30T00:05:57 --enforcementcount 0 &gt;&gt;%USERPROFILE%\Documents\GitHub\eaglep3-reporting\EC\2017-11-29-refined-times.txt</v>
      </c>
      <c r="AI156" s="239" t="str">
        <f t="shared" si="122"/>
        <v>echo {"issue":{"subject":"","project_id":79,"tracker_id":40,"status_id":1,"priority_id":2,"assigned_to_id":338,"start_date":"2017-11-30","description":"","custom_fields":[{"id":1,"name":"Subdivision","value":"EC"},{"id":4,"name":"Milepost","value":"23.3249"},{"id":17,"name":"Train ID","value":"239-29"},{"id":16,"name":"Locomotive ID","value":"4026"},{"id":130,"name":"Impact","value":""},{"id":150,"name":"Time of Event (Mountain Time)","value":"00:05:57"},{"id":151,"name":"Denver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6" s="224"/>
      <c r="AK156" s="232"/>
      <c r="AL156" s="232"/>
      <c r="AM156" s="241" t="str">
        <f t="shared" si="123"/>
        <v>start /low /b %USERPROFILE%\Documents\GitHub\eaglep3\Utilities\DownloadLogsFromS3.py --loco 4026 --day 2017-11-29</v>
      </c>
      <c r="AN156" s="242" t="str">
        <f t="shared" si="124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07:05:57"},{"id":29,"name":"Sharepoint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1" t="str">
        <f t="shared" si="125"/>
        <v>https://d0f6bd738d7f1b3e5a7ca70fe4ff75f0.us-east-1.aws.found.io/app/kibana#/discover/Steve-Slow-Train-Analysis-(2080s-and-2083s)?_g=(refreshInterval:(display:Off,pause:!f,section:0,value:0),time:(from:'2017-11-29T22:22:36-0700',mode:absolute,to:'2017-11-30T01:05:57-0700'))&amp;_a=(columns:!('Message%20ID',Summary),filters:!(),index:'emp_*',interval:auto,query:(query_string:(analyze_wildcard:!t,query:'%22rtdc.l.rtdc.4026%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24" customFormat="1" x14ac:dyDescent="0.25">
      <c r="A157" s="230" t="s">
        <v>869</v>
      </c>
      <c r="B157" s="226">
        <v>4025</v>
      </c>
      <c r="C157" s="228" t="s">
        <v>192</v>
      </c>
      <c r="D157" s="228" t="s">
        <v>468</v>
      </c>
      <c r="E157" s="227">
        <v>43068.974027777775</v>
      </c>
      <c r="F157" s="227">
        <v>43069.018935185188</v>
      </c>
      <c r="G157" s="226">
        <v>62</v>
      </c>
      <c r="H157" s="228" t="s">
        <v>571</v>
      </c>
      <c r="I157" s="227">
        <v>43069.044224537036</v>
      </c>
      <c r="J157" s="226">
        <v>0</v>
      </c>
      <c r="K157" s="238" t="str">
        <f t="shared" si="126"/>
        <v>4025/4026</v>
      </c>
      <c r="L157" s="246" t="str">
        <f>VLOOKUP(A157,'Trips&amp;Operators'!$C$1:$G$99911,5,FALSE)</f>
        <v>RESPASS AARON</v>
      </c>
      <c r="M157" s="225">
        <f t="shared" si="127"/>
        <v>2.5289351848186925E-2</v>
      </c>
      <c r="N157" s="226">
        <f t="shared" si="139"/>
        <v>36.416666661389172</v>
      </c>
      <c r="O157" s="226"/>
      <c r="P157" s="226"/>
      <c r="Q157" s="229"/>
      <c r="R157" s="243"/>
      <c r="S157" s="250">
        <f t="shared" si="128"/>
        <v>1</v>
      </c>
      <c r="T157" s="243" t="str">
        <f t="shared" si="129"/>
        <v>Southbound</v>
      </c>
      <c r="U157" s="24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9" t="str">
        <f t="shared" si="111"/>
        <v>https://d0f6bd738d7f1b3e5a7ca70fe4ff75f0.us-east-1.aws.found.io/app/kibana#/discover/Steve-Slow-Train-Analysis-(2080s-and-2083s)?_g=(refreshInterval:(display:Off,pause:!f,section:0,value:0),time:(from:'2017-11-29T22:22:36-0700',mode:absolute,to:'2017-11-30T02:03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7" s="248" t="str">
        <f>IF(AA157&lt;VLOOKUP(AG157,Variables!$AC$3:$AD$8,2,FALSE),"Y","N")</f>
        <v>N</v>
      </c>
      <c r="X157" s="248">
        <f t="shared" ref="X157:X159" si="140">VALUE(LEFT(AD157,4))-VALUE(LEFT(AD156,4))</f>
        <v>1</v>
      </c>
      <c r="Y157" s="248">
        <v>23.287199999999999</v>
      </c>
      <c r="Z157" s="248">
        <v>2.5600000000000001E-2</v>
      </c>
      <c r="AA157" s="248">
        <f t="shared" si="130"/>
        <v>23.261599999999998</v>
      </c>
      <c r="AB157" s="234" t="e">
        <f>VLOOKUP(A157,Enforcements!$C$7:$K$9,8,0)</f>
        <v>#N/A</v>
      </c>
      <c r="AC157" s="233" t="e">
        <f>VLOOKUP(A157,Enforcements!$C$7:$E$9,3,0)</f>
        <v>#N/A</v>
      </c>
      <c r="AD157" s="244">
        <f t="shared" si="131"/>
        <v>240</v>
      </c>
      <c r="AE157" s="236" t="str">
        <f t="shared" si="112"/>
        <v>aws s3 cp s3://rtdc.mdm.uploadarchive.raw/RTDC4025/ "%USERPROFILE%\AppData\Local\Temp\OnboardLogs"\RTDC4025\2017-11-30 --exclude "*" --recursive --include "*20171130*" &amp; "%USERPROFILE%\Documents\GitHub\mrs-test-scripts\Headless Mode &amp; Sideloading\WalkAndUnGZ.bat" "%USERPROFILE%\AppData\Local\Temp\OnboardLogs"\RTDC4025\2017-11-30 &amp; aws s3 cp s3://rtdc.mdm.uploadarchive.raw/RTDC4025/ "%USERPROFILE%\AppData\Local\Temp\OnboardLogs"\RTDC4025\2017-12-01 --exclude "*" --recursive --include "*20171201*" &amp; "%USERPROFILE%\Documents\GitHub\mrs-test-scripts\Headless Mode &amp; Sideloading\WalkAndUnGZ.bat" "%USERPROFILE%\AppData\Local\Temp\OnboardLogs"\RTDC4025\2017-12-01</v>
      </c>
      <c r="AF157" s="235" t="str">
        <f t="shared" si="113"/>
        <v>"C:\Program Files (x86)\AstroGrep\AstroGrep.exe" /e /r /s /spath="%USERPROFILE%\AppData\Local\Temp\OnboardLogs" /stypes="app*4025*20171130*" /stext=" 08:.+((SYSTEM_STATE.+slice.+state.+changed )|(ment ac)|(multiple cpu faults)|(system.+state.+changed )|(\[timeout)|(PRM\|1\|D)|(kpr)|(kdp)|(train st.+moving)|(\|lc)|(penalty))"</v>
      </c>
      <c r="AG157" s="245" t="str">
        <f t="shared" si="132"/>
        <v>EC</v>
      </c>
      <c r="AH157" s="237" t="str">
        <f t="shared" ref="AH157" si="141"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"&amp;J157&amp;IF(outputrefinedruntimes," &gt;&gt;"&amp;RefinedRTDCRunTimesOutputFile,"")</f>
        <v>"%USERPROFILE%\Documents\GitHub\eaglep3\Utilities\RefineRTDCRunTimes.py" --tripid 240-29 --locoid 4025 --swversion DE.1.0.9.0 --startMP 204:570 --initTime 2017-11-29T23:22:36 --startdatetime 2017-11-30T00:27:16 --delay 62 --endMP 204:233249 --enddatetime 2017-11-30T01:03:41 --enforcementcount 0 &gt;&gt;%USERPROFILE%\Documents\GitHub\eaglep3-reporting\EC\2017-11-29-refined-times.txt</v>
      </c>
      <c r="AI157" s="239" t="str">
        <f t="shared" ref="AI157" si="142">"echo {""issue"":{""subject"":"""&amp;R157&amp;""",""project_id"":79,""tracker_id"":40,""status_id"":"&amp;redmine_status&amp;",""priority_id"":"&amp;redmine_priority&amp;",""assigned_to_id"":"&amp;redmine_assignee&amp;",""start_date"":"""&amp;TEXT(I157,"YYYY-mm-dd")&amp;""",""description"":"""&amp;AJ157&amp;""",""custom_fields"":[{""id"":1,""name"":""Subdivision"",""value"":"""&amp;AG157&amp;"""},{""id"":4,""name"":""Milepost"",""value"":"""&amp;Z157&amp;"""},{""id"":17,""name"":""Train ID"",""value"":"""&amp;A157&amp;"""},{""id"":16,""name"":""Locomotive ID"",""value"":"""&amp;B157&amp;"""},{""id"":130,""name"":""Impact"",""value"":"""&amp;AK157&amp;"""},{""id"":150,""name"":""Time of Event (Mountain Time)"",""value"":"""&amp;TEXT(I157,"hh:mm:ss")&amp;"""},{""id"":151,""name"":""Denver Issue ID"",""value"":"""&amp;"""},{""id"":178,""name"":""Operational Impact"",""value"":"""&amp;redmine_op_impact&amp;"""},{""id"":179,""name"":""Denver Segment Assigned"",""value"":"""&amp;AL157&amp;"""}]}}"&amp;"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{"issue":{"subject":"","project_id":79,"tracker_id":40,"status_id":1,"priority_id":2,"assigned_to_id":338,"start_date":"2017-11-30","description":"","custom_fields":[{"id":1,"name":"Subdivision","value":"EC"},{"id":4,"name":"Milepost","value":"0.0256"},{"id":17,"name":"Train ID","value":"240-29"},{"id":16,"name":"Locomotive ID","value":"4025"},{"id":130,"name":"Impact","value":""},{"id":150,"name":"Time of Event (Mountain Time)","value":"01:03:41"},{"id":151,"name":"Denver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232"/>
      <c r="AL157" s="232"/>
      <c r="AM157" s="241" t="str">
        <f t="shared" ref="AM157" si="143">"start /low /b "&amp;dls3logs&amp;" --loco "&amp;B157&amp;" --day "&amp;TEXT(F157,"YYYY-MM-DD")</f>
        <v>start /low /b %USERPROFILE%\Documents\GitHub\eaglep3\Utilities\DownloadLogsFromS3.py --loco 4025 --day 2017-11-30</v>
      </c>
      <c r="AN157" s="242" t="str">
        <f t="shared" ref="AN157" si="144">"echo {""issue"":{""subject"":"""&amp;R157&amp;""",""project_id"":30,""tracker_id"":4,""status_id"":"&amp;redmine_status_wcr&amp;",""priority_id"":"&amp;redmine_priority_wcr&amp;",""assigned_to_id"":"&amp;redmine_assignee_wcr&amp;",""start_date"":"""&amp;TEXT(I157-utc_offset/24,"YYYY-mm-dd")&amp;""",""description"":"""&amp;AJ157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08:03:41"},{"id":29,"name":"Sharepoint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1" t="str">
        <f t="shared" ref="AO157" si="145"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Message%20ID',Summary),filters:!(),index:'emp_*',interval:auto,query:"&amp;"(query_string:(analyze_wildcard:!t,query:'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-11-29T22:22:36-0700',mode:absolute,to:'2017-11-30T02:03:41-0700'))&amp;_a=(columns:!('Message%20ID',Summary),filters:!(),index:'emp_*',interval:auto,query:(query_string:(analyze_wildcard:!t,query:'%22rtdc.l.rtdc.4025%22')),sort:!(Time.ISO8601,asc))</v>
      </c>
    </row>
    <row r="158" spans="1:91" s="224" customFormat="1" x14ac:dyDescent="0.25">
      <c r="A158" s="230" t="s">
        <v>867</v>
      </c>
      <c r="B158" s="226">
        <v>4002</v>
      </c>
      <c r="C158" s="228" t="s">
        <v>192</v>
      </c>
      <c r="D158" s="228" t="s">
        <v>589</v>
      </c>
      <c r="E158" s="227">
        <v>43068.985706018517</v>
      </c>
      <c r="F158" s="227">
        <v>43069.000196759262</v>
      </c>
      <c r="G158" s="226">
        <v>61</v>
      </c>
      <c r="H158" s="228" t="s">
        <v>974</v>
      </c>
      <c r="I158" s="227">
        <v>43069.024293981478</v>
      </c>
      <c r="J158" s="226">
        <v>0</v>
      </c>
      <c r="K158" s="238" t="str">
        <f t="shared" si="126"/>
        <v>4001/4002</v>
      </c>
      <c r="L158" s="246" t="str">
        <f>VLOOKUP(A158,'Trips&amp;Operators'!$C$1:$G$99911,5,FALSE)</f>
        <v>LOZA FIDEL</v>
      </c>
      <c r="M158" s="225">
        <f t="shared" si="127"/>
        <v>2.4097222216369119E-2</v>
      </c>
      <c r="N158" s="226">
        <f t="shared" si="139"/>
        <v>34.699999991571531</v>
      </c>
      <c r="O158" s="226"/>
      <c r="P158" s="226"/>
      <c r="Q158" s="229"/>
      <c r="R158" s="243"/>
      <c r="S158" s="250">
        <f t="shared" si="128"/>
        <v>1</v>
      </c>
      <c r="T158" s="243" t="str">
        <f t="shared" si="129"/>
        <v>NorthBound</v>
      </c>
      <c r="U158" s="24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9" t="str">
        <f t="shared" si="111"/>
        <v>https://d0f6bd738d7f1b3e5a7ca70fe4ff75f0.us-east-1.aws.found.io/app/kibana#/discover/Steve-Slow-Train-Analysis-(2080s-and-2083s)?_g=(refreshInterval:(display:Off,pause:!f,section:0,value:0),time:(from:'2017-11-29T22:39:25-0700',mode:absolute,to:'2017-11-30T01:34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8" s="248" t="str">
        <f>IF(AA158&lt;VLOOKUP(AG158,Variables!$AC$3:$AD$8,2,FALSE),"Y","N")</f>
        <v>N</v>
      </c>
      <c r="X158" s="248">
        <f t="shared" si="140"/>
        <v>1</v>
      </c>
      <c r="Y158" s="248">
        <f t="shared" ref="Y158:Y170" si="146">RIGHT(D158,LEN(D158)-4)/10000</f>
        <v>5.1999999999999998E-2</v>
      </c>
      <c r="Z158" s="248">
        <f t="shared" ref="Z158:Z170" si="147">RIGHT(H158,LEN(H158)-4)/10000</f>
        <v>23.3264</v>
      </c>
      <c r="AA158" s="248">
        <f t="shared" si="130"/>
        <v>23.2744</v>
      </c>
      <c r="AB158" s="234" t="e">
        <f>VLOOKUP(A158,Enforcements!$C$7:$K$9,8,0)</f>
        <v>#N/A</v>
      </c>
      <c r="AC158" s="233" t="e">
        <f>VLOOKUP(A158,Enforcements!$C$7:$E$9,3,0)</f>
        <v>#N/A</v>
      </c>
      <c r="AD158" s="244">
        <f t="shared" si="131"/>
        <v>241</v>
      </c>
      <c r="AE158" s="236" t="str">
        <f t="shared" si="112"/>
        <v>aws s3 cp s3://rtdc.mdm.uploadarchive.raw/RTDC4002/ "%USERPROFILE%\AppData\Local\Temp\OnboardLogs"\RTDC4002\2017-11-30 --exclude "*" --recursive --include "*20171130*" &amp; "%USERPROFILE%\Documents\GitHub\mrs-test-scripts\Headless Mode &amp; Sideloading\WalkAndUnGZ.bat" "%USERPROFILE%\AppData\Local\Temp\OnboardLogs"\RTDC4002\2017-11-30 &amp; aws s3 cp s3://rtdc.mdm.uploadarchive.raw/RTDC4002/ "%USERPROFILE%\AppData\Local\Temp\OnboardLogs"\RTDC4002\2017-12-01 --exclude "*" --recursive --include "*20171201*" &amp; "%USERPROFILE%\Documents\GitHub\mrs-test-scripts\Headless Mode &amp; Sideloading\WalkAndUnGZ.bat" "%USERPROFILE%\AppData\Local\Temp\OnboardLogs"\RTDC4002\2017-12-01</v>
      </c>
      <c r="AF158" s="235" t="str">
        <f t="shared" si="113"/>
        <v>"C:\Program Files (x86)\AstroGrep\AstroGrep.exe" /e /r /s /spath="%USERPROFILE%\AppData\Local\Temp\OnboardLogs" /stypes="app*4002*20171130*" /stext=" 07:.+((SYSTEM_STATE.+slice.+state.+changed )|(ment ac)|(multiple cpu faults)|(system.+state.+changed )|(\[timeout)|(PRM\|1\|D)|(kpr)|(kdp)|(train st.+moving)|(\|lc)|(penalty))"</v>
      </c>
      <c r="AG158" s="245" t="str">
        <f t="shared" si="132"/>
        <v>EC</v>
      </c>
      <c r="AH158" s="237" t="str">
        <f t="shared" si="121"/>
        <v>"%USERPROFILE%\Documents\GitHub\eaglep3\Utilities\RefineRTDCRunTimes.py" --tripid 241-29 --locoid 4002 --swversion DE.1.0.9.0 --startMP 204:520 --initTime 2017-11-29T23:39:25 --startdatetime 2017-11-30T00:00:17 --delay 61 --endMP 204:233264 --enddatetime 2017-11-30T00:34:59 --enforcementcount 0 &gt;&gt;%USERPROFILE%\Documents\GitHub\eaglep3-reporting\EC\2017-11-29-refined-times.txt</v>
      </c>
      <c r="AI158" s="239" t="str">
        <f t="shared" si="122"/>
        <v>echo {"issue":{"subject":"","project_id":79,"tracker_id":40,"status_id":1,"priority_id":2,"assigned_to_id":338,"start_date":"2017-11-30","description":"","custom_fields":[{"id":1,"name":"Subdivision","value":"EC"},{"id":4,"name":"Milepost","value":"23.3264"},{"id":17,"name":"Train ID","value":"241-29"},{"id":16,"name":"Locomotive ID","value":"4002"},{"id":130,"name":"Impact","value":""},{"id":150,"name":"Time of Event (Mountain Time)","value":"00:34:59"},{"id":151,"name":"Denver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232"/>
      <c r="AL158" s="232"/>
      <c r="AM158" s="241" t="str">
        <f t="shared" si="123"/>
        <v>start /low /b %USERPROFILE%\Documents\GitHub\eaglep3\Utilities\DownloadLogsFromS3.py --loco 4002 --day 2017-11-30</v>
      </c>
      <c r="AN158" s="242" t="str">
        <f t="shared" si="124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07:34:59"},{"id":29,"name":"Sharepoint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1" t="str">
        <f t="shared" si="125"/>
        <v>https://d0f6bd738d7f1b3e5a7ca70fe4ff75f0.us-east-1.aws.found.io/app/kibana#/discover/Steve-Slow-Train-Analysis-(2080s-and-2083s)?_g=(refreshInterval:(display:Off,pause:!f,section:0,value:0),time:(from:'2017-11-29T22:39:25-0700',mode:absolute,to:'2017-11-30T01:34:59-0700'))&amp;_a=(columns:!('Message%20ID',Summary),filters:!(),index:'emp_*',interval:auto,query:(query_string:(analyze_wildcard:!t,query:'%22rtdc.l.rtdc.4002%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230" t="s">
        <v>872</v>
      </c>
      <c r="B159" s="226">
        <v>4001</v>
      </c>
      <c r="C159" s="228" t="s">
        <v>192</v>
      </c>
      <c r="D159" s="228" t="s">
        <v>553</v>
      </c>
      <c r="E159" s="227">
        <v>43069.037835648145</v>
      </c>
      <c r="F159" s="227">
        <v>43069.03979166667</v>
      </c>
      <c r="G159" s="226">
        <v>56</v>
      </c>
      <c r="H159" s="228" t="s">
        <v>507</v>
      </c>
      <c r="I159" s="227">
        <v>43069.065162037034</v>
      </c>
      <c r="J159" s="226">
        <v>0</v>
      </c>
      <c r="K159" s="238" t="str">
        <f t="shared" si="126"/>
        <v>4001/4002</v>
      </c>
      <c r="L159" s="246" t="str">
        <f>VLOOKUP(A159,'Trips&amp;Operators'!$C$1:$G$99911,5,FALSE)</f>
        <v>LOZA FIDEL</v>
      </c>
      <c r="M159" s="225">
        <f t="shared" si="127"/>
        <v>2.5370370363816619E-2</v>
      </c>
      <c r="N159" s="226">
        <f t="shared" si="139"/>
        <v>36.533333323895931</v>
      </c>
      <c r="O159" s="226"/>
      <c r="P159" s="226"/>
      <c r="Q159" s="229"/>
      <c r="R159" s="243"/>
      <c r="S159" s="250">
        <f t="shared" si="128"/>
        <v>1</v>
      </c>
      <c r="T159" s="243" t="str">
        <f t="shared" si="129"/>
        <v>Southbound</v>
      </c>
      <c r="U159" s="24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49" t="str">
        <f t="shared" si="111"/>
        <v>https://d0f6bd738d7f1b3e5a7ca70fe4ff75f0.us-east-1.aws.found.io/app/kibana#/discover/Steve-Slow-Train-Analysis-(2080s-and-2083s)?_g=(refreshInterval:(display:Off,pause:!f,section:0,value:0),time:(from:'2017-11-29T23:54:29-0700',mode:absolute,to:'2017-11-30T02:33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9" s="248" t="str">
        <f>IF(AA159&lt;VLOOKUP(AG159,Variables!$AC$3:$AD$8,2,FALSE),"Y","N")</f>
        <v>N</v>
      </c>
      <c r="X159" s="248">
        <f t="shared" si="140"/>
        <v>1</v>
      </c>
      <c r="Y159" s="248">
        <f t="shared" si="146"/>
        <v>23.296199999999999</v>
      </c>
      <c r="Z159" s="248">
        <f t="shared" si="147"/>
        <v>2.2499999999999999E-2</v>
      </c>
      <c r="AA159" s="248">
        <f t="shared" si="130"/>
        <v>23.273699999999998</v>
      </c>
      <c r="AB159" s="234" t="e">
        <f>VLOOKUP(A159,Enforcements!$C$7:$K$9,8,0)</f>
        <v>#N/A</v>
      </c>
      <c r="AC159" s="233" t="e">
        <f>VLOOKUP(A159,Enforcements!$C$7:$E$9,3,0)</f>
        <v>#N/A</v>
      </c>
      <c r="AD159" s="244">
        <f t="shared" si="131"/>
        <v>242</v>
      </c>
      <c r="AE159" s="236" t="str">
        <f t="shared" si="112"/>
        <v>aws s3 cp s3://rtdc.mdm.uploadarchive.raw/RTDC4001/ "%USERPROFILE%\AppData\Local\Temp\OnboardLogs"\RTDC4001\2017-11-30 --exclude "*" --recursive --include "*20171130*" &amp; "%USERPROFILE%\Documents\GitHub\mrs-test-scripts\Headless Mode &amp; Sideloading\WalkAndUnGZ.bat" "%USERPROFILE%\AppData\Local\Temp\OnboardLogs"\RTDC4001\2017-11-30 &amp; aws s3 cp s3://rtdc.mdm.uploadarchive.raw/RTDC4001/ "%USERPROFILE%\AppData\Local\Temp\OnboardLogs"\RTDC4001\2017-12-01 --exclude "*" --recursive --include "*20171201*" &amp; "%USERPROFILE%\Documents\GitHub\mrs-test-scripts\Headless Mode &amp; Sideloading\WalkAndUnGZ.bat" "%USERPROFILE%\AppData\Local\Temp\OnboardLogs"\RTDC4001\2017-12-01</v>
      </c>
      <c r="AF159" s="235" t="str">
        <f t="shared" si="113"/>
        <v>"C:\Program Files (x86)\AstroGrep\AstroGrep.exe" /e /r /s /spath="%USERPROFILE%\AppData\Local\Temp\OnboardLogs" /stypes="app*4001*20171130*" /stext=" 08:.+((SYSTEM_STATE.+slice.+state.+changed )|(ment ac)|(multiple cpu faults)|(system.+state.+changed )|(\[timeout)|(PRM\|1\|D)|(kpr)|(kdp)|(train st.+moving)|(\|lc)|(penalty))"</v>
      </c>
      <c r="AG159" s="245" t="str">
        <f t="shared" si="132"/>
        <v>EC</v>
      </c>
      <c r="AH159" s="237" t="str">
        <f t="shared" si="121"/>
        <v>"%USERPROFILE%\Documents\GitHub\eaglep3\Utilities\RefineRTDCRunTimes.py" --tripid 242-29 --locoid 4001 --swversion DE.1.0.9.0 --startMP 204:232962 --initTime 2017-11-30T00:54:29 --startdatetime 2017-11-30T00:57:18 --delay 56 --endMP 204:225 --enddatetime 2017-11-30T01:33:50 --enforcementcount 0 &gt;&gt;%USERPROFILE%\Documents\GitHub\eaglep3-reporting\EC\2017-11-29-refined-times.txt</v>
      </c>
      <c r="AI159" s="239" t="str">
        <f t="shared" si="122"/>
        <v>echo {"issue":{"subject":"","project_id":79,"tracker_id":40,"status_id":1,"priority_id":2,"assigned_to_id":338,"start_date":"2017-11-30","description":"","custom_fields":[{"id":1,"name":"Subdivision","value":"EC"},{"id":4,"name":"Milepost","value":"0.0225"},{"id":17,"name":"Train ID","value":"242-29"},{"id":16,"name":"Locomotive ID","value":"4001"},{"id":130,"name":"Impact","value":""},{"id":150,"name":"Time of Event (Mountain Time)","value":"01:33:50"},{"id":151,"name":"Denver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9" s="224"/>
      <c r="AK159" s="232"/>
      <c r="AL159" s="232"/>
      <c r="AM159" s="241" t="str">
        <f t="shared" si="123"/>
        <v>start /low /b %USERPROFILE%\Documents\GitHub\eaglep3\Utilities\DownloadLogsFromS3.py --loco 4001 --day 2017-11-30</v>
      </c>
      <c r="AN159" s="242" t="str">
        <f t="shared" si="124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08:33:50"},{"id":29,"name":"Sharepoint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1" t="str">
        <f t="shared" si="125"/>
        <v>https://d0f6bd738d7f1b3e5a7ca70fe4ff75f0.us-east-1.aws.found.io/app/kibana#/discover/Steve-Slow-Train-Analysis-(2080s-and-2083s)?_g=(refreshInterval:(display:Off,pause:!f,section:0,value:0),time:(from:'2017-11-29T23:54:29-0700',mode:absolute,to:'2017-11-30T02:33:50-0700'))&amp;_a=(columns:!('Message%20ID',Summary),filters:!(),index:'emp_*',interval:auto,query:(query_string:(analyze_wildcard:!t,query:'%22rtdc.l.rtdc.4001%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230" t="s">
        <v>870</v>
      </c>
      <c r="B160" s="226">
        <v>4006</v>
      </c>
      <c r="C160" s="228" t="s">
        <v>192</v>
      </c>
      <c r="D160" s="228" t="s">
        <v>509</v>
      </c>
      <c r="E160" s="227">
        <v>43069.019409722219</v>
      </c>
      <c r="F160" s="227">
        <v>43069.021365740744</v>
      </c>
      <c r="G160" s="226">
        <v>52</v>
      </c>
      <c r="H160" s="228" t="s">
        <v>571</v>
      </c>
      <c r="I160" s="227">
        <v>43069.046840277777</v>
      </c>
      <c r="J160" s="226">
        <v>0</v>
      </c>
      <c r="K160" s="238" t="str">
        <f t="shared" si="126"/>
        <v>4005/4006</v>
      </c>
      <c r="L160" s="246" t="str">
        <f>VLOOKUP(A160,'Trips&amp;Operators'!$C$1:$G$99911,5,FALSE)</f>
        <v>ANDERS STEVEN</v>
      </c>
      <c r="M160" s="225">
        <f t="shared" si="127"/>
        <v>2.5474537033005618E-2</v>
      </c>
      <c r="N160" s="226">
        <f t="shared" si="139"/>
        <v>36.683333327528089</v>
      </c>
      <c r="O160" s="226"/>
      <c r="P160" s="226"/>
      <c r="Q160" s="229"/>
      <c r="R160" s="243"/>
      <c r="S160" s="250">
        <f t="shared" si="128"/>
        <v>1</v>
      </c>
      <c r="T160" s="243" t="str">
        <f t="shared" si="129"/>
        <v>NorthBound</v>
      </c>
      <c r="U160" s="24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49" t="str">
        <f t="shared" si="111"/>
        <v>https://d0f6bd738d7f1b3e5a7ca70fe4ff75f0.us-east-1.aws.found.io/app/kibana#/discover/Steve-Slow-Train-Analysis-(2080s-and-2083s)?_g=(refreshInterval:(display:Off,pause:!f,section:0,value:0),time:(from:'2017-11-29T23:27:57-0700',mode:absolute,to:'2017-11-30T02:07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0" s="248" t="str">
        <f>IF(AA160&lt;VLOOKUP(AG160,Variables!$AC$3:$AD$8,2,FALSE),"Y","N")</f>
        <v>N</v>
      </c>
      <c r="X160" s="248">
        <f t="shared" ref="X160:X191" si="148">VALUE(LEFT(AD160,4))-VALUE(LEFT(AD159,4))</f>
        <v>1</v>
      </c>
      <c r="Y160" s="248">
        <f t="shared" si="146"/>
        <v>5.2900000000000003E-2</v>
      </c>
      <c r="Z160" s="248">
        <f t="shared" si="147"/>
        <v>23.3249</v>
      </c>
      <c r="AA160" s="248">
        <f t="shared" si="130"/>
        <v>23.271999999999998</v>
      </c>
      <c r="AB160" s="234" t="e">
        <f>VLOOKUP(A160,Enforcements!$C$7:$K$9,8,0)</f>
        <v>#N/A</v>
      </c>
      <c r="AC160" s="233" t="e">
        <f>VLOOKUP(A160,Enforcements!$C$7:$E$9,3,0)</f>
        <v>#N/A</v>
      </c>
      <c r="AD160" s="244">
        <f t="shared" si="131"/>
        <v>243</v>
      </c>
      <c r="AE160" s="236" t="str">
        <f t="shared" si="112"/>
        <v>aws s3 cp s3://rtdc.mdm.uploadarchive.raw/RTDC4006/ "%USERPROFILE%\AppData\Local\Temp\OnboardLogs"\RTDC4006\2017-11-30 --exclude "*" --recursive --include "*20171130*" &amp; "%USERPROFILE%\Documents\GitHub\mrs-test-scripts\Headless Mode &amp; Sideloading\WalkAndUnGZ.bat" "%USERPROFILE%\AppData\Local\Temp\OnboardLogs"\RTDC4006\2017-11-30 &amp; aws s3 cp s3://rtdc.mdm.uploadarchive.raw/RTDC4006/ "%USERPROFILE%\AppData\Local\Temp\OnboardLogs"\RTDC4006\2017-12-01 --exclude "*" --recursive --include "*20171201*" &amp; "%USERPROFILE%\Documents\GitHub\mrs-test-scripts\Headless Mode &amp; Sideloading\WalkAndUnGZ.bat" "%USERPROFILE%\AppData\Local\Temp\OnboardLogs"\RTDC4006\2017-12-01</v>
      </c>
      <c r="AF160" s="235" t="str">
        <f t="shared" si="113"/>
        <v>"C:\Program Files (x86)\AstroGrep\AstroGrep.exe" /e /r /s /spath="%USERPROFILE%\AppData\Local\Temp\OnboardLogs" /stypes="app*4006*20171130*" /stext=" 08:.+((SYSTEM_STATE.+slice.+state.+changed )|(ment ac)|(multiple cpu faults)|(system.+state.+changed )|(\[timeout)|(PRM\|1\|D)|(kpr)|(kdp)|(train st.+moving)|(\|lc)|(penalty))"</v>
      </c>
      <c r="AG160" s="245" t="str">
        <f t="shared" si="132"/>
        <v>EC</v>
      </c>
      <c r="AH160" s="237" t="str">
        <f t="shared" si="121"/>
        <v>"%USERPROFILE%\Documents\GitHub\eaglep3\Utilities\RefineRTDCRunTimes.py" --tripid 243-29 --locoid 4006 --swversion DE.1.0.9.0 --startMP 204:529 --initTime 2017-11-30T00:27:57 --startdatetime 2017-11-30T00:30:46 --delay 52 --endMP 204:233249 --enddatetime 2017-11-30T01:07:27 --enforcementcount 0 &gt;&gt;%USERPROFILE%\Documents\GitHub\eaglep3-reporting\EC\2017-11-29-refined-times.txt</v>
      </c>
      <c r="AI160" s="239" t="str">
        <f t="shared" si="122"/>
        <v>echo {"issue":{"subject":"","project_id":79,"tracker_id":40,"status_id":1,"priority_id":2,"assigned_to_id":338,"start_date":"2017-11-30","description":"","custom_fields":[{"id":1,"name":"Subdivision","value":"EC"},{"id":4,"name":"Milepost","value":"23.3249"},{"id":17,"name":"Train ID","value":"243-29"},{"id":16,"name":"Locomotive ID","value":"4006"},{"id":130,"name":"Impact","value":""},{"id":150,"name":"Time of Event (Mountain Time)","value":"01:07:27"},{"id":151,"name":"Denver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0" s="224"/>
      <c r="AK160" s="232"/>
      <c r="AL160" s="232"/>
      <c r="AM160" s="241" t="str">
        <f t="shared" si="123"/>
        <v>start /low /b %USERPROFILE%\Documents\GitHub\eaglep3\Utilities\DownloadLogsFromS3.py --loco 4006 --day 2017-11-30</v>
      </c>
      <c r="AN160" s="242" t="str">
        <f t="shared" si="124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08:07:27"},{"id":29,"name":"Sharepoint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1" t="str">
        <f t="shared" si="125"/>
        <v>https://d0f6bd738d7f1b3e5a7ca70fe4ff75f0.us-east-1.aws.found.io/app/kibana#/discover/Steve-Slow-Train-Analysis-(2080s-and-2083s)?_g=(refreshInterval:(display:Off,pause:!f,section:0,value:0),time:(from:'2017-11-29T23:27:57-0700',mode:absolute,to:'2017-11-30T02:07:27-0700'))&amp;_a=(columns:!('Message%20ID',Summary),filters:!(),index:'emp_*',interval:auto,query:(query_string:(analyze_wildcard:!t,query:'%22rtdc.l.rtdc.4006%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230" t="s">
        <v>655</v>
      </c>
      <c r="B161" s="226">
        <v>4005</v>
      </c>
      <c r="C161" s="228" t="s">
        <v>192</v>
      </c>
      <c r="D161" s="228" t="s">
        <v>573</v>
      </c>
      <c r="E161" s="227">
        <v>43069.049756944441</v>
      </c>
      <c r="F161" s="227">
        <v>43069.060810185183</v>
      </c>
      <c r="G161" s="226">
        <v>54</v>
      </c>
      <c r="H161" s="228" t="s">
        <v>424</v>
      </c>
      <c r="I161" s="227">
        <v>43069.088055555556</v>
      </c>
      <c r="J161" s="226">
        <v>0</v>
      </c>
      <c r="K161" s="238" t="str">
        <f t="shared" si="126"/>
        <v>4005/4006</v>
      </c>
      <c r="L161" s="246" t="str">
        <f>VLOOKUP(A161,'Trips&amp;Operators'!$C$1:$G$99911,5,FALSE)</f>
        <v>ANDERS STEVEN</v>
      </c>
      <c r="M161" s="225">
        <f t="shared" si="127"/>
        <v>2.7245370372838806E-2</v>
      </c>
      <c r="N161" s="226">
        <f t="shared" si="139"/>
        <v>39.233333336887881</v>
      </c>
      <c r="O161" s="226"/>
      <c r="P161" s="226"/>
      <c r="Q161" s="229"/>
      <c r="R161" s="243"/>
      <c r="S161" s="250">
        <f t="shared" si="128"/>
        <v>1</v>
      </c>
      <c r="T161" s="243" t="str">
        <f t="shared" si="129"/>
        <v>Southbound</v>
      </c>
      <c r="U161" s="24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249" t="str">
        <f t="shared" si="111"/>
        <v>https://d0f6bd738d7f1b3e5a7ca70fe4ff75f0.us-east-1.aws.found.io/app/kibana#/discover/Steve-Slow-Train-Analysis-(2080s-and-2083s)?_g=(refreshInterval:(display:Off,pause:!f,section:0,value:0),time:(from:'2017-11-30T00:11:39-0700',mode:absolute,to:'2017-11-30T03:06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1" s="248" t="str">
        <f>IF(AA161&lt;VLOOKUP(AG161,Variables!$AC$3:$AD$8,2,FALSE),"Y","N")</f>
        <v>N</v>
      </c>
      <c r="X161" s="248">
        <f t="shared" si="148"/>
        <v>1</v>
      </c>
      <c r="Y161" s="248">
        <f t="shared" si="146"/>
        <v>23.2913</v>
      </c>
      <c r="Z161" s="248">
        <f t="shared" si="147"/>
        <v>2.1999999999999999E-2</v>
      </c>
      <c r="AA161" s="248">
        <f t="shared" si="130"/>
        <v>23.269300000000001</v>
      </c>
      <c r="AB161" s="234" t="e">
        <f>VLOOKUP(A161,Enforcements!$C$7:$K$9,8,0)</f>
        <v>#N/A</v>
      </c>
      <c r="AC161" s="233" t="e">
        <f>VLOOKUP(A161,Enforcements!$C$7:$E$9,3,0)</f>
        <v>#N/A</v>
      </c>
      <c r="AD161" s="244">
        <f t="shared" si="131"/>
        <v>244</v>
      </c>
      <c r="AE161" s="236" t="str">
        <f t="shared" si="112"/>
        <v>aws s3 cp s3://rtdc.mdm.uploadarchive.raw/RTDC4005/ "%USERPROFILE%\AppData\Local\Temp\OnboardLogs"\RTDC4005\2017-11-30 --exclude "*" --recursive --include "*20171130*" &amp; "%USERPROFILE%\Documents\GitHub\mrs-test-scripts\Headless Mode &amp; Sideloading\WalkAndUnGZ.bat" "%USERPROFILE%\AppData\Local\Temp\OnboardLogs"\RTDC4005\2017-11-30 &amp; aws s3 cp s3://rtdc.mdm.uploadarchive.raw/RTDC4005/ "%USERPROFILE%\AppData\Local\Temp\OnboardLogs"\RTDC4005\2017-12-01 --exclude "*" --recursive --include "*20171201*" &amp; "%USERPROFILE%\Documents\GitHub\mrs-test-scripts\Headless Mode &amp; Sideloading\WalkAndUnGZ.bat" "%USERPROFILE%\AppData\Local\Temp\OnboardLogs"\RTDC4005\2017-12-01</v>
      </c>
      <c r="AF161" s="235" t="str">
        <f t="shared" si="113"/>
        <v>"C:\Program Files (x86)\AstroGrep\AstroGrep.exe" /e /r /s /spath="%USERPROFILE%\AppData\Local\Temp\OnboardLogs" /stypes="app*4005*20171130*" /stext=" 09:.+((SYSTEM_STATE.+slice.+state.+changed )|(ment ac)|(multiple cpu faults)|(system.+state.+changed )|(\[timeout)|(PRM\|1\|D)|(kpr)|(kdp)|(train st.+moving)|(\|lc)|(penalty))"</v>
      </c>
      <c r="AG161" s="245" t="str">
        <f t="shared" si="132"/>
        <v>EC</v>
      </c>
      <c r="AH161" s="237" t="str">
        <f t="shared" si="121"/>
        <v>"%USERPROFILE%\Documents\GitHub\eaglep3\Utilities\RefineRTDCRunTimes.py" --tripid 244-29 --locoid 4005 --swversion DE.1.0.9.0 --startMP 204:232913 --initTime 2017-11-30T01:11:39 --startdatetime 2017-11-30T01:27:34 --delay 54 --endMP 204:220 --enddatetime 2017-11-30T02:06:48 --enforcementcount 0 &gt;&gt;%USERPROFILE%\Documents\GitHub\eaglep3-reporting\EC\2017-11-29-refined-times.txt</v>
      </c>
      <c r="AI161" s="239" t="str">
        <f t="shared" si="122"/>
        <v>echo {"issue":{"subject":"","project_id":79,"tracker_id":40,"status_id":1,"priority_id":2,"assigned_to_id":338,"start_date":"2017-11-30","description":"","custom_fields":[{"id":1,"name":"Subdivision","value":"EC"},{"id":4,"name":"Milepost","value":"0.022"},{"id":17,"name":"Train ID","value":"244-29"},{"id":16,"name":"Locomotive ID","value":"4005"},{"id":130,"name":"Impact","value":""},{"id":150,"name":"Time of Event (Mountain Time)","value":"02:06:48"},{"id":151,"name":"Denver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1" s="224"/>
      <c r="AK161" s="232"/>
      <c r="AL161" s="232"/>
      <c r="AM161" s="241" t="str">
        <f t="shared" si="123"/>
        <v>start /low /b %USERPROFILE%\Documents\GitHub\eaglep3\Utilities\DownloadLogsFromS3.py --loco 4005 --day 2017-11-30</v>
      </c>
      <c r="AN161" s="242" t="str">
        <f t="shared" si="124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09:06:48"},{"id":29,"name":"Sharepoint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1" t="str">
        <f t="shared" si="125"/>
        <v>https://d0f6bd738d7f1b3e5a7ca70fe4ff75f0.us-east-1.aws.found.io/app/kibana#/discover/Steve-Slow-Train-Analysis-(2080s-and-2083s)?_g=(refreshInterval:(display:Off,pause:!f,section:0,value:0),time:(from:'2017-11-30T00:11:39-0700',mode:absolute,to:'2017-11-30T03:06:48-0700'))&amp;_a=(columns:!('Message%20ID',Summary),filters:!(),index:'emp_*',interval:auto,query:(query_string:(analyze_wildcard:!t,query:'%22rtdc.l.rtdc.4005%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230" t="s">
        <v>676</v>
      </c>
      <c r="B162" s="226">
        <v>4017</v>
      </c>
      <c r="C162" s="228" t="s">
        <v>192</v>
      </c>
      <c r="D162" s="228" t="s">
        <v>1041</v>
      </c>
      <c r="E162" s="227">
        <v>43068.211562500001</v>
      </c>
      <c r="F162" s="227">
        <v>43068.213506944441</v>
      </c>
      <c r="G162" s="226">
        <v>61</v>
      </c>
      <c r="H162" s="228" t="s">
        <v>1042</v>
      </c>
      <c r="I162" s="227">
        <v>43068.22556712963</v>
      </c>
      <c r="J162" s="226">
        <v>0</v>
      </c>
      <c r="K162" s="238" t="str">
        <f t="shared" si="126"/>
        <v>4017/4018</v>
      </c>
      <c r="L162" s="246" t="str">
        <f>VLOOKUP(A162,'Trips&amp;Operators'!$C$1:$G$99911,5,FALSE)</f>
        <v>LAMAR NEKESHA</v>
      </c>
      <c r="M162" s="225">
        <f t="shared" si="127"/>
        <v>1.206018518860219E-2</v>
      </c>
      <c r="N162" s="226">
        <f t="shared" si="139"/>
        <v>17.366666671587154</v>
      </c>
      <c r="O162" s="226"/>
      <c r="P162" s="226"/>
      <c r="Q162" s="229"/>
      <c r="R162" s="243"/>
      <c r="S162" s="250">
        <f t="shared" si="128"/>
        <v>1</v>
      </c>
      <c r="T162" s="243" t="str">
        <f t="shared" si="129"/>
        <v>Southbound</v>
      </c>
      <c r="U162" s="24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9" t="str">
        <f t="shared" si="111"/>
        <v>https://d0f6bd738d7f1b3e5a7ca70fe4ff75f0.us-east-1.aws.found.io/app/kibana#/discover/Steve-Slow-Train-Analysis-(2080s-and-2083s)?_g=(refreshInterval:(display:Off,pause:!f,section:0,value:0),time:(from:'2017-11-29T04:04:39-0700',mode:absolute,to:'2017-11-29T06:24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2" s="248" t="str">
        <f>IF(AA162&lt;VLOOKUP(AG162,Variables!$AC$3:$AD$8,2,FALSE),"Y","N")</f>
        <v>N</v>
      </c>
      <c r="X162" s="248">
        <f t="shared" si="148"/>
        <v>556</v>
      </c>
      <c r="Y162" s="248">
        <f t="shared" si="146"/>
        <v>5.8674999999999997</v>
      </c>
      <c r="Z162" s="248">
        <f t="shared" si="147"/>
        <v>7.0300000000000001E-2</v>
      </c>
      <c r="AA162" s="248">
        <f t="shared" si="130"/>
        <v>5.7972000000000001</v>
      </c>
      <c r="AB162" s="234" t="e">
        <f>VLOOKUP(A162,Enforcements!$C$7:$K$9,8,0)</f>
        <v>#N/A</v>
      </c>
      <c r="AC162" s="233" t="e">
        <f>VLOOKUP(A162,Enforcements!$C$7:$E$9,3,0)</f>
        <v>#N/A</v>
      </c>
      <c r="AD162" s="244">
        <f t="shared" si="131"/>
        <v>800</v>
      </c>
      <c r="AE162" s="236" t="str">
        <f t="shared" si="112"/>
        <v>aws s3 cp s3://rtdc.mdm.uploadarchive.raw/RTDC4017/ "%USERPROFILE%\AppData\Local\Temp\OnboardLogs"\RTDC4017\2017-11-29 --exclude "*" --recursive --include "*20171129*" &amp; "%USERPROFILE%\Documents\GitHub\mrs-test-scripts\Headless Mode &amp; Sideloading\WalkAndUnGZ.bat" "%USERPROFILE%\AppData\Local\Temp\OnboardLogs"\RTDC4017\2017-11-29 &amp; aws s3 cp s3://rtdc.mdm.uploadarchive.raw/RTDC4017/ "%USERPROFILE%\AppData\Local\Temp\OnboardLogs"\RTDC4017\2017-11-30 --exclude "*" --recursive --include "*20171130*" &amp; "%USERPROFILE%\Documents\GitHub\mrs-test-scripts\Headless Mode &amp; Sideloading\WalkAndUnGZ.bat" "%USERPROFILE%\AppData\Local\Temp\OnboardLogs"\RTDC4017\2017-11-30</v>
      </c>
      <c r="AF162" s="235" t="str">
        <f t="shared" si="113"/>
        <v>"C:\Program Files (x86)\AstroGrep\AstroGrep.exe" /e /r /s /spath="%USERPROFILE%\AppData\Local\Temp\OnboardLogs" /stypes="app*4017*20171129*" /stext=" 12:.+((SYSTEM_STATE.+slice.+state.+changed )|(ment ac)|(multiple cpu faults)|(system.+state.+changed )|(\[timeout)|(PRM\|1\|D)|(kpr)|(kdp)|(train st.+moving)|(\|lc)|(penalty))"</v>
      </c>
      <c r="AG162" s="245" t="str">
        <f t="shared" si="132"/>
        <v>NW</v>
      </c>
      <c r="AH162" s="237" t="str">
        <f t="shared" si="121"/>
        <v>"%USERPROFILE%\Documents\GitHub\eaglep3\Utilities\RefineRTDCRunTimes.py" --tripid 800-29 --locoid 4017 --swversion DE.1.0.9.0 --startMP 300:58675 --initTime 2017-11-29T05:04:39 --startdatetime 2017-11-29T05:07:27 --delay 61 --endMP 204:703 --enddatetime 2017-11-29T05:24:49 --enforcementcount 0 &gt;&gt;%USERPROFILE%\Documents\GitHub\eaglep3-reporting\EC\2017-11-29-refined-times.txt</v>
      </c>
      <c r="AI162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{"issue":{"subject":"","project_id":79,"tracker_id":40,"status_id":1,"priority_id":2,"assigned_to_id":338,"start_date":"2017-11-29","description":"","custom_fields":[{"id":1,"name":"Subdivision","value":"NW"},{"id":4,"name":"Milepost","value":"0.0703"},{"id":17,"name":"Train ID","value":"800-29"},{"id":16,"name":"Locomotive ID","value":"4017"},{"id":130,"name":"Impact","value":""},{"id":150,"name":"Time of Event (Mountain Time)","value":"05:24:49"},{"id":151,"name":"Denver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2" s="224"/>
      <c r="AK162" s="232"/>
      <c r="AL162" s="232"/>
      <c r="AM162" s="241" t="str">
        <f t="shared" si="123"/>
        <v>start /low /b %USERPROFILE%\Documents\GitHub\eaglep3\Utilities\DownloadLogsFromS3.py --loco 4017 --day 2017-11-29</v>
      </c>
      <c r="AN162" s="242" t="str">
        <f t="shared" si="124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12:24:49"},{"id":29,"name":"Sharepoint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1" t="str">
        <f t="shared" si="125"/>
        <v>https://d0f6bd738d7f1b3e5a7ca70fe4ff75f0.us-east-1.aws.found.io/app/kibana#/discover/Steve-Slow-Train-Analysis-(2080s-and-2083s)?_g=(refreshInterval:(display:Off,pause:!f,section:0,value:0),time:(from:'2017-11-29T04:04:39-0700',mode:absolute,to:'2017-11-29T06:24:49-0700'))&amp;_a=(columns:!('Message%20ID',Summary),filters:!(),index:'emp_*',interval:auto,query:(query_string:(analyze_wildcard:!t,query:'%22rtdc.l.rtdc.4017%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230" t="s">
        <v>682</v>
      </c>
      <c r="B163" s="226">
        <v>4018</v>
      </c>
      <c r="C163" s="228" t="s">
        <v>192</v>
      </c>
      <c r="D163" s="228" t="s">
        <v>1043</v>
      </c>
      <c r="E163" s="227">
        <v>43068.228692129633</v>
      </c>
      <c r="F163" s="227">
        <v>43068.236041666663</v>
      </c>
      <c r="G163" s="226">
        <v>65</v>
      </c>
      <c r="H163" s="228" t="s">
        <v>1044</v>
      </c>
      <c r="I163" s="227">
        <v>43068.245439814818</v>
      </c>
      <c r="J163" s="226">
        <v>0</v>
      </c>
      <c r="K163" s="238" t="str">
        <f t="shared" si="126"/>
        <v>4017/4018</v>
      </c>
      <c r="L163" s="246" t="str">
        <f>VLOOKUP(A163,'Trips&amp;Operators'!$C$1:$G$99911,5,FALSE)</f>
        <v>LAMAR NEKESHA</v>
      </c>
      <c r="M163" s="225">
        <f t="shared" si="127"/>
        <v>9.3981481550144963E-3</v>
      </c>
      <c r="N163" s="226">
        <f t="shared" si="139"/>
        <v>13.533333343220875</v>
      </c>
      <c r="O163" s="226"/>
      <c r="P163" s="226"/>
      <c r="Q163" s="229"/>
      <c r="R163" s="243"/>
      <c r="S163" s="250">
        <f t="shared" si="128"/>
        <v>1</v>
      </c>
      <c r="T163" s="243" t="str">
        <f t="shared" si="129"/>
        <v>NorthBound</v>
      </c>
      <c r="U163" s="24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9" t="str">
        <f t="shared" si="111"/>
        <v>https://d0f6bd738d7f1b3e5a7ca70fe4ff75f0.us-east-1.aws.found.io/app/kibana#/discover/Steve-Slow-Train-Analysis-(2080s-and-2083s)?_g=(refreshInterval:(display:Off,pause:!f,section:0,value:0),time:(from:'2017-11-29T04:29:19-0700',mode:absolute,to:'2017-11-29T06:53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3" s="248" t="str">
        <f>IF(AA163&lt;VLOOKUP(AG163,Variables!$AC$3:$AD$8,2,FALSE),"Y","N")</f>
        <v>N</v>
      </c>
      <c r="X163" s="248">
        <f t="shared" si="148"/>
        <v>1</v>
      </c>
      <c r="Y163" s="248">
        <f t="shared" si="146"/>
        <v>0.13819999999999999</v>
      </c>
      <c r="Z163" s="248">
        <f t="shared" si="147"/>
        <v>5.8975999999999997</v>
      </c>
      <c r="AA163" s="248">
        <f t="shared" si="130"/>
        <v>5.7593999999999994</v>
      </c>
      <c r="AB163" s="234" t="e">
        <f>VLOOKUP(A163,Enforcements!$C$7:$K$9,8,0)</f>
        <v>#N/A</v>
      </c>
      <c r="AC163" s="233" t="e">
        <f>VLOOKUP(A163,Enforcements!$C$7:$E$9,3,0)</f>
        <v>#N/A</v>
      </c>
      <c r="AD163" s="244">
        <f t="shared" si="131"/>
        <v>801</v>
      </c>
      <c r="AE163" s="236" t="str">
        <f t="shared" si="112"/>
        <v>aws s3 cp s3://rtdc.mdm.uploadarchive.raw/RTDC4018/ "%USERPROFILE%\AppData\Local\Temp\OnboardLogs"\RTDC4018\2017-11-29 --exclude "*" --recursive --include "*20171129*" &amp; "%USERPROFILE%\Documents\GitHub\mrs-test-scripts\Headless Mode &amp; Sideloading\WalkAndUnGZ.bat" "%USERPROFILE%\AppData\Local\Temp\OnboardLogs"\RTDC4018\2017-11-29 &amp; aws s3 cp s3://rtdc.mdm.uploadarchive.raw/RTDC4018/ "%USERPROFILE%\AppData\Local\Temp\OnboardLogs"\RTDC4018\2017-11-30 --exclude "*" --recursive --include "*20171130*" &amp; "%USERPROFILE%\Documents\GitHub\mrs-test-scripts\Headless Mode &amp; Sideloading\WalkAndUnGZ.bat" "%USERPROFILE%\AppData\Local\Temp\OnboardLogs"\RTDC4018\2017-11-30</v>
      </c>
      <c r="AF163" s="235" t="str">
        <f t="shared" si="113"/>
        <v>"C:\Program Files (x86)\AstroGrep\AstroGrep.exe" /e /r /s /spath="%USERPROFILE%\AppData\Local\Temp\OnboardLogs" /stypes="app*4018*20171129*" /stext=" 12:.+((SYSTEM_STATE.+slice.+state.+changed )|(ment ac)|(multiple cpu faults)|(system.+state.+changed )|(\[timeout)|(PRM\|1\|D)|(kpr)|(kdp)|(train st.+moving)|(\|lc)|(penalty))"</v>
      </c>
      <c r="AG163" s="245" t="str">
        <f t="shared" si="132"/>
        <v>NW</v>
      </c>
      <c r="AH163" s="237" t="str">
        <f t="shared" si="121"/>
        <v>"%USERPROFILE%\Documents\GitHub\eaglep3\Utilities\RefineRTDCRunTimes.py" --tripid 801-29 --locoid 4018 --swversion DE.1.0.9.0 --startMP 204:1382 --initTime 2017-11-29T05:29:19 --startdatetime 2017-11-29T05:39:54 --delay 65 --endMP 300:58976 --enddatetime 2017-11-29T05:53:26 --enforcementcount 0 &gt;&gt;%USERPROFILE%\Documents\GitHub\eaglep3-reporting\EC\2017-11-29-refined-times.txt</v>
      </c>
      <c r="AI163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{"issue":{"subject":"","project_id":79,"tracker_id":40,"status_id":1,"priority_id":2,"assigned_to_id":338,"start_date":"2017-11-29","description":"","custom_fields":[{"id":1,"name":"Subdivision","value":"NW"},{"id":4,"name":"Milepost","value":"5.8976"},{"id":17,"name":"Train ID","value":"801-29"},{"id":16,"name":"Locomotive ID","value":"4018"},{"id":130,"name":"Impact","value":""},{"id":150,"name":"Time of Event (Mountain Time)","value":"05:53:26"},{"id":151,"name":"Denver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4"/>
      <c r="AK163" s="232"/>
      <c r="AL163" s="232"/>
      <c r="AM163" s="241" t="str">
        <f t="shared" si="123"/>
        <v>start /low /b %USERPROFILE%\Documents\GitHub\eaglep3\Utilities\DownloadLogsFromS3.py --loco 4018 --day 2017-11-29</v>
      </c>
      <c r="AN163" s="242" t="str">
        <f t="shared" si="124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12:53:26"},{"id":29,"name":"Sharepoint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1" t="str">
        <f t="shared" si="125"/>
        <v>https://d0f6bd738d7f1b3e5a7ca70fe4ff75f0.us-east-1.aws.found.io/app/kibana#/discover/Steve-Slow-Train-Analysis-(2080s-and-2083s)?_g=(refreshInterval:(display:Off,pause:!f,section:0,value:0),time:(from:'2017-11-29T04:29:19-0700',mode:absolute,to:'2017-11-29T06:53:26-0700'))&amp;_a=(columns:!('Message%20ID',Summary),filters:!(),index:'emp_*',interval:auto,query:(query_string:(analyze_wildcard:!t,query:'%22rtdc.l.rtdc.4018%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230" t="s">
        <v>688</v>
      </c>
      <c r="B164" s="226">
        <v>4017</v>
      </c>
      <c r="C164" s="228" t="s">
        <v>192</v>
      </c>
      <c r="D164" s="228" t="s">
        <v>1045</v>
      </c>
      <c r="E164" s="227">
        <v>43068.246724537035</v>
      </c>
      <c r="F164" s="227">
        <v>43068.260416666664</v>
      </c>
      <c r="G164" s="226">
        <v>54</v>
      </c>
      <c r="H164" s="228" t="s">
        <v>1046</v>
      </c>
      <c r="I164" s="227">
        <v>43068.266909722224</v>
      </c>
      <c r="J164" s="226">
        <v>0</v>
      </c>
      <c r="K164" s="238" t="str">
        <f t="shared" si="126"/>
        <v>4017/4018</v>
      </c>
      <c r="L164" s="246" t="str">
        <f>VLOOKUP(A164,'Trips&amp;Operators'!$C$1:$G$99911,5,FALSE)</f>
        <v>LAMAR NEKESHA</v>
      </c>
      <c r="M164" s="225">
        <f t="shared" si="127"/>
        <v>6.4930555599858053E-3</v>
      </c>
      <c r="N164" s="226">
        <f t="shared" si="139"/>
        <v>9.3500000063795596</v>
      </c>
      <c r="O164" s="226"/>
      <c r="P164" s="226"/>
      <c r="Q164" s="229"/>
      <c r="R164" s="243"/>
      <c r="S164" s="250">
        <f t="shared" si="128"/>
        <v>1</v>
      </c>
      <c r="T164" s="243" t="str">
        <f t="shared" si="129"/>
        <v>Southbound</v>
      </c>
      <c r="U164" s="24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9" t="str">
        <f t="shared" si="111"/>
        <v>https://d0f6bd738d7f1b3e5a7ca70fe4ff75f0.us-east-1.aws.found.io/app/kibana#/discover/Steve-Slow-Train-Analysis-(2080s-and-2083s)?_g=(refreshInterval:(display:Off,pause:!f,section:0,value:0),time:(from:'2017-11-29T04:55:17-0700',mode:absolute,to:'2017-11-29T07:24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4" s="248" t="str">
        <f>IF(AA164&lt;VLOOKUP(AG164,Variables!$AC$3:$AD$8,2,FALSE),"Y","N")</f>
        <v>N</v>
      </c>
      <c r="X164" s="248">
        <f t="shared" si="148"/>
        <v>1</v>
      </c>
      <c r="Y164" s="248">
        <f t="shared" si="146"/>
        <v>5.8662000000000001</v>
      </c>
      <c r="Z164" s="248">
        <f t="shared" si="147"/>
        <v>7.22E-2</v>
      </c>
      <c r="AA164" s="248">
        <f t="shared" si="130"/>
        <v>5.7940000000000005</v>
      </c>
      <c r="AB164" s="234" t="e">
        <f>VLOOKUP(A164,Enforcements!$C$7:$K$9,8,0)</f>
        <v>#N/A</v>
      </c>
      <c r="AC164" s="233" t="e">
        <f>VLOOKUP(A164,Enforcements!$C$7:$E$9,3,0)</f>
        <v>#N/A</v>
      </c>
      <c r="AD164" s="244">
        <f t="shared" si="131"/>
        <v>802</v>
      </c>
      <c r="AE164" s="236" t="str">
        <f t="shared" si="112"/>
        <v>aws s3 cp s3://rtdc.mdm.uploadarchive.raw/RTDC4017/ "%USERPROFILE%\AppData\Local\Temp\OnboardLogs"\RTDC4017\2017-11-29 --exclude "*" --recursive --include "*20171129*" &amp; "%USERPROFILE%\Documents\GitHub\mrs-test-scripts\Headless Mode &amp; Sideloading\WalkAndUnGZ.bat" "%USERPROFILE%\AppData\Local\Temp\OnboardLogs"\RTDC4017\2017-11-29 &amp; aws s3 cp s3://rtdc.mdm.uploadarchive.raw/RTDC4017/ "%USERPROFILE%\AppData\Local\Temp\OnboardLogs"\RTDC4017\2017-11-30 --exclude "*" --recursive --include "*20171130*" &amp; "%USERPROFILE%\Documents\GitHub\mrs-test-scripts\Headless Mode &amp; Sideloading\WalkAndUnGZ.bat" "%USERPROFILE%\AppData\Local\Temp\OnboardLogs"\RTDC4017\2017-11-30</v>
      </c>
      <c r="AF164" s="235" t="str">
        <f t="shared" si="113"/>
        <v>"C:\Program Files (x86)\AstroGrep\AstroGrep.exe" /e /r /s /spath="%USERPROFILE%\AppData\Local\Temp\OnboardLogs" /stypes="app*4017*20171129*" /stext=" 13:.+((SYSTEM_STATE.+slice.+state.+changed )|(ment ac)|(multiple cpu faults)|(system.+state.+changed )|(\[timeout)|(PRM\|1\|D)|(kpr)|(kdp)|(train st.+moving)|(\|lc)|(penalty))"</v>
      </c>
      <c r="AG164" s="245" t="str">
        <f t="shared" si="132"/>
        <v>NW</v>
      </c>
      <c r="AH164" s="237" t="str">
        <f t="shared" si="121"/>
        <v>"%USERPROFILE%\Documents\GitHub\eaglep3\Utilities\RefineRTDCRunTimes.py" --tripid 802-29 --locoid 4017 --swversion DE.1.0.9.0 --startMP 300:58662 --initTime 2017-11-29T05:55:17 --startdatetime 2017-11-29T06:15:00 --delay 54 --endMP 204:722 --enddatetime 2017-11-29T06:24:21 --enforcementcount 0 &gt;&gt;%USERPROFILE%\Documents\GitHub\eaglep3-reporting\EC\2017-11-29-refined-times.txt</v>
      </c>
      <c r="AI164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{"issue":{"subject":"","project_id":79,"tracker_id":40,"status_id":1,"priority_id":2,"assigned_to_id":338,"start_date":"2017-11-29","description":"","custom_fields":[{"id":1,"name":"Subdivision","value":"NW"},{"id":4,"name":"Milepost","value":"0.0722"},{"id":17,"name":"Train ID","value":"802-29"},{"id":16,"name":"Locomotive ID","value":"4017"},{"id":130,"name":"Impact","value":""},{"id":150,"name":"Time of Event (Mountain Time)","value":"06:24:21"},{"id":151,"name":"Denver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4" s="224"/>
      <c r="AK164" s="232"/>
      <c r="AL164" s="232"/>
      <c r="AM164" s="241" t="str">
        <f t="shared" si="123"/>
        <v>start /low /b %USERPROFILE%\Documents\GitHub\eaglep3\Utilities\DownloadLogsFromS3.py --loco 4017 --day 2017-11-29</v>
      </c>
      <c r="AN164" s="242" t="str">
        <f t="shared" si="124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13:24:21"},{"id":29,"name":"Sharepoint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1" t="str">
        <f t="shared" si="125"/>
        <v>https://d0f6bd738d7f1b3e5a7ca70fe4ff75f0.us-east-1.aws.found.io/app/kibana#/discover/Steve-Slow-Train-Analysis-(2080s-and-2083s)?_g=(refreshInterval:(display:Off,pause:!f,section:0,value:0),time:(from:'2017-11-29T04:55:17-0700',mode:absolute,to:'2017-11-29T07:24:21-0700'))&amp;_a=(columns:!('Message%20ID',Summary),filters:!(),index:'emp_*',interval:auto,query:(query_string:(analyze_wildcard:!t,query:'%22rtdc.l.rtdc.4017%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24" customFormat="1" x14ac:dyDescent="0.25">
      <c r="A165" s="230" t="s">
        <v>689</v>
      </c>
      <c r="B165" s="226">
        <v>4032</v>
      </c>
      <c r="C165" s="228" t="s">
        <v>192</v>
      </c>
      <c r="D165" s="228" t="s">
        <v>1047</v>
      </c>
      <c r="E165" s="227">
        <v>43068.25068287037</v>
      </c>
      <c r="F165" s="227">
        <v>43068.256724537037</v>
      </c>
      <c r="G165" s="226">
        <v>80</v>
      </c>
      <c r="H165" s="228" t="s">
        <v>1048</v>
      </c>
      <c r="I165" s="227">
        <v>43068.266851851855</v>
      </c>
      <c r="J165" s="226">
        <v>0</v>
      </c>
      <c r="K165" s="238" t="str">
        <f t="shared" si="126"/>
        <v>4031/4032</v>
      </c>
      <c r="L165" s="246" t="str">
        <f>VLOOKUP(A165,'Trips&amp;Operators'!$C$1:$G$99911,5,FALSE)</f>
        <v>LONG FULLER</v>
      </c>
      <c r="M165" s="225">
        <f t="shared" si="127"/>
        <v>1.0127314817509614E-2</v>
      </c>
      <c r="N165" s="226">
        <f t="shared" si="139"/>
        <v>14.583333337213844</v>
      </c>
      <c r="O165" s="226"/>
      <c r="P165" s="226"/>
      <c r="Q165" s="229"/>
      <c r="R165" s="243"/>
      <c r="S165" s="250">
        <f t="shared" si="128"/>
        <v>1</v>
      </c>
      <c r="T165" s="243" t="str">
        <f t="shared" si="129"/>
        <v>NorthBound</v>
      </c>
      <c r="U165" s="24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9" t="str">
        <f t="shared" si="111"/>
        <v>https://d0f6bd738d7f1b3e5a7ca70fe4ff75f0.us-east-1.aws.found.io/app/kibana#/discover/Steve-Slow-Train-Analysis-(2080s-and-2083s)?_g=(refreshInterval:(display:Off,pause:!f,section:0,value:0),time:(from:'2017-11-29T05:00:59-0700',mode:absolute,to:'2017-11-29T07:24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5" s="248" t="str">
        <f>IF(AA165&lt;VLOOKUP(AG165,Variables!$AC$3:$AD$8,2,FALSE),"Y","N")</f>
        <v>N</v>
      </c>
      <c r="X165" s="248">
        <f t="shared" si="148"/>
        <v>1</v>
      </c>
      <c r="Y165" s="248">
        <f t="shared" si="146"/>
        <v>0.1139</v>
      </c>
      <c r="Z165" s="248">
        <f t="shared" si="147"/>
        <v>5.8978000000000002</v>
      </c>
      <c r="AA165" s="248">
        <f t="shared" si="130"/>
        <v>5.7839</v>
      </c>
      <c r="AB165" s="234" t="e">
        <f>VLOOKUP(A165,Enforcements!$C$7:$K$9,8,0)</f>
        <v>#N/A</v>
      </c>
      <c r="AC165" s="233" t="e">
        <f>VLOOKUP(A165,Enforcements!$C$7:$E$9,3,0)</f>
        <v>#N/A</v>
      </c>
      <c r="AD165" s="244">
        <f t="shared" si="131"/>
        <v>803</v>
      </c>
      <c r="AE165" s="236" t="str">
        <f t="shared" si="112"/>
        <v>aws s3 cp s3://rtdc.mdm.uploadarchive.raw/RTDC4032/ "%USERPROFILE%\AppData\Local\Temp\OnboardLogs"\RTDC4032\2017-11-29 --exclude "*" --recursive --include "*20171129*" &amp; "%USERPROFILE%\Documents\GitHub\mrs-test-scripts\Headless Mode &amp; Sideloading\WalkAndUnGZ.bat" "%USERPROFILE%\AppData\Local\Temp\OnboardLogs"\RTDC4032\2017-11-29 &amp; aws s3 cp s3://rtdc.mdm.uploadarchive.raw/RTDC4032/ "%USERPROFILE%\AppData\Local\Temp\OnboardLogs"\RTDC4032\2017-11-30 --exclude "*" --recursive --include "*20171130*" &amp; "%USERPROFILE%\Documents\GitHub\mrs-test-scripts\Headless Mode &amp; Sideloading\WalkAndUnGZ.bat" "%USERPROFILE%\AppData\Local\Temp\OnboardLogs"\RTDC4032\2017-11-30</v>
      </c>
      <c r="AF165" s="235" t="str">
        <f t="shared" si="113"/>
        <v>"C:\Program Files (x86)\AstroGrep\AstroGrep.exe" /e /r /s /spath="%USERPROFILE%\AppData\Local\Temp\OnboardLogs" /stypes="app*4032*20171129*" /stext=" 13:.+((SYSTEM_STATE.+slice.+state.+changed )|(ment ac)|(multiple cpu faults)|(system.+state.+changed )|(\[timeout)|(PRM\|1\|D)|(kpr)|(kdp)|(train st.+moving)|(\|lc)|(penalty))"</v>
      </c>
      <c r="AG165" s="245" t="str">
        <f t="shared" si="132"/>
        <v>NW</v>
      </c>
      <c r="AH165" s="237" t="str">
        <f t="shared" si="121"/>
        <v>"%USERPROFILE%\Documents\GitHub\eaglep3\Utilities\RefineRTDCRunTimes.py" --tripid 803-29 --locoid 4032 --swversion DE.1.0.9.0 --startMP 204:1139 --initTime 2017-11-29T06:00:59 --startdatetime 2017-11-29T06:09:41 --delay 80 --endMP 300:58978 --enddatetime 2017-11-29T06:24:16 --enforcementcount 0 &gt;&gt;%USERPROFILE%\Documents\GitHub\eaglep3-reporting\EC\2017-11-29-refined-times.txt</v>
      </c>
      <c r="AI165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{"issue":{"subject":"","project_id":79,"tracker_id":40,"status_id":1,"priority_id":2,"assigned_to_id":338,"start_date":"2017-11-29","description":"","custom_fields":[{"id":1,"name":"Subdivision","value":"NW"},{"id":4,"name":"Milepost","value":"5.8978"},{"id":17,"name":"Train ID","value":"803-29"},{"id":16,"name":"Locomotive ID","value":"4032"},{"id":130,"name":"Impact","value":""},{"id":150,"name":"Time of Event (Mountain Time)","value":"06:24:16"},{"id":151,"name":"Denver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232"/>
      <c r="AL165" s="232"/>
      <c r="AM165" s="241" t="str">
        <f t="shared" si="123"/>
        <v>start /low /b %USERPROFILE%\Documents\GitHub\eaglep3\Utilities\DownloadLogsFromS3.py --loco 4032 --day 2017-11-29</v>
      </c>
      <c r="AN165" s="242" t="str">
        <f t="shared" si="124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13:24:16"},{"id":29,"name":"Sharepoint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1" t="str">
        <f t="shared" si="125"/>
        <v>https://d0f6bd738d7f1b3e5a7ca70fe4ff75f0.us-east-1.aws.found.io/app/kibana#/discover/Steve-Slow-Train-Analysis-(2080s-and-2083s)?_g=(refreshInterval:(display:Off,pause:!f,section:0,value:0),time:(from:'2017-11-29T05:00:59-0700',mode:absolute,to:'2017-11-29T07:24:16-0700'))&amp;_a=(columns:!('Message%20ID',Summary),filters:!(),index:'emp_*',interval:auto,query:(query_string:(analyze_wildcard:!t,query:'%22rtdc.l.rtdc.4032%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230" t="s">
        <v>694</v>
      </c>
      <c r="B166" s="226">
        <v>4031</v>
      </c>
      <c r="C166" s="228" t="s">
        <v>192</v>
      </c>
      <c r="D166" s="228" t="s">
        <v>1049</v>
      </c>
      <c r="E166" s="227">
        <v>43068.268078703702</v>
      </c>
      <c r="F166" s="227">
        <v>43068.279166666667</v>
      </c>
      <c r="G166" s="226">
        <v>50</v>
      </c>
      <c r="H166" s="228" t="s">
        <v>1050</v>
      </c>
      <c r="I166" s="227">
        <v>43068.287997685184</v>
      </c>
      <c r="J166" s="226">
        <v>0</v>
      </c>
      <c r="K166" s="238" t="str">
        <f t="shared" si="126"/>
        <v>4031/4032</v>
      </c>
      <c r="L166" s="246" t="str">
        <f>VLOOKUP(A166,'Trips&amp;Operators'!$C$1:$G$99911,5,FALSE)</f>
        <v>LONG FULLER</v>
      </c>
      <c r="M166" s="225">
        <f t="shared" si="127"/>
        <v>8.8310185165028088E-3</v>
      </c>
      <c r="N166" s="226">
        <f t="shared" si="139"/>
        <v>12.716666663764045</v>
      </c>
      <c r="O166" s="226"/>
      <c r="P166" s="226"/>
      <c r="Q166" s="229"/>
      <c r="R166" s="243"/>
      <c r="S166" s="250">
        <f t="shared" si="128"/>
        <v>1</v>
      </c>
      <c r="T166" s="243" t="str">
        <f t="shared" si="129"/>
        <v>Southbound</v>
      </c>
      <c r="U166" s="24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9" t="str">
        <f t="shared" si="111"/>
        <v>https://d0f6bd738d7f1b3e5a7ca70fe4ff75f0.us-east-1.aws.found.io/app/kibana#/discover/Steve-Slow-Train-Analysis-(2080s-and-2083s)?_g=(refreshInterval:(display:Off,pause:!f,section:0,value:0),time:(from:'2017-11-29T05:26:02-0700',mode:absolute,to:'2017-11-29T07:54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6" s="248" t="str">
        <f>IF(AA166&lt;VLOOKUP(AG166,Variables!$AC$3:$AD$8,2,FALSE),"Y","N")</f>
        <v>N</v>
      </c>
      <c r="X166" s="248">
        <f t="shared" si="148"/>
        <v>1</v>
      </c>
      <c r="Y166" s="248">
        <f t="shared" si="146"/>
        <v>5.8666</v>
      </c>
      <c r="Z166" s="248">
        <f t="shared" si="147"/>
        <v>8.5699999999999998E-2</v>
      </c>
      <c r="AA166" s="248">
        <f t="shared" si="130"/>
        <v>5.7808999999999999</v>
      </c>
      <c r="AB166" s="234" t="e">
        <f>VLOOKUP(A166,Enforcements!$C$7:$K$9,8,0)</f>
        <v>#N/A</v>
      </c>
      <c r="AC166" s="233" t="e">
        <f>VLOOKUP(A166,Enforcements!$C$7:$E$9,3,0)</f>
        <v>#N/A</v>
      </c>
      <c r="AD166" s="244">
        <f t="shared" si="131"/>
        <v>804</v>
      </c>
      <c r="AE166" s="236" t="str">
        <f t="shared" si="112"/>
        <v>aws s3 cp s3://rtdc.mdm.uploadarchive.raw/RTDC4031/ "%USERPROFILE%\AppData\Local\Temp\OnboardLogs"\RTDC4031\2017-11-29 --exclude "*" --recursive --include "*20171129*" &amp; "%USERPROFILE%\Documents\GitHub\mrs-test-scripts\Headless Mode &amp; Sideloading\WalkAndUnGZ.bat" "%USERPROFILE%\AppData\Local\Temp\OnboardLogs"\RTDC4031\2017-11-29 &amp; aws s3 cp s3://rtdc.mdm.uploadarchive.raw/RTDC4031/ "%USERPROFILE%\AppData\Local\Temp\OnboardLogs"\RTDC4031\2017-11-30 --exclude "*" --recursive --include "*20171130*" &amp; "%USERPROFILE%\Documents\GitHub\mrs-test-scripts\Headless Mode &amp; Sideloading\WalkAndUnGZ.bat" "%USERPROFILE%\AppData\Local\Temp\OnboardLogs"\RTDC4031\2017-11-30</v>
      </c>
      <c r="AF166" s="235" t="str">
        <f t="shared" si="113"/>
        <v>"C:\Program Files (x86)\AstroGrep\AstroGrep.exe" /e /r /s /spath="%USERPROFILE%\AppData\Local\Temp\OnboardLogs" /stypes="app*4031*20171129*" /stext=" 13:.+((SYSTEM_STATE.+slice.+state.+changed )|(ment ac)|(multiple cpu faults)|(system.+state.+changed )|(\[timeout)|(PRM\|1\|D)|(kpr)|(kdp)|(train st.+moving)|(\|lc)|(penalty))"</v>
      </c>
      <c r="AG166" s="245" t="str">
        <f t="shared" si="132"/>
        <v>NW</v>
      </c>
      <c r="AH166" s="237" t="str">
        <f t="shared" si="121"/>
        <v>"%USERPROFILE%\Documents\GitHub\eaglep3\Utilities\RefineRTDCRunTimes.py" --tripid 804-29 --locoid 4031 --swversion DE.1.0.9.0 --startMP 300:58666 --initTime 2017-11-29T06:26:02 --startdatetime 2017-11-29T06:42:00 --delay 50 --endMP 204:857 --enddatetime 2017-11-29T06:54:43 --enforcementcount 0 &gt;&gt;%USERPROFILE%\Documents\GitHub\eaglep3-reporting\EC\2017-11-29-refined-times.txt</v>
      </c>
      <c r="AI166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{"issue":{"subject":"","project_id":79,"tracker_id":40,"status_id":1,"priority_id":2,"assigned_to_id":338,"start_date":"2017-11-29","description":"","custom_fields":[{"id":1,"name":"Subdivision","value":"NW"},{"id":4,"name":"Milepost","value":"0.0857"},{"id":17,"name":"Train ID","value":"804-29"},{"id":16,"name":"Locomotive ID","value":"4031"},{"id":130,"name":"Impact","value":""},{"id":150,"name":"Time of Event (Mountain Time)","value":"06:54:43"},{"id":151,"name":"Denver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6" s="224"/>
      <c r="AK166" s="232"/>
      <c r="AL166" s="232"/>
      <c r="AM166" s="241" t="str">
        <f t="shared" si="123"/>
        <v>start /low /b %USERPROFILE%\Documents\GitHub\eaglep3\Utilities\DownloadLogsFromS3.py --loco 4031 --day 2017-11-29</v>
      </c>
      <c r="AN166" s="242" t="str">
        <f t="shared" si="124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13:54:43"},{"id":29,"name":"Sharepoint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1" t="str">
        <f t="shared" si="125"/>
        <v>https://d0f6bd738d7f1b3e5a7ca70fe4ff75f0.us-east-1.aws.found.io/app/kibana#/discover/Steve-Slow-Train-Analysis-(2080s-and-2083s)?_g=(refreshInterval:(display:Off,pause:!f,section:0,value:0),time:(from:'2017-11-29T05:26:02-0700',mode:absolute,to:'2017-11-29T07:54:43-0700'))&amp;_a=(columns:!('Message%20ID',Summary),filters:!(),index:'emp_*',interval:auto,query:(query_string:(analyze_wildcard:!t,query:'%22rtdc.l.rtdc.4031%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230" t="s">
        <v>695</v>
      </c>
      <c r="B167" s="226">
        <v>4018</v>
      </c>
      <c r="C167" s="228" t="s">
        <v>192</v>
      </c>
      <c r="D167" s="228" t="s">
        <v>1051</v>
      </c>
      <c r="E167" s="227">
        <v>43068.275300925925</v>
      </c>
      <c r="F167" s="227">
        <v>43068.277662037035</v>
      </c>
      <c r="G167" s="226">
        <v>56</v>
      </c>
      <c r="H167" s="228" t="s">
        <v>1052</v>
      </c>
      <c r="I167" s="227">
        <v>43068.287083333336</v>
      </c>
      <c r="J167" s="226">
        <v>0</v>
      </c>
      <c r="K167" s="238" t="str">
        <f t="shared" si="126"/>
        <v>4017/4018</v>
      </c>
      <c r="L167" s="246" t="str">
        <f>VLOOKUP(A167,'Trips&amp;Operators'!$C$1:$G$99911,5,FALSE)</f>
        <v>LAMAR NEKESHA</v>
      </c>
      <c r="M167" s="225">
        <f t="shared" si="127"/>
        <v>9.4212963012978435E-3</v>
      </c>
      <c r="N167" s="226">
        <f t="shared" si="139"/>
        <v>13.566666673868895</v>
      </c>
      <c r="O167" s="226"/>
      <c r="P167" s="226"/>
      <c r="Q167" s="229"/>
      <c r="R167" s="243"/>
      <c r="S167" s="250">
        <f t="shared" si="128"/>
        <v>1</v>
      </c>
      <c r="T167" s="243" t="str">
        <f t="shared" si="129"/>
        <v>NorthBound</v>
      </c>
      <c r="U167" s="24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9" t="str">
        <f t="shared" si="111"/>
        <v>https://d0f6bd738d7f1b3e5a7ca70fe4ff75f0.us-east-1.aws.found.io/app/kibana#/discover/Steve-Slow-Train-Analysis-(2080s-and-2083s)?_g=(refreshInterval:(display:Off,pause:!f,section:0,value:0),time:(from:'2017-11-29T05:36:26-0700',mode:absolute,to:'2017-11-29T07:53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7" s="248" t="str">
        <f>IF(AA167&lt;VLOOKUP(AG167,Variables!$AC$3:$AD$8,2,FALSE),"Y","N")</f>
        <v>N</v>
      </c>
      <c r="X167" s="248">
        <f t="shared" si="148"/>
        <v>1</v>
      </c>
      <c r="Y167" s="248">
        <f t="shared" si="146"/>
        <v>0.13750000000000001</v>
      </c>
      <c r="Z167" s="248">
        <f t="shared" si="147"/>
        <v>5.8993000000000002</v>
      </c>
      <c r="AA167" s="248">
        <f t="shared" si="130"/>
        <v>5.7618</v>
      </c>
      <c r="AB167" s="234" t="e">
        <f>VLOOKUP(A167,Enforcements!$C$7:$K$9,8,0)</f>
        <v>#N/A</v>
      </c>
      <c r="AC167" s="233" t="e">
        <f>VLOOKUP(A167,Enforcements!$C$7:$E$9,3,0)</f>
        <v>#N/A</v>
      </c>
      <c r="AD167" s="244">
        <f t="shared" si="131"/>
        <v>805</v>
      </c>
      <c r="AE167" s="236" t="str">
        <f t="shared" si="112"/>
        <v>aws s3 cp s3://rtdc.mdm.uploadarchive.raw/RTDC4018/ "%USERPROFILE%\AppData\Local\Temp\OnboardLogs"\RTDC4018\2017-11-29 --exclude "*" --recursive --include "*20171129*" &amp; "%USERPROFILE%\Documents\GitHub\mrs-test-scripts\Headless Mode &amp; Sideloading\WalkAndUnGZ.bat" "%USERPROFILE%\AppData\Local\Temp\OnboardLogs"\RTDC4018\2017-11-29 &amp; aws s3 cp s3://rtdc.mdm.uploadarchive.raw/RTDC4018/ "%USERPROFILE%\AppData\Local\Temp\OnboardLogs"\RTDC4018\2017-11-30 --exclude "*" --recursive --include "*20171130*" &amp; "%USERPROFILE%\Documents\GitHub\mrs-test-scripts\Headless Mode &amp; Sideloading\WalkAndUnGZ.bat" "%USERPROFILE%\AppData\Local\Temp\OnboardLogs"\RTDC4018\2017-11-30</v>
      </c>
      <c r="AF167" s="235" t="str">
        <f t="shared" si="113"/>
        <v>"C:\Program Files (x86)\AstroGrep\AstroGrep.exe" /e /r /s /spath="%USERPROFILE%\AppData\Local\Temp\OnboardLogs" /stypes="app*4018*20171129*" /stext=" 13:.+((SYSTEM_STATE.+slice.+state.+changed )|(ment ac)|(multiple cpu faults)|(system.+state.+changed )|(\[timeout)|(PRM\|1\|D)|(kpr)|(kdp)|(train st.+moving)|(\|lc)|(penalty))"</v>
      </c>
      <c r="AG167" s="245" t="str">
        <f t="shared" si="132"/>
        <v>NW</v>
      </c>
      <c r="AH167" s="237" t="str">
        <f t="shared" si="121"/>
        <v>"%USERPROFILE%\Documents\GitHub\eaglep3\Utilities\RefineRTDCRunTimes.py" --tripid 805-29 --locoid 4018 --swversion DE.1.0.9.0 --startMP 204:1375 --initTime 2017-11-29T06:36:26 --startdatetime 2017-11-29T06:39:50 --delay 56 --endMP 300:58993 --enddatetime 2017-11-29T06:53:24 --enforcementcount 0 &gt;&gt;%USERPROFILE%\Documents\GitHub\eaglep3-reporting\EC\2017-11-29-refined-times.txt</v>
      </c>
      <c r="AI167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{"issue":{"subject":"","project_id":79,"tracker_id":40,"status_id":1,"priority_id":2,"assigned_to_id":338,"start_date":"2017-11-29","description":"","custom_fields":[{"id":1,"name":"Subdivision","value":"NW"},{"id":4,"name":"Milepost","value":"5.8993"},{"id":17,"name":"Train ID","value":"805-29"},{"id":16,"name":"Locomotive ID","value":"4018"},{"id":130,"name":"Impact","value":""},{"id":150,"name":"Time of Event (Mountain Time)","value":"06:53:24"},{"id":151,"name":"Denver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7" s="224"/>
      <c r="AK167" s="232"/>
      <c r="AL167" s="232"/>
      <c r="AM167" s="241" t="str">
        <f t="shared" si="123"/>
        <v>start /low /b %USERPROFILE%\Documents\GitHub\eaglep3\Utilities\DownloadLogsFromS3.py --loco 4018 --day 2017-11-29</v>
      </c>
      <c r="AN167" s="242" t="str">
        <f t="shared" si="124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13:53:24"},{"id":29,"name":"Sharepoint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1" t="str">
        <f t="shared" si="125"/>
        <v>https://d0f6bd738d7f1b3e5a7ca70fe4ff75f0.us-east-1.aws.found.io/app/kibana#/discover/Steve-Slow-Train-Analysis-(2080s-and-2083s)?_g=(refreshInterval:(display:Off,pause:!f,section:0,value:0),time:(from:'2017-11-29T05:36:26-0700',mode:absolute,to:'2017-11-29T07:53:24-0700'))&amp;_a=(columns:!('Message%20ID',Summary),filters:!(),index:'emp_*',interval:auto,query:(query_string:(analyze_wildcard:!t,query:'%22rtdc.l.rtdc.4018%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230" t="s">
        <v>700</v>
      </c>
      <c r="B168" s="226">
        <v>4017</v>
      </c>
      <c r="C168" s="228" t="s">
        <v>192</v>
      </c>
      <c r="D168" s="228" t="s">
        <v>1053</v>
      </c>
      <c r="E168" s="227">
        <v>43068.288356481484</v>
      </c>
      <c r="F168" s="227">
        <v>43068.300694444442</v>
      </c>
      <c r="G168" s="226">
        <v>61</v>
      </c>
      <c r="H168" s="228" t="s">
        <v>1054</v>
      </c>
      <c r="I168" s="227">
        <v>43068.309016203704</v>
      </c>
      <c r="J168" s="226">
        <v>0</v>
      </c>
      <c r="K168" s="238" t="str">
        <f t="shared" si="126"/>
        <v>4017/4018</v>
      </c>
      <c r="L168" s="246" t="str">
        <f>VLOOKUP(A168,'Trips&amp;Operators'!$C$1:$G$99911,5,FALSE)</f>
        <v>LAMAR NEKESHA</v>
      </c>
      <c r="M168" s="225">
        <f t="shared" si="127"/>
        <v>8.3217592618893832E-3</v>
      </c>
      <c r="N168" s="226">
        <f t="shared" si="139"/>
        <v>11.983333337120712</v>
      </c>
      <c r="O168" s="226"/>
      <c r="P168" s="226"/>
      <c r="Q168" s="229"/>
      <c r="R168" s="243"/>
      <c r="S168" s="250">
        <f t="shared" si="128"/>
        <v>1</v>
      </c>
      <c r="T168" s="243" t="str">
        <f t="shared" si="129"/>
        <v>Southbound</v>
      </c>
      <c r="U168" s="24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9" t="str">
        <f t="shared" si="111"/>
        <v>https://d0f6bd738d7f1b3e5a7ca70fe4ff75f0.us-east-1.aws.found.io/app/kibana#/discover/Steve-Slow-Train-Analysis-(2080s-and-2083s)?_g=(refreshInterval:(display:Off,pause:!f,section:0,value:0),time:(from:'2017-11-29T05:55:14-0700',mode:absolute,to:'2017-11-29T08:24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8" s="248" t="str">
        <f>IF(AA168&lt;VLOOKUP(AG168,Variables!$AC$3:$AD$8,2,FALSE),"Y","N")</f>
        <v>N</v>
      </c>
      <c r="X168" s="248">
        <f t="shared" si="148"/>
        <v>1</v>
      </c>
      <c r="Y168" s="248">
        <f t="shared" si="146"/>
        <v>5.8688000000000002</v>
      </c>
      <c r="Z168" s="248">
        <f t="shared" si="147"/>
        <v>7.3599999999999999E-2</v>
      </c>
      <c r="AA168" s="248">
        <f t="shared" si="130"/>
        <v>5.7952000000000004</v>
      </c>
      <c r="AB168" s="234" t="e">
        <f>VLOOKUP(A168,Enforcements!$C$7:$K$9,8,0)</f>
        <v>#N/A</v>
      </c>
      <c r="AC168" s="233" t="e">
        <f>VLOOKUP(A168,Enforcements!$C$7:$E$9,3,0)</f>
        <v>#N/A</v>
      </c>
      <c r="AD168" s="244">
        <f t="shared" si="131"/>
        <v>806</v>
      </c>
      <c r="AE168" s="236" t="str">
        <f t="shared" si="112"/>
        <v>aws s3 cp s3://rtdc.mdm.uploadarchive.raw/RTDC4017/ "%USERPROFILE%\AppData\Local\Temp\OnboardLogs"\RTDC4017\2017-11-29 --exclude "*" --recursive --include "*20171129*" &amp; "%USERPROFILE%\Documents\GitHub\mrs-test-scripts\Headless Mode &amp; Sideloading\WalkAndUnGZ.bat" "%USERPROFILE%\AppData\Local\Temp\OnboardLogs"\RTDC4017\2017-11-29 &amp; aws s3 cp s3://rtdc.mdm.uploadarchive.raw/RTDC4017/ "%USERPROFILE%\AppData\Local\Temp\OnboardLogs"\RTDC4017\2017-11-30 --exclude "*" --recursive --include "*20171130*" &amp; "%USERPROFILE%\Documents\GitHub\mrs-test-scripts\Headless Mode &amp; Sideloading\WalkAndUnGZ.bat" "%USERPROFILE%\AppData\Local\Temp\OnboardLogs"\RTDC4017\2017-11-30</v>
      </c>
      <c r="AF168" s="235" t="str">
        <f t="shared" si="113"/>
        <v>"C:\Program Files (x86)\AstroGrep\AstroGrep.exe" /e /r /s /spath="%USERPROFILE%\AppData\Local\Temp\OnboardLogs" /stypes="app*4017*20171129*" /stext=" 14:.+((SYSTEM_STATE.+slice.+state.+changed )|(ment ac)|(multiple cpu faults)|(system.+state.+changed )|(\[timeout)|(PRM\|1\|D)|(kpr)|(kdp)|(train st.+moving)|(\|lc)|(penalty))"</v>
      </c>
      <c r="AG168" s="245" t="str">
        <f t="shared" si="132"/>
        <v>NW</v>
      </c>
      <c r="AH168" s="237" t="str">
        <f t="shared" si="121"/>
        <v>"%USERPROFILE%\Documents\GitHub\eaglep3\Utilities\RefineRTDCRunTimes.py" --tripid 806-29 --locoid 4017 --swversion DE.1.0.9.0 --startMP 300:58688 --initTime 2017-11-29T06:55:14 --startdatetime 2017-11-29T07:13:00 --delay 61 --endMP 204:736 --enddatetime 2017-11-29T07:24:59 --enforcementcount 0 &gt;&gt;%USERPROFILE%\Documents\GitHub\eaglep3-reporting\EC\2017-11-29-refined-times.txt</v>
      </c>
      <c r="AI168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{"issue":{"subject":"","project_id":79,"tracker_id":40,"status_id":1,"priority_id":2,"assigned_to_id":338,"start_date":"2017-11-29","description":"","custom_fields":[{"id":1,"name":"Subdivision","value":"NW"},{"id":4,"name":"Milepost","value":"0.0736"},{"id":17,"name":"Train ID","value":"806-29"},{"id":16,"name":"Locomotive ID","value":"4017"},{"id":130,"name":"Impact","value":""},{"id":150,"name":"Time of Event (Mountain Time)","value":"07:24:59"},{"id":151,"name":"Denver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8" s="224"/>
      <c r="AK168" s="232"/>
      <c r="AL168" s="232"/>
      <c r="AM168" s="241" t="str">
        <f t="shared" si="123"/>
        <v>start /low /b %USERPROFILE%\Documents\GitHub\eaglep3\Utilities\DownloadLogsFromS3.py --loco 4017 --day 2017-11-29</v>
      </c>
      <c r="AN168" s="242" t="str">
        <f t="shared" si="124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14:24:59"},{"id":29,"name":"Sharepoint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1" t="str">
        <f t="shared" si="125"/>
        <v>https://d0f6bd738d7f1b3e5a7ca70fe4ff75f0.us-east-1.aws.found.io/app/kibana#/discover/Steve-Slow-Train-Analysis-(2080s-and-2083s)?_g=(refreshInterval:(display:Off,pause:!f,section:0,value:0),time:(from:'2017-11-29T05:55:14-0700',mode:absolute,to:'2017-11-29T08:24:59-0700'))&amp;_a=(columns:!('Message%20ID',Summary),filters:!(),index:'emp_*',interval:auto,query:(query_string:(analyze_wildcard:!t,query:'%22rtdc.l.rtdc.4017%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230" t="s">
        <v>701</v>
      </c>
      <c r="B169" s="226">
        <v>4032</v>
      </c>
      <c r="C169" s="228" t="s">
        <v>192</v>
      </c>
      <c r="D169" s="228" t="s">
        <v>1055</v>
      </c>
      <c r="E169" s="227">
        <v>43068.289618055554</v>
      </c>
      <c r="F169" s="227">
        <v>43068.298634259256</v>
      </c>
      <c r="G169" s="226">
        <v>52</v>
      </c>
      <c r="H169" s="228" t="s">
        <v>1056</v>
      </c>
      <c r="I169" s="227">
        <v>43068.308067129627</v>
      </c>
      <c r="J169" s="226">
        <v>0</v>
      </c>
      <c r="K169" s="238" t="str">
        <f t="shared" si="126"/>
        <v>4031/4032</v>
      </c>
      <c r="L169" s="246" t="str">
        <f>VLOOKUP(A169,'Trips&amp;Operators'!$C$1:$G$99911,5,FALSE)</f>
        <v>LONG FULLER</v>
      </c>
      <c r="M169" s="225">
        <f t="shared" si="127"/>
        <v>9.4328703708015382E-3</v>
      </c>
      <c r="N169" s="226">
        <f t="shared" si="139"/>
        <v>13.583333333954215</v>
      </c>
      <c r="O169" s="226"/>
      <c r="P169" s="226"/>
      <c r="Q169" s="229"/>
      <c r="R169" s="243"/>
      <c r="S169" s="250">
        <f t="shared" si="128"/>
        <v>1</v>
      </c>
      <c r="T169" s="243" t="str">
        <f t="shared" si="129"/>
        <v>NorthBound</v>
      </c>
      <c r="U169" s="24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9" t="str">
        <f t="shared" si="111"/>
        <v>https://d0f6bd738d7f1b3e5a7ca70fe4ff75f0.us-east-1.aws.found.io/app/kibana#/discover/Steve-Slow-Train-Analysis-(2080s-and-2083s)?_g=(refreshInterval:(display:Off,pause:!f,section:0,value:0),time:(from:'2017-11-29T05:57:03-0700',mode:absolute,to:'2017-11-29T08:23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9" s="248" t="str">
        <f>IF(AA169&lt;VLOOKUP(AG169,Variables!$AC$3:$AD$8,2,FALSE),"Y","N")</f>
        <v>N</v>
      </c>
      <c r="X169" s="248">
        <f t="shared" si="148"/>
        <v>1</v>
      </c>
      <c r="Y169" s="248">
        <f t="shared" si="146"/>
        <v>0.11609999999999999</v>
      </c>
      <c r="Z169" s="248">
        <f t="shared" si="147"/>
        <v>5.8975</v>
      </c>
      <c r="AA169" s="248">
        <f t="shared" si="130"/>
        <v>5.7813999999999997</v>
      </c>
      <c r="AB169" s="234" t="e">
        <f>VLOOKUP(A169,Enforcements!$C$7:$K$9,8,0)</f>
        <v>#N/A</v>
      </c>
      <c r="AC169" s="233" t="e">
        <f>VLOOKUP(A169,Enforcements!$C$7:$E$9,3,0)</f>
        <v>#N/A</v>
      </c>
      <c r="AD169" s="244">
        <f t="shared" si="131"/>
        <v>807</v>
      </c>
      <c r="AE169" s="236" t="str">
        <f t="shared" si="112"/>
        <v>aws s3 cp s3://rtdc.mdm.uploadarchive.raw/RTDC4032/ "%USERPROFILE%\AppData\Local\Temp\OnboardLogs"\RTDC4032\2017-11-29 --exclude "*" --recursive --include "*20171129*" &amp; "%USERPROFILE%\Documents\GitHub\mrs-test-scripts\Headless Mode &amp; Sideloading\WalkAndUnGZ.bat" "%USERPROFILE%\AppData\Local\Temp\OnboardLogs"\RTDC4032\2017-11-29 &amp; aws s3 cp s3://rtdc.mdm.uploadarchive.raw/RTDC4032/ "%USERPROFILE%\AppData\Local\Temp\OnboardLogs"\RTDC4032\2017-11-30 --exclude "*" --recursive --include "*20171130*" &amp; "%USERPROFILE%\Documents\GitHub\mrs-test-scripts\Headless Mode &amp; Sideloading\WalkAndUnGZ.bat" "%USERPROFILE%\AppData\Local\Temp\OnboardLogs"\RTDC4032\2017-11-30</v>
      </c>
      <c r="AF169" s="235" t="str">
        <f t="shared" si="113"/>
        <v>"C:\Program Files (x86)\AstroGrep\AstroGrep.exe" /e /r /s /spath="%USERPROFILE%\AppData\Local\Temp\OnboardLogs" /stypes="app*4032*20171129*" /stext=" 14:.+((SYSTEM_STATE.+slice.+state.+changed )|(ment ac)|(multiple cpu faults)|(system.+state.+changed )|(\[timeout)|(PRM\|1\|D)|(kpr)|(kdp)|(train st.+moving)|(\|lc)|(penalty))"</v>
      </c>
      <c r="AG169" s="245" t="str">
        <f t="shared" si="132"/>
        <v>NW</v>
      </c>
      <c r="AH169" s="237" t="str">
        <f t="shared" si="121"/>
        <v>"%USERPROFILE%\Documents\GitHub\eaglep3\Utilities\RefineRTDCRunTimes.py" --tripid 807-29 --locoid 4032 --swversion DE.1.0.9.0 --startMP 204:1161 --initTime 2017-11-29T06:57:03 --startdatetime 2017-11-29T07:10:02 --delay 52 --endMP 300:58975 --enddatetime 2017-11-29T07:23:37 --enforcementcount 0 &gt;&gt;%USERPROFILE%\Documents\GitHub\eaglep3-reporting\EC\2017-11-29-refined-times.txt</v>
      </c>
      <c r="AI169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{"issue":{"subject":"","project_id":79,"tracker_id":40,"status_id":1,"priority_id":2,"assigned_to_id":338,"start_date":"2017-11-29","description":"","custom_fields":[{"id":1,"name":"Subdivision","value":"NW"},{"id":4,"name":"Milepost","value":"5.8975"},{"id":17,"name":"Train ID","value":"807-29"},{"id":16,"name":"Locomotive ID","value":"4032"},{"id":130,"name":"Impact","value":""},{"id":150,"name":"Time of Event (Mountain Time)","value":"07:23:37"},{"id":151,"name":"Denver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9" s="224"/>
      <c r="AK169" s="232"/>
      <c r="AL169" s="232"/>
      <c r="AM169" s="241" t="str">
        <f t="shared" si="123"/>
        <v>start /low /b %USERPROFILE%\Documents\GitHub\eaglep3\Utilities\DownloadLogsFromS3.py --loco 4032 --day 2017-11-29</v>
      </c>
      <c r="AN169" s="242" t="str">
        <f t="shared" si="124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14:23:37"},{"id":29,"name":"Sharepoint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1" t="str">
        <f t="shared" si="125"/>
        <v>https://d0f6bd738d7f1b3e5a7ca70fe4ff75f0.us-east-1.aws.found.io/app/kibana#/discover/Steve-Slow-Train-Analysis-(2080s-and-2083s)?_g=(refreshInterval:(display:Off,pause:!f,section:0,value:0),time:(from:'2017-11-29T05:57:03-0700',mode:absolute,to:'2017-11-29T08:23:37-0700'))&amp;_a=(columns:!('Message%20ID',Summary),filters:!(),index:'emp_*',interval:auto,query:(query_string:(analyze_wildcard:!t,query:'%22rtdc.l.rtdc.4032%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24" customFormat="1" x14ac:dyDescent="0.25">
      <c r="A170" s="230" t="s">
        <v>625</v>
      </c>
      <c r="B170" s="226">
        <v>4031</v>
      </c>
      <c r="C170" s="228" t="s">
        <v>192</v>
      </c>
      <c r="D170" s="228" t="s">
        <v>1057</v>
      </c>
      <c r="E170" s="227">
        <v>43068.30940972222</v>
      </c>
      <c r="F170" s="227">
        <v>43068.320833333331</v>
      </c>
      <c r="G170" s="226">
        <v>61</v>
      </c>
      <c r="H170" s="228" t="s">
        <v>1058</v>
      </c>
      <c r="I170" s="227">
        <v>43068.328449074077</v>
      </c>
      <c r="J170" s="226">
        <v>0</v>
      </c>
      <c r="K170" s="238" t="str">
        <f t="shared" si="126"/>
        <v>4031/4032</v>
      </c>
      <c r="L170" s="246" t="str">
        <f>VLOOKUP(A170,'Trips&amp;Operators'!$C$1:$G$99911,5,FALSE)</f>
        <v>LONG FULLER</v>
      </c>
      <c r="M170" s="225">
        <f t="shared" si="127"/>
        <v>7.6157407456776127E-3</v>
      </c>
      <c r="N170" s="226">
        <f t="shared" si="139"/>
        <v>10.966666673775762</v>
      </c>
      <c r="O170" s="226"/>
      <c r="P170" s="226"/>
      <c r="Q170" s="229"/>
      <c r="R170" s="243"/>
      <c r="S170" s="250">
        <f t="shared" si="128"/>
        <v>1</v>
      </c>
      <c r="T170" s="243" t="str">
        <f t="shared" si="129"/>
        <v>Southbound</v>
      </c>
      <c r="U170" s="24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9" t="str">
        <f t="shared" si="111"/>
        <v>https://d0f6bd738d7f1b3e5a7ca70fe4ff75f0.us-east-1.aws.found.io/app/kibana#/discover/Steve-Slow-Train-Analysis-(2080s-and-2083s)?_g=(refreshInterval:(display:Off,pause:!f,section:0,value:0),time:(from:'2017-11-29T06:25:33-0700',mode:absolute,to:'2017-11-29T08:52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0" s="248" t="str">
        <f>IF(AA170&lt;VLOOKUP(AG170,Variables!$AC$3:$AD$8,2,FALSE),"Y","N")</f>
        <v>Y</v>
      </c>
      <c r="X170" s="248">
        <f t="shared" si="148"/>
        <v>1</v>
      </c>
      <c r="Y170" s="248">
        <f t="shared" si="146"/>
        <v>5.8651</v>
      </c>
      <c r="Z170" s="248">
        <f t="shared" si="147"/>
        <v>0.45369999999999999</v>
      </c>
      <c r="AA170" s="248">
        <f t="shared" si="130"/>
        <v>5.4114000000000004</v>
      </c>
      <c r="AB170" s="234" t="e">
        <f>VLOOKUP(A170,Enforcements!$C$7:$K$9,8,0)</f>
        <v>#N/A</v>
      </c>
      <c r="AC170" s="233" t="e">
        <f>VLOOKUP(A170,Enforcements!$C$7:$E$9,3,0)</f>
        <v>#N/A</v>
      </c>
      <c r="AD170" s="244">
        <f t="shared" si="131"/>
        <v>808</v>
      </c>
      <c r="AE170" s="236" t="str">
        <f t="shared" si="112"/>
        <v>aws s3 cp s3://rtdc.mdm.uploadarchive.raw/RTDC4031/ "%USERPROFILE%\AppData\Local\Temp\OnboardLogs"\RTDC4031\2017-11-29 --exclude "*" --recursive --include "*20171129*" &amp; "%USERPROFILE%\Documents\GitHub\mrs-test-scripts\Headless Mode &amp; Sideloading\WalkAndUnGZ.bat" "%USERPROFILE%\AppData\Local\Temp\OnboardLogs"\RTDC4031\2017-11-29 &amp; aws s3 cp s3://rtdc.mdm.uploadarchive.raw/RTDC4031/ "%USERPROFILE%\AppData\Local\Temp\OnboardLogs"\RTDC4031\2017-11-30 --exclude "*" --recursive --include "*20171130*" &amp; "%USERPROFILE%\Documents\GitHub\mrs-test-scripts\Headless Mode &amp; Sideloading\WalkAndUnGZ.bat" "%USERPROFILE%\AppData\Local\Temp\OnboardLogs"\RTDC4031\2017-11-30</v>
      </c>
      <c r="AF170" s="235" t="str">
        <f t="shared" si="113"/>
        <v>"C:\Program Files (x86)\AstroGrep\AstroGrep.exe" /e /r /s /spath="%USERPROFILE%\AppData\Local\Temp\OnboardLogs" /stypes="app*4031*20171129*" /stext=" 14:.+((SYSTEM_STATE.+slice.+state.+changed )|(ment ac)|(multiple cpu faults)|(system.+state.+changed )|(\[timeout)|(PRM\|1\|D)|(kpr)|(kdp)|(train st.+moving)|(\|lc)|(penalty))"</v>
      </c>
      <c r="AG170" s="245" t="str">
        <f t="shared" si="132"/>
        <v>NW</v>
      </c>
      <c r="AH170" s="237" t="str">
        <f t="shared" si="121"/>
        <v>"%USERPROFILE%\Documents\GitHub\eaglep3\Utilities\RefineRTDCRunTimes.py" --tripid 808-29 --locoid 4031 --swversion DE.1.0.9.0 --startMP 300:58651 --initTime 2017-11-29T07:25:33 --startdatetime 2017-11-29T07:42:00 --delay 61 --endMP 204:4537 --enddatetime 2017-11-29T07:52:58 --enforcementcount 0 &gt;&gt;%USERPROFILE%\Documents\GitHub\eaglep3-reporting\EC\2017-11-29-refined-times.txt</v>
      </c>
      <c r="AI170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{"issue":{"subject":"","project_id":79,"tracker_id":40,"status_id":1,"priority_id":2,"assigned_to_id":338,"start_date":"2017-11-29","description":"","custom_fields":[{"id":1,"name":"Subdivision","value":"NW"},{"id":4,"name":"Milepost","value":"0.4537"},{"id":17,"name":"Train ID","value":"808-29"},{"id":16,"name":"Locomotive ID","value":"4031"},{"id":130,"name":"Impact","value":""},{"id":150,"name":"Time of Event (Mountain Time)","value":"07:52:58"},{"id":151,"name":"Denver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232"/>
      <c r="AL170" s="232"/>
      <c r="AM170" s="241" t="str">
        <f t="shared" si="123"/>
        <v>start /low /b %USERPROFILE%\Documents\GitHub\eaglep3\Utilities\DownloadLogsFromS3.py --loco 4031 --day 2017-11-29</v>
      </c>
      <c r="AN170" s="242" t="str">
        <f t="shared" si="124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14:52:58"},{"id":29,"name":"Sharepoint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1" t="str">
        <f t="shared" si="125"/>
        <v>https://d0f6bd738d7f1b3e5a7ca70fe4ff75f0.us-east-1.aws.found.io/app/kibana#/discover/Steve-Slow-Train-Analysis-(2080s-and-2083s)?_g=(refreshInterval:(display:Off,pause:!f,section:0,value:0),time:(from:'2017-11-29T06:25:33-0700',mode:absolute,to:'2017-11-29T08:52:58-0700'))&amp;_a=(columns:!('Message%20ID',Summary),filters:!(),index:'emp_*',interval:auto,query:(query_string:(analyze_wildcard:!t,query:'%22rtdc.l.rtdc.4031%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24" customFormat="1" x14ac:dyDescent="0.25">
      <c r="A171" s="230" t="s">
        <v>626</v>
      </c>
      <c r="B171" s="226">
        <v>4018</v>
      </c>
      <c r="C171" s="228" t="s">
        <v>192</v>
      </c>
      <c r="D171" s="228" t="s">
        <v>1057</v>
      </c>
      <c r="E171" s="227">
        <v>43068.30940972222</v>
      </c>
      <c r="F171" s="227">
        <v>43068.318981481483</v>
      </c>
      <c r="G171" s="226">
        <v>61</v>
      </c>
      <c r="H171" s="228" t="s">
        <v>1058</v>
      </c>
      <c r="I171" s="227">
        <v>43068.32916666667</v>
      </c>
      <c r="J171" s="226">
        <v>0</v>
      </c>
      <c r="K171" s="238" t="str">
        <f t="shared" si="126"/>
        <v>4017/4018</v>
      </c>
      <c r="L171" s="246" t="str">
        <f>VLOOKUP(A171,'Trips&amp;Operators'!$C$1:$G$99911,5,FALSE)</f>
        <v>LAMAR NEKESHA</v>
      </c>
      <c r="M171" s="225">
        <f t="shared" si="127"/>
        <v>1.0185185186855961E-2</v>
      </c>
      <c r="N171" s="226">
        <f t="shared" si="139"/>
        <v>14.666666669072583</v>
      </c>
      <c r="O171" s="226"/>
      <c r="P171" s="226"/>
      <c r="Q171" s="229"/>
      <c r="R171" s="243"/>
      <c r="S171" s="250">
        <f t="shared" si="128"/>
        <v>1</v>
      </c>
      <c r="T171" s="243" t="str">
        <f t="shared" si="129"/>
        <v>NorthBound</v>
      </c>
      <c r="U171" s="24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9" t="str">
        <f t="shared" si="111"/>
        <v>https://d0f6bd738d7f1b3e5a7ca70fe4ff75f0.us-east-1.aws.found.io/app/kibana#/discover/Steve-Slow-Train-Analysis-(2080s-and-2083s)?_g=(refreshInterval:(display:Off,pause:!f,section:0,value:0),time:(from:'2017-11-29T06:25:33-0700',mode:absolute,to:'2017-11-29T08:54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1" s="248" t="str">
        <f>IF(AA171&lt;VLOOKUP(AG171,Variables!$AC$3:$AD$8,2,FALSE),"Y","N")</f>
        <v>N</v>
      </c>
      <c r="X171" s="248">
        <f t="shared" si="148"/>
        <v>1</v>
      </c>
      <c r="Y171" s="248">
        <v>0.11609999999999999</v>
      </c>
      <c r="Z171" s="248">
        <v>5.8975</v>
      </c>
      <c r="AA171" s="248">
        <f t="shared" si="130"/>
        <v>5.7813999999999997</v>
      </c>
      <c r="AB171" s="234" t="e">
        <f>VLOOKUP(A171,Enforcements!$C$7:$K$9,8,0)</f>
        <v>#N/A</v>
      </c>
      <c r="AC171" s="233" t="e">
        <f>VLOOKUP(A171,Enforcements!$C$7:$E$9,3,0)</f>
        <v>#N/A</v>
      </c>
      <c r="AD171" s="244">
        <f t="shared" si="131"/>
        <v>809</v>
      </c>
      <c r="AE171" s="236" t="str">
        <f t="shared" si="112"/>
        <v>aws s3 cp s3://rtdc.mdm.uploadarchive.raw/RTDC4018/ "%USERPROFILE%\AppData\Local\Temp\OnboardLogs"\RTDC4018\2017-11-29 --exclude "*" --recursive --include "*20171129*" &amp; "%USERPROFILE%\Documents\GitHub\mrs-test-scripts\Headless Mode &amp; Sideloading\WalkAndUnGZ.bat" "%USERPROFILE%\AppData\Local\Temp\OnboardLogs"\RTDC4018\2017-11-29 &amp; aws s3 cp s3://rtdc.mdm.uploadarchive.raw/RTDC4018/ "%USERPROFILE%\AppData\Local\Temp\OnboardLogs"\RTDC4018\2017-11-30 --exclude "*" --recursive --include "*20171130*" &amp; "%USERPROFILE%\Documents\GitHub\mrs-test-scripts\Headless Mode &amp; Sideloading\WalkAndUnGZ.bat" "%USERPROFILE%\AppData\Local\Temp\OnboardLogs"\RTDC4018\2017-11-30</v>
      </c>
      <c r="AF171" s="235" t="str">
        <f t="shared" si="113"/>
        <v>"C:\Program Files (x86)\AstroGrep\AstroGrep.exe" /e /r /s /spath="%USERPROFILE%\AppData\Local\Temp\OnboardLogs" /stypes="app*4018*20171129*" /stext=" 14:.+((SYSTEM_STATE.+slice.+state.+changed )|(ment ac)|(multiple cpu faults)|(system.+state.+changed )|(\[timeout)|(PRM\|1\|D)|(kpr)|(kdp)|(train st.+moving)|(\|lc)|(penalty))"</v>
      </c>
      <c r="AG171" s="245" t="str">
        <f t="shared" si="132"/>
        <v>NW</v>
      </c>
      <c r="AH171" s="237" t="str">
        <f t="shared" ref="AH171" si="149">refinertdcruntimes&amp;" --tripid "&amp;A171&amp;" --locoid "&amp;B171&amp;" --swversion "&amp;C171&amp;" --startMP "&amp;D171&amp;" --initTime "&amp;TEXT(E171,"yyyy-mm-ddTHH:MM:SS")&amp;" --startdatetime "&amp;TEXT(F171,"yyyy-mm-ddTHH:MM:SS")&amp;" --delay "&amp;G171&amp;" --endMP "&amp;H171&amp;" --enddatetime "&amp;TEXT(I171,"yyyy-mm-ddTHH:MM:SS")&amp;" --enforcementcount "&amp;J171&amp;IF(outputrefinedruntimes," &gt;&gt;"&amp;RefinedRTDCRunTimesOutputFile,"")</f>
        <v>"%USERPROFILE%\Documents\GitHub\eaglep3\Utilities\RefineRTDCRunTimes.py" --tripid 809-29 --locoid 4018 --swversion DE.1.0.9.0 --startMP 300:58651 --initTime 2017-11-29T07:25:33 --startdatetime 2017-11-29T07:39:20 --delay 61 --endMP 204:4537 --enddatetime 2017-11-29T07:54:00 --enforcementcount 0 &gt;&gt;%USERPROFILE%\Documents\GitHub\eaglep3-reporting\EC\2017-11-29-refined-times.txt</v>
      </c>
      <c r="AI171" s="239" t="str">
        <f t="shared" ref="AI171" si="150">"echo {""issue"":{""subject"":"""&amp;R171&amp;""",""project_id"":79,""tracker_id"":40,""status_id"":"&amp;redmine_status&amp;",""priority_id"":"&amp;redmine_priority&amp;",""assigned_to_id"":"&amp;redmine_assignee&amp;",""start_date"":"""&amp;TEXT(I171,"YYYY-mm-dd")&amp;""",""description"":"""&amp;AJ171&amp;""",""custom_fields"":[{""id"":1,""name"":""Subdivision"",""value"":"""&amp;AG171&amp;"""},{""id"":4,""name"":""Milepost"",""value"":"""&amp;Z171&amp;"""},{""id"":17,""name"":""Train ID"",""value"":"""&amp;A171&amp;"""},{""id"":16,""name"":""Locomotive ID"",""value"":"""&amp;B171&amp;"""},{""id"":130,""name"":""Impact"",""value"":"""&amp;AK171&amp;"""},{""id"":150,""name"":""Time of Event (Mountain Time)"",""value"":"""&amp;TEXT(I171,"hh:mm:ss")&amp;"""},{""id"":151,""name"":""Denver Issue ID"",""value"":"""&amp;"""},{""id"":178,""name"":""Operational Impact"",""value"":"""&amp;redmine_op_impact&amp;"""},{""id"":179,""name"":""Denver Segment Assigned"",""value"":"""&amp;AL171&amp;"""}]}}"&amp;"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{"issue":{"subject":"","project_id":79,"tracker_id":40,"status_id":1,"priority_id":2,"assigned_to_id":338,"start_date":"2017-11-29","description":"","custom_fields":[{"id":1,"name":"Subdivision","value":"NW"},{"id":4,"name":"Milepost","value":"5.8975"},{"id":17,"name":"Train ID","value":"809-29"},{"id":16,"name":"Locomotive ID","value":"4018"},{"id":130,"name":"Impact","value":""},{"id":150,"name":"Time of Event (Mountain Time)","value":"07:54:00"},{"id":151,"name":"Denver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232"/>
      <c r="AL171" s="232"/>
      <c r="AM171" s="241" t="str">
        <f t="shared" ref="AM171" si="151">"start /low /b "&amp;dls3logs&amp;" --loco "&amp;B171&amp;" --day "&amp;TEXT(F171,"YYYY-MM-DD")</f>
        <v>start /low /b %USERPROFILE%\Documents\GitHub\eaglep3\Utilities\DownloadLogsFromS3.py --loco 4018 --day 2017-11-29</v>
      </c>
      <c r="AN171" s="242" t="str">
        <f t="shared" ref="AN171" si="152">"echo {""issue"":{""subject"":"""&amp;R171&amp;""",""project_id"":30,""tracker_id"":4,""status_id"":"&amp;redmine_status_wcr&amp;",""priority_id"":"&amp;redmine_priority_wcr&amp;",""assigned_to_id"":"&amp;redmine_assignee_wcr&amp;",""start_date"":"""&amp;TEXT(I171-utc_offset/24,"YYYY-mm-dd")&amp;""",""description"":"""&amp;AJ171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14:54:00"},{"id":29,"name":"Sharepoint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1" t="str">
        <f t="shared" ref="AO171" si="153"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Message%20ID',Summary),filters:!(),index:'emp_*',interval:auto,query:"&amp;"(query_string:(analyze_wildcard:!t,query:'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-11-29T06:25:33-0700',mode:absolute,to:'2017-11-29T08:54:00-0700'))&amp;_a=(columns:!('Message%20ID',Summary),filters:!(),index:'emp_*',interval:auto,query:(query_string:(analyze_wildcard:!t,query:'%22rtdc.l.rtdc.4018%22')),sort:!(Time.ISO8601,asc))</v>
      </c>
    </row>
    <row r="172" spans="1:91" s="224" customFormat="1" x14ac:dyDescent="0.25">
      <c r="A172" s="230" t="s">
        <v>628</v>
      </c>
      <c r="B172" s="226">
        <v>4017</v>
      </c>
      <c r="C172" s="228" t="s">
        <v>192</v>
      </c>
      <c r="D172" s="228" t="s">
        <v>1059</v>
      </c>
      <c r="E172" s="227">
        <v>43068.33079861111</v>
      </c>
      <c r="F172" s="227">
        <v>43068.341666666667</v>
      </c>
      <c r="G172" s="226">
        <v>61</v>
      </c>
      <c r="H172" s="228" t="s">
        <v>1060</v>
      </c>
      <c r="I172" s="227">
        <v>43068.349108796298</v>
      </c>
      <c r="J172" s="226">
        <v>0</v>
      </c>
      <c r="K172" s="238" t="str">
        <f t="shared" si="126"/>
        <v>4017/4018</v>
      </c>
      <c r="L172" s="246" t="str">
        <f>VLOOKUP(A172,'Trips&amp;Operators'!$C$1:$G$99911,5,FALSE)</f>
        <v>LAMAR NEKESHA</v>
      </c>
      <c r="M172" s="225">
        <f t="shared" si="127"/>
        <v>7.442129630362615E-3</v>
      </c>
      <c r="N172" s="226">
        <f t="shared" si="139"/>
        <v>10.716666667722166</v>
      </c>
      <c r="O172" s="226"/>
      <c r="P172" s="226"/>
      <c r="Q172" s="229"/>
      <c r="R172" s="243"/>
      <c r="S172" s="250">
        <f t="shared" si="128"/>
        <v>1</v>
      </c>
      <c r="T172" s="243" t="str">
        <f t="shared" si="129"/>
        <v>Southbound</v>
      </c>
      <c r="U172" s="24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9" t="str">
        <f t="shared" si="111"/>
        <v>https://d0f6bd738d7f1b3e5a7ca70fe4ff75f0.us-east-1.aws.found.io/app/kibana#/discover/Steve-Slow-Train-Analysis-(2080s-and-2083s)?_g=(refreshInterval:(display:Off,pause:!f,section:0,value:0),time:(from:'2017-11-29T06:56:21-0700',mode:absolute,to:'2017-11-29T09:22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2" s="248" t="str">
        <f>IF(AA172&lt;VLOOKUP(AG172,Variables!$AC$3:$AD$8,2,FALSE),"Y","N")</f>
        <v>Y</v>
      </c>
      <c r="X172" s="248">
        <f t="shared" si="148"/>
        <v>1</v>
      </c>
      <c r="Y172" s="248">
        <f t="shared" ref="Y172:Y203" si="154">RIGHT(D172,LEN(D172)-4)/10000</f>
        <v>5.8707000000000003</v>
      </c>
      <c r="Z172" s="248">
        <f t="shared" ref="Z172:Z203" si="155">RIGHT(H172,LEN(H172)-4)/10000</f>
        <v>0.45240000000000002</v>
      </c>
      <c r="AA172" s="248">
        <f t="shared" si="130"/>
        <v>5.4183000000000003</v>
      </c>
      <c r="AB172" s="234" t="e">
        <f>VLOOKUP(A172,Enforcements!$C$7:$K$9,8,0)</f>
        <v>#N/A</v>
      </c>
      <c r="AC172" s="233" t="e">
        <f>VLOOKUP(A172,Enforcements!$C$7:$E$9,3,0)</f>
        <v>#N/A</v>
      </c>
      <c r="AD172" s="244">
        <f t="shared" si="131"/>
        <v>810</v>
      </c>
      <c r="AE172" s="236" t="str">
        <f t="shared" si="112"/>
        <v>aws s3 cp s3://rtdc.mdm.uploadarchive.raw/RTDC4017/ "%USERPROFILE%\AppData\Local\Temp\OnboardLogs"\RTDC4017\2017-11-29 --exclude "*" --recursive --include "*20171129*" &amp; "%USERPROFILE%\Documents\GitHub\mrs-test-scripts\Headless Mode &amp; Sideloading\WalkAndUnGZ.bat" "%USERPROFILE%\AppData\Local\Temp\OnboardLogs"\RTDC4017\2017-11-29 &amp; aws s3 cp s3://rtdc.mdm.uploadarchive.raw/RTDC4017/ "%USERPROFILE%\AppData\Local\Temp\OnboardLogs"\RTDC4017\2017-11-30 --exclude "*" --recursive --include "*20171130*" &amp; "%USERPROFILE%\Documents\GitHub\mrs-test-scripts\Headless Mode &amp; Sideloading\WalkAndUnGZ.bat" "%USERPROFILE%\AppData\Local\Temp\OnboardLogs"\RTDC4017\2017-11-30</v>
      </c>
      <c r="AF172" s="235" t="str">
        <f t="shared" si="113"/>
        <v>"C:\Program Files (x86)\AstroGrep\AstroGrep.exe" /e /r /s /spath="%USERPROFILE%\AppData\Local\Temp\OnboardLogs" /stypes="app*4017*20171129*" /stext=" 15:.+((SYSTEM_STATE.+slice.+state.+changed )|(ment ac)|(multiple cpu faults)|(system.+state.+changed )|(\[timeout)|(PRM\|1\|D)|(kpr)|(kdp)|(train st.+moving)|(\|lc)|(penalty))"</v>
      </c>
      <c r="AG172" s="245" t="str">
        <f t="shared" si="132"/>
        <v>NW</v>
      </c>
      <c r="AH172" s="237" t="str">
        <f t="shared" si="121"/>
        <v>"%USERPROFILE%\Documents\GitHub\eaglep3\Utilities\RefineRTDCRunTimes.py" --tripid 810-29 --locoid 4017 --swversion DE.1.0.9.0 --startMP 300:58707 --initTime 2017-11-29T07:56:21 --startdatetime 2017-11-29T08:12:00 --delay 61 --endMP 204:4524 --enddatetime 2017-11-29T08:22:43 --enforcementcount 0 &gt;&gt;%USERPROFILE%\Documents\GitHub\eaglep3-reporting\EC\2017-11-29-refined-times.txt</v>
      </c>
      <c r="AI172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{"issue":{"subject":"","project_id":79,"tracker_id":40,"status_id":1,"priority_id":2,"assigned_to_id":338,"start_date":"2017-11-29","description":"","custom_fields":[{"id":1,"name":"Subdivision","value":"NW"},{"id":4,"name":"Milepost","value":"0.4524"},{"id":17,"name":"Train ID","value":"810-29"},{"id":16,"name":"Locomotive ID","value":"4017"},{"id":130,"name":"Impact","value":""},{"id":150,"name":"Time of Event (Mountain Time)","value":"08:22:43"},{"id":151,"name":"Denver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232"/>
      <c r="AL172" s="232"/>
      <c r="AM172" s="241" t="str">
        <f t="shared" si="123"/>
        <v>start /low /b %USERPROFILE%\Documents\GitHub\eaglep3\Utilities\DownloadLogsFromS3.py --loco 4017 --day 2017-11-29</v>
      </c>
      <c r="AN172" s="242" t="str">
        <f t="shared" si="124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15:22:43"},{"id":29,"name":"Sharepoint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1" t="str">
        <f t="shared" si="125"/>
        <v>https://d0f6bd738d7f1b3e5a7ca70fe4ff75f0.us-east-1.aws.found.io/app/kibana#/discover/Steve-Slow-Train-Analysis-(2080s-and-2083s)?_g=(refreshInterval:(display:Off,pause:!f,section:0,value:0),time:(from:'2017-11-29T06:56:21-0700',mode:absolute,to:'2017-11-29T09:22:43-0700'))&amp;_a=(columns:!('Message%20ID',Summary),filters:!(),index:'emp_*',interval:auto,query:(query_string:(analyze_wildcard:!t,query:'%22rtdc.l.rtdc.4017%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230" t="s">
        <v>707</v>
      </c>
      <c r="B173" s="226">
        <v>4032</v>
      </c>
      <c r="C173" s="228" t="s">
        <v>192</v>
      </c>
      <c r="D173" s="228" t="s">
        <v>1061</v>
      </c>
      <c r="E173" s="227">
        <v>43068.332256944443</v>
      </c>
      <c r="F173" s="227">
        <v>43068.339791666665</v>
      </c>
      <c r="G173" s="226">
        <v>70</v>
      </c>
      <c r="H173" s="228" t="s">
        <v>602</v>
      </c>
      <c r="I173" s="227">
        <v>43068.350081018521</v>
      </c>
      <c r="J173" s="226">
        <v>0</v>
      </c>
      <c r="K173" s="238" t="str">
        <f t="shared" si="126"/>
        <v>4031/4032</v>
      </c>
      <c r="L173" s="246" t="str">
        <f>VLOOKUP(A173,'Trips&amp;Operators'!$C$1:$G$99911,5,FALSE)</f>
        <v>LONG FULLER</v>
      </c>
      <c r="M173" s="225">
        <f t="shared" si="127"/>
        <v>1.0289351856044959E-2</v>
      </c>
      <c r="N173" s="226">
        <f t="shared" si="139"/>
        <v>14.816666672704741</v>
      </c>
      <c r="O173" s="226"/>
      <c r="P173" s="226"/>
      <c r="Q173" s="229"/>
      <c r="R173" s="243"/>
      <c r="S173" s="250">
        <f t="shared" si="128"/>
        <v>1</v>
      </c>
      <c r="T173" s="243" t="str">
        <f t="shared" si="129"/>
        <v>NorthBound</v>
      </c>
      <c r="U173" s="24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9" t="str">
        <f t="shared" si="111"/>
        <v>https://d0f6bd738d7f1b3e5a7ca70fe4ff75f0.us-east-1.aws.found.io/app/kibana#/discover/Steve-Slow-Train-Analysis-(2080s-and-2083s)?_g=(refreshInterval:(display:Off,pause:!f,section:0,value:0),time:(from:'2017-11-29T06:58:27-0700',mode:absolute,to:'2017-11-29T09:24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3" s="248" t="str">
        <f>IF(AA173&lt;VLOOKUP(AG173,Variables!$AC$3:$AD$8,2,FALSE),"Y","N")</f>
        <v>N</v>
      </c>
      <c r="X173" s="248">
        <f t="shared" si="148"/>
        <v>1</v>
      </c>
      <c r="Y173" s="248">
        <f t="shared" si="154"/>
        <v>0.1179</v>
      </c>
      <c r="Z173" s="248">
        <f t="shared" si="155"/>
        <v>5.8964999999999996</v>
      </c>
      <c r="AA173" s="248">
        <f t="shared" si="130"/>
        <v>5.7786</v>
      </c>
      <c r="AB173" s="234" t="e">
        <f>VLOOKUP(A173,Enforcements!$C$7:$K$9,8,0)</f>
        <v>#N/A</v>
      </c>
      <c r="AC173" s="233" t="e">
        <f>VLOOKUP(A173,Enforcements!$C$7:$E$9,3,0)</f>
        <v>#N/A</v>
      </c>
      <c r="AD173" s="244">
        <f t="shared" si="131"/>
        <v>811</v>
      </c>
      <c r="AE173" s="236" t="str">
        <f t="shared" si="112"/>
        <v>aws s3 cp s3://rtdc.mdm.uploadarchive.raw/RTDC4032/ "%USERPROFILE%\AppData\Local\Temp\OnboardLogs"\RTDC4032\2017-11-29 --exclude "*" --recursive --include "*20171129*" &amp; "%USERPROFILE%\Documents\GitHub\mrs-test-scripts\Headless Mode &amp; Sideloading\WalkAndUnGZ.bat" "%USERPROFILE%\AppData\Local\Temp\OnboardLogs"\RTDC4032\2017-11-29 &amp; aws s3 cp s3://rtdc.mdm.uploadarchive.raw/RTDC4032/ "%USERPROFILE%\AppData\Local\Temp\OnboardLogs"\RTDC4032\2017-11-30 --exclude "*" --recursive --include "*20171130*" &amp; "%USERPROFILE%\Documents\GitHub\mrs-test-scripts\Headless Mode &amp; Sideloading\WalkAndUnGZ.bat" "%USERPROFILE%\AppData\Local\Temp\OnboardLogs"\RTDC4032\2017-11-30</v>
      </c>
      <c r="AF173" s="235" t="str">
        <f t="shared" si="113"/>
        <v>"C:\Program Files (x86)\AstroGrep\AstroGrep.exe" /e /r /s /spath="%USERPROFILE%\AppData\Local\Temp\OnboardLogs" /stypes="app*4032*20171129*" /stext=" 15:.+((SYSTEM_STATE.+slice.+state.+changed )|(ment ac)|(multiple cpu faults)|(system.+state.+changed )|(\[timeout)|(PRM\|1\|D)|(kpr)|(kdp)|(train st.+moving)|(\|lc)|(penalty))"</v>
      </c>
      <c r="AG173" s="245" t="str">
        <f t="shared" si="132"/>
        <v>NW</v>
      </c>
      <c r="AH173" s="237" t="str">
        <f t="shared" si="121"/>
        <v>"%USERPROFILE%\Documents\GitHub\eaglep3\Utilities\RefineRTDCRunTimes.py" --tripid 811-29 --locoid 4032 --swversion DE.1.0.9.0 --startMP 204:1179 --initTime 2017-11-29T07:58:27 --startdatetime 2017-11-29T08:09:18 --delay 70 --endMP 300:58965 --enddatetime 2017-11-29T08:24:07 --enforcementcount 0 &gt;&gt;%USERPROFILE%\Documents\GitHub\eaglep3-reporting\EC\2017-11-29-refined-times.txt</v>
      </c>
      <c r="AI173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{"issue":{"subject":"","project_id":79,"tracker_id":40,"status_id":1,"priority_id":2,"assigned_to_id":338,"start_date":"2017-11-29","description":"","custom_fields":[{"id":1,"name":"Subdivision","value":"NW"},{"id":4,"name":"Milepost","value":"5.8965"},{"id":17,"name":"Train ID","value":"811-29"},{"id":16,"name":"Locomotive ID","value":"4032"},{"id":130,"name":"Impact","value":""},{"id":150,"name":"Time of Event (Mountain Time)","value":"08:24:07"},{"id":151,"name":"Denver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3" s="224"/>
      <c r="AK173" s="232"/>
      <c r="AL173" s="232"/>
      <c r="AM173" s="241" t="str">
        <f t="shared" si="123"/>
        <v>start /low /b %USERPROFILE%\Documents\GitHub\eaglep3\Utilities\DownloadLogsFromS3.py --loco 4032 --day 2017-11-29</v>
      </c>
      <c r="AN173" s="242" t="str">
        <f t="shared" si="124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15:24:07"},{"id":29,"name":"Sharepoint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1" t="str">
        <f t="shared" si="125"/>
        <v>https://d0f6bd738d7f1b3e5a7ca70fe4ff75f0.us-east-1.aws.found.io/app/kibana#/discover/Steve-Slow-Train-Analysis-(2080s-and-2083s)?_g=(refreshInterval:(display:Off,pause:!f,section:0,value:0),time:(from:'2017-11-29T06:58:27-0700',mode:absolute,to:'2017-11-29T09:24:07-0700'))&amp;_a=(columns:!('Message%20ID',Summary),filters:!(),index:'emp_*',interval:auto,query:(query_string:(analyze_wildcard:!t,query:'%22rtdc.l.rtdc.4032%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230" t="s">
        <v>712</v>
      </c>
      <c r="B174" s="226">
        <v>4031</v>
      </c>
      <c r="C174" s="228" t="s">
        <v>192</v>
      </c>
      <c r="D174" s="228" t="s">
        <v>1062</v>
      </c>
      <c r="E174" s="227">
        <v>43068.351018518515</v>
      </c>
      <c r="F174" s="227">
        <v>43068.362500000003</v>
      </c>
      <c r="G174" s="226">
        <v>88</v>
      </c>
      <c r="H174" s="228" t="s">
        <v>1063</v>
      </c>
      <c r="I174" s="227">
        <v>43068.372187499997</v>
      </c>
      <c r="J174" s="226">
        <v>0</v>
      </c>
      <c r="K174" s="238" t="str">
        <f t="shared" si="126"/>
        <v>4031/4032</v>
      </c>
      <c r="L174" s="246" t="str">
        <f>VLOOKUP(A174,'Trips&amp;Operators'!$C$1:$G$99911,5,FALSE)</f>
        <v>LONG FULLER</v>
      </c>
      <c r="M174" s="225">
        <f t="shared" si="127"/>
        <v>9.6874999944702722E-3</v>
      </c>
      <c r="N174" s="226">
        <f t="shared" si="139"/>
        <v>13.949999992037192</v>
      </c>
      <c r="O174" s="226"/>
      <c r="P174" s="226"/>
      <c r="Q174" s="229"/>
      <c r="R174" s="243"/>
      <c r="S174" s="250">
        <f t="shared" si="128"/>
        <v>1</v>
      </c>
      <c r="T174" s="243" t="str">
        <f t="shared" si="129"/>
        <v>Southbound</v>
      </c>
      <c r="U174" s="24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9" t="str">
        <f t="shared" si="111"/>
        <v>https://d0f6bd738d7f1b3e5a7ca70fe4ff75f0.us-east-1.aws.found.io/app/kibana#/discover/Steve-Slow-Train-Analysis-(2080s-and-2083s)?_g=(refreshInterval:(display:Off,pause:!f,section:0,value:0),time:(from:'2017-11-29T07:25:28-0700',mode:absolute,to:'2017-11-29T09:55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4" s="248" t="str">
        <f>IF(AA174&lt;VLOOKUP(AG174,Variables!$AC$3:$AD$8,2,FALSE),"Y","N")</f>
        <v>N</v>
      </c>
      <c r="X174" s="248">
        <f t="shared" si="148"/>
        <v>1</v>
      </c>
      <c r="Y174" s="248">
        <f t="shared" si="154"/>
        <v>5.8653000000000004</v>
      </c>
      <c r="Z174" s="248">
        <f t="shared" si="155"/>
        <v>8.9499999999999996E-2</v>
      </c>
      <c r="AA174" s="248">
        <f t="shared" si="130"/>
        <v>5.7758000000000003</v>
      </c>
      <c r="AB174" s="234" t="e">
        <f>VLOOKUP(A174,Enforcements!$C$7:$K$9,8,0)</f>
        <v>#N/A</v>
      </c>
      <c r="AC174" s="233" t="e">
        <f>VLOOKUP(A174,Enforcements!$C$7:$E$9,3,0)</f>
        <v>#N/A</v>
      </c>
      <c r="AD174" s="244">
        <f t="shared" si="131"/>
        <v>812</v>
      </c>
      <c r="AE174" s="236" t="str">
        <f t="shared" si="112"/>
        <v>aws s3 cp s3://rtdc.mdm.uploadarchive.raw/RTDC4031/ "%USERPROFILE%\AppData\Local\Temp\OnboardLogs"\RTDC4031\2017-11-29 --exclude "*" --recursive --include "*20171129*" &amp; "%USERPROFILE%\Documents\GitHub\mrs-test-scripts\Headless Mode &amp; Sideloading\WalkAndUnGZ.bat" "%USERPROFILE%\AppData\Local\Temp\OnboardLogs"\RTDC4031\2017-11-29 &amp; aws s3 cp s3://rtdc.mdm.uploadarchive.raw/RTDC4031/ "%USERPROFILE%\AppData\Local\Temp\OnboardLogs"\RTDC4031\2017-11-30 --exclude "*" --recursive --include "*20171130*" &amp; "%USERPROFILE%\Documents\GitHub\mrs-test-scripts\Headless Mode &amp; Sideloading\WalkAndUnGZ.bat" "%USERPROFILE%\AppData\Local\Temp\OnboardLogs"\RTDC4031\2017-11-30</v>
      </c>
      <c r="AF174" s="235" t="str">
        <f t="shared" si="113"/>
        <v>"C:\Program Files (x86)\AstroGrep\AstroGrep.exe" /e /r /s /spath="%USERPROFILE%\AppData\Local\Temp\OnboardLogs" /stypes="app*4031*20171129*" /stext=" 15:.+((SYSTEM_STATE.+slice.+state.+changed )|(ment ac)|(multiple cpu faults)|(system.+state.+changed )|(\[timeout)|(PRM\|1\|D)|(kpr)|(kdp)|(train st.+moving)|(\|lc)|(penalty))"</v>
      </c>
      <c r="AG174" s="245" t="str">
        <f t="shared" si="132"/>
        <v>NW</v>
      </c>
      <c r="AH174" s="237" t="str">
        <f t="shared" si="121"/>
        <v>"%USERPROFILE%\Documents\GitHub\eaglep3\Utilities\RefineRTDCRunTimes.py" --tripid 812-29 --locoid 4031 --swversion DE.1.0.9.0 --startMP 300:58653 --initTime 2017-11-29T08:25:28 --startdatetime 2017-11-29T08:42:00 --delay 88 --endMP 204:895 --enddatetime 2017-11-29T08:55:57 --enforcementcount 0 &gt;&gt;%USERPROFILE%\Documents\GitHub\eaglep3-reporting\EC\2017-11-29-refined-times.txt</v>
      </c>
      <c r="AI174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{"issue":{"subject":"","project_id":79,"tracker_id":40,"status_id":1,"priority_id":2,"assigned_to_id":338,"start_date":"2017-11-29","description":"","custom_fields":[{"id":1,"name":"Subdivision","value":"NW"},{"id":4,"name":"Milepost","value":"0.0895"},{"id":17,"name":"Train ID","value":"812-29"},{"id":16,"name":"Locomotive ID","value":"4031"},{"id":130,"name":"Impact","value":""},{"id":150,"name":"Time of Event (Mountain Time)","value":"08:55:57"},{"id":151,"name":"Denver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224"/>
      <c r="AK174" s="232"/>
      <c r="AL174" s="232"/>
      <c r="AM174" s="241" t="str">
        <f t="shared" si="123"/>
        <v>start /low /b %USERPROFILE%\Documents\GitHub\eaglep3\Utilities\DownloadLogsFromS3.py --loco 4031 --day 2017-11-29</v>
      </c>
      <c r="AN174" s="242" t="str">
        <f t="shared" si="124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15:55:57"},{"id":29,"name":"Sharepoint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1" t="str">
        <f t="shared" si="125"/>
        <v>https://d0f6bd738d7f1b3e5a7ca70fe4ff75f0.us-east-1.aws.found.io/app/kibana#/discover/Steve-Slow-Train-Analysis-(2080s-and-2083s)?_g=(refreshInterval:(display:Off,pause:!f,section:0,value:0),time:(from:'2017-11-29T07:25:28-0700',mode:absolute,to:'2017-11-29T09:55:57-0700'))&amp;_a=(columns:!('Message%20ID',Summary),filters:!(),index:'emp_*',interval:auto,query:(query_string:(analyze_wildcard:!t,query:'%22rtdc.l.rtdc.4031%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230" t="s">
        <v>721</v>
      </c>
      <c r="B175" s="226">
        <v>4032</v>
      </c>
      <c r="C175" s="228" t="s">
        <v>192</v>
      </c>
      <c r="D175" s="228" t="s">
        <v>1064</v>
      </c>
      <c r="E175" s="227">
        <v>43068.374328703707</v>
      </c>
      <c r="F175" s="227">
        <v>43068.381585648145</v>
      </c>
      <c r="G175" s="226">
        <v>62</v>
      </c>
      <c r="H175" s="228" t="s">
        <v>602</v>
      </c>
      <c r="I175" s="227">
        <v>43068.391701388886</v>
      </c>
      <c r="J175" s="226">
        <v>0</v>
      </c>
      <c r="K175" s="238" t="str">
        <f t="shared" si="126"/>
        <v>4031/4032</v>
      </c>
      <c r="L175" s="246" t="str">
        <f>VLOOKUP(A175,'Trips&amp;Operators'!$C$1:$G$99911,5,FALSE)</f>
        <v>LONG FULLER</v>
      </c>
      <c r="M175" s="225">
        <f t="shared" si="127"/>
        <v>1.0115740740729962E-2</v>
      </c>
      <c r="N175" s="226">
        <f t="shared" si="139"/>
        <v>14.566666666651145</v>
      </c>
      <c r="O175" s="226"/>
      <c r="P175" s="226"/>
      <c r="Q175" s="229"/>
      <c r="R175" s="243"/>
      <c r="S175" s="250">
        <f t="shared" si="128"/>
        <v>1</v>
      </c>
      <c r="T175" s="243" t="str">
        <f t="shared" si="129"/>
        <v>NorthBound</v>
      </c>
      <c r="U175" s="24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9" t="str">
        <f t="shared" si="111"/>
        <v>https://d0f6bd738d7f1b3e5a7ca70fe4ff75f0.us-east-1.aws.found.io/app/kibana#/discover/Steve-Slow-Train-Analysis-(2080s-and-2083s)?_g=(refreshInterval:(display:Off,pause:!f,section:0,value:0),time:(from:'2017-11-29T07:59:02-0700',mode:absolute,to:'2017-11-29T10:24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5" s="248" t="str">
        <f>IF(AA175&lt;VLOOKUP(AG175,Variables!$AC$3:$AD$8,2,FALSE),"Y","N")</f>
        <v>N</v>
      </c>
      <c r="X175" s="248">
        <f t="shared" si="148"/>
        <v>1</v>
      </c>
      <c r="Y175" s="248">
        <f t="shared" si="154"/>
        <v>0.1154</v>
      </c>
      <c r="Z175" s="248">
        <f t="shared" si="155"/>
        <v>5.8964999999999996</v>
      </c>
      <c r="AA175" s="248">
        <f t="shared" si="130"/>
        <v>5.7810999999999995</v>
      </c>
      <c r="AB175" s="234" t="e">
        <f>VLOOKUP(A175,Enforcements!$C$7:$K$9,8,0)</f>
        <v>#N/A</v>
      </c>
      <c r="AC175" s="233" t="e">
        <f>VLOOKUP(A175,Enforcements!$C$7:$E$9,3,0)</f>
        <v>#N/A</v>
      </c>
      <c r="AD175" s="244">
        <f t="shared" si="131"/>
        <v>813</v>
      </c>
      <c r="AE175" s="236" t="str">
        <f t="shared" si="112"/>
        <v>aws s3 cp s3://rtdc.mdm.uploadarchive.raw/RTDC4032/ "%USERPROFILE%\AppData\Local\Temp\OnboardLogs"\RTDC4032\2017-11-29 --exclude "*" --recursive --include "*20171129*" &amp; "%USERPROFILE%\Documents\GitHub\mrs-test-scripts\Headless Mode &amp; Sideloading\WalkAndUnGZ.bat" "%USERPROFILE%\AppData\Local\Temp\OnboardLogs"\RTDC4032\2017-11-29 &amp; aws s3 cp s3://rtdc.mdm.uploadarchive.raw/RTDC4032/ "%USERPROFILE%\AppData\Local\Temp\OnboardLogs"\RTDC4032\2017-11-30 --exclude "*" --recursive --include "*20171130*" &amp; "%USERPROFILE%\Documents\GitHub\mrs-test-scripts\Headless Mode &amp; Sideloading\WalkAndUnGZ.bat" "%USERPROFILE%\AppData\Local\Temp\OnboardLogs"\RTDC4032\2017-11-30</v>
      </c>
      <c r="AF175" s="235" t="str">
        <f t="shared" si="113"/>
        <v>"C:\Program Files (x86)\AstroGrep\AstroGrep.exe" /e /r /s /spath="%USERPROFILE%\AppData\Local\Temp\OnboardLogs" /stypes="app*4032*20171129*" /stext=" 16:.+((SYSTEM_STATE.+slice.+state.+changed )|(ment ac)|(multiple cpu faults)|(system.+state.+changed )|(\[timeout)|(PRM\|1\|D)|(kpr)|(kdp)|(train st.+moving)|(\|lc)|(penalty))"</v>
      </c>
      <c r="AG175" s="245" t="str">
        <f t="shared" si="132"/>
        <v>NW</v>
      </c>
      <c r="AH175" s="237" t="str">
        <f t="shared" si="121"/>
        <v>"%USERPROFILE%\Documents\GitHub\eaglep3\Utilities\RefineRTDCRunTimes.py" --tripid 813-29 --locoid 4032 --swversion DE.1.0.9.0 --startMP 204:1154 --initTime 2017-11-29T08:59:02 --startdatetime 2017-11-29T09:09:29 --delay 62 --endMP 300:58965 --enddatetime 2017-11-29T09:24:03 --enforcementcount 0 &gt;&gt;%USERPROFILE%\Documents\GitHub\eaglep3-reporting\EC\2017-11-29-refined-times.txt</v>
      </c>
      <c r="AI175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{"issue":{"subject":"","project_id":79,"tracker_id":40,"status_id":1,"priority_id":2,"assigned_to_id":338,"start_date":"2017-11-29","description":"","custom_fields":[{"id":1,"name":"Subdivision","value":"NW"},{"id":4,"name":"Milepost","value":"5.8965"},{"id":17,"name":"Train ID","value":"813-29"},{"id":16,"name":"Locomotive ID","value":"4032"},{"id":130,"name":"Impact","value":""},{"id":150,"name":"Time of Event (Mountain Time)","value":"09:24:03"},{"id":151,"name":"Denver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5" s="224"/>
      <c r="AK175" s="232"/>
      <c r="AL175" s="232"/>
      <c r="AM175" s="241" t="str">
        <f t="shared" si="123"/>
        <v>start /low /b %USERPROFILE%\Documents\GitHub\eaglep3\Utilities\DownloadLogsFromS3.py --loco 4032 --day 2017-11-29</v>
      </c>
      <c r="AN175" s="242" t="str">
        <f t="shared" si="124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16:24:03"},{"id":29,"name":"Sharepoint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1" t="str">
        <f t="shared" si="125"/>
        <v>https://d0f6bd738d7f1b3e5a7ca70fe4ff75f0.us-east-1.aws.found.io/app/kibana#/discover/Steve-Slow-Train-Analysis-(2080s-and-2083s)?_g=(refreshInterval:(display:Off,pause:!f,section:0,value:0),time:(from:'2017-11-29T07:59:02-0700',mode:absolute,to:'2017-11-29T10:24:03-0700'))&amp;_a=(columns:!('Message%20ID',Summary),filters:!(),index:'emp_*',interval:auto,query:(query_string:(analyze_wildcard:!t,query:'%22rtdc.l.rtdc.4032%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230" t="s">
        <v>728</v>
      </c>
      <c r="B176" s="226">
        <v>4031</v>
      </c>
      <c r="C176" s="228" t="s">
        <v>192</v>
      </c>
      <c r="D176" s="228" t="s">
        <v>1065</v>
      </c>
      <c r="E176" s="227">
        <v>43068.393506944441</v>
      </c>
      <c r="F176" s="227">
        <v>43068.404166666667</v>
      </c>
      <c r="G176" s="226">
        <v>65</v>
      </c>
      <c r="H176" s="228" t="s">
        <v>1066</v>
      </c>
      <c r="I176" s="227">
        <v>43068.41333333333</v>
      </c>
      <c r="J176" s="226">
        <v>0</v>
      </c>
      <c r="K176" s="238" t="str">
        <f t="shared" si="126"/>
        <v>4031/4032</v>
      </c>
      <c r="L176" s="246" t="str">
        <f>VLOOKUP(A176,'Trips&amp;Operators'!$C$1:$G$99911,5,FALSE)</f>
        <v>LONG FULLER</v>
      </c>
      <c r="M176" s="225">
        <f t="shared" si="127"/>
        <v>9.1666666630771942E-3</v>
      </c>
      <c r="N176" s="226">
        <f t="shared" si="139"/>
        <v>13.19999999483116</v>
      </c>
      <c r="O176" s="226"/>
      <c r="P176" s="226"/>
      <c r="Q176" s="229"/>
      <c r="R176" s="243"/>
      <c r="S176" s="250">
        <f t="shared" si="128"/>
        <v>1</v>
      </c>
      <c r="T176" s="243" t="str">
        <f t="shared" si="129"/>
        <v>Southbound</v>
      </c>
      <c r="U176" s="24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9" t="str">
        <f t="shared" si="111"/>
        <v>https://d0f6bd738d7f1b3e5a7ca70fe4ff75f0.us-east-1.aws.found.io/app/kibana#/discover/Steve-Slow-Train-Analysis-(2080s-and-2083s)?_g=(refreshInterval:(display:Off,pause:!f,section:0,value:0),time:(from:'2017-11-29T08:26:39-0700',mode:absolute,to:'2017-11-29T10:55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6" s="248" t="str">
        <f>IF(AA176&lt;VLOOKUP(AG176,Variables!$AC$3:$AD$8,2,FALSE),"Y","N")</f>
        <v>N</v>
      </c>
      <c r="X176" s="248">
        <f t="shared" si="148"/>
        <v>1</v>
      </c>
      <c r="Y176" s="248">
        <f t="shared" si="154"/>
        <v>5.8639999999999999</v>
      </c>
      <c r="Z176" s="248">
        <f t="shared" si="155"/>
        <v>8.7400000000000005E-2</v>
      </c>
      <c r="AA176" s="248">
        <f t="shared" si="130"/>
        <v>5.7766000000000002</v>
      </c>
      <c r="AB176" s="234" t="e">
        <f>VLOOKUP(A176,Enforcements!$C$7:$K$9,8,0)</f>
        <v>#N/A</v>
      </c>
      <c r="AC176" s="233" t="e">
        <f>VLOOKUP(A176,Enforcements!$C$7:$E$9,3,0)</f>
        <v>#N/A</v>
      </c>
      <c r="AD176" s="244">
        <f t="shared" si="131"/>
        <v>814</v>
      </c>
      <c r="AE176" s="236" t="str">
        <f t="shared" si="112"/>
        <v>aws s3 cp s3://rtdc.mdm.uploadarchive.raw/RTDC4031/ "%USERPROFILE%\AppData\Local\Temp\OnboardLogs"\RTDC4031\2017-11-29 --exclude "*" --recursive --include "*20171129*" &amp; "%USERPROFILE%\Documents\GitHub\mrs-test-scripts\Headless Mode &amp; Sideloading\WalkAndUnGZ.bat" "%USERPROFILE%\AppData\Local\Temp\OnboardLogs"\RTDC4031\2017-11-29 &amp; aws s3 cp s3://rtdc.mdm.uploadarchive.raw/RTDC4031/ "%USERPROFILE%\AppData\Local\Temp\OnboardLogs"\RTDC4031\2017-11-30 --exclude "*" --recursive --include "*20171130*" &amp; "%USERPROFILE%\Documents\GitHub\mrs-test-scripts\Headless Mode &amp; Sideloading\WalkAndUnGZ.bat" "%USERPROFILE%\AppData\Local\Temp\OnboardLogs"\RTDC4031\2017-11-30</v>
      </c>
      <c r="AF176" s="235" t="str">
        <f t="shared" si="113"/>
        <v>"C:\Program Files (x86)\AstroGrep\AstroGrep.exe" /e /r /s /spath="%USERPROFILE%\AppData\Local\Temp\OnboardLogs" /stypes="app*4031*20171129*" /stext=" 16:.+((SYSTEM_STATE.+slice.+state.+changed )|(ment ac)|(multiple cpu faults)|(system.+state.+changed )|(\[timeout)|(PRM\|1\|D)|(kpr)|(kdp)|(train st.+moving)|(\|lc)|(penalty))"</v>
      </c>
      <c r="AG176" s="245" t="str">
        <f t="shared" si="132"/>
        <v>NW</v>
      </c>
      <c r="AH176" s="237" t="str">
        <f t="shared" si="121"/>
        <v>"%USERPROFILE%\Documents\GitHub\eaglep3\Utilities\RefineRTDCRunTimes.py" --tripid 814-29 --locoid 4031 --swversion DE.1.0.9.0 --startMP 300:58640 --initTime 2017-11-29T09:26:39 --startdatetime 2017-11-29T09:42:00 --delay 65 --endMP 204:874 --enddatetime 2017-11-29T09:55:12 --enforcementcount 0 &gt;&gt;%USERPROFILE%\Documents\GitHub\eaglep3-reporting\EC\2017-11-29-refined-times.txt</v>
      </c>
      <c r="AI176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{"issue":{"subject":"","project_id":79,"tracker_id":40,"status_id":1,"priority_id":2,"assigned_to_id":338,"start_date":"2017-11-29","description":"","custom_fields":[{"id":1,"name":"Subdivision","value":"NW"},{"id":4,"name":"Milepost","value":"0.0874"},{"id":17,"name":"Train ID","value":"814-29"},{"id":16,"name":"Locomotive ID","value":"4031"},{"id":130,"name":"Impact","value":""},{"id":150,"name":"Time of Event (Mountain Time)","value":"09:55:12"},{"id":151,"name":"Denver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6" s="224"/>
      <c r="AK176" s="232"/>
      <c r="AL176" s="232"/>
      <c r="AM176" s="241" t="str">
        <f t="shared" si="123"/>
        <v>start /low /b %USERPROFILE%\Documents\GitHub\eaglep3\Utilities\DownloadLogsFromS3.py --loco 4031 --day 2017-11-29</v>
      </c>
      <c r="AN176" s="242" t="str">
        <f t="shared" si="124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16:55:12"},{"id":29,"name":"Sharepoint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1" t="str">
        <f t="shared" si="125"/>
        <v>https://d0f6bd738d7f1b3e5a7ca70fe4ff75f0.us-east-1.aws.found.io/app/kibana#/discover/Steve-Slow-Train-Analysis-(2080s-and-2083s)?_g=(refreshInterval:(display:Off,pause:!f,section:0,value:0),time:(from:'2017-11-29T08:26:39-0700',mode:absolute,to:'2017-11-29T10:55:12-0700'))&amp;_a=(columns:!('Message%20ID',Summary),filters:!(),index:'emp_*',interval:auto,query:(query_string:(analyze_wildcard:!t,query:'%22rtdc.l.rtdc.4031%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230" t="s">
        <v>733</v>
      </c>
      <c r="B177" s="226">
        <v>4032</v>
      </c>
      <c r="C177" s="228" t="s">
        <v>192</v>
      </c>
      <c r="D177" s="228" t="s">
        <v>1067</v>
      </c>
      <c r="E177" s="227">
        <v>43068.415150462963</v>
      </c>
      <c r="F177" s="227">
        <v>43068.423101851855</v>
      </c>
      <c r="G177" s="226">
        <v>55</v>
      </c>
      <c r="H177" s="228" t="s">
        <v>602</v>
      </c>
      <c r="I177" s="227">
        <v>43068.432592592595</v>
      </c>
      <c r="J177" s="226">
        <v>0</v>
      </c>
      <c r="K177" s="238" t="str">
        <f t="shared" si="126"/>
        <v>4031/4032</v>
      </c>
      <c r="L177" s="246" t="str">
        <f>VLOOKUP(A177,'Trips&amp;Operators'!$C$1:$G$99911,5,FALSE)</f>
        <v>LONG FULLER</v>
      </c>
      <c r="M177" s="225">
        <f t="shared" si="127"/>
        <v>9.4907407401478849E-3</v>
      </c>
      <c r="N177" s="226">
        <f t="shared" si="139"/>
        <v>13.666666665812954</v>
      </c>
      <c r="O177" s="226"/>
      <c r="P177" s="226"/>
      <c r="Q177" s="229"/>
      <c r="R177" s="243"/>
      <c r="S177" s="250">
        <f t="shared" si="128"/>
        <v>1</v>
      </c>
      <c r="T177" s="243" t="str">
        <f t="shared" si="129"/>
        <v>NorthBound</v>
      </c>
      <c r="U177" s="24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9" t="str">
        <f t="shared" si="111"/>
        <v>https://d0f6bd738d7f1b3e5a7ca70fe4ff75f0.us-east-1.aws.found.io/app/kibana#/discover/Steve-Slow-Train-Analysis-(2080s-and-2083s)?_g=(refreshInterval:(display:Off,pause:!f,section:0,value:0),time:(from:'2017-11-29T08:57:49-0700',mode:absolute,to:'2017-11-29T11:22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7" s="248" t="str">
        <f>IF(AA177&lt;VLOOKUP(AG177,Variables!$AC$3:$AD$8,2,FALSE),"Y","N")</f>
        <v>N</v>
      </c>
      <c r="X177" s="248">
        <f t="shared" si="148"/>
        <v>1</v>
      </c>
      <c r="Y177" s="248">
        <f t="shared" si="154"/>
        <v>0.1168</v>
      </c>
      <c r="Z177" s="248">
        <f t="shared" si="155"/>
        <v>5.8964999999999996</v>
      </c>
      <c r="AA177" s="248">
        <f t="shared" si="130"/>
        <v>5.7797000000000001</v>
      </c>
      <c r="AB177" s="234" t="e">
        <f>VLOOKUP(A177,Enforcements!$C$7:$K$9,8,0)</f>
        <v>#N/A</v>
      </c>
      <c r="AC177" s="233" t="e">
        <f>VLOOKUP(A177,Enforcements!$C$7:$E$9,3,0)</f>
        <v>#N/A</v>
      </c>
      <c r="AD177" s="244">
        <f t="shared" si="131"/>
        <v>815</v>
      </c>
      <c r="AE177" s="236" t="str">
        <f t="shared" si="112"/>
        <v>aws s3 cp s3://rtdc.mdm.uploadarchive.raw/RTDC4032/ "%USERPROFILE%\AppData\Local\Temp\OnboardLogs"\RTDC4032\2017-11-29 --exclude "*" --recursive --include "*20171129*" &amp; "%USERPROFILE%\Documents\GitHub\mrs-test-scripts\Headless Mode &amp; Sideloading\WalkAndUnGZ.bat" "%USERPROFILE%\AppData\Local\Temp\OnboardLogs"\RTDC4032\2017-11-29 &amp; aws s3 cp s3://rtdc.mdm.uploadarchive.raw/RTDC4032/ "%USERPROFILE%\AppData\Local\Temp\OnboardLogs"\RTDC4032\2017-11-30 --exclude "*" --recursive --include "*20171130*" &amp; "%USERPROFILE%\Documents\GitHub\mrs-test-scripts\Headless Mode &amp; Sideloading\WalkAndUnGZ.bat" "%USERPROFILE%\AppData\Local\Temp\OnboardLogs"\RTDC4032\2017-11-30</v>
      </c>
      <c r="AF177" s="235" t="str">
        <f t="shared" si="113"/>
        <v>"C:\Program Files (x86)\AstroGrep\AstroGrep.exe" /e /r /s /spath="%USERPROFILE%\AppData\Local\Temp\OnboardLogs" /stypes="app*4032*20171129*" /stext=" 17:.+((SYSTEM_STATE.+slice.+state.+changed )|(ment ac)|(multiple cpu faults)|(system.+state.+changed )|(\[timeout)|(PRM\|1\|D)|(kpr)|(kdp)|(train st.+moving)|(\|lc)|(penalty))"</v>
      </c>
      <c r="AG177" s="245" t="str">
        <f t="shared" si="132"/>
        <v>NW</v>
      </c>
      <c r="AH177" s="237" t="str">
        <f t="shared" si="121"/>
        <v>"%USERPROFILE%\Documents\GitHub\eaglep3\Utilities\RefineRTDCRunTimes.py" --tripid 815-29 --locoid 4032 --swversion DE.1.0.9.0 --startMP 204:1168 --initTime 2017-11-29T09:57:49 --startdatetime 2017-11-29T10:09:16 --delay 55 --endMP 300:58965 --enddatetime 2017-11-29T10:22:56 --enforcementcount 0 &gt;&gt;%USERPROFILE%\Documents\GitHub\eaglep3-reporting\EC\2017-11-29-refined-times.txt</v>
      </c>
      <c r="AI177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{"issue":{"subject":"","project_id":79,"tracker_id":40,"status_id":1,"priority_id":2,"assigned_to_id":338,"start_date":"2017-11-29","description":"","custom_fields":[{"id":1,"name":"Subdivision","value":"NW"},{"id":4,"name":"Milepost","value":"5.8965"},{"id":17,"name":"Train ID","value":"815-29"},{"id":16,"name":"Locomotive ID","value":"4032"},{"id":130,"name":"Impact","value":""},{"id":150,"name":"Time of Event (Mountain Time)","value":"10:22:56"},{"id":151,"name":"Denver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7" s="224"/>
      <c r="AK177" s="232"/>
      <c r="AL177" s="232"/>
      <c r="AM177" s="241" t="str">
        <f t="shared" si="123"/>
        <v>start /low /b %USERPROFILE%\Documents\GitHub\eaglep3\Utilities\DownloadLogsFromS3.py --loco 4032 --day 2017-11-29</v>
      </c>
      <c r="AN177" s="242" t="str">
        <f t="shared" si="124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17:22:56"},{"id":29,"name":"Sharepoint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1" t="str">
        <f t="shared" si="125"/>
        <v>https://d0f6bd738d7f1b3e5a7ca70fe4ff75f0.us-east-1.aws.found.io/app/kibana#/discover/Steve-Slow-Train-Analysis-(2080s-and-2083s)?_g=(refreshInterval:(display:Off,pause:!f,section:0,value:0),time:(from:'2017-11-29T08:57:49-0700',mode:absolute,to:'2017-11-29T11:22:56-0700'))&amp;_a=(columns:!('Message%20ID',Summary),filters:!(),index:'emp_*',interval:auto,query:(query_string:(analyze_wildcard:!t,query:'%22rtdc.l.rtdc.4032%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230" t="s">
        <v>737</v>
      </c>
      <c r="B178" s="226">
        <v>4031</v>
      </c>
      <c r="C178" s="228" t="s">
        <v>192</v>
      </c>
      <c r="D178" s="228" t="s">
        <v>1057</v>
      </c>
      <c r="E178" s="227">
        <v>43068.433912037035</v>
      </c>
      <c r="F178" s="227">
        <v>43068.445833333331</v>
      </c>
      <c r="G178" s="226">
        <v>55</v>
      </c>
      <c r="H178" s="228" t="s">
        <v>1068</v>
      </c>
      <c r="I178" s="227">
        <v>43068.45484953704</v>
      </c>
      <c r="J178" s="226">
        <v>0</v>
      </c>
      <c r="K178" s="238" t="str">
        <f t="shared" si="126"/>
        <v>4031/4032</v>
      </c>
      <c r="L178" s="246" t="str">
        <f>VLOOKUP(A178,'Trips&amp;Operators'!$C$1:$G$99911,5,FALSE)</f>
        <v>LONG FULLER</v>
      </c>
      <c r="M178" s="225">
        <f t="shared" si="127"/>
        <v>9.0162037085974589E-3</v>
      </c>
      <c r="N178" s="226">
        <f t="shared" si="139"/>
        <v>12.983333340380341</v>
      </c>
      <c r="O178" s="226"/>
      <c r="P178" s="226"/>
      <c r="Q178" s="229"/>
      <c r="R178" s="243"/>
      <c r="S178" s="250">
        <f t="shared" si="128"/>
        <v>1</v>
      </c>
      <c r="T178" s="243" t="str">
        <f t="shared" si="129"/>
        <v>Southbound</v>
      </c>
      <c r="U178" s="24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9" t="str">
        <f t="shared" si="111"/>
        <v>https://d0f6bd738d7f1b3e5a7ca70fe4ff75f0.us-east-1.aws.found.io/app/kibana#/discover/Steve-Slow-Train-Analysis-(2080s-and-2083s)?_g=(refreshInterval:(display:Off,pause:!f,section:0,value:0),time:(from:'2017-11-29T09:24:50-0700',mode:absolute,to:'2017-11-29T11:54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8" s="248" t="str">
        <f>IF(AA178&lt;VLOOKUP(AG178,Variables!$AC$3:$AD$8,2,FALSE),"Y","N")</f>
        <v>N</v>
      </c>
      <c r="X178" s="248">
        <f t="shared" si="148"/>
        <v>1</v>
      </c>
      <c r="Y178" s="248">
        <f t="shared" si="154"/>
        <v>5.8651</v>
      </c>
      <c r="Z178" s="248">
        <f t="shared" si="155"/>
        <v>8.5199999999999998E-2</v>
      </c>
      <c r="AA178" s="248">
        <f t="shared" si="130"/>
        <v>5.7798999999999996</v>
      </c>
      <c r="AB178" s="234" t="e">
        <f>VLOOKUP(A178,Enforcements!$C$7:$K$9,8,0)</f>
        <v>#N/A</v>
      </c>
      <c r="AC178" s="233" t="e">
        <f>VLOOKUP(A178,Enforcements!$C$7:$E$9,3,0)</f>
        <v>#N/A</v>
      </c>
      <c r="AD178" s="244">
        <f t="shared" si="131"/>
        <v>816</v>
      </c>
      <c r="AE178" s="236" t="str">
        <f t="shared" si="112"/>
        <v>aws s3 cp s3://rtdc.mdm.uploadarchive.raw/RTDC4031/ "%USERPROFILE%\AppData\Local\Temp\OnboardLogs"\RTDC4031\2017-11-29 --exclude "*" --recursive --include "*20171129*" &amp; "%USERPROFILE%\Documents\GitHub\mrs-test-scripts\Headless Mode &amp; Sideloading\WalkAndUnGZ.bat" "%USERPROFILE%\AppData\Local\Temp\OnboardLogs"\RTDC4031\2017-11-29 &amp; aws s3 cp s3://rtdc.mdm.uploadarchive.raw/RTDC4031/ "%USERPROFILE%\AppData\Local\Temp\OnboardLogs"\RTDC4031\2017-11-30 --exclude "*" --recursive --include "*20171130*" &amp; "%USERPROFILE%\Documents\GitHub\mrs-test-scripts\Headless Mode &amp; Sideloading\WalkAndUnGZ.bat" "%USERPROFILE%\AppData\Local\Temp\OnboardLogs"\RTDC4031\2017-11-30</v>
      </c>
      <c r="AF178" s="235" t="str">
        <f t="shared" si="113"/>
        <v>"C:\Program Files (x86)\AstroGrep\AstroGrep.exe" /e /r /s /spath="%USERPROFILE%\AppData\Local\Temp\OnboardLogs" /stypes="app*4031*20171129*" /stext=" 17:.+((SYSTEM_STATE.+slice.+state.+changed )|(ment ac)|(multiple cpu faults)|(system.+state.+changed )|(\[timeout)|(PRM\|1\|D)|(kpr)|(kdp)|(train st.+moving)|(\|lc)|(penalty))"</v>
      </c>
      <c r="AG178" s="245" t="str">
        <f t="shared" si="132"/>
        <v>NW</v>
      </c>
      <c r="AH178" s="237" t="str">
        <f t="shared" si="121"/>
        <v>"%USERPROFILE%\Documents\GitHub\eaglep3\Utilities\RefineRTDCRunTimes.py" --tripid 816-29 --locoid 4031 --swversion DE.1.0.9.0 --startMP 300:58651 --initTime 2017-11-29T10:24:50 --startdatetime 2017-11-29T10:42:00 --delay 55 --endMP 204:852 --enddatetime 2017-11-29T10:54:59 --enforcementcount 0 &gt;&gt;%USERPROFILE%\Documents\GitHub\eaglep3-reporting\EC\2017-11-29-refined-times.txt</v>
      </c>
      <c r="AI178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{"issue":{"subject":"","project_id":79,"tracker_id":40,"status_id":1,"priority_id":2,"assigned_to_id":338,"start_date":"2017-11-29","description":"","custom_fields":[{"id":1,"name":"Subdivision","value":"NW"},{"id":4,"name":"Milepost","value":"0.0852"},{"id":17,"name":"Train ID","value":"816-29"},{"id":16,"name":"Locomotive ID","value":"4031"},{"id":130,"name":"Impact","value":""},{"id":150,"name":"Time of Event (Mountain Time)","value":"10:54:59"},{"id":151,"name":"Denver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4"/>
      <c r="AK178" s="232"/>
      <c r="AL178" s="232"/>
      <c r="AM178" s="241" t="str">
        <f t="shared" si="123"/>
        <v>start /low /b %USERPROFILE%\Documents\GitHub\eaglep3\Utilities\DownloadLogsFromS3.py --loco 4031 --day 2017-11-29</v>
      </c>
      <c r="AN178" s="242" t="str">
        <f t="shared" si="124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17:54:59"},{"id":29,"name":"Sharepoint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1" t="str">
        <f t="shared" si="125"/>
        <v>https://d0f6bd738d7f1b3e5a7ca70fe4ff75f0.us-east-1.aws.found.io/app/kibana#/discover/Steve-Slow-Train-Analysis-(2080s-and-2083s)?_g=(refreshInterval:(display:Off,pause:!f,section:0,value:0),time:(from:'2017-11-29T09:24:50-0700',mode:absolute,to:'2017-11-29T11:54:59-0700'))&amp;_a=(columns:!('Message%20ID',Summary),filters:!(),index:'emp_*',interval:auto,query:(query_string:(analyze_wildcard:!t,query:'%22rtdc.l.rtdc.4031%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230" t="s">
        <v>635</v>
      </c>
      <c r="B179" s="226">
        <v>4032</v>
      </c>
      <c r="C179" s="228" t="s">
        <v>192</v>
      </c>
      <c r="D179" s="228" t="s">
        <v>1069</v>
      </c>
      <c r="E179" s="227">
        <v>43068.457812499997</v>
      </c>
      <c r="F179" s="227">
        <v>43068.464780092596</v>
      </c>
      <c r="G179" s="226">
        <v>60</v>
      </c>
      <c r="H179" s="228" t="s">
        <v>598</v>
      </c>
      <c r="I179" s="227">
        <v>43068.475231481483</v>
      </c>
      <c r="J179" s="226">
        <v>0</v>
      </c>
      <c r="K179" s="238" t="str">
        <f t="shared" si="126"/>
        <v>4031/4032</v>
      </c>
      <c r="L179" s="246" t="str">
        <f>VLOOKUP(A179,'Trips&amp;Operators'!$C$1:$G$99911,5,FALSE)</f>
        <v>LONG FULLER</v>
      </c>
      <c r="M179" s="225">
        <f t="shared" si="127"/>
        <v>1.0451388887304347E-2</v>
      </c>
      <c r="N179" s="226">
        <f t="shared" si="139"/>
        <v>15.04999999771826</v>
      </c>
      <c r="O179" s="226"/>
      <c r="P179" s="226"/>
      <c r="Q179" s="229"/>
      <c r="R179" s="243"/>
      <c r="S179" s="250">
        <f t="shared" si="128"/>
        <v>1</v>
      </c>
      <c r="T179" s="243" t="str">
        <f t="shared" si="129"/>
        <v>NorthBound</v>
      </c>
      <c r="U179" s="24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9" t="str">
        <f t="shared" si="111"/>
        <v>https://d0f6bd738d7f1b3e5a7ca70fe4ff75f0.us-east-1.aws.found.io/app/kibana#/discover/Steve-Slow-Train-Analysis-(2080s-and-2083s)?_g=(refreshInterval:(display:Off,pause:!f,section:0,value:0),time:(from:'2017-11-29T09:59:15-0700',mode:absolute,to:'2017-11-29T12:24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9" s="248" t="str">
        <f>IF(AA179&lt;VLOOKUP(AG179,Variables!$AC$3:$AD$8,2,FALSE),"Y","N")</f>
        <v>N</v>
      </c>
      <c r="X179" s="248">
        <f t="shared" si="148"/>
        <v>1</v>
      </c>
      <c r="Y179" s="248">
        <f t="shared" si="154"/>
        <v>0.11559999999999999</v>
      </c>
      <c r="Z179" s="248">
        <f t="shared" si="155"/>
        <v>5.8967000000000001</v>
      </c>
      <c r="AA179" s="248">
        <f t="shared" si="130"/>
        <v>5.7811000000000003</v>
      </c>
      <c r="AB179" s="234" t="e">
        <f>VLOOKUP(A179,Enforcements!$C$7:$K$9,8,0)</f>
        <v>#N/A</v>
      </c>
      <c r="AC179" s="233" t="e">
        <f>VLOOKUP(A179,Enforcements!$C$7:$E$9,3,0)</f>
        <v>#N/A</v>
      </c>
      <c r="AD179" s="244">
        <f t="shared" si="131"/>
        <v>817</v>
      </c>
      <c r="AE179" s="236" t="str">
        <f t="shared" si="112"/>
        <v>aws s3 cp s3://rtdc.mdm.uploadarchive.raw/RTDC4032/ "%USERPROFILE%\AppData\Local\Temp\OnboardLogs"\RTDC4032\2017-11-29 --exclude "*" --recursive --include "*20171129*" &amp; "%USERPROFILE%\Documents\GitHub\mrs-test-scripts\Headless Mode &amp; Sideloading\WalkAndUnGZ.bat" "%USERPROFILE%\AppData\Local\Temp\OnboardLogs"\RTDC4032\2017-11-29 &amp; aws s3 cp s3://rtdc.mdm.uploadarchive.raw/RTDC4032/ "%USERPROFILE%\AppData\Local\Temp\OnboardLogs"\RTDC4032\2017-11-30 --exclude "*" --recursive --include "*20171130*" &amp; "%USERPROFILE%\Documents\GitHub\mrs-test-scripts\Headless Mode &amp; Sideloading\WalkAndUnGZ.bat" "%USERPROFILE%\AppData\Local\Temp\OnboardLogs"\RTDC4032\2017-11-30</v>
      </c>
      <c r="AF179" s="235" t="str">
        <f t="shared" si="113"/>
        <v>"C:\Program Files (x86)\AstroGrep\AstroGrep.exe" /e /r /s /spath="%USERPROFILE%\AppData\Local\Temp\OnboardLogs" /stypes="app*4032*20171129*" /stext=" 18:.+((SYSTEM_STATE.+slice.+state.+changed )|(ment ac)|(multiple cpu faults)|(system.+state.+changed )|(\[timeout)|(PRM\|1\|D)|(kpr)|(kdp)|(train st.+moving)|(\|lc)|(penalty))"</v>
      </c>
      <c r="AG179" s="245" t="str">
        <f t="shared" si="132"/>
        <v>NW</v>
      </c>
      <c r="AH179" s="237" t="str">
        <f t="shared" si="121"/>
        <v>"%USERPROFILE%\Documents\GitHub\eaglep3\Utilities\RefineRTDCRunTimes.py" --tripid 817-29 --locoid 4032 --swversion DE.1.0.9.0 --startMP 204:1156 --initTime 2017-11-29T10:59:15 --startdatetime 2017-11-29T11:09:17 --delay 60 --endMP 300:58967 --enddatetime 2017-11-29T11:24:20 --enforcementcount 0 &gt;&gt;%USERPROFILE%\Documents\GitHub\eaglep3-reporting\EC\2017-11-29-refined-times.txt</v>
      </c>
      <c r="AI179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{"issue":{"subject":"","project_id":79,"tracker_id":40,"status_id":1,"priority_id":2,"assigned_to_id":338,"start_date":"2017-11-29","description":"","custom_fields":[{"id":1,"name":"Subdivision","value":"NW"},{"id":4,"name":"Milepost","value":"5.8967"},{"id":17,"name":"Train ID","value":"817-29"},{"id":16,"name":"Locomotive ID","value":"4032"},{"id":130,"name":"Impact","value":""},{"id":150,"name":"Time of Event (Mountain Time)","value":"11:24:20"},{"id":151,"name":"Denver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9" s="224"/>
      <c r="AK179" s="232"/>
      <c r="AL179" s="232"/>
      <c r="AM179" s="241" t="str">
        <f t="shared" si="123"/>
        <v>start /low /b %USERPROFILE%\Documents\GitHub\eaglep3\Utilities\DownloadLogsFromS3.py --loco 4032 --day 2017-11-29</v>
      </c>
      <c r="AN179" s="242" t="str">
        <f t="shared" si="124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18:24:20"},{"id":29,"name":"Sharepoint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1" t="str">
        <f t="shared" si="125"/>
        <v>https://d0f6bd738d7f1b3e5a7ca70fe4ff75f0.us-east-1.aws.found.io/app/kibana#/discover/Steve-Slow-Train-Analysis-(2080s-and-2083s)?_g=(refreshInterval:(display:Off,pause:!f,section:0,value:0),time:(from:'2017-11-29T09:59:15-0700',mode:absolute,to:'2017-11-29T12:24:20-0700'))&amp;_a=(columns:!('Message%20ID',Summary),filters:!(),index:'emp_*',interval:auto,query:(query_string:(analyze_wildcard:!t,query:'%22rtdc.l.rtdc.4032%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230" t="s">
        <v>749</v>
      </c>
      <c r="B180" s="226">
        <v>4031</v>
      </c>
      <c r="C180" s="228" t="s">
        <v>192</v>
      </c>
      <c r="D180" s="228" t="s">
        <v>1057</v>
      </c>
      <c r="E180" s="227">
        <v>43068.476446759261</v>
      </c>
      <c r="F180" s="227">
        <v>43068.487500000003</v>
      </c>
      <c r="G180" s="226">
        <v>66</v>
      </c>
      <c r="H180" s="228" t="s">
        <v>1070</v>
      </c>
      <c r="I180" s="227">
        <v>43068.49664351852</v>
      </c>
      <c r="J180" s="226">
        <v>0</v>
      </c>
      <c r="K180" s="238" t="str">
        <f t="shared" si="126"/>
        <v>4031/4032</v>
      </c>
      <c r="L180" s="246" t="str">
        <f>VLOOKUP(A180,'Trips&amp;Operators'!$C$1:$G$99911,5,FALSE)</f>
        <v>LONG FULLER</v>
      </c>
      <c r="M180" s="225">
        <f t="shared" si="127"/>
        <v>9.1435185167938471E-3</v>
      </c>
      <c r="N180" s="226">
        <f t="shared" si="139"/>
        <v>13.16666666418314</v>
      </c>
      <c r="O180" s="226"/>
      <c r="P180" s="226"/>
      <c r="Q180" s="229"/>
      <c r="R180" s="243"/>
      <c r="S180" s="250">
        <f t="shared" si="128"/>
        <v>1</v>
      </c>
      <c r="T180" s="243" t="str">
        <f t="shared" si="129"/>
        <v>Southbound</v>
      </c>
      <c r="U180" s="24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9" t="str">
        <f t="shared" si="111"/>
        <v>https://d0f6bd738d7f1b3e5a7ca70fe4ff75f0.us-east-1.aws.found.io/app/kibana#/discover/Steve-Slow-Train-Analysis-(2080s-and-2083s)?_g=(refreshInterval:(display:Off,pause:!f,section:0,value:0),time:(from:'2017-11-29T10:26:05-0700',mode:absolute,to:'2017-11-29T12:55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0" s="248" t="str">
        <f>IF(AA180&lt;VLOOKUP(AG180,Variables!$AC$3:$AD$8,2,FALSE),"Y","N")</f>
        <v>N</v>
      </c>
      <c r="X180" s="248">
        <f t="shared" si="148"/>
        <v>1</v>
      </c>
      <c r="Y180" s="248">
        <f t="shared" si="154"/>
        <v>5.8651</v>
      </c>
      <c r="Z180" s="248">
        <f t="shared" si="155"/>
        <v>8.7599999999999997E-2</v>
      </c>
      <c r="AA180" s="248">
        <f t="shared" si="130"/>
        <v>5.7774999999999999</v>
      </c>
      <c r="AB180" s="234" t="e">
        <f>VLOOKUP(A180,Enforcements!$C$7:$K$9,8,0)</f>
        <v>#N/A</v>
      </c>
      <c r="AC180" s="233" t="e">
        <f>VLOOKUP(A180,Enforcements!$C$7:$E$9,3,0)</f>
        <v>#N/A</v>
      </c>
      <c r="AD180" s="244">
        <f t="shared" si="131"/>
        <v>818</v>
      </c>
      <c r="AE180" s="236" t="str">
        <f t="shared" si="112"/>
        <v>aws s3 cp s3://rtdc.mdm.uploadarchive.raw/RTDC4031/ "%USERPROFILE%\AppData\Local\Temp\OnboardLogs"\RTDC4031\2017-11-29 --exclude "*" --recursive --include "*20171129*" &amp; "%USERPROFILE%\Documents\GitHub\mrs-test-scripts\Headless Mode &amp; Sideloading\WalkAndUnGZ.bat" "%USERPROFILE%\AppData\Local\Temp\OnboardLogs"\RTDC4031\2017-11-29 &amp; aws s3 cp s3://rtdc.mdm.uploadarchive.raw/RTDC4031/ "%USERPROFILE%\AppData\Local\Temp\OnboardLogs"\RTDC4031\2017-11-30 --exclude "*" --recursive --include "*20171130*" &amp; "%USERPROFILE%\Documents\GitHub\mrs-test-scripts\Headless Mode &amp; Sideloading\WalkAndUnGZ.bat" "%USERPROFILE%\AppData\Local\Temp\OnboardLogs"\RTDC4031\2017-11-30</v>
      </c>
      <c r="AF180" s="235" t="str">
        <f t="shared" si="113"/>
        <v>"C:\Program Files (x86)\AstroGrep\AstroGrep.exe" /e /r /s /spath="%USERPROFILE%\AppData\Local\Temp\OnboardLogs" /stypes="app*4031*20171129*" /stext=" 18:.+((SYSTEM_STATE.+slice.+state.+changed )|(ment ac)|(multiple cpu faults)|(system.+state.+changed )|(\[timeout)|(PRM\|1\|D)|(kpr)|(kdp)|(train st.+moving)|(\|lc)|(penalty))"</v>
      </c>
      <c r="AG180" s="245" t="str">
        <f t="shared" si="132"/>
        <v>NW</v>
      </c>
      <c r="AH180" s="237" t="str">
        <f t="shared" si="121"/>
        <v>"%USERPROFILE%\Documents\GitHub\eaglep3\Utilities\RefineRTDCRunTimes.py" --tripid 818-29 --locoid 4031 --swversion DE.1.0.9.0 --startMP 300:58651 --initTime 2017-11-29T11:26:05 --startdatetime 2017-11-29T11:42:00 --delay 66 --endMP 204:876 --enddatetime 2017-11-29T11:55:10 --enforcementcount 0 &gt;&gt;%USERPROFILE%\Documents\GitHub\eaglep3-reporting\EC\2017-11-29-refined-times.txt</v>
      </c>
      <c r="AI180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{"issue":{"subject":"","project_id":79,"tracker_id":40,"status_id":1,"priority_id":2,"assigned_to_id":338,"start_date":"2017-11-29","description":"","custom_fields":[{"id":1,"name":"Subdivision","value":"NW"},{"id":4,"name":"Milepost","value":"0.0876"},{"id":17,"name":"Train ID","value":"818-29"},{"id":16,"name":"Locomotive ID","value":"4031"},{"id":130,"name":"Impact","value":""},{"id":150,"name":"Time of Event (Mountain Time)","value":"11:55:10"},{"id":151,"name":"Denver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224"/>
      <c r="AK180" s="232"/>
      <c r="AL180" s="232"/>
      <c r="AM180" s="241" t="str">
        <f t="shared" si="123"/>
        <v>start /low /b %USERPROFILE%\Documents\GitHub\eaglep3\Utilities\DownloadLogsFromS3.py --loco 4031 --day 2017-11-29</v>
      </c>
      <c r="AN180" s="242" t="str">
        <f t="shared" si="124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18:55:10"},{"id":29,"name":"Sharepoint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1" t="str">
        <f t="shared" si="125"/>
        <v>https://d0f6bd738d7f1b3e5a7ca70fe4ff75f0.us-east-1.aws.found.io/app/kibana#/discover/Steve-Slow-Train-Analysis-(2080s-and-2083s)?_g=(refreshInterval:(display:Off,pause:!f,section:0,value:0),time:(from:'2017-11-29T10:26:05-0700',mode:absolute,to:'2017-11-29T12:55:10-0700'))&amp;_a=(columns:!('Message%20ID',Summary),filters:!(),index:'emp_*',interval:auto,query:(query_string:(analyze_wildcard:!t,query:'%22rtdc.l.rtdc.4031%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230" t="s">
        <v>755</v>
      </c>
      <c r="B181" s="226">
        <v>4032</v>
      </c>
      <c r="C181" s="228" t="s">
        <v>192</v>
      </c>
      <c r="D181" s="228" t="s">
        <v>1071</v>
      </c>
      <c r="E181" s="227">
        <v>43068.498287037037</v>
      </c>
      <c r="F181" s="227">
        <v>43068.506423611114</v>
      </c>
      <c r="G181" s="226">
        <v>50</v>
      </c>
      <c r="H181" s="228" t="s">
        <v>598</v>
      </c>
      <c r="I181" s="227">
        <v>43068.515636574077</v>
      </c>
      <c r="J181" s="226">
        <v>0</v>
      </c>
      <c r="K181" s="238" t="str">
        <f t="shared" si="126"/>
        <v>4031/4032</v>
      </c>
      <c r="L181" s="246" t="str">
        <f>VLOOKUP(A181,'Trips&amp;Operators'!$C$1:$G$99911,5,FALSE)</f>
        <v>LONG FULLER</v>
      </c>
      <c r="M181" s="225">
        <f t="shared" si="127"/>
        <v>9.2129629629198462E-3</v>
      </c>
      <c r="N181" s="226">
        <f t="shared" si="139"/>
        <v>13.266666666604578</v>
      </c>
      <c r="O181" s="226"/>
      <c r="P181" s="226"/>
      <c r="Q181" s="229"/>
      <c r="R181" s="243"/>
      <c r="S181" s="250">
        <f t="shared" si="128"/>
        <v>1</v>
      </c>
      <c r="T181" s="243" t="str">
        <f t="shared" si="129"/>
        <v>NorthBound</v>
      </c>
      <c r="U181" s="24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9" t="str">
        <f t="shared" si="111"/>
        <v>https://d0f6bd738d7f1b3e5a7ca70fe4ff75f0.us-east-1.aws.found.io/app/kibana#/discover/Steve-Slow-Train-Analysis-(2080s-and-2083s)?_g=(refreshInterval:(display:Off,pause:!f,section:0,value:0),time:(from:'2017-11-29T10:57:32-0700',mode:absolute,to:'2017-11-29T13:22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1" s="248" t="str">
        <f>IF(AA181&lt;VLOOKUP(AG181,Variables!$AC$3:$AD$8,2,FALSE),"Y","N")</f>
        <v>N</v>
      </c>
      <c r="X181" s="248">
        <f t="shared" si="148"/>
        <v>1</v>
      </c>
      <c r="Y181" s="248">
        <f t="shared" si="154"/>
        <v>0.1174</v>
      </c>
      <c r="Z181" s="248">
        <f t="shared" si="155"/>
        <v>5.8967000000000001</v>
      </c>
      <c r="AA181" s="248">
        <f t="shared" si="130"/>
        <v>5.7793000000000001</v>
      </c>
      <c r="AB181" s="234" t="e">
        <f>VLOOKUP(A181,Enforcements!$C$7:$K$9,8,0)</f>
        <v>#N/A</v>
      </c>
      <c r="AC181" s="233" t="e">
        <f>VLOOKUP(A181,Enforcements!$C$7:$E$9,3,0)</f>
        <v>#N/A</v>
      </c>
      <c r="AD181" s="244">
        <f t="shared" si="131"/>
        <v>819</v>
      </c>
      <c r="AE181" s="236" t="str">
        <f t="shared" si="112"/>
        <v>aws s3 cp s3://rtdc.mdm.uploadarchive.raw/RTDC4032/ "%USERPROFILE%\AppData\Local\Temp\OnboardLogs"\RTDC4032\2017-11-29 --exclude "*" --recursive --include "*20171129*" &amp; "%USERPROFILE%\Documents\GitHub\mrs-test-scripts\Headless Mode &amp; Sideloading\WalkAndUnGZ.bat" "%USERPROFILE%\AppData\Local\Temp\OnboardLogs"\RTDC4032\2017-11-29 &amp; aws s3 cp s3://rtdc.mdm.uploadarchive.raw/RTDC4032/ "%USERPROFILE%\AppData\Local\Temp\OnboardLogs"\RTDC4032\2017-11-30 --exclude "*" --recursive --include "*20171130*" &amp; "%USERPROFILE%\Documents\GitHub\mrs-test-scripts\Headless Mode &amp; Sideloading\WalkAndUnGZ.bat" "%USERPROFILE%\AppData\Local\Temp\OnboardLogs"\RTDC4032\2017-11-30</v>
      </c>
      <c r="AF181" s="235" t="str">
        <f t="shared" si="113"/>
        <v>"C:\Program Files (x86)\AstroGrep\AstroGrep.exe" /e /r /s /spath="%USERPROFILE%\AppData\Local\Temp\OnboardLogs" /stypes="app*4032*20171129*" /stext=" 19:.+((SYSTEM_STATE.+slice.+state.+changed )|(ment ac)|(multiple cpu faults)|(system.+state.+changed )|(\[timeout)|(PRM\|1\|D)|(kpr)|(kdp)|(train st.+moving)|(\|lc)|(penalty))"</v>
      </c>
      <c r="AG181" s="245" t="str">
        <f t="shared" si="132"/>
        <v>NW</v>
      </c>
      <c r="AH181" s="237" t="str">
        <f t="shared" si="121"/>
        <v>"%USERPROFILE%\Documents\GitHub\eaglep3\Utilities\RefineRTDCRunTimes.py" --tripid 819-29 --locoid 4032 --swversion DE.1.0.9.0 --startMP 204:1174 --initTime 2017-11-29T11:57:32 --startdatetime 2017-11-29T12:09:15 --delay 50 --endMP 300:58967 --enddatetime 2017-11-29T12:22:31 --enforcementcount 0 &gt;&gt;%USERPROFILE%\Documents\GitHub\eaglep3-reporting\EC\2017-11-29-refined-times.txt</v>
      </c>
      <c r="AI181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{"issue":{"subject":"","project_id":79,"tracker_id":40,"status_id":1,"priority_id":2,"assigned_to_id":338,"start_date":"2017-11-29","description":"","custom_fields":[{"id":1,"name":"Subdivision","value":"NW"},{"id":4,"name":"Milepost","value":"5.8967"},{"id":17,"name":"Train ID","value":"819-29"},{"id":16,"name":"Locomotive ID","value":"4032"},{"id":130,"name":"Impact","value":""},{"id":150,"name":"Time of Event (Mountain Time)","value":"12:22:31"},{"id":151,"name":"Denver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4"/>
      <c r="AK181" s="232"/>
      <c r="AL181" s="232"/>
      <c r="AM181" s="241" t="str">
        <f t="shared" si="123"/>
        <v>start /low /b %USERPROFILE%\Documents\GitHub\eaglep3\Utilities\DownloadLogsFromS3.py --loco 4032 --day 2017-11-29</v>
      </c>
      <c r="AN181" s="242" t="str">
        <f t="shared" si="124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19:22:31"},{"id":29,"name":"Sharepoint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1" t="str">
        <f t="shared" si="125"/>
        <v>https://d0f6bd738d7f1b3e5a7ca70fe4ff75f0.us-east-1.aws.found.io/app/kibana#/discover/Steve-Slow-Train-Analysis-(2080s-and-2083s)?_g=(refreshInterval:(display:Off,pause:!f,section:0,value:0),time:(from:'2017-11-29T10:57:32-0700',mode:absolute,to:'2017-11-29T13:22:31-0700'))&amp;_a=(columns:!('Message%20ID',Summary),filters:!(),index:'emp_*',interval:auto,query:(query_string:(analyze_wildcard:!t,query:'%22rtdc.l.rtdc.4032%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230" t="s">
        <v>761</v>
      </c>
      <c r="B182" s="226">
        <v>4031</v>
      </c>
      <c r="C182" s="228" t="s">
        <v>192</v>
      </c>
      <c r="D182" s="228" t="s">
        <v>1072</v>
      </c>
      <c r="E182" s="227">
        <v>43068.516851851855</v>
      </c>
      <c r="F182" s="227">
        <v>43068.529166666667</v>
      </c>
      <c r="G182" s="226">
        <v>60</v>
      </c>
      <c r="H182" s="228" t="s">
        <v>1073</v>
      </c>
      <c r="I182" s="227">
        <v>43068.537916666668</v>
      </c>
      <c r="J182" s="226">
        <v>0</v>
      </c>
      <c r="K182" s="238" t="str">
        <f t="shared" ref="K182:K213" si="156">IF(ISEVEN(B182),(B182-1)&amp;"/"&amp;B182,B182&amp;"/"&amp;(B182+1))</f>
        <v>4031/4032</v>
      </c>
      <c r="L182" s="246" t="str">
        <f>VLOOKUP(A182,'Trips&amp;Operators'!$C$1:$G$99911,5,FALSE)</f>
        <v>LONG FULLER</v>
      </c>
      <c r="M182" s="225">
        <f t="shared" ref="M182:M213" si="157">I182-F182</f>
        <v>8.7500000008731149E-3</v>
      </c>
      <c r="N182" s="226">
        <f t="shared" si="139"/>
        <v>12.600000001257285</v>
      </c>
      <c r="O182" s="226"/>
      <c r="P182" s="226"/>
      <c r="Q182" s="229"/>
      <c r="R182" s="243" t="s">
        <v>1133</v>
      </c>
      <c r="S182" s="250">
        <f t="shared" ref="S182:S213" si="158">1/IF(AG182="EC",12,1)*SUM(U182:U182)</f>
        <v>1</v>
      </c>
      <c r="T182" s="243" t="str">
        <f t="shared" ref="T182:T213" si="159">IF(ISEVEN(LEFT(AD182,4)),"Southbound","NorthBound")</f>
        <v>Southbound</v>
      </c>
      <c r="U182" s="24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9" t="str">
        <f t="shared" si="111"/>
        <v>https://d0f6bd738d7f1b3e5a7ca70fe4ff75f0.us-east-1.aws.found.io/app/kibana#/discover/Steve-Slow-Train-Analysis-(2080s-and-2083s)?_g=(refreshInterval:(display:Off,pause:!f,section:0,value:0),time:(from:'2017-11-29T11:24:16-0700',mode:absolute,to:'2017-11-29T13:54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2" s="248" t="str">
        <f>IF(AA182&lt;VLOOKUP(AG182,Variables!$AC$3:$AD$8,2,FALSE),"Y","N")</f>
        <v>N</v>
      </c>
      <c r="X182" s="248">
        <f t="shared" si="148"/>
        <v>1</v>
      </c>
      <c r="Y182" s="248">
        <f t="shared" si="154"/>
        <v>5.8647</v>
      </c>
      <c r="Z182" s="248">
        <f t="shared" si="155"/>
        <v>8.7099999999999997E-2</v>
      </c>
      <c r="AA182" s="248">
        <f t="shared" ref="AA182:AA213" si="160">ABS(Z182-Y182)</f>
        <v>5.7775999999999996</v>
      </c>
      <c r="AB182" s="234" t="e">
        <f>VLOOKUP(A182,Enforcements!$C$7:$K$9,8,0)</f>
        <v>#N/A</v>
      </c>
      <c r="AC182" s="233" t="e">
        <f>VLOOKUP(A182,Enforcements!$C$7:$E$9,3,0)</f>
        <v>#N/A</v>
      </c>
      <c r="AD182" s="244">
        <f t="shared" ref="AD182:AD213" si="161">VALUE(LEFT(A182,LEN(A182)-3))</f>
        <v>820</v>
      </c>
      <c r="AE182" s="236" t="str">
        <f t="shared" si="112"/>
        <v>aws s3 cp s3://rtdc.mdm.uploadarchive.raw/RTDC4031/ "%USERPROFILE%\AppData\Local\Temp\OnboardLogs"\RTDC4031\2017-11-29 --exclude "*" --recursive --include "*20171129*" &amp; "%USERPROFILE%\Documents\GitHub\mrs-test-scripts\Headless Mode &amp; Sideloading\WalkAndUnGZ.bat" "%USERPROFILE%\AppData\Local\Temp\OnboardLogs"\RTDC4031\2017-11-29 &amp; aws s3 cp s3://rtdc.mdm.uploadarchive.raw/RTDC4031/ "%USERPROFILE%\AppData\Local\Temp\OnboardLogs"\RTDC4031\2017-11-30 --exclude "*" --recursive --include "*20171130*" &amp; "%USERPROFILE%\Documents\GitHub\mrs-test-scripts\Headless Mode &amp; Sideloading\WalkAndUnGZ.bat" "%USERPROFILE%\AppData\Local\Temp\OnboardLogs"\RTDC4031\2017-11-30</v>
      </c>
      <c r="AF182" s="235" t="str">
        <f t="shared" si="113"/>
        <v>"C:\Program Files (x86)\AstroGrep\AstroGrep.exe" /e /r /s /spath="%USERPROFILE%\AppData\Local\Temp\OnboardLogs" /stypes="app*4031*20171129*" /stext=" 19:.+((SYSTEM_STATE.+slice.+state.+changed )|(ment ac)|(multiple cpu faults)|(system.+state.+changed )|(\[timeout)|(PRM\|1\|D)|(kpr)|(kdp)|(train st.+moving)|(\|lc)|(penalty))"</v>
      </c>
      <c r="AG182" s="245" t="str">
        <f t="shared" ref="AG182:AG213" si="162">DetSubdiv(A182)</f>
        <v>NW</v>
      </c>
      <c r="AH182" s="237" t="str">
        <f t="shared" si="121"/>
        <v>"%USERPROFILE%\Documents\GitHub\eaglep3\Utilities\RefineRTDCRunTimes.py" --tripid 820-29 --locoid 4031 --swversion DE.1.0.9.0 --startMP 300:58647 --initTime 2017-11-29T12:24:16 --startdatetime 2017-11-29T12:42:00 --delay 60 --endMP 204:871 --enddatetime 2017-11-29T12:54:36 --enforcementcount 0 &gt;&gt;%USERPROFILE%\Documents\GitHub\eaglep3-reporting\EC\2017-11-29-refined-times.txt</v>
      </c>
      <c r="AI182" s="239" t="str">
        <f t="shared" si="122"/>
        <v>echo {"issue":{"subject":"Brief Wi-MAX data drop, no enforcement/cutout","project_id":79,"tracker_id":40,"status_id":1,"priority_id":2,"assigned_to_id":338,"start_date":"2017-11-29","description":"","custom_fields":[{"id":1,"name":"Subdivision","value":"NW"},{"id":4,"name":"Milepost","value":"0.0871"},{"id":17,"name":"Train ID","value":"820-29"},{"id":16,"name":"Locomotive ID","value":"4031"},{"id":130,"name":"Impact","value":""},{"id":150,"name":"Time of Event (Mountain Time)","value":"12:54:36"},{"id":151,"name":"Denver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4"/>
      <c r="AK182" s="232"/>
      <c r="AL182" s="232"/>
      <c r="AM182" s="241" t="str">
        <f t="shared" si="123"/>
        <v>start /low /b %USERPROFILE%\Documents\GitHub\eaglep3\Utilities\DownloadLogsFromS3.py --loco 4031 --day 2017-11-29</v>
      </c>
      <c r="AN182" s="242" t="str">
        <f t="shared" si="124"/>
        <v>echo {"issue":{"subject":"Brief Wi-MAX data drop, no enforcement/cutout","project_id":30,"tracker_id":4,"status_id":1,"priority_id":1,"assigned_to_id":10,"start_date":"2017-11-29","description":"","custom_fields":[{"id":30,"name":"Category","value":"Issue"},{"id":3,"name":"Functional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19:54:36"},{"id":29,"name":"Sharepoint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1" t="str">
        <f t="shared" si="125"/>
        <v>https://d0f6bd738d7f1b3e5a7ca70fe4ff75f0.us-east-1.aws.found.io/app/kibana#/discover/Steve-Slow-Train-Analysis-(2080s-and-2083s)?_g=(refreshInterval:(display:Off,pause:!f,section:0,value:0),time:(from:'2017-11-29T11:24:16-0700',mode:absolute,to:'2017-11-29T13:54:36-0700'))&amp;_a=(columns:!('Message%20ID',Summary),filters:!(),index:'emp_*',interval:auto,query:(query_string:(analyze_wildcard:!t,query:'%22rtdc.l.rtdc.4031%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230" t="s">
        <v>770</v>
      </c>
      <c r="B183" s="226">
        <v>4032</v>
      </c>
      <c r="C183" s="228" t="s">
        <v>192</v>
      </c>
      <c r="D183" s="228" t="s">
        <v>1074</v>
      </c>
      <c r="E183" s="227">
        <v>43068.541805555556</v>
      </c>
      <c r="F183" s="227">
        <v>43068.548101851855</v>
      </c>
      <c r="G183" s="226">
        <v>91</v>
      </c>
      <c r="H183" s="228" t="s">
        <v>1075</v>
      </c>
      <c r="I183" s="227">
        <v>43068.557638888888</v>
      </c>
      <c r="J183" s="226">
        <v>0</v>
      </c>
      <c r="K183" s="238" t="str">
        <f t="shared" si="156"/>
        <v>4031/4032</v>
      </c>
      <c r="L183" s="246" t="str">
        <f>VLOOKUP(A183,'Trips&amp;Operators'!$C$1:$G$99911,5,FALSE)</f>
        <v>LORI SANTOS</v>
      </c>
      <c r="M183" s="225">
        <f t="shared" si="157"/>
        <v>9.5370370327145793E-3</v>
      </c>
      <c r="N183" s="226">
        <f t="shared" si="139"/>
        <v>13.733333327108994</v>
      </c>
      <c r="O183" s="226"/>
      <c r="P183" s="226"/>
      <c r="Q183" s="229"/>
      <c r="R183" s="243"/>
      <c r="S183" s="250">
        <f t="shared" si="158"/>
        <v>1</v>
      </c>
      <c r="T183" s="243" t="str">
        <f t="shared" si="159"/>
        <v>NorthBound</v>
      </c>
      <c r="U183" s="24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9" t="str">
        <f t="shared" si="111"/>
        <v>https://d0f6bd738d7f1b3e5a7ca70fe4ff75f0.us-east-1.aws.found.io/app/kibana#/discover/Steve-Slow-Train-Analysis-(2080s-and-2083s)?_g=(refreshInterval:(display:Off,pause:!f,section:0,value:0),time:(from:'2017-11-29T12:00:12-0700',mode:absolute,to:'2017-11-29T14:23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3" s="248" t="str">
        <f>IF(AA183&lt;VLOOKUP(AG183,Variables!$AC$3:$AD$8,2,FALSE),"Y","N")</f>
        <v>N</v>
      </c>
      <c r="X183" s="248">
        <f t="shared" si="148"/>
        <v>1</v>
      </c>
      <c r="Y183" s="248">
        <f t="shared" si="154"/>
        <v>0.1153</v>
      </c>
      <c r="Z183" s="248">
        <f t="shared" si="155"/>
        <v>5.8949999999999996</v>
      </c>
      <c r="AA183" s="248">
        <f t="shared" si="160"/>
        <v>5.7796999999999992</v>
      </c>
      <c r="AB183" s="234" t="e">
        <f>VLOOKUP(A183,Enforcements!$C$7:$K$9,8,0)</f>
        <v>#N/A</v>
      </c>
      <c r="AC183" s="233" t="e">
        <f>VLOOKUP(A183,Enforcements!$C$7:$E$9,3,0)</f>
        <v>#N/A</v>
      </c>
      <c r="AD183" s="244">
        <f t="shared" si="161"/>
        <v>821</v>
      </c>
      <c r="AE183" s="236" t="str">
        <f t="shared" si="112"/>
        <v>aws s3 cp s3://rtdc.mdm.uploadarchive.raw/RTDC4032/ "%USERPROFILE%\AppData\Local\Temp\OnboardLogs"\RTDC4032\2017-11-29 --exclude "*" --recursive --include "*20171129*" &amp; "%USERPROFILE%\Documents\GitHub\mrs-test-scripts\Headless Mode &amp; Sideloading\WalkAndUnGZ.bat" "%USERPROFILE%\AppData\Local\Temp\OnboardLogs"\RTDC4032\2017-11-29 &amp; aws s3 cp s3://rtdc.mdm.uploadarchive.raw/RTDC4032/ "%USERPROFILE%\AppData\Local\Temp\OnboardLogs"\RTDC4032\2017-11-30 --exclude "*" --recursive --include "*20171130*" &amp; "%USERPROFILE%\Documents\GitHub\mrs-test-scripts\Headless Mode &amp; Sideloading\WalkAndUnGZ.bat" "%USERPROFILE%\AppData\Local\Temp\OnboardLogs"\RTDC4032\2017-11-30</v>
      </c>
      <c r="AF183" s="235" t="str">
        <f t="shared" si="113"/>
        <v>"C:\Program Files (x86)\AstroGrep\AstroGrep.exe" /e /r /s /spath="%USERPROFILE%\AppData\Local\Temp\OnboardLogs" /stypes="app*4032*20171129*" /stext=" 20:.+((SYSTEM_STATE.+slice.+state.+changed )|(ment ac)|(multiple cpu faults)|(system.+state.+changed )|(\[timeout)|(PRM\|1\|D)|(kpr)|(kdp)|(train st.+moving)|(\|lc)|(penalty))"</v>
      </c>
      <c r="AG183" s="245" t="str">
        <f t="shared" si="162"/>
        <v>NW</v>
      </c>
      <c r="AH183" s="237" t="str">
        <f t="shared" si="121"/>
        <v>"%USERPROFILE%\Documents\GitHub\eaglep3\Utilities\RefineRTDCRunTimes.py" --tripid 821-29 --locoid 4032 --swversion DE.1.0.9.0 --startMP 204:1153 --initTime 2017-11-29T13:00:12 --startdatetime 2017-11-29T13:09:16 --delay 91 --endMP 300:58950 --enddatetime 2017-11-29T13:23:00 --enforcementcount 0 &gt;&gt;%USERPROFILE%\Documents\GitHub\eaglep3-reporting\EC\2017-11-29-refined-times.txt</v>
      </c>
      <c r="AI183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{"issue":{"subject":"","project_id":79,"tracker_id":40,"status_id":1,"priority_id":2,"assigned_to_id":338,"start_date":"2017-11-29","description":"","custom_fields":[{"id":1,"name":"Subdivision","value":"NW"},{"id":4,"name":"Milepost","value":"5.895"},{"id":17,"name":"Train ID","value":"821-29"},{"id":16,"name":"Locomotive ID","value":"4032"},{"id":130,"name":"Impact","value":""},{"id":150,"name":"Time of Event (Mountain Time)","value":"13:23:00"},{"id":151,"name":"Denver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24"/>
      <c r="AK183" s="232"/>
      <c r="AL183" s="232"/>
      <c r="AM183" s="241" t="str">
        <f t="shared" si="123"/>
        <v>start /low /b %USERPROFILE%\Documents\GitHub\eaglep3\Utilities\DownloadLogsFromS3.py --loco 4032 --day 2017-11-29</v>
      </c>
      <c r="AN183" s="242" t="str">
        <f t="shared" si="124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20:23:00"},{"id":29,"name":"Sharepoint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1" t="str">
        <f t="shared" si="125"/>
        <v>https://d0f6bd738d7f1b3e5a7ca70fe4ff75f0.us-east-1.aws.found.io/app/kibana#/discover/Steve-Slow-Train-Analysis-(2080s-and-2083s)?_g=(refreshInterval:(display:Off,pause:!f,section:0,value:0),time:(from:'2017-11-29T12:00:12-0700',mode:absolute,to:'2017-11-29T14:23:00-0700'))&amp;_a=(columns:!('Message%20ID',Summary),filters:!(),index:'emp_*',interval:auto,query:(query_string:(analyze_wildcard:!t,query:'%22rtdc.l.rtdc.4032%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230" t="s">
        <v>778</v>
      </c>
      <c r="B184" s="226">
        <v>4031</v>
      </c>
      <c r="C184" s="228" t="s">
        <v>192</v>
      </c>
      <c r="D184" s="228" t="s">
        <v>1076</v>
      </c>
      <c r="E184" s="227">
        <v>43068.562384259261</v>
      </c>
      <c r="F184" s="227">
        <v>43068.570833333331</v>
      </c>
      <c r="G184" s="226">
        <v>70</v>
      </c>
      <c r="H184" s="228" t="s">
        <v>460</v>
      </c>
      <c r="I184" s="227">
        <v>43068.580960648149</v>
      </c>
      <c r="J184" s="226">
        <v>0</v>
      </c>
      <c r="K184" s="238" t="str">
        <f t="shared" si="156"/>
        <v>4031/4032</v>
      </c>
      <c r="L184" s="246" t="str">
        <f>VLOOKUP(A184,'Trips&amp;Operators'!$C$1:$G$99911,5,FALSE)</f>
        <v>LORI SANTOS</v>
      </c>
      <c r="M184" s="225">
        <f t="shared" si="157"/>
        <v>1.0127314817509614E-2</v>
      </c>
      <c r="N184" s="226">
        <f t="shared" si="139"/>
        <v>14.583333337213844</v>
      </c>
      <c r="O184" s="226"/>
      <c r="P184" s="226"/>
      <c r="Q184" s="229"/>
      <c r="R184" s="243"/>
      <c r="S184" s="250">
        <f t="shared" si="158"/>
        <v>1</v>
      </c>
      <c r="T184" s="243" t="str">
        <f t="shared" si="159"/>
        <v>Southbound</v>
      </c>
      <c r="U184" s="24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9" t="str">
        <f t="shared" si="111"/>
        <v>https://d0f6bd738d7f1b3e5a7ca70fe4ff75f0.us-east-1.aws.found.io/app/kibana#/discover/Steve-Slow-Train-Analysis-(2080s-and-2083s)?_g=(refreshInterval:(display:Off,pause:!f,section:0,value:0),time:(from:'2017-11-29T12:29:50-0700',mode:absolute,to:'2017-11-29T14:56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4" s="248" t="str">
        <f>IF(AA184&lt;VLOOKUP(AG184,Variables!$AC$3:$AD$8,2,FALSE),"Y","N")</f>
        <v>N</v>
      </c>
      <c r="X184" s="248">
        <f t="shared" si="148"/>
        <v>1</v>
      </c>
      <c r="Y184" s="248">
        <f t="shared" si="154"/>
        <v>5.8634000000000004</v>
      </c>
      <c r="Z184" s="248">
        <f t="shared" si="155"/>
        <v>1.7999999999999999E-2</v>
      </c>
      <c r="AA184" s="248">
        <f t="shared" si="160"/>
        <v>5.8454000000000006</v>
      </c>
      <c r="AB184" s="234" t="e">
        <f>VLOOKUP(A184,Enforcements!$C$7:$K$9,8,0)</f>
        <v>#N/A</v>
      </c>
      <c r="AC184" s="233" t="e">
        <f>VLOOKUP(A184,Enforcements!$C$7:$E$9,3,0)</f>
        <v>#N/A</v>
      </c>
      <c r="AD184" s="244">
        <f t="shared" si="161"/>
        <v>822</v>
      </c>
      <c r="AE184" s="236" t="str">
        <f t="shared" si="112"/>
        <v>aws s3 cp s3://rtdc.mdm.uploadarchive.raw/RTDC4031/ "%USERPROFILE%\AppData\Local\Temp\OnboardLogs"\RTDC4031\2017-11-29 --exclude "*" --recursive --include "*20171129*" &amp; "%USERPROFILE%\Documents\GitHub\mrs-test-scripts\Headless Mode &amp; Sideloading\WalkAndUnGZ.bat" "%USERPROFILE%\AppData\Local\Temp\OnboardLogs"\RTDC4031\2017-11-29 &amp; aws s3 cp s3://rtdc.mdm.uploadarchive.raw/RTDC4031/ "%USERPROFILE%\AppData\Local\Temp\OnboardLogs"\RTDC4031\2017-11-30 --exclude "*" --recursive --include "*20171130*" &amp; "%USERPROFILE%\Documents\GitHub\mrs-test-scripts\Headless Mode &amp; Sideloading\WalkAndUnGZ.bat" "%USERPROFILE%\AppData\Local\Temp\OnboardLogs"\RTDC4031\2017-11-30</v>
      </c>
      <c r="AF184" s="235" t="str">
        <f t="shared" si="113"/>
        <v>"C:\Program Files (x86)\AstroGrep\AstroGrep.exe" /e /r /s /spath="%USERPROFILE%\AppData\Local\Temp\OnboardLogs" /stypes="app*4031*20171129*" /stext=" 20:.+((SYSTEM_STATE.+slice.+state.+changed )|(ment ac)|(multiple cpu faults)|(system.+state.+changed )|(\[timeout)|(PRM\|1\|D)|(kpr)|(kdp)|(train st.+moving)|(\|lc)|(penalty))"</v>
      </c>
      <c r="AG184" s="245" t="str">
        <f t="shared" si="162"/>
        <v>NW</v>
      </c>
      <c r="AH184" s="237" t="str">
        <f t="shared" si="121"/>
        <v>"%USERPROFILE%\Documents\GitHub\eaglep3\Utilities\RefineRTDCRunTimes.py" --tripid 822-29 --locoid 4031 --swversion DE.1.0.9.0 --startMP 300:58634 --initTime 2017-11-29T13:29:50 --startdatetime 2017-11-29T13:42:00 --delay 70 --endMP 204:180 --enddatetime 2017-11-29T13:56:35 --enforcementcount 0 &gt;&gt;%USERPROFILE%\Documents\GitHub\eaglep3-reporting\EC\2017-11-29-refined-times.txt</v>
      </c>
      <c r="AI184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{"issue":{"subject":"","project_id":79,"tracker_id":40,"status_id":1,"priority_id":2,"assigned_to_id":338,"start_date":"2017-11-29","description":"","custom_fields":[{"id":1,"name":"Subdivision","value":"NW"},{"id":4,"name":"Milepost","value":"0.018"},{"id":17,"name":"Train ID","value":"822-29"},{"id":16,"name":"Locomotive ID","value":"4031"},{"id":130,"name":"Impact","value":""},{"id":150,"name":"Time of Event (Mountain Time)","value":"13:56:35"},{"id":151,"name":"Denver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4" s="224"/>
      <c r="AK184" s="232"/>
      <c r="AL184" s="232"/>
      <c r="AM184" s="241" t="str">
        <f t="shared" si="123"/>
        <v>start /low /b %USERPROFILE%\Documents\GitHub\eaglep3\Utilities\DownloadLogsFromS3.py --loco 4031 --day 2017-11-29</v>
      </c>
      <c r="AN184" s="242" t="str">
        <f t="shared" si="124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20:56:35"},{"id":29,"name":"Sharepoint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1" t="str">
        <f t="shared" si="125"/>
        <v>https://d0f6bd738d7f1b3e5a7ca70fe4ff75f0.us-east-1.aws.found.io/app/kibana#/discover/Steve-Slow-Train-Analysis-(2080s-and-2083s)?_g=(refreshInterval:(display:Off,pause:!f,section:0,value:0),time:(from:'2017-11-29T12:29:50-0700',mode:absolute,to:'2017-11-29T14:56:35-0700'))&amp;_a=(columns:!('Message%20ID',Summary),filters:!(),index:'emp_*',interval:auto,query:(query_string:(analyze_wildcard:!t,query:'%22rtdc.l.rtdc.4031%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230" t="s">
        <v>642</v>
      </c>
      <c r="B185" s="226">
        <v>4032</v>
      </c>
      <c r="C185" s="228" t="s">
        <v>192</v>
      </c>
      <c r="D185" s="228" t="s">
        <v>920</v>
      </c>
      <c r="E185" s="227">
        <v>43068.587175925924</v>
      </c>
      <c r="F185" s="227">
        <v>43068.589849537035</v>
      </c>
      <c r="G185" s="226">
        <v>98</v>
      </c>
      <c r="H185" s="228" t="s">
        <v>1077</v>
      </c>
      <c r="I185" s="227">
        <v>43068.600775462961</v>
      </c>
      <c r="J185" s="226">
        <v>0</v>
      </c>
      <c r="K185" s="238" t="str">
        <f t="shared" si="156"/>
        <v>4031/4032</v>
      </c>
      <c r="L185" s="246" t="str">
        <f>VLOOKUP(A185,'Trips&amp;Operators'!$C$1:$G$99911,5,FALSE)</f>
        <v>LORI SANTOS</v>
      </c>
      <c r="M185" s="225">
        <f t="shared" si="157"/>
        <v>1.0925925926130731E-2</v>
      </c>
      <c r="N185" s="226">
        <f t="shared" si="139"/>
        <v>15.733333333628252</v>
      </c>
      <c r="O185" s="226"/>
      <c r="P185" s="226"/>
      <c r="Q185" s="229"/>
      <c r="R185" s="243"/>
      <c r="S185" s="250">
        <f t="shared" si="158"/>
        <v>1</v>
      </c>
      <c r="T185" s="243" t="str">
        <f t="shared" si="159"/>
        <v>NorthBound</v>
      </c>
      <c r="U185" s="24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9" t="str">
        <f t="shared" si="111"/>
        <v>https://d0f6bd738d7f1b3e5a7ca70fe4ff75f0.us-east-1.aws.found.io/app/kibana#/discover/Steve-Slow-Train-Analysis-(2080s-and-2083s)?_g=(refreshInterval:(display:Off,pause:!f,section:0,value:0),time:(from:'2017-11-29T13:05:32-0700',mode:absolute,to:'2017-11-29T15:25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5" s="248" t="str">
        <f>IF(AA185&lt;VLOOKUP(AG185,Variables!$AC$3:$AD$8,2,FALSE),"Y","N")</f>
        <v>N</v>
      </c>
      <c r="X185" s="248">
        <f t="shared" si="148"/>
        <v>1</v>
      </c>
      <c r="Y185" s="248">
        <f t="shared" si="154"/>
        <v>5.04E-2</v>
      </c>
      <c r="Z185" s="248">
        <f t="shared" si="155"/>
        <v>5.8954000000000004</v>
      </c>
      <c r="AA185" s="248">
        <f t="shared" si="160"/>
        <v>5.8450000000000006</v>
      </c>
      <c r="AB185" s="234" t="e">
        <f>VLOOKUP(A185,Enforcements!$C$7:$K$9,8,0)</f>
        <v>#N/A</v>
      </c>
      <c r="AC185" s="233" t="e">
        <f>VLOOKUP(A185,Enforcements!$C$7:$E$9,3,0)</f>
        <v>#N/A</v>
      </c>
      <c r="AD185" s="244">
        <f t="shared" si="161"/>
        <v>823</v>
      </c>
      <c r="AE185" s="236" t="str">
        <f t="shared" si="112"/>
        <v>aws s3 cp s3://rtdc.mdm.uploadarchive.raw/RTDC4032/ "%USERPROFILE%\AppData\Local\Temp\OnboardLogs"\RTDC4032\2017-11-29 --exclude "*" --recursive --include "*20171129*" &amp; "%USERPROFILE%\Documents\GitHub\mrs-test-scripts\Headless Mode &amp; Sideloading\WalkAndUnGZ.bat" "%USERPROFILE%\AppData\Local\Temp\OnboardLogs"\RTDC4032\2017-11-29 &amp; aws s3 cp s3://rtdc.mdm.uploadarchive.raw/RTDC4032/ "%USERPROFILE%\AppData\Local\Temp\OnboardLogs"\RTDC4032\2017-11-30 --exclude "*" --recursive --include "*20171130*" &amp; "%USERPROFILE%\Documents\GitHub\mrs-test-scripts\Headless Mode &amp; Sideloading\WalkAndUnGZ.bat" "%USERPROFILE%\AppData\Local\Temp\OnboardLogs"\RTDC4032\2017-11-30</v>
      </c>
      <c r="AF185" s="235" t="str">
        <f t="shared" si="113"/>
        <v>"C:\Program Files (x86)\AstroGrep\AstroGrep.exe" /e /r /s /spath="%USERPROFILE%\AppData\Local\Temp\OnboardLogs" /stypes="app*4032*20171129*" /stext=" 21:.+((SYSTEM_STATE.+slice.+state.+changed )|(ment ac)|(multiple cpu faults)|(system.+state.+changed )|(\[timeout)|(PRM\|1\|D)|(kpr)|(kdp)|(train st.+moving)|(\|lc)|(penalty))"</v>
      </c>
      <c r="AG185" s="245" t="str">
        <f t="shared" si="162"/>
        <v>NW</v>
      </c>
      <c r="AH185" s="237" t="str">
        <f t="shared" si="121"/>
        <v>"%USERPROFILE%\Documents\GitHub\eaglep3\Utilities\RefineRTDCRunTimes.py" --tripid 823-29 --locoid 4032 --swversion DE.1.0.9.0 --startMP 204:504 --initTime 2017-11-29T14:05:32 --startdatetime 2017-11-29T14:09:23 --delay 98 --endMP 300:58954 --enddatetime 2017-11-29T14:25:07 --enforcementcount 0 &gt;&gt;%USERPROFILE%\Documents\GitHub\eaglep3-reporting\EC\2017-11-29-refined-times.txt</v>
      </c>
      <c r="AI185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{"issue":{"subject":"","project_id":79,"tracker_id":40,"status_id":1,"priority_id":2,"assigned_to_id":338,"start_date":"2017-11-29","description":"","custom_fields":[{"id":1,"name":"Subdivision","value":"NW"},{"id":4,"name":"Milepost","value":"5.8954"},{"id":17,"name":"Train ID","value":"823-29"},{"id":16,"name":"Locomotive ID","value":"4032"},{"id":130,"name":"Impact","value":""},{"id":150,"name":"Time of Event (Mountain Time)","value":"14:25:07"},{"id":151,"name":"Denver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224"/>
      <c r="AK185" s="232"/>
      <c r="AL185" s="232"/>
      <c r="AM185" s="241" t="str">
        <f t="shared" si="123"/>
        <v>start /low /b %USERPROFILE%\Documents\GitHub\eaglep3\Utilities\DownloadLogsFromS3.py --loco 4032 --day 2017-11-29</v>
      </c>
      <c r="AN185" s="242" t="str">
        <f t="shared" si="124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21:25:07"},{"id":29,"name":"Sharepoint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1" t="str">
        <f t="shared" si="125"/>
        <v>https://d0f6bd738d7f1b3e5a7ca70fe4ff75f0.us-east-1.aws.found.io/app/kibana#/discover/Steve-Slow-Train-Analysis-(2080s-and-2083s)?_g=(refreshInterval:(display:Off,pause:!f,section:0,value:0),time:(from:'2017-11-29T13:05:32-0700',mode:absolute,to:'2017-11-29T15:25:07-0700'))&amp;_a=(columns:!('Message%20ID',Summary),filters:!(),index:'emp_*',interval:auto,query:(query_string:(analyze_wildcard:!t,query:'%22rtdc.l.rtdc.4032%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230" t="s">
        <v>786</v>
      </c>
      <c r="B186" s="226">
        <v>4031</v>
      </c>
      <c r="C186" s="228" t="s">
        <v>192</v>
      </c>
      <c r="D186" s="228" t="s">
        <v>1078</v>
      </c>
      <c r="E186" s="227">
        <v>43068.602337962962</v>
      </c>
      <c r="F186" s="227">
        <v>43068.612500000003</v>
      </c>
      <c r="G186" s="226">
        <v>53</v>
      </c>
      <c r="H186" s="228" t="s">
        <v>1079</v>
      </c>
      <c r="I186" s="227">
        <v>43068.621782407405</v>
      </c>
      <c r="J186" s="226">
        <v>0</v>
      </c>
      <c r="K186" s="238" t="str">
        <f t="shared" si="156"/>
        <v>4031/4032</v>
      </c>
      <c r="L186" s="246" t="str">
        <f>VLOOKUP(A186,'Trips&amp;Operators'!$C$1:$G$99911,5,FALSE)</f>
        <v>LORI SANTOS</v>
      </c>
      <c r="M186" s="225">
        <f t="shared" si="157"/>
        <v>9.2824074017698877E-3</v>
      </c>
      <c r="N186" s="226">
        <f t="shared" ref="N186:N217" si="163">24*60*SUM($M186:$M186)</f>
        <v>13.366666658548638</v>
      </c>
      <c r="O186" s="226"/>
      <c r="P186" s="226"/>
      <c r="Q186" s="229"/>
      <c r="R186" s="243"/>
      <c r="S186" s="250">
        <f t="shared" si="158"/>
        <v>1</v>
      </c>
      <c r="T186" s="243" t="str">
        <f t="shared" si="159"/>
        <v>Southbound</v>
      </c>
      <c r="U186" s="24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9" t="str">
        <f t="shared" si="111"/>
        <v>https://d0f6bd738d7f1b3e5a7ca70fe4ff75f0.us-east-1.aws.found.io/app/kibana#/discover/Steve-Slow-Train-Analysis-(2080s-and-2083s)?_g=(refreshInterval:(display:Off,pause:!f,section:0,value:0),time:(from:'2017-11-29T13:27:22-0700',mode:absolute,to:'2017-11-29T15:55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6" s="248" t="str">
        <f>IF(AA186&lt;VLOOKUP(AG186,Variables!$AC$3:$AD$8,2,FALSE),"Y","N")</f>
        <v>N</v>
      </c>
      <c r="X186" s="248">
        <f t="shared" si="148"/>
        <v>1</v>
      </c>
      <c r="Y186" s="248">
        <f t="shared" si="154"/>
        <v>5.8635999999999999</v>
      </c>
      <c r="Z186" s="248">
        <f t="shared" si="155"/>
        <v>1.6400000000000001E-2</v>
      </c>
      <c r="AA186" s="248">
        <f t="shared" si="160"/>
        <v>5.8472</v>
      </c>
      <c r="AB186" s="234" t="e">
        <f>VLOOKUP(A186,Enforcements!$C$7:$K$9,8,0)</f>
        <v>#N/A</v>
      </c>
      <c r="AC186" s="233" t="e">
        <f>VLOOKUP(A186,Enforcements!$C$7:$E$9,3,0)</f>
        <v>#N/A</v>
      </c>
      <c r="AD186" s="244">
        <f t="shared" si="161"/>
        <v>824</v>
      </c>
      <c r="AE186" s="236" t="str">
        <f t="shared" si="112"/>
        <v>aws s3 cp s3://rtdc.mdm.uploadarchive.raw/RTDC4031/ "%USERPROFILE%\AppData\Local\Temp\OnboardLogs"\RTDC4031\2017-11-29 --exclude "*" --recursive --include "*20171129*" &amp; "%USERPROFILE%\Documents\GitHub\mrs-test-scripts\Headless Mode &amp; Sideloading\WalkAndUnGZ.bat" "%USERPROFILE%\AppData\Local\Temp\OnboardLogs"\RTDC4031\2017-11-29 &amp; aws s3 cp s3://rtdc.mdm.uploadarchive.raw/RTDC4031/ "%USERPROFILE%\AppData\Local\Temp\OnboardLogs"\RTDC4031\2017-11-30 --exclude "*" --recursive --include "*20171130*" &amp; "%USERPROFILE%\Documents\GitHub\mrs-test-scripts\Headless Mode &amp; Sideloading\WalkAndUnGZ.bat" "%USERPROFILE%\AppData\Local\Temp\OnboardLogs"\RTDC4031\2017-11-30</v>
      </c>
      <c r="AF186" s="235" t="str">
        <f t="shared" si="113"/>
        <v>"C:\Program Files (x86)\AstroGrep\AstroGrep.exe" /e /r /s /spath="%USERPROFILE%\AppData\Local\Temp\OnboardLogs" /stypes="app*4031*20171129*" /stext=" 21:.+((SYSTEM_STATE.+slice.+state.+changed )|(ment ac)|(multiple cpu faults)|(system.+state.+changed )|(\[timeout)|(PRM\|1\|D)|(kpr)|(kdp)|(train st.+moving)|(\|lc)|(penalty))"</v>
      </c>
      <c r="AG186" s="245" t="str">
        <f t="shared" si="162"/>
        <v>NW</v>
      </c>
      <c r="AH186" s="237" t="str">
        <f t="shared" si="121"/>
        <v>"%USERPROFILE%\Documents\GitHub\eaglep3\Utilities\RefineRTDCRunTimes.py" --tripid 824-29 --locoid 4031 --swversion DE.1.0.9.0 --startMP 300:58636 --initTime 2017-11-29T14:27:22 --startdatetime 2017-11-29T14:42:00 --delay 53 --endMP 204:164 --enddatetime 2017-11-29T14:55:22 --enforcementcount 0 &gt;&gt;%USERPROFILE%\Documents\GitHub\eaglep3-reporting\EC\2017-11-29-refined-times.txt</v>
      </c>
      <c r="AI186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{"issue":{"subject":"","project_id":79,"tracker_id":40,"status_id":1,"priority_id":2,"assigned_to_id":338,"start_date":"2017-11-29","description":"","custom_fields":[{"id":1,"name":"Subdivision","value":"NW"},{"id":4,"name":"Milepost","value":"0.0164"},{"id":17,"name":"Train ID","value":"824-29"},{"id":16,"name":"Locomotive ID","value":"4031"},{"id":130,"name":"Impact","value":""},{"id":150,"name":"Time of Event (Mountain Time)","value":"14:55:22"},{"id":151,"name":"Denver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6" s="224"/>
      <c r="AK186" s="232"/>
      <c r="AL186" s="232"/>
      <c r="AM186" s="241" t="str">
        <f t="shared" si="123"/>
        <v>start /low /b %USERPROFILE%\Documents\GitHub\eaglep3\Utilities\DownloadLogsFromS3.py --loco 4031 --day 2017-11-29</v>
      </c>
      <c r="AN186" s="242" t="str">
        <f t="shared" si="124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21:55:22"},{"id":29,"name":"Sharepoint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1" t="str">
        <f t="shared" si="125"/>
        <v>https://d0f6bd738d7f1b3e5a7ca70fe4ff75f0.us-east-1.aws.found.io/app/kibana#/discover/Steve-Slow-Train-Analysis-(2080s-and-2083s)?_g=(refreshInterval:(display:Off,pause:!f,section:0,value:0),time:(from:'2017-11-29T13:27:22-0700',mode:absolute,to:'2017-11-29T15:55:22-0700'))&amp;_a=(columns:!('Message%20ID',Summary),filters:!(),index:'emp_*',interval:auto,query:(query_string:(analyze_wildcard:!t,query:'%22rtdc.l.rtdc.4031%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230" t="s">
        <v>791</v>
      </c>
      <c r="B187" s="226">
        <v>4032</v>
      </c>
      <c r="C187" s="228" t="s">
        <v>192</v>
      </c>
      <c r="D187" s="228" t="s">
        <v>1032</v>
      </c>
      <c r="E187" s="227">
        <v>43068.62699074074</v>
      </c>
      <c r="F187" s="227">
        <v>43068.631423611114</v>
      </c>
      <c r="G187" s="226">
        <v>67</v>
      </c>
      <c r="H187" s="228" t="s">
        <v>1080</v>
      </c>
      <c r="I187" s="227">
        <v>43068.642280092594</v>
      </c>
      <c r="J187" s="226">
        <v>0</v>
      </c>
      <c r="K187" s="238" t="str">
        <f t="shared" si="156"/>
        <v>4031/4032</v>
      </c>
      <c r="L187" s="246" t="str">
        <f>VLOOKUP(A187,'Trips&amp;Operators'!$C$1:$G$99911,5,FALSE)</f>
        <v>LORI SANTOS</v>
      </c>
      <c r="M187" s="225">
        <f t="shared" si="157"/>
        <v>1.0856481480004732E-2</v>
      </c>
      <c r="N187" s="226">
        <f t="shared" si="163"/>
        <v>15.633333331206813</v>
      </c>
      <c r="O187" s="226"/>
      <c r="P187" s="226"/>
      <c r="Q187" s="229"/>
      <c r="R187" s="243"/>
      <c r="S187" s="250">
        <f t="shared" si="158"/>
        <v>1</v>
      </c>
      <c r="T187" s="243" t="str">
        <f t="shared" si="159"/>
        <v>NorthBound</v>
      </c>
      <c r="U187" s="24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9" t="str">
        <f t="shared" si="111"/>
        <v>https://d0f6bd738d7f1b3e5a7ca70fe4ff75f0.us-east-1.aws.found.io/app/kibana#/discover/Steve-Slow-Train-Analysis-(2080s-and-2083s)?_g=(refreshInterval:(display:Off,pause:!f,section:0,value:0),time:(from:'2017-11-29T14:02:52-0700',mode:absolute,to:'2017-11-29T16:24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7" s="248" t="str">
        <f>IF(AA187&lt;VLOOKUP(AG187,Variables!$AC$3:$AD$8,2,FALSE),"Y","N")</f>
        <v>N</v>
      </c>
      <c r="X187" s="248">
        <f t="shared" si="148"/>
        <v>1</v>
      </c>
      <c r="Y187" s="248">
        <f t="shared" si="154"/>
        <v>4.3299999999999998E-2</v>
      </c>
      <c r="Z187" s="248">
        <f t="shared" si="155"/>
        <v>5.8958000000000004</v>
      </c>
      <c r="AA187" s="248">
        <f t="shared" si="160"/>
        <v>5.8525</v>
      </c>
      <c r="AB187" s="234" t="e">
        <f>VLOOKUP(A187,Enforcements!$C$7:$K$9,8,0)</f>
        <v>#N/A</v>
      </c>
      <c r="AC187" s="233" t="e">
        <f>VLOOKUP(A187,Enforcements!$C$7:$E$9,3,0)</f>
        <v>#N/A</v>
      </c>
      <c r="AD187" s="244">
        <f t="shared" si="161"/>
        <v>825</v>
      </c>
      <c r="AE187" s="236" t="str">
        <f t="shared" si="112"/>
        <v>aws s3 cp s3://rtdc.mdm.uploadarchive.raw/RTDC4032/ "%USERPROFILE%\AppData\Local\Temp\OnboardLogs"\RTDC4032\2017-11-29 --exclude "*" --recursive --include "*20171129*" &amp; "%USERPROFILE%\Documents\GitHub\mrs-test-scripts\Headless Mode &amp; Sideloading\WalkAndUnGZ.bat" "%USERPROFILE%\AppData\Local\Temp\OnboardLogs"\RTDC4032\2017-11-29 &amp; aws s3 cp s3://rtdc.mdm.uploadarchive.raw/RTDC4032/ "%USERPROFILE%\AppData\Local\Temp\OnboardLogs"\RTDC4032\2017-11-30 --exclude "*" --recursive --include "*20171130*" &amp; "%USERPROFILE%\Documents\GitHub\mrs-test-scripts\Headless Mode &amp; Sideloading\WalkAndUnGZ.bat" "%USERPROFILE%\AppData\Local\Temp\OnboardLogs"\RTDC4032\2017-11-30</v>
      </c>
      <c r="AF187" s="235" t="str">
        <f t="shared" si="113"/>
        <v>"C:\Program Files (x86)\AstroGrep\AstroGrep.exe" /e /r /s /spath="%USERPROFILE%\AppData\Local\Temp\OnboardLogs" /stypes="app*4032*20171129*" /stext=" 22:.+((SYSTEM_STATE.+slice.+state.+changed )|(ment ac)|(multiple cpu faults)|(system.+state.+changed )|(\[timeout)|(PRM\|1\|D)|(kpr)|(kdp)|(train st.+moving)|(\|lc)|(penalty))"</v>
      </c>
      <c r="AG187" s="245" t="str">
        <f t="shared" si="162"/>
        <v>NW</v>
      </c>
      <c r="AH187" s="237" t="str">
        <f t="shared" si="121"/>
        <v>"%USERPROFILE%\Documents\GitHub\eaglep3\Utilities\RefineRTDCRunTimes.py" --tripid 825-29 --locoid 4032 --swversion DE.1.0.9.0 --startMP 204:433 --initTime 2017-11-29T15:02:52 --startdatetime 2017-11-29T15:09:15 --delay 67 --endMP 300:58958 --enddatetime 2017-11-29T15:24:53 --enforcementcount 0 &gt;&gt;%USERPROFILE%\Documents\GitHub\eaglep3-reporting\EC\2017-11-29-refined-times.txt</v>
      </c>
      <c r="AI187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{"issue":{"subject":"","project_id":79,"tracker_id":40,"status_id":1,"priority_id":2,"assigned_to_id":338,"start_date":"2017-11-29","description":"","custom_fields":[{"id":1,"name":"Subdivision","value":"NW"},{"id":4,"name":"Milepost","value":"5.8958"},{"id":17,"name":"Train ID","value":"825-29"},{"id":16,"name":"Locomotive ID","value":"4032"},{"id":130,"name":"Impact","value":""},{"id":150,"name":"Time of Event (Mountain Time)","value":"15:24:53"},{"id":151,"name":"Denver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4"/>
      <c r="AK187" s="232"/>
      <c r="AL187" s="232"/>
      <c r="AM187" s="241" t="str">
        <f t="shared" si="123"/>
        <v>start /low /b %USERPROFILE%\Documents\GitHub\eaglep3\Utilities\DownloadLogsFromS3.py --loco 4032 --day 2017-11-29</v>
      </c>
      <c r="AN187" s="242" t="str">
        <f t="shared" si="124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22:24:53"},{"id":29,"name":"Sharepoint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1" t="str">
        <f t="shared" si="125"/>
        <v>https://d0f6bd738d7f1b3e5a7ca70fe4ff75f0.us-east-1.aws.found.io/app/kibana#/discover/Steve-Slow-Train-Analysis-(2080s-and-2083s)?_g=(refreshInterval:(display:Off,pause:!f,section:0,value:0),time:(from:'2017-11-29T14:02:52-0700',mode:absolute,to:'2017-11-29T16:24:53-0700'))&amp;_a=(columns:!('Message%20ID',Summary),filters:!(),index:'emp_*',interval:auto,query:(query_string:(analyze_wildcard:!t,query:'%22rtdc.l.rtdc.4032%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230" t="s">
        <v>796</v>
      </c>
      <c r="B188" s="226">
        <v>4031</v>
      </c>
      <c r="C188" s="228" t="s">
        <v>192</v>
      </c>
      <c r="D188" s="228" t="s">
        <v>1078</v>
      </c>
      <c r="E188" s="227">
        <v>43068.643726851849</v>
      </c>
      <c r="F188" s="227">
        <v>43068.654166666667</v>
      </c>
      <c r="G188" s="226">
        <v>57</v>
      </c>
      <c r="H188" s="228" t="s">
        <v>949</v>
      </c>
      <c r="I188" s="227">
        <v>43068.663437499999</v>
      </c>
      <c r="J188" s="226">
        <v>0</v>
      </c>
      <c r="K188" s="238" t="str">
        <f t="shared" si="156"/>
        <v>4031/4032</v>
      </c>
      <c r="L188" s="246" t="str">
        <f>VLOOKUP(A188,'Trips&amp;Operators'!$C$1:$G$99911,5,FALSE)</f>
        <v>LORI SANTOS</v>
      </c>
      <c r="M188" s="225">
        <f t="shared" si="157"/>
        <v>9.2708333322661929E-3</v>
      </c>
      <c r="N188" s="226">
        <f t="shared" si="163"/>
        <v>13.349999998463318</v>
      </c>
      <c r="O188" s="226"/>
      <c r="P188" s="226"/>
      <c r="Q188" s="229"/>
      <c r="R188" s="243"/>
      <c r="S188" s="250">
        <f t="shared" si="158"/>
        <v>1</v>
      </c>
      <c r="T188" s="243" t="str">
        <f t="shared" si="159"/>
        <v>Southbound</v>
      </c>
      <c r="U188" s="24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9" t="str">
        <f t="shared" si="111"/>
        <v>https://d0f6bd738d7f1b3e5a7ca70fe4ff75f0.us-east-1.aws.found.io/app/kibana#/discover/Steve-Slow-Train-Analysis-(2080s-and-2083s)?_g=(refreshInterval:(display:Off,pause:!f,section:0,value:0),time:(from:'2017-11-29T14:26:58-0700',mode:absolute,to:'2017-11-29T16:55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8" s="248" t="str">
        <f>IF(AA188&lt;VLOOKUP(AG188,Variables!$AC$3:$AD$8,2,FALSE),"Y","N")</f>
        <v>N</v>
      </c>
      <c r="X188" s="248">
        <f t="shared" si="148"/>
        <v>1</v>
      </c>
      <c r="Y188" s="248">
        <f t="shared" si="154"/>
        <v>5.8635999999999999</v>
      </c>
      <c r="Z188" s="248">
        <f t="shared" si="155"/>
        <v>1.6E-2</v>
      </c>
      <c r="AA188" s="248">
        <f t="shared" si="160"/>
        <v>5.8475999999999999</v>
      </c>
      <c r="AB188" s="234" t="e">
        <f>VLOOKUP(A188,Enforcements!$C$7:$K$9,8,0)</f>
        <v>#N/A</v>
      </c>
      <c r="AC188" s="233" t="e">
        <f>VLOOKUP(A188,Enforcements!$C$7:$E$9,3,0)</f>
        <v>#N/A</v>
      </c>
      <c r="AD188" s="244">
        <f t="shared" si="161"/>
        <v>826</v>
      </c>
      <c r="AE188" s="236" t="str">
        <f t="shared" si="112"/>
        <v>aws s3 cp s3://rtdc.mdm.uploadarchive.raw/RTDC4031/ "%USERPROFILE%\AppData\Local\Temp\OnboardLogs"\RTDC4031\2017-11-29 --exclude "*" --recursive --include "*20171129*" &amp; "%USERPROFILE%\Documents\GitHub\mrs-test-scripts\Headless Mode &amp; Sideloading\WalkAndUnGZ.bat" "%USERPROFILE%\AppData\Local\Temp\OnboardLogs"\RTDC4031\2017-11-29 &amp; aws s3 cp s3://rtdc.mdm.uploadarchive.raw/RTDC4031/ "%USERPROFILE%\AppData\Local\Temp\OnboardLogs"\RTDC4031\2017-11-30 --exclude "*" --recursive --include "*20171130*" &amp; "%USERPROFILE%\Documents\GitHub\mrs-test-scripts\Headless Mode &amp; Sideloading\WalkAndUnGZ.bat" "%USERPROFILE%\AppData\Local\Temp\OnboardLogs"\RTDC4031\2017-11-30</v>
      </c>
      <c r="AF188" s="235" t="str">
        <f t="shared" si="113"/>
        <v>"C:\Program Files (x86)\AstroGrep\AstroGrep.exe" /e /r /s /spath="%USERPROFILE%\AppData\Local\Temp\OnboardLogs" /stypes="app*4031*20171129*" /stext=" 22:.+((SYSTEM_STATE.+slice.+state.+changed )|(ment ac)|(multiple cpu faults)|(system.+state.+changed )|(\[timeout)|(PRM\|1\|D)|(kpr)|(kdp)|(train st.+moving)|(\|lc)|(penalty))"</v>
      </c>
      <c r="AG188" s="245" t="str">
        <f t="shared" si="162"/>
        <v>NW</v>
      </c>
      <c r="AH188" s="237" t="str">
        <f t="shared" si="121"/>
        <v>"%USERPROFILE%\Documents\GitHub\eaglep3\Utilities\RefineRTDCRunTimes.py" --tripid 826-29 --locoid 4031 --swversion DE.1.0.9.0 --startMP 300:58636 --initTime 2017-11-29T15:26:58 --startdatetime 2017-11-29T15:42:00 --delay 57 --endMP 204:160 --enddatetime 2017-11-29T15:55:21 --enforcementcount 0 &gt;&gt;%USERPROFILE%\Documents\GitHub\eaglep3-reporting\EC\2017-11-29-refined-times.txt</v>
      </c>
      <c r="AI188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{"issue":{"subject":"","project_id":79,"tracker_id":40,"status_id":1,"priority_id":2,"assigned_to_id":338,"start_date":"2017-11-29","description":"","custom_fields":[{"id":1,"name":"Subdivision","value":"NW"},{"id":4,"name":"Milepost","value":"0.016"},{"id":17,"name":"Train ID","value":"826-29"},{"id":16,"name":"Locomotive ID","value":"4031"},{"id":130,"name":"Impact","value":""},{"id":150,"name":"Time of Event (Mountain Time)","value":"15:55:21"},{"id":151,"name":"Denver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4"/>
      <c r="AK188" s="232"/>
      <c r="AL188" s="232"/>
      <c r="AM188" s="241" t="str">
        <f t="shared" si="123"/>
        <v>start /low /b %USERPROFILE%\Documents\GitHub\eaglep3\Utilities\DownloadLogsFromS3.py --loco 4031 --day 2017-11-29</v>
      </c>
      <c r="AN188" s="242" t="str">
        <f t="shared" si="124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22:55:21"},{"id":29,"name":"Sharepoint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1" t="str">
        <f t="shared" si="125"/>
        <v>https://d0f6bd738d7f1b3e5a7ca70fe4ff75f0.us-east-1.aws.found.io/app/kibana#/discover/Steve-Slow-Train-Analysis-(2080s-and-2083s)?_g=(refreshInterval:(display:Off,pause:!f,section:0,value:0),time:(from:'2017-11-29T14:26:58-0700',mode:absolute,to:'2017-11-29T16:55:21-0700'))&amp;_a=(columns:!('Message%20ID',Summary),filters:!(),index:'emp_*',interval:auto,query:(query_string:(analyze_wildcard:!t,query:'%22rtdc.l.rtdc.4031%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230" t="s">
        <v>797</v>
      </c>
      <c r="B189" s="226">
        <v>4018</v>
      </c>
      <c r="C189" s="228" t="s">
        <v>192</v>
      </c>
      <c r="D189" s="228" t="s">
        <v>448</v>
      </c>
      <c r="E189" s="227">
        <v>43068.648344907408</v>
      </c>
      <c r="F189" s="227">
        <v>43068.652696759258</v>
      </c>
      <c r="G189" s="226">
        <v>70</v>
      </c>
      <c r="H189" s="228" t="s">
        <v>1081</v>
      </c>
      <c r="I189" s="227">
        <v>43068.663078703707</v>
      </c>
      <c r="J189" s="226">
        <v>0</v>
      </c>
      <c r="K189" s="238" t="str">
        <f t="shared" si="156"/>
        <v>4017/4018</v>
      </c>
      <c r="L189" s="246" t="str">
        <f>VLOOKUP(A189,'Trips&amp;Operators'!$C$1:$G$99911,5,FALSE)</f>
        <v>STAMBAUGH JAMES</v>
      </c>
      <c r="M189" s="225">
        <f t="shared" si="157"/>
        <v>1.0381944448454306E-2</v>
      </c>
      <c r="N189" s="226">
        <f t="shared" si="163"/>
        <v>14.9500000057742</v>
      </c>
      <c r="O189" s="226"/>
      <c r="P189" s="226"/>
      <c r="Q189" s="229"/>
      <c r="R189" s="243"/>
      <c r="S189" s="250">
        <f t="shared" si="158"/>
        <v>1</v>
      </c>
      <c r="T189" s="243" t="str">
        <f t="shared" si="159"/>
        <v>NorthBound</v>
      </c>
      <c r="U189" s="24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9" t="str">
        <f t="shared" si="111"/>
        <v>https://d0f6bd738d7f1b3e5a7ca70fe4ff75f0.us-east-1.aws.found.io/app/kibana#/discover/Steve-Slow-Train-Analysis-(2080s-and-2083s)?_g=(refreshInterval:(display:Off,pause:!f,section:0,value:0),time:(from:'2017-11-29T14:33:37-0700',mode:absolute,to:'2017-11-29T16:54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9" s="248" t="str">
        <f>IF(AA189&lt;VLOOKUP(AG189,Variables!$AC$3:$AD$8,2,FALSE),"Y","N")</f>
        <v>N</v>
      </c>
      <c r="X189" s="248">
        <f t="shared" si="148"/>
        <v>1</v>
      </c>
      <c r="Y189" s="248">
        <f t="shared" si="154"/>
        <v>4.53E-2</v>
      </c>
      <c r="Z189" s="248">
        <f t="shared" si="155"/>
        <v>5.8928000000000003</v>
      </c>
      <c r="AA189" s="248">
        <f t="shared" si="160"/>
        <v>5.8475000000000001</v>
      </c>
      <c r="AB189" s="234" t="e">
        <f>VLOOKUP(A189,Enforcements!$C$7:$K$9,8,0)</f>
        <v>#N/A</v>
      </c>
      <c r="AC189" s="233" t="e">
        <f>VLOOKUP(A189,Enforcements!$C$7:$E$9,3,0)</f>
        <v>#N/A</v>
      </c>
      <c r="AD189" s="244">
        <f t="shared" si="161"/>
        <v>827</v>
      </c>
      <c r="AE189" s="236" t="str">
        <f t="shared" si="112"/>
        <v>aws s3 cp s3://rtdc.mdm.uploadarchive.raw/RTDC4018/ "%USERPROFILE%\AppData\Local\Temp\OnboardLogs"\RTDC4018\2017-11-29 --exclude "*" --recursive --include "*20171129*" &amp; "%USERPROFILE%\Documents\GitHub\mrs-test-scripts\Headless Mode &amp; Sideloading\WalkAndUnGZ.bat" "%USERPROFILE%\AppData\Local\Temp\OnboardLogs"\RTDC4018\2017-11-29 &amp; aws s3 cp s3://rtdc.mdm.uploadarchive.raw/RTDC4018/ "%USERPROFILE%\AppData\Local\Temp\OnboardLogs"\RTDC4018\2017-11-30 --exclude "*" --recursive --include "*20171130*" &amp; "%USERPROFILE%\Documents\GitHub\mrs-test-scripts\Headless Mode &amp; Sideloading\WalkAndUnGZ.bat" "%USERPROFILE%\AppData\Local\Temp\OnboardLogs"\RTDC4018\2017-11-30</v>
      </c>
      <c r="AF189" s="235" t="str">
        <f t="shared" si="113"/>
        <v>"C:\Program Files (x86)\AstroGrep\AstroGrep.exe" /e /r /s /spath="%USERPROFILE%\AppData\Local\Temp\OnboardLogs" /stypes="app*4018*20171129*" /stext=" 22:.+((SYSTEM_STATE.+slice.+state.+changed )|(ment ac)|(multiple cpu faults)|(system.+state.+changed )|(\[timeout)|(PRM\|1\|D)|(kpr)|(kdp)|(train st.+moving)|(\|lc)|(penalty))"</v>
      </c>
      <c r="AG189" s="245" t="str">
        <f t="shared" si="162"/>
        <v>NW</v>
      </c>
      <c r="AH189" s="237" t="str">
        <f t="shared" si="121"/>
        <v>"%USERPROFILE%\Documents\GitHub\eaglep3\Utilities\RefineRTDCRunTimes.py" --tripid 827-29 --locoid 4018 --swversion DE.1.0.9.0 --startMP 204:453 --initTime 2017-11-29T15:33:37 --startdatetime 2017-11-29T15:39:53 --delay 70 --endMP 300:58928 --enddatetime 2017-11-29T15:54:50 --enforcementcount 0 &gt;&gt;%USERPROFILE%\Documents\GitHub\eaglep3-reporting\EC\2017-11-29-refined-times.txt</v>
      </c>
      <c r="AI189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{"issue":{"subject":"","project_id":79,"tracker_id":40,"status_id":1,"priority_id":2,"assigned_to_id":338,"start_date":"2017-11-29","description":"","custom_fields":[{"id":1,"name":"Subdivision","value":"NW"},{"id":4,"name":"Milepost","value":"5.8928"},{"id":17,"name":"Train ID","value":"827-29"},{"id":16,"name":"Locomotive ID","value":"4018"},{"id":130,"name":"Impact","value":""},{"id":150,"name":"Time of Event (Mountain Time)","value":"15:54:50"},{"id":151,"name":"Denver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224"/>
      <c r="AK189" s="232"/>
      <c r="AL189" s="232"/>
      <c r="AM189" s="241" t="str">
        <f t="shared" si="123"/>
        <v>start /low /b %USERPROFILE%\Documents\GitHub\eaglep3\Utilities\DownloadLogsFromS3.py --loco 4018 --day 2017-11-29</v>
      </c>
      <c r="AN189" s="242" t="str">
        <f t="shared" si="124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22:54:50"},{"id":29,"name":"Sharepoint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1" t="str">
        <f t="shared" si="125"/>
        <v>https://d0f6bd738d7f1b3e5a7ca70fe4ff75f0.us-east-1.aws.found.io/app/kibana#/discover/Steve-Slow-Train-Analysis-(2080s-and-2083s)?_g=(refreshInterval:(display:Off,pause:!f,section:0,value:0),time:(from:'2017-11-29T14:33:37-0700',mode:absolute,to:'2017-11-29T16:54:50-0700'))&amp;_a=(columns:!('Message%20ID',Summary),filters:!(),index:'emp_*',interval:auto,query:(query_string:(analyze_wildcard:!t,query:'%22rtdc.l.rtdc.4018%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230" t="s">
        <v>802</v>
      </c>
      <c r="B190" s="226">
        <v>4017</v>
      </c>
      <c r="C190" s="228" t="s">
        <v>192</v>
      </c>
      <c r="D190" s="228" t="s">
        <v>607</v>
      </c>
      <c r="E190" s="227">
        <v>43068.664039351854</v>
      </c>
      <c r="F190" s="227">
        <v>43068.675000000003</v>
      </c>
      <c r="G190" s="226">
        <v>51</v>
      </c>
      <c r="H190" s="228" t="s">
        <v>603</v>
      </c>
      <c r="I190" s="227">
        <v>43068.684293981481</v>
      </c>
      <c r="J190" s="226">
        <v>0</v>
      </c>
      <c r="K190" s="238" t="str">
        <f t="shared" si="156"/>
        <v>4017/4018</v>
      </c>
      <c r="L190" s="246" t="str">
        <f>VLOOKUP(A190,'Trips&amp;Operators'!$C$1:$G$99911,5,FALSE)</f>
        <v>STAMBAUGH JAMES</v>
      </c>
      <c r="M190" s="225">
        <f t="shared" si="157"/>
        <v>9.29398147854954E-3</v>
      </c>
      <c r="N190" s="226">
        <f t="shared" si="163"/>
        <v>13.383333329111338</v>
      </c>
      <c r="O190" s="226"/>
      <c r="P190" s="226"/>
      <c r="Q190" s="229"/>
      <c r="R190" s="243"/>
      <c r="S190" s="250">
        <f t="shared" si="158"/>
        <v>1</v>
      </c>
      <c r="T190" s="243" t="str">
        <f t="shared" si="159"/>
        <v>Southbound</v>
      </c>
      <c r="U190" s="24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9" t="str">
        <f t="shared" si="111"/>
        <v>https://d0f6bd738d7f1b3e5a7ca70fe4ff75f0.us-east-1.aws.found.io/app/kibana#/discover/Steve-Slow-Train-Analysis-(2080s-and-2083s)?_g=(refreshInterval:(display:Off,pause:!f,section:0,value:0),time:(from:'2017-11-29T14:56:13-0700',mode:absolute,to:'2017-11-29T17:25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0" s="248" t="str">
        <f>IF(AA190&lt;VLOOKUP(AG190,Variables!$AC$3:$AD$8,2,FALSE),"Y","N")</f>
        <v>N</v>
      </c>
      <c r="X190" s="248">
        <f t="shared" si="148"/>
        <v>1</v>
      </c>
      <c r="Y190" s="248">
        <f t="shared" si="154"/>
        <v>5.8619000000000003</v>
      </c>
      <c r="Z190" s="248">
        <f t="shared" si="155"/>
        <v>1.46E-2</v>
      </c>
      <c r="AA190" s="248">
        <f t="shared" si="160"/>
        <v>5.8473000000000006</v>
      </c>
      <c r="AB190" s="234" t="e">
        <f>VLOOKUP(A190,Enforcements!$C$7:$K$9,8,0)</f>
        <v>#N/A</v>
      </c>
      <c r="AC190" s="233" t="e">
        <f>VLOOKUP(A190,Enforcements!$C$7:$E$9,3,0)</f>
        <v>#N/A</v>
      </c>
      <c r="AD190" s="244">
        <f t="shared" si="161"/>
        <v>828</v>
      </c>
      <c r="AE190" s="236" t="str">
        <f t="shared" si="112"/>
        <v>aws s3 cp s3://rtdc.mdm.uploadarchive.raw/RTDC4017/ "%USERPROFILE%\AppData\Local\Temp\OnboardLogs"\RTDC4017\2017-11-29 --exclude "*" --recursive --include "*20171129*" &amp; "%USERPROFILE%\Documents\GitHub\mrs-test-scripts\Headless Mode &amp; Sideloading\WalkAndUnGZ.bat" "%USERPROFILE%\AppData\Local\Temp\OnboardLogs"\RTDC4017\2017-11-29 &amp; aws s3 cp s3://rtdc.mdm.uploadarchive.raw/RTDC4017/ "%USERPROFILE%\AppData\Local\Temp\OnboardLogs"\RTDC4017\2017-11-30 --exclude "*" --recursive --include "*20171130*" &amp; "%USERPROFILE%\Documents\GitHub\mrs-test-scripts\Headless Mode &amp; Sideloading\WalkAndUnGZ.bat" "%USERPROFILE%\AppData\Local\Temp\OnboardLogs"\RTDC4017\2017-11-30</v>
      </c>
      <c r="AF190" s="235" t="str">
        <f t="shared" si="113"/>
        <v>"C:\Program Files (x86)\AstroGrep\AstroGrep.exe" /e /r /s /spath="%USERPROFILE%\AppData\Local\Temp\OnboardLogs" /stypes="app*4017*20171129*" /stext=" 23:.+((SYSTEM_STATE.+slice.+state.+changed )|(ment ac)|(multiple cpu faults)|(system.+state.+changed )|(\[timeout)|(PRM\|1\|D)|(kpr)|(kdp)|(train st.+moving)|(\|lc)|(penalty))"</v>
      </c>
      <c r="AG190" s="245" t="str">
        <f t="shared" si="162"/>
        <v>NW</v>
      </c>
      <c r="AH190" s="237" t="str">
        <f t="shared" si="121"/>
        <v>"%USERPROFILE%\Documents\GitHub\eaglep3\Utilities\RefineRTDCRunTimes.py" --tripid 828-29 --locoid 4017 --swversion DE.1.0.9.0 --startMP 300:58619 --initTime 2017-11-29T15:56:13 --startdatetime 2017-11-29T16:12:00 --delay 51 --endMP 204:146 --enddatetime 2017-11-29T16:25:23 --enforcementcount 0 &gt;&gt;%USERPROFILE%\Documents\GitHub\eaglep3-reporting\EC\2017-11-29-refined-times.txt</v>
      </c>
      <c r="AI190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{"issue":{"subject":"","project_id":79,"tracker_id":40,"status_id":1,"priority_id":2,"assigned_to_id":338,"start_date":"2017-11-29","description":"","custom_fields":[{"id":1,"name":"Subdivision","value":"NW"},{"id":4,"name":"Milepost","value":"0.0146"},{"id":17,"name":"Train ID","value":"828-29"},{"id":16,"name":"Locomotive ID","value":"4017"},{"id":130,"name":"Impact","value":""},{"id":150,"name":"Time of Event (Mountain Time)","value":"16:25:23"},{"id":151,"name":"Denver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224"/>
      <c r="AK190" s="232"/>
      <c r="AL190" s="232"/>
      <c r="AM190" s="241" t="str">
        <f t="shared" si="123"/>
        <v>start /low /b %USERPROFILE%\Documents\GitHub\eaglep3\Utilities\DownloadLogsFromS3.py --loco 4017 --day 2017-11-29</v>
      </c>
      <c r="AN190" s="242" t="str">
        <f t="shared" si="124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23:25:23"},{"id":29,"name":"Sharepoint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1" t="str">
        <f t="shared" si="125"/>
        <v>https://d0f6bd738d7f1b3e5a7ca70fe4ff75f0.us-east-1.aws.found.io/app/kibana#/discover/Steve-Slow-Train-Analysis-(2080s-and-2083s)?_g=(refreshInterval:(display:Off,pause:!f,section:0,value:0),time:(from:'2017-11-29T14:56:13-0700',mode:absolute,to:'2017-11-29T17:25:23-0700'))&amp;_a=(columns:!('Message%20ID',Summary),filters:!(),index:'emp_*',interval:auto,query:(query_string:(analyze_wildcard:!t,query:'%22rtdc.l.rtdc.4017%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230" t="s">
        <v>804</v>
      </c>
      <c r="B191" s="226">
        <v>4032</v>
      </c>
      <c r="C191" s="228" t="s">
        <v>192</v>
      </c>
      <c r="D191" s="228" t="s">
        <v>610</v>
      </c>
      <c r="E191" s="227">
        <v>43068.669675925928</v>
      </c>
      <c r="F191" s="227">
        <v>43068.673113425924</v>
      </c>
      <c r="G191" s="226">
        <v>52</v>
      </c>
      <c r="H191" s="228" t="s">
        <v>1075</v>
      </c>
      <c r="I191" s="227">
        <v>43068.684282407405</v>
      </c>
      <c r="J191" s="226">
        <v>0</v>
      </c>
      <c r="K191" s="238" t="str">
        <f t="shared" si="156"/>
        <v>4031/4032</v>
      </c>
      <c r="L191" s="246" t="str">
        <f>VLOOKUP(A191,'Trips&amp;Operators'!$C$1:$G$99911,5,FALSE)</f>
        <v>LORI SANTOS</v>
      </c>
      <c r="M191" s="225">
        <f t="shared" si="157"/>
        <v>1.116898148029577E-2</v>
      </c>
      <c r="N191" s="226">
        <f t="shared" si="163"/>
        <v>16.083333331625909</v>
      </c>
      <c r="O191" s="226"/>
      <c r="P191" s="226"/>
      <c r="Q191" s="229"/>
      <c r="R191" s="243"/>
      <c r="S191" s="250">
        <f t="shared" si="158"/>
        <v>1</v>
      </c>
      <c r="T191" s="243" t="str">
        <f t="shared" si="159"/>
        <v>NorthBound</v>
      </c>
      <c r="U191" s="24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9" t="str">
        <f t="shared" si="111"/>
        <v>https://d0f6bd738d7f1b3e5a7ca70fe4ff75f0.us-east-1.aws.found.io/app/kibana#/discover/Steve-Slow-Train-Analysis-(2080s-and-2083s)?_g=(refreshInterval:(display:Off,pause:!f,section:0,value:0),time:(from:'2017-11-29T15:04:20-0700',mode:absolute,to:'2017-11-29T17:25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1" s="248" t="str">
        <f>IF(AA191&lt;VLOOKUP(AG191,Variables!$AC$3:$AD$8,2,FALSE),"Y","N")</f>
        <v>N</v>
      </c>
      <c r="X191" s="248">
        <f t="shared" si="148"/>
        <v>1</v>
      </c>
      <c r="Y191" s="248">
        <f t="shared" si="154"/>
        <v>4.5900000000000003E-2</v>
      </c>
      <c r="Z191" s="248">
        <f t="shared" si="155"/>
        <v>5.8949999999999996</v>
      </c>
      <c r="AA191" s="248">
        <f t="shared" si="160"/>
        <v>5.8491</v>
      </c>
      <c r="AB191" s="234" t="e">
        <f>VLOOKUP(A191,Enforcements!$C$7:$K$9,8,0)</f>
        <v>#N/A</v>
      </c>
      <c r="AC191" s="233" t="e">
        <f>VLOOKUP(A191,Enforcements!$C$7:$E$9,3,0)</f>
        <v>#N/A</v>
      </c>
      <c r="AD191" s="244">
        <f t="shared" si="161"/>
        <v>829</v>
      </c>
      <c r="AE191" s="236" t="str">
        <f t="shared" si="112"/>
        <v>aws s3 cp s3://rtdc.mdm.uploadarchive.raw/RTDC4032/ "%USERPROFILE%\AppData\Local\Temp\OnboardLogs"\RTDC4032\2017-11-29 --exclude "*" --recursive --include "*20171129*" &amp; "%USERPROFILE%\Documents\GitHub\mrs-test-scripts\Headless Mode &amp; Sideloading\WalkAndUnGZ.bat" "%USERPROFILE%\AppData\Local\Temp\OnboardLogs"\RTDC4032\2017-11-29 &amp; aws s3 cp s3://rtdc.mdm.uploadarchive.raw/RTDC4032/ "%USERPROFILE%\AppData\Local\Temp\OnboardLogs"\RTDC4032\2017-11-30 --exclude "*" --recursive --include "*20171130*" &amp; "%USERPROFILE%\Documents\GitHub\mrs-test-scripts\Headless Mode &amp; Sideloading\WalkAndUnGZ.bat" "%USERPROFILE%\AppData\Local\Temp\OnboardLogs"\RTDC4032\2017-11-30</v>
      </c>
      <c r="AF191" s="235" t="str">
        <f t="shared" si="113"/>
        <v>"C:\Program Files (x86)\AstroGrep\AstroGrep.exe" /e /r /s /spath="%USERPROFILE%\AppData\Local\Temp\OnboardLogs" /stypes="app*4032*20171129*" /stext=" 23:.+((SYSTEM_STATE.+slice.+state.+changed )|(ment ac)|(multiple cpu faults)|(system.+state.+changed )|(\[timeout)|(PRM\|1\|D)|(kpr)|(kdp)|(train st.+moving)|(\|lc)|(penalty))"</v>
      </c>
      <c r="AG191" s="245" t="str">
        <f t="shared" si="162"/>
        <v>NW</v>
      </c>
      <c r="AH191" s="237" t="str">
        <f t="shared" si="121"/>
        <v>"%USERPROFILE%\Documents\GitHub\eaglep3\Utilities\RefineRTDCRunTimes.py" --tripid 829-29 --locoid 4032 --swversion DE.1.0.9.0 --startMP 204:459 --initTime 2017-11-29T16:04:20 --startdatetime 2017-11-29T16:09:17 --delay 52 --endMP 300:58950 --enddatetime 2017-11-29T16:25:22 --enforcementcount 0 &gt;&gt;%USERPROFILE%\Documents\GitHub\eaglep3-reporting\EC\2017-11-29-refined-times.txt</v>
      </c>
      <c r="AI191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{"issue":{"subject":"","project_id":79,"tracker_id":40,"status_id":1,"priority_id":2,"assigned_to_id":338,"start_date":"2017-11-29","description":"","custom_fields":[{"id":1,"name":"Subdivision","value":"NW"},{"id":4,"name":"Milepost","value":"5.895"},{"id":17,"name":"Train ID","value":"829-29"},{"id":16,"name":"Locomotive ID","value":"4032"},{"id":130,"name":"Impact","value":""},{"id":150,"name":"Time of Event (Mountain Time)","value":"16:25:22"},{"id":151,"name":"Denver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24"/>
      <c r="AK191" s="232"/>
      <c r="AL191" s="232"/>
      <c r="AM191" s="241" t="str">
        <f t="shared" si="123"/>
        <v>start /low /b %USERPROFILE%\Documents\GitHub\eaglep3\Utilities\DownloadLogsFromS3.py --loco 4032 --day 2017-11-29</v>
      </c>
      <c r="AN191" s="242" t="str">
        <f t="shared" si="124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23:25:22"},{"id":29,"name":"Sharepoint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1" t="str">
        <f t="shared" si="125"/>
        <v>https://d0f6bd738d7f1b3e5a7ca70fe4ff75f0.us-east-1.aws.found.io/app/kibana#/discover/Steve-Slow-Train-Analysis-(2080s-and-2083s)?_g=(refreshInterval:(display:Off,pause:!f,section:0,value:0),time:(from:'2017-11-29T15:04:20-0700',mode:absolute,to:'2017-11-29T17:25:22-0700'))&amp;_a=(columns:!('Message%20ID',Summary),filters:!(),index:'emp_*',interval:auto,query:(query_string:(analyze_wildcard:!t,query:'%22rtdc.l.rtdc.4032%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230" t="s">
        <v>648</v>
      </c>
      <c r="B192" s="226">
        <v>4031</v>
      </c>
      <c r="C192" s="228" t="s">
        <v>192</v>
      </c>
      <c r="D192" s="228" t="s">
        <v>604</v>
      </c>
      <c r="E192" s="227">
        <v>43068.685532407406</v>
      </c>
      <c r="F192" s="227">
        <v>43068.695833333331</v>
      </c>
      <c r="G192" s="226">
        <v>72</v>
      </c>
      <c r="H192" s="228" t="s">
        <v>1082</v>
      </c>
      <c r="I192" s="227">
        <v>43068.70753472222</v>
      </c>
      <c r="J192" s="226">
        <v>0</v>
      </c>
      <c r="K192" s="238" t="str">
        <f t="shared" si="156"/>
        <v>4031/4032</v>
      </c>
      <c r="L192" s="246" t="str">
        <f>VLOOKUP(A192,'Trips&amp;Operators'!$C$1:$G$99911,5,FALSE)</f>
        <v>LORI SANTOS</v>
      </c>
      <c r="M192" s="225">
        <f t="shared" si="157"/>
        <v>1.17013888884685E-2</v>
      </c>
      <c r="N192" s="226">
        <f t="shared" si="163"/>
        <v>16.84999999939464</v>
      </c>
      <c r="O192" s="226"/>
      <c r="P192" s="226"/>
      <c r="Q192" s="229"/>
      <c r="R192" s="243" t="s">
        <v>1135</v>
      </c>
      <c r="S192" s="250">
        <f t="shared" si="158"/>
        <v>1</v>
      </c>
      <c r="T192" s="243" t="str">
        <f t="shared" si="159"/>
        <v>Southbound</v>
      </c>
      <c r="U192" s="24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9" t="str">
        <f t="shared" si="111"/>
        <v>https://d0f6bd738d7f1b3e5a7ca70fe4ff75f0.us-east-1.aws.found.io/app/kibana#/discover/Steve-Slow-Train-Analysis-(2080s-and-2083s)?_g=(refreshInterval:(display:Off,pause:!f,section:0,value:0),time:(from:'2017-11-29T15:27:10-0700',mode:absolute,to:'2017-11-29T17:58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2" s="248" t="str">
        <f>IF(AA192&lt;VLOOKUP(AG192,Variables!$AC$3:$AD$8,2,FALSE),"Y","N")</f>
        <v>N</v>
      </c>
      <c r="X192" s="248">
        <f t="shared" ref="X192:X223" si="164">VALUE(LEFT(AD192,4))-VALUE(LEFT(AD191,4))</f>
        <v>1</v>
      </c>
      <c r="Y192" s="248">
        <f t="shared" si="154"/>
        <v>5.8632</v>
      </c>
      <c r="Z192" s="248">
        <f t="shared" si="155"/>
        <v>1.55E-2</v>
      </c>
      <c r="AA192" s="248">
        <f t="shared" si="160"/>
        <v>5.8476999999999997</v>
      </c>
      <c r="AB192" s="234" t="e">
        <f>VLOOKUP(A192,Enforcements!$C$7:$K$9,8,0)</f>
        <v>#N/A</v>
      </c>
      <c r="AC192" s="233" t="e">
        <f>VLOOKUP(A192,Enforcements!$C$7:$E$9,3,0)</f>
        <v>#N/A</v>
      </c>
      <c r="AD192" s="244">
        <f t="shared" si="161"/>
        <v>830</v>
      </c>
      <c r="AE192" s="236" t="str">
        <f t="shared" si="112"/>
        <v>aws s3 cp s3://rtdc.mdm.uploadarchive.raw/RTDC4031/ "%USERPROFILE%\AppData\Local\Temp\OnboardLogs"\RTDC4031\2017-11-29 --exclude "*" --recursive --include "*20171129*" &amp; "%USERPROFILE%\Documents\GitHub\mrs-test-scripts\Headless Mode &amp; Sideloading\WalkAndUnGZ.bat" "%USERPROFILE%\AppData\Local\Temp\OnboardLogs"\RTDC4031\2017-11-29 &amp; aws s3 cp s3://rtdc.mdm.uploadarchive.raw/RTDC4031/ "%USERPROFILE%\AppData\Local\Temp\OnboardLogs"\RTDC4031\2017-11-30 --exclude "*" --recursive --include "*20171130*" &amp; "%USERPROFILE%\Documents\GitHub\mrs-test-scripts\Headless Mode &amp; Sideloading\WalkAndUnGZ.bat" "%USERPROFILE%\AppData\Local\Temp\OnboardLogs"\RTDC4031\2017-11-30</v>
      </c>
      <c r="AF192" s="235" t="str">
        <f t="shared" si="113"/>
        <v>"C:\Program Files (x86)\AstroGrep\AstroGrep.exe" /e /r /s /spath="%USERPROFILE%\AppData\Local\Temp\OnboardLogs" /stypes="app*4031*20171129*" /stext=" 23:.+((SYSTEM_STATE.+slice.+state.+changed )|(ment ac)|(multiple cpu faults)|(system.+state.+changed )|(\[timeout)|(PRM\|1\|D)|(kpr)|(kdp)|(train st.+moving)|(\|lc)|(penalty))"</v>
      </c>
      <c r="AG192" s="245" t="str">
        <f t="shared" si="162"/>
        <v>NW</v>
      </c>
      <c r="AH192" s="237" t="str">
        <f t="shared" si="121"/>
        <v>"%USERPROFILE%\Documents\GitHub\eaglep3\Utilities\RefineRTDCRunTimes.py" --tripid 830-29 --locoid 4031 --swversion DE.1.0.9.0 --startMP 300:58632 --initTime 2017-11-29T16:27:10 --startdatetime 2017-11-29T16:42:00 --delay 72 --endMP 204:155 --enddatetime 2017-11-29T16:58:51 --enforcementcount 0 &gt;&gt;%USERPROFILE%\Documents\GitHub\eaglep3-reporting\EC\2017-11-29-refined-times.txt</v>
      </c>
      <c r="AI192" s="239" t="str">
        <f t="shared" si="122"/>
        <v>echo {"issue":{"subject":"Observed track warrant banner due to reverser handle","project_id":79,"tracker_id":40,"status_id":1,"priority_id":2,"assigned_to_id":338,"start_date":"2017-11-29","description":"","custom_fields":[{"id":1,"name":"Subdivision","value":"NW"},{"id":4,"name":"Milepost","value":"0.0155"},{"id":17,"name":"Train ID","value":"830-29"},{"id":16,"name":"Locomotive ID","value":"4031"},{"id":130,"name":"Impact","value":""},{"id":150,"name":"Time of Event (Mountain Time)","value":"16:58:51"},{"id":151,"name":"Denver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224"/>
      <c r="AK192" s="232"/>
      <c r="AL192" s="232"/>
      <c r="AM192" s="241" t="str">
        <f t="shared" si="123"/>
        <v>start /low /b %USERPROFILE%\Documents\GitHub\eaglep3\Utilities\DownloadLogsFromS3.py --loco 4031 --day 2017-11-29</v>
      </c>
      <c r="AN192" s="242" t="str">
        <f t="shared" si="124"/>
        <v>echo {"issue":{"subject":"Observed track warrant banner due to reverser handle","project_id":30,"tracker_id":4,"status_id":1,"priority_id":1,"assigned_to_id":10,"start_date":"2017-11-29","description":"","custom_fields":[{"id":30,"name":"Category","value":"Issue"},{"id":3,"name":"Functional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23:58:51"},{"id":29,"name":"Sharepoint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1" t="str">
        <f t="shared" si="125"/>
        <v>https://d0f6bd738d7f1b3e5a7ca70fe4ff75f0.us-east-1.aws.found.io/app/kibana#/discover/Steve-Slow-Train-Analysis-(2080s-and-2083s)?_g=(refreshInterval:(display:Off,pause:!f,section:0,value:0),time:(from:'2017-11-29T15:27:10-0700',mode:absolute,to:'2017-11-29T17:58:51-0700'))&amp;_a=(columns:!('Message%20ID',Summary),filters:!(),index:'emp_*',interval:auto,query:(query_string:(analyze_wildcard:!t,query:'%22rtdc.l.rtdc.4031%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230" t="s">
        <v>810</v>
      </c>
      <c r="B193" s="226">
        <v>4018</v>
      </c>
      <c r="C193" s="228" t="s">
        <v>192</v>
      </c>
      <c r="D193" s="228" t="s">
        <v>520</v>
      </c>
      <c r="E193" s="227">
        <v>43068.690625000003</v>
      </c>
      <c r="F193" s="227">
        <v>43068.694097222222</v>
      </c>
      <c r="G193" s="226">
        <v>55</v>
      </c>
      <c r="H193" s="228" t="s">
        <v>1083</v>
      </c>
      <c r="I193" s="227">
        <v>43068.705833333333</v>
      </c>
      <c r="J193" s="226">
        <v>0</v>
      </c>
      <c r="K193" s="238" t="str">
        <f t="shared" si="156"/>
        <v>4017/4018</v>
      </c>
      <c r="L193" s="246" t="str">
        <f>VLOOKUP(A193,'Trips&amp;Operators'!$C$1:$G$99911,5,FALSE)</f>
        <v>STAMBAUGH JAMES</v>
      </c>
      <c r="M193" s="225">
        <f t="shared" si="157"/>
        <v>1.17361111115315E-2</v>
      </c>
      <c r="N193" s="226">
        <f t="shared" si="163"/>
        <v>16.90000000060536</v>
      </c>
      <c r="O193" s="226"/>
      <c r="P193" s="226"/>
      <c r="Q193" s="229"/>
      <c r="R193" s="243"/>
      <c r="S193" s="250">
        <f t="shared" si="158"/>
        <v>1</v>
      </c>
      <c r="T193" s="243" t="str">
        <f t="shared" si="159"/>
        <v>NorthBound</v>
      </c>
      <c r="U193" s="24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9" t="str">
        <f t="shared" si="111"/>
        <v>https://d0f6bd738d7f1b3e5a7ca70fe4ff75f0.us-east-1.aws.found.io/app/kibana#/discover/Steve-Slow-Train-Analysis-(2080s-and-2083s)?_g=(refreshInterval:(display:Off,pause:!f,section:0,value:0),time:(from:'2017-11-29T15:34:30-0700',mode:absolute,to:'2017-11-29T17:56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3" s="248" t="str">
        <f>IF(AA193&lt;VLOOKUP(AG193,Variables!$AC$3:$AD$8,2,FALSE),"Y","N")</f>
        <v>N</v>
      </c>
      <c r="X193" s="248">
        <f t="shared" si="164"/>
        <v>1</v>
      </c>
      <c r="Y193" s="248">
        <f t="shared" si="154"/>
        <v>4.4999999999999998E-2</v>
      </c>
      <c r="Z193" s="248">
        <f t="shared" si="155"/>
        <v>5.8916000000000004</v>
      </c>
      <c r="AA193" s="248">
        <f t="shared" si="160"/>
        <v>5.8466000000000005</v>
      </c>
      <c r="AB193" s="234" t="e">
        <f>VLOOKUP(A193,Enforcements!$C$7:$K$9,8,0)</f>
        <v>#N/A</v>
      </c>
      <c r="AC193" s="233" t="e">
        <f>VLOOKUP(A193,Enforcements!$C$7:$E$9,3,0)</f>
        <v>#N/A</v>
      </c>
      <c r="AD193" s="244">
        <f t="shared" si="161"/>
        <v>831</v>
      </c>
      <c r="AE193" s="236" t="str">
        <f t="shared" si="112"/>
        <v>aws s3 cp s3://rtdc.mdm.uploadarchive.raw/RTDC4018/ "%USERPROFILE%\AppData\Local\Temp\OnboardLogs"\RTDC4018\2017-11-29 --exclude "*" --recursive --include "*20171129*" &amp; "%USERPROFILE%\Documents\GitHub\mrs-test-scripts\Headless Mode &amp; Sideloading\WalkAndUnGZ.bat" "%USERPROFILE%\AppData\Local\Temp\OnboardLogs"\RTDC4018\2017-11-29 &amp; aws s3 cp s3://rtdc.mdm.uploadarchive.raw/RTDC4018/ "%USERPROFILE%\AppData\Local\Temp\OnboardLogs"\RTDC4018\2017-11-30 --exclude "*" --recursive --include "*20171130*" &amp; "%USERPROFILE%\Documents\GitHub\mrs-test-scripts\Headless Mode &amp; Sideloading\WalkAndUnGZ.bat" "%USERPROFILE%\AppData\Local\Temp\OnboardLogs"\RTDC4018\2017-11-30</v>
      </c>
      <c r="AF193" s="235" t="str">
        <f t="shared" si="113"/>
        <v>"C:\Program Files (x86)\AstroGrep\AstroGrep.exe" /e /r /s /spath="%USERPROFILE%\AppData\Local\Temp\OnboardLogs" /stypes="app*4018*20171129*" /stext=" 23:.+((SYSTEM_STATE.+slice.+state.+changed )|(ment ac)|(multiple cpu faults)|(system.+state.+changed )|(\[timeout)|(PRM\|1\|D)|(kpr)|(kdp)|(train st.+moving)|(\|lc)|(penalty))"</v>
      </c>
      <c r="AG193" s="245" t="str">
        <f t="shared" si="162"/>
        <v>NW</v>
      </c>
      <c r="AH193" s="237" t="str">
        <f t="shared" si="121"/>
        <v>"%USERPROFILE%\Documents\GitHub\eaglep3\Utilities\RefineRTDCRunTimes.py" --tripid 831-29 --locoid 4018 --swversion DE.1.0.9.0 --startMP 204:450 --initTime 2017-11-29T16:34:30 --startdatetime 2017-11-29T16:39:30 --delay 55 --endMP 300:58916 --enddatetime 2017-11-29T16:56:24 --enforcementcount 0 &gt;&gt;%USERPROFILE%\Documents\GitHub\eaglep3-reporting\EC\2017-11-29-refined-times.txt</v>
      </c>
      <c r="AI193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{"issue":{"subject":"","project_id":79,"tracker_id":40,"status_id":1,"priority_id":2,"assigned_to_id":338,"start_date":"2017-11-29","description":"","custom_fields":[{"id":1,"name":"Subdivision","value":"NW"},{"id":4,"name":"Milepost","value":"5.8916"},{"id":17,"name":"Train ID","value":"831-29"},{"id":16,"name":"Locomotive ID","value":"4018"},{"id":130,"name":"Impact","value":""},{"id":150,"name":"Time of Event (Mountain Time)","value":"16:56:24"},{"id":151,"name":"Denver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3" s="224"/>
      <c r="AK193" s="232"/>
      <c r="AL193" s="232"/>
      <c r="AM193" s="241" t="str">
        <f t="shared" si="123"/>
        <v>start /low /b %USERPROFILE%\Documents\GitHub\eaglep3\Utilities\DownloadLogsFromS3.py --loco 4018 --day 2017-11-29</v>
      </c>
      <c r="AN193" s="242" t="str">
        <f t="shared" si="124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23:56:24"},{"id":29,"name":"Sharepoint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1" t="str">
        <f t="shared" si="125"/>
        <v>https://d0f6bd738d7f1b3e5a7ca70fe4ff75f0.us-east-1.aws.found.io/app/kibana#/discover/Steve-Slow-Train-Analysis-(2080s-and-2083s)?_g=(refreshInterval:(display:Off,pause:!f,section:0,value:0),time:(from:'2017-11-29T15:34:30-0700',mode:absolute,to:'2017-11-29T17:56:24-0700'))&amp;_a=(columns:!('Message%20ID',Summary),filters:!(),index:'emp_*',interval:auto,query:(query_string:(analyze_wildcard:!t,query:'%22rtdc.l.rtdc.4018%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230" t="s">
        <v>815</v>
      </c>
      <c r="B194" s="226">
        <v>4017</v>
      </c>
      <c r="C194" s="228" t="s">
        <v>192</v>
      </c>
      <c r="D194" s="228" t="s">
        <v>1084</v>
      </c>
      <c r="E194" s="227">
        <v>43068.706770833334</v>
      </c>
      <c r="F194" s="227">
        <v>43068.717361111114</v>
      </c>
      <c r="G194" s="226">
        <v>72</v>
      </c>
      <c r="H194" s="228" t="s">
        <v>1085</v>
      </c>
      <c r="I194" s="227">
        <v>43068.725972222222</v>
      </c>
      <c r="J194" s="226">
        <v>0</v>
      </c>
      <c r="K194" s="238" t="str">
        <f t="shared" si="156"/>
        <v>4017/4018</v>
      </c>
      <c r="L194" s="246" t="str">
        <f>VLOOKUP(A194,'Trips&amp;Operators'!$C$1:$G$99911,5,FALSE)</f>
        <v>STAMBAUGH JAMES</v>
      </c>
      <c r="M194" s="225">
        <f t="shared" si="157"/>
        <v>8.6111111086211167E-3</v>
      </c>
      <c r="N194" s="226">
        <f t="shared" si="163"/>
        <v>12.399999996414408</v>
      </c>
      <c r="O194" s="226"/>
      <c r="P194" s="226"/>
      <c r="Q194" s="229"/>
      <c r="R194" s="243"/>
      <c r="S194" s="250">
        <f t="shared" si="158"/>
        <v>1</v>
      </c>
      <c r="T194" s="243" t="str">
        <f t="shared" si="159"/>
        <v>Southbound</v>
      </c>
      <c r="U194" s="24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9" t="str">
        <f t="shared" si="111"/>
        <v>https://d0f6bd738d7f1b3e5a7ca70fe4ff75f0.us-east-1.aws.found.io/app/kibana#/discover/Steve-Slow-Train-Analysis-(2080s-and-2083s)?_g=(refreshInterval:(display:Off,pause:!f,section:0,value:0),time:(from:'2017-11-29T15:57:45-0700',mode:absolute,to:'2017-11-29T18:25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4" s="248" t="str">
        <f>IF(AA194&lt;VLOOKUP(AG194,Variables!$AC$3:$AD$8,2,FALSE),"Y","N")</f>
        <v>N</v>
      </c>
      <c r="X194" s="248">
        <f t="shared" si="164"/>
        <v>1</v>
      </c>
      <c r="Y194" s="248">
        <f t="shared" si="154"/>
        <v>5.8601999999999999</v>
      </c>
      <c r="Z194" s="248">
        <f t="shared" si="155"/>
        <v>1.26E-2</v>
      </c>
      <c r="AA194" s="248">
        <f t="shared" si="160"/>
        <v>5.8475999999999999</v>
      </c>
      <c r="AB194" s="234" t="e">
        <f>VLOOKUP(A194,Enforcements!$C$7:$K$9,8,0)</f>
        <v>#N/A</v>
      </c>
      <c r="AC194" s="233" t="e">
        <f>VLOOKUP(A194,Enforcements!$C$7:$E$9,3,0)</f>
        <v>#N/A</v>
      </c>
      <c r="AD194" s="244">
        <f t="shared" si="161"/>
        <v>832</v>
      </c>
      <c r="AE194" s="236" t="str">
        <f t="shared" si="112"/>
        <v>aws s3 cp s3://rtdc.mdm.uploadarchive.raw/RTDC4017/ "%USERPROFILE%\AppData\Local\Temp\OnboardLogs"\RTDC4017\2017-11-29 --exclude "*" --recursive --include "*20171129*" &amp; "%USERPROFILE%\Documents\GitHub\mrs-test-scripts\Headless Mode &amp; Sideloading\WalkAndUnGZ.bat" "%USERPROFILE%\AppData\Local\Temp\OnboardLogs"\RTDC4017\2017-11-29 &amp; aws s3 cp s3://rtdc.mdm.uploadarchive.raw/RTDC4017/ "%USERPROFILE%\AppData\Local\Temp\OnboardLogs"\RTDC4017\2017-11-30 --exclude "*" --recursive --include "*20171130*" &amp; "%USERPROFILE%\Documents\GitHub\mrs-test-scripts\Headless Mode &amp; Sideloading\WalkAndUnGZ.bat" "%USERPROFILE%\AppData\Local\Temp\OnboardLogs"\RTDC4017\2017-11-30</v>
      </c>
      <c r="AF194" s="235" t="str">
        <f t="shared" si="113"/>
        <v>"C:\Program Files (x86)\AstroGrep\AstroGrep.exe" /e /r /s /spath="%USERPROFILE%\AppData\Local\Temp\OnboardLogs" /stypes="app*4017*20171130*" /stext=" 00:.+((SYSTEM_STATE.+slice.+state.+changed )|(ment ac)|(multiple cpu faults)|(system.+state.+changed )|(\[timeout)|(PRM\|1\|D)|(kpr)|(kdp)|(train st.+moving)|(\|lc)|(penalty))"</v>
      </c>
      <c r="AG194" s="245" t="str">
        <f t="shared" si="162"/>
        <v>NW</v>
      </c>
      <c r="AH194" s="237" t="str">
        <f t="shared" si="121"/>
        <v>"%USERPROFILE%\Documents\GitHub\eaglep3\Utilities\RefineRTDCRunTimes.py" --tripid 832-29 --locoid 4017 --swversion DE.1.0.9.0 --startMP 300:58602 --initTime 2017-11-29T16:57:45 --startdatetime 2017-11-29T17:13:00 --delay 72 --endMP 204:126 --enddatetime 2017-11-29T17:25:24 --enforcementcount 0 &gt;&gt;%USERPROFILE%\Documents\GitHub\eaglep3-reporting\EC\2017-11-29-refined-times.txt</v>
      </c>
      <c r="AI194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{"issue":{"subject":"","project_id":79,"tracker_id":40,"status_id":1,"priority_id":2,"assigned_to_id":338,"start_date":"2017-11-29","description":"","custom_fields":[{"id":1,"name":"Subdivision","value":"NW"},{"id":4,"name":"Milepost","value":"0.0126"},{"id":17,"name":"Train ID","value":"832-29"},{"id":16,"name":"Locomotive ID","value":"4017"},{"id":130,"name":"Impact","value":""},{"id":150,"name":"Time of Event (Mountain Time)","value":"17:25:24"},{"id":151,"name":"Denver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224"/>
      <c r="AK194" s="232"/>
      <c r="AL194" s="232"/>
      <c r="AM194" s="241" t="str">
        <f t="shared" si="123"/>
        <v>start /low /b %USERPROFILE%\Documents\GitHub\eaglep3\Utilities\DownloadLogsFromS3.py --loco 4017 --day 2017-11-29</v>
      </c>
      <c r="AN194" s="242" t="str">
        <f t="shared" si="124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00:25:24"},{"id":29,"name":"Sharepoint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1" t="str">
        <f t="shared" si="125"/>
        <v>https://d0f6bd738d7f1b3e5a7ca70fe4ff75f0.us-east-1.aws.found.io/app/kibana#/discover/Steve-Slow-Train-Analysis-(2080s-and-2083s)?_g=(refreshInterval:(display:Off,pause:!f,section:0,value:0),time:(from:'2017-11-29T15:57:45-0700',mode:absolute,to:'2017-11-29T18:25:24-0700'))&amp;_a=(columns:!('Message%20ID',Summary),filters:!(),index:'emp_*',interval:auto,query:(query_string:(analyze_wildcard:!t,query:'%22rtdc.l.rtdc.4017%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230" t="s">
        <v>817</v>
      </c>
      <c r="B195" s="226">
        <v>4032</v>
      </c>
      <c r="C195" s="228" t="s">
        <v>192</v>
      </c>
      <c r="D195" s="228" t="s">
        <v>559</v>
      </c>
      <c r="E195" s="227">
        <v>43068.711134259262</v>
      </c>
      <c r="F195" s="227">
        <v>43068.714791666665</v>
      </c>
      <c r="G195" s="226">
        <v>63</v>
      </c>
      <c r="H195" s="228" t="s">
        <v>1086</v>
      </c>
      <c r="I195" s="227">
        <v>43068.726377314815</v>
      </c>
      <c r="J195" s="226">
        <v>0</v>
      </c>
      <c r="K195" s="238" t="str">
        <f t="shared" si="156"/>
        <v>4031/4032</v>
      </c>
      <c r="L195" s="246" t="str">
        <f>VLOOKUP(A195,'Trips&amp;Operators'!$C$1:$G$99911,5,FALSE)</f>
        <v>LORI SANTOS</v>
      </c>
      <c r="M195" s="225">
        <f t="shared" si="157"/>
        <v>1.1585648149775807E-2</v>
      </c>
      <c r="N195" s="226">
        <f t="shared" si="163"/>
        <v>16.683333335677162</v>
      </c>
      <c r="O195" s="226"/>
      <c r="P195" s="226"/>
      <c r="Q195" s="229"/>
      <c r="R195" s="243"/>
      <c r="S195" s="250">
        <f t="shared" si="158"/>
        <v>1</v>
      </c>
      <c r="T195" s="243" t="str">
        <f t="shared" si="159"/>
        <v>NorthBound</v>
      </c>
      <c r="U195" s="24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9" t="str">
        <f t="shared" si="111"/>
        <v>https://d0f6bd738d7f1b3e5a7ca70fe4ff75f0.us-east-1.aws.found.io/app/kibana#/discover/Steve-Slow-Train-Analysis-(2080s-and-2083s)?_g=(refreshInterval:(display:Off,pause:!f,section:0,value:0),time:(from:'2017-11-29T16:04:02-0700',mode:absolute,to:'2017-11-29T18:25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5" s="248" t="str">
        <f>IF(AA195&lt;VLOOKUP(AG195,Variables!$AC$3:$AD$8,2,FALSE),"Y","N")</f>
        <v>N</v>
      </c>
      <c r="X195" s="248">
        <f t="shared" si="164"/>
        <v>1</v>
      </c>
      <c r="Y195" s="248">
        <f t="shared" si="154"/>
        <v>4.6399999999999997E-2</v>
      </c>
      <c r="Z195" s="248">
        <f t="shared" si="155"/>
        <v>5.8935000000000004</v>
      </c>
      <c r="AA195" s="248">
        <f t="shared" si="160"/>
        <v>5.8471000000000002</v>
      </c>
      <c r="AB195" s="234" t="e">
        <f>VLOOKUP(A195,Enforcements!$C$7:$K$9,8,0)</f>
        <v>#N/A</v>
      </c>
      <c r="AC195" s="233" t="e">
        <f>VLOOKUP(A195,Enforcements!$C$7:$E$9,3,0)</f>
        <v>#N/A</v>
      </c>
      <c r="AD195" s="244">
        <f t="shared" si="161"/>
        <v>833</v>
      </c>
      <c r="AE195" s="236" t="str">
        <f t="shared" si="112"/>
        <v>aws s3 cp s3://rtdc.mdm.uploadarchive.raw/RTDC4032/ "%USERPROFILE%\AppData\Local\Temp\OnboardLogs"\RTDC4032\2017-11-29 --exclude "*" --recursive --include "*20171129*" &amp; "%USERPROFILE%\Documents\GitHub\mrs-test-scripts\Headless Mode &amp; Sideloading\WalkAndUnGZ.bat" "%USERPROFILE%\AppData\Local\Temp\OnboardLogs"\RTDC4032\2017-11-29 &amp; aws s3 cp s3://rtdc.mdm.uploadarchive.raw/RTDC4032/ "%USERPROFILE%\AppData\Local\Temp\OnboardLogs"\RTDC4032\2017-11-30 --exclude "*" --recursive --include "*20171130*" &amp; "%USERPROFILE%\Documents\GitHub\mrs-test-scripts\Headless Mode &amp; Sideloading\WalkAndUnGZ.bat" "%USERPROFILE%\AppData\Local\Temp\OnboardLogs"\RTDC4032\2017-11-30</v>
      </c>
      <c r="AF195" s="235" t="str">
        <f t="shared" si="113"/>
        <v>"C:\Program Files (x86)\AstroGrep\AstroGrep.exe" /e /r /s /spath="%USERPROFILE%\AppData\Local\Temp\OnboardLogs" /stypes="app*4032*20171130*" /stext=" 00:.+((SYSTEM_STATE.+slice.+state.+changed )|(ment ac)|(multiple cpu faults)|(system.+state.+changed )|(\[timeout)|(PRM\|1\|D)|(kpr)|(kdp)|(train st.+moving)|(\|lc)|(penalty))"</v>
      </c>
      <c r="AG195" s="245" t="str">
        <f t="shared" si="162"/>
        <v>NW</v>
      </c>
      <c r="AH195" s="237" t="str">
        <f t="shared" si="121"/>
        <v>"%USERPROFILE%\Documents\GitHub\eaglep3\Utilities\RefineRTDCRunTimes.py" --tripid 833-29 --locoid 4032 --swversion DE.1.0.9.0 --startMP 204:464 --initTime 2017-11-29T17:04:02 --startdatetime 2017-11-29T17:09:18 --delay 63 --endMP 300:58935 --enddatetime 2017-11-29T17:25:59 --enforcementcount 0 &gt;&gt;%USERPROFILE%\Documents\GitHub\eaglep3-reporting\EC\2017-11-29-refined-times.txt</v>
      </c>
      <c r="AI195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{"issue":{"subject":"","project_id":79,"tracker_id":40,"status_id":1,"priority_id":2,"assigned_to_id":338,"start_date":"2017-11-29","description":"","custom_fields":[{"id":1,"name":"Subdivision","value":"NW"},{"id":4,"name":"Milepost","value":"5.8935"},{"id":17,"name":"Train ID","value":"833-29"},{"id":16,"name":"Locomotive ID","value":"4032"},{"id":130,"name":"Impact","value":""},{"id":150,"name":"Time of Event (Mountain Time)","value":"17:25:59"},{"id":151,"name":"Denver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24"/>
      <c r="AK195" s="232"/>
      <c r="AL195" s="232"/>
      <c r="AM195" s="241" t="str">
        <f t="shared" si="123"/>
        <v>start /low /b %USERPROFILE%\Documents\GitHub\eaglep3\Utilities\DownloadLogsFromS3.py --loco 4032 --day 2017-11-29</v>
      </c>
      <c r="AN195" s="242" t="str">
        <f t="shared" si="124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00:25:59"},{"id":29,"name":"Sharepoint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1" t="str">
        <f t="shared" si="125"/>
        <v>https://d0f6bd738d7f1b3e5a7ca70fe4ff75f0.us-east-1.aws.found.io/app/kibana#/discover/Steve-Slow-Train-Analysis-(2080s-and-2083s)?_g=(refreshInterval:(display:Off,pause:!f,section:0,value:0),time:(from:'2017-11-29T16:04:02-0700',mode:absolute,to:'2017-11-29T18:25:59-0700'))&amp;_a=(columns:!('Message%20ID',Summary),filters:!(),index:'emp_*',interval:auto,query:(query_string:(analyze_wildcard:!t,query:'%22rtdc.l.rtdc.4032%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230" t="s">
        <v>822</v>
      </c>
      <c r="B196" s="226">
        <v>4031</v>
      </c>
      <c r="C196" s="228" t="s">
        <v>192</v>
      </c>
      <c r="D196" s="228" t="s">
        <v>601</v>
      </c>
      <c r="E196" s="227">
        <v>43068.727962962963</v>
      </c>
      <c r="F196" s="227">
        <v>43068.737500000003</v>
      </c>
      <c r="G196" s="226">
        <v>66</v>
      </c>
      <c r="H196" s="228" t="s">
        <v>1087</v>
      </c>
      <c r="I196" s="227">
        <v>43068.748032407406</v>
      </c>
      <c r="J196" s="226">
        <v>0</v>
      </c>
      <c r="K196" s="238" t="str">
        <f t="shared" si="156"/>
        <v>4031/4032</v>
      </c>
      <c r="L196" s="246" t="str">
        <f>VLOOKUP(A196,'Trips&amp;Operators'!$C$1:$G$99911,5,FALSE)</f>
        <v>LORI SANTOS</v>
      </c>
      <c r="M196" s="225">
        <f t="shared" si="157"/>
        <v>1.0532407402934041E-2</v>
      </c>
      <c r="N196" s="226">
        <f t="shared" si="163"/>
        <v>15.166666660225019</v>
      </c>
      <c r="O196" s="226"/>
      <c r="P196" s="226"/>
      <c r="Q196" s="229"/>
      <c r="R196" s="243"/>
      <c r="S196" s="250">
        <f t="shared" si="158"/>
        <v>1</v>
      </c>
      <c r="T196" s="243" t="str">
        <f t="shared" si="159"/>
        <v>Southbound</v>
      </c>
      <c r="U196" s="24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9" t="str">
        <f t="shared" si="111"/>
        <v>https://d0f6bd738d7f1b3e5a7ca70fe4ff75f0.us-east-1.aws.found.io/app/kibana#/discover/Steve-Slow-Train-Analysis-(2080s-and-2083s)?_g=(refreshInterval:(display:Off,pause:!f,section:0,value:0),time:(from:'2017-11-29T16:28:16-0700',mode:absolute,to:'2017-11-29T18:57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6" s="248" t="str">
        <f>IF(AA196&lt;VLOOKUP(AG196,Variables!$AC$3:$AD$8,2,FALSE),"Y","N")</f>
        <v>N</v>
      </c>
      <c r="X196" s="248">
        <f t="shared" si="164"/>
        <v>1</v>
      </c>
      <c r="Y196" s="248">
        <f t="shared" si="154"/>
        <v>5.8623000000000003</v>
      </c>
      <c r="Z196" s="248">
        <f t="shared" si="155"/>
        <v>1.7100000000000001E-2</v>
      </c>
      <c r="AA196" s="248">
        <f t="shared" si="160"/>
        <v>5.8452000000000002</v>
      </c>
      <c r="AB196" s="234" t="e">
        <f>VLOOKUP(A196,Enforcements!$C$7:$K$9,8,0)</f>
        <v>#N/A</v>
      </c>
      <c r="AC196" s="233" t="e">
        <f>VLOOKUP(A196,Enforcements!$C$7:$E$9,3,0)</f>
        <v>#N/A</v>
      </c>
      <c r="AD196" s="244">
        <f t="shared" si="161"/>
        <v>834</v>
      </c>
      <c r="AE196" s="236" t="str">
        <f t="shared" si="112"/>
        <v>aws s3 cp s3://rtdc.mdm.uploadarchive.raw/RTDC4031/ "%USERPROFILE%\AppData\Local\Temp\OnboardLogs"\RTDC4031\2017-11-29 --exclude "*" --recursive --include "*20171129*" &amp; "%USERPROFILE%\Documents\GitHub\mrs-test-scripts\Headless Mode &amp; Sideloading\WalkAndUnGZ.bat" "%USERPROFILE%\AppData\Local\Temp\OnboardLogs"\RTDC4031\2017-11-29 &amp; aws s3 cp s3://rtdc.mdm.uploadarchive.raw/RTDC4031/ "%USERPROFILE%\AppData\Local\Temp\OnboardLogs"\RTDC4031\2017-11-30 --exclude "*" --recursive --include "*20171130*" &amp; "%USERPROFILE%\Documents\GitHub\mrs-test-scripts\Headless Mode &amp; Sideloading\WalkAndUnGZ.bat" "%USERPROFILE%\AppData\Local\Temp\OnboardLogs"\RTDC4031\2017-11-30</v>
      </c>
      <c r="AF196" s="235" t="str">
        <f t="shared" si="113"/>
        <v>"C:\Program Files (x86)\AstroGrep\AstroGrep.exe" /e /r /s /spath="%USERPROFILE%\AppData\Local\Temp\OnboardLogs" /stypes="app*4031*20171130*" /stext=" 00:.+((SYSTEM_STATE.+slice.+state.+changed )|(ment ac)|(multiple cpu faults)|(system.+state.+changed )|(\[timeout)|(PRM\|1\|D)|(kpr)|(kdp)|(train st.+moving)|(\|lc)|(penalty))"</v>
      </c>
      <c r="AG196" s="245" t="str">
        <f t="shared" si="162"/>
        <v>NW</v>
      </c>
      <c r="AH196" s="237" t="str">
        <f t="shared" si="121"/>
        <v>"%USERPROFILE%\Documents\GitHub\eaglep3\Utilities\RefineRTDCRunTimes.py" --tripid 834-29 --locoid 4031 --swversion DE.1.0.9.0 --startMP 300:58623 --initTime 2017-11-29T17:28:16 --startdatetime 2017-11-29T17:42:00 --delay 66 --endMP 204:171 --enddatetime 2017-11-29T17:57:10 --enforcementcount 0 &gt;&gt;%USERPROFILE%\Documents\GitHub\eaglep3-reporting\EC\2017-11-29-refined-times.txt</v>
      </c>
      <c r="AI196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{"issue":{"subject":"","project_id":79,"tracker_id":40,"status_id":1,"priority_id":2,"assigned_to_id":338,"start_date":"2017-11-29","description":"","custom_fields":[{"id":1,"name":"Subdivision","value":"NW"},{"id":4,"name":"Milepost","value":"0.0171"},{"id":17,"name":"Train ID","value":"834-29"},{"id":16,"name":"Locomotive ID","value":"4031"},{"id":130,"name":"Impact","value":""},{"id":150,"name":"Time of Event (Mountain Time)","value":"17:57:10"},{"id":151,"name":"Denver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4"/>
      <c r="AK196" s="232"/>
      <c r="AL196" s="232"/>
      <c r="AM196" s="241" t="str">
        <f t="shared" si="123"/>
        <v>start /low /b %USERPROFILE%\Documents\GitHub\eaglep3\Utilities\DownloadLogsFromS3.py --loco 4031 --day 2017-11-29</v>
      </c>
      <c r="AN196" s="242" t="str">
        <f t="shared" si="124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00:57:10"},{"id":29,"name":"Sharepoint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1" t="str">
        <f t="shared" si="125"/>
        <v>https://d0f6bd738d7f1b3e5a7ca70fe4ff75f0.us-east-1.aws.found.io/app/kibana#/discover/Steve-Slow-Train-Analysis-(2080s-and-2083s)?_g=(refreshInterval:(display:Off,pause:!f,section:0,value:0),time:(from:'2017-11-29T16:28:16-0700',mode:absolute,to:'2017-11-29T18:57:10-0700'))&amp;_a=(columns:!('Message%20ID',Summary),filters:!(),index:'emp_*',interval:auto,query:(query_string:(analyze_wildcard:!t,query:'%22rtdc.l.rtdc.4031%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24" customFormat="1" x14ac:dyDescent="0.25">
      <c r="A197" s="230" t="s">
        <v>823</v>
      </c>
      <c r="B197" s="226">
        <v>4018</v>
      </c>
      <c r="C197" s="228" t="s">
        <v>192</v>
      </c>
      <c r="D197" s="228" t="s">
        <v>554</v>
      </c>
      <c r="E197" s="227">
        <v>43068.731898148151</v>
      </c>
      <c r="F197" s="227">
        <v>43068.735775462963</v>
      </c>
      <c r="G197" s="226">
        <v>86</v>
      </c>
      <c r="H197" s="228" t="s">
        <v>465</v>
      </c>
      <c r="I197" s="227">
        <v>43068.746192129627</v>
      </c>
      <c r="J197" s="226">
        <v>0</v>
      </c>
      <c r="K197" s="238" t="str">
        <f t="shared" si="156"/>
        <v>4017/4018</v>
      </c>
      <c r="L197" s="246" t="str">
        <f>VLOOKUP(A197,'Trips&amp;Operators'!$C$1:$G$99911,5,FALSE)</f>
        <v>STAMBAUGH JAMES</v>
      </c>
      <c r="M197" s="225">
        <f t="shared" si="157"/>
        <v>1.0416666664241347E-2</v>
      </c>
      <c r="N197" s="226">
        <f t="shared" si="163"/>
        <v>14.99999999650754</v>
      </c>
      <c r="O197" s="226"/>
      <c r="P197" s="226"/>
      <c r="Q197" s="229"/>
      <c r="R197" s="243"/>
      <c r="S197" s="250">
        <f t="shared" si="158"/>
        <v>1</v>
      </c>
      <c r="T197" s="243" t="str">
        <f t="shared" si="159"/>
        <v>NorthBound</v>
      </c>
      <c r="U197" s="24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9" t="str">
        <f t="shared" si="111"/>
        <v>https://d0f6bd738d7f1b3e5a7ca70fe4ff75f0.us-east-1.aws.found.io/app/kibana#/discover/Steve-Slow-Train-Analysis-(2080s-and-2083s)?_g=(refreshInterval:(display:Off,pause:!f,section:0,value:0),time:(from:'2017-11-29T16:33:56-0700',mode:absolute,to:'2017-11-29T18:54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7" s="248" t="str">
        <f>IF(AA197&lt;VLOOKUP(AG197,Variables!$AC$3:$AD$8,2,FALSE),"Y","N")</f>
        <v>N</v>
      </c>
      <c r="X197" s="248">
        <f t="shared" si="164"/>
        <v>1</v>
      </c>
      <c r="Y197" s="248">
        <f t="shared" si="154"/>
        <v>4.3499999999999997E-2</v>
      </c>
      <c r="Z197" s="248">
        <f t="shared" si="155"/>
        <v>5.8925999999999998</v>
      </c>
      <c r="AA197" s="248">
        <f t="shared" si="160"/>
        <v>5.8491</v>
      </c>
      <c r="AB197" s="234" t="e">
        <f>VLOOKUP(A197,Enforcements!$C$7:$K$9,8,0)</f>
        <v>#N/A</v>
      </c>
      <c r="AC197" s="233" t="e">
        <f>VLOOKUP(A197,Enforcements!$C$7:$E$9,3,0)</f>
        <v>#N/A</v>
      </c>
      <c r="AD197" s="244">
        <f t="shared" si="161"/>
        <v>835</v>
      </c>
      <c r="AE197" s="236" t="str">
        <f t="shared" si="112"/>
        <v>aws s3 cp s3://rtdc.mdm.uploadarchive.raw/RTDC4018/ "%USERPROFILE%\AppData\Local\Temp\OnboardLogs"\RTDC4018\2017-11-29 --exclude "*" --recursive --include "*20171129*" &amp; "%USERPROFILE%\Documents\GitHub\mrs-test-scripts\Headless Mode &amp; Sideloading\WalkAndUnGZ.bat" "%USERPROFILE%\AppData\Local\Temp\OnboardLogs"\RTDC4018\2017-11-29 &amp; aws s3 cp s3://rtdc.mdm.uploadarchive.raw/RTDC4018/ "%USERPROFILE%\AppData\Local\Temp\OnboardLogs"\RTDC4018\2017-11-30 --exclude "*" --recursive --include "*20171130*" &amp; "%USERPROFILE%\Documents\GitHub\mrs-test-scripts\Headless Mode &amp; Sideloading\WalkAndUnGZ.bat" "%USERPROFILE%\AppData\Local\Temp\OnboardLogs"\RTDC4018\2017-11-30</v>
      </c>
      <c r="AF197" s="235" t="str">
        <f t="shared" si="113"/>
        <v>"C:\Program Files (x86)\AstroGrep\AstroGrep.exe" /e /r /s /spath="%USERPROFILE%\AppData\Local\Temp\OnboardLogs" /stypes="app*4018*20171130*" /stext=" 00:.+((SYSTEM_STATE.+slice.+state.+changed )|(ment ac)|(multiple cpu faults)|(system.+state.+changed )|(\[timeout)|(PRM\|1\|D)|(kpr)|(kdp)|(train st.+moving)|(\|lc)|(penalty))"</v>
      </c>
      <c r="AG197" s="245" t="str">
        <f t="shared" si="162"/>
        <v>NW</v>
      </c>
      <c r="AH197" s="237" t="str">
        <f t="shared" si="121"/>
        <v>"%USERPROFILE%\Documents\GitHub\eaglep3\Utilities\RefineRTDCRunTimes.py" --tripid 835-29 --locoid 4018 --swversion DE.1.0.9.0 --startMP 204:435 --initTime 2017-11-29T17:33:56 --startdatetime 2017-11-29T17:39:31 --delay 86 --endMP 300:58926 --enddatetime 2017-11-29T17:54:31 --enforcementcount 0 &gt;&gt;%USERPROFILE%\Documents\GitHub\eaglep3-reporting\EC\2017-11-29-refined-times.txt</v>
      </c>
      <c r="AI197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{"issue":{"subject":"","project_id":79,"tracker_id":40,"status_id":1,"priority_id":2,"assigned_to_id":338,"start_date":"2017-11-29","description":"","custom_fields":[{"id":1,"name":"Subdivision","value":"NW"},{"id":4,"name":"Milepost","value":"5.8926"},{"id":17,"name":"Train ID","value":"835-29"},{"id":16,"name":"Locomotive ID","value":"4018"},{"id":130,"name":"Impact","value":""},{"id":150,"name":"Time of Event (Mountain Time)","value":"17:54:31"},{"id":151,"name":"Denver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232"/>
      <c r="AL197" s="232"/>
      <c r="AM197" s="241" t="str">
        <f t="shared" si="123"/>
        <v>start /low /b %USERPROFILE%\Documents\GitHub\eaglep3\Utilities\DownloadLogsFromS3.py --loco 4018 --day 2017-11-29</v>
      </c>
      <c r="AN197" s="242" t="str">
        <f t="shared" si="124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00:54:31"},{"id":29,"name":"Sharepoint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1" t="str">
        <f t="shared" si="125"/>
        <v>https://d0f6bd738d7f1b3e5a7ca70fe4ff75f0.us-east-1.aws.found.io/app/kibana#/discover/Steve-Slow-Train-Analysis-(2080s-and-2083s)?_g=(refreshInterval:(display:Off,pause:!f,section:0,value:0),time:(from:'2017-11-29T16:33:56-0700',mode:absolute,to:'2017-11-29T18:54:31-0700'))&amp;_a=(columns:!('Message%20ID',Summary),filters:!(),index:'emp_*',interval:auto,query:(query_string:(analyze_wildcard:!t,query:'%22rtdc.l.rtdc.4018%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230" t="s">
        <v>828</v>
      </c>
      <c r="B198" s="226">
        <v>4017</v>
      </c>
      <c r="C198" s="228" t="s">
        <v>192</v>
      </c>
      <c r="D198" s="228" t="s">
        <v>518</v>
      </c>
      <c r="E198" s="227">
        <v>43068.748020833336</v>
      </c>
      <c r="F198" s="227">
        <v>43068.759027777778</v>
      </c>
      <c r="G198" s="226">
        <v>72</v>
      </c>
      <c r="H198" s="228" t="s">
        <v>597</v>
      </c>
      <c r="I198" s="227">
        <v>43068.766875000001</v>
      </c>
      <c r="J198" s="226">
        <v>0</v>
      </c>
      <c r="K198" s="238" t="str">
        <f t="shared" si="156"/>
        <v>4017/4018</v>
      </c>
      <c r="L198" s="246" t="str">
        <f>VLOOKUP(A198,'Trips&amp;Operators'!$C$1:$G$99911,5,FALSE)</f>
        <v>STAMBAUGH JAMES</v>
      </c>
      <c r="M198" s="225">
        <f t="shared" si="157"/>
        <v>7.8472222230629995E-3</v>
      </c>
      <c r="N198" s="226">
        <f t="shared" si="163"/>
        <v>11.300000001210719</v>
      </c>
      <c r="O198" s="226"/>
      <c r="P198" s="226"/>
      <c r="Q198" s="229"/>
      <c r="R198" s="243"/>
      <c r="S198" s="250">
        <f t="shared" si="158"/>
        <v>1</v>
      </c>
      <c r="T198" s="243" t="str">
        <f t="shared" si="159"/>
        <v>Southbound</v>
      </c>
      <c r="U198" s="24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9" t="str">
        <f t="shared" si="111"/>
        <v>https://d0f6bd738d7f1b3e5a7ca70fe4ff75f0.us-east-1.aws.found.io/app/kibana#/discover/Steve-Slow-Train-Analysis-(2080s-and-2083s)?_g=(refreshInterval:(display:Off,pause:!f,section:0,value:0),time:(from:'2017-11-29T16:57:09-0700',mode:absolute,to:'2017-11-29T19:24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8" s="248" t="str">
        <f>IF(AA198&lt;VLOOKUP(AG198,Variables!$AC$3:$AD$8,2,FALSE),"Y","N")</f>
        <v>N</v>
      </c>
      <c r="X198" s="248">
        <f t="shared" si="164"/>
        <v>1</v>
      </c>
      <c r="Y198" s="248">
        <f t="shared" si="154"/>
        <v>5.8615000000000004</v>
      </c>
      <c r="Z198" s="248">
        <f t="shared" si="155"/>
        <v>1.29E-2</v>
      </c>
      <c r="AA198" s="248">
        <f t="shared" si="160"/>
        <v>5.8486000000000002</v>
      </c>
      <c r="AB198" s="234" t="e">
        <f>VLOOKUP(A198,Enforcements!$C$7:$K$9,8,0)</f>
        <v>#N/A</v>
      </c>
      <c r="AC198" s="233" t="e">
        <f>VLOOKUP(A198,Enforcements!$C$7:$E$9,3,0)</f>
        <v>#N/A</v>
      </c>
      <c r="AD198" s="244">
        <f t="shared" si="161"/>
        <v>836</v>
      </c>
      <c r="AE198" s="236" t="str">
        <f t="shared" si="112"/>
        <v>aws s3 cp s3://rtdc.mdm.uploadarchive.raw/RTDC4017/ "%USERPROFILE%\AppData\Local\Temp\OnboardLogs"\RTDC4017\2017-11-29 --exclude "*" --recursive --include "*20171129*" &amp; "%USERPROFILE%\Documents\GitHub\mrs-test-scripts\Headless Mode &amp; Sideloading\WalkAndUnGZ.bat" "%USERPROFILE%\AppData\Local\Temp\OnboardLogs"\RTDC4017\2017-11-29 &amp; aws s3 cp s3://rtdc.mdm.uploadarchive.raw/RTDC4017/ "%USERPROFILE%\AppData\Local\Temp\OnboardLogs"\RTDC4017\2017-11-30 --exclude "*" --recursive --include "*20171130*" &amp; "%USERPROFILE%\Documents\GitHub\mrs-test-scripts\Headless Mode &amp; Sideloading\WalkAndUnGZ.bat" "%USERPROFILE%\AppData\Local\Temp\OnboardLogs"\RTDC4017\2017-11-30</v>
      </c>
      <c r="AF198" s="235" t="str">
        <f t="shared" si="113"/>
        <v>"C:\Program Files (x86)\AstroGrep\AstroGrep.exe" /e /r /s /spath="%USERPROFILE%\AppData\Local\Temp\OnboardLogs" /stypes="app*4017*20171130*" /stext=" 01:.+((SYSTEM_STATE.+slice.+state.+changed )|(ment ac)|(multiple cpu faults)|(system.+state.+changed )|(\[timeout)|(PRM\|1\|D)|(kpr)|(kdp)|(train st.+moving)|(\|lc)|(penalty))"</v>
      </c>
      <c r="AG198" s="245" t="str">
        <f t="shared" si="162"/>
        <v>NW</v>
      </c>
      <c r="AH198" s="237" t="str">
        <f t="shared" si="121"/>
        <v>"%USERPROFILE%\Documents\GitHub\eaglep3\Utilities\RefineRTDCRunTimes.py" --tripid 836-29 --locoid 4017 --swversion DE.1.0.9.0 --startMP 300:58615 --initTime 2017-11-29T17:57:09 --startdatetime 2017-11-29T18:13:00 --delay 72 --endMP 204:129 --enddatetime 2017-11-29T18:24:18 --enforcementcount 0 &gt;&gt;%USERPROFILE%\Documents\GitHub\eaglep3-reporting\EC\2017-11-29-refined-times.txt</v>
      </c>
      <c r="AI198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{"issue":{"subject":"","project_id":79,"tracker_id":40,"status_id":1,"priority_id":2,"assigned_to_id":338,"start_date":"2017-11-29","description":"","custom_fields":[{"id":1,"name":"Subdivision","value":"NW"},{"id":4,"name":"Milepost","value":"0.0129"},{"id":17,"name":"Train ID","value":"836-29"},{"id":16,"name":"Locomotive ID","value":"4017"},{"id":130,"name":"Impact","value":""},{"id":150,"name":"Time of Event (Mountain Time)","value":"18:24:18"},{"id":151,"name":"Denver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224"/>
      <c r="AK198" s="232"/>
      <c r="AL198" s="232"/>
      <c r="AM198" s="241" t="str">
        <f t="shared" si="123"/>
        <v>start /low /b %USERPROFILE%\Documents\GitHub\eaglep3\Utilities\DownloadLogsFromS3.py --loco 4017 --day 2017-11-29</v>
      </c>
      <c r="AN198" s="242" t="str">
        <f t="shared" si="124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01:24:18"},{"id":29,"name":"Sharepoint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1" t="str">
        <f t="shared" si="125"/>
        <v>https://d0f6bd738d7f1b3e5a7ca70fe4ff75f0.us-east-1.aws.found.io/app/kibana#/discover/Steve-Slow-Train-Analysis-(2080s-and-2083s)?_g=(refreshInterval:(display:Off,pause:!f,section:0,value:0),time:(from:'2017-11-29T16:57:09-0700',mode:absolute,to:'2017-11-29T19:24:18-0700'))&amp;_a=(columns:!('Message%20ID',Summary),filters:!(),index:'emp_*',interval:auto,query:(query_string:(analyze_wildcard:!t,query:'%22rtdc.l.rtdc.4017%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230" t="s">
        <v>830</v>
      </c>
      <c r="B199" s="226">
        <v>4032</v>
      </c>
      <c r="C199" s="228" t="s">
        <v>192</v>
      </c>
      <c r="D199" s="228" t="s">
        <v>504</v>
      </c>
      <c r="E199" s="227">
        <v>43068.755023148151</v>
      </c>
      <c r="F199" s="227">
        <v>43068.756423611114</v>
      </c>
      <c r="G199" s="226">
        <v>52</v>
      </c>
      <c r="H199" s="228" t="s">
        <v>600</v>
      </c>
      <c r="I199" s="227">
        <v>43068.767800925925</v>
      </c>
      <c r="J199" s="226">
        <v>0</v>
      </c>
      <c r="K199" s="238" t="str">
        <f t="shared" si="156"/>
        <v>4031/4032</v>
      </c>
      <c r="L199" s="246" t="str">
        <f>VLOOKUP(A199,'Trips&amp;Operators'!$C$1:$G$99911,5,FALSE)</f>
        <v>LORI SANTOS</v>
      </c>
      <c r="M199" s="225">
        <f t="shared" si="157"/>
        <v>1.137731481139781E-2</v>
      </c>
      <c r="N199" s="226">
        <f t="shared" si="163"/>
        <v>16.383333328412846</v>
      </c>
      <c r="O199" s="226"/>
      <c r="P199" s="226"/>
      <c r="Q199" s="229"/>
      <c r="R199" s="243"/>
      <c r="S199" s="250">
        <f t="shared" si="158"/>
        <v>1</v>
      </c>
      <c r="T199" s="243" t="str">
        <f t="shared" si="159"/>
        <v>NorthBound</v>
      </c>
      <c r="U199" s="24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9" t="str">
        <f t="shared" si="111"/>
        <v>https://d0f6bd738d7f1b3e5a7ca70fe4ff75f0.us-east-1.aws.found.io/app/kibana#/discover/Steve-Slow-Train-Analysis-(2080s-and-2083s)?_g=(refreshInterval:(display:Off,pause:!f,section:0,value:0),time:(from:'2017-11-29T17:07:14-0700',mode:absolute,to:'2017-11-29T19:25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9" s="248" t="str">
        <f>IF(AA199&lt;VLOOKUP(AG199,Variables!$AC$3:$AD$8,2,FALSE),"Y","N")</f>
        <v>N</v>
      </c>
      <c r="X199" s="248">
        <f t="shared" si="164"/>
        <v>1</v>
      </c>
      <c r="Y199" s="248">
        <f t="shared" si="154"/>
        <v>4.5100000000000001E-2</v>
      </c>
      <c r="Z199" s="248">
        <f t="shared" si="155"/>
        <v>5.8944000000000001</v>
      </c>
      <c r="AA199" s="248">
        <f t="shared" si="160"/>
        <v>5.8493000000000004</v>
      </c>
      <c r="AB199" s="234" t="e">
        <f>VLOOKUP(A199,Enforcements!$C$7:$K$9,8,0)</f>
        <v>#N/A</v>
      </c>
      <c r="AC199" s="233" t="e">
        <f>VLOOKUP(A199,Enforcements!$C$7:$E$9,3,0)</f>
        <v>#N/A</v>
      </c>
      <c r="AD199" s="244">
        <f t="shared" si="161"/>
        <v>837</v>
      </c>
      <c r="AE199" s="236" t="str">
        <f t="shared" si="112"/>
        <v>aws s3 cp s3://rtdc.mdm.uploadarchive.raw/RTDC4032/ "%USERPROFILE%\AppData\Local\Temp\OnboardLogs"\RTDC4032\2017-11-29 --exclude "*" --recursive --include "*20171129*" &amp; "%USERPROFILE%\Documents\GitHub\mrs-test-scripts\Headless Mode &amp; Sideloading\WalkAndUnGZ.bat" "%USERPROFILE%\AppData\Local\Temp\OnboardLogs"\RTDC4032\2017-11-29 &amp; aws s3 cp s3://rtdc.mdm.uploadarchive.raw/RTDC4032/ "%USERPROFILE%\AppData\Local\Temp\OnboardLogs"\RTDC4032\2017-11-30 --exclude "*" --recursive --include "*20171130*" &amp; "%USERPROFILE%\Documents\GitHub\mrs-test-scripts\Headless Mode &amp; Sideloading\WalkAndUnGZ.bat" "%USERPROFILE%\AppData\Local\Temp\OnboardLogs"\RTDC4032\2017-11-30</v>
      </c>
      <c r="AF199" s="235" t="str">
        <f t="shared" si="113"/>
        <v>"C:\Program Files (x86)\AstroGrep\AstroGrep.exe" /e /r /s /spath="%USERPROFILE%\AppData\Local\Temp\OnboardLogs" /stypes="app*4032*20171130*" /stext=" 01:.+((SYSTEM_STATE.+slice.+state.+changed )|(ment ac)|(multiple cpu faults)|(system.+state.+changed )|(\[timeout)|(PRM\|1\|D)|(kpr)|(kdp)|(train st.+moving)|(\|lc)|(penalty))"</v>
      </c>
      <c r="AG199" s="245" t="str">
        <f t="shared" si="162"/>
        <v>NW</v>
      </c>
      <c r="AH199" s="237" t="str">
        <f t="shared" si="121"/>
        <v>"%USERPROFILE%\Documents\GitHub\eaglep3\Utilities\RefineRTDCRunTimes.py" --tripid 837-29 --locoid 4032 --swversion DE.1.0.9.0 --startMP 204:451 --initTime 2017-11-29T18:07:14 --startdatetime 2017-11-29T18:09:15 --delay 52 --endMP 300:58944 --enddatetime 2017-11-29T18:25:38 --enforcementcount 0 &gt;&gt;%USERPROFILE%\Documents\GitHub\eaglep3-reporting\EC\2017-11-29-refined-times.txt</v>
      </c>
      <c r="AI199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{"issue":{"subject":"","project_id":79,"tracker_id":40,"status_id":1,"priority_id":2,"assigned_to_id":338,"start_date":"2017-11-29","description":"","custom_fields":[{"id":1,"name":"Subdivision","value":"NW"},{"id":4,"name":"Milepost","value":"5.8944"},{"id":17,"name":"Train ID","value":"837-29"},{"id":16,"name":"Locomotive ID","value":"4032"},{"id":130,"name":"Impact","value":""},{"id":150,"name":"Time of Event (Mountain Time)","value":"18:25:38"},{"id":151,"name":"Denver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4"/>
      <c r="AK199" s="232"/>
      <c r="AL199" s="232"/>
      <c r="AM199" s="241" t="str">
        <f t="shared" si="123"/>
        <v>start /low /b %USERPROFILE%\Documents\GitHub\eaglep3\Utilities\DownloadLogsFromS3.py --loco 4032 --day 2017-11-29</v>
      </c>
      <c r="AN199" s="242" t="str">
        <f t="shared" si="124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01:25:38"},{"id":29,"name":"Sharepoint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1" t="str">
        <f t="shared" si="125"/>
        <v>https://d0f6bd738d7f1b3e5a7ca70fe4ff75f0.us-east-1.aws.found.io/app/kibana#/discover/Steve-Slow-Train-Analysis-(2080s-and-2083s)?_g=(refreshInterval:(display:Off,pause:!f,section:0,value:0),time:(from:'2017-11-29T17:07:14-0700',mode:absolute,to:'2017-11-29T19:25:38-0700'))&amp;_a=(columns:!('Message%20ID',Summary),filters:!(),index:'emp_*',interval:auto,query:(query_string:(analyze_wildcard:!t,query:'%22rtdc.l.rtdc.4032%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230" t="s">
        <v>833</v>
      </c>
      <c r="B200" s="226">
        <v>4031</v>
      </c>
      <c r="C200" s="228" t="s">
        <v>192</v>
      </c>
      <c r="D200" s="228" t="s">
        <v>1065</v>
      </c>
      <c r="E200" s="227">
        <v>43068.770011574074</v>
      </c>
      <c r="F200" s="227">
        <v>43068.779166666667</v>
      </c>
      <c r="G200" s="226">
        <v>59</v>
      </c>
      <c r="H200" s="228" t="s">
        <v>949</v>
      </c>
      <c r="I200" s="227">
        <v>43068.789340277777</v>
      </c>
      <c r="J200" s="226">
        <v>0</v>
      </c>
      <c r="K200" s="238" t="str">
        <f t="shared" si="156"/>
        <v>4031/4032</v>
      </c>
      <c r="L200" s="246" t="str">
        <f>VLOOKUP(A200,'Trips&amp;Operators'!$C$1:$G$99911,5,FALSE)</f>
        <v>LORI SANTOS</v>
      </c>
      <c r="M200" s="225">
        <f t="shared" si="157"/>
        <v>1.0173611110076308E-2</v>
      </c>
      <c r="N200" s="226">
        <f t="shared" si="163"/>
        <v>14.649999998509884</v>
      </c>
      <c r="O200" s="226"/>
      <c r="P200" s="226"/>
      <c r="Q200" s="229"/>
      <c r="R200" s="243"/>
      <c r="S200" s="250">
        <f t="shared" si="158"/>
        <v>1</v>
      </c>
      <c r="T200" s="243" t="str">
        <f t="shared" si="159"/>
        <v>Southbound</v>
      </c>
      <c r="U200" s="24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9" t="str">
        <f t="shared" si="111"/>
        <v>https://d0f6bd738d7f1b3e5a7ca70fe4ff75f0.us-east-1.aws.found.io/app/kibana#/discover/Steve-Slow-Train-Analysis-(2080s-and-2083s)?_g=(refreshInterval:(display:Off,pause:!f,section:0,value:0),time:(from:'2017-11-29T17:28:49-0700',mode:absolute,to:'2017-11-29T19:56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0" s="248" t="str">
        <f>IF(AA200&lt;VLOOKUP(AG200,Variables!$AC$3:$AD$8,2,FALSE),"Y","N")</f>
        <v>N</v>
      </c>
      <c r="X200" s="248">
        <f t="shared" si="164"/>
        <v>1</v>
      </c>
      <c r="Y200" s="248">
        <f t="shared" si="154"/>
        <v>5.8639999999999999</v>
      </c>
      <c r="Z200" s="248">
        <f t="shared" si="155"/>
        <v>1.6E-2</v>
      </c>
      <c r="AA200" s="248">
        <f t="shared" si="160"/>
        <v>5.8479999999999999</v>
      </c>
      <c r="AB200" s="234" t="e">
        <f>VLOOKUP(A200,Enforcements!$C$7:$K$9,8,0)</f>
        <v>#N/A</v>
      </c>
      <c r="AC200" s="233" t="e">
        <f>VLOOKUP(A200,Enforcements!$C$7:$E$9,3,0)</f>
        <v>#N/A</v>
      </c>
      <c r="AD200" s="244">
        <f t="shared" si="161"/>
        <v>838</v>
      </c>
      <c r="AE200" s="236" t="str">
        <f t="shared" si="112"/>
        <v>aws s3 cp s3://rtdc.mdm.uploadarchive.raw/RTDC4031/ "%USERPROFILE%\AppData\Local\Temp\OnboardLogs"\RTDC4031\2017-11-29 --exclude "*" --recursive --include "*20171129*" &amp; "%USERPROFILE%\Documents\GitHub\mrs-test-scripts\Headless Mode &amp; Sideloading\WalkAndUnGZ.bat" "%USERPROFILE%\AppData\Local\Temp\OnboardLogs"\RTDC4031\2017-11-29 &amp; aws s3 cp s3://rtdc.mdm.uploadarchive.raw/RTDC4031/ "%USERPROFILE%\AppData\Local\Temp\OnboardLogs"\RTDC4031\2017-11-30 --exclude "*" --recursive --include "*20171130*" &amp; "%USERPROFILE%\Documents\GitHub\mrs-test-scripts\Headless Mode &amp; Sideloading\WalkAndUnGZ.bat" "%USERPROFILE%\AppData\Local\Temp\OnboardLogs"\RTDC4031\2017-11-30</v>
      </c>
      <c r="AF200" s="235" t="str">
        <f t="shared" si="113"/>
        <v>"C:\Program Files (x86)\AstroGrep\AstroGrep.exe" /e /r /s /spath="%USERPROFILE%\AppData\Local\Temp\OnboardLogs" /stypes="app*4031*20171130*" /stext=" 01:.+((SYSTEM_STATE.+slice.+state.+changed )|(ment ac)|(multiple cpu faults)|(system.+state.+changed )|(\[timeout)|(PRM\|1\|D)|(kpr)|(kdp)|(train st.+moving)|(\|lc)|(penalty))"</v>
      </c>
      <c r="AG200" s="245" t="str">
        <f t="shared" si="162"/>
        <v>NW</v>
      </c>
      <c r="AH200" s="237" t="str">
        <f t="shared" si="121"/>
        <v>"%USERPROFILE%\Documents\GitHub\eaglep3\Utilities\RefineRTDCRunTimes.py" --tripid 838-29 --locoid 4031 --swversion DE.1.0.9.0 --startMP 300:58640 --initTime 2017-11-29T18:28:49 --startdatetime 2017-11-29T18:42:00 --delay 59 --endMP 204:160 --enddatetime 2017-11-29T18:56:39 --enforcementcount 0 &gt;&gt;%USERPROFILE%\Documents\GitHub\eaglep3-reporting\EC\2017-11-29-refined-times.txt</v>
      </c>
      <c r="AI200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{"issue":{"subject":"","project_id":79,"tracker_id":40,"status_id":1,"priority_id":2,"assigned_to_id":338,"start_date":"2017-11-29","description":"","custom_fields":[{"id":1,"name":"Subdivision","value":"NW"},{"id":4,"name":"Milepost","value":"0.016"},{"id":17,"name":"Train ID","value":"838-29"},{"id":16,"name":"Locomotive ID","value":"4031"},{"id":130,"name":"Impact","value":""},{"id":150,"name":"Time of Event (Mountain Time)","value":"18:56:39"},{"id":151,"name":"Denver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4"/>
      <c r="AK200" s="232"/>
      <c r="AL200" s="232"/>
      <c r="AM200" s="241" t="str">
        <f t="shared" si="123"/>
        <v>start /low /b %USERPROFILE%\Documents\GitHub\eaglep3\Utilities\DownloadLogsFromS3.py --loco 4031 --day 2017-11-29</v>
      </c>
      <c r="AN200" s="242" t="str">
        <f t="shared" si="124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01:56:39"},{"id":29,"name":"Sharepoint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1" t="str">
        <f t="shared" si="125"/>
        <v>https://d0f6bd738d7f1b3e5a7ca70fe4ff75f0.us-east-1.aws.found.io/app/kibana#/discover/Steve-Slow-Train-Analysis-(2080s-and-2083s)?_g=(refreshInterval:(display:Off,pause:!f,section:0,value:0),time:(from:'2017-11-29T17:28:49-0700',mode:absolute,to:'2017-11-29T19:56:39-0700'))&amp;_a=(columns:!('Message%20ID',Summary),filters:!(),index:'emp_*',interval:auto,query:(query_string:(analyze_wildcard:!t,query:'%22rtdc.l.rtdc.4031%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230" t="s">
        <v>835</v>
      </c>
      <c r="B201" s="226">
        <v>4018</v>
      </c>
      <c r="C201" s="228" t="s">
        <v>192</v>
      </c>
      <c r="D201" s="228" t="s">
        <v>1088</v>
      </c>
      <c r="E201" s="227">
        <v>43068.77306712963</v>
      </c>
      <c r="F201" s="227">
        <v>43068.77753472222</v>
      </c>
      <c r="G201" s="226">
        <v>68</v>
      </c>
      <c r="H201" s="228" t="s">
        <v>611</v>
      </c>
      <c r="I201" s="227">
        <v>43068.787418981483</v>
      </c>
      <c r="J201" s="226">
        <v>0</v>
      </c>
      <c r="K201" s="238" t="str">
        <f t="shared" si="156"/>
        <v>4017/4018</v>
      </c>
      <c r="L201" s="246" t="str">
        <f>VLOOKUP(A201,'Trips&amp;Operators'!$C$1:$G$99911,5,FALSE)</f>
        <v>STAMBAUGH JAMES</v>
      </c>
      <c r="M201" s="225">
        <f t="shared" si="157"/>
        <v>9.8842592633445747E-3</v>
      </c>
      <c r="N201" s="226">
        <f t="shared" si="163"/>
        <v>14.233333339216188</v>
      </c>
      <c r="O201" s="226"/>
      <c r="P201" s="226"/>
      <c r="Q201" s="229"/>
      <c r="R201" s="243"/>
      <c r="S201" s="250">
        <f t="shared" si="158"/>
        <v>1</v>
      </c>
      <c r="T201" s="243" t="str">
        <f t="shared" si="159"/>
        <v>NorthBound</v>
      </c>
      <c r="U201" s="24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9" t="str">
        <f t="shared" si="111"/>
        <v>https://d0f6bd738d7f1b3e5a7ca70fe4ff75f0.us-east-1.aws.found.io/app/kibana#/discover/Steve-Slow-Train-Analysis-(2080s-and-2083s)?_g=(refreshInterval:(display:Off,pause:!f,section:0,value:0),time:(from:'2017-11-29T17:33:13-0700',mode:absolute,to:'2017-11-29T19:53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1" s="248" t="str">
        <f>IF(AA201&lt;VLOOKUP(AG201,Variables!$AC$3:$AD$8,2,FALSE),"Y","N")</f>
        <v>N</v>
      </c>
      <c r="X201" s="248">
        <f t="shared" si="164"/>
        <v>1</v>
      </c>
      <c r="Y201" s="248">
        <f t="shared" si="154"/>
        <v>4.48E-2</v>
      </c>
      <c r="Z201" s="248">
        <f t="shared" si="155"/>
        <v>5.8933</v>
      </c>
      <c r="AA201" s="248">
        <f t="shared" si="160"/>
        <v>5.8484999999999996</v>
      </c>
      <c r="AB201" s="234" t="e">
        <f>VLOOKUP(A201,Enforcements!$C$7:$K$9,8,0)</f>
        <v>#N/A</v>
      </c>
      <c r="AC201" s="233" t="e">
        <f>VLOOKUP(A201,Enforcements!$C$7:$E$9,3,0)</f>
        <v>#N/A</v>
      </c>
      <c r="AD201" s="244">
        <f t="shared" si="161"/>
        <v>839</v>
      </c>
      <c r="AE201" s="236" t="str">
        <f t="shared" si="112"/>
        <v>aws s3 cp s3://rtdc.mdm.uploadarchive.raw/RTDC4018/ "%USERPROFILE%\AppData\Local\Temp\OnboardLogs"\RTDC4018\2017-11-29 --exclude "*" --recursive --include "*20171129*" &amp; "%USERPROFILE%\Documents\GitHub\mrs-test-scripts\Headless Mode &amp; Sideloading\WalkAndUnGZ.bat" "%USERPROFILE%\AppData\Local\Temp\OnboardLogs"\RTDC4018\2017-11-29 &amp; aws s3 cp s3://rtdc.mdm.uploadarchive.raw/RTDC4018/ "%USERPROFILE%\AppData\Local\Temp\OnboardLogs"\RTDC4018\2017-11-30 --exclude "*" --recursive --include "*20171130*" &amp; "%USERPROFILE%\Documents\GitHub\mrs-test-scripts\Headless Mode &amp; Sideloading\WalkAndUnGZ.bat" "%USERPROFILE%\AppData\Local\Temp\OnboardLogs"\RTDC4018\2017-11-30</v>
      </c>
      <c r="AF201" s="235" t="str">
        <f t="shared" si="113"/>
        <v>"C:\Program Files (x86)\AstroGrep\AstroGrep.exe" /e /r /s /spath="%USERPROFILE%\AppData\Local\Temp\OnboardLogs" /stypes="app*4018*20171130*" /stext=" 01:.+((SYSTEM_STATE.+slice.+state.+changed )|(ment ac)|(multiple cpu faults)|(system.+state.+changed )|(\[timeout)|(PRM\|1\|D)|(kpr)|(kdp)|(train st.+moving)|(\|lc)|(penalty))"</v>
      </c>
      <c r="AG201" s="245" t="str">
        <f t="shared" si="162"/>
        <v>NW</v>
      </c>
      <c r="AH201" s="237" t="str">
        <f t="shared" si="121"/>
        <v>"%USERPROFILE%\Documents\GitHub\eaglep3\Utilities\RefineRTDCRunTimes.py" --tripid 839-29 --locoid 4018 --swversion DE.1.0.9.0 --startMP 204:448 --initTime 2017-11-29T18:33:13 --startdatetime 2017-11-29T18:39:39 --delay 68 --endMP 300:58933 --enddatetime 2017-11-29T18:53:53 --enforcementcount 0 &gt;&gt;%USERPROFILE%\Documents\GitHub\eaglep3-reporting\EC\2017-11-29-refined-times.txt</v>
      </c>
      <c r="AI201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{"issue":{"subject":"","project_id":79,"tracker_id":40,"status_id":1,"priority_id":2,"assigned_to_id":338,"start_date":"2017-11-29","description":"","custom_fields":[{"id":1,"name":"Subdivision","value":"NW"},{"id":4,"name":"Milepost","value":"5.8933"},{"id":17,"name":"Train ID","value":"839-29"},{"id":16,"name":"Locomotive ID","value":"4018"},{"id":130,"name":"Impact","value":""},{"id":150,"name":"Time of Event (Mountain Time)","value":"18:53:53"},{"id":151,"name":"Denver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224"/>
      <c r="AK201" s="232"/>
      <c r="AL201" s="232"/>
      <c r="AM201" s="241" t="str">
        <f t="shared" si="123"/>
        <v>start /low /b %USERPROFILE%\Documents\GitHub\eaglep3\Utilities\DownloadLogsFromS3.py --loco 4018 --day 2017-11-29</v>
      </c>
      <c r="AN201" s="242" t="str">
        <f t="shared" si="124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01:53:53"},{"id":29,"name":"Sharepoint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1" t="str">
        <f t="shared" si="125"/>
        <v>https://d0f6bd738d7f1b3e5a7ca70fe4ff75f0.us-east-1.aws.found.io/app/kibana#/discover/Steve-Slow-Train-Analysis-(2080s-and-2083s)?_g=(refreshInterval:(display:Off,pause:!f,section:0,value:0),time:(from:'2017-11-29T17:33:13-0700',mode:absolute,to:'2017-11-29T19:53:53-0700'))&amp;_a=(columns:!('Message%20ID',Summary),filters:!(),index:'emp_*',interval:auto,query:(query_string:(analyze_wildcard:!t,query:'%22rtdc.l.rtdc.4018%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230" t="s">
        <v>651</v>
      </c>
      <c r="B202" s="226">
        <v>4031</v>
      </c>
      <c r="C202" s="228" t="s">
        <v>192</v>
      </c>
      <c r="D202" s="228" t="s">
        <v>604</v>
      </c>
      <c r="E202" s="227">
        <v>43068.811030092591</v>
      </c>
      <c r="F202" s="227">
        <v>43068.820833333331</v>
      </c>
      <c r="G202" s="226">
        <v>69</v>
      </c>
      <c r="H202" s="228" t="s">
        <v>566</v>
      </c>
      <c r="I202" s="227">
        <v>43068.832731481481</v>
      </c>
      <c r="J202" s="226">
        <v>0</v>
      </c>
      <c r="K202" s="238" t="str">
        <f t="shared" si="156"/>
        <v>4031/4032</v>
      </c>
      <c r="L202" s="246" t="str">
        <f>VLOOKUP(A202,'Trips&amp;Operators'!$C$1:$G$99911,5,FALSE)</f>
        <v>LORI SANTOS</v>
      </c>
      <c r="M202" s="225">
        <f t="shared" si="157"/>
        <v>1.1898148150066845E-2</v>
      </c>
      <c r="N202" s="226">
        <f t="shared" si="163"/>
        <v>17.133333336096257</v>
      </c>
      <c r="O202" s="226"/>
      <c r="P202" s="226"/>
      <c r="Q202" s="229"/>
      <c r="R202" s="243"/>
      <c r="S202" s="250">
        <f t="shared" si="158"/>
        <v>1</v>
      </c>
      <c r="T202" s="243" t="str">
        <f t="shared" si="159"/>
        <v>Southbound</v>
      </c>
      <c r="U202" s="24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9" t="str">
        <f t="shared" si="111"/>
        <v>https://d0f6bd738d7f1b3e5a7ca70fe4ff75f0.us-east-1.aws.found.io/app/kibana#/discover/Steve-Slow-Train-Analysis-(2080s-and-2083s)?_g=(refreshInterval:(display:Off,pause:!f,section:0,value:0),time:(from:'2017-11-29T18:27:53-0700',mode:absolute,to:'2017-11-29T20:59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2" s="248" t="str">
        <f>IF(AA202&lt;VLOOKUP(AG202,Variables!$AC$3:$AD$8,2,FALSE),"Y","N")</f>
        <v>N</v>
      </c>
      <c r="X202" s="248">
        <f t="shared" si="164"/>
        <v>1</v>
      </c>
      <c r="Y202" s="248">
        <f t="shared" si="154"/>
        <v>5.8632</v>
      </c>
      <c r="Z202" s="248">
        <f t="shared" si="155"/>
        <v>1.5800000000000002E-2</v>
      </c>
      <c r="AA202" s="248">
        <f t="shared" si="160"/>
        <v>5.8474000000000004</v>
      </c>
      <c r="AB202" s="234" t="e">
        <f>VLOOKUP(A202,Enforcements!$C$7:$K$9,8,0)</f>
        <v>#N/A</v>
      </c>
      <c r="AC202" s="233" t="e">
        <f>VLOOKUP(A202,Enforcements!$C$7:$E$9,3,0)</f>
        <v>#N/A</v>
      </c>
      <c r="AD202" s="244">
        <f t="shared" si="161"/>
        <v>840</v>
      </c>
      <c r="AE202" s="236" t="str">
        <f t="shared" si="112"/>
        <v>aws s3 cp s3://rtdc.mdm.uploadarchive.raw/RTDC4031/ "%USERPROFILE%\AppData\Local\Temp\OnboardLogs"\RTDC4031\2017-11-29 --exclude "*" --recursive --include "*20171129*" &amp; "%USERPROFILE%\Documents\GitHub\mrs-test-scripts\Headless Mode &amp; Sideloading\WalkAndUnGZ.bat" "%USERPROFILE%\AppData\Local\Temp\OnboardLogs"\RTDC4031\2017-11-29 &amp; aws s3 cp s3://rtdc.mdm.uploadarchive.raw/RTDC4031/ "%USERPROFILE%\AppData\Local\Temp\OnboardLogs"\RTDC4031\2017-11-30 --exclude "*" --recursive --include "*20171130*" &amp; "%USERPROFILE%\Documents\GitHub\mrs-test-scripts\Headless Mode &amp; Sideloading\WalkAndUnGZ.bat" "%USERPROFILE%\AppData\Local\Temp\OnboardLogs"\RTDC4031\2017-11-30</v>
      </c>
      <c r="AF202" s="235" t="str">
        <f t="shared" si="113"/>
        <v>"C:\Program Files (x86)\AstroGrep\AstroGrep.exe" /e /r /s /spath="%USERPROFILE%\AppData\Local\Temp\OnboardLogs" /stypes="app*4031*20171130*" /stext=" 02:.+((SYSTEM_STATE.+slice.+state.+changed )|(ment ac)|(multiple cpu faults)|(system.+state.+changed )|(\[timeout)|(PRM\|1\|D)|(kpr)|(kdp)|(train st.+moving)|(\|lc)|(penalty))"</v>
      </c>
      <c r="AG202" s="245" t="str">
        <f t="shared" si="162"/>
        <v>NW</v>
      </c>
      <c r="AH202" s="237" t="str">
        <f t="shared" si="121"/>
        <v>"%USERPROFILE%\Documents\GitHub\eaglep3\Utilities\RefineRTDCRunTimes.py" --tripid 840-29 --locoid 4031 --swversion DE.1.0.9.0 --startMP 300:58632 --initTime 2017-11-29T19:27:53 --startdatetime 2017-11-29T19:42:00 --delay 69 --endMP 204:158 --enddatetime 2017-11-29T19:59:08 --enforcementcount 0 &gt;&gt;%USERPROFILE%\Documents\GitHub\eaglep3-reporting\EC\2017-11-29-refined-times.txt</v>
      </c>
      <c r="AI202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{"issue":{"subject":"","project_id":79,"tracker_id":40,"status_id":1,"priority_id":2,"assigned_to_id":338,"start_date":"2017-11-29","description":"","custom_fields":[{"id":1,"name":"Subdivision","value":"NW"},{"id":4,"name":"Milepost","value":"0.0158"},{"id":17,"name":"Train ID","value":"840-29"},{"id":16,"name":"Locomotive ID","value":"4031"},{"id":130,"name":"Impact","value":""},{"id":150,"name":"Time of Event (Mountain Time)","value":"19:59:08"},{"id":151,"name":"Denver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4"/>
      <c r="AK202" s="232"/>
      <c r="AL202" s="232"/>
      <c r="AM202" s="241" t="str">
        <f t="shared" si="123"/>
        <v>start /low /b %USERPROFILE%\Documents\GitHub\eaglep3\Utilities\DownloadLogsFromS3.py --loco 4031 --day 2017-11-29</v>
      </c>
      <c r="AN202" s="242" t="str">
        <f t="shared" si="124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02:59:08"},{"id":29,"name":"Sharepoint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1" t="str">
        <f t="shared" si="125"/>
        <v>https://d0f6bd738d7f1b3e5a7ca70fe4ff75f0.us-east-1.aws.found.io/app/kibana#/discover/Steve-Slow-Train-Analysis-(2080s-and-2083s)?_g=(refreshInterval:(display:Off,pause:!f,section:0,value:0),time:(from:'2017-11-29T18:27:53-0700',mode:absolute,to:'2017-11-29T20:59:08-0700'))&amp;_a=(columns:!('Message%20ID',Summary),filters:!(),index:'emp_*',interval:auto,query:(query_string:(analyze_wildcard:!t,query:'%22rtdc.l.rtdc.4031%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230" t="s">
        <v>840</v>
      </c>
      <c r="B203" s="226">
        <v>4032</v>
      </c>
      <c r="C203" s="228" t="s">
        <v>192</v>
      </c>
      <c r="D203" s="228" t="s">
        <v>570</v>
      </c>
      <c r="E203" s="227">
        <v>43068.795231481483</v>
      </c>
      <c r="F203" s="227">
        <v>43068.798113425924</v>
      </c>
      <c r="G203" s="226">
        <v>78</v>
      </c>
      <c r="H203" s="228" t="s">
        <v>1089</v>
      </c>
      <c r="I203" s="227">
        <v>43068.809953703705</v>
      </c>
      <c r="J203" s="226">
        <v>0</v>
      </c>
      <c r="K203" s="238" t="str">
        <f t="shared" si="156"/>
        <v>4031/4032</v>
      </c>
      <c r="L203" s="246" t="str">
        <f>VLOOKUP(A203,'Trips&amp;Operators'!$C$1:$G$99911,5,FALSE)</f>
        <v>LORI SANTOS</v>
      </c>
      <c r="M203" s="225">
        <f t="shared" si="157"/>
        <v>1.1840277780720498E-2</v>
      </c>
      <c r="N203" s="226">
        <f t="shared" si="163"/>
        <v>17.050000004237518</v>
      </c>
      <c r="O203" s="226"/>
      <c r="P203" s="226"/>
      <c r="Q203" s="229"/>
      <c r="R203" s="243"/>
      <c r="S203" s="250">
        <f t="shared" si="158"/>
        <v>1</v>
      </c>
      <c r="T203" s="243" t="str">
        <f t="shared" si="159"/>
        <v>NorthBound</v>
      </c>
      <c r="U203" s="24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9" t="str">
        <f t="shared" si="111"/>
        <v>https://d0f6bd738d7f1b3e5a7ca70fe4ff75f0.us-east-1.aws.found.io/app/kibana#/discover/Steve-Slow-Train-Analysis-(2080s-and-2083s)?_g=(refreshInterval:(display:Off,pause:!f,section:0,value:0),time:(from:'2017-11-29T18:05:08-0700',mode:absolute,to:'2017-11-29T20:26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3" s="248" t="str">
        <f>IF(AA203&lt;VLOOKUP(AG203,Variables!$AC$3:$AD$8,2,FALSE),"Y","N")</f>
        <v>N</v>
      </c>
      <c r="X203" s="248">
        <f t="shared" si="164"/>
        <v>1</v>
      </c>
      <c r="Y203" s="248">
        <f t="shared" si="154"/>
        <v>4.9299999999999997E-2</v>
      </c>
      <c r="Z203" s="248">
        <f t="shared" si="155"/>
        <v>5.8945999999999996</v>
      </c>
      <c r="AA203" s="248">
        <f t="shared" si="160"/>
        <v>5.8452999999999999</v>
      </c>
      <c r="AB203" s="234" t="e">
        <f>VLOOKUP(A203,Enforcements!$C$7:$K$9,8,0)</f>
        <v>#N/A</v>
      </c>
      <c r="AC203" s="233" t="e">
        <f>VLOOKUP(A203,Enforcements!$C$7:$E$9,3,0)</f>
        <v>#N/A</v>
      </c>
      <c r="AD203" s="244">
        <f t="shared" si="161"/>
        <v>841</v>
      </c>
      <c r="AE203" s="236" t="str">
        <f t="shared" si="112"/>
        <v>aws s3 cp s3://rtdc.mdm.uploadarchive.raw/RTDC4032/ "%USERPROFILE%\AppData\Local\Temp\OnboardLogs"\RTDC4032\2017-11-29 --exclude "*" --recursive --include "*20171129*" &amp; "%USERPROFILE%\Documents\GitHub\mrs-test-scripts\Headless Mode &amp; Sideloading\WalkAndUnGZ.bat" "%USERPROFILE%\AppData\Local\Temp\OnboardLogs"\RTDC4032\2017-11-29 &amp; aws s3 cp s3://rtdc.mdm.uploadarchive.raw/RTDC4032/ "%USERPROFILE%\AppData\Local\Temp\OnboardLogs"\RTDC4032\2017-11-30 --exclude "*" --recursive --include "*20171130*" &amp; "%USERPROFILE%\Documents\GitHub\mrs-test-scripts\Headless Mode &amp; Sideloading\WalkAndUnGZ.bat" "%USERPROFILE%\AppData\Local\Temp\OnboardLogs"\RTDC4032\2017-11-30</v>
      </c>
      <c r="AF203" s="235" t="str">
        <f t="shared" si="113"/>
        <v>"C:\Program Files (x86)\AstroGrep\AstroGrep.exe" /e /r /s /spath="%USERPROFILE%\AppData\Local\Temp\OnboardLogs" /stypes="app*4032*20171130*" /stext=" 02:.+((SYSTEM_STATE.+slice.+state.+changed )|(ment ac)|(multiple cpu faults)|(system.+state.+changed )|(\[timeout)|(PRM\|1\|D)|(kpr)|(kdp)|(train st.+moving)|(\|lc)|(penalty))"</v>
      </c>
      <c r="AG203" s="245" t="str">
        <f t="shared" si="162"/>
        <v>NW</v>
      </c>
      <c r="AH203" s="237" t="str">
        <f t="shared" si="121"/>
        <v>"%USERPROFILE%\Documents\GitHub\eaglep3\Utilities\RefineRTDCRunTimes.py" --tripid 841-29 --locoid 4032 --swversion DE.1.0.9.0 --startMP 204:493 --initTime 2017-11-29T19:05:08 --startdatetime 2017-11-29T19:09:17 --delay 78 --endMP 300:58946 --enddatetime 2017-11-29T19:26:20 --enforcementcount 0 &gt;&gt;%USERPROFILE%\Documents\GitHub\eaglep3-reporting\EC\2017-11-29-refined-times.txt</v>
      </c>
      <c r="AI203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{"issue":{"subject":"","project_id":79,"tracker_id":40,"status_id":1,"priority_id":2,"assigned_to_id":338,"start_date":"2017-11-29","description":"","custom_fields":[{"id":1,"name":"Subdivision","value":"NW"},{"id":4,"name":"Milepost","value":"5.8946"},{"id":17,"name":"Train ID","value":"841-29"},{"id":16,"name":"Locomotive ID","value":"4032"},{"id":130,"name":"Impact","value":""},{"id":150,"name":"Time of Event (Mountain Time)","value":"19:26:20"},{"id":151,"name":"Denver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4"/>
      <c r="AK203" s="232"/>
      <c r="AL203" s="232"/>
      <c r="AM203" s="241" t="str">
        <f t="shared" si="123"/>
        <v>start /low /b %USERPROFILE%\Documents\GitHub\eaglep3\Utilities\DownloadLogsFromS3.py --loco 4032 --day 2017-11-29</v>
      </c>
      <c r="AN203" s="242" t="str">
        <f t="shared" si="124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02:26:20"},{"id":29,"name":"Sharepoint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1" t="str">
        <f t="shared" si="125"/>
        <v>https://d0f6bd738d7f1b3e5a7ca70fe4ff75f0.us-east-1.aws.found.io/app/kibana#/discover/Steve-Slow-Train-Analysis-(2080s-and-2083s)?_g=(refreshInterval:(display:Off,pause:!f,section:0,value:0),time:(from:'2017-11-29T18:05:08-0700',mode:absolute,to:'2017-11-29T20:26:20-0700'))&amp;_a=(columns:!('Message%20ID',Summary),filters:!(),index:'emp_*',interval:auto,query:(query_string:(analyze_wildcard:!t,query:'%22rtdc.l.rtdc.4032%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230" t="s">
        <v>849</v>
      </c>
      <c r="B204" s="226">
        <v>4031</v>
      </c>
      <c r="C204" s="228" t="s">
        <v>192</v>
      </c>
      <c r="D204" s="228" t="s">
        <v>1084</v>
      </c>
      <c r="E204" s="227">
        <v>43068.8518287037</v>
      </c>
      <c r="F204" s="227">
        <v>43068.862500000003</v>
      </c>
      <c r="G204" s="226">
        <v>63</v>
      </c>
      <c r="H204" s="228" t="s">
        <v>1079</v>
      </c>
      <c r="I204" s="227">
        <v>43068.872430555559</v>
      </c>
      <c r="J204" s="226">
        <v>0</v>
      </c>
      <c r="K204" s="238" t="str">
        <f t="shared" si="156"/>
        <v>4031/4032</v>
      </c>
      <c r="L204" s="246" t="str">
        <f>VLOOKUP(A204,'Trips&amp;Operators'!$C$1:$G$99911,5,FALSE)</f>
        <v>LORI SANTOS</v>
      </c>
      <c r="M204" s="225">
        <f t="shared" si="157"/>
        <v>9.930555555911269E-3</v>
      </c>
      <c r="N204" s="226">
        <f t="shared" si="163"/>
        <v>14.300000000512227</v>
      </c>
      <c r="O204" s="226"/>
      <c r="P204" s="226"/>
      <c r="Q204" s="229"/>
      <c r="R204" s="243"/>
      <c r="S204" s="250">
        <f t="shared" si="158"/>
        <v>1</v>
      </c>
      <c r="T204" s="243" t="str">
        <f t="shared" si="159"/>
        <v>Southbound</v>
      </c>
      <c r="U204" s="24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9" t="str">
        <f t="shared" si="111"/>
        <v>https://d0f6bd738d7f1b3e5a7ca70fe4ff75f0.us-east-1.aws.found.io/app/kibana#/discover/Steve-Slow-Train-Analysis-(2080s-and-2083s)?_g=(refreshInterval:(display:Off,pause:!f,section:0,value:0),time:(from:'2017-11-29T19:26:38-0700',mode:absolute,to:'2017-11-29T21:56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4" s="248" t="str">
        <f>IF(AA204&lt;VLOOKUP(AG204,Variables!$AC$3:$AD$8,2,FALSE),"Y","N")</f>
        <v>N</v>
      </c>
      <c r="X204" s="248">
        <f t="shared" si="164"/>
        <v>1</v>
      </c>
      <c r="Y204" s="248">
        <f t="shared" ref="Y204:Y235" si="165">RIGHT(D204,LEN(D204)-4)/10000</f>
        <v>5.8601999999999999</v>
      </c>
      <c r="Z204" s="248">
        <f t="shared" ref="Z204:Z235" si="166">RIGHT(H204,LEN(H204)-4)/10000</f>
        <v>1.6400000000000001E-2</v>
      </c>
      <c r="AA204" s="248">
        <f t="shared" si="160"/>
        <v>5.8437999999999999</v>
      </c>
      <c r="AB204" s="234" t="e">
        <f>VLOOKUP(A204,Enforcements!$C$7:$K$9,8,0)</f>
        <v>#N/A</v>
      </c>
      <c r="AC204" s="233" t="e">
        <f>VLOOKUP(A204,Enforcements!$C$7:$E$9,3,0)</f>
        <v>#N/A</v>
      </c>
      <c r="AD204" s="244">
        <f t="shared" si="161"/>
        <v>842</v>
      </c>
      <c r="AE204" s="236" t="str">
        <f t="shared" si="112"/>
        <v>aws s3 cp s3://rtdc.mdm.uploadarchive.raw/RTDC4031/ "%USERPROFILE%\AppData\Local\Temp\OnboardLogs"\RTDC4031\2017-11-29 --exclude "*" --recursive --include "*20171129*" &amp; "%USERPROFILE%\Documents\GitHub\mrs-test-scripts\Headless Mode &amp; Sideloading\WalkAndUnGZ.bat" "%USERPROFILE%\AppData\Local\Temp\OnboardLogs"\RTDC4031\2017-11-29 &amp; aws s3 cp s3://rtdc.mdm.uploadarchive.raw/RTDC4031/ "%USERPROFILE%\AppData\Local\Temp\OnboardLogs"\RTDC4031\2017-11-30 --exclude "*" --recursive --include "*20171130*" &amp; "%USERPROFILE%\Documents\GitHub\mrs-test-scripts\Headless Mode &amp; Sideloading\WalkAndUnGZ.bat" "%USERPROFILE%\AppData\Local\Temp\OnboardLogs"\RTDC4031\2017-11-30</v>
      </c>
      <c r="AF204" s="235" t="str">
        <f t="shared" si="113"/>
        <v>"C:\Program Files (x86)\AstroGrep\AstroGrep.exe" /e /r /s /spath="%USERPROFILE%\AppData\Local\Temp\OnboardLogs" /stypes="app*4031*20171130*" /stext=" 03:.+((SYSTEM_STATE.+slice.+state.+changed )|(ment ac)|(multiple cpu faults)|(system.+state.+changed )|(\[timeout)|(PRM\|1\|D)|(kpr)|(kdp)|(train st.+moving)|(\|lc)|(penalty))"</v>
      </c>
      <c r="AG204" s="245" t="str">
        <f t="shared" si="162"/>
        <v>NW</v>
      </c>
      <c r="AH204" s="237" t="str">
        <f t="shared" si="121"/>
        <v>"%USERPROFILE%\Documents\GitHub\eaglep3\Utilities\RefineRTDCRunTimes.py" --tripid 842-29 --locoid 4031 --swversion DE.1.0.9.0 --startMP 300:58602 --initTime 2017-11-29T20:26:38 --startdatetime 2017-11-29T20:42:00 --delay 63 --endMP 204:164 --enddatetime 2017-11-29T20:56:18 --enforcementcount 0 &gt;&gt;%USERPROFILE%\Documents\GitHub\eaglep3-reporting\EC\2017-11-29-refined-times.txt</v>
      </c>
      <c r="AI204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{"issue":{"subject":"","project_id":79,"tracker_id":40,"status_id":1,"priority_id":2,"assigned_to_id":338,"start_date":"2017-11-29","description":"","custom_fields":[{"id":1,"name":"Subdivision","value":"NW"},{"id":4,"name":"Milepost","value":"0.0164"},{"id":17,"name":"Train ID","value":"842-29"},{"id":16,"name":"Locomotive ID","value":"4031"},{"id":130,"name":"Impact","value":""},{"id":150,"name":"Time of Event (Mountain Time)","value":"20:56:18"},{"id":151,"name":"Denver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4" s="224"/>
      <c r="AK204" s="232"/>
      <c r="AL204" s="232"/>
      <c r="AM204" s="241" t="str">
        <f t="shared" si="123"/>
        <v>start /low /b %USERPROFILE%\Documents\GitHub\eaglep3\Utilities\DownloadLogsFromS3.py --loco 4031 --day 2017-11-29</v>
      </c>
      <c r="AN204" s="242" t="str">
        <f t="shared" si="124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03:56:18"},{"id":29,"name":"Sharepoint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1" t="str">
        <f t="shared" si="125"/>
        <v>https://d0f6bd738d7f1b3e5a7ca70fe4ff75f0.us-east-1.aws.found.io/app/kibana#/discover/Steve-Slow-Train-Analysis-(2080s-and-2083s)?_g=(refreshInterval:(display:Off,pause:!f,section:0,value:0),time:(from:'2017-11-29T19:26:38-0700',mode:absolute,to:'2017-11-29T21:56:18-0700'))&amp;_a=(columns:!('Message%20ID',Summary),filters:!(),index:'emp_*',interval:auto,query:(query_string:(analyze_wildcard:!t,query:'%22rtdc.l.rtdc.4031%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24" customFormat="1" x14ac:dyDescent="0.25">
      <c r="A205" s="230" t="s">
        <v>652</v>
      </c>
      <c r="B205" s="226">
        <v>4032</v>
      </c>
      <c r="C205" s="228" t="s">
        <v>192</v>
      </c>
      <c r="D205" s="228" t="s">
        <v>501</v>
      </c>
      <c r="E205" s="227">
        <v>43068.83797453704</v>
      </c>
      <c r="F205" s="227">
        <v>43068.839814814812</v>
      </c>
      <c r="G205" s="226">
        <v>58</v>
      </c>
      <c r="H205" s="228" t="s">
        <v>1083</v>
      </c>
      <c r="I205" s="227">
        <v>43068.850555555553</v>
      </c>
      <c r="J205" s="226">
        <v>0</v>
      </c>
      <c r="K205" s="238" t="str">
        <f t="shared" si="156"/>
        <v>4031/4032</v>
      </c>
      <c r="L205" s="246" t="str">
        <f>VLOOKUP(A205,'Trips&amp;Operators'!$C$1:$G$99911,5,FALSE)</f>
        <v>LORI SANTOS</v>
      </c>
      <c r="M205" s="225">
        <f t="shared" si="157"/>
        <v>1.0740740741312038E-2</v>
      </c>
      <c r="N205" s="226">
        <f t="shared" si="163"/>
        <v>15.466666667489335</v>
      </c>
      <c r="O205" s="226"/>
      <c r="P205" s="226"/>
      <c r="Q205" s="229"/>
      <c r="R205" s="243"/>
      <c r="S205" s="250">
        <f t="shared" si="158"/>
        <v>1</v>
      </c>
      <c r="T205" s="243" t="str">
        <f t="shared" si="159"/>
        <v>NorthBound</v>
      </c>
      <c r="U205" s="24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9" t="str">
        <f t="shared" ref="V205:V267" si="167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-11-29T19:06:41-0700',mode:absolute,to:'2017-11-29T21:24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5" s="248" t="str">
        <f>IF(AA205&lt;VLOOKUP(AG205,Variables!$AC$3:$AD$8,2,FALSE),"Y","N")</f>
        <v>N</v>
      </c>
      <c r="X205" s="248">
        <f t="shared" si="164"/>
        <v>1</v>
      </c>
      <c r="Y205" s="248">
        <f t="shared" si="165"/>
        <v>4.4600000000000001E-2</v>
      </c>
      <c r="Z205" s="248">
        <f t="shared" si="166"/>
        <v>5.8916000000000004</v>
      </c>
      <c r="AA205" s="248">
        <f t="shared" si="160"/>
        <v>5.8470000000000004</v>
      </c>
      <c r="AB205" s="234" t="e">
        <f>VLOOKUP(A205,Enforcements!$C$7:$K$9,8,0)</f>
        <v>#N/A</v>
      </c>
      <c r="AC205" s="233" t="e">
        <f>VLOOKUP(A205,Enforcements!$C$7:$E$9,3,0)</f>
        <v>#N/A</v>
      </c>
      <c r="AD205" s="244">
        <f t="shared" si="161"/>
        <v>843</v>
      </c>
      <c r="AE205" s="236" t="str">
        <f t="shared" ref="AE205:AE267" si="168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s3://rtdc.mdm.uploadarchive.raw/RTDC4032/ "%USERPROFILE%\AppData\Local\Temp\OnboardLogs"\RTDC4032\2017-11-29 --exclude "*" --recursive --include "*20171129*" &amp; "%USERPROFILE%\Documents\GitHub\mrs-test-scripts\Headless Mode &amp; Sideloading\WalkAndUnGZ.bat" "%USERPROFILE%\AppData\Local\Temp\OnboardLogs"\RTDC4032\2017-11-29 &amp; aws s3 cp s3://rtdc.mdm.uploadarchive.raw/RTDC4032/ "%USERPROFILE%\AppData\Local\Temp\OnboardLogs"\RTDC4032\2017-11-30 --exclude "*" --recursive --include "*20171130*" &amp; "%USERPROFILE%\Documents\GitHub\mrs-test-scripts\Headless Mode &amp; Sideloading\WalkAndUnGZ.bat" "%USERPROFILE%\AppData\Local\Temp\OnboardLogs"\RTDC4032\2017-11-30</v>
      </c>
      <c r="AF205" s="235" t="str">
        <f t="shared" ref="AF205:AF267" si="169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/stypes="app*4032*20171130*" /stext=" 03:.+((SYSTEM_STATE.+slice.+state.+changed )|(ment ac)|(multiple cpu faults)|(system.+state.+changed )|(\[timeout)|(PRM\|1\|D)|(kpr)|(kdp)|(train st.+moving)|(\|lc)|(penalty))"</v>
      </c>
      <c r="AG205" s="245" t="str">
        <f t="shared" si="162"/>
        <v>NW</v>
      </c>
      <c r="AH205" s="237" t="str">
        <f t="shared" si="121"/>
        <v>"%USERPROFILE%\Documents\GitHub\eaglep3\Utilities\RefineRTDCRunTimes.py" --tripid 843-29 --locoid 4032 --swversion DE.1.0.9.0 --startMP 204:446 --initTime 2017-11-29T20:06:41 --startdatetime 2017-11-29T20:09:20 --delay 58 --endMP 300:58916 --enddatetime 2017-11-29T20:24:48 --enforcementcount 0 &gt;&gt;%USERPROFILE%\Documents\GitHub\eaglep3-reporting\EC\2017-11-29-refined-times.txt</v>
      </c>
      <c r="AI205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{"issue":{"subject":"","project_id":79,"tracker_id":40,"status_id":1,"priority_id":2,"assigned_to_id":338,"start_date":"2017-11-29","description":"","custom_fields":[{"id":1,"name":"Subdivision","value":"NW"},{"id":4,"name":"Milepost","value":"5.8916"},{"id":17,"name":"Train ID","value":"843-29"},{"id":16,"name":"Locomotive ID","value":"4032"},{"id":130,"name":"Impact","value":""},{"id":150,"name":"Time of Event (Mountain Time)","value":"20:24:48"},{"id":151,"name":"Denver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232"/>
      <c r="AL205" s="232"/>
      <c r="AM205" s="241" t="str">
        <f t="shared" si="123"/>
        <v>start /low /b %USERPROFILE%\Documents\GitHub\eaglep3\Utilities\DownloadLogsFromS3.py --loco 4032 --day 2017-11-29</v>
      </c>
      <c r="AN205" s="242" t="str">
        <f t="shared" si="124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03:24:48"},{"id":29,"name":"Sharepoint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1" t="str">
        <f t="shared" si="125"/>
        <v>https://d0f6bd738d7f1b3e5a7ca70fe4ff75f0.us-east-1.aws.found.io/app/kibana#/discover/Steve-Slow-Train-Analysis-(2080s-and-2083s)?_g=(refreshInterval:(display:Off,pause:!f,section:0,value:0),time:(from:'2017-11-29T19:06:41-0700',mode:absolute,to:'2017-11-29T21:24:48-0700'))&amp;_a=(columns:!('Message%20ID',Summary),filters:!(),index:'emp_*',interval:auto,query:(query_string:(analyze_wildcard:!t,query:'%22rtdc.l.rtdc.4032%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230" t="s">
        <v>854</v>
      </c>
      <c r="B206" s="226">
        <v>4031</v>
      </c>
      <c r="C206" s="228" t="s">
        <v>192</v>
      </c>
      <c r="D206" s="228" t="s">
        <v>1090</v>
      </c>
      <c r="E206" s="227">
        <v>43068.892291666663</v>
      </c>
      <c r="F206" s="227">
        <v>43068.904166666667</v>
      </c>
      <c r="G206" s="226">
        <v>85</v>
      </c>
      <c r="H206" s="228" t="s">
        <v>560</v>
      </c>
      <c r="I206" s="227">
        <v>43068.912638888891</v>
      </c>
      <c r="J206" s="226">
        <v>0</v>
      </c>
      <c r="K206" s="238" t="str">
        <f t="shared" si="156"/>
        <v>4031/4032</v>
      </c>
      <c r="L206" s="246" t="str">
        <f>VLOOKUP(A206,'Trips&amp;Operators'!$C$1:$G$99911,5,FALSE)</f>
        <v>STAMBAUGH JAMES</v>
      </c>
      <c r="M206" s="225">
        <f t="shared" si="157"/>
        <v>8.4722222236450762E-3</v>
      </c>
      <c r="N206" s="226">
        <f t="shared" si="163"/>
        <v>12.20000000204891</v>
      </c>
      <c r="O206" s="226"/>
      <c r="P206" s="226"/>
      <c r="Q206" s="229"/>
      <c r="R206" s="243"/>
      <c r="S206" s="250">
        <f t="shared" si="158"/>
        <v>1</v>
      </c>
      <c r="T206" s="243" t="str">
        <f t="shared" si="159"/>
        <v>Southbound</v>
      </c>
      <c r="U206" s="24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9" t="str">
        <f t="shared" si="167"/>
        <v>https://d0f6bd738d7f1b3e5a7ca70fe4ff75f0.us-east-1.aws.found.io/app/kibana#/discover/Steve-Slow-Train-Analysis-(2080s-and-2083s)?_g=(refreshInterval:(display:Off,pause:!f,section:0,value:0),time:(from:'2017-11-29T20:24:54-0700',mode:absolute,to:'2017-11-29T22:54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6" s="248" t="str">
        <f>IF(AA206&lt;VLOOKUP(AG206,Variables!$AC$3:$AD$8,2,FALSE),"Y","N")</f>
        <v>N</v>
      </c>
      <c r="X206" s="248">
        <f t="shared" si="164"/>
        <v>1</v>
      </c>
      <c r="Y206" s="248">
        <f t="shared" si="165"/>
        <v>5.8608000000000002</v>
      </c>
      <c r="Z206" s="248">
        <f t="shared" si="166"/>
        <v>1.38E-2</v>
      </c>
      <c r="AA206" s="248">
        <f t="shared" si="160"/>
        <v>5.8470000000000004</v>
      </c>
      <c r="AB206" s="234" t="e">
        <f>VLOOKUP(A206,Enforcements!$C$7:$K$9,8,0)</f>
        <v>#N/A</v>
      </c>
      <c r="AC206" s="233" t="e">
        <f>VLOOKUP(A206,Enforcements!$C$7:$E$9,3,0)</f>
        <v>#N/A</v>
      </c>
      <c r="AD206" s="244">
        <f t="shared" si="161"/>
        <v>844</v>
      </c>
      <c r="AE206" s="236" t="str">
        <f t="shared" si="168"/>
        <v>aws s3 cp s3://rtdc.mdm.uploadarchive.raw/RTDC4031/ "%USERPROFILE%\AppData\Local\Temp\OnboardLogs"\RTDC4031\2017-11-29 --exclude "*" --recursive --include "*20171129*" &amp; "%USERPROFILE%\Documents\GitHub\mrs-test-scripts\Headless Mode &amp; Sideloading\WalkAndUnGZ.bat" "%USERPROFILE%\AppData\Local\Temp\OnboardLogs"\RTDC4031\2017-11-29 &amp; aws s3 cp s3://rtdc.mdm.uploadarchive.raw/RTDC4031/ "%USERPROFILE%\AppData\Local\Temp\OnboardLogs"\RTDC4031\2017-11-30 --exclude "*" --recursive --include "*20171130*" &amp; "%USERPROFILE%\Documents\GitHub\mrs-test-scripts\Headless Mode &amp; Sideloading\WalkAndUnGZ.bat" "%USERPROFILE%\AppData\Local\Temp\OnboardLogs"\RTDC4031\2017-11-30</v>
      </c>
      <c r="AF206" s="235" t="str">
        <f t="shared" si="169"/>
        <v>"C:\Program Files (x86)\AstroGrep\AstroGrep.exe" /e /r /s /spath="%USERPROFILE%\AppData\Local\Temp\OnboardLogs" /stypes="app*4031*20171130*" /stext=" 04:.+((SYSTEM_STATE.+slice.+state.+changed )|(ment ac)|(multiple cpu faults)|(system.+state.+changed )|(\[timeout)|(PRM\|1\|D)|(kpr)|(kdp)|(train st.+moving)|(\|lc)|(penalty))"</v>
      </c>
      <c r="AG206" s="245" t="str">
        <f t="shared" si="162"/>
        <v>NW</v>
      </c>
      <c r="AH206" s="237" t="str">
        <f t="shared" si="121"/>
        <v>"%USERPROFILE%\Documents\GitHub\eaglep3\Utilities\RefineRTDCRunTimes.py" --tripid 844-29 --locoid 4031 --swversion DE.1.0.9.0 --startMP 300:58608 --initTime 2017-11-29T21:24:54 --startdatetime 2017-11-29T21:42:00 --delay 85 --endMP 204:138 --enddatetime 2017-11-29T21:54:12 --enforcementcount 0 &gt;&gt;%USERPROFILE%\Documents\GitHub\eaglep3-reporting\EC\2017-11-29-refined-times.txt</v>
      </c>
      <c r="AI206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{"issue":{"subject":"","project_id":79,"tracker_id":40,"status_id":1,"priority_id":2,"assigned_to_id":338,"start_date":"2017-11-29","description":"","custom_fields":[{"id":1,"name":"Subdivision","value":"NW"},{"id":4,"name":"Milepost","value":"0.0138"},{"id":17,"name":"Train ID","value":"844-29"},{"id":16,"name":"Locomotive ID","value":"4031"},{"id":130,"name":"Impact","value":""},{"id":150,"name":"Time of Event (Mountain Time)","value":"21:54:12"},{"id":151,"name":"Denver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4"/>
      <c r="AK206" s="232"/>
      <c r="AL206" s="232"/>
      <c r="AM206" s="241" t="str">
        <f t="shared" si="123"/>
        <v>start /low /b %USERPROFILE%\Documents\GitHub\eaglep3\Utilities\DownloadLogsFromS3.py --loco 4031 --day 2017-11-29</v>
      </c>
      <c r="AN206" s="242" t="str">
        <f t="shared" si="124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04:54:12"},{"id":29,"name":"Sharepoint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1" t="str">
        <f t="shared" si="125"/>
        <v>https://d0f6bd738d7f1b3e5a7ca70fe4ff75f0.us-east-1.aws.found.io/app/kibana#/discover/Steve-Slow-Train-Analysis-(2080s-and-2083s)?_g=(refreshInterval:(display:Off,pause:!f,section:0,value:0),time:(from:'2017-11-29T20:24:54-0700',mode:absolute,to:'2017-11-29T22:54:12-0700'))&amp;_a=(columns:!('Message%20ID',Summary),filters:!(),index:'emp_*',interval:auto,query:(query_string:(analyze_wildcard:!t,query:'%22rtdc.l.rtdc.4031%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230" t="s">
        <v>852</v>
      </c>
      <c r="B207" s="226">
        <v>4032</v>
      </c>
      <c r="C207" s="228" t="s">
        <v>192</v>
      </c>
      <c r="D207" s="228" t="s">
        <v>897</v>
      </c>
      <c r="E207" s="227">
        <v>43068.87672453704</v>
      </c>
      <c r="F207" s="227">
        <v>43068.881493055553</v>
      </c>
      <c r="G207" s="226">
        <v>180</v>
      </c>
      <c r="H207" s="228" t="s">
        <v>519</v>
      </c>
      <c r="I207" s="227">
        <v>43068.890914351854</v>
      </c>
      <c r="J207" s="226">
        <v>0</v>
      </c>
      <c r="K207" s="238" t="str">
        <f t="shared" si="156"/>
        <v>4031/4032</v>
      </c>
      <c r="L207" s="246" t="str">
        <f>VLOOKUP(A207,'Trips&amp;Operators'!$C$1:$G$99911,5,FALSE)</f>
        <v>STAMBAUGH JAMES</v>
      </c>
      <c r="M207" s="225">
        <f t="shared" si="157"/>
        <v>9.4212963012978435E-3</v>
      </c>
      <c r="N207" s="226">
        <f t="shared" si="163"/>
        <v>13.566666673868895</v>
      </c>
      <c r="O207" s="226"/>
      <c r="P207" s="226"/>
      <c r="Q207" s="229"/>
      <c r="R207" s="243"/>
      <c r="S207" s="250">
        <f t="shared" si="158"/>
        <v>1</v>
      </c>
      <c r="T207" s="243" t="str">
        <f t="shared" si="159"/>
        <v>NorthBound</v>
      </c>
      <c r="U207" s="24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9" t="str">
        <f t="shared" si="167"/>
        <v>https://d0f6bd738d7f1b3e5a7ca70fe4ff75f0.us-east-1.aws.found.io/app/kibana#/discover/Steve-Slow-Train-Analysis-(2080s-and-2083s)?_g=(refreshInterval:(display:Off,pause:!f,section:0,value:0),time:(from:'2017-11-29T20:02:29-0700',mode:absolute,to:'2017-11-29T22:22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7" s="248" t="str">
        <f>IF(AA207&lt;VLOOKUP(AG207,Variables!$AC$3:$AD$8,2,FALSE),"Y","N")</f>
        <v>N</v>
      </c>
      <c r="X207" s="248">
        <f t="shared" si="164"/>
        <v>1</v>
      </c>
      <c r="Y207" s="248">
        <f t="shared" si="165"/>
        <v>4.8800000000000003E-2</v>
      </c>
      <c r="Z207" s="248">
        <f t="shared" si="166"/>
        <v>5.8929</v>
      </c>
      <c r="AA207" s="248">
        <f t="shared" si="160"/>
        <v>5.8441000000000001</v>
      </c>
      <c r="AB207" s="234" t="e">
        <f>VLOOKUP(A207,Enforcements!$C$7:$K$9,8,0)</f>
        <v>#N/A</v>
      </c>
      <c r="AC207" s="233" t="e">
        <f>VLOOKUP(A207,Enforcements!$C$7:$E$9,3,0)</f>
        <v>#N/A</v>
      </c>
      <c r="AD207" s="244">
        <f t="shared" si="161"/>
        <v>845</v>
      </c>
      <c r="AE207" s="236" t="str">
        <f t="shared" si="168"/>
        <v>aws s3 cp s3://rtdc.mdm.uploadarchive.raw/RTDC4032/ "%USERPROFILE%\AppData\Local\Temp\OnboardLogs"\RTDC4032\2017-11-29 --exclude "*" --recursive --include "*20171129*" &amp; "%USERPROFILE%\Documents\GitHub\mrs-test-scripts\Headless Mode &amp; Sideloading\WalkAndUnGZ.bat" "%USERPROFILE%\AppData\Local\Temp\OnboardLogs"\RTDC4032\2017-11-29 &amp; aws s3 cp s3://rtdc.mdm.uploadarchive.raw/RTDC4032/ "%USERPROFILE%\AppData\Local\Temp\OnboardLogs"\RTDC4032\2017-11-30 --exclude "*" --recursive --include "*20171130*" &amp; "%USERPROFILE%\Documents\GitHub\mrs-test-scripts\Headless Mode &amp; Sideloading\WalkAndUnGZ.bat" "%USERPROFILE%\AppData\Local\Temp\OnboardLogs"\RTDC4032\2017-11-30</v>
      </c>
      <c r="AF207" s="235" t="str">
        <f t="shared" si="169"/>
        <v>"C:\Program Files (x86)\AstroGrep\AstroGrep.exe" /e /r /s /spath="%USERPROFILE%\AppData\Local\Temp\OnboardLogs" /stypes="app*4032*20171130*" /stext=" 04:.+((SYSTEM_STATE.+slice.+state.+changed )|(ment ac)|(multiple cpu faults)|(system.+state.+changed )|(\[timeout)|(PRM\|1\|D)|(kpr)|(kdp)|(train st.+moving)|(\|lc)|(penalty))"</v>
      </c>
      <c r="AG207" s="245" t="str">
        <f t="shared" si="162"/>
        <v>NW</v>
      </c>
      <c r="AH207" s="237" t="str">
        <f t="shared" si="121"/>
        <v>"%USERPROFILE%\Documents\GitHub\eaglep3\Utilities\RefineRTDCRunTimes.py" --tripid 845-29 --locoid 4032 --swversion DE.1.0.9.0 --startMP 204:488 --initTime 2017-11-29T21:02:29 --startdatetime 2017-11-29T21:09:21 --delay 180 --endMP 300:58929 --enddatetime 2017-11-29T21:22:55 --enforcementcount 0 &gt;&gt;%USERPROFILE%\Documents\GitHub\eaglep3-reporting\EC\2017-11-29-refined-times.txt</v>
      </c>
      <c r="AI207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{"issue":{"subject":"","project_id":79,"tracker_id":40,"status_id":1,"priority_id":2,"assigned_to_id":338,"start_date":"2017-11-29","description":"","custom_fields":[{"id":1,"name":"Subdivision","value":"NW"},{"id":4,"name":"Milepost","value":"5.8929"},{"id":17,"name":"Train ID","value":"845-29"},{"id":16,"name":"Locomotive ID","value":"4032"},{"id":130,"name":"Impact","value":""},{"id":150,"name":"Time of Event (Mountain Time)","value":"21:22:55"},{"id":151,"name":"Denver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4"/>
      <c r="AK207" s="232"/>
      <c r="AL207" s="232"/>
      <c r="AM207" s="241" t="str">
        <f t="shared" si="123"/>
        <v>start /low /b %USERPROFILE%\Documents\GitHub\eaglep3\Utilities\DownloadLogsFromS3.py --loco 4032 --day 2017-11-29</v>
      </c>
      <c r="AN207" s="242" t="str">
        <f t="shared" si="124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04:22:55"},{"id":29,"name":"Sharepoint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1" t="str">
        <f t="shared" si="125"/>
        <v>https://d0f6bd738d7f1b3e5a7ca70fe4ff75f0.us-east-1.aws.found.io/app/kibana#/discover/Steve-Slow-Train-Analysis-(2080s-and-2083s)?_g=(refreshInterval:(display:Off,pause:!f,section:0,value:0),time:(from:'2017-11-29T20:02:29-0700',mode:absolute,to:'2017-11-29T22:22:55-0700'))&amp;_a=(columns:!('Message%20ID',Summary),filters:!(),index:'emp_*',interval:auto,query:(query_string:(analyze_wildcard:!t,query:'%22rtdc.l.rtdc.4032%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230" t="s">
        <v>859</v>
      </c>
      <c r="B208" s="226">
        <v>4031</v>
      </c>
      <c r="C208" s="228" t="s">
        <v>192</v>
      </c>
      <c r="D208" s="228" t="s">
        <v>607</v>
      </c>
      <c r="E208" s="227">
        <v>43068.93309027778</v>
      </c>
      <c r="F208" s="227">
        <v>43068.945833333331</v>
      </c>
      <c r="G208" s="226">
        <v>68</v>
      </c>
      <c r="H208" s="228" t="s">
        <v>608</v>
      </c>
      <c r="I208" s="227">
        <v>43068.954212962963</v>
      </c>
      <c r="J208" s="226">
        <v>0</v>
      </c>
      <c r="K208" s="238" t="str">
        <f t="shared" si="156"/>
        <v>4031/4032</v>
      </c>
      <c r="L208" s="246" t="str">
        <f>VLOOKUP(A208,'Trips&amp;Operators'!$C$1:$G$99911,5,FALSE)</f>
        <v>STAMBAUGH JAMES</v>
      </c>
      <c r="M208" s="225">
        <f t="shared" si="157"/>
        <v>8.3796296312357299E-3</v>
      </c>
      <c r="N208" s="226">
        <f t="shared" si="163"/>
        <v>12.066666668979451</v>
      </c>
      <c r="O208" s="226"/>
      <c r="P208" s="226"/>
      <c r="Q208" s="229"/>
      <c r="R208" s="243"/>
      <c r="S208" s="250">
        <f t="shared" si="158"/>
        <v>1</v>
      </c>
      <c r="T208" s="243" t="str">
        <f t="shared" si="159"/>
        <v>Southbound</v>
      </c>
      <c r="U208" s="24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9" t="str">
        <f t="shared" si="167"/>
        <v>https://d0f6bd738d7f1b3e5a7ca70fe4ff75f0.us-east-1.aws.found.io/app/kibana#/discover/Steve-Slow-Train-Analysis-(2080s-and-2083s)?_g=(refreshInterval:(display:Off,pause:!f,section:0,value:0),time:(from:'2017-11-29T21:23:39-0700',mode:absolute,to:'2017-11-29T23:54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8" s="248" t="str">
        <f>IF(AA208&lt;VLOOKUP(AG208,Variables!$AC$3:$AD$8,2,FALSE),"Y","N")</f>
        <v>N</v>
      </c>
      <c r="X208" s="248">
        <f t="shared" si="164"/>
        <v>1</v>
      </c>
      <c r="Y208" s="248">
        <f t="shared" si="165"/>
        <v>5.8619000000000003</v>
      </c>
      <c r="Z208" s="248">
        <f t="shared" si="166"/>
        <v>1.4200000000000001E-2</v>
      </c>
      <c r="AA208" s="248">
        <f t="shared" si="160"/>
        <v>5.8477000000000006</v>
      </c>
      <c r="AB208" s="234" t="e">
        <f>VLOOKUP(A208,Enforcements!$C$7:$K$9,8,0)</f>
        <v>#N/A</v>
      </c>
      <c r="AC208" s="233" t="e">
        <f>VLOOKUP(A208,Enforcements!$C$7:$E$9,3,0)</f>
        <v>#N/A</v>
      </c>
      <c r="AD208" s="244">
        <f t="shared" si="161"/>
        <v>846</v>
      </c>
      <c r="AE208" s="236" t="str">
        <f t="shared" si="168"/>
        <v>aws s3 cp s3://rtdc.mdm.uploadarchive.raw/RTDC4031/ "%USERPROFILE%\AppData\Local\Temp\OnboardLogs"\RTDC4031\2017-11-29 --exclude "*" --recursive --include "*20171129*" &amp; "%USERPROFILE%\Documents\GitHub\mrs-test-scripts\Headless Mode &amp; Sideloading\WalkAndUnGZ.bat" "%USERPROFILE%\AppData\Local\Temp\OnboardLogs"\RTDC4031\2017-11-29 &amp; aws s3 cp s3://rtdc.mdm.uploadarchive.raw/RTDC4031/ "%USERPROFILE%\AppData\Local\Temp\OnboardLogs"\RTDC4031\2017-11-30 --exclude "*" --recursive --include "*20171130*" &amp; "%USERPROFILE%\Documents\GitHub\mrs-test-scripts\Headless Mode &amp; Sideloading\WalkAndUnGZ.bat" "%USERPROFILE%\AppData\Local\Temp\OnboardLogs"\RTDC4031\2017-11-30</v>
      </c>
      <c r="AF208" s="235" t="str">
        <f t="shared" si="169"/>
        <v>"C:\Program Files (x86)\AstroGrep\AstroGrep.exe" /e /r /s /spath="%USERPROFILE%\AppData\Local\Temp\OnboardLogs" /stypes="app*4031*20171130*" /stext=" 05:.+((SYSTEM_STATE.+slice.+state.+changed )|(ment ac)|(multiple cpu faults)|(system.+state.+changed )|(\[timeout)|(PRM\|1\|D)|(kpr)|(kdp)|(train st.+moving)|(\|lc)|(penalty))"</v>
      </c>
      <c r="AG208" s="245" t="str">
        <f t="shared" si="162"/>
        <v>NW</v>
      </c>
      <c r="AH208" s="237" t="str">
        <f t="shared" si="121"/>
        <v>"%USERPROFILE%\Documents\GitHub\eaglep3\Utilities\RefineRTDCRunTimes.py" --tripid 846-29 --locoid 4031 --swversion DE.1.0.9.0 --startMP 300:58619 --initTime 2017-11-29T22:23:39 --startdatetime 2017-11-29T22:42:00 --delay 68 --endMP 204:142 --enddatetime 2017-11-29T22:54:04 --enforcementcount 0 &gt;&gt;%USERPROFILE%\Documents\GitHub\eaglep3-reporting\EC\2017-11-29-refined-times.txt</v>
      </c>
      <c r="AI208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{"issue":{"subject":"","project_id":79,"tracker_id":40,"status_id":1,"priority_id":2,"assigned_to_id":338,"start_date":"2017-11-29","description":"","custom_fields":[{"id":1,"name":"Subdivision","value":"NW"},{"id":4,"name":"Milepost","value":"0.0142"},{"id":17,"name":"Train ID","value":"846-29"},{"id":16,"name":"Locomotive ID","value":"4031"},{"id":130,"name":"Impact","value":""},{"id":150,"name":"Time of Event (Mountain Time)","value":"22:54:04"},{"id":151,"name":"Denver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4"/>
      <c r="AK208" s="232"/>
      <c r="AL208" s="232"/>
      <c r="AM208" s="241" t="str">
        <f t="shared" si="123"/>
        <v>start /low /b %USERPROFILE%\Documents\GitHub\eaglep3\Utilities\DownloadLogsFromS3.py --loco 4031 --day 2017-11-29</v>
      </c>
      <c r="AN208" s="242" t="str">
        <f t="shared" si="124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05:54:04"},{"id":29,"name":"Sharepoint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1" t="str">
        <f t="shared" si="125"/>
        <v>https://d0f6bd738d7f1b3e5a7ca70fe4ff75f0.us-east-1.aws.found.io/app/kibana#/discover/Steve-Slow-Train-Analysis-(2080s-and-2083s)?_g=(refreshInterval:(display:Off,pause:!f,section:0,value:0),time:(from:'2017-11-29T21:23:39-0700',mode:absolute,to:'2017-11-29T23:54:04-0700'))&amp;_a=(columns:!('Message%20ID',Summary),filters:!(),index:'emp_*',interval:auto,query:(query_string:(analyze_wildcard:!t,query:'%22rtdc.l.rtdc.4031%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230" t="s">
        <v>857</v>
      </c>
      <c r="B209" s="226">
        <v>4032</v>
      </c>
      <c r="C209" s="228" t="s">
        <v>192</v>
      </c>
      <c r="D209" s="228" t="s">
        <v>554</v>
      </c>
      <c r="E209" s="227">
        <v>43068.921099537038</v>
      </c>
      <c r="F209" s="227">
        <v>43068.923136574071</v>
      </c>
      <c r="G209" s="226">
        <v>60</v>
      </c>
      <c r="H209" s="228" t="s">
        <v>611</v>
      </c>
      <c r="I209" s="227">
        <v>43068.932071759256</v>
      </c>
      <c r="J209" s="226">
        <v>0</v>
      </c>
      <c r="K209" s="238" t="str">
        <f t="shared" si="156"/>
        <v>4031/4032</v>
      </c>
      <c r="L209" s="246" t="str">
        <f>VLOOKUP(A209,'Trips&amp;Operators'!$C$1:$G$99911,5,FALSE)</f>
        <v>STAMBAUGH JAMES</v>
      </c>
      <c r="M209" s="225">
        <f t="shared" si="157"/>
        <v>8.9351851856918074E-3</v>
      </c>
      <c r="N209" s="226">
        <f t="shared" si="163"/>
        <v>12.866666667396203</v>
      </c>
      <c r="O209" s="226"/>
      <c r="P209" s="226"/>
      <c r="Q209" s="229"/>
      <c r="R209" s="243"/>
      <c r="S209" s="250">
        <f t="shared" si="158"/>
        <v>1</v>
      </c>
      <c r="T209" s="243" t="str">
        <f t="shared" si="159"/>
        <v>NorthBound</v>
      </c>
      <c r="U209" s="24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9" t="str">
        <f t="shared" si="167"/>
        <v>https://d0f6bd738d7f1b3e5a7ca70fe4ff75f0.us-east-1.aws.found.io/app/kibana#/discover/Steve-Slow-Train-Analysis-(2080s-and-2083s)?_g=(refreshInterval:(display:Off,pause:!f,section:0,value:0),time:(from:'2017-11-29T21:06:23-0700',mode:absolute,to:'2017-11-29T23:22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9" s="248" t="str">
        <f>IF(AA209&lt;VLOOKUP(AG209,Variables!$AC$3:$AD$8,2,FALSE),"Y","N")</f>
        <v>N</v>
      </c>
      <c r="X209" s="248">
        <f t="shared" si="164"/>
        <v>1</v>
      </c>
      <c r="Y209" s="248">
        <f t="shared" si="165"/>
        <v>4.3499999999999997E-2</v>
      </c>
      <c r="Z209" s="248">
        <f t="shared" si="166"/>
        <v>5.8933</v>
      </c>
      <c r="AA209" s="248">
        <f t="shared" si="160"/>
        <v>5.8498000000000001</v>
      </c>
      <c r="AB209" s="234" t="e">
        <f>VLOOKUP(A209,Enforcements!$C$7:$K$9,8,0)</f>
        <v>#N/A</v>
      </c>
      <c r="AC209" s="233" t="e">
        <f>VLOOKUP(A209,Enforcements!$C$7:$E$9,3,0)</f>
        <v>#N/A</v>
      </c>
      <c r="AD209" s="244">
        <f t="shared" si="161"/>
        <v>847</v>
      </c>
      <c r="AE209" s="236" t="str">
        <f t="shared" si="168"/>
        <v>aws s3 cp s3://rtdc.mdm.uploadarchive.raw/RTDC4032/ "%USERPROFILE%\AppData\Local\Temp\OnboardLogs"\RTDC4032\2017-11-29 --exclude "*" --recursive --include "*20171129*" &amp; "%USERPROFILE%\Documents\GitHub\mrs-test-scripts\Headless Mode &amp; Sideloading\WalkAndUnGZ.bat" "%USERPROFILE%\AppData\Local\Temp\OnboardLogs"\RTDC4032\2017-11-29 &amp; aws s3 cp s3://rtdc.mdm.uploadarchive.raw/RTDC4032/ "%USERPROFILE%\AppData\Local\Temp\OnboardLogs"\RTDC4032\2017-11-30 --exclude "*" --recursive --include "*20171130*" &amp; "%USERPROFILE%\Documents\GitHub\mrs-test-scripts\Headless Mode &amp; Sideloading\WalkAndUnGZ.bat" "%USERPROFILE%\AppData\Local\Temp\OnboardLogs"\RTDC4032\2017-11-30</v>
      </c>
      <c r="AF209" s="235" t="str">
        <f t="shared" si="169"/>
        <v>"C:\Program Files (x86)\AstroGrep\AstroGrep.exe" /e /r /s /spath="%USERPROFILE%\AppData\Local\Temp\OnboardLogs" /stypes="app*4032*20171130*" /stext=" 05:.+((SYSTEM_STATE.+slice.+state.+changed )|(ment ac)|(multiple cpu faults)|(system.+state.+changed )|(\[timeout)|(PRM\|1\|D)|(kpr)|(kdp)|(train st.+moving)|(\|lc)|(penalty))"</v>
      </c>
      <c r="AG209" s="245" t="str">
        <f t="shared" si="162"/>
        <v>NW</v>
      </c>
      <c r="AH209" s="237" t="str">
        <f t="shared" si="121"/>
        <v>"%USERPROFILE%\Documents\GitHub\eaglep3\Utilities\RefineRTDCRunTimes.py" --tripid 847-29 --locoid 4032 --swversion DE.1.0.9.0 --startMP 204:435 --initTime 2017-11-29T22:06:23 --startdatetime 2017-11-29T22:09:19 --delay 60 --endMP 300:58933 --enddatetime 2017-11-29T22:22:11 --enforcementcount 0 &gt;&gt;%USERPROFILE%\Documents\GitHub\eaglep3-reporting\EC\2017-11-29-refined-times.txt</v>
      </c>
      <c r="AI209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{"issue":{"subject":"","project_id":79,"tracker_id":40,"status_id":1,"priority_id":2,"assigned_to_id":338,"start_date":"2017-11-29","description":"","custom_fields":[{"id":1,"name":"Subdivision","value":"NW"},{"id":4,"name":"Milepost","value":"5.8933"},{"id":17,"name":"Train ID","value":"847-29"},{"id":16,"name":"Locomotive ID","value":"4032"},{"id":130,"name":"Impact","value":""},{"id":150,"name":"Time of Event (Mountain Time)","value":"22:22:11"},{"id":151,"name":"Denver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224"/>
      <c r="AK209" s="232"/>
      <c r="AL209" s="232"/>
      <c r="AM209" s="241" t="str">
        <f t="shared" si="123"/>
        <v>start /low /b %USERPROFILE%\Documents\GitHub\eaglep3\Utilities\DownloadLogsFromS3.py --loco 4032 --day 2017-11-29</v>
      </c>
      <c r="AN209" s="242" t="str">
        <f t="shared" si="124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05:22:11"},{"id":29,"name":"Sharepoint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1" t="str">
        <f t="shared" si="125"/>
        <v>https://d0f6bd738d7f1b3e5a7ca70fe4ff75f0.us-east-1.aws.found.io/app/kibana#/discover/Steve-Slow-Train-Analysis-(2080s-and-2083s)?_g=(refreshInterval:(display:Off,pause:!f,section:0,value:0),time:(from:'2017-11-29T21:06:23-0700',mode:absolute,to:'2017-11-29T23:22:11-0700'))&amp;_a=(columns:!('Message%20ID',Summary),filters:!(),index:'emp_*',interval:auto,query:(query_string:(analyze_wildcard:!t,query:'%22rtdc.l.rtdc.4032%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230" t="s">
        <v>863</v>
      </c>
      <c r="B210" s="226">
        <v>4032</v>
      </c>
      <c r="C210" s="228" t="s">
        <v>192</v>
      </c>
      <c r="D210" s="228" t="s">
        <v>1091</v>
      </c>
      <c r="E210" s="227">
        <v>43068.960752314815</v>
      </c>
      <c r="F210" s="227">
        <v>43068.964872685188</v>
      </c>
      <c r="G210" s="226">
        <v>54</v>
      </c>
      <c r="H210" s="228" t="s">
        <v>611</v>
      </c>
      <c r="I210" s="227">
        <v>43068.974386574075</v>
      </c>
      <c r="J210" s="226">
        <v>0</v>
      </c>
      <c r="K210" s="238" t="str">
        <f t="shared" si="156"/>
        <v>4031/4032</v>
      </c>
      <c r="L210" s="246" t="str">
        <f>VLOOKUP(A210,'Trips&amp;Operators'!$C$1:$G$99911,5,FALSE)</f>
        <v>STAMBAUGH JAMES</v>
      </c>
      <c r="M210" s="225">
        <f t="shared" si="157"/>
        <v>9.5138888864312321E-3</v>
      </c>
      <c r="N210" s="226">
        <f t="shared" si="163"/>
        <v>13.699999996460974</v>
      </c>
      <c r="O210" s="226"/>
      <c r="P210" s="226"/>
      <c r="Q210" s="229"/>
      <c r="R210" s="243"/>
      <c r="S210" s="250">
        <f t="shared" si="158"/>
        <v>1</v>
      </c>
      <c r="T210" s="243" t="str">
        <f t="shared" si="159"/>
        <v>NorthBound</v>
      </c>
      <c r="U210" s="24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9" t="str">
        <f t="shared" si="167"/>
        <v>https://d0f6bd738d7f1b3e5a7ca70fe4ff75f0.us-east-1.aws.found.io/app/kibana#/discover/Steve-Slow-Train-Analysis-(2080s-and-2083s)?_g=(refreshInterval:(display:Off,pause:!f,section:0,value:0),time:(from:'2017-11-29T22:03:29-0700',mode:absolute,to:'2017-11-30T00:23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0" s="248" t="str">
        <f>IF(AA210&lt;VLOOKUP(AG210,Variables!$AC$3:$AD$8,2,FALSE),"Y","N")</f>
        <v>N</v>
      </c>
      <c r="X210" s="248">
        <f t="shared" si="164"/>
        <v>2</v>
      </c>
      <c r="Y210" s="248">
        <f t="shared" si="165"/>
        <v>4.2599999999999999E-2</v>
      </c>
      <c r="Z210" s="248">
        <f t="shared" si="166"/>
        <v>5.8933</v>
      </c>
      <c r="AA210" s="248">
        <f t="shared" si="160"/>
        <v>5.8506999999999998</v>
      </c>
      <c r="AB210" s="234" t="e">
        <f>VLOOKUP(A210,Enforcements!$C$7:$K$9,8,0)</f>
        <v>#N/A</v>
      </c>
      <c r="AC210" s="233" t="e">
        <f>VLOOKUP(A210,Enforcements!$C$7:$E$9,3,0)</f>
        <v>#N/A</v>
      </c>
      <c r="AD210" s="244">
        <f t="shared" si="161"/>
        <v>849</v>
      </c>
      <c r="AE210" s="236" t="str">
        <f t="shared" si="168"/>
        <v>aws s3 cp s3://rtdc.mdm.uploadarchive.raw/RTDC4032/ "%USERPROFILE%\AppData\Local\Temp\OnboardLogs"\RTDC4032\2017-11-29 --exclude "*" --recursive --include "*20171129*" &amp; "%USERPROFILE%\Documents\GitHub\mrs-test-scripts\Headless Mode &amp; Sideloading\WalkAndUnGZ.bat" "%USERPROFILE%\AppData\Local\Temp\OnboardLogs"\RTDC4032\2017-11-29 &amp; aws s3 cp s3://rtdc.mdm.uploadarchive.raw/RTDC4032/ "%USERPROFILE%\AppData\Local\Temp\OnboardLogs"\RTDC4032\2017-11-30 --exclude "*" --recursive --include "*20171130*" &amp; "%USERPROFILE%\Documents\GitHub\mrs-test-scripts\Headless Mode &amp; Sideloading\WalkAndUnGZ.bat" "%USERPROFILE%\AppData\Local\Temp\OnboardLogs"\RTDC4032\2017-11-30</v>
      </c>
      <c r="AF210" s="235" t="str">
        <f t="shared" si="169"/>
        <v>"C:\Program Files (x86)\AstroGrep\AstroGrep.exe" /e /r /s /spath="%USERPROFILE%\AppData\Local\Temp\OnboardLogs" /stypes="app*4032*20171130*" /stext=" 06:.+((SYSTEM_STATE.+slice.+state.+changed )|(ment ac)|(multiple cpu faults)|(system.+state.+changed )|(\[timeout)|(PRM\|1\|D)|(kpr)|(kdp)|(train st.+moving)|(\|lc)|(penalty))"</v>
      </c>
      <c r="AG210" s="245" t="str">
        <f t="shared" si="162"/>
        <v>NW</v>
      </c>
      <c r="AH210" s="237" t="str">
        <f t="shared" si="121"/>
        <v>"%USERPROFILE%\Documents\GitHub\eaglep3\Utilities\RefineRTDCRunTimes.py" --tripid 849-29 --locoid 4032 --swversion DE.1.0.9.0 --startMP 204:426 --initTime 2017-11-29T23:03:29 --startdatetime 2017-11-29T23:09:25 --delay 54 --endMP 300:58933 --enddatetime 2017-11-29T23:23:07 --enforcementcount 0 &gt;&gt;%USERPROFILE%\Documents\GitHub\eaglep3-reporting\EC\2017-11-29-refined-times.txt</v>
      </c>
      <c r="AI210" s="239" t="str">
        <f t="shared" si="122"/>
        <v>echo {"issue":{"subject":"","project_id":79,"tracker_id":40,"status_id":1,"priority_id":2,"assigned_to_id":338,"start_date":"2017-11-29","description":"","custom_fields":[{"id":1,"name":"Subdivision","value":"NW"},{"id":4,"name":"Milepost","value":"5.8933"},{"id":17,"name":"Train ID","value":"849-29"},{"id":16,"name":"Locomotive ID","value":"4032"},{"id":130,"name":"Impact","value":""},{"id":150,"name":"Time of Event (Mountain Time)","value":"23:23:07"},{"id":151,"name":"Denver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4"/>
      <c r="AK210" s="232"/>
      <c r="AL210" s="232"/>
      <c r="AM210" s="241" t="str">
        <f t="shared" si="123"/>
        <v>start /low /b %USERPROFILE%\Documents\GitHub\eaglep3\Utilities\DownloadLogsFromS3.py --loco 4032 --day 2017-11-29</v>
      </c>
      <c r="AN210" s="242" t="str">
        <f t="shared" si="124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06:23:07"},{"id":29,"name":"Sharepoint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1" t="str">
        <f t="shared" si="125"/>
        <v>https://d0f6bd738d7f1b3e5a7ca70fe4ff75f0.us-east-1.aws.found.io/app/kibana#/discover/Steve-Slow-Train-Analysis-(2080s-and-2083s)?_g=(refreshInterval:(display:Off,pause:!f,section:0,value:0),time:(from:'2017-11-29T22:03:29-0700',mode:absolute,to:'2017-11-30T00:23:07-0700'))&amp;_a=(columns:!('Message%20ID',Summary),filters:!(),index:'emp_*',interval:auto,query:(query_string:(analyze_wildcard:!t,query:'%22rtdc.l.rtdc.4032%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230" t="s">
        <v>656</v>
      </c>
      <c r="B211" s="226">
        <v>4021</v>
      </c>
      <c r="C211" s="228" t="s">
        <v>192</v>
      </c>
      <c r="D211" s="228" t="s">
        <v>975</v>
      </c>
      <c r="E211" s="227">
        <v>43068.118263888886</v>
      </c>
      <c r="F211" s="227">
        <v>43068.120925925927</v>
      </c>
      <c r="G211" s="226">
        <v>72</v>
      </c>
      <c r="H211" s="228" t="s">
        <v>412</v>
      </c>
      <c r="I211" s="227">
        <v>43068.127581018518</v>
      </c>
      <c r="J211" s="226">
        <v>0</v>
      </c>
      <c r="K211" s="238" t="str">
        <f t="shared" si="156"/>
        <v>4021/4022</v>
      </c>
      <c r="L211" s="246" t="str">
        <f>VLOOKUP(A211,'Trips&amp;Operators'!$C$1:$G$99911,5,FALSE)</f>
        <v>NICHOLAS PLOYSA</v>
      </c>
      <c r="M211" s="225">
        <f t="shared" si="157"/>
        <v>6.655092591245193E-3</v>
      </c>
      <c r="N211" s="226">
        <f t="shared" si="163"/>
        <v>9.583333331393078</v>
      </c>
      <c r="O211" s="226"/>
      <c r="P211" s="226"/>
      <c r="Q211" s="229"/>
      <c r="R211" s="243"/>
      <c r="S211" s="250">
        <f t="shared" si="158"/>
        <v>1</v>
      </c>
      <c r="T211" s="243" t="str">
        <f t="shared" si="159"/>
        <v>Southbound</v>
      </c>
      <c r="U211" s="24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49" t="str">
        <f t="shared" si="167"/>
        <v>https://d0f6bd738d7f1b3e5a7ca70fe4ff75f0.us-east-1.aws.found.io/app/kibana#/discover/Steve-Slow-Train-Analysis-(2080s-and-2083s)?_g=(refreshInterval:(display:Off,pause:!f,section:0,value:0),time:(from:'2017-11-29T01:50:18-0700',mode:absolute,to:'2017-11-29T04:03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1" s="248" t="str">
        <f>IF(AA211&lt;VLOOKUP(AG211,Variables!$AC$3:$AD$8,2,FALSE),"Y","N")</f>
        <v>Y</v>
      </c>
      <c r="X211" s="248">
        <f t="shared" si="164"/>
        <v>-549</v>
      </c>
      <c r="Y211" s="248">
        <f t="shared" si="165"/>
        <v>2.3515999999999999</v>
      </c>
      <c r="Z211" s="248">
        <f t="shared" si="166"/>
        <v>2.1399999999999999E-2</v>
      </c>
      <c r="AA211" s="248">
        <f t="shared" si="160"/>
        <v>2.3302</v>
      </c>
      <c r="AB211" s="234" t="e">
        <f>VLOOKUP(A211,Enforcements!$C$7:$K$9,8,0)</f>
        <v>#N/A</v>
      </c>
      <c r="AC211" s="233" t="e">
        <f>VLOOKUP(A211,Enforcements!$C$7:$E$9,3,0)</f>
        <v>#N/A</v>
      </c>
      <c r="AD211" s="244">
        <f t="shared" si="161"/>
        <v>300</v>
      </c>
      <c r="AE211" s="236" t="str">
        <f t="shared" si="168"/>
        <v>aws s3 cp s3://rtdc.mdm.uploadarchive.raw/RTDC4021/ "%USERPROFILE%\AppData\Local\Temp\OnboardLogs"\RTDC4021\2017-11-29 --exclude "*" --recursive --include "*20171129*" &amp; "%USERPROFILE%\Documents\GitHub\mrs-test-scripts\Headless Mode &amp; Sideloading\WalkAndUnGZ.bat" "%USERPROFILE%\AppData\Local\Temp\OnboardLogs"\RTDC4021\2017-11-29 &amp; aws s3 cp s3://rtdc.mdm.uploadarchive.raw/RTDC4021/ "%USERPROFILE%\AppData\Local\Temp\OnboardLogs"\RTDC4021\2017-11-30 --exclude "*" --recursive --include "*20171130*" &amp; "%USERPROFILE%\Documents\GitHub\mrs-test-scripts\Headless Mode &amp; Sideloading\WalkAndUnGZ.bat" "%USERPROFILE%\AppData\Local\Temp\OnboardLogs"\RTDC4021\2017-11-30</v>
      </c>
      <c r="AF211" s="235" t="str">
        <f t="shared" si="169"/>
        <v>"C:\Program Files (x86)\AstroGrep\AstroGrep.exe" /e /r /s /spath="%USERPROFILE%\AppData\Local\Temp\OnboardLogs" /stypes="app*4021*20171129*" /stext=" 10:.+((SYSTEM_STATE.+slice.+state.+changed )|(ment ac)|(multiple cpu faults)|(system.+state.+changed )|(\[timeout)|(PRM\|1\|D)|(kpr)|(kdp)|(train st.+moving)|(\|lc)|(penalty))"</v>
      </c>
      <c r="AG211" s="245" t="str">
        <f t="shared" si="162"/>
        <v>Other</v>
      </c>
      <c r="AH211" s="237" t="str">
        <f t="shared" si="121"/>
        <v>"%USERPROFILE%\Documents\GitHub\eaglep3\Utilities\RefineRTDCRunTimes.py" --tripid 300-29 --locoid 4021 --swversion DE.1.0.9.0 --startMP 300:23516 --initTime 2017-11-29T02:50:18 --startdatetime 2017-11-29T02:54:08 --delay 72 --endMP 204:214 --enddatetime 2017-11-29T03:03:43 --enforcementcount 0 &gt;&gt;%USERPROFILE%\Documents\GitHub\eaglep3-reporting\EC\2017-11-29-refined-times.txt</v>
      </c>
      <c r="AI211" s="239" t="str">
        <f t="shared" si="122"/>
        <v>echo {"issue":{"subject":"","project_id":79,"tracker_id":40,"status_id":1,"priority_id":2,"assigned_to_id":338,"start_date":"2017-11-29","description":"","custom_fields":[{"id":1,"name":"Subdivision","value":"Other"},{"id":4,"name":"Milepost","value":"0.0214"},{"id":17,"name":"Train ID","value":"300-29"},{"id":16,"name":"Locomotive ID","value":"4021"},{"id":130,"name":"Impact","value":""},{"id":150,"name":"Time of Event (Mountain Time)","value":"03:03:43"},{"id":151,"name":"Denver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4"/>
      <c r="AK211" s="232"/>
      <c r="AL211" s="232"/>
      <c r="AM211" s="241" t="str">
        <f t="shared" si="123"/>
        <v>start /low /b %USERPROFILE%\Documents\GitHub\eaglep3\Utilities\DownloadLogsFromS3.py --loco 4021 --day 2017-11-29</v>
      </c>
      <c r="AN211" s="242" t="str">
        <f t="shared" si="124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10:03:43"},{"id":29,"name":"Sharepoint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1" t="str">
        <f t="shared" si="125"/>
        <v>https://d0f6bd738d7f1b3e5a7ca70fe4ff75f0.us-east-1.aws.found.io/app/kibana#/discover/Steve-Slow-Train-Analysis-(2080s-and-2083s)?_g=(refreshInterval:(display:Off,pause:!f,section:0,value:0),time:(from:'2017-11-29T01:50:18-0700',mode:absolute,to:'2017-11-29T04:03:43-0700'))&amp;_a=(columns:!('Message%20ID',Summary),filters:!(),index:'emp_*',interval:auto,query:(query_string:(analyze_wildcard:!t,query:'%22rtdc.l.rtdc.4021%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230" t="s">
        <v>837</v>
      </c>
      <c r="B212" s="226">
        <v>4066</v>
      </c>
      <c r="C212" s="228" t="s">
        <v>192</v>
      </c>
      <c r="D212" s="228" t="s">
        <v>976</v>
      </c>
      <c r="E212" s="227">
        <v>43068.777881944443</v>
      </c>
      <c r="F212" s="227">
        <v>43068.779062499998</v>
      </c>
      <c r="G212" s="226">
        <v>50</v>
      </c>
      <c r="H212" s="228" t="s">
        <v>977</v>
      </c>
      <c r="I212" s="227">
        <v>43068.78533564815</v>
      </c>
      <c r="J212" s="226">
        <v>0</v>
      </c>
      <c r="K212" s="238" t="str">
        <f t="shared" si="156"/>
        <v>4065/4066</v>
      </c>
      <c r="L212" s="246" t="str">
        <f>VLOOKUP(A212,'Trips&amp;Operators'!$C$1:$G$99911,5,FALSE)</f>
        <v>GUZMAN DANNY</v>
      </c>
      <c r="M212" s="225">
        <f t="shared" si="157"/>
        <v>6.2731481521041133E-3</v>
      </c>
      <c r="N212" s="226">
        <f t="shared" si="163"/>
        <v>9.0333333390299231</v>
      </c>
      <c r="O212" s="226"/>
      <c r="P212" s="226"/>
      <c r="Q212" s="229"/>
      <c r="R212" s="243"/>
      <c r="S212" s="250">
        <f t="shared" si="158"/>
        <v>1</v>
      </c>
      <c r="T212" s="243" t="str">
        <f t="shared" si="159"/>
        <v>NorthBound</v>
      </c>
      <c r="U212" s="24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49" t="str">
        <f t="shared" si="167"/>
        <v>https://d0f6bd738d7f1b3e5a7ca70fe4ff75f0.us-east-1.aws.found.io/app/kibana#/discover/Steve-Slow-Train-Analysis-(2080s-and-2083s)?_g=(refreshInterval:(display:Off,pause:!f,section:0,value:0),time:(from:'2017-11-29T17:40:09-0700',mode:absolute,to:'2017-11-29T19:50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12" s="248" t="str">
        <f>IF(AA212&lt;VLOOKUP(AG212,Variables!$AC$3:$AD$8,2,FALSE),"Y","N")</f>
        <v>Y</v>
      </c>
      <c r="X212" s="248">
        <f t="shared" si="164"/>
        <v>1</v>
      </c>
      <c r="Y212" s="248">
        <f t="shared" si="165"/>
        <v>5.91E-2</v>
      </c>
      <c r="Z212" s="248">
        <f t="shared" si="166"/>
        <v>2.3302</v>
      </c>
      <c r="AA212" s="248">
        <f t="shared" si="160"/>
        <v>2.2711000000000001</v>
      </c>
      <c r="AB212" s="234" t="e">
        <f>VLOOKUP(A212,Enforcements!$C$7:$K$9,8,0)</f>
        <v>#N/A</v>
      </c>
      <c r="AC212" s="233" t="e">
        <f>VLOOKUP(A212,Enforcements!$C$7:$E$9,3,0)</f>
        <v>#N/A</v>
      </c>
      <c r="AD212" s="244">
        <f t="shared" si="161"/>
        <v>301</v>
      </c>
      <c r="AE212" s="236" t="str">
        <f t="shared" si="168"/>
        <v>aws s3 cp s3://rtdc.mdm.uploadarchive.raw/RTDC4066/ "%USERPROFILE%\AppData\Local\Temp\OnboardLogs"\RTDC4066\2017-11-29 --exclude "*" --recursive --include "*20171129*" &amp; "%USERPROFILE%\Documents\GitHub\mrs-test-scripts\Headless Mode &amp; Sideloading\WalkAndUnGZ.bat" "%USERPROFILE%\AppData\Local\Temp\OnboardLogs"\RTDC4066\2017-11-29 &amp; aws s3 cp s3://rtdc.mdm.uploadarchive.raw/RTDC4066/ "%USERPROFILE%\AppData\Local\Temp\OnboardLogs"\RTDC4066\2017-11-30 --exclude "*" --recursive --include "*20171130*" &amp; "%USERPROFILE%\Documents\GitHub\mrs-test-scripts\Headless Mode &amp; Sideloading\WalkAndUnGZ.bat" "%USERPROFILE%\AppData\Local\Temp\OnboardLogs"\RTDC4066\2017-11-30</v>
      </c>
      <c r="AF212" s="235" t="str">
        <f t="shared" si="169"/>
        <v>"C:\Program Files (x86)\AstroGrep\AstroGrep.exe" /e /r /s /spath="%USERPROFILE%\AppData\Local\Temp\OnboardLogs" /stypes="app*4066*20171130*" /stext=" 01:.+((SYSTEM_STATE.+slice.+state.+changed )|(ment ac)|(multiple cpu faults)|(system.+state.+changed )|(\[timeout)|(PRM\|1\|D)|(kpr)|(kdp)|(train st.+moving)|(\|lc)|(penalty))"</v>
      </c>
      <c r="AG212" s="245" t="str">
        <f t="shared" si="162"/>
        <v>Other</v>
      </c>
      <c r="AH212" s="237" t="str">
        <f t="shared" si="121"/>
        <v>"%USERPROFILE%\Documents\GitHub\eaglep3\Utilities\RefineRTDCRunTimes.py" --tripid 301-29 --locoid 4066 --swversion DE.1.0.9.0 --startMP 204:591 --initTime 2017-11-29T18:40:09 --startdatetime 2017-11-29T18:41:51 --delay 50 --endMP 300:23302 --enddatetime 2017-11-29T18:50:53 --enforcementcount 0 &gt;&gt;%USERPROFILE%\Documents\GitHub\eaglep3-reporting\EC\2017-11-29-refined-times.txt</v>
      </c>
      <c r="AI212" s="239" t="str">
        <f t="shared" si="122"/>
        <v>echo {"issue":{"subject":"","project_id":79,"tracker_id":40,"status_id":1,"priority_id":2,"assigned_to_id":338,"start_date":"2017-11-29","description":"","custom_fields":[{"id":1,"name":"Subdivision","value":"Other"},{"id":4,"name":"Milepost","value":"2.3302"},{"id":17,"name":"Train ID","value":"301-29"},{"id":16,"name":"Locomotive ID","value":"4066"},{"id":130,"name":"Impact","value":""},{"id":150,"name":"Time of Event (Mountain Time)","value":"18:50:53"},{"id":151,"name":"Denver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4"/>
      <c r="AK212" s="232"/>
      <c r="AL212" s="232"/>
      <c r="AM212" s="241" t="str">
        <f t="shared" si="123"/>
        <v>start /low /b %USERPROFILE%\Documents\GitHub\eaglep3\Utilities\DownloadLogsFromS3.py --loco 4066 --day 2017-11-29</v>
      </c>
      <c r="AN212" s="242" t="str">
        <f t="shared" si="124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01:50:53"},{"id":29,"name":"Sharepoint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1" t="str">
        <f t="shared" si="125"/>
        <v>https://d0f6bd738d7f1b3e5a7ca70fe4ff75f0.us-east-1.aws.found.io/app/kibana#/discover/Steve-Slow-Train-Analysis-(2080s-and-2083s)?_g=(refreshInterval:(display:Off,pause:!f,section:0,value:0),time:(from:'2017-11-29T17:40:09-0700',mode:absolute,to:'2017-11-29T19:50:53-0700'))&amp;_a=(columns:!('Message%20ID',Summary),filters:!(),index:'emp_*',interval:auto,query:(query_string:(analyze_wildcard:!t,query:'%22rtdc.l.rtdc.4066%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24" customFormat="1" x14ac:dyDescent="0.25">
      <c r="A213" s="230" t="s">
        <v>658</v>
      </c>
      <c r="B213" s="226">
        <v>4025</v>
      </c>
      <c r="C213" s="228" t="s">
        <v>192</v>
      </c>
      <c r="D213" s="228" t="s">
        <v>978</v>
      </c>
      <c r="E213" s="227">
        <v>43068.136087962965</v>
      </c>
      <c r="F213" s="227">
        <v>43068.140636574077</v>
      </c>
      <c r="G213" s="226">
        <v>69</v>
      </c>
      <c r="H213" s="228" t="s">
        <v>979</v>
      </c>
      <c r="I213" s="227">
        <v>43068.146782407406</v>
      </c>
      <c r="J213" s="226">
        <v>0</v>
      </c>
      <c r="K213" s="238" t="str">
        <f t="shared" si="156"/>
        <v>4025/4026</v>
      </c>
      <c r="L213" s="246" t="str">
        <f>VLOOKUP(A213,'Trips&amp;Operators'!$C$1:$G$99911,5,FALSE)</f>
        <v>THOMPSON LESTER</v>
      </c>
      <c r="M213" s="225">
        <f t="shared" si="157"/>
        <v>6.1458333293558098E-3</v>
      </c>
      <c r="N213" s="226">
        <f t="shared" si="163"/>
        <v>8.8499999942723662</v>
      </c>
      <c r="O213" s="226"/>
      <c r="P213" s="226"/>
      <c r="Q213" s="229"/>
      <c r="R213" s="243"/>
      <c r="S213" s="250">
        <f t="shared" si="158"/>
        <v>0</v>
      </c>
      <c r="T213" s="243" t="str">
        <f t="shared" si="159"/>
        <v>Southbound</v>
      </c>
      <c r="U213" s="24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249" t="str">
        <f t="shared" si="167"/>
        <v>https://d0f6bd738d7f1b3e5a7ca70fe4ff75f0.us-east-1.aws.found.io/app/kibana#/discover/Steve-Slow-Train-Analysis-(2080s-and-2083s)?_g=(refreshInterval:(display:Off,pause:!f,section:0,value:0),time:(from:'2017-11-29T02:15:58-0700',mode:absolute,to:'2017-11-29T04:31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3" s="248" t="str">
        <f>IF(AA213&lt;VLOOKUP(AG213,Variables!$AC$3:$AD$8,2,FALSE),"Y","N")</f>
        <v>Y</v>
      </c>
      <c r="X213" s="248">
        <f t="shared" si="164"/>
        <v>1</v>
      </c>
      <c r="Y213" s="248">
        <f t="shared" si="165"/>
        <v>2.5775999999999999</v>
      </c>
      <c r="Z213" s="248">
        <f t="shared" si="166"/>
        <v>2.5779000000000001</v>
      </c>
      <c r="AA213" s="248">
        <f t="shared" si="160"/>
        <v>3.00000000000189E-4</v>
      </c>
      <c r="AB213" s="234" t="e">
        <f>VLOOKUP(A213,Enforcements!$C$7:$K$9,8,0)</f>
        <v>#N/A</v>
      </c>
      <c r="AC213" s="233" t="e">
        <f>VLOOKUP(A213,Enforcements!$C$7:$E$9,3,0)</f>
        <v>#N/A</v>
      </c>
      <c r="AD213" s="244">
        <f t="shared" si="161"/>
        <v>302</v>
      </c>
      <c r="AE213" s="236" t="str">
        <f t="shared" si="168"/>
        <v>aws s3 cp s3://rtdc.mdm.uploadarchive.raw/RTDC4025/ "%USERPROFILE%\AppData\Local\Temp\OnboardLogs"\RTDC4025\2017-11-29 --exclude "*" --recursive --include "*20171129*" &amp; "%USERPROFILE%\Documents\GitHub\mrs-test-scripts\Headless Mode &amp; Sideloading\WalkAndUnGZ.bat" "%USERPROFILE%\AppData\Local\Temp\OnboardLogs"\RTDC4025\2017-11-29 &amp; aws s3 cp s3://rtdc.mdm.uploadarchive.raw/RTDC4025/ "%USERPROFILE%\AppData\Local\Temp\OnboardLogs"\RTDC4025\2017-11-30 --exclude "*" --recursive --include "*20171130*" &amp; "%USERPROFILE%\Documents\GitHub\mrs-test-scripts\Headless Mode &amp; Sideloading\WalkAndUnGZ.bat" "%USERPROFILE%\AppData\Local\Temp\OnboardLogs"\RTDC4025\2017-11-30</v>
      </c>
      <c r="AF213" s="235" t="str">
        <f t="shared" si="169"/>
        <v>"C:\Program Files (x86)\AstroGrep\AstroGrep.exe" /e /r /s /spath="%USERPROFILE%\AppData\Local\Temp\OnboardLogs" /stypes="app*4025*20171129*" /stext=" 10:.+((SYSTEM_STATE.+slice.+state.+changed )|(ment ac)|(multiple cpu faults)|(system.+state.+changed )|(\[timeout)|(PRM\|1\|D)|(kpr)|(kdp)|(train st.+moving)|(\|lc)|(penalty))"</v>
      </c>
      <c r="AG213" s="245" t="str">
        <f t="shared" si="162"/>
        <v>Other</v>
      </c>
      <c r="AH213" s="237" t="str">
        <f t="shared" si="121"/>
        <v>"%USERPROFILE%\Documents\GitHub\eaglep3\Utilities\RefineRTDCRunTimes.py" --tripid 302-29 --locoid 4025 --swversion DE.1.0.9.0 --startMP 300:25776 --initTime 2017-11-29T03:15:58 --startdatetime 2017-11-29T03:22:31 --delay 69 --endMP 300:25779 --enddatetime 2017-11-29T03:31:22 --enforcementcount 0 &gt;&gt;%USERPROFILE%\Documents\GitHub\eaglep3-reporting\EC\2017-11-29-refined-times.txt</v>
      </c>
      <c r="AI213" s="239" t="str">
        <f t="shared" si="122"/>
        <v>echo {"issue":{"subject":"","project_id":79,"tracker_id":40,"status_id":1,"priority_id":2,"assigned_to_id":338,"start_date":"2017-11-29","description":"","custom_fields":[{"id":1,"name":"Subdivision","value":"Other"},{"id":4,"name":"Milepost","value":"2.5779"},{"id":17,"name":"Train ID","value":"302-29"},{"id":16,"name":"Locomotive ID","value":"4025"},{"id":130,"name":"Impact","value":""},{"id":150,"name":"Time of Event (Mountain Time)","value":"03:31:22"},{"id":151,"name":"Denver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232"/>
      <c r="AL213" s="232"/>
      <c r="AM213" s="241" t="str">
        <f t="shared" si="123"/>
        <v>start /low /b %USERPROFILE%\Documents\GitHub\eaglep3\Utilities\DownloadLogsFromS3.py --loco 4025 --day 2017-11-29</v>
      </c>
      <c r="AN213" s="242" t="str">
        <f t="shared" si="124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10:31:22"},{"id":29,"name":"Sharepoint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1" t="str">
        <f t="shared" si="125"/>
        <v>https://d0f6bd738d7f1b3e5a7ca70fe4ff75f0.us-east-1.aws.found.io/app/kibana#/discover/Steve-Slow-Train-Analysis-(2080s-and-2083s)?_g=(refreshInterval:(display:Off,pause:!f,section:0,value:0),time:(from:'2017-11-29T02:15:58-0700',mode:absolute,to:'2017-11-29T04:31:22-0700'))&amp;_a=(columns:!('Message%20ID',Summary),filters:!(),index:'emp_*',interval:auto,query:(query_string:(analyze_wildcard:!t,query:'%22rtdc.l.rtdc.4025%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230" t="s">
        <v>658</v>
      </c>
      <c r="B214" s="226">
        <v>4025</v>
      </c>
      <c r="C214" s="228" t="s">
        <v>192</v>
      </c>
      <c r="D214" s="228" t="s">
        <v>980</v>
      </c>
      <c r="E214" s="227">
        <v>43068.137476851851</v>
      </c>
      <c r="F214" s="227">
        <v>43068.140636574077</v>
      </c>
      <c r="G214" s="226">
        <v>60</v>
      </c>
      <c r="H214" s="228" t="s">
        <v>981</v>
      </c>
      <c r="I214" s="227">
        <v>43068.146782407406</v>
      </c>
      <c r="J214" s="226">
        <v>0</v>
      </c>
      <c r="K214" s="238" t="str">
        <f t="shared" ref="K214:K245" si="170">IF(ISEVEN(B214),(B214-1)&amp;"/"&amp;B214,B214&amp;"/"&amp;(B214+1))</f>
        <v>4025/4026</v>
      </c>
      <c r="L214" s="246" t="str">
        <f>VLOOKUP(A214,'Trips&amp;Operators'!$C$1:$G$99911,5,FALSE)</f>
        <v>THOMPSON LESTER</v>
      </c>
      <c r="M214" s="225">
        <f t="shared" ref="M214:M245" si="171">I214-F214</f>
        <v>6.1458333293558098E-3</v>
      </c>
      <c r="N214" s="226">
        <f t="shared" si="163"/>
        <v>8.8499999942723662</v>
      </c>
      <c r="O214" s="226"/>
      <c r="P214" s="226"/>
      <c r="Q214" s="229"/>
      <c r="R214" s="243"/>
      <c r="S214" s="250">
        <f t="shared" ref="S214:S245" si="172">1/IF(AG214="EC",12,1)*SUM(U214:U214)</f>
        <v>1</v>
      </c>
      <c r="T214" s="243" t="str">
        <f t="shared" ref="T214:T245" si="173">IF(ISEVEN(LEFT(AD214,4)),"Southbound","NorthBound")</f>
        <v>Southbound</v>
      </c>
      <c r="U214" s="24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49" t="str">
        <f t="shared" si="167"/>
        <v>https://d0f6bd738d7f1b3e5a7ca70fe4ff75f0.us-east-1.aws.found.io/app/kibana#/discover/Steve-Slow-Train-Analysis-(2080s-and-2083s)?_g=(refreshInterval:(display:Off,pause:!f,section:0,value:0),time:(from:'2017-11-29T02:17:58-0700',mode:absolute,to:'2017-11-29T04:31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4" s="248" t="str">
        <f>IF(AA214&lt;VLOOKUP(AG214,Variables!$AC$3:$AD$8,2,FALSE),"Y","N")</f>
        <v>Y</v>
      </c>
      <c r="X214" s="248">
        <f t="shared" si="164"/>
        <v>0</v>
      </c>
      <c r="Y214" s="248">
        <f t="shared" si="165"/>
        <v>2.3597000000000001</v>
      </c>
      <c r="Z214" s="248">
        <f t="shared" si="166"/>
        <v>1.8100000000000002E-2</v>
      </c>
      <c r="AA214" s="248">
        <f t="shared" ref="AA214:AA245" si="174">ABS(Z214-Y214)</f>
        <v>2.3416000000000001</v>
      </c>
      <c r="AB214" s="234" t="e">
        <f>VLOOKUP(A214,Enforcements!$C$7:$K$9,8,0)</f>
        <v>#N/A</v>
      </c>
      <c r="AC214" s="233" t="e">
        <f>VLOOKUP(A214,Enforcements!$C$7:$E$9,3,0)</f>
        <v>#N/A</v>
      </c>
      <c r="AD214" s="244">
        <f t="shared" ref="AD214:AD245" si="175">VALUE(LEFT(A214,LEN(A214)-3))</f>
        <v>302</v>
      </c>
      <c r="AE214" s="236" t="str">
        <f t="shared" si="168"/>
        <v>aws s3 cp s3://rtdc.mdm.uploadarchive.raw/RTDC4025/ "%USERPROFILE%\AppData\Local\Temp\OnboardLogs"\RTDC4025\2017-11-29 --exclude "*" --recursive --include "*20171129*" &amp; "%USERPROFILE%\Documents\GitHub\mrs-test-scripts\Headless Mode &amp; Sideloading\WalkAndUnGZ.bat" "%USERPROFILE%\AppData\Local\Temp\OnboardLogs"\RTDC4025\2017-11-29 &amp; aws s3 cp s3://rtdc.mdm.uploadarchive.raw/RTDC4025/ "%USERPROFILE%\AppData\Local\Temp\OnboardLogs"\RTDC4025\2017-11-30 --exclude "*" --recursive --include "*20171130*" &amp; "%USERPROFILE%\Documents\GitHub\mrs-test-scripts\Headless Mode &amp; Sideloading\WalkAndUnGZ.bat" "%USERPROFILE%\AppData\Local\Temp\OnboardLogs"\RTDC4025\2017-11-30</v>
      </c>
      <c r="AF214" s="235" t="str">
        <f t="shared" si="169"/>
        <v>"C:\Program Files (x86)\AstroGrep\AstroGrep.exe" /e /r /s /spath="%USERPROFILE%\AppData\Local\Temp\OnboardLogs" /stypes="app*4025*20171129*" /stext=" 10:.+((SYSTEM_STATE.+slice.+state.+changed )|(ment ac)|(multiple cpu faults)|(system.+state.+changed )|(\[timeout)|(PRM\|1\|D)|(kpr)|(kdp)|(train st.+moving)|(\|lc)|(penalty))"</v>
      </c>
      <c r="AG214" s="245" t="str">
        <f t="shared" ref="AG214:AG245" si="176">DetSubdiv(A214)</f>
        <v>Other</v>
      </c>
      <c r="AH214" s="237" t="str">
        <f t="shared" si="121"/>
        <v>"%USERPROFILE%\Documents\GitHub\eaglep3\Utilities\RefineRTDCRunTimes.py" --tripid 302-29 --locoid 4025 --swversion DE.1.0.9.0 --startMP 300:23597 --initTime 2017-11-29T03:17:58 --startdatetime 2017-11-29T03:22:31 --delay 60 --endMP 204:181 --enddatetime 2017-11-29T03:31:22 --enforcementcount 0 &gt;&gt;%USERPROFILE%\Documents\GitHub\eaglep3-reporting\EC\2017-11-29-refined-times.txt</v>
      </c>
      <c r="AI214" s="239" t="str">
        <f t="shared" si="122"/>
        <v>echo {"issue":{"subject":"","project_id":79,"tracker_id":40,"status_id":1,"priority_id":2,"assigned_to_id":338,"start_date":"2017-11-29","description":"","custom_fields":[{"id":1,"name":"Subdivision","value":"Other"},{"id":4,"name":"Milepost","value":"0.0181"},{"id":17,"name":"Train ID","value":"302-29"},{"id":16,"name":"Locomotive ID","value":"4025"},{"id":130,"name":"Impact","value":""},{"id":150,"name":"Time of Event (Mountain Time)","value":"03:31:22"},{"id":151,"name":"Denver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4" s="224"/>
      <c r="AK214" s="232"/>
      <c r="AL214" s="232"/>
      <c r="AM214" s="241" t="str">
        <f t="shared" si="123"/>
        <v>start /low /b %USERPROFILE%\Documents\GitHub\eaglep3\Utilities\DownloadLogsFromS3.py --loco 4025 --day 2017-11-29</v>
      </c>
      <c r="AN214" s="242" t="str">
        <f t="shared" si="124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10:31:22"},{"id":29,"name":"Sharepoint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1" t="str">
        <f t="shared" si="125"/>
        <v>https://d0f6bd738d7f1b3e5a7ca70fe4ff75f0.us-east-1.aws.found.io/app/kibana#/discover/Steve-Slow-Train-Analysis-(2080s-and-2083s)?_g=(refreshInterval:(display:Off,pause:!f,section:0,value:0),time:(from:'2017-11-29T02:17:58-0700',mode:absolute,to:'2017-11-29T04:31:22-0700'))&amp;_a=(columns:!('Message%20ID',Summary),filters:!(),index:'emp_*',interval:auto,query:(query_string:(analyze_wildcard:!t,query:'%22rtdc.l.rtdc.4025%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230" t="s">
        <v>842</v>
      </c>
      <c r="B215" s="226">
        <v>4044</v>
      </c>
      <c r="C215" s="228" t="s">
        <v>192</v>
      </c>
      <c r="D215" s="228" t="s">
        <v>511</v>
      </c>
      <c r="E215" s="227">
        <v>43068.798009259262</v>
      </c>
      <c r="F215" s="227">
        <v>43068.803981481484</v>
      </c>
      <c r="G215" s="226">
        <v>74</v>
      </c>
      <c r="H215" s="228" t="s">
        <v>469</v>
      </c>
      <c r="I215" s="227">
        <v>43068.810659722221</v>
      </c>
      <c r="J215" s="226">
        <v>0</v>
      </c>
      <c r="K215" s="238" t="str">
        <f t="shared" si="170"/>
        <v>4043/4044</v>
      </c>
      <c r="L215" s="246" t="str">
        <f>VLOOKUP(A215,'Trips&amp;Operators'!$C$1:$G$99911,5,FALSE)</f>
        <v>BERLING GARY</v>
      </c>
      <c r="M215" s="225">
        <f t="shared" si="171"/>
        <v>6.6782407375285402E-3</v>
      </c>
      <c r="N215" s="226">
        <f t="shared" si="163"/>
        <v>9.6166666620410979</v>
      </c>
      <c r="O215" s="226"/>
      <c r="P215" s="226"/>
      <c r="Q215" s="229"/>
      <c r="R215" s="243"/>
      <c r="S215" s="250">
        <f t="shared" si="172"/>
        <v>1</v>
      </c>
      <c r="T215" s="243" t="str">
        <f t="shared" si="173"/>
        <v>NorthBound</v>
      </c>
      <c r="U215" s="24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49" t="str">
        <f t="shared" si="167"/>
        <v>https://d0f6bd738d7f1b3e5a7ca70fe4ff75f0.us-east-1.aws.found.io/app/kibana#/discover/Steve-Slow-Train-Analysis-(2080s-and-2083s)?_g=(refreshInterval:(display:Off,pause:!f,section:0,value:0),time:(from:'2017-11-29T18:09:08-0700',mode:absolute,to:'2017-11-29T20:27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5" s="248" t="str">
        <f>IF(AA215&lt;VLOOKUP(AG215,Variables!$AC$3:$AD$8,2,FALSE),"Y","N")</f>
        <v>Y</v>
      </c>
      <c r="X215" s="248">
        <f t="shared" si="164"/>
        <v>1</v>
      </c>
      <c r="Y215" s="248">
        <f t="shared" si="165"/>
        <v>5.3699999999999998E-2</v>
      </c>
      <c r="Z215" s="248">
        <f t="shared" si="166"/>
        <v>2.3346</v>
      </c>
      <c r="AA215" s="248">
        <f t="shared" si="174"/>
        <v>2.2808999999999999</v>
      </c>
      <c r="AB215" s="234" t="e">
        <f>VLOOKUP(A215,Enforcements!$C$7:$K$9,8,0)</f>
        <v>#N/A</v>
      </c>
      <c r="AC215" s="233" t="e">
        <f>VLOOKUP(A215,Enforcements!$C$7:$E$9,3,0)</f>
        <v>#N/A</v>
      </c>
      <c r="AD215" s="244">
        <f t="shared" si="175"/>
        <v>303</v>
      </c>
      <c r="AE215" s="236" t="str">
        <f t="shared" si="168"/>
        <v>aws s3 cp s3://rtdc.mdm.uploadarchive.raw/RTDC4044/ "%USERPROFILE%\AppData\Local\Temp\OnboardLogs"\RTDC4044\2017-11-29 --exclude "*" --recursive --include "*20171129*" &amp; "%USERPROFILE%\Documents\GitHub\mrs-test-scripts\Headless Mode &amp; Sideloading\WalkAndUnGZ.bat" "%USERPROFILE%\AppData\Local\Temp\OnboardLogs"\RTDC4044\2017-11-29 &amp; aws s3 cp s3://rtdc.mdm.uploadarchive.raw/RTDC4044/ "%USERPROFILE%\AppData\Local\Temp\OnboardLogs"\RTDC4044\2017-11-30 --exclude "*" --recursive --include "*20171130*" &amp; "%USERPROFILE%\Documents\GitHub\mrs-test-scripts\Headless Mode &amp; Sideloading\WalkAndUnGZ.bat" "%USERPROFILE%\AppData\Local\Temp\OnboardLogs"\RTDC4044\2017-11-30</v>
      </c>
      <c r="AF215" s="235" t="str">
        <f t="shared" si="169"/>
        <v>"C:\Program Files (x86)\AstroGrep\AstroGrep.exe" /e /r /s /spath="%USERPROFILE%\AppData\Local\Temp\OnboardLogs" /stypes="app*4044*20171130*" /stext=" 02:.+((SYSTEM_STATE.+slice.+state.+changed )|(ment ac)|(multiple cpu faults)|(system.+state.+changed )|(\[timeout)|(PRM\|1\|D)|(kpr)|(kdp)|(train st.+moving)|(\|lc)|(penalty))"</v>
      </c>
      <c r="AG215" s="245" t="str">
        <f t="shared" si="176"/>
        <v>Other</v>
      </c>
      <c r="AH215" s="237" t="str">
        <f t="shared" ref="AH215:AH267" si="177">refinertdcruntimes&amp;" --tripid "&amp;A215&amp;" --locoid "&amp;B215&amp;" --swversion "&amp;C215&amp;" --startMP "&amp;D215&amp;" --initTime "&amp;TEXT(E215,"yyyy-mm-ddTHH:MM:SS")&amp;" --startdatetime "&amp;TEXT(F215,"yyyy-mm-ddTHH:MM:SS")&amp;" --delay "&amp;G215&amp;" --endMP "&amp;H215&amp;" --enddatetime "&amp;TEXT(I215,"yyyy-mm-ddTHH:MM:SS")&amp;" --enforcementcount "&amp;J215&amp;IF(outputrefinedruntimes," &gt;&gt;"&amp;RefinedRTDCRunTimesOutputFile,"")</f>
        <v>"%USERPROFILE%\Documents\GitHub\eaglep3\Utilities\RefineRTDCRunTimes.py" --tripid 303-29 --locoid 4044 --swversion DE.1.0.9.0 --startMP 204:537 --initTime 2017-11-29T19:09:08 --startdatetime 2017-11-29T19:17:44 --delay 74 --endMP 300:23346 --enddatetime 2017-11-29T19:27:21 --enforcementcount 0 &gt;&gt;%USERPROFILE%\Documents\GitHub\eaglep3-reporting\EC\2017-11-29-refined-times.txt</v>
      </c>
      <c r="AI215" s="239" t="str">
        <f t="shared" ref="AI215:AI267" si="178">"echo {""issue"":{""subject"":"""&amp;R215&amp;""",""project_id"":79,""tracker_id"":40,""status_id"":"&amp;redmine_status&amp;",""priority_id"":"&amp;redmine_priority&amp;",""assigned_to_id"":"&amp;redmine_assignee&amp;",""start_date"":"""&amp;TEXT(I215,"YYYY-mm-dd")&amp;""",""description"":"""&amp;AJ215&amp;""",""custom_fields"":[{""id"":1,""name"":""Subdivision"",""value"":"""&amp;AG215&amp;"""},{""id"":4,""name"":""Milepost"",""value"":"""&amp;Z215&amp;"""},{""id"":17,""name"":""Train ID"",""value"":"""&amp;A215&amp;"""},{""id"":16,""name"":""Locomotive ID"",""value"":"""&amp;B215&amp;"""},{""id"":130,""name"":""Impact"",""value"":"""&amp;AK215&amp;"""},{""id"":150,""name"":""Time of Event (Mountain Time)"",""value"":"""&amp;TEXT(I215,"hh:mm:ss")&amp;"""},{""id"":151,""name"":""Denver Issue ID"",""value"":"""&amp;"""},{""id"":178,""name"":""Operational Impact"",""value"":"""&amp;redmine_op_impact&amp;"""},{""id"":179,""name"":""Denver Segment Assigned"",""value"":"""&amp;AL215&amp;"""}]}}"&amp;"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{"issue":{"subject":"","project_id":79,"tracker_id":40,"status_id":1,"priority_id":2,"assigned_to_id":338,"start_date":"2017-11-29","description":"","custom_fields":[{"id":1,"name":"Subdivision","value":"Other"},{"id":4,"name":"Milepost","value":"2.3346"},{"id":17,"name":"Train ID","value":"303-29"},{"id":16,"name":"Locomotive ID","value":"4044"},{"id":130,"name":"Impact","value":""},{"id":150,"name":"Time of Event (Mountain Time)","value":"19:27:21"},{"id":151,"name":"Denver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4"/>
      <c r="AK215" s="232"/>
      <c r="AL215" s="232"/>
      <c r="AM215" s="241" t="str">
        <f t="shared" ref="AM215:AM267" si="179">"start /low /b "&amp;dls3logs&amp;" --loco "&amp;B215&amp;" --day "&amp;TEXT(F215,"YYYY-MM-DD")</f>
        <v>start /low /b %USERPROFILE%\Documents\GitHub\eaglep3\Utilities\DownloadLogsFromS3.py --loco 4044 --day 2017-11-29</v>
      </c>
      <c r="AN215" s="242" t="str">
        <f t="shared" ref="AN215:AN267" si="180">"echo {""issue"":{""subject"":"""&amp;R215&amp;""",""project_id"":30,""tracker_id"":4,""status_id"":"&amp;redmine_status_wcr&amp;",""priority_id"":"&amp;redmine_priority_wcr&amp;",""assigned_to_id"":"&amp;redmine_assignee_wcr&amp;",""start_date"":"""&amp;TEXT(I215-utc_offset/24,"YYYY-mm-dd")&amp;""",""description"":"""&amp;AJ215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02:27:21"},{"id":29,"name":"Sharepoint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1" t="str">
        <f t="shared" ref="AO215:AO267" si="181"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Message%20ID',Summary),filters:!(),index:'emp_*',interval:auto,query:"&amp;"(query_string:(analyze_wildcard:!t,query:'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-11-29T18:09:08-0700',mode:absolute,to:'2017-11-29T20:27:21-0700'))&amp;_a=(columns:!('Message%20ID',Summary),filters:!(),index:'emp_*',interval:auto,query:(query_string:(analyze_wildcard:!t,query:'%22rtdc.l.rtdc.4044%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230" t="s">
        <v>660</v>
      </c>
      <c r="B216" s="226">
        <v>4001</v>
      </c>
      <c r="C216" s="228" t="s">
        <v>192</v>
      </c>
      <c r="D216" s="228" t="s">
        <v>982</v>
      </c>
      <c r="E216" s="227">
        <v>43068.156053240738</v>
      </c>
      <c r="F216" s="227">
        <v>43068.159444444442</v>
      </c>
      <c r="G216" s="226">
        <v>85</v>
      </c>
      <c r="H216" s="228" t="s">
        <v>566</v>
      </c>
      <c r="I216" s="227">
        <v>43068.163449074076</v>
      </c>
      <c r="J216" s="226">
        <v>0</v>
      </c>
      <c r="K216" s="238" t="str">
        <f t="shared" si="170"/>
        <v>4001/4002</v>
      </c>
      <c r="L216" s="246" t="str">
        <f>VLOOKUP(A216,'Trips&amp;Operators'!$C$1:$G$99911,5,FALSE)</f>
        <v>YORK EDGAR</v>
      </c>
      <c r="M216" s="225">
        <f t="shared" si="171"/>
        <v>4.0046296344371513E-3</v>
      </c>
      <c r="N216" s="226">
        <f t="shared" si="163"/>
        <v>5.7666666735894978</v>
      </c>
      <c r="O216" s="226"/>
      <c r="P216" s="226"/>
      <c r="Q216" s="229"/>
      <c r="R216" s="243"/>
      <c r="S216" s="250">
        <f t="shared" si="172"/>
        <v>1</v>
      </c>
      <c r="T216" s="243" t="str">
        <f t="shared" si="173"/>
        <v>Southbound</v>
      </c>
      <c r="U216" s="24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9" t="str">
        <f t="shared" si="167"/>
        <v>https://d0f6bd738d7f1b3e5a7ca70fe4ff75f0.us-east-1.aws.found.io/app/kibana#/discover/Steve-Slow-Train-Analysis-(2080s-and-2083s)?_g=(refreshInterval:(display:Off,pause:!f,section:0,value:0),time:(from:'2017-11-29T02:44:43-0700',mode:absolute,to:'2017-11-29T04:55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6" s="248" t="str">
        <f>IF(AA216&lt;VLOOKUP(AG216,Variables!$AC$3:$AD$8,2,FALSE),"Y","N")</f>
        <v>Y</v>
      </c>
      <c r="X216" s="248">
        <f t="shared" si="164"/>
        <v>1</v>
      </c>
      <c r="Y216" s="248">
        <f t="shared" si="165"/>
        <v>1.9797</v>
      </c>
      <c r="Z216" s="248">
        <f t="shared" si="166"/>
        <v>1.5800000000000002E-2</v>
      </c>
      <c r="AA216" s="248">
        <f t="shared" si="174"/>
        <v>1.9639</v>
      </c>
      <c r="AB216" s="234" t="e">
        <f>VLOOKUP(A216,Enforcements!$C$7:$K$9,8,0)</f>
        <v>#N/A</v>
      </c>
      <c r="AC216" s="233" t="e">
        <f>VLOOKUP(A216,Enforcements!$C$7:$E$9,3,0)</f>
        <v>#N/A</v>
      </c>
      <c r="AD216" s="244">
        <f t="shared" si="175"/>
        <v>304</v>
      </c>
      <c r="AE216" s="236" t="str">
        <f t="shared" si="168"/>
        <v>aws s3 cp s3://rtdc.mdm.uploadarchive.raw/RTDC4001/ "%USERPROFILE%\AppData\Local\Temp\OnboardLogs"\RTDC4001\2017-11-29 --exclude "*" --recursive --include "*20171129*" &amp; "%USERPROFILE%\Documents\GitHub\mrs-test-scripts\Headless Mode &amp; Sideloading\WalkAndUnGZ.bat" "%USERPROFILE%\AppData\Local\Temp\OnboardLogs"\RTDC4001\2017-11-29 &amp; aws s3 cp s3://rtdc.mdm.uploadarchive.raw/RTDC4001/ "%USERPROFILE%\AppData\Local\Temp\OnboardLogs"\RTDC4001\2017-11-30 --exclude "*" --recursive --include "*20171130*" &amp; "%USERPROFILE%\Documents\GitHub\mrs-test-scripts\Headless Mode &amp; Sideloading\WalkAndUnGZ.bat" "%USERPROFILE%\AppData\Local\Temp\OnboardLogs"\RTDC4001\2017-11-30</v>
      </c>
      <c r="AF216" s="235" t="str">
        <f t="shared" si="169"/>
        <v>"C:\Program Files (x86)\AstroGrep\AstroGrep.exe" /e /r /s /spath="%USERPROFILE%\AppData\Local\Temp\OnboardLogs" /stypes="app*4001*20171129*" /stext=" 10:.+((SYSTEM_STATE.+slice.+state.+changed )|(ment ac)|(multiple cpu faults)|(system.+state.+changed )|(\[timeout)|(PRM\|1\|D)|(kpr)|(kdp)|(train st.+moving)|(\|lc)|(penalty))"</v>
      </c>
      <c r="AG216" s="245" t="str">
        <f t="shared" si="176"/>
        <v>Other</v>
      </c>
      <c r="AH216" s="237" t="str">
        <f t="shared" si="177"/>
        <v>"%USERPROFILE%\Documents\GitHub\eaglep3\Utilities\RefineRTDCRunTimes.py" --tripid 304-29 --locoid 4001 --swversion DE.1.0.9.0 --startMP 300:19797 --initTime 2017-11-29T03:44:43 --startdatetime 2017-11-29T03:49:36 --delay 85 --endMP 204:158 --enddatetime 2017-11-29T03:55:22 --enforcementcount 0 &gt;&gt;%USERPROFILE%\Documents\GitHub\eaglep3-reporting\EC\2017-11-29-refined-times.txt</v>
      </c>
      <c r="AI216" s="239" t="str">
        <f t="shared" si="178"/>
        <v>echo {"issue":{"subject":"","project_id":79,"tracker_id":40,"status_id":1,"priority_id":2,"assigned_to_id":338,"start_date":"2017-11-29","description":"","custom_fields":[{"id":1,"name":"Subdivision","value":"Other"},{"id":4,"name":"Milepost","value":"0.0158"},{"id":17,"name":"Train ID","value":"304-29"},{"id":16,"name":"Locomotive ID","value":"4001"},{"id":130,"name":"Impact","value":""},{"id":150,"name":"Time of Event (Mountain Time)","value":"03:55:22"},{"id":151,"name":"Denver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4"/>
      <c r="AK216" s="232"/>
      <c r="AL216" s="232"/>
      <c r="AM216" s="241" t="str">
        <f t="shared" si="179"/>
        <v>start /low /b %USERPROFILE%\Documents\GitHub\eaglep3\Utilities\DownloadLogsFromS3.py --loco 4001 --day 2017-11-29</v>
      </c>
      <c r="AN216" s="242" t="str">
        <f t="shared" si="180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10:55:22"},{"id":29,"name":"Sharepoint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1" t="str">
        <f t="shared" si="181"/>
        <v>https://d0f6bd738d7f1b3e5a7ca70fe4ff75f0.us-east-1.aws.found.io/app/kibana#/discover/Steve-Slow-Train-Analysis-(2080s-and-2083s)?_g=(refreshInterval:(display:Off,pause:!f,section:0,value:0),time:(from:'2017-11-29T02:44:43-0700',mode:absolute,to:'2017-11-29T04:55:22-0700'))&amp;_a=(columns:!('Message%20ID',Summary),filters:!(),index:'emp_*',interval:auto,query:(query_string:(analyze_wildcard:!t,query:'%22rtdc.l.rtdc.4001%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230" t="s">
        <v>650</v>
      </c>
      <c r="B217" s="226">
        <v>4020</v>
      </c>
      <c r="C217" s="228" t="s">
        <v>192</v>
      </c>
      <c r="D217" s="228" t="s">
        <v>420</v>
      </c>
      <c r="E217" s="227">
        <v>43068.817407407405</v>
      </c>
      <c r="F217" s="227">
        <v>43068.819131944445</v>
      </c>
      <c r="G217" s="226">
        <v>72</v>
      </c>
      <c r="H217" s="228" t="s">
        <v>983</v>
      </c>
      <c r="I217" s="227">
        <v>43068.826226851852</v>
      </c>
      <c r="J217" s="226">
        <v>0</v>
      </c>
      <c r="K217" s="238" t="str">
        <f t="shared" si="170"/>
        <v>4019/4020</v>
      </c>
      <c r="L217" s="246" t="str">
        <f>VLOOKUP(A217,'Trips&amp;Operators'!$C$1:$G$99911,5,FALSE)</f>
        <v>HOLCOMB KAMDEN</v>
      </c>
      <c r="M217" s="225">
        <f t="shared" si="171"/>
        <v>7.0949074070085771E-3</v>
      </c>
      <c r="N217" s="226">
        <f t="shared" si="163"/>
        <v>10.216666666092351</v>
      </c>
      <c r="O217" s="226"/>
      <c r="P217" s="226"/>
      <c r="Q217" s="229"/>
      <c r="R217" s="243"/>
      <c r="S217" s="250">
        <f t="shared" si="172"/>
        <v>1</v>
      </c>
      <c r="T217" s="243" t="str">
        <f t="shared" si="173"/>
        <v>NorthBound</v>
      </c>
      <c r="U217" s="24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9" t="str">
        <f t="shared" si="167"/>
        <v>https://d0f6bd738d7f1b3e5a7ca70fe4ff75f0.us-east-1.aws.found.io/app/kibana#/discover/Steve-Slow-Train-Analysis-(2080s-and-2083s)?_g=(refreshInterval:(display:Off,pause:!f,section:0,value:0),time:(from:'2017-11-29T18:37:04-0700',mode:absolute,to:'2017-11-29T20:49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7" s="248" t="str">
        <f>IF(AA217&lt;VLOOKUP(AG217,Variables!$AC$3:$AD$8,2,FALSE),"Y","N")</f>
        <v>Y</v>
      </c>
      <c r="X217" s="248">
        <f t="shared" si="164"/>
        <v>1</v>
      </c>
      <c r="Y217" s="248">
        <f t="shared" si="165"/>
        <v>5.2400000000000002E-2</v>
      </c>
      <c r="Z217" s="248">
        <f t="shared" si="166"/>
        <v>2.3296999999999999</v>
      </c>
      <c r="AA217" s="248">
        <f t="shared" si="174"/>
        <v>2.2772999999999999</v>
      </c>
      <c r="AB217" s="234" t="e">
        <f>VLOOKUP(A217,Enforcements!$C$7:$K$9,8,0)</f>
        <v>#N/A</v>
      </c>
      <c r="AC217" s="233" t="e">
        <f>VLOOKUP(A217,Enforcements!$C$7:$E$9,3,0)</f>
        <v>#N/A</v>
      </c>
      <c r="AD217" s="244">
        <f t="shared" si="175"/>
        <v>305</v>
      </c>
      <c r="AE217" s="236" t="str">
        <f t="shared" si="168"/>
        <v>aws s3 cp s3://rtdc.mdm.uploadarchive.raw/RTDC4020/ "%USERPROFILE%\AppData\Local\Temp\OnboardLogs"\RTDC4020\2017-11-29 --exclude "*" --recursive --include "*20171129*" &amp; "%USERPROFILE%\Documents\GitHub\mrs-test-scripts\Headless Mode &amp; Sideloading\WalkAndUnGZ.bat" "%USERPROFILE%\AppData\Local\Temp\OnboardLogs"\RTDC4020\2017-11-29 &amp; aws s3 cp s3://rtdc.mdm.uploadarchive.raw/RTDC4020/ "%USERPROFILE%\AppData\Local\Temp\OnboardLogs"\RTDC4020\2017-11-30 --exclude "*" --recursive --include "*20171130*" &amp; "%USERPROFILE%\Documents\GitHub\mrs-test-scripts\Headless Mode &amp; Sideloading\WalkAndUnGZ.bat" "%USERPROFILE%\AppData\Local\Temp\OnboardLogs"\RTDC4020\2017-11-30</v>
      </c>
      <c r="AF217" s="235" t="str">
        <f t="shared" si="169"/>
        <v>"C:\Program Files (x86)\AstroGrep\AstroGrep.exe" /e /r /s /spath="%USERPROFILE%\AppData\Local\Temp\OnboardLogs" /stypes="app*4020*20171130*" /stext=" 02:.+((SYSTEM_STATE.+slice.+state.+changed )|(ment ac)|(multiple cpu faults)|(system.+state.+changed )|(\[timeout)|(PRM\|1\|D)|(kpr)|(kdp)|(train st.+moving)|(\|lc)|(penalty))"</v>
      </c>
      <c r="AG217" s="245" t="str">
        <f t="shared" si="176"/>
        <v>Other</v>
      </c>
      <c r="AH217" s="237" t="str">
        <f t="shared" si="177"/>
        <v>"%USERPROFILE%\Documents\GitHub\eaglep3\Utilities\RefineRTDCRunTimes.py" --tripid 305-29 --locoid 4020 --swversion DE.1.0.9.0 --startMP 204:524 --initTime 2017-11-29T19:37:04 --startdatetime 2017-11-29T19:39:33 --delay 72 --endMP 300:23297 --enddatetime 2017-11-29T19:49:46 --enforcementcount 0 &gt;&gt;%USERPROFILE%\Documents\GitHub\eaglep3-reporting\EC\2017-11-29-refined-times.txt</v>
      </c>
      <c r="AI217" s="239" t="str">
        <f t="shared" si="178"/>
        <v>echo {"issue":{"subject":"","project_id":79,"tracker_id":40,"status_id":1,"priority_id":2,"assigned_to_id":338,"start_date":"2017-11-29","description":"","custom_fields":[{"id":1,"name":"Subdivision","value":"Other"},{"id":4,"name":"Milepost","value":"2.3297"},{"id":17,"name":"Train ID","value":"305-29"},{"id":16,"name":"Locomotive ID","value":"4020"},{"id":130,"name":"Impact","value":""},{"id":150,"name":"Time of Event (Mountain Time)","value":"19:49:46"},{"id":151,"name":"Denver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224"/>
      <c r="AK217" s="232"/>
      <c r="AL217" s="232"/>
      <c r="AM217" s="241" t="str">
        <f t="shared" si="179"/>
        <v>start /low /b %USERPROFILE%\Documents\GitHub\eaglep3\Utilities\DownloadLogsFromS3.py --loco 4020 --day 2017-11-29</v>
      </c>
      <c r="AN217" s="242" t="str">
        <f t="shared" si="180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02:49:46"},{"id":29,"name":"Sharepoint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1" t="str">
        <f t="shared" si="181"/>
        <v>https://d0f6bd738d7f1b3e5a7ca70fe4ff75f0.us-east-1.aws.found.io/app/kibana#/discover/Steve-Slow-Train-Analysis-(2080s-and-2083s)?_g=(refreshInterval:(display:Off,pause:!f,section:0,value:0),time:(from:'2017-11-29T18:37:04-0700',mode:absolute,to:'2017-11-29T20:49:46-0700'))&amp;_a=(columns:!('Message%20ID',Summary),filters:!(),index:'emp_*',interval:auto,query:(query_string:(analyze_wildcard:!t,query:'%22rtdc.l.rtdc.4020%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230" t="s">
        <v>662</v>
      </c>
      <c r="B218" s="226">
        <v>4005</v>
      </c>
      <c r="C218" s="228" t="s">
        <v>192</v>
      </c>
      <c r="D218" s="228" t="s">
        <v>984</v>
      </c>
      <c r="E218" s="227">
        <v>43068.168240740742</v>
      </c>
      <c r="F218" s="227">
        <v>43068.172546296293</v>
      </c>
      <c r="G218" s="226">
        <v>125</v>
      </c>
      <c r="H218" s="228" t="s">
        <v>985</v>
      </c>
      <c r="I218" s="227">
        <v>43068.181041666663</v>
      </c>
      <c r="J218" s="226">
        <v>0</v>
      </c>
      <c r="K218" s="238" t="str">
        <f t="shared" si="170"/>
        <v>4005/4006</v>
      </c>
      <c r="L218" s="246" t="str">
        <f>VLOOKUP(A218,'Trips&amp;Operators'!$C$1:$G$99911,5,FALSE)</f>
        <v>DAVIDSON DAVID</v>
      </c>
      <c r="M218" s="225">
        <f t="shared" si="171"/>
        <v>8.4953703699284233E-3</v>
      </c>
      <c r="N218" s="226">
        <f t="shared" ref="N218:N249" si="182">24*60*SUM($M218:$M218)</f>
        <v>12.23333333269693</v>
      </c>
      <c r="O218" s="226"/>
      <c r="P218" s="226"/>
      <c r="Q218" s="229"/>
      <c r="R218" s="243"/>
      <c r="S218" s="250">
        <f t="shared" si="172"/>
        <v>1</v>
      </c>
      <c r="T218" s="243" t="str">
        <f t="shared" si="173"/>
        <v>Southbound</v>
      </c>
      <c r="U218" s="24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9" t="str">
        <f t="shared" si="167"/>
        <v>https://d0f6bd738d7f1b3e5a7ca70fe4ff75f0.us-east-1.aws.found.io/app/kibana#/discover/Steve-Slow-Train-Analysis-(2080s-and-2083s)?_g=(refreshInterval:(display:Off,pause:!f,section:0,value:0),time:(from:'2017-11-29T03:02:16-0700',mode:absolute,to:'2017-11-29T05:20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8" s="248" t="str">
        <f>IF(AA218&lt;VLOOKUP(AG218,Variables!$AC$3:$AD$8,2,FALSE),"Y","N")</f>
        <v>Y</v>
      </c>
      <c r="X218" s="248">
        <f t="shared" si="164"/>
        <v>1</v>
      </c>
      <c r="Y218" s="248">
        <f t="shared" si="165"/>
        <v>2.2997000000000001</v>
      </c>
      <c r="Z218" s="248">
        <f t="shared" si="166"/>
        <v>2.4500000000000001E-2</v>
      </c>
      <c r="AA218" s="248">
        <f t="shared" si="174"/>
        <v>2.2751999999999999</v>
      </c>
      <c r="AB218" s="234" t="e">
        <f>VLOOKUP(A218,Enforcements!$C$7:$K$9,8,0)</f>
        <v>#N/A</v>
      </c>
      <c r="AC218" s="233" t="e">
        <f>VLOOKUP(A218,Enforcements!$C$7:$E$9,3,0)</f>
        <v>#N/A</v>
      </c>
      <c r="AD218" s="244">
        <f t="shared" si="175"/>
        <v>306</v>
      </c>
      <c r="AE218" s="236" t="str">
        <f t="shared" si="168"/>
        <v>aws s3 cp s3://rtdc.mdm.uploadarchive.raw/RTDC4005/ "%USERPROFILE%\AppData\Local\Temp\OnboardLogs"\RTDC4005\2017-11-29 --exclude "*" --recursive --include "*20171129*" &amp; "%USERPROFILE%\Documents\GitHub\mrs-test-scripts\Headless Mode &amp; Sideloading\WalkAndUnGZ.bat" "%USERPROFILE%\AppData\Local\Temp\OnboardLogs"\RTDC4005\2017-11-29 &amp; aws s3 cp s3://rtdc.mdm.uploadarchive.raw/RTDC4005/ "%USERPROFILE%\AppData\Local\Temp\OnboardLogs"\RTDC4005\2017-11-30 --exclude "*" --recursive --include "*20171130*" &amp; "%USERPROFILE%\Documents\GitHub\mrs-test-scripts\Headless Mode &amp; Sideloading\WalkAndUnGZ.bat" "%USERPROFILE%\AppData\Local\Temp\OnboardLogs"\RTDC4005\2017-11-30</v>
      </c>
      <c r="AF218" s="235" t="str">
        <f t="shared" si="169"/>
        <v>"C:\Program Files (x86)\AstroGrep\AstroGrep.exe" /e /r /s /spath="%USERPROFILE%\AppData\Local\Temp\OnboardLogs" /stypes="app*4005*20171129*" /stext=" 11:.+((SYSTEM_STATE.+slice.+state.+changed )|(ment ac)|(multiple cpu faults)|(system.+state.+changed )|(\[timeout)|(PRM\|1\|D)|(kpr)|(kdp)|(train st.+moving)|(\|lc)|(penalty))"</v>
      </c>
      <c r="AG218" s="245" t="str">
        <f t="shared" si="176"/>
        <v>Other</v>
      </c>
      <c r="AH218" s="237" t="str">
        <f t="shared" si="177"/>
        <v>"%USERPROFILE%\Documents\GitHub\eaglep3\Utilities\RefineRTDCRunTimes.py" --tripid 306-29 --locoid 4005 --swversion DE.1.0.9.0 --startMP 300:22997 --initTime 2017-11-29T04:02:16 --startdatetime 2017-11-29T04:08:28 --delay 125 --endMP 204:245 --enddatetime 2017-11-29T04:20:42 --enforcementcount 0 &gt;&gt;%USERPROFILE%\Documents\GitHub\eaglep3-reporting\EC\2017-11-29-refined-times.txt</v>
      </c>
      <c r="AI218" s="239" t="str">
        <f t="shared" si="178"/>
        <v>echo {"issue":{"subject":"","project_id":79,"tracker_id":40,"status_id":1,"priority_id":2,"assigned_to_id":338,"start_date":"2017-11-29","description":"","custom_fields":[{"id":1,"name":"Subdivision","value":"Other"},{"id":4,"name":"Milepost","value":"0.0245"},{"id":17,"name":"Train ID","value":"306-29"},{"id":16,"name":"Locomotive ID","value":"4005"},{"id":130,"name":"Impact","value":""},{"id":150,"name":"Time of Event (Mountain Time)","value":"04:20:42"},{"id":151,"name":"Denver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224"/>
      <c r="AK218" s="232"/>
      <c r="AL218" s="232"/>
      <c r="AM218" s="241" t="str">
        <f t="shared" si="179"/>
        <v>start /low /b %USERPROFILE%\Documents\GitHub\eaglep3\Utilities\DownloadLogsFromS3.py --loco 4005 --day 2017-11-29</v>
      </c>
      <c r="AN218" s="242" t="str">
        <f t="shared" si="180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11:20:42"},{"id":29,"name":"Sharepoint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1" t="str">
        <f t="shared" si="181"/>
        <v>https://d0f6bd738d7f1b3e5a7ca70fe4ff75f0.us-east-1.aws.found.io/app/kibana#/discover/Steve-Slow-Train-Analysis-(2080s-and-2083s)?_g=(refreshInterval:(display:Off,pause:!f,section:0,value:0),time:(from:'2017-11-29T03:02:16-0700',mode:absolute,to:'2017-11-29T05:20:42-0700'))&amp;_a=(columns:!('Message%20ID',Summary),filters:!(),index:'emp_*',interval:auto,query:(query_string:(analyze_wildcard:!t,query:'%22rtdc.l.rtdc.4005%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230" t="s">
        <v>873</v>
      </c>
      <c r="B219" s="226">
        <v>4026</v>
      </c>
      <c r="C219" s="228" t="s">
        <v>192</v>
      </c>
      <c r="D219" s="228" t="s">
        <v>986</v>
      </c>
      <c r="E219" s="227">
        <v>43069.04515046296</v>
      </c>
      <c r="F219" s="227">
        <v>43069.047037037039</v>
      </c>
      <c r="G219" s="226">
        <v>103</v>
      </c>
      <c r="H219" s="228" t="s">
        <v>596</v>
      </c>
      <c r="I219" s="227">
        <v>43069.053518518522</v>
      </c>
      <c r="J219" s="226">
        <v>0</v>
      </c>
      <c r="K219" s="238" t="str">
        <f t="shared" si="170"/>
        <v>4025/4026</v>
      </c>
      <c r="L219" s="246" t="str">
        <f>VLOOKUP(A219,'Trips&amp;Operators'!$C$1:$G$99911,5,FALSE)</f>
        <v>RESPASS AARON</v>
      </c>
      <c r="M219" s="225">
        <f t="shared" si="171"/>
        <v>6.4814814832061529E-3</v>
      </c>
      <c r="N219" s="226">
        <f t="shared" si="182"/>
        <v>9.3333333358168602</v>
      </c>
      <c r="O219" s="226"/>
      <c r="P219" s="226"/>
      <c r="Q219" s="229"/>
      <c r="R219" s="243"/>
      <c r="S219" s="250">
        <f t="shared" si="172"/>
        <v>1</v>
      </c>
      <c r="T219" s="243" t="str">
        <f t="shared" si="173"/>
        <v>NorthBound</v>
      </c>
      <c r="U219" s="24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49" t="str">
        <f t="shared" si="167"/>
        <v>https://d0f6bd738d7f1b3e5a7ca70fe4ff75f0.us-east-1.aws.found.io/app/kibana#/discover/Steve-Slow-Train-Analysis-(2080s-and-2083s)?_g=(refreshInterval:(display:Off,pause:!f,section:0,value:0),time:(from:'2017-11-30T00:05:01-0700',mode:absolute,to:'2017-11-30T02:17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9" s="248" t="str">
        <f>IF(AA219&lt;VLOOKUP(AG219,Variables!$AC$3:$AD$8,2,FALSE),"Y","N")</f>
        <v>Y</v>
      </c>
      <c r="X219" s="248">
        <f t="shared" si="164"/>
        <v>1</v>
      </c>
      <c r="Y219" s="248">
        <f t="shared" si="165"/>
        <v>5.8999999999999997E-2</v>
      </c>
      <c r="Z219" s="248">
        <f t="shared" si="166"/>
        <v>2.3298999999999999</v>
      </c>
      <c r="AA219" s="248">
        <f t="shared" si="174"/>
        <v>2.2708999999999997</v>
      </c>
      <c r="AB219" s="234" t="e">
        <f>VLOOKUP(A219,Enforcements!$C$7:$K$9,8,0)</f>
        <v>#N/A</v>
      </c>
      <c r="AC219" s="233" t="e">
        <f>VLOOKUP(A219,Enforcements!$C$7:$E$9,3,0)</f>
        <v>#N/A</v>
      </c>
      <c r="AD219" s="244">
        <f t="shared" si="175"/>
        <v>307</v>
      </c>
      <c r="AE219" s="236" t="str">
        <f t="shared" si="168"/>
        <v>aws s3 cp s3://rtdc.mdm.uploadarchive.raw/RTDC4026/ "%USERPROFILE%\AppData\Local\Temp\OnboardLogs"\RTDC4026\2017-11-30 --exclude "*" --recursive --include "*20171130*" &amp; "%USERPROFILE%\Documents\GitHub\mrs-test-scripts\Headless Mode &amp; Sideloading\WalkAndUnGZ.bat" "%USERPROFILE%\AppData\Local\Temp\OnboardLogs"\RTDC4026\2017-11-30 &amp; aws s3 cp s3://rtdc.mdm.uploadarchive.raw/RTDC4026/ "%USERPROFILE%\AppData\Local\Temp\OnboardLogs"\RTDC4026\2017-12-01 --exclude "*" --recursive --include "*20171201*" &amp; "%USERPROFILE%\Documents\GitHub\mrs-test-scripts\Headless Mode &amp; Sideloading\WalkAndUnGZ.bat" "%USERPROFILE%\AppData\Local\Temp\OnboardLogs"\RTDC4026\2017-12-01</v>
      </c>
      <c r="AF219" s="235" t="str">
        <f t="shared" si="169"/>
        <v>"C:\Program Files (x86)\AstroGrep\AstroGrep.exe" /e /r /s /spath="%USERPROFILE%\AppData\Local\Temp\OnboardLogs" /stypes="app*4026*20171130*" /stext=" 08:.+((SYSTEM_STATE.+slice.+state.+changed )|(ment ac)|(multiple cpu faults)|(system.+state.+changed )|(\[timeout)|(PRM\|1\|D)|(kpr)|(kdp)|(train st.+moving)|(\|lc)|(penalty))"</v>
      </c>
      <c r="AG219" s="245" t="str">
        <f t="shared" si="176"/>
        <v>Other</v>
      </c>
      <c r="AH219" s="237" t="str">
        <f t="shared" si="177"/>
        <v>"%USERPROFILE%\Documents\GitHub\eaglep3\Utilities\RefineRTDCRunTimes.py" --tripid 307-29 --locoid 4026 --swversion DE.1.0.9.0 --startMP 204:590 --initTime 2017-11-30T01:05:01 --startdatetime 2017-11-30T01:07:44 --delay 103 --endMP 300:23299 --enddatetime 2017-11-30T01:17:04 --enforcementcount 0 &gt;&gt;%USERPROFILE%\Documents\GitHub\eaglep3-reporting\EC\2017-11-29-refined-times.txt</v>
      </c>
      <c r="AI219" s="239" t="str">
        <f t="shared" si="178"/>
        <v>echo {"issue":{"subject":"","project_id":79,"tracker_id":40,"status_id":1,"priority_id":2,"assigned_to_id":338,"start_date":"2017-11-30","description":"","custom_fields":[{"id":1,"name":"Subdivision","value":"Other"},{"id":4,"name":"Milepost","value":"2.3299"},{"id":17,"name":"Train ID","value":"307-29"},{"id":16,"name":"Locomotive ID","value":"4026"},{"id":130,"name":"Impact","value":""},{"id":150,"name":"Time of Event (Mountain Time)","value":"01:17:04"},{"id":151,"name":"Denver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9" s="224"/>
      <c r="AK219" s="232"/>
      <c r="AL219" s="232"/>
      <c r="AM219" s="241" t="str">
        <f t="shared" si="179"/>
        <v>start /low /b %USERPROFILE%\Documents\GitHub\eaglep3\Utilities\DownloadLogsFromS3.py --loco 4026 --day 2017-11-30</v>
      </c>
      <c r="AN219" s="242" t="str">
        <f t="shared" si="180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08:17:04"},{"id":29,"name":"Sharepoint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1" t="str">
        <f t="shared" si="181"/>
        <v>https://d0f6bd738d7f1b3e5a7ca70fe4ff75f0.us-east-1.aws.found.io/app/kibana#/discover/Steve-Slow-Train-Analysis-(2080s-and-2083s)?_g=(refreshInterval:(display:Off,pause:!f,section:0,value:0),time:(from:'2017-11-30T00:05:01-0700',mode:absolute,to:'2017-11-30T02:17:04-0700'))&amp;_a=(columns:!('Message%20ID',Summary),filters:!(),index:'emp_*',interval:auto,query:(query_string:(analyze_wildcard:!t,query:'%22rtdc.l.rtdc.4026%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230" t="s">
        <v>664</v>
      </c>
      <c r="B220" s="226">
        <v>4065</v>
      </c>
      <c r="C220" s="228" t="s">
        <v>192</v>
      </c>
      <c r="D220" s="228" t="s">
        <v>987</v>
      </c>
      <c r="E220" s="227">
        <v>43068.172210648147</v>
      </c>
      <c r="F220" s="227">
        <v>43068.176041666666</v>
      </c>
      <c r="G220" s="226">
        <v>95</v>
      </c>
      <c r="H220" s="228" t="s">
        <v>440</v>
      </c>
      <c r="I220" s="227">
        <v>43068.183935185189</v>
      </c>
      <c r="J220" s="226">
        <v>0</v>
      </c>
      <c r="K220" s="238" t="str">
        <f t="shared" si="170"/>
        <v>4065/4066</v>
      </c>
      <c r="L220" s="246" t="str">
        <f>VLOOKUP(A220,'Trips&amp;Operators'!$C$1:$G$99911,5,FALSE)</f>
        <v>LOPES KIMBERLY</v>
      </c>
      <c r="M220" s="225">
        <f t="shared" si="171"/>
        <v>7.8935185229056515E-3</v>
      </c>
      <c r="N220" s="226">
        <f t="shared" si="182"/>
        <v>11.366666672984138</v>
      </c>
      <c r="O220" s="226"/>
      <c r="P220" s="226"/>
      <c r="Q220" s="229"/>
      <c r="R220" s="243"/>
      <c r="S220" s="250">
        <f t="shared" si="172"/>
        <v>1</v>
      </c>
      <c r="T220" s="243" t="str">
        <f t="shared" si="173"/>
        <v>Southbound</v>
      </c>
      <c r="U220" s="247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49" t="str">
        <f t="shared" si="167"/>
        <v>https://d0f6bd738d7f1b3e5a7ca70fe4ff75f0.us-east-1.aws.found.io/app/kibana#/discover/Steve-Slow-Train-Analysis-(2080s-and-2083s)?_g=(refreshInterval:(display:Off,pause:!f,section:0,value:0),time:(from:'2017-11-29T03:07:59-0700',mode:absolute,to:'2017-11-29T05:24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20" s="248" t="str">
        <f>IF(AA220&lt;VLOOKUP(AG220,Variables!$AC$3:$AD$8,2,FALSE),"Y","N")</f>
        <v>Y</v>
      </c>
      <c r="X220" s="248">
        <f t="shared" si="164"/>
        <v>1</v>
      </c>
      <c r="Y220" s="248">
        <f t="shared" si="165"/>
        <v>2.3203</v>
      </c>
      <c r="Z220" s="248">
        <f t="shared" si="166"/>
        <v>2.18E-2</v>
      </c>
      <c r="AA220" s="248">
        <f t="shared" si="174"/>
        <v>2.2985000000000002</v>
      </c>
      <c r="AB220" s="234" t="e">
        <f>VLOOKUP(A220,Enforcements!$C$7:$K$9,8,0)</f>
        <v>#N/A</v>
      </c>
      <c r="AC220" s="233" t="e">
        <f>VLOOKUP(A220,Enforcements!$C$7:$E$9,3,0)</f>
        <v>#N/A</v>
      </c>
      <c r="AD220" s="244">
        <f t="shared" si="175"/>
        <v>308</v>
      </c>
      <c r="AE220" s="236" t="str">
        <f t="shared" si="168"/>
        <v>aws s3 cp s3://rtdc.mdm.uploadarchive.raw/RTDC4065/ "%USERPROFILE%\AppData\Local\Temp\OnboardLogs"\RTDC4065\2017-11-29 --exclude "*" --recursive --include "*20171129*" &amp; "%USERPROFILE%\Documents\GitHub\mrs-test-scripts\Headless Mode &amp; Sideloading\WalkAndUnGZ.bat" "%USERPROFILE%\AppData\Local\Temp\OnboardLogs"\RTDC4065\2017-11-29 &amp; aws s3 cp s3://rtdc.mdm.uploadarchive.raw/RTDC4065/ "%USERPROFILE%\AppData\Local\Temp\OnboardLogs"\RTDC4065\2017-11-30 --exclude "*" --recursive --include "*20171130*" &amp; "%USERPROFILE%\Documents\GitHub\mrs-test-scripts\Headless Mode &amp; Sideloading\WalkAndUnGZ.bat" "%USERPROFILE%\AppData\Local\Temp\OnboardLogs"\RTDC4065\2017-11-30</v>
      </c>
      <c r="AF220" s="235" t="str">
        <f t="shared" si="169"/>
        <v>"C:\Program Files (x86)\AstroGrep\AstroGrep.exe" /e /r /s /spath="%USERPROFILE%\AppData\Local\Temp\OnboardLogs" /stypes="app*4065*20171129*" /stext=" 11:.+((SYSTEM_STATE.+slice.+state.+changed )|(ment ac)|(multiple cpu faults)|(system.+state.+changed )|(\[timeout)|(PRM\|1\|D)|(kpr)|(kdp)|(train st.+moving)|(\|lc)|(penalty))"</v>
      </c>
      <c r="AG220" s="245" t="str">
        <f t="shared" si="176"/>
        <v>Other</v>
      </c>
      <c r="AH220" s="237" t="str">
        <f t="shared" si="177"/>
        <v>"%USERPROFILE%\Documents\GitHub\eaglep3\Utilities\RefineRTDCRunTimes.py" --tripid 308-29 --locoid 4065 --swversion DE.1.0.9.0 --startMP 300:23203 --initTime 2017-11-29T04:07:59 --startdatetime 2017-11-29T04:13:30 --delay 95 --endMP 204:218 --enddatetime 2017-11-29T04:24:52 --enforcementcount 0 &gt;&gt;%USERPROFILE%\Documents\GitHub\eaglep3-reporting\EC\2017-11-29-refined-times.txt</v>
      </c>
      <c r="AI220" s="239" t="str">
        <f t="shared" si="178"/>
        <v>echo {"issue":{"subject":"","project_id":79,"tracker_id":40,"status_id":1,"priority_id":2,"assigned_to_id":338,"start_date":"2017-11-29","description":"","custom_fields":[{"id":1,"name":"Subdivision","value":"Other"},{"id":4,"name":"Milepost","value":"0.0218"},{"id":17,"name":"Train ID","value":"308-29"},{"id":16,"name":"Locomotive ID","value":"4065"},{"id":130,"name":"Impact","value":""},{"id":150,"name":"Time of Event (Mountain Time)","value":"04:24:52"},{"id":151,"name":"Denver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4"/>
      <c r="AK220" s="232"/>
      <c r="AL220" s="232"/>
      <c r="AM220" s="241" t="str">
        <f t="shared" si="179"/>
        <v>start /low /b %USERPROFILE%\Documents\GitHub\eaglep3\Utilities\DownloadLogsFromS3.py --loco 4065 --day 2017-11-29</v>
      </c>
      <c r="AN220" s="242" t="str">
        <f t="shared" si="180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11:24:52"},{"id":29,"name":"Sharepoint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1" t="str">
        <f t="shared" si="181"/>
        <v>https://d0f6bd738d7f1b3e5a7ca70fe4ff75f0.us-east-1.aws.found.io/app/kibana#/discover/Steve-Slow-Train-Analysis-(2080s-and-2083s)?_g=(refreshInterval:(display:Off,pause:!f,section:0,value:0),time:(from:'2017-11-29T03:07:59-0700',mode:absolute,to:'2017-11-29T05:24:52-0700'))&amp;_a=(columns:!('Message%20ID',Summary),filters:!(),index:'emp_*',interval:auto,query:(query_string:(analyze_wildcard:!t,query:'%22rtdc.l.rtdc.4065%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230" t="s">
        <v>874</v>
      </c>
      <c r="B221" s="226">
        <v>4002</v>
      </c>
      <c r="C221" s="228" t="s">
        <v>192</v>
      </c>
      <c r="D221" s="228" t="s">
        <v>593</v>
      </c>
      <c r="E221" s="227">
        <v>43069.067164351851</v>
      </c>
      <c r="F221" s="227">
        <v>43069.071284722224</v>
      </c>
      <c r="G221" s="226">
        <v>95</v>
      </c>
      <c r="H221" s="228" t="s">
        <v>517</v>
      </c>
      <c r="I221" s="227">
        <v>43069.079641203702</v>
      </c>
      <c r="J221" s="226">
        <v>0</v>
      </c>
      <c r="K221" s="238" t="str">
        <f t="shared" si="170"/>
        <v>4001/4002</v>
      </c>
      <c r="L221" s="246" t="str">
        <f>VLOOKUP(A221,'Trips&amp;Operators'!$C$1:$G$99911,5,FALSE)</f>
        <v>LOZA FIDEL</v>
      </c>
      <c r="M221" s="225">
        <f t="shared" si="171"/>
        <v>8.3564814776764251E-3</v>
      </c>
      <c r="N221" s="226">
        <f t="shared" si="182"/>
        <v>12.033333327854052</v>
      </c>
      <c r="O221" s="226"/>
      <c r="P221" s="226"/>
      <c r="Q221" s="229"/>
      <c r="R221" s="243"/>
      <c r="S221" s="250">
        <f t="shared" si="172"/>
        <v>1</v>
      </c>
      <c r="T221" s="243" t="str">
        <f t="shared" si="173"/>
        <v>NorthBound</v>
      </c>
      <c r="U221" s="247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49" t="str">
        <f t="shared" si="167"/>
        <v>https://d0f6bd738d7f1b3e5a7ca70fe4ff75f0.us-east-1.aws.found.io/app/kibana#/discover/Steve-Slow-Train-Analysis-(2080s-and-2083s)?_g=(refreshInterval:(display:Off,pause:!f,section:0,value:0),time:(from:'2017-11-30T00:36:43-0700',mode:absolute,to:'2017-11-30T02:54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1" s="248" t="str">
        <f>IF(AA221&lt;VLOOKUP(AG221,Variables!$AC$3:$AD$8,2,FALSE),"Y","N")</f>
        <v>Y</v>
      </c>
      <c r="X221" s="248">
        <f t="shared" si="164"/>
        <v>1</v>
      </c>
      <c r="Y221" s="248">
        <f t="shared" si="165"/>
        <v>5.1700000000000003E-2</v>
      </c>
      <c r="Z221" s="248">
        <f t="shared" si="166"/>
        <v>2.3306</v>
      </c>
      <c r="AA221" s="248">
        <f t="shared" si="174"/>
        <v>2.2789000000000001</v>
      </c>
      <c r="AB221" s="234" t="e">
        <f>VLOOKUP(A221,Enforcements!$C$7:$K$9,8,0)</f>
        <v>#N/A</v>
      </c>
      <c r="AC221" s="233" t="e">
        <f>VLOOKUP(A221,Enforcements!$C$7:$E$9,3,0)</f>
        <v>#N/A</v>
      </c>
      <c r="AD221" s="244">
        <f t="shared" si="175"/>
        <v>309</v>
      </c>
      <c r="AE221" s="236" t="str">
        <f t="shared" si="168"/>
        <v>aws s3 cp s3://rtdc.mdm.uploadarchive.raw/RTDC4002/ "%USERPROFILE%\AppData\Local\Temp\OnboardLogs"\RTDC4002\2017-11-30 --exclude "*" --recursive --include "*20171130*" &amp; "%USERPROFILE%\Documents\GitHub\mrs-test-scripts\Headless Mode &amp; Sideloading\WalkAndUnGZ.bat" "%USERPROFILE%\AppData\Local\Temp\OnboardLogs"\RTDC4002\2017-11-30 &amp; aws s3 cp s3://rtdc.mdm.uploadarchive.raw/RTDC4002/ "%USERPROFILE%\AppData\Local\Temp\OnboardLogs"\RTDC4002\2017-12-01 --exclude "*" --recursive --include "*20171201*" &amp; "%USERPROFILE%\Documents\GitHub\mrs-test-scripts\Headless Mode &amp; Sideloading\WalkAndUnGZ.bat" "%USERPROFILE%\AppData\Local\Temp\OnboardLogs"\RTDC4002\2017-12-01</v>
      </c>
      <c r="AF221" s="235" t="str">
        <f t="shared" si="169"/>
        <v>"C:\Program Files (x86)\AstroGrep\AstroGrep.exe" /e /r /s /spath="%USERPROFILE%\AppData\Local\Temp\OnboardLogs" /stypes="app*4002*20171130*" /stext=" 08:.+((SYSTEM_STATE.+slice.+state.+changed )|(ment ac)|(multiple cpu faults)|(system.+state.+changed )|(\[timeout)|(PRM\|1\|D)|(kpr)|(kdp)|(train st.+moving)|(\|lc)|(penalty))"</v>
      </c>
      <c r="AG221" s="245" t="str">
        <f t="shared" si="176"/>
        <v>Other</v>
      </c>
      <c r="AH221" s="237" t="str">
        <f t="shared" si="177"/>
        <v>"%USERPROFILE%\Documents\GitHub\eaglep3\Utilities\RefineRTDCRunTimes.py" --tripid 309-29 --locoid 4002 --swversion DE.1.0.9.0 --startMP 204:517 --initTime 2017-11-30T01:36:43 --startdatetime 2017-11-30T01:42:39 --delay 95 --endMP 300:23306 --enddatetime 2017-11-30T01:54:41 --enforcementcount 0 &gt;&gt;%USERPROFILE%\Documents\GitHub\eaglep3-reporting\EC\2017-11-29-refined-times.txt</v>
      </c>
      <c r="AI221" s="239" t="str">
        <f t="shared" si="178"/>
        <v>echo {"issue":{"subject":"","project_id":79,"tracker_id":40,"status_id":1,"priority_id":2,"assigned_to_id":338,"start_date":"2017-11-30","description":"","custom_fields":[{"id":1,"name":"Subdivision","value":"Other"},{"id":4,"name":"Milepost","value":"2.3306"},{"id":17,"name":"Train ID","value":"309-29"},{"id":16,"name":"Locomotive ID","value":"4002"},{"id":130,"name":"Impact","value":""},{"id":150,"name":"Time of Event (Mountain Time)","value":"01:54:41"},{"id":151,"name":"Denver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224"/>
      <c r="AK221" s="232"/>
      <c r="AL221" s="232"/>
      <c r="AM221" s="241" t="str">
        <f t="shared" si="179"/>
        <v>start /low /b %USERPROFILE%\Documents\GitHub\eaglep3\Utilities\DownloadLogsFromS3.py --loco 4002 --day 2017-11-30</v>
      </c>
      <c r="AN221" s="242" t="str">
        <f t="shared" si="180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08:54:41"},{"id":29,"name":"Sharepoint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31" t="str">
        <f t="shared" si="181"/>
        <v>https://d0f6bd738d7f1b3e5a7ca70fe4ff75f0.us-east-1.aws.found.io/app/kibana#/discover/Steve-Slow-Train-Analysis-(2080s-and-2083s)?_g=(refreshInterval:(display:Off,pause:!f,section:0,value:0),time:(from:'2017-11-30T00:36:43-0700',mode:absolute,to:'2017-11-30T02:54:41-0700'))&amp;_a=(columns:!('Message%20ID',Summary),filters:!(),index:'emp_*',interval:auto,query:(query_string:(analyze_wildcard:!t,query:'%22rtdc.l.rtdc.4002%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230" t="s">
        <v>673</v>
      </c>
      <c r="B222" s="226">
        <v>4027</v>
      </c>
      <c r="C222" s="228" t="s">
        <v>192</v>
      </c>
      <c r="D222" s="228" t="s">
        <v>988</v>
      </c>
      <c r="E222" s="227">
        <v>43068.193310185183</v>
      </c>
      <c r="F222" s="227">
        <v>43068.19971064815</v>
      </c>
      <c r="G222" s="226">
        <v>174</v>
      </c>
      <c r="H222" s="228" t="s">
        <v>447</v>
      </c>
      <c r="I222" s="227">
        <v>43068.204953703702</v>
      </c>
      <c r="J222" s="226">
        <v>0</v>
      </c>
      <c r="K222" s="238" t="str">
        <f t="shared" si="170"/>
        <v>4027/4028</v>
      </c>
      <c r="L222" s="246" t="str">
        <f>VLOOKUP(A222,'Trips&amp;Operators'!$C$1:$G$99911,5,FALSE)</f>
        <v>YANAI IAN</v>
      </c>
      <c r="M222" s="225">
        <f t="shared" si="171"/>
        <v>5.2430555515456945E-3</v>
      </c>
      <c r="N222" s="226">
        <f t="shared" si="182"/>
        <v>7.5499999942258</v>
      </c>
      <c r="O222" s="226"/>
      <c r="P222" s="226"/>
      <c r="Q222" s="229"/>
      <c r="R222" s="243"/>
      <c r="S222" s="250">
        <f t="shared" si="172"/>
        <v>1</v>
      </c>
      <c r="T222" s="243" t="str">
        <f t="shared" si="173"/>
        <v>Southbound</v>
      </c>
      <c r="U222" s="247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49" t="str">
        <f t="shared" si="167"/>
        <v>https://d0f6bd738d7f1b3e5a7ca70fe4ff75f0.us-east-1.aws.found.io/app/kibana#/discover/Steve-Slow-Train-Analysis-(2080s-and-2083s)?_g=(refreshInterval:(display:Off,pause:!f,section:0,value:0),time:(from:'2017-11-29T03:38:22-0700',mode:absolute,to:'2017-11-29T05:55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2" s="248" t="str">
        <f>IF(AA222&lt;VLOOKUP(AG222,Variables!$AC$3:$AD$8,2,FALSE),"Y","N")</f>
        <v>Y</v>
      </c>
      <c r="X222" s="248">
        <f t="shared" si="164"/>
        <v>1</v>
      </c>
      <c r="Y222" s="248">
        <f t="shared" si="165"/>
        <v>2.3723999999999998</v>
      </c>
      <c r="Z222" s="248">
        <f t="shared" si="166"/>
        <v>1.49E-2</v>
      </c>
      <c r="AA222" s="248">
        <f t="shared" si="174"/>
        <v>2.3574999999999999</v>
      </c>
      <c r="AB222" s="234" t="e">
        <f>VLOOKUP(A222,Enforcements!$C$7:$K$9,8,0)</f>
        <v>#N/A</v>
      </c>
      <c r="AC222" s="233" t="e">
        <f>VLOOKUP(A222,Enforcements!$C$7:$E$9,3,0)</f>
        <v>#N/A</v>
      </c>
      <c r="AD222" s="244">
        <f t="shared" si="175"/>
        <v>310</v>
      </c>
      <c r="AE222" s="236" t="str">
        <f t="shared" si="168"/>
        <v>aws s3 cp s3://rtdc.mdm.uploadarchive.raw/RTDC4027/ "%USERPROFILE%\AppData\Local\Temp\OnboardLogs"\RTDC4027\2017-11-29 --exclude "*" --recursive --include "*20171129*" &amp; "%USERPROFILE%\Documents\GitHub\mrs-test-scripts\Headless Mode &amp; Sideloading\WalkAndUnGZ.bat" "%USERPROFILE%\AppData\Local\Temp\OnboardLogs"\RTDC4027\2017-11-29 &amp; aws s3 cp s3://rtdc.mdm.uploadarchive.raw/RTDC4027/ "%USERPROFILE%\AppData\Local\Temp\OnboardLogs"\RTDC4027\2017-11-30 --exclude "*" --recursive --include "*20171130*" &amp; "%USERPROFILE%\Documents\GitHub\mrs-test-scripts\Headless Mode &amp; Sideloading\WalkAndUnGZ.bat" "%USERPROFILE%\AppData\Local\Temp\OnboardLogs"\RTDC4027\2017-11-30</v>
      </c>
      <c r="AF222" s="235" t="str">
        <f t="shared" si="169"/>
        <v>"C:\Program Files (x86)\AstroGrep\AstroGrep.exe" /e /r /s /spath="%USERPROFILE%\AppData\Local\Temp\OnboardLogs" /stypes="app*4027*20171129*" /stext=" 11:.+((SYSTEM_STATE.+slice.+state.+changed )|(ment ac)|(multiple cpu faults)|(system.+state.+changed )|(\[timeout)|(PRM\|1\|D)|(kpr)|(kdp)|(train st.+moving)|(\|lc)|(penalty))"</v>
      </c>
      <c r="AG222" s="245" t="str">
        <f t="shared" si="176"/>
        <v>Other</v>
      </c>
      <c r="AH222" s="237" t="str">
        <f t="shared" si="177"/>
        <v>"%USERPROFILE%\Documents\GitHub\eaglep3\Utilities\RefineRTDCRunTimes.py" --tripid 310-29 --locoid 4027 --swversion DE.1.0.9.0 --startMP 300:23724 --initTime 2017-11-29T04:38:22 --startdatetime 2017-11-29T04:47:35 --delay 174 --endMP 204:149 --enddatetime 2017-11-29T04:55:08 --enforcementcount 0 &gt;&gt;%USERPROFILE%\Documents\GitHub\eaglep3-reporting\EC\2017-11-29-refined-times.txt</v>
      </c>
      <c r="AI222" s="239" t="str">
        <f t="shared" si="178"/>
        <v>echo {"issue":{"subject":"","project_id":79,"tracker_id":40,"status_id":1,"priority_id":2,"assigned_to_id":338,"start_date":"2017-11-29","description":"","custom_fields":[{"id":1,"name":"Subdivision","value":"Other"},{"id":4,"name":"Milepost","value":"0.0149"},{"id":17,"name":"Train ID","value":"310-29"},{"id":16,"name":"Locomotive ID","value":"4027"},{"id":130,"name":"Impact","value":""},{"id":150,"name":"Time of Event (Mountain Time)","value":"04:55:08"},{"id":151,"name":"Denver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2" s="224"/>
      <c r="AK222" s="232"/>
      <c r="AL222" s="232"/>
      <c r="AM222" s="241" t="str">
        <f t="shared" si="179"/>
        <v>start /low /b %USERPROFILE%\Documents\GitHub\eaglep3\Utilities\DownloadLogsFromS3.py --loco 4027 --day 2017-11-29</v>
      </c>
      <c r="AN222" s="242" t="str">
        <f t="shared" si="180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11:55:08"},{"id":29,"name":"Sharepoint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31" t="str">
        <f t="shared" si="181"/>
        <v>https://d0f6bd738d7f1b3e5a7ca70fe4ff75f0.us-east-1.aws.found.io/app/kibana#/discover/Steve-Slow-Train-Analysis-(2080s-and-2083s)?_g=(refreshInterval:(display:Off,pause:!f,section:0,value:0),time:(from:'2017-11-29T03:38:22-0700',mode:absolute,to:'2017-11-29T05:55:08-0700'))&amp;_a=(columns:!('Message%20ID',Summary),filters:!(),index:'emp_*',interval:auto,query:(query_string:(analyze_wildcard:!t,query:'%22rtdc.l.rtdc.4027%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24" customFormat="1" x14ac:dyDescent="0.25">
      <c r="A223" s="230" t="s">
        <v>678</v>
      </c>
      <c r="B223" s="226">
        <v>4019</v>
      </c>
      <c r="C223" s="228" t="s">
        <v>192</v>
      </c>
      <c r="D223" s="228" t="s">
        <v>989</v>
      </c>
      <c r="E223" s="227">
        <v>43068.21837962963</v>
      </c>
      <c r="F223" s="227">
        <v>43068.221562500003</v>
      </c>
      <c r="G223" s="226">
        <v>72</v>
      </c>
      <c r="H223" s="228" t="s">
        <v>990</v>
      </c>
      <c r="I223" s="227">
        <v>43068.223773148151</v>
      </c>
      <c r="J223" s="226">
        <v>0</v>
      </c>
      <c r="K223" s="238" t="str">
        <f t="shared" si="170"/>
        <v>4019/4020</v>
      </c>
      <c r="L223" s="246" t="str">
        <f>VLOOKUP(A223,'Trips&amp;Operators'!$C$1:$G$99911,5,FALSE)</f>
        <v>FORTUNATO FRANK</v>
      </c>
      <c r="M223" s="225">
        <f t="shared" si="171"/>
        <v>2.2106481483206153E-3</v>
      </c>
      <c r="N223" s="226">
        <f t="shared" si="182"/>
        <v>3.183333333581686</v>
      </c>
      <c r="O223" s="226"/>
      <c r="P223" s="226"/>
      <c r="Q223" s="229"/>
      <c r="R223" s="243"/>
      <c r="S223" s="250">
        <f t="shared" si="172"/>
        <v>0</v>
      </c>
      <c r="T223" s="243" t="str">
        <f t="shared" si="173"/>
        <v>Southbound</v>
      </c>
      <c r="U223" s="247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49" t="str">
        <f t="shared" si="167"/>
        <v>https://d0f6bd738d7f1b3e5a7ca70fe4ff75f0.us-east-1.aws.found.io/app/kibana#/discover/Steve-Slow-Train-Analysis-(2080s-and-2083s)?_g=(refreshInterval:(display:Off,pause:!f,section:0,value:0),time:(from:'2017-11-29T04:14:28-0700',mode:absolute,to:'2017-11-29T06:22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3" s="248" t="str">
        <f>IF(AA223&lt;VLOOKUP(AG223,Variables!$AC$3:$AD$8,2,FALSE),"Y","N")</f>
        <v>Y</v>
      </c>
      <c r="X223" s="248">
        <f t="shared" si="164"/>
        <v>2</v>
      </c>
      <c r="Y223" s="248">
        <f t="shared" si="165"/>
        <v>2.3883000000000001</v>
      </c>
      <c r="Z223" s="248">
        <f t="shared" si="166"/>
        <v>1.9246000000000001</v>
      </c>
      <c r="AA223" s="248">
        <f t="shared" si="174"/>
        <v>0.4637</v>
      </c>
      <c r="AB223" s="234" t="e">
        <f>VLOOKUP(A223,Enforcements!$C$7:$K$9,8,0)</f>
        <v>#N/A</v>
      </c>
      <c r="AC223" s="233" t="e">
        <f>VLOOKUP(A223,Enforcements!$C$7:$E$9,3,0)</f>
        <v>#N/A</v>
      </c>
      <c r="AD223" s="244">
        <f t="shared" si="175"/>
        <v>312</v>
      </c>
      <c r="AE223" s="236" t="str">
        <f t="shared" si="168"/>
        <v>aws s3 cp s3://rtdc.mdm.uploadarchive.raw/RTDC4019/ "%USERPROFILE%\AppData\Local\Temp\OnboardLogs"\RTDC4019\2017-11-29 --exclude "*" --recursive --include "*20171129*" &amp; "%USERPROFILE%\Documents\GitHub\mrs-test-scripts\Headless Mode &amp; Sideloading\WalkAndUnGZ.bat" "%USERPROFILE%\AppData\Local\Temp\OnboardLogs"\RTDC4019\2017-11-29 &amp; aws s3 cp s3://rtdc.mdm.uploadarchive.raw/RTDC4019/ "%USERPROFILE%\AppData\Local\Temp\OnboardLogs"\RTDC4019\2017-11-30 --exclude "*" --recursive --include "*20171130*" &amp; "%USERPROFILE%\Documents\GitHub\mrs-test-scripts\Headless Mode &amp; Sideloading\WalkAndUnGZ.bat" "%USERPROFILE%\AppData\Local\Temp\OnboardLogs"\RTDC4019\2017-11-30</v>
      </c>
      <c r="AF223" s="235" t="str">
        <f t="shared" si="169"/>
        <v>"C:\Program Files (x86)\AstroGrep\AstroGrep.exe" /e /r /s /spath="%USERPROFILE%\AppData\Local\Temp\OnboardLogs" /stypes="app*4019*20171129*" /stext=" 12:.+((SYSTEM_STATE.+slice.+state.+changed )|(ment ac)|(multiple cpu faults)|(system.+state.+changed )|(\[timeout)|(PRM\|1\|D)|(kpr)|(kdp)|(train st.+moving)|(\|lc)|(penalty))"</v>
      </c>
      <c r="AG223" s="245" t="str">
        <f t="shared" si="176"/>
        <v>Other</v>
      </c>
      <c r="AH223" s="237" t="str">
        <f t="shared" si="177"/>
        <v>"%USERPROFILE%\Documents\GitHub\eaglep3\Utilities\RefineRTDCRunTimes.py" --tripid 312-29 --locoid 4019 --swversion DE.1.0.9.0 --startMP 300:23883 --initTime 2017-11-29T05:14:28 --startdatetime 2017-11-29T05:19:03 --delay 72 --endMP 300:19246 --enddatetime 2017-11-29T05:22:14 --enforcementcount 0 &gt;&gt;%USERPROFILE%\Documents\GitHub\eaglep3-reporting\EC\2017-11-29-refined-times.txt</v>
      </c>
      <c r="AI223" s="239" t="str">
        <f t="shared" si="178"/>
        <v>echo {"issue":{"subject":"","project_id":79,"tracker_id":40,"status_id":1,"priority_id":2,"assigned_to_id":338,"start_date":"2017-11-29","description":"","custom_fields":[{"id":1,"name":"Subdivision","value":"Other"},{"id":4,"name":"Milepost","value":"1.9246"},{"id":17,"name":"Train ID","value":"312-29"},{"id":16,"name":"Locomotive ID","value":"4019"},{"id":130,"name":"Impact","value":""},{"id":150,"name":"Time of Event (Mountain Time)","value":"05:22:14"},{"id":151,"name":"Denver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232"/>
      <c r="AL223" s="232"/>
      <c r="AM223" s="241" t="str">
        <f t="shared" si="179"/>
        <v>start /low /b %USERPROFILE%\Documents\GitHub\eaglep3\Utilities\DownloadLogsFromS3.py --loco 4019 --day 2017-11-29</v>
      </c>
      <c r="AN223" s="242" t="str">
        <f t="shared" si="180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12:22:14"},{"id":29,"name":"Sharepoint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31" t="str">
        <f t="shared" si="181"/>
        <v>https://d0f6bd738d7f1b3e5a7ca70fe4ff75f0.us-east-1.aws.found.io/app/kibana#/discover/Steve-Slow-Train-Analysis-(2080s-and-2083s)?_g=(refreshInterval:(display:Off,pause:!f,section:0,value:0),time:(from:'2017-11-29T04:14:28-0700',mode:absolute,to:'2017-11-29T06:22:14-0700'))&amp;_a=(columns:!('Message%20ID',Summary),filters:!(),index:'emp_*',interval:auto,query:(query_string:(analyze_wildcard:!t,query:'%22rtdc.l.rtdc.4019%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230" t="s">
        <v>871</v>
      </c>
      <c r="B224" s="226">
        <v>4022</v>
      </c>
      <c r="C224" s="228" t="s">
        <v>192</v>
      </c>
      <c r="D224" s="228" t="s">
        <v>895</v>
      </c>
      <c r="E224" s="227">
        <v>43069.028402777774</v>
      </c>
      <c r="F224" s="227">
        <v>43069.030717592592</v>
      </c>
      <c r="G224" s="226">
        <v>86</v>
      </c>
      <c r="H224" s="228" t="s">
        <v>517</v>
      </c>
      <c r="I224" s="227">
        <v>43069.041342592594</v>
      </c>
      <c r="J224" s="226">
        <v>0</v>
      </c>
      <c r="K224" s="238" t="str">
        <f t="shared" si="170"/>
        <v>4021/4022</v>
      </c>
      <c r="L224" s="246" t="str">
        <f>VLOOKUP(A224,'Trips&amp;Operators'!$C$1:$G$99911,5,FALSE)</f>
        <v>NICHOLSON WESLEY</v>
      </c>
      <c r="M224" s="225">
        <f t="shared" si="171"/>
        <v>1.0625000002619345E-2</v>
      </c>
      <c r="N224" s="226">
        <f t="shared" si="182"/>
        <v>15.300000003771856</v>
      </c>
      <c r="O224" s="226"/>
      <c r="P224" s="226"/>
      <c r="Q224" s="229"/>
      <c r="R224" s="243"/>
      <c r="S224" s="250">
        <f t="shared" si="172"/>
        <v>1</v>
      </c>
      <c r="T224" s="243" t="str">
        <f t="shared" si="173"/>
        <v>NorthBound</v>
      </c>
      <c r="U224" s="247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49" t="str">
        <f t="shared" si="167"/>
        <v>https://d0f6bd738d7f1b3e5a7ca70fe4ff75f0.us-east-1.aws.found.io/app/kibana#/discover/Steve-Slow-Train-Analysis-(2080s-and-2083s)?_g=(refreshInterval:(display:Off,pause:!f,section:0,value:0),time:(from:'2017-11-29T23:40:54-0700',mode:absolute,to:'2017-11-30T01:59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4" s="248" t="str">
        <f>IF(AA224&lt;VLOOKUP(AG224,Variables!$AC$3:$AD$8,2,FALSE),"Y","N")</f>
        <v>Y</v>
      </c>
      <c r="X224" s="248">
        <f t="shared" ref="X224:X255" si="183">VALUE(LEFT(AD224,4))-VALUE(LEFT(AD223,4))</f>
        <v>1</v>
      </c>
      <c r="Y224" s="248">
        <f t="shared" si="165"/>
        <v>5.5300000000000002E-2</v>
      </c>
      <c r="Z224" s="248">
        <f t="shared" si="166"/>
        <v>2.3306</v>
      </c>
      <c r="AA224" s="248">
        <f t="shared" si="174"/>
        <v>2.2753000000000001</v>
      </c>
      <c r="AB224" s="234" t="e">
        <f>VLOOKUP(A224,Enforcements!$C$7:$K$9,8,0)</f>
        <v>#N/A</v>
      </c>
      <c r="AC224" s="233" t="e">
        <f>VLOOKUP(A224,Enforcements!$C$7:$E$9,3,0)</f>
        <v>#N/A</v>
      </c>
      <c r="AD224" s="244">
        <f t="shared" si="175"/>
        <v>313</v>
      </c>
      <c r="AE224" s="236" t="str">
        <f t="shared" si="168"/>
        <v>aws s3 cp s3://rtdc.mdm.uploadarchive.raw/RTDC4022/ "%USERPROFILE%\AppData\Local\Temp\OnboardLogs"\RTDC4022\2017-11-30 --exclude "*" --recursive --include "*20171130*" &amp; "%USERPROFILE%\Documents\GitHub\mrs-test-scripts\Headless Mode &amp; Sideloading\WalkAndUnGZ.bat" "%USERPROFILE%\AppData\Local\Temp\OnboardLogs"\RTDC4022\2017-11-30 &amp; aws s3 cp s3://rtdc.mdm.uploadarchive.raw/RTDC4022/ "%USERPROFILE%\AppData\Local\Temp\OnboardLogs"\RTDC4022\2017-12-01 --exclude "*" --recursive --include "*20171201*" &amp; "%USERPROFILE%\Documents\GitHub\mrs-test-scripts\Headless Mode &amp; Sideloading\WalkAndUnGZ.bat" "%USERPROFILE%\AppData\Local\Temp\OnboardLogs"\RTDC4022\2017-12-01</v>
      </c>
      <c r="AF224" s="235" t="str">
        <f t="shared" si="169"/>
        <v>"C:\Program Files (x86)\AstroGrep\AstroGrep.exe" /e /r /s /spath="%USERPROFILE%\AppData\Local\Temp\OnboardLogs" /stypes="app*4022*20171130*" /stext=" 07:.+((SYSTEM_STATE.+slice.+state.+changed )|(ment ac)|(multiple cpu faults)|(system.+state.+changed )|(\[timeout)|(PRM\|1\|D)|(kpr)|(kdp)|(train st.+moving)|(\|lc)|(penalty))"</v>
      </c>
      <c r="AG224" s="245" t="str">
        <f t="shared" si="176"/>
        <v>Other</v>
      </c>
      <c r="AH224" s="237" t="str">
        <f t="shared" si="177"/>
        <v>"%USERPROFILE%\Documents\GitHub\eaglep3\Utilities\RefineRTDCRunTimes.py" --tripid 313-29 --locoid 4022 --swversion DE.1.0.9.0 --startMP 204:553 --initTime 2017-11-30T00:40:54 --startdatetime 2017-11-30T00:44:14 --delay 86 --endMP 300:23306 --enddatetime 2017-11-30T00:59:32 --enforcementcount 0 &gt;&gt;%USERPROFILE%\Documents\GitHub\eaglep3-reporting\EC\2017-11-29-refined-times.txt</v>
      </c>
      <c r="AI224" s="239" t="str">
        <f t="shared" si="178"/>
        <v>echo {"issue":{"subject":"","project_id":79,"tracker_id":40,"status_id":1,"priority_id":2,"assigned_to_id":338,"start_date":"2017-11-30","description":"","custom_fields":[{"id":1,"name":"Subdivision","value":"Other"},{"id":4,"name":"Milepost","value":"2.3306"},{"id":17,"name":"Train ID","value":"313-29"},{"id":16,"name":"Locomotive ID","value":"4022"},{"id":130,"name":"Impact","value":""},{"id":150,"name":"Time of Event (Mountain Time)","value":"00:59:32"},{"id":151,"name":"Denver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4" s="224"/>
      <c r="AK224" s="232"/>
      <c r="AL224" s="232"/>
      <c r="AM224" s="241" t="str">
        <f t="shared" si="179"/>
        <v>start /low /b %USERPROFILE%\Documents\GitHub\eaglep3\Utilities\DownloadLogsFromS3.py --loco 4022 --day 2017-11-30</v>
      </c>
      <c r="AN224" s="242" t="str">
        <f t="shared" si="180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07:59:32"},{"id":29,"name":"Sharepoint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31" t="str">
        <f t="shared" si="181"/>
        <v>https://d0f6bd738d7f1b3e5a7ca70fe4ff75f0.us-east-1.aws.found.io/app/kibana#/discover/Steve-Slow-Train-Analysis-(2080s-and-2083s)?_g=(refreshInterval:(display:Off,pause:!f,section:0,value:0),time:(from:'2017-11-29T23:40:54-0700',mode:absolute,to:'2017-11-30T01:59:32-0700'))&amp;_a=(columns:!('Message%20ID',Summary),filters:!(),index:'emp_*',interval:auto,query:(query_string:(analyze_wildcard:!t,query:'%22rtdc.l.rtdc.4022%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230" t="s">
        <v>674</v>
      </c>
      <c r="B225" s="226">
        <v>4018</v>
      </c>
      <c r="C225" s="228" t="s">
        <v>192</v>
      </c>
      <c r="D225" s="228" t="s">
        <v>1092</v>
      </c>
      <c r="E225" s="227">
        <v>43068.201504629629</v>
      </c>
      <c r="F225" s="227">
        <v>43068.205266203702</v>
      </c>
      <c r="G225" s="226">
        <v>72</v>
      </c>
      <c r="H225" s="228" t="s">
        <v>1093</v>
      </c>
      <c r="I225" s="227">
        <v>43068.210115740738</v>
      </c>
      <c r="J225" s="226">
        <v>0</v>
      </c>
      <c r="K225" s="238" t="str">
        <f t="shared" si="170"/>
        <v>4017/4018</v>
      </c>
      <c r="L225" s="246" t="str">
        <f>VLOOKUP(A225,'Trips&amp;Operators'!$C$1:$G$99911,5,FALSE)</f>
        <v>LAMAR NEKESHA</v>
      </c>
      <c r="M225" s="225">
        <f t="shared" si="171"/>
        <v>4.8495370356249623E-3</v>
      </c>
      <c r="N225" s="226">
        <f t="shared" si="182"/>
        <v>6.9833333312999457</v>
      </c>
      <c r="O225" s="226"/>
      <c r="P225" s="226"/>
      <c r="Q225" s="229"/>
      <c r="R225" s="243"/>
      <c r="S225" s="250">
        <f t="shared" si="172"/>
        <v>0</v>
      </c>
      <c r="T225" s="243" t="str">
        <f t="shared" si="173"/>
        <v>NorthBound</v>
      </c>
      <c r="U225" s="247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49" t="str">
        <f t="shared" si="167"/>
        <v>https://d0f6bd738d7f1b3e5a7ca70fe4ff75f0.us-east-1.aws.found.io/app/kibana#/discover/Steve-Slow-Train-Analysis-(2080s-and-2083s)?_g=(refreshInterval:(display:Off,pause:!f,section:0,value:0),time:(from:'2017-11-29T03:50:10-0700',mode:absolute,to:'2017-11-29T06:02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5" s="248" t="str">
        <f>IF(AA225&lt;VLOOKUP(AG225,Variables!$AC$3:$AD$8,2,FALSE),"Y","N")</f>
        <v>Y</v>
      </c>
      <c r="X225" s="248">
        <f t="shared" si="183"/>
        <v>588</v>
      </c>
      <c r="Y225" s="248">
        <f t="shared" si="165"/>
        <v>3.0051000000000001</v>
      </c>
      <c r="Z225" s="248">
        <f t="shared" si="166"/>
        <v>5.899</v>
      </c>
      <c r="AA225" s="248">
        <f t="shared" si="174"/>
        <v>2.8938999999999999</v>
      </c>
      <c r="AB225" s="234" t="e">
        <f>VLOOKUP(A225,Enforcements!$C$7:$K$9,8,0)</f>
        <v>#N/A</v>
      </c>
      <c r="AC225" s="233" t="e">
        <f>VLOOKUP(A225,Enforcements!$C$7:$E$9,3,0)</f>
        <v>#N/A</v>
      </c>
      <c r="AD225" s="244">
        <f t="shared" si="175"/>
        <v>901</v>
      </c>
      <c r="AE225" s="236" t="str">
        <f t="shared" si="168"/>
        <v>aws s3 cp s3://rtdc.mdm.uploadarchive.raw/RTDC4018/ "%USERPROFILE%\AppData\Local\Temp\OnboardLogs"\RTDC4018\2017-11-29 --exclude "*" --recursive --include "*20171129*" &amp; "%USERPROFILE%\Documents\GitHub\mrs-test-scripts\Headless Mode &amp; Sideloading\WalkAndUnGZ.bat" "%USERPROFILE%\AppData\Local\Temp\OnboardLogs"\RTDC4018\2017-11-29 &amp; aws s3 cp s3://rtdc.mdm.uploadarchive.raw/RTDC4018/ "%USERPROFILE%\AppData\Local\Temp\OnboardLogs"\RTDC4018\2017-11-30 --exclude "*" --recursive --include "*20171130*" &amp; "%USERPROFILE%\Documents\GitHub\mrs-test-scripts\Headless Mode &amp; Sideloading\WalkAndUnGZ.bat" "%USERPROFILE%\AppData\Local\Temp\OnboardLogs"\RTDC4018\2017-11-30</v>
      </c>
      <c r="AF225" s="235" t="str">
        <f t="shared" si="169"/>
        <v>"C:\Program Files (x86)\AstroGrep\AstroGrep.exe" /e /r /s /spath="%USERPROFILE%\AppData\Local\Temp\OnboardLogs" /stypes="app*4018*20171129*" /stext=" 12:.+((SYSTEM_STATE.+slice.+state.+changed )|(ment ac)|(multiple cpu faults)|(system.+state.+changed )|(\[timeout)|(PRM\|1\|D)|(kpr)|(kdp)|(train st.+moving)|(\|lc)|(penalty))"</v>
      </c>
      <c r="AG225" s="245" t="str">
        <f t="shared" si="176"/>
        <v>Other</v>
      </c>
      <c r="AH225" s="237" t="str">
        <f t="shared" si="177"/>
        <v>"%USERPROFILE%\Documents\GitHub\eaglep3\Utilities\RefineRTDCRunTimes.py" --tripid 901-29 --locoid 4018 --swversion DE.1.0.9.0 --startMP 300:30051 --initTime 2017-11-29T04:50:10 --startdatetime 2017-11-29T04:55:35 --delay 72 --endMP 300:58990 --enddatetime 2017-11-29T05:02:34 --enforcementcount 0 &gt;&gt;%USERPROFILE%\Documents\GitHub\eaglep3-reporting\EC\2017-11-29-refined-times.txt</v>
      </c>
      <c r="AI225" s="239" t="str">
        <f t="shared" si="178"/>
        <v>echo {"issue":{"subject":"","project_id":79,"tracker_id":40,"status_id":1,"priority_id":2,"assigned_to_id":338,"start_date":"2017-11-29","description":"","custom_fields":[{"id":1,"name":"Subdivision","value":"Other"},{"id":4,"name":"Milepost","value":"5.899"},{"id":17,"name":"Train ID","value":"901-29"},{"id":16,"name":"Locomotive ID","value":"4018"},{"id":130,"name":"Impact","value":""},{"id":150,"name":"Time of Event (Mountain Time)","value":"05:02:34"},{"id":151,"name":"Denver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5" s="224"/>
      <c r="AK225" s="232"/>
      <c r="AL225" s="232"/>
      <c r="AM225" s="241" t="str">
        <f t="shared" si="179"/>
        <v>start /low /b %USERPROFILE%\Documents\GitHub\eaglep3\Utilities\DownloadLogsFromS3.py --loco 4018 --day 2017-11-29</v>
      </c>
      <c r="AN225" s="242" t="str">
        <f t="shared" si="180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12:02:34"},{"id":29,"name":"Sharepoint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231" t="str">
        <f t="shared" si="181"/>
        <v>https://d0f6bd738d7f1b3e5a7ca70fe4ff75f0.us-east-1.aws.found.io/app/kibana#/discover/Steve-Slow-Train-Analysis-(2080s-and-2083s)?_g=(refreshInterval:(display:Off,pause:!f,section:0,value:0),time:(from:'2017-11-29T03:50:10-0700',mode:absolute,to:'2017-11-29T06:02:34-0700'))&amp;_a=(columns:!('Message%20ID',Summary),filters:!(),index:'emp_*',interval:auto,query:(query_string:(analyze_wildcard:!t,query:'%22rtdc.l.rtdc.4018%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230" t="s">
        <v>684</v>
      </c>
      <c r="B226" s="226">
        <v>4031</v>
      </c>
      <c r="C226" s="228" t="s">
        <v>192</v>
      </c>
      <c r="D226" s="228" t="s">
        <v>1094</v>
      </c>
      <c r="E226" s="227">
        <v>43068.238796296297</v>
      </c>
      <c r="F226" s="227">
        <v>43068.24322916667</v>
      </c>
      <c r="G226" s="226">
        <v>83</v>
      </c>
      <c r="H226" s="228" t="s">
        <v>1068</v>
      </c>
      <c r="I226" s="227">
        <v>43068.248449074075</v>
      </c>
      <c r="J226" s="226">
        <v>0</v>
      </c>
      <c r="K226" s="238" t="str">
        <f t="shared" si="170"/>
        <v>4031/4032</v>
      </c>
      <c r="L226" s="246" t="str">
        <f>VLOOKUP(A226,'Trips&amp;Operators'!$C$1:$G$99911,5,FALSE)</f>
        <v>LONG FULLER</v>
      </c>
      <c r="M226" s="225">
        <f t="shared" si="171"/>
        <v>5.2199074052623473E-3</v>
      </c>
      <c r="N226" s="226">
        <f t="shared" si="182"/>
        <v>7.5166666635777801</v>
      </c>
      <c r="O226" s="226"/>
      <c r="P226" s="226"/>
      <c r="Q226" s="229"/>
      <c r="R226" s="243"/>
      <c r="S226" s="250">
        <f t="shared" si="172"/>
        <v>1</v>
      </c>
      <c r="T226" s="243" t="str">
        <f t="shared" si="173"/>
        <v>Southbound</v>
      </c>
      <c r="U226" s="247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249" t="str">
        <f t="shared" si="167"/>
        <v>https://d0f6bd738d7f1b3e5a7ca70fe4ff75f0.us-east-1.aws.found.io/app/kibana#/discover/Steve-Slow-Train-Analysis-(2080s-and-2083s)?_g=(refreshInterval:(display:Off,pause:!f,section:0,value:0),time:(from:'2017-11-29T04:43:52-0700',mode:absolute,to:'2017-11-29T06:57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6" s="248" t="str">
        <f>IF(AA226&lt;VLOOKUP(AG226,Variables!$AC$3:$AD$8,2,FALSE),"Y","N")</f>
        <v>Y</v>
      </c>
      <c r="X226" s="248">
        <f t="shared" si="183"/>
        <v>1</v>
      </c>
      <c r="Y226" s="248">
        <f t="shared" si="165"/>
        <v>2.3574000000000002</v>
      </c>
      <c r="Z226" s="248">
        <f t="shared" si="166"/>
        <v>8.5199999999999998E-2</v>
      </c>
      <c r="AA226" s="248">
        <f t="shared" si="174"/>
        <v>2.2722000000000002</v>
      </c>
      <c r="AB226" s="234" t="e">
        <f>VLOOKUP(A226,Enforcements!$C$7:$K$9,8,0)</f>
        <v>#N/A</v>
      </c>
      <c r="AC226" s="233" t="e">
        <f>VLOOKUP(A226,Enforcements!$C$7:$E$9,3,0)</f>
        <v>#N/A</v>
      </c>
      <c r="AD226" s="244">
        <f t="shared" si="175"/>
        <v>902</v>
      </c>
      <c r="AE226" s="236" t="str">
        <f t="shared" si="168"/>
        <v>aws s3 cp s3://rtdc.mdm.uploadarchive.raw/RTDC4031/ "%USERPROFILE%\AppData\Local\Temp\OnboardLogs"\RTDC4031\2017-11-29 --exclude "*" --recursive --include "*20171129*" &amp; "%USERPROFILE%\Documents\GitHub\mrs-test-scripts\Headless Mode &amp; Sideloading\WalkAndUnGZ.bat" "%USERPROFILE%\AppData\Local\Temp\OnboardLogs"\RTDC4031\2017-11-29 &amp; aws s3 cp s3://rtdc.mdm.uploadarchive.raw/RTDC4031/ "%USERPROFILE%\AppData\Local\Temp\OnboardLogs"\RTDC4031\2017-11-30 --exclude "*" --recursive --include "*20171130*" &amp; "%USERPROFILE%\Documents\GitHub\mrs-test-scripts\Headless Mode &amp; Sideloading\WalkAndUnGZ.bat" "%USERPROFILE%\AppData\Local\Temp\OnboardLogs"\RTDC4031\2017-11-30</v>
      </c>
      <c r="AF226" s="235" t="str">
        <f t="shared" si="169"/>
        <v>"C:\Program Files (x86)\AstroGrep\AstroGrep.exe" /e /r /s /spath="%USERPROFILE%\AppData\Local\Temp\OnboardLogs" /stypes="app*4031*20171129*" /stext=" 12:.+((SYSTEM_STATE.+slice.+state.+changed )|(ment ac)|(multiple cpu faults)|(system.+state.+changed )|(\[timeout)|(PRM\|1\|D)|(kpr)|(kdp)|(train st.+moving)|(\|lc)|(penalty))"</v>
      </c>
      <c r="AG226" s="245" t="str">
        <f t="shared" si="176"/>
        <v>Other</v>
      </c>
      <c r="AH226" s="237" t="str">
        <f t="shared" si="177"/>
        <v>"%USERPROFILE%\Documents\GitHub\eaglep3\Utilities\RefineRTDCRunTimes.py" --tripid 902-29 --locoid 4031 --swversion DE.1.0.9.0 --startMP 300:23574 --initTime 2017-11-29T05:43:52 --startdatetime 2017-11-29T05:50:15 --delay 83 --endMP 204:852 --enddatetime 2017-11-29T05:57:46 --enforcementcount 0 &gt;&gt;%USERPROFILE%\Documents\GitHub\eaglep3-reporting\EC\2017-11-29-refined-times.txt</v>
      </c>
      <c r="AI226" s="239" t="str">
        <f t="shared" si="178"/>
        <v>echo {"issue":{"subject":"","project_id":79,"tracker_id":40,"status_id":1,"priority_id":2,"assigned_to_id":338,"start_date":"2017-11-29","description":"","custom_fields":[{"id":1,"name":"Subdivision","value":"Other"},{"id":4,"name":"Milepost","value":"0.0852"},{"id":17,"name":"Train ID","value":"902-29"},{"id":16,"name":"Locomotive ID","value":"4031"},{"id":130,"name":"Impact","value":""},{"id":150,"name":"Time of Event (Mountain Time)","value":"05:57:46"},{"id":151,"name":"Denver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6" s="224"/>
      <c r="AK226" s="232"/>
      <c r="AL226" s="232"/>
      <c r="AM226" s="241" t="str">
        <f t="shared" si="179"/>
        <v>start /low /b %USERPROFILE%\Documents\GitHub\eaglep3\Utilities\DownloadLogsFromS3.py --loco 4031 --day 2017-11-29</v>
      </c>
      <c r="AN226" s="242" t="str">
        <f t="shared" si="180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12:57:46"},{"id":29,"name":"Sharepoint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231" t="str">
        <f t="shared" si="181"/>
        <v>https://d0f6bd738d7f1b3e5a7ca70fe4ff75f0.us-east-1.aws.found.io/app/kibana#/discover/Steve-Slow-Train-Analysis-(2080s-and-2083s)?_g=(refreshInterval:(display:Off,pause:!f,section:0,value:0),time:(from:'2017-11-29T04:43:52-0700',mode:absolute,to:'2017-11-29T06:57:46-0700'))&amp;_a=(columns:!('Message%20ID',Summary),filters:!(),index:'emp_*',interval:auto,query:(query_string:(analyze_wildcard:!t,query:'%22rtdc.l.rtdc.4031%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 s="230" t="s">
        <v>629</v>
      </c>
      <c r="B227" s="226">
        <v>4018</v>
      </c>
      <c r="C227" s="228" t="s">
        <v>192</v>
      </c>
      <c r="D227" s="228" t="s">
        <v>1095</v>
      </c>
      <c r="E227" s="227">
        <v>43068.352777777778</v>
      </c>
      <c r="F227" s="227">
        <v>43068.357152777775</v>
      </c>
      <c r="G227" s="226">
        <v>58</v>
      </c>
      <c r="H227" s="228" t="s">
        <v>1096</v>
      </c>
      <c r="I227" s="227">
        <v>43068.363298611112</v>
      </c>
      <c r="J227" s="226">
        <v>0</v>
      </c>
      <c r="K227" s="238" t="str">
        <f t="shared" si="170"/>
        <v>4017/4018</v>
      </c>
      <c r="L227" s="246" t="str">
        <f>VLOOKUP(A227,'Trips&amp;Operators'!$C$1:$G$99911,5,FALSE)</f>
        <v>LAMAR NEKESHA</v>
      </c>
      <c r="M227" s="225">
        <f t="shared" si="171"/>
        <v>6.1458333366317675E-3</v>
      </c>
      <c r="N227" s="226">
        <f t="shared" si="182"/>
        <v>8.8500000047497451</v>
      </c>
      <c r="O227" s="226"/>
      <c r="P227" s="226"/>
      <c r="Q227" s="229"/>
      <c r="R227" s="243"/>
      <c r="S227" s="250">
        <f t="shared" si="172"/>
        <v>0</v>
      </c>
      <c r="T227" s="243" t="str">
        <f t="shared" si="173"/>
        <v>NorthBound</v>
      </c>
      <c r="U227" s="247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49" t="str">
        <f t="shared" si="167"/>
        <v>https://d0f6bd738d7f1b3e5a7ca70fe4ff75f0.us-east-1.aws.found.io/app/kibana#/discover/Steve-Slow-Train-Analysis-(2080s-and-2083s)?_g=(refreshInterval:(display:Off,pause:!f,section:0,value:0),time:(from:'2017-11-29T07:28:00-0700',mode:absolute,to:'2017-11-29T09:43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7" s="248" t="str">
        <f>IF(AA227&lt;VLOOKUP(AG227,Variables!$AC$3:$AD$8,2,FALSE),"Y","N")</f>
        <v>Y</v>
      </c>
      <c r="X227" s="248">
        <f t="shared" si="183"/>
        <v>1</v>
      </c>
      <c r="Y227" s="248">
        <f t="shared" si="165"/>
        <v>0.1011</v>
      </c>
      <c r="Z227" s="248">
        <f t="shared" si="166"/>
        <v>0.27379999999999999</v>
      </c>
      <c r="AA227" s="248">
        <f t="shared" si="174"/>
        <v>0.17269999999999999</v>
      </c>
      <c r="AB227" s="234" t="e">
        <f>VLOOKUP(A227,Enforcements!$C$7:$K$9,8,0)</f>
        <v>#N/A</v>
      </c>
      <c r="AC227" s="233" t="e">
        <f>VLOOKUP(A227,Enforcements!$C$7:$E$9,3,0)</f>
        <v>#N/A</v>
      </c>
      <c r="AD227" s="244">
        <f t="shared" si="175"/>
        <v>903</v>
      </c>
      <c r="AE227" s="236" t="str">
        <f t="shared" si="168"/>
        <v>aws s3 cp s3://rtdc.mdm.uploadarchive.raw/RTDC4018/ "%USERPROFILE%\AppData\Local\Temp\OnboardLogs"\RTDC4018\2017-11-29 --exclude "*" --recursive --include "*20171129*" &amp; "%USERPROFILE%\Documents\GitHub\mrs-test-scripts\Headless Mode &amp; Sideloading\WalkAndUnGZ.bat" "%USERPROFILE%\AppData\Local\Temp\OnboardLogs"\RTDC4018\2017-11-29 &amp; aws s3 cp s3://rtdc.mdm.uploadarchive.raw/RTDC4018/ "%USERPROFILE%\AppData\Local\Temp\OnboardLogs"\RTDC4018\2017-11-30 --exclude "*" --recursive --include "*20171130*" &amp; "%USERPROFILE%\Documents\GitHub\mrs-test-scripts\Headless Mode &amp; Sideloading\WalkAndUnGZ.bat" "%USERPROFILE%\AppData\Local\Temp\OnboardLogs"\RTDC4018\2017-11-30</v>
      </c>
      <c r="AF227" s="235" t="str">
        <f t="shared" si="169"/>
        <v>"C:\Program Files (x86)\AstroGrep\AstroGrep.exe" /e /r /s /spath="%USERPROFILE%\AppData\Local\Temp\OnboardLogs" /stypes="app*4018*20171129*" /stext=" 15:.+((SYSTEM_STATE.+slice.+state.+changed )|(ment ac)|(multiple cpu faults)|(system.+state.+changed )|(\[timeout)|(PRM\|1\|D)|(kpr)|(kdp)|(train st.+moving)|(\|lc)|(penalty))"</v>
      </c>
      <c r="AG227" s="245" t="str">
        <f t="shared" si="176"/>
        <v>Other</v>
      </c>
      <c r="AH227" s="237" t="str">
        <f t="shared" si="177"/>
        <v>"%USERPROFILE%\Documents\GitHub\eaglep3\Utilities\RefineRTDCRunTimes.py" --tripid 903-29 --locoid 4018 --swversion DE.1.0.9.0 --startMP 204:1011 --initTime 2017-11-29T08:28:00 --startdatetime 2017-11-29T08:34:18 --delay 58 --endMP 204:2738 --enddatetime 2017-11-29T08:43:09 --enforcementcount 0 &gt;&gt;%USERPROFILE%\Documents\GitHub\eaglep3-reporting\EC\2017-11-29-refined-times.txt</v>
      </c>
      <c r="AI227" s="239" t="str">
        <f t="shared" si="178"/>
        <v>echo {"issue":{"subject":"","project_id":79,"tracker_id":40,"status_id":1,"priority_id":2,"assigned_to_id":338,"start_date":"2017-11-29","description":"","custom_fields":[{"id":1,"name":"Subdivision","value":"Other"},{"id":4,"name":"Milepost","value":"0.2738"},{"id":17,"name":"Train ID","value":"903-29"},{"id":16,"name":"Locomotive ID","value":"4018"},{"id":130,"name":"Impact","value":""},{"id":150,"name":"Time of Event (Mountain Time)","value":"08:43:09"},{"id":151,"name":"Denver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7" s="224"/>
      <c r="AK227" s="232"/>
      <c r="AL227" s="232"/>
      <c r="AM227" s="241" t="str">
        <f t="shared" si="179"/>
        <v>start /low /b %USERPROFILE%\Documents\GitHub\eaglep3\Utilities\DownloadLogsFromS3.py --loco 4018 --day 2017-11-29</v>
      </c>
      <c r="AN227" s="242" t="str">
        <f t="shared" si="180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15:43:09"},{"id":29,"name":"Sharepoint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231" t="str">
        <f t="shared" si="181"/>
        <v>https://d0f6bd738d7f1b3e5a7ca70fe4ff75f0.us-east-1.aws.found.io/app/kibana#/discover/Steve-Slow-Train-Analysis-(2080s-and-2083s)?_g=(refreshInterval:(display:Off,pause:!f,section:0,value:0),time:(from:'2017-11-29T07:28:00-0700',mode:absolute,to:'2017-11-29T09:43:09-0700'))&amp;_a=(columns:!('Message%20ID',Summary),filters:!(),index:'emp_*',interval:auto,query:(query_string:(analyze_wildcard:!t,query:'%22rtdc.l.rtdc.4018%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24" customFormat="1" x14ac:dyDescent="0.25">
      <c r="A228" s="230" t="s">
        <v>629</v>
      </c>
      <c r="B228" s="226">
        <v>4018</v>
      </c>
      <c r="C228" s="228" t="s">
        <v>192</v>
      </c>
      <c r="D228" s="228" t="s">
        <v>1097</v>
      </c>
      <c r="E228" s="227">
        <v>43068.356307870374</v>
      </c>
      <c r="F228" s="227">
        <v>43068.357152777775</v>
      </c>
      <c r="G228" s="226">
        <v>43</v>
      </c>
      <c r="H228" s="228" t="s">
        <v>1098</v>
      </c>
      <c r="I228" s="227">
        <v>43068.363298611112</v>
      </c>
      <c r="J228" s="226">
        <v>0</v>
      </c>
      <c r="K228" s="238" t="str">
        <f t="shared" si="170"/>
        <v>4017/4018</v>
      </c>
      <c r="L228" s="246" t="str">
        <f>VLOOKUP(A228,'Trips&amp;Operators'!$C$1:$G$99911,5,FALSE)</f>
        <v>LAMAR NEKESHA</v>
      </c>
      <c r="M228" s="225">
        <f t="shared" si="171"/>
        <v>6.1458333366317675E-3</v>
      </c>
      <c r="N228" s="226">
        <f t="shared" si="182"/>
        <v>8.8500000047497451</v>
      </c>
      <c r="O228" s="226"/>
      <c r="P228" s="226"/>
      <c r="Q228" s="229"/>
      <c r="R228" s="243"/>
      <c r="S228" s="250">
        <f t="shared" si="172"/>
        <v>1</v>
      </c>
      <c r="T228" s="243" t="str">
        <f t="shared" si="173"/>
        <v>NorthBound</v>
      </c>
      <c r="U228" s="247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249" t="str">
        <f t="shared" si="167"/>
        <v>https://d0f6bd738d7f1b3e5a7ca70fe4ff75f0.us-east-1.aws.found.io/app/kibana#/discover/Steve-Slow-Train-Analysis-(2080s-and-2083s)?_g=(refreshInterval:(display:Off,pause:!f,section:0,value:0),time:(from:'2017-11-29T07:33:05-0700',mode:absolute,to:'2017-11-29T09:43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8" s="248" t="str">
        <f>IF(AA228&lt;VLOOKUP(AG228,Variables!$AC$3:$AD$8,2,FALSE),"Y","N")</f>
        <v>Y</v>
      </c>
      <c r="X228" s="248">
        <f t="shared" si="183"/>
        <v>0</v>
      </c>
      <c r="Y228" s="248">
        <f t="shared" si="165"/>
        <v>0.27160000000000001</v>
      </c>
      <c r="Z228" s="248">
        <f t="shared" si="166"/>
        <v>2.4235000000000002</v>
      </c>
      <c r="AA228" s="248">
        <f t="shared" si="174"/>
        <v>2.1519000000000004</v>
      </c>
      <c r="AB228" s="234" t="e">
        <f>VLOOKUP(A228,Enforcements!$C$7:$K$9,8,0)</f>
        <v>#N/A</v>
      </c>
      <c r="AC228" s="233" t="e">
        <f>VLOOKUP(A228,Enforcements!$C$7:$E$9,3,0)</f>
        <v>#N/A</v>
      </c>
      <c r="AD228" s="244">
        <f t="shared" si="175"/>
        <v>903</v>
      </c>
      <c r="AE228" s="236" t="str">
        <f t="shared" si="168"/>
        <v>aws s3 cp s3://rtdc.mdm.uploadarchive.raw/RTDC4018/ "%USERPROFILE%\AppData\Local\Temp\OnboardLogs"\RTDC4018\2017-11-29 --exclude "*" --recursive --include "*20171129*" &amp; "%USERPROFILE%\Documents\GitHub\mrs-test-scripts\Headless Mode &amp; Sideloading\WalkAndUnGZ.bat" "%USERPROFILE%\AppData\Local\Temp\OnboardLogs"\RTDC4018\2017-11-29 &amp; aws s3 cp s3://rtdc.mdm.uploadarchive.raw/RTDC4018/ "%USERPROFILE%\AppData\Local\Temp\OnboardLogs"\RTDC4018\2017-11-30 --exclude "*" --recursive --include "*20171130*" &amp; "%USERPROFILE%\Documents\GitHub\mrs-test-scripts\Headless Mode &amp; Sideloading\WalkAndUnGZ.bat" "%USERPROFILE%\AppData\Local\Temp\OnboardLogs"\RTDC4018\2017-11-30</v>
      </c>
      <c r="AF228" s="235" t="str">
        <f t="shared" si="169"/>
        <v>"C:\Program Files (x86)\AstroGrep\AstroGrep.exe" /e /r /s /spath="%USERPROFILE%\AppData\Local\Temp\OnboardLogs" /stypes="app*4018*20171129*" /stext=" 15:.+((SYSTEM_STATE.+slice.+state.+changed )|(ment ac)|(multiple cpu faults)|(system.+state.+changed )|(\[timeout)|(PRM\|1\|D)|(kpr)|(kdp)|(train st.+moving)|(\|lc)|(penalty))"</v>
      </c>
      <c r="AG228" s="245" t="str">
        <f t="shared" si="176"/>
        <v>Other</v>
      </c>
      <c r="AH228" s="237" t="str">
        <f t="shared" si="177"/>
        <v>"%USERPROFILE%\Documents\GitHub\eaglep3\Utilities\RefineRTDCRunTimes.py" --tripid 903-29 --locoid 4018 --swversion DE.1.0.9.0 --startMP 204:2716 --initTime 2017-11-29T08:33:05 --startdatetime 2017-11-29T08:34:18 --delay 43 --endMP 300:24235 --enddatetime 2017-11-29T08:43:09 --enforcementcount 0 &gt;&gt;%USERPROFILE%\Documents\GitHub\eaglep3-reporting\EC\2017-11-29-refined-times.txt</v>
      </c>
      <c r="AI228" s="239" t="str">
        <f t="shared" si="178"/>
        <v>echo {"issue":{"subject":"","project_id":79,"tracker_id":40,"status_id":1,"priority_id":2,"assigned_to_id":338,"start_date":"2017-11-29","description":"","custom_fields":[{"id":1,"name":"Subdivision","value":"Other"},{"id":4,"name":"Milepost","value":"2.4235"},{"id":17,"name":"Train ID","value":"903-29"},{"id":16,"name":"Locomotive ID","value":"4018"},{"id":130,"name":"Impact","value":""},{"id":150,"name":"Time of Event (Mountain Time)","value":"08:43:09"},{"id":151,"name":"Denver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232"/>
      <c r="AL228" s="232"/>
      <c r="AM228" s="241" t="str">
        <f t="shared" si="179"/>
        <v>start /low /b %USERPROFILE%\Documents\GitHub\eaglep3\Utilities\DownloadLogsFromS3.py --loco 4018 --day 2017-11-29</v>
      </c>
      <c r="AN228" s="242" t="str">
        <f t="shared" si="180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15:43:09"},{"id":29,"name":"Sharepoint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231" t="str">
        <f t="shared" si="181"/>
        <v>https://d0f6bd738d7f1b3e5a7ca70fe4ff75f0.us-east-1.aws.found.io/app/kibana#/discover/Steve-Slow-Train-Analysis-(2080s-and-2083s)?_g=(refreshInterval:(display:Off,pause:!f,section:0,value:0),time:(from:'2017-11-29T07:33:05-0700',mode:absolute,to:'2017-11-29T09:43:09-0700'))&amp;_a=(columns:!('Message%20ID',Summary),filters:!(),index:'emp_*',interval:auto,query:(query_string:(analyze_wildcard:!t,query:'%22rtdc.l.rtdc.4018%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 s="230" t="s">
        <v>794</v>
      </c>
      <c r="B229" s="226">
        <v>4017</v>
      </c>
      <c r="C229" s="228" t="s">
        <v>192</v>
      </c>
      <c r="D229" s="228" t="s">
        <v>1099</v>
      </c>
      <c r="E229" s="227">
        <v>43068.633761574078</v>
      </c>
      <c r="F229" s="227">
        <v>43068.636944444443</v>
      </c>
      <c r="G229" s="226">
        <v>121</v>
      </c>
      <c r="H229" s="228" t="s">
        <v>566</v>
      </c>
      <c r="I229" s="227">
        <v>43068.642199074071</v>
      </c>
      <c r="J229" s="226">
        <v>0</v>
      </c>
      <c r="K229" s="238" t="str">
        <f t="shared" si="170"/>
        <v>4017/4018</v>
      </c>
      <c r="L229" s="246" t="str">
        <f>VLOOKUP(A229,'Trips&amp;Operators'!$C$1:$G$99911,5,FALSE)</f>
        <v>STAMBAUGH JAMES</v>
      </c>
      <c r="M229" s="225">
        <f t="shared" si="171"/>
        <v>5.2546296283253469E-3</v>
      </c>
      <c r="N229" s="226">
        <f t="shared" si="182"/>
        <v>7.5666666647884995</v>
      </c>
      <c r="O229" s="226"/>
      <c r="P229" s="226"/>
      <c r="Q229" s="229"/>
      <c r="R229" s="243"/>
      <c r="S229" s="250">
        <f t="shared" si="172"/>
        <v>1</v>
      </c>
      <c r="T229" s="243" t="str">
        <f t="shared" si="173"/>
        <v>Southbound</v>
      </c>
      <c r="U229" s="247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249" t="str">
        <f t="shared" si="167"/>
        <v>https://d0f6bd738d7f1b3e5a7ca70fe4ff75f0.us-east-1.aws.found.io/app/kibana#/discover/Steve-Slow-Train-Analysis-(2080s-and-2083s)?_g=(refreshInterval:(display:Off,pause:!f,section:0,value:0),time:(from:'2017-11-29T14:12:37-0700',mode:absolute,to:'2017-11-29T16:24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9" s="248" t="str">
        <f>IF(AA229&lt;VLOOKUP(AG229,Variables!$AC$3:$AD$8,2,FALSE),"Y","N")</f>
        <v>Y</v>
      </c>
      <c r="X229" s="248">
        <f t="shared" si="183"/>
        <v>1</v>
      </c>
      <c r="Y229" s="248">
        <f t="shared" si="165"/>
        <v>2.3715999999999999</v>
      </c>
      <c r="Z229" s="248">
        <f t="shared" si="166"/>
        <v>1.5800000000000002E-2</v>
      </c>
      <c r="AA229" s="248">
        <f t="shared" si="174"/>
        <v>2.3557999999999999</v>
      </c>
      <c r="AB229" s="234" t="e">
        <f>VLOOKUP(A229,Enforcements!$C$7:$K$9,8,0)</f>
        <v>#N/A</v>
      </c>
      <c r="AC229" s="233" t="e">
        <f>VLOOKUP(A229,Enforcements!$C$7:$E$9,3,0)</f>
        <v>#N/A</v>
      </c>
      <c r="AD229" s="244">
        <f t="shared" si="175"/>
        <v>904</v>
      </c>
      <c r="AE229" s="236" t="str">
        <f t="shared" si="168"/>
        <v>aws s3 cp s3://rtdc.mdm.uploadarchive.raw/RTDC4017/ "%USERPROFILE%\AppData\Local\Temp\OnboardLogs"\RTDC4017\2017-11-29 --exclude "*" --recursive --include "*20171129*" &amp; "%USERPROFILE%\Documents\GitHub\mrs-test-scripts\Headless Mode &amp; Sideloading\WalkAndUnGZ.bat" "%USERPROFILE%\AppData\Local\Temp\OnboardLogs"\RTDC4017\2017-11-29 &amp; aws s3 cp s3://rtdc.mdm.uploadarchive.raw/RTDC4017/ "%USERPROFILE%\AppData\Local\Temp\OnboardLogs"\RTDC4017\2017-11-30 --exclude "*" --recursive --include "*20171130*" &amp; "%USERPROFILE%\Documents\GitHub\mrs-test-scripts\Headless Mode &amp; Sideloading\WalkAndUnGZ.bat" "%USERPROFILE%\AppData\Local\Temp\OnboardLogs"\RTDC4017\2017-11-30</v>
      </c>
      <c r="AF229" s="235" t="str">
        <f t="shared" si="169"/>
        <v>"C:\Program Files (x86)\AstroGrep\AstroGrep.exe" /e /r /s /spath="%USERPROFILE%\AppData\Local\Temp\OnboardLogs" /stypes="app*4017*20171129*" /stext=" 22:.+((SYSTEM_STATE.+slice.+state.+changed )|(ment ac)|(multiple cpu faults)|(system.+state.+changed )|(\[timeout)|(PRM\|1\|D)|(kpr)|(kdp)|(train st.+moving)|(\|lc)|(penalty))"</v>
      </c>
      <c r="AG229" s="245" t="str">
        <f t="shared" si="176"/>
        <v>Other</v>
      </c>
      <c r="AH229" s="237" t="str">
        <f t="shared" si="177"/>
        <v>"%USERPROFILE%\Documents\GitHub\eaglep3\Utilities\RefineRTDCRunTimes.py" --tripid 904-29 --locoid 4017 --swversion DE.1.0.9.0 --startMP 300:23716 --initTime 2017-11-29T15:12:37 --startdatetime 2017-11-29T15:17:12 --delay 121 --endMP 204:158 --enddatetime 2017-11-29T15:24:46 --enforcementcount 0 &gt;&gt;%USERPROFILE%\Documents\GitHub\eaglep3-reporting\EC\2017-11-29-refined-times.txt</v>
      </c>
      <c r="AI229" s="239" t="str">
        <f t="shared" si="178"/>
        <v>echo {"issue":{"subject":"","project_id":79,"tracker_id":40,"status_id":1,"priority_id":2,"assigned_to_id":338,"start_date":"2017-11-29","description":"","custom_fields":[{"id":1,"name":"Subdivision","value":"Other"},{"id":4,"name":"Milepost","value":"0.0158"},{"id":17,"name":"Train ID","value":"904-29"},{"id":16,"name":"Locomotive ID","value":"4017"},{"id":130,"name":"Impact","value":""},{"id":150,"name":"Time of Event (Mountain Time)","value":"15:24:46"},{"id":151,"name":"Denver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9" s="224"/>
      <c r="AK229" s="232"/>
      <c r="AL229" s="232"/>
      <c r="AM229" s="241" t="str">
        <f t="shared" si="179"/>
        <v>start /low /b %USERPROFILE%\Documents\GitHub\eaglep3\Utilities\DownloadLogsFromS3.py --loco 4017 --day 2017-11-29</v>
      </c>
      <c r="AN229" s="242" t="str">
        <f t="shared" si="180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22:24:46"},{"id":29,"name":"Sharepoint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231" t="str">
        <f t="shared" si="181"/>
        <v>https://d0f6bd738d7f1b3e5a7ca70fe4ff75f0.us-east-1.aws.found.io/app/kibana#/discover/Steve-Slow-Train-Analysis-(2080s-and-2083s)?_g=(refreshInterval:(display:Off,pause:!f,section:0,value:0),time:(from:'2017-11-29T14:12:37-0700',mode:absolute,to:'2017-11-29T16:24:46-0700'))&amp;_a=(columns:!('Message%20ID',Summary),filters:!(),index:'emp_*',interval:auto,query:(query_string:(analyze_wildcard:!t,query:'%22rtdc.l.rtdc.4017%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 s="230" t="s">
        <v>839</v>
      </c>
      <c r="B230" s="226">
        <v>4017</v>
      </c>
      <c r="C230" s="228" t="s">
        <v>192</v>
      </c>
      <c r="D230" s="228" t="s">
        <v>1100</v>
      </c>
      <c r="E230" s="227">
        <v>43068.788321759261</v>
      </c>
      <c r="F230" s="227">
        <v>43068.789305555554</v>
      </c>
      <c r="G230" s="226">
        <v>48</v>
      </c>
      <c r="H230" s="228" t="s">
        <v>1101</v>
      </c>
      <c r="I230" s="227">
        <v>43068.795798611114</v>
      </c>
      <c r="J230" s="226">
        <v>0</v>
      </c>
      <c r="K230" s="238" t="str">
        <f t="shared" si="170"/>
        <v>4017/4018</v>
      </c>
      <c r="L230" s="246" t="str">
        <f>VLOOKUP(A230,'Trips&amp;Operators'!$C$1:$G$99911,5,FALSE)</f>
        <v>STAMBAUGH JAMES</v>
      </c>
      <c r="M230" s="225">
        <f t="shared" si="171"/>
        <v>6.4930555599858053E-3</v>
      </c>
      <c r="N230" s="226">
        <f t="shared" si="182"/>
        <v>9.3500000063795596</v>
      </c>
      <c r="O230" s="226"/>
      <c r="P230" s="226"/>
      <c r="Q230" s="229"/>
      <c r="R230" s="243"/>
      <c r="S230" s="250">
        <f t="shared" si="172"/>
        <v>0</v>
      </c>
      <c r="T230" s="243" t="str">
        <f t="shared" si="173"/>
        <v>Southbound</v>
      </c>
      <c r="U230" s="247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49" t="str">
        <f t="shared" si="167"/>
        <v>https://d0f6bd738d7f1b3e5a7ca70fe4ff75f0.us-east-1.aws.found.io/app/kibana#/discover/Steve-Slow-Train-Analysis-(2080s-and-2083s)?_g=(refreshInterval:(display:Off,pause:!f,section:0,value:0),time:(from:'2017-11-29T17:55:11-0700',mode:absolute,to:'2017-11-29T20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0" s="248" t="str">
        <f>IF(AA230&lt;VLOOKUP(AG230,Variables!$AC$3:$AD$8,2,FALSE),"Y","N")</f>
        <v>Y</v>
      </c>
      <c r="X230" s="248">
        <f t="shared" si="183"/>
        <v>2</v>
      </c>
      <c r="Y230" s="248">
        <f t="shared" si="165"/>
        <v>5.8630000000000004</v>
      </c>
      <c r="Z230" s="248">
        <f t="shared" si="166"/>
        <v>2.8774000000000002</v>
      </c>
      <c r="AA230" s="248">
        <f t="shared" si="174"/>
        <v>2.9856000000000003</v>
      </c>
      <c r="AB230" s="234" t="e">
        <f>VLOOKUP(A230,Enforcements!$C$7:$K$9,8,0)</f>
        <v>#N/A</v>
      </c>
      <c r="AC230" s="233" t="e">
        <f>VLOOKUP(A230,Enforcements!$C$7:$E$9,3,0)</f>
        <v>#N/A</v>
      </c>
      <c r="AD230" s="244">
        <f t="shared" si="175"/>
        <v>906</v>
      </c>
      <c r="AE230" s="236" t="str">
        <f t="shared" si="168"/>
        <v>aws s3 cp s3://rtdc.mdm.uploadarchive.raw/RTDC4017/ "%USERPROFILE%\AppData\Local\Temp\OnboardLogs"\RTDC4017\2017-11-29 --exclude "*" --recursive --include "*20171129*" &amp; "%USERPROFILE%\Documents\GitHub\mrs-test-scripts\Headless Mode &amp; Sideloading\WalkAndUnGZ.bat" "%USERPROFILE%\AppData\Local\Temp\OnboardLogs"\RTDC4017\2017-11-29 &amp; aws s3 cp s3://rtdc.mdm.uploadarchive.raw/RTDC4017/ "%USERPROFILE%\AppData\Local\Temp\OnboardLogs"\RTDC4017\2017-11-30 --exclude "*" --recursive --include "*20171130*" &amp; "%USERPROFILE%\Documents\GitHub\mrs-test-scripts\Headless Mode &amp; Sideloading\WalkAndUnGZ.bat" "%USERPROFILE%\AppData\Local\Temp\OnboardLogs"\RTDC4017\2017-11-30</v>
      </c>
      <c r="AF230" s="235" t="str">
        <f t="shared" si="169"/>
        <v>"C:\Program Files (x86)\AstroGrep\AstroGrep.exe" /e /r /s /spath="%USERPROFILE%\AppData\Local\Temp\OnboardLogs" /stypes="app*4017*20171130*" /stext=" 02:.+((SYSTEM_STATE.+slice.+state.+changed )|(ment ac)|(multiple cpu faults)|(system.+state.+changed )|(\[timeout)|(PRM\|1\|D)|(kpr)|(kdp)|(train st.+moving)|(\|lc)|(penalty))"</v>
      </c>
      <c r="AG230" s="245" t="str">
        <f t="shared" si="176"/>
        <v>Other</v>
      </c>
      <c r="AH230" s="237" t="str">
        <f t="shared" si="177"/>
        <v>"%USERPROFILE%\Documents\GitHub\eaglep3\Utilities\RefineRTDCRunTimes.py" --tripid 906-29 --locoid 4017 --swversion DE.1.0.9.0 --startMP 300:58630 --initTime 2017-11-29T18:55:11 --startdatetime 2017-11-29T18:56:36 --delay 48 --endMP 300:28774 --enddatetime 2017-11-29T19:05:57 --enforcementcount 0 &gt;&gt;%USERPROFILE%\Documents\GitHub\eaglep3-reporting\EC\2017-11-29-refined-times.txt</v>
      </c>
      <c r="AI230" s="239" t="str">
        <f t="shared" si="178"/>
        <v>echo {"issue":{"subject":"","project_id":79,"tracker_id":40,"status_id":1,"priority_id":2,"assigned_to_id":338,"start_date":"2017-11-29","description":"","custom_fields":[{"id":1,"name":"Subdivision","value":"Other"},{"id":4,"name":"Milepost","value":"2.8774"},{"id":17,"name":"Train ID","value":"906-29"},{"id":16,"name":"Locomotive ID","value":"4017"},{"id":130,"name":"Impact","value":""},{"id":150,"name":"Time of Event (Mountain Time)","value":"19:05:57"},{"id":151,"name":"Denver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0" s="224"/>
      <c r="AK230" s="232"/>
      <c r="AL230" s="232"/>
      <c r="AM230" s="241" t="str">
        <f t="shared" si="179"/>
        <v>start /low /b %USERPROFILE%\Documents\GitHub\eaglep3\Utilities\DownloadLogsFromS3.py --loco 4017 --day 2017-11-29</v>
      </c>
      <c r="AN230" s="242" t="str">
        <f t="shared" si="180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02:05:57"},{"id":29,"name":"Sharepoint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231" t="str">
        <f t="shared" si="181"/>
        <v>https://d0f6bd738d7f1b3e5a7ca70fe4ff75f0.us-east-1.aws.found.io/app/kibana#/discover/Steve-Slow-Train-Analysis-(2080s-and-2083s)?_g=(refreshInterval:(display:Off,pause:!f,section:0,value:0),time:(from:'2017-11-29T17:55:11-0700',mode:absolute,to:'2017-11-29T20:05:57-0700'))&amp;_a=(columns:!('Message%20ID',Summary),filters:!(),index:'emp_*',interval:auto,query:(query_string:(analyze_wildcard:!t,query:'%22rtdc.l.rtdc.4017%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 s="230" t="s">
        <v>865</v>
      </c>
      <c r="B231" s="226">
        <v>4031</v>
      </c>
      <c r="C231" s="228" t="s">
        <v>192</v>
      </c>
      <c r="D231" s="228" t="s">
        <v>1102</v>
      </c>
      <c r="E231" s="227">
        <v>43068.975104166668</v>
      </c>
      <c r="F231" s="227">
        <v>43068.976388888892</v>
      </c>
      <c r="G231" s="226">
        <v>58</v>
      </c>
      <c r="H231" s="228" t="s">
        <v>1103</v>
      </c>
      <c r="I231" s="227">
        <v>43068.983425925922</v>
      </c>
      <c r="J231" s="226">
        <v>0</v>
      </c>
      <c r="K231" s="238" t="str">
        <f t="shared" si="170"/>
        <v>4031/4032</v>
      </c>
      <c r="L231" s="246" t="str">
        <f>VLOOKUP(A231,'Trips&amp;Operators'!$C$1:$G$99911,5,FALSE)</f>
        <v>STAMBAUGH JAMES</v>
      </c>
      <c r="M231" s="225">
        <f t="shared" si="171"/>
        <v>7.0370370303862728E-3</v>
      </c>
      <c r="N231" s="226">
        <f t="shared" si="182"/>
        <v>10.133333323756233</v>
      </c>
      <c r="O231" s="226"/>
      <c r="P231" s="226"/>
      <c r="Q231" s="229"/>
      <c r="R231" s="243"/>
      <c r="S231" s="250">
        <f t="shared" si="172"/>
        <v>0</v>
      </c>
      <c r="T231" s="243" t="str">
        <f t="shared" si="173"/>
        <v>Southbound</v>
      </c>
      <c r="U231" s="247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49" t="str">
        <f t="shared" si="167"/>
        <v>https://d0f6bd738d7f1b3e5a7ca70fe4ff75f0.us-east-1.aws.found.io/app/kibana#/discover/Steve-Slow-Train-Analysis-(2080s-and-2083s)?_g=(refreshInterval:(display:Off,pause:!f,section:0,value:0),time:(from:'2017-11-29T22:24:09-0700',mode:absolute,to:'2017-11-30T00:36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31" s="248" t="str">
        <f>IF(AA231&lt;VLOOKUP(AG231,Variables!$AC$3:$AD$8,2,FALSE),"Y","N")</f>
        <v>Y</v>
      </c>
      <c r="X231" s="248">
        <f t="shared" si="183"/>
        <v>2</v>
      </c>
      <c r="Y231" s="248">
        <f t="shared" si="165"/>
        <v>5.8620999999999999</v>
      </c>
      <c r="Z231" s="248">
        <f t="shared" si="166"/>
        <v>2.8780000000000001</v>
      </c>
      <c r="AA231" s="248">
        <f t="shared" si="174"/>
        <v>2.9840999999999998</v>
      </c>
      <c r="AB231" s="234" t="e">
        <f>VLOOKUP(A231,Enforcements!$C$7:$K$9,8,0)</f>
        <v>#N/A</v>
      </c>
      <c r="AC231" s="233" t="e">
        <f>VLOOKUP(A231,Enforcements!$C$7:$E$9,3,0)</f>
        <v>#N/A</v>
      </c>
      <c r="AD231" s="244">
        <f t="shared" si="175"/>
        <v>908</v>
      </c>
      <c r="AE231" s="236" t="str">
        <f t="shared" si="168"/>
        <v>aws s3 cp s3://rtdc.mdm.uploadarchive.raw/RTDC4031/ "%USERPROFILE%\AppData\Local\Temp\OnboardLogs"\RTDC4031\2017-11-29 --exclude "*" --recursive --include "*20171129*" &amp; "%USERPROFILE%\Documents\GitHub\mrs-test-scripts\Headless Mode &amp; Sideloading\WalkAndUnGZ.bat" "%USERPROFILE%\AppData\Local\Temp\OnboardLogs"\RTDC4031\2017-11-29 &amp; aws s3 cp s3://rtdc.mdm.uploadarchive.raw/RTDC4031/ "%USERPROFILE%\AppData\Local\Temp\OnboardLogs"\RTDC4031\2017-11-30 --exclude "*" --recursive --include "*20171130*" &amp; "%USERPROFILE%\Documents\GitHub\mrs-test-scripts\Headless Mode &amp; Sideloading\WalkAndUnGZ.bat" "%USERPROFILE%\AppData\Local\Temp\OnboardLogs"\RTDC4031\2017-11-30</v>
      </c>
      <c r="AF231" s="235" t="str">
        <f t="shared" si="169"/>
        <v>"C:\Program Files (x86)\AstroGrep\AstroGrep.exe" /e /r /s /spath="%USERPROFILE%\AppData\Local\Temp\OnboardLogs" /stypes="app*4031*20171130*" /stext=" 06:.+((SYSTEM_STATE.+slice.+state.+changed )|(ment ac)|(multiple cpu faults)|(system.+state.+changed )|(\[timeout)|(PRM\|1\|D)|(kpr)|(kdp)|(train st.+moving)|(\|lc)|(penalty))"</v>
      </c>
      <c r="AG231" s="245" t="str">
        <f t="shared" si="176"/>
        <v>Other</v>
      </c>
      <c r="AH231" s="237" t="str">
        <f t="shared" si="177"/>
        <v>"%USERPROFILE%\Documents\GitHub\eaglep3\Utilities\RefineRTDCRunTimes.py" --tripid 908-29 --locoid 4031 --swversion DE.1.0.9.0 --startMP 300:58621 --initTime 2017-11-29T23:24:09 --startdatetime 2017-11-29T23:26:00 --delay 58 --endMP 300:28780 --enddatetime 2017-11-29T23:36:08 --enforcementcount 0 &gt;&gt;%USERPROFILE%\Documents\GitHub\eaglep3-reporting\EC\2017-11-29-refined-times.txt</v>
      </c>
      <c r="AI231" s="239" t="str">
        <f t="shared" si="178"/>
        <v>echo {"issue":{"subject":"","project_id":79,"tracker_id":40,"status_id":1,"priority_id":2,"assigned_to_id":338,"start_date":"2017-11-29","description":"","custom_fields":[{"id":1,"name":"Subdivision","value":"Other"},{"id":4,"name":"Milepost","value":"2.878"},{"id":17,"name":"Train ID","value":"908-29"},{"id":16,"name":"Locomotive ID","value":"4031"},{"id":130,"name":"Impact","value":""},{"id":150,"name":"Time of Event (Mountain Time)","value":"23:36:08"},{"id":151,"name":"Denver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1" s="224"/>
      <c r="AK231" s="232"/>
      <c r="AL231" s="232"/>
      <c r="AM231" s="241" t="str">
        <f t="shared" si="179"/>
        <v>start /low /b %USERPROFILE%\Documents\GitHub\eaglep3\Utilities\DownloadLogsFromS3.py --loco 4031 --day 2017-11-29</v>
      </c>
      <c r="AN231" s="242" t="str">
        <f t="shared" si="180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06:36:08"},{"id":29,"name":"Sharepoint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231" t="str">
        <f t="shared" si="181"/>
        <v>https://d0f6bd738d7f1b3e5a7ca70fe4ff75f0.us-east-1.aws.found.io/app/kibana#/discover/Steve-Slow-Train-Analysis-(2080s-and-2083s)?_g=(refreshInterval:(display:Off,pause:!f,section:0,value:0),time:(from:'2017-11-29T22:24:09-0700',mode:absolute,to:'2017-11-30T00:36:08-0700'))&amp;_a=(columns:!('Message%20ID',Summary),filters:!(),index:'emp_*',interval:auto,query:(query_string:(analyze_wildcard:!t,query:'%22rtdc.l.rtdc.4031%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 s="230" t="s">
        <v>741</v>
      </c>
      <c r="B232" s="226">
        <v>4045</v>
      </c>
      <c r="C232" s="228" t="s">
        <v>192</v>
      </c>
      <c r="D232" s="228" t="s">
        <v>991</v>
      </c>
      <c r="E232" s="227">
        <v>43068.444421296299</v>
      </c>
      <c r="F232" s="227">
        <v>43068.449907407405</v>
      </c>
      <c r="G232" s="226">
        <v>75</v>
      </c>
      <c r="H232" s="228" t="s">
        <v>992</v>
      </c>
      <c r="I232" s="227">
        <v>43068.45689814815</v>
      </c>
      <c r="J232" s="226">
        <v>0</v>
      </c>
      <c r="K232" s="238" t="str">
        <f t="shared" si="170"/>
        <v>4045/4046</v>
      </c>
      <c r="L232" s="246" t="str">
        <f>VLOOKUP(A232,'Trips&amp;Operators'!$C$1:$G$99911,5,FALSE)</f>
        <v>MOSES BRADLEY</v>
      </c>
      <c r="M232" s="225">
        <f t="shared" si="171"/>
        <v>6.9907407450955361E-3</v>
      </c>
      <c r="N232" s="226">
        <f t="shared" si="182"/>
        <v>10.066666672937572</v>
      </c>
      <c r="O232" s="226"/>
      <c r="P232" s="226"/>
      <c r="Q232" s="229"/>
      <c r="R232" s="243"/>
      <c r="S232" s="250">
        <f t="shared" si="172"/>
        <v>1</v>
      </c>
      <c r="T232" s="243" t="str">
        <f t="shared" si="173"/>
        <v>Southbound</v>
      </c>
      <c r="U232" s="247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49" t="str">
        <f t="shared" si="167"/>
        <v>https://d0f6bd738d7f1b3e5a7ca70fe4ff75f0.us-east-1.aws.found.io/app/kibana#/discover/Steve-Slow-Train-Analysis-(2080s-and-2083s)?_g=(refreshInterval:(display:Off,pause:!f,section:0,value:0),time:(from:'2017-11-29T09:39:58-0700',mode:absolute,to:'2017-11-29T11:57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2" s="248" t="str">
        <f>IF(AA232&lt;VLOOKUP(AG232,Variables!$AC$3:$AD$8,2,FALSE),"Y","N")</f>
        <v>Y</v>
      </c>
      <c r="X232" s="248">
        <f t="shared" si="183"/>
        <v>-852</v>
      </c>
      <c r="Y232" s="248">
        <f t="shared" si="165"/>
        <v>2.0246</v>
      </c>
      <c r="Z232" s="248">
        <f t="shared" si="166"/>
        <v>0.1212</v>
      </c>
      <c r="AA232" s="248">
        <f t="shared" si="174"/>
        <v>1.9034</v>
      </c>
      <c r="AB232" s="234" t="e">
        <f>VLOOKUP(A232,Enforcements!$C$7:$K$9,8,0)</f>
        <v>#N/A</v>
      </c>
      <c r="AC232" s="233" t="e">
        <f>VLOOKUP(A232,Enforcements!$C$7:$E$9,3,0)</f>
        <v>#N/A</v>
      </c>
      <c r="AD232" s="244">
        <f t="shared" si="175"/>
        <v>56</v>
      </c>
      <c r="AE232" s="236" t="str">
        <f t="shared" si="168"/>
        <v>aws s3 cp s3://rtdc.mdm.uploadarchive.raw/RTDC4045/ "%USERPROFILE%\AppData\Local\Temp\OnboardLogs"\RTDC4045\2017-11-29 --exclude "*" --recursive --include "*20171129*" &amp; "%USERPROFILE%\Documents\GitHub\mrs-test-scripts\Headless Mode &amp; Sideloading\WalkAndUnGZ.bat" "%USERPROFILE%\AppData\Local\Temp\OnboardLogs"\RTDC4045\2017-11-29 &amp; aws s3 cp s3://rtdc.mdm.uploadarchive.raw/RTDC4045/ "%USERPROFILE%\AppData\Local\Temp\OnboardLogs"\RTDC4045\2017-11-30 --exclude "*" --recursive --include "*20171130*" &amp; "%USERPROFILE%\Documents\GitHub\mrs-test-scripts\Headless Mode &amp; Sideloading\WalkAndUnGZ.bat" "%USERPROFILE%\AppData\Local\Temp\OnboardLogs"\RTDC4045\2017-11-30</v>
      </c>
      <c r="AF232" s="235" t="str">
        <f t="shared" si="169"/>
        <v>"C:\Program Files (x86)\AstroGrep\AstroGrep.exe" /e /r /s /spath="%USERPROFILE%\AppData\Local\Temp\OnboardLogs" /stypes="app*4045*20171129*" /stext=" 17:.+((SYSTEM_STATE.+slice.+state.+changed )|(ment ac)|(multiple cpu faults)|(system.+state.+changed )|(\[timeout)|(PRM\|1\|D)|(kpr)|(kdp)|(train st.+moving)|(\|lc)|(penalty))"</v>
      </c>
      <c r="AG232" s="245" t="str">
        <f t="shared" si="176"/>
        <v>Shuttle/Test</v>
      </c>
      <c r="AH232" s="237" t="str">
        <f t="shared" si="177"/>
        <v>"%USERPROFILE%\Documents\GitHub\eaglep3\Utilities\RefineRTDCRunTimes.py" --tripid 56-29 --locoid 4045 --swversion DE.1.0.9.0 --startMP 300:20246 --initTime 2017-11-29T10:39:58 --startdatetime 2017-11-29T10:47:52 --delay 75 --endMP 204:1212 --enddatetime 2017-11-29T10:57:56 --enforcementcount 0 &gt;&gt;%USERPROFILE%\Documents\GitHub\eaglep3-reporting\EC\2017-11-29-refined-times.txt</v>
      </c>
      <c r="AI232" s="239" t="str">
        <f t="shared" si="178"/>
        <v>echo {"issue":{"subject":"","project_id":79,"tracker_id":40,"status_id":1,"priority_id":2,"assigned_to_id":338,"start_date":"2017-11-29","description":"","custom_fields":[{"id":1,"name":"Subdivision","value":"Shuttle/Test"},{"id":4,"name":"Milepost","value":"0.1212"},{"id":17,"name":"Train ID","value":"56-29"},{"id":16,"name":"Locomotive ID","value":"4045"},{"id":130,"name":"Impact","value":""},{"id":150,"name":"Time of Event (Mountain Time)","value":"10:57:56"},{"id":151,"name":"Denver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2" s="224"/>
      <c r="AK232" s="232"/>
      <c r="AL232" s="232"/>
      <c r="AM232" s="241" t="str">
        <f t="shared" si="179"/>
        <v>start /low /b %USERPROFILE%\Documents\GitHub\eaglep3\Utilities\DownloadLogsFromS3.py --loco 4045 --day 2017-11-29</v>
      </c>
      <c r="AN232" s="242" t="str">
        <f t="shared" si="180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17:57:56"},{"id":29,"name":"Sharepoint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231" t="str">
        <f t="shared" si="181"/>
        <v>https://d0f6bd738d7f1b3e5a7ca70fe4ff75f0.us-east-1.aws.found.io/app/kibana#/discover/Steve-Slow-Train-Analysis-(2080s-and-2083s)?_g=(refreshInterval:(display:Off,pause:!f,section:0,value:0),time:(from:'2017-11-29T09:39:58-0700',mode:absolute,to:'2017-11-29T11:57:56-0700'))&amp;_a=(columns:!('Message%20ID',Summary),filters:!(),index:'emp_*',interval:auto,query:(query_string:(analyze_wildcard:!t,query:'%22rtdc.l.rtdc.4045%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 s="230" t="s">
        <v>752</v>
      </c>
      <c r="B233" s="226">
        <v>4046</v>
      </c>
      <c r="C233" s="228" t="s">
        <v>192</v>
      </c>
      <c r="D233" s="228" t="s">
        <v>993</v>
      </c>
      <c r="E233" s="227">
        <v>43068.478437500002</v>
      </c>
      <c r="F233" s="227">
        <v>43068.480590277781</v>
      </c>
      <c r="G233" s="226">
        <v>101</v>
      </c>
      <c r="H233" s="228" t="s">
        <v>994</v>
      </c>
      <c r="I233" s="227">
        <v>43068.485115740739</v>
      </c>
      <c r="J233" s="226">
        <v>0</v>
      </c>
      <c r="K233" s="238" t="str">
        <f t="shared" si="170"/>
        <v>4045/4046</v>
      </c>
      <c r="L233" s="246" t="str">
        <f>VLOOKUP(A233,'Trips&amp;Operators'!$C$1:$G$99911,5,FALSE)</f>
        <v>YORK EDGAR</v>
      </c>
      <c r="M233" s="225">
        <f t="shared" si="171"/>
        <v>4.5254629585542716E-3</v>
      </c>
      <c r="N233" s="226">
        <f t="shared" si="182"/>
        <v>6.5166666603181511</v>
      </c>
      <c r="O233" s="226"/>
      <c r="P233" s="226"/>
      <c r="Q233" s="229"/>
      <c r="R233" s="243"/>
      <c r="S233" s="250">
        <f t="shared" si="172"/>
        <v>1</v>
      </c>
      <c r="T233" s="243" t="str">
        <f t="shared" si="173"/>
        <v>NorthBound</v>
      </c>
      <c r="U233" s="247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249" t="str">
        <f t="shared" si="167"/>
        <v>https://d0f6bd738d7f1b3e5a7ca70fe4ff75f0.us-east-1.aws.found.io/app/kibana#/discover/Steve-Slow-Train-Analysis-(2080s-and-2083s)?_g=(refreshInterval:(display:Off,pause:!f,section:0,value:0),time:(from:'2017-11-29T10:28:57-0700',mode:absolute,to:'2017-11-29T12:38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3" s="248" t="str">
        <f>IF(AA233&lt;VLOOKUP(AG233,Variables!$AC$3:$AD$8,2,FALSE),"Y","N")</f>
        <v>Y</v>
      </c>
      <c r="X233" s="248">
        <f t="shared" si="183"/>
        <v>1</v>
      </c>
      <c r="Y233" s="248">
        <f t="shared" si="165"/>
        <v>0.14799999999999999</v>
      </c>
      <c r="Z233" s="248">
        <f t="shared" si="166"/>
        <v>2.4216000000000002</v>
      </c>
      <c r="AA233" s="248">
        <f t="shared" si="174"/>
        <v>2.2736000000000001</v>
      </c>
      <c r="AB233" s="234" t="e">
        <f>VLOOKUP(A233,Enforcements!$C$7:$K$9,8,0)</f>
        <v>#N/A</v>
      </c>
      <c r="AC233" s="233" t="e">
        <f>VLOOKUP(A233,Enforcements!$C$7:$E$9,3,0)</f>
        <v>#N/A</v>
      </c>
      <c r="AD233" s="244">
        <f t="shared" si="175"/>
        <v>57</v>
      </c>
      <c r="AE233" s="236" t="str">
        <f t="shared" si="168"/>
        <v>aws s3 cp s3://rtdc.mdm.uploadarchive.raw/RTDC4046/ "%USERPROFILE%\AppData\Local\Temp\OnboardLogs"\RTDC4046\2017-11-29 --exclude "*" --recursive --include "*20171129*" &amp; "%USERPROFILE%\Documents\GitHub\mrs-test-scripts\Headless Mode &amp; Sideloading\WalkAndUnGZ.bat" "%USERPROFILE%\AppData\Local\Temp\OnboardLogs"\RTDC4046\2017-11-29 &amp; aws s3 cp s3://rtdc.mdm.uploadarchive.raw/RTDC4046/ "%USERPROFILE%\AppData\Local\Temp\OnboardLogs"\RTDC4046\2017-11-30 --exclude "*" --recursive --include "*20171130*" &amp; "%USERPROFILE%\Documents\GitHub\mrs-test-scripts\Headless Mode &amp; Sideloading\WalkAndUnGZ.bat" "%USERPROFILE%\AppData\Local\Temp\OnboardLogs"\RTDC4046\2017-11-30</v>
      </c>
      <c r="AF233" s="235" t="str">
        <f t="shared" si="169"/>
        <v>"C:\Program Files (x86)\AstroGrep\AstroGrep.exe" /e /r /s /spath="%USERPROFILE%\AppData\Local\Temp\OnboardLogs" /stypes="app*4046*20171129*" /stext=" 18:.+((SYSTEM_STATE.+slice.+state.+changed )|(ment ac)|(multiple cpu faults)|(system.+state.+changed )|(\[timeout)|(PRM\|1\|D)|(kpr)|(kdp)|(train st.+moving)|(\|lc)|(penalty))"</v>
      </c>
      <c r="AG233" s="245" t="str">
        <f t="shared" si="176"/>
        <v>Shuttle/Test</v>
      </c>
      <c r="AH233" s="237" t="str">
        <f t="shared" si="177"/>
        <v>"%USERPROFILE%\Documents\GitHub\eaglep3\Utilities\RefineRTDCRunTimes.py" --tripid 57-29 --locoid 4046 --swversion DE.1.0.9.0 --startMP 204:1480 --initTime 2017-11-29T11:28:57 --startdatetime 2017-11-29T11:32:03 --delay 101 --endMP 300:24216 --enddatetime 2017-11-29T11:38:34 --enforcementcount 0 &gt;&gt;%USERPROFILE%\Documents\GitHub\eaglep3-reporting\EC\2017-11-29-refined-times.txt</v>
      </c>
      <c r="AI233" s="239" t="str">
        <f t="shared" si="178"/>
        <v>echo {"issue":{"subject":"","project_id":79,"tracker_id":40,"status_id":1,"priority_id":2,"assigned_to_id":338,"start_date":"2017-11-29","description":"","custom_fields":[{"id":1,"name":"Subdivision","value":"Shuttle/Test"},{"id":4,"name":"Milepost","value":"2.4216"},{"id":17,"name":"Train ID","value":"57-29"},{"id":16,"name":"Locomotive ID","value":"4046"},{"id":130,"name":"Impact","value":""},{"id":150,"name":"Time of Event (Mountain Time)","value":"11:38:34"},{"id":151,"name":"Denver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3" s="224"/>
      <c r="AK233" s="232"/>
      <c r="AL233" s="232"/>
      <c r="AM233" s="241" t="str">
        <f t="shared" si="179"/>
        <v>start /low /b %USERPROFILE%\Documents\GitHub\eaglep3\Utilities\DownloadLogsFromS3.py --loco 4046 --day 2017-11-29</v>
      </c>
      <c r="AN233" s="242" t="str">
        <f t="shared" si="180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18:38:34"},{"id":29,"name":"Sharepoint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231" t="str">
        <f t="shared" si="181"/>
        <v>https://d0f6bd738d7f1b3e5a7ca70fe4ff75f0.us-east-1.aws.found.io/app/kibana#/discover/Steve-Slow-Train-Analysis-(2080s-and-2083s)?_g=(refreshInterval:(display:Off,pause:!f,section:0,value:0),time:(from:'2017-11-29T10:28:57-0700',mode:absolute,to:'2017-11-29T12:38:34-0700'))&amp;_a=(columns:!('Message%20ID',Summary),filters:!(),index:'emp_*',interval:auto,query:(query_string:(analyze_wildcard:!t,query:'%22rtdc.l.rtdc.4046%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 s="230" t="s">
        <v>775</v>
      </c>
      <c r="B234" s="226">
        <v>4044</v>
      </c>
      <c r="C234" s="228" t="s">
        <v>192</v>
      </c>
      <c r="D234" s="228" t="s">
        <v>996</v>
      </c>
      <c r="E234" s="227">
        <v>43068.559317129628</v>
      </c>
      <c r="F234" s="227">
        <v>43068.566678240742</v>
      </c>
      <c r="G234" s="226">
        <v>95</v>
      </c>
      <c r="H234" s="228" t="s">
        <v>997</v>
      </c>
      <c r="I234" s="227">
        <v>43068.569178240738</v>
      </c>
      <c r="J234" s="226">
        <v>0</v>
      </c>
      <c r="K234" s="238" t="str">
        <f t="shared" si="170"/>
        <v>4043/4044</v>
      </c>
      <c r="L234" s="246" t="str">
        <f>VLOOKUP(A234,'Trips&amp;Operators'!$C$1:$G$99911,5,FALSE)</f>
        <v>DE LA ROSA ALEX</v>
      </c>
      <c r="M234" s="225">
        <f t="shared" si="171"/>
        <v>2.4999999950523488E-3</v>
      </c>
      <c r="N234" s="226">
        <f t="shared" si="182"/>
        <v>3.5999999928753823</v>
      </c>
      <c r="O234" s="226"/>
      <c r="P234" s="226"/>
      <c r="Q234" s="229"/>
      <c r="R234" s="243"/>
      <c r="S234" s="250">
        <f t="shared" si="172"/>
        <v>0</v>
      </c>
      <c r="T234" s="243" t="str">
        <f t="shared" si="173"/>
        <v>NorthBound</v>
      </c>
      <c r="U234" s="247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49" t="str">
        <f t="shared" si="167"/>
        <v>https://d0f6bd738d7f1b3e5a7ca70fe4ff75f0.us-east-1.aws.found.io/app/kibana#/discover/Steve-Slow-Train-Analysis-(2080s-and-2083s)?_g=(refreshInterval:(display:Off,pause:!f,section:0,value:0),time:(from:'2017-11-29T12:25:25-0700',mode:absolute,to:'2017-11-29T14:39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34" s="248" t="str">
        <f>IF(AA234&lt;VLOOKUP(AG234,Variables!$AC$3:$AD$8,2,FALSE),"Y","N")</f>
        <v>Y</v>
      </c>
      <c r="X234" s="248">
        <f t="shared" si="183"/>
        <v>2</v>
      </c>
      <c r="Y234" s="248">
        <f t="shared" si="165"/>
        <v>0.1157</v>
      </c>
      <c r="Z234" s="248">
        <f t="shared" si="166"/>
        <v>0.5423</v>
      </c>
      <c r="AA234" s="248">
        <f t="shared" si="174"/>
        <v>0.42659999999999998</v>
      </c>
      <c r="AB234" s="234" t="e">
        <f>VLOOKUP(A234,Enforcements!$C$7:$K$9,8,0)</f>
        <v>#N/A</v>
      </c>
      <c r="AC234" s="233" t="e">
        <f>VLOOKUP(A234,Enforcements!$C$7:$E$9,3,0)</f>
        <v>#N/A</v>
      </c>
      <c r="AD234" s="244">
        <f t="shared" si="175"/>
        <v>59</v>
      </c>
      <c r="AE234" s="236" t="str">
        <f t="shared" si="168"/>
        <v>aws s3 cp s3://rtdc.mdm.uploadarchive.raw/RTDC4044/ "%USERPROFILE%\AppData\Local\Temp\OnboardLogs"\RTDC4044\2017-11-29 --exclude "*" --recursive --include "*20171129*" &amp; "%USERPROFILE%\Documents\GitHub\mrs-test-scripts\Headless Mode &amp; Sideloading\WalkAndUnGZ.bat" "%USERPROFILE%\AppData\Local\Temp\OnboardLogs"\RTDC4044\2017-11-29 &amp; aws s3 cp s3://rtdc.mdm.uploadarchive.raw/RTDC4044/ "%USERPROFILE%\AppData\Local\Temp\OnboardLogs"\RTDC4044\2017-11-30 --exclude "*" --recursive --include "*20171130*" &amp; "%USERPROFILE%\Documents\GitHub\mrs-test-scripts\Headless Mode &amp; Sideloading\WalkAndUnGZ.bat" "%USERPROFILE%\AppData\Local\Temp\OnboardLogs"\RTDC4044\2017-11-30</v>
      </c>
      <c r="AF234" s="235" t="str">
        <f t="shared" si="169"/>
        <v>"C:\Program Files (x86)\AstroGrep\AstroGrep.exe" /e /r /s /spath="%USERPROFILE%\AppData\Local\Temp\OnboardLogs" /stypes="app*4044*20171129*" /stext=" 20:.+((SYSTEM_STATE.+slice.+state.+changed )|(ment ac)|(multiple cpu faults)|(system.+state.+changed )|(\[timeout)|(PRM\|1\|D)|(kpr)|(kdp)|(train st.+moving)|(\|lc)|(penalty))"</v>
      </c>
      <c r="AG234" s="245" t="str">
        <f t="shared" si="176"/>
        <v>Shuttle/Test</v>
      </c>
      <c r="AH234" s="237" t="str">
        <f t="shared" si="177"/>
        <v>"%USERPROFILE%\Documents\GitHub\eaglep3\Utilities\RefineRTDCRunTimes.py" --tripid 59-29 --locoid 4044 --swversion DE.1.0.9.0 --startMP 204:1157 --initTime 2017-11-29T13:25:25 --startdatetime 2017-11-29T13:36:01 --delay 95 --endMP 300:5423 --enddatetime 2017-11-29T13:39:37 --enforcementcount 0 &gt;&gt;%USERPROFILE%\Documents\GitHub\eaglep3-reporting\EC\2017-11-29-refined-times.txt</v>
      </c>
      <c r="AI234" s="239" t="str">
        <f t="shared" si="178"/>
        <v>echo {"issue":{"subject":"","project_id":79,"tracker_id":40,"status_id":1,"priority_id":2,"assigned_to_id":338,"start_date":"2017-11-29","description":"","custom_fields":[{"id":1,"name":"Subdivision","value":"Shuttle/Test"},{"id":4,"name":"Milepost","value":"0.5423"},{"id":17,"name":"Train ID","value":"59-29"},{"id":16,"name":"Locomotive ID","value":"4044"},{"id":130,"name":"Impact","value":""},{"id":150,"name":"Time of Event (Mountain Time)","value":"13:39:37"},{"id":151,"name":"Denver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4" s="224"/>
      <c r="AK234" s="232"/>
      <c r="AL234" s="232"/>
      <c r="AM234" s="241" t="str">
        <f t="shared" si="179"/>
        <v>start /low /b %USERPROFILE%\Documents\GitHub\eaglep3\Utilities\DownloadLogsFromS3.py --loco 4044 --day 2017-11-29</v>
      </c>
      <c r="AN234" s="242" t="str">
        <f t="shared" si="180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20:39:37"},{"id":29,"name":"Sharepoint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231" t="str">
        <f t="shared" si="181"/>
        <v>https://d0f6bd738d7f1b3e5a7ca70fe4ff75f0.us-east-1.aws.found.io/app/kibana#/discover/Steve-Slow-Train-Analysis-(2080s-and-2083s)?_g=(refreshInterval:(display:Off,pause:!f,section:0,value:0),time:(from:'2017-11-29T12:25:25-0700',mode:absolute,to:'2017-11-29T14:39:37-0700'))&amp;_a=(columns:!('Message%20ID',Summary),filters:!(),index:'emp_*',interval:auto,query:(query_string:(analyze_wildcard:!t,query:'%22rtdc.l.rtdc.4044%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 s="230" t="s">
        <v>775</v>
      </c>
      <c r="B235" s="226">
        <v>4043</v>
      </c>
      <c r="C235" s="228" t="s">
        <v>192</v>
      </c>
      <c r="D235" s="228" t="s">
        <v>995</v>
      </c>
      <c r="E235" s="227">
        <v>43068.56454861111</v>
      </c>
      <c r="F235" s="227">
        <v>43068.566678240742</v>
      </c>
      <c r="G235" s="226">
        <v>104</v>
      </c>
      <c r="H235" s="228" t="s">
        <v>560</v>
      </c>
      <c r="I235" s="227">
        <v>43068.569178240738</v>
      </c>
      <c r="J235" s="226">
        <v>0</v>
      </c>
      <c r="K235" s="238" t="str">
        <f t="shared" si="170"/>
        <v>4043/4044</v>
      </c>
      <c r="L235" s="246" t="str">
        <f>VLOOKUP(A235,'Trips&amp;Operators'!$C$1:$G$99911,5,FALSE)</f>
        <v>DE LA ROSA ALEX</v>
      </c>
      <c r="M235" s="225">
        <f t="shared" si="171"/>
        <v>2.4999999950523488E-3</v>
      </c>
      <c r="N235" s="226">
        <f t="shared" si="182"/>
        <v>3.5999999928753823</v>
      </c>
      <c r="O235" s="226"/>
      <c r="P235" s="226"/>
      <c r="Q235" s="229"/>
      <c r="R235" s="243"/>
      <c r="S235" s="250">
        <f t="shared" si="172"/>
        <v>0</v>
      </c>
      <c r="T235" s="243" t="str">
        <f t="shared" si="173"/>
        <v>NorthBound</v>
      </c>
      <c r="U235" s="247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49" t="str">
        <f t="shared" si="167"/>
        <v>https://d0f6bd738d7f1b3e5a7ca70fe4ff75f0.us-east-1.aws.found.io/app/kibana#/discover/Steve-Slow-Train-Analysis-(2080s-and-2083s)?_g=(refreshInterval:(display:Off,pause:!f,section:0,value:0),time:(from:'2017-11-29T12:32:57-0700',mode:absolute,to:'2017-11-29T14:39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35" s="248" t="str">
        <f>IF(AA235&lt;VLOOKUP(AG235,Variables!$AC$3:$AD$8,2,FALSE),"Y","N")</f>
        <v>Y</v>
      </c>
      <c r="X235" s="248">
        <f t="shared" si="183"/>
        <v>0</v>
      </c>
      <c r="Y235" s="248">
        <f t="shared" si="165"/>
        <v>0.51060000000000005</v>
      </c>
      <c r="Z235" s="248">
        <f t="shared" si="166"/>
        <v>1.38E-2</v>
      </c>
      <c r="AA235" s="248">
        <f t="shared" si="174"/>
        <v>0.49680000000000007</v>
      </c>
      <c r="AB235" s="234" t="e">
        <f>VLOOKUP(A235,Enforcements!$C$7:$K$9,8,0)</f>
        <v>#N/A</v>
      </c>
      <c r="AC235" s="233" t="e">
        <f>VLOOKUP(A235,Enforcements!$C$7:$E$9,3,0)</f>
        <v>#N/A</v>
      </c>
      <c r="AD235" s="244">
        <f t="shared" si="175"/>
        <v>59</v>
      </c>
      <c r="AE235" s="236" t="str">
        <f t="shared" si="168"/>
        <v>aws s3 cp s3://rtdc.mdm.uploadarchive.raw/RTDC4043/ "%USERPROFILE%\AppData\Local\Temp\OnboardLogs"\RTDC4043\2017-11-29 --exclude "*" --recursive --include "*20171129*" &amp; "%USERPROFILE%\Documents\GitHub\mrs-test-scripts\Headless Mode &amp; Sideloading\WalkAndUnGZ.bat" "%USERPROFILE%\AppData\Local\Temp\OnboardLogs"\RTDC4043\2017-11-29 &amp; aws s3 cp s3://rtdc.mdm.uploadarchive.raw/RTDC4043/ "%USERPROFILE%\AppData\Local\Temp\OnboardLogs"\RTDC4043\2017-11-30 --exclude "*" --recursive --include "*20171130*" &amp; "%USERPROFILE%\Documents\GitHub\mrs-test-scripts\Headless Mode &amp; Sideloading\WalkAndUnGZ.bat" "%USERPROFILE%\AppData\Local\Temp\OnboardLogs"\RTDC4043\2017-11-30</v>
      </c>
      <c r="AF235" s="235" t="str">
        <f t="shared" si="169"/>
        <v>"C:\Program Files (x86)\AstroGrep\AstroGrep.exe" /e /r /s /spath="%USERPROFILE%\AppData\Local\Temp\OnboardLogs" /stypes="app*4043*20171129*" /stext=" 20:.+((SYSTEM_STATE.+slice.+state.+changed )|(ment ac)|(multiple cpu faults)|(system.+state.+changed )|(\[timeout)|(PRM\|1\|D)|(kpr)|(kdp)|(train st.+moving)|(\|lc)|(penalty))"</v>
      </c>
      <c r="AG235" s="245" t="str">
        <f t="shared" si="176"/>
        <v>Shuttle/Test</v>
      </c>
      <c r="AH235" s="237" t="str">
        <f t="shared" si="177"/>
        <v>"%USERPROFILE%\Documents\GitHub\eaglep3\Utilities\RefineRTDCRunTimes.py" --tripid 59-29 --locoid 4043 --swversion DE.1.0.9.0 --startMP 300:5106 --initTime 2017-11-29T13:32:57 --startdatetime 2017-11-29T13:36:01 --delay 104 --endMP 204:138 --enddatetime 2017-11-29T13:39:37 --enforcementcount 0 &gt;&gt;%USERPROFILE%\Documents\GitHub\eaglep3-reporting\EC\2017-11-29-refined-times.txt</v>
      </c>
      <c r="AI235" s="239" t="str">
        <f t="shared" si="178"/>
        <v>echo {"issue":{"subject":"","project_id":79,"tracker_id":40,"status_id":1,"priority_id":2,"assigned_to_id":338,"start_date":"2017-11-29","description":"","custom_fields":[{"id":1,"name":"Subdivision","value":"Shuttle/Test"},{"id":4,"name":"Milepost","value":"0.0138"},{"id":17,"name":"Train ID","value":"59-29"},{"id":16,"name":"Locomotive ID","value":"4043"},{"id":130,"name":"Impact","value":""},{"id":150,"name":"Time of Event (Mountain Time)","value":"13:39:37"},{"id":151,"name":"Denver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5" s="224"/>
      <c r="AK235" s="232"/>
      <c r="AL235" s="232"/>
      <c r="AM235" s="241" t="str">
        <f t="shared" si="179"/>
        <v>start /low /b %USERPROFILE%\Documents\GitHub\eaglep3\Utilities\DownloadLogsFromS3.py --loco 4043 --day 2017-11-29</v>
      </c>
      <c r="AN235" s="242" t="str">
        <f t="shared" si="180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20:39:37"},{"id":29,"name":"Sharepoint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231" t="str">
        <f t="shared" si="181"/>
        <v>https://d0f6bd738d7f1b3e5a7ca70fe4ff75f0.us-east-1.aws.found.io/app/kibana#/discover/Steve-Slow-Train-Analysis-(2080s-and-2083s)?_g=(refreshInterval:(display:Off,pause:!f,section:0,value:0),time:(from:'2017-11-29T12:32:57-0700',mode:absolute,to:'2017-11-29T14:39:37-0700'))&amp;_a=(columns:!('Message%20ID',Summary),filters:!(),index:'emp_*',interval:auto,query:(query_string:(analyze_wildcard:!t,query:'%22rtdc.l.rtdc.4043%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 s="230" t="s">
        <v>748</v>
      </c>
      <c r="B236" s="226">
        <v>4049</v>
      </c>
      <c r="C236" s="228" t="s">
        <v>192</v>
      </c>
      <c r="D236" s="228" t="s">
        <v>998</v>
      </c>
      <c r="E236" s="227">
        <v>43068.467152777775</v>
      </c>
      <c r="F236" s="227">
        <v>43068.471168981479</v>
      </c>
      <c r="G236" s="226">
        <v>76</v>
      </c>
      <c r="H236" s="228" t="s">
        <v>606</v>
      </c>
      <c r="I236" s="227">
        <v>43068.490127314813</v>
      </c>
      <c r="J236" s="226">
        <v>0</v>
      </c>
      <c r="K236" s="238" t="str">
        <f t="shared" si="170"/>
        <v>4049/4050</v>
      </c>
      <c r="L236" s="246" t="str">
        <f>VLOOKUP(A236,'Trips&amp;Operators'!$C$1:$G$99911,5,FALSE)</f>
        <v>PAGE MARCUS</v>
      </c>
      <c r="M236" s="225">
        <f t="shared" si="171"/>
        <v>1.8958333334012423E-2</v>
      </c>
      <c r="N236" s="226">
        <f t="shared" si="182"/>
        <v>27.300000000977889</v>
      </c>
      <c r="O236" s="226"/>
      <c r="P236" s="226"/>
      <c r="Q236" s="229"/>
      <c r="R236" s="243"/>
      <c r="S236" s="250">
        <f t="shared" si="172"/>
        <v>1</v>
      </c>
      <c r="T236" s="243" t="str">
        <f t="shared" si="173"/>
        <v>Southbound</v>
      </c>
      <c r="U236" s="247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249" t="str">
        <f t="shared" si="167"/>
        <v>https://d0f6bd738d7f1b3e5a7ca70fe4ff75f0.us-east-1.aws.found.io/app/kibana#/discover/Steve-Slow-Train-Analysis-(2080s-and-2083s)?_g=(refreshInterval:(display:Off,pause:!f,section:0,value:0),time:(from:'2017-11-29T10:12:42-0700',mode:absolute,to:'2017-11-29T12:45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6" s="248" t="str">
        <f>IF(AA236&lt;VLOOKUP(AG236,Variables!$AC$3:$AD$8,2,FALSE),"Y","N")</f>
        <v>Y</v>
      </c>
      <c r="X236" s="248">
        <f t="shared" si="183"/>
        <v>1</v>
      </c>
      <c r="Y236" s="248">
        <f t="shared" ref="Y236:Y267" si="184">RIGHT(D236,LEN(D236)-4)/10000</f>
        <v>11.219099999999999</v>
      </c>
      <c r="Z236" s="248">
        <f t="shared" ref="Z236:Z267" si="185">RIGHT(H236,LEN(H236)-4)/10000</f>
        <v>1.5299999999999999E-2</v>
      </c>
      <c r="AA236" s="248">
        <f t="shared" si="174"/>
        <v>11.203799999999999</v>
      </c>
      <c r="AB236" s="234" t="e">
        <f>VLOOKUP(A236,Enforcements!$C$7:$K$9,8,0)</f>
        <v>#N/A</v>
      </c>
      <c r="AC236" s="233" t="e">
        <f>VLOOKUP(A236,Enforcements!$C$7:$E$9,3,0)</f>
        <v>#N/A</v>
      </c>
      <c r="AD236" s="244">
        <f t="shared" si="175"/>
        <v>60</v>
      </c>
      <c r="AE236" s="236" t="str">
        <f t="shared" si="168"/>
        <v>aws s3 cp s3://rtdc.mdm.uploadarchive.raw/RTDC4049/ "%USERPROFILE%\AppData\Local\Temp\OnboardLogs"\RTDC4049\2017-11-29 --exclude "*" --recursive --include "*20171129*" &amp; "%USERPROFILE%\Documents\GitHub\mrs-test-scripts\Headless Mode &amp; Sideloading\WalkAndUnGZ.bat" "%USERPROFILE%\AppData\Local\Temp\OnboardLogs"\RTDC4049\2017-11-29 &amp; aws s3 cp s3://rtdc.mdm.uploadarchive.raw/RTDC4049/ "%USERPROFILE%\AppData\Local\Temp\OnboardLogs"\RTDC4049\2017-11-30 --exclude "*" --recursive --include "*20171130*" &amp; "%USERPROFILE%\Documents\GitHub\mrs-test-scripts\Headless Mode &amp; Sideloading\WalkAndUnGZ.bat" "%USERPROFILE%\AppData\Local\Temp\OnboardLogs"\RTDC4049\2017-11-30</v>
      </c>
      <c r="AF236" s="235" t="str">
        <f t="shared" si="169"/>
        <v>"C:\Program Files (x86)\AstroGrep\AstroGrep.exe" /e /r /s /spath="%USERPROFILE%\AppData\Local\Temp\OnboardLogs" /stypes="app*4049*20171129*" /stext=" 18:.+((SYSTEM_STATE.+slice.+state.+changed )|(ment ac)|(multiple cpu faults)|(system.+state.+changed )|(\[timeout)|(PRM\|1\|D)|(kpr)|(kdp)|(train st.+moving)|(\|lc)|(penalty))"</v>
      </c>
      <c r="AG236" s="245" t="str">
        <f t="shared" si="176"/>
        <v>Shuttle/Test</v>
      </c>
      <c r="AH236" s="237" t="str">
        <f t="shared" si="177"/>
        <v>"%USERPROFILE%\Documents\GitHub\eaglep3\Utilities\RefineRTDCRunTimes.py" --tripid 60-29 --locoid 4049 --swversion DE.1.0.9.0 --startMP 300:112191 --initTime 2017-11-29T11:12:42 --startdatetime 2017-11-29T11:18:29 --delay 76 --endMP 204:153 --enddatetime 2017-11-29T11:45:47 --enforcementcount 0 &gt;&gt;%USERPROFILE%\Documents\GitHub\eaglep3-reporting\EC\2017-11-29-refined-times.txt</v>
      </c>
      <c r="AI236" s="239" t="str">
        <f t="shared" si="178"/>
        <v>echo {"issue":{"subject":"","project_id":79,"tracker_id":40,"status_id":1,"priority_id":2,"assigned_to_id":338,"start_date":"2017-11-29","description":"","custom_fields":[{"id":1,"name":"Subdivision","value":"Shuttle/Test"},{"id":4,"name":"Milepost","value":"0.0153"},{"id":17,"name":"Train ID","value":"60-29"},{"id":16,"name":"Locomotive ID","value":"4049"},{"id":130,"name":"Impact","value":""},{"id":150,"name":"Time of Event (Mountain Time)","value":"11:45:47"},{"id":151,"name":"Denver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6" s="224"/>
      <c r="AK236" s="232"/>
      <c r="AL236" s="232"/>
      <c r="AM236" s="241" t="str">
        <f t="shared" si="179"/>
        <v>start /low /b %USERPROFILE%\Documents\GitHub\eaglep3\Utilities\DownloadLogsFromS3.py --loco 4049 --day 2017-11-29</v>
      </c>
      <c r="AN236" s="242" t="str">
        <f t="shared" si="180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18:45:47"},{"id":29,"name":"Sharepoint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231" t="str">
        <f t="shared" si="181"/>
        <v>https://d0f6bd738d7f1b3e5a7ca70fe4ff75f0.us-east-1.aws.found.io/app/kibana#/discover/Steve-Slow-Train-Analysis-(2080s-and-2083s)?_g=(refreshInterval:(display:Off,pause:!f,section:0,value:0),time:(from:'2017-11-29T10:12:42-0700',mode:absolute,to:'2017-11-29T12:45:47-0700'))&amp;_a=(columns:!('Message%20ID',Summary),filters:!(),index:'emp_*',interval:auto,query:(query_string:(analyze_wildcard:!t,query:'%22rtdc.l.rtdc.4049%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 s="230" t="s">
        <v>633</v>
      </c>
      <c r="B237" s="226">
        <v>4050</v>
      </c>
      <c r="C237" s="228" t="s">
        <v>192</v>
      </c>
      <c r="D237" s="228" t="s">
        <v>999</v>
      </c>
      <c r="E237" s="227">
        <v>43068.438414351855</v>
      </c>
      <c r="F237" s="227">
        <v>43068.444548611114</v>
      </c>
      <c r="G237" s="226">
        <v>352</v>
      </c>
      <c r="H237" s="228" t="s">
        <v>1000</v>
      </c>
      <c r="I237" s="227">
        <v>43068.465497685182</v>
      </c>
      <c r="J237" s="226">
        <v>0</v>
      </c>
      <c r="K237" s="238" t="str">
        <f t="shared" si="170"/>
        <v>4049/4050</v>
      </c>
      <c r="L237" s="246" t="str">
        <f>VLOOKUP(A237,'Trips&amp;Operators'!$C$1:$G$99911,5,FALSE)</f>
        <v>PAGE MARCUS</v>
      </c>
      <c r="M237" s="225">
        <f t="shared" si="171"/>
        <v>2.0949074067175388E-2</v>
      </c>
      <c r="N237" s="226">
        <f t="shared" si="182"/>
        <v>30.166666656732559</v>
      </c>
      <c r="O237" s="226"/>
      <c r="P237" s="226"/>
      <c r="Q237" s="229"/>
      <c r="R237" s="243"/>
      <c r="S237" s="250">
        <f t="shared" si="172"/>
        <v>1</v>
      </c>
      <c r="T237" s="243" t="str">
        <f t="shared" si="173"/>
        <v>NorthBound</v>
      </c>
      <c r="U237" s="247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249" t="str">
        <f t="shared" si="167"/>
        <v>https://d0f6bd738d7f1b3e5a7ca70fe4ff75f0.us-east-1.aws.found.io/app/kibana#/discover/Steve-Slow-Train-Analysis-(2080s-and-2083s)?_g=(refreshInterval:(display:Off,pause:!f,section:0,value:0),time:(from:'2017-11-29T09:31:19-0700',mode:absolute,to:'2017-11-29T12:10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7" s="248" t="str">
        <f>IF(AA237&lt;VLOOKUP(AG237,Variables!$AC$3:$AD$8,2,FALSE),"Y","N")</f>
        <v>Y</v>
      </c>
      <c r="X237" s="248">
        <f t="shared" si="183"/>
        <v>1</v>
      </c>
      <c r="Y237" s="248">
        <f t="shared" si="184"/>
        <v>4.8399999999999999E-2</v>
      </c>
      <c r="Z237" s="248">
        <f t="shared" si="185"/>
        <v>11.2509</v>
      </c>
      <c r="AA237" s="248">
        <f t="shared" si="174"/>
        <v>11.202500000000001</v>
      </c>
      <c r="AB237" s="234" t="e">
        <f>VLOOKUP(A237,Enforcements!$C$7:$K$9,8,0)</f>
        <v>#N/A</v>
      </c>
      <c r="AC237" s="233" t="e">
        <f>VLOOKUP(A237,Enforcements!$C$7:$E$9,3,0)</f>
        <v>#N/A</v>
      </c>
      <c r="AD237" s="244">
        <f t="shared" si="175"/>
        <v>61</v>
      </c>
      <c r="AE237" s="236" t="str">
        <f t="shared" si="168"/>
        <v>aws s3 cp s3://rtdc.mdm.uploadarchive.raw/RTDC4050/ "%USERPROFILE%\AppData\Local\Temp\OnboardLogs"\RTDC4050\2017-11-29 --exclude "*" --recursive --include "*20171129*" &amp; "%USERPROFILE%\Documents\GitHub\mrs-test-scripts\Headless Mode &amp; Sideloading\WalkAndUnGZ.bat" "%USERPROFILE%\AppData\Local\Temp\OnboardLogs"\RTDC4050\2017-11-29 &amp; aws s3 cp s3://rtdc.mdm.uploadarchive.raw/RTDC4050/ "%USERPROFILE%\AppData\Local\Temp\OnboardLogs"\RTDC4050\2017-11-30 --exclude "*" --recursive --include "*20171130*" &amp; "%USERPROFILE%\Documents\GitHub\mrs-test-scripts\Headless Mode &amp; Sideloading\WalkAndUnGZ.bat" "%USERPROFILE%\AppData\Local\Temp\OnboardLogs"\RTDC4050\2017-11-30</v>
      </c>
      <c r="AF237" s="235" t="str">
        <f t="shared" si="169"/>
        <v>"C:\Program Files (x86)\AstroGrep\AstroGrep.exe" /e /r /s /spath="%USERPROFILE%\AppData\Local\Temp\OnboardLogs" /stypes="app*4050*20171129*" /stext=" 18:.+((SYSTEM_STATE.+slice.+state.+changed )|(ment ac)|(multiple cpu faults)|(system.+state.+changed )|(\[timeout)|(PRM\|1\|D)|(kpr)|(kdp)|(train st.+moving)|(\|lc)|(penalty))"</v>
      </c>
      <c r="AG237" s="245" t="str">
        <f t="shared" si="176"/>
        <v>Shuttle/Test</v>
      </c>
      <c r="AH237" s="237" t="str">
        <f t="shared" si="177"/>
        <v>"%USERPROFILE%\Documents\GitHub\eaglep3\Utilities\RefineRTDCRunTimes.py" --tripid 61-29 --locoid 4050 --swversion DE.1.0.9.0 --startMP 204:484 --initTime 2017-11-29T10:31:19 --startdatetime 2017-11-29T10:40:09 --delay 352 --endMP 300:112509 --enddatetime 2017-11-29T11:10:19 --enforcementcount 0 &gt;&gt;%USERPROFILE%\Documents\GitHub\eaglep3-reporting\EC\2017-11-29-refined-times.txt</v>
      </c>
      <c r="AI237" s="239" t="str">
        <f t="shared" si="178"/>
        <v>echo {"issue":{"subject":"","project_id":79,"tracker_id":40,"status_id":1,"priority_id":2,"assigned_to_id":338,"start_date":"2017-11-29","description":"","custom_fields":[{"id":1,"name":"Subdivision","value":"Shuttle/Test"},{"id":4,"name":"Milepost","value":"11.2509"},{"id":17,"name":"Train ID","value":"61-29"},{"id":16,"name":"Locomotive ID","value":"4050"},{"id":130,"name":"Impact","value":""},{"id":150,"name":"Time of Event (Mountain Time)","value":"11:10:19"},{"id":151,"name":"Denver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7" s="224"/>
      <c r="AK237" s="232"/>
      <c r="AL237" s="232"/>
      <c r="AM237" s="241" t="str">
        <f t="shared" si="179"/>
        <v>start /low /b %USERPROFILE%\Documents\GitHub\eaglep3\Utilities\DownloadLogsFromS3.py --loco 4050 --day 2017-11-29</v>
      </c>
      <c r="AN237" s="242" t="str">
        <f t="shared" si="180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18:10:19"},{"id":29,"name":"Sharepoint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231" t="str">
        <f t="shared" si="181"/>
        <v>https://d0f6bd738d7f1b3e5a7ca70fe4ff75f0.us-east-1.aws.found.io/app/kibana#/discover/Steve-Slow-Train-Analysis-(2080s-and-2083s)?_g=(refreshInterval:(display:Off,pause:!f,section:0,value:0),time:(from:'2017-11-29T09:31:19-0700',mode:absolute,to:'2017-11-29T12:10:19-0700'))&amp;_a=(columns:!('Message%20ID',Summary),filters:!(),index:'emp_*',interval:auto,query:(query_string:(analyze_wildcard:!t,query:'%22rtdc.l.rtdc.4050%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 s="230" t="s">
        <v>631</v>
      </c>
      <c r="B238" s="226">
        <v>4049</v>
      </c>
      <c r="C238" s="228" t="s">
        <v>192</v>
      </c>
      <c r="D238" s="228" t="s">
        <v>595</v>
      </c>
      <c r="E238" s="227">
        <v>43068.368391203701</v>
      </c>
      <c r="F238" s="227">
        <v>43068.372164351851</v>
      </c>
      <c r="G238" s="226">
        <v>67</v>
      </c>
      <c r="H238" s="228" t="s">
        <v>1001</v>
      </c>
      <c r="I238" s="227">
        <v>43068.377372685187</v>
      </c>
      <c r="J238" s="226">
        <v>0</v>
      </c>
      <c r="K238" s="238" t="str">
        <f t="shared" si="170"/>
        <v>4049/4050</v>
      </c>
      <c r="L238" s="246" t="str">
        <f>VLOOKUP(A238,'Trips&amp;Operators'!$C$1:$G$99911,5,FALSE)</f>
        <v>ROMERO CHAD</v>
      </c>
      <c r="M238" s="225">
        <f t="shared" si="171"/>
        <v>5.2083333357586525E-3</v>
      </c>
      <c r="N238" s="226">
        <f t="shared" si="182"/>
        <v>7.5000000034924597</v>
      </c>
      <c r="O238" s="226"/>
      <c r="P238" s="226"/>
      <c r="Q238" s="229"/>
      <c r="R238" s="243"/>
      <c r="S238" s="250">
        <f t="shared" si="172"/>
        <v>1</v>
      </c>
      <c r="T238" s="243" t="str">
        <f t="shared" si="173"/>
        <v>Southbound</v>
      </c>
      <c r="U238" s="247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249" t="str">
        <f t="shared" si="167"/>
        <v>https://d0f6bd738d7f1b3e5a7ca70fe4ff75f0.us-east-1.aws.found.io/app/kibana#/discover/Steve-Slow-Train-Analysis-(2080s-and-2083s)?_g=(refreshInterval:(display:Off,pause:!f,section:0,value:0),time:(from:'2017-11-29T07:50:29-0700',mode:absolute,to:'2017-11-29T10:03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8" s="248" t="str">
        <f>IF(AA238&lt;VLOOKUP(AG238,Variables!$AC$3:$AD$8,2,FALSE),"Y","N")</f>
        <v>Y</v>
      </c>
      <c r="X238" s="248">
        <f t="shared" si="183"/>
        <v>1</v>
      </c>
      <c r="Y238" s="248">
        <f t="shared" si="184"/>
        <v>2.3481000000000001</v>
      </c>
      <c r="Z238" s="248">
        <f t="shared" si="185"/>
        <v>1.9099999999999999E-2</v>
      </c>
      <c r="AA238" s="248">
        <f t="shared" si="174"/>
        <v>2.3290000000000002</v>
      </c>
      <c r="AB238" s="234" t="e">
        <f>VLOOKUP(A238,Enforcements!$C$7:$K$9,8,0)</f>
        <v>#N/A</v>
      </c>
      <c r="AC238" s="233" t="e">
        <f>VLOOKUP(A238,Enforcements!$C$7:$E$9,3,0)</f>
        <v>#N/A</v>
      </c>
      <c r="AD238" s="244">
        <f t="shared" si="175"/>
        <v>62</v>
      </c>
      <c r="AE238" s="236" t="str">
        <f t="shared" si="168"/>
        <v>aws s3 cp s3://rtdc.mdm.uploadarchive.raw/RTDC4049/ "%USERPROFILE%\AppData\Local\Temp\OnboardLogs"\RTDC4049\2017-11-29 --exclude "*" --recursive --include "*20171129*" &amp; "%USERPROFILE%\Documents\GitHub\mrs-test-scripts\Headless Mode &amp; Sideloading\WalkAndUnGZ.bat" "%USERPROFILE%\AppData\Local\Temp\OnboardLogs"\RTDC4049\2017-11-29 &amp; aws s3 cp s3://rtdc.mdm.uploadarchive.raw/RTDC4049/ "%USERPROFILE%\AppData\Local\Temp\OnboardLogs"\RTDC4049\2017-11-30 --exclude "*" --recursive --include "*20171130*" &amp; "%USERPROFILE%\Documents\GitHub\mrs-test-scripts\Headless Mode &amp; Sideloading\WalkAndUnGZ.bat" "%USERPROFILE%\AppData\Local\Temp\OnboardLogs"\RTDC4049\2017-11-30</v>
      </c>
      <c r="AF238" s="235" t="str">
        <f t="shared" si="169"/>
        <v>"C:\Program Files (x86)\AstroGrep\AstroGrep.exe" /e /r /s /spath="%USERPROFILE%\AppData\Local\Temp\OnboardLogs" /stypes="app*4049*20171129*" /stext=" 16:.+((SYSTEM_STATE.+slice.+state.+changed )|(ment ac)|(multiple cpu faults)|(system.+state.+changed )|(\[timeout)|(PRM\|1\|D)|(kpr)|(kdp)|(train st.+moving)|(\|lc)|(penalty))"</v>
      </c>
      <c r="AG238" s="245" t="str">
        <f t="shared" si="176"/>
        <v>Shuttle/Test</v>
      </c>
      <c r="AH238" s="237" t="str">
        <f t="shared" si="177"/>
        <v>"%USERPROFILE%\Documents\GitHub\eaglep3\Utilities\RefineRTDCRunTimes.py" --tripid 62-29 --locoid 4049 --swversion DE.1.0.9.0 --startMP 300:23481 --initTime 2017-11-29T08:50:29 --startdatetime 2017-11-29T08:55:55 --delay 67 --endMP 204:191 --enddatetime 2017-11-29T09:03:25 --enforcementcount 0 &gt;&gt;%USERPROFILE%\Documents\GitHub\eaglep3-reporting\EC\2017-11-29-refined-times.txt</v>
      </c>
      <c r="AI238" s="239" t="str">
        <f t="shared" si="178"/>
        <v>echo {"issue":{"subject":"","project_id":79,"tracker_id":40,"status_id":1,"priority_id":2,"assigned_to_id":338,"start_date":"2017-11-29","description":"","custom_fields":[{"id":1,"name":"Subdivision","value":"Shuttle/Test"},{"id":4,"name":"Milepost","value":"0.0191"},{"id":17,"name":"Train ID","value":"62-29"},{"id":16,"name":"Locomotive ID","value":"4049"},{"id":130,"name":"Impact","value":""},{"id":150,"name":"Time of Event (Mountain Time)","value":"09:03:25"},{"id":151,"name":"Denver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8" s="224"/>
      <c r="AK238" s="232"/>
      <c r="AL238" s="232"/>
      <c r="AM238" s="241" t="str">
        <f t="shared" si="179"/>
        <v>start /low /b %USERPROFILE%\Documents\GitHub\eaglep3\Utilities\DownloadLogsFromS3.py --loco 4049 --day 2017-11-29</v>
      </c>
      <c r="AN238" s="242" t="str">
        <f t="shared" si="180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16:03:25"},{"id":29,"name":"Sharepoint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231" t="str">
        <f t="shared" si="181"/>
        <v>https://d0f6bd738d7f1b3e5a7ca70fe4ff75f0.us-east-1.aws.found.io/app/kibana#/discover/Steve-Slow-Train-Analysis-(2080s-and-2083s)?_g=(refreshInterval:(display:Off,pause:!f,section:0,value:0),time:(from:'2017-11-29T07:50:29-0700',mode:absolute,to:'2017-11-29T10:03:25-0700'))&amp;_a=(columns:!('Message%20ID',Summary),filters:!(),index:'emp_*',interval:auto,query:(query_string:(analyze_wildcard:!t,query:'%22rtdc.l.rtdc.4049%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 s="230" t="s">
        <v>631</v>
      </c>
      <c r="B239" s="226">
        <v>4049</v>
      </c>
      <c r="C239" s="228" t="s">
        <v>192</v>
      </c>
      <c r="D239" s="228" t="s">
        <v>1002</v>
      </c>
      <c r="E239" s="227">
        <v>43068.414456018516</v>
      </c>
      <c r="F239" s="227">
        <v>43068.417141203703</v>
      </c>
      <c r="G239" s="226">
        <v>66</v>
      </c>
      <c r="H239" s="228" t="s">
        <v>1003</v>
      </c>
      <c r="I239" s="227">
        <v>43068.436192129629</v>
      </c>
      <c r="J239" s="226">
        <v>0</v>
      </c>
      <c r="K239" s="238" t="str">
        <f t="shared" si="170"/>
        <v>4049/4050</v>
      </c>
      <c r="L239" s="246" t="str">
        <f>VLOOKUP(A239,'Trips&amp;Operators'!$C$1:$G$99911,5,FALSE)</f>
        <v>ROMERO CHAD</v>
      </c>
      <c r="M239" s="225">
        <f t="shared" si="171"/>
        <v>1.9050925926421769E-2</v>
      </c>
      <c r="N239" s="226">
        <f t="shared" si="182"/>
        <v>27.433333334047347</v>
      </c>
      <c r="O239" s="226"/>
      <c r="P239" s="226"/>
      <c r="Q239" s="229"/>
      <c r="R239" s="243"/>
      <c r="S239" s="250">
        <f t="shared" si="172"/>
        <v>1</v>
      </c>
      <c r="T239" s="243" t="str">
        <f t="shared" si="173"/>
        <v>Southbound</v>
      </c>
      <c r="U239" s="247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249" t="str">
        <f t="shared" si="167"/>
        <v>https://d0f6bd738d7f1b3e5a7ca70fe4ff75f0.us-east-1.aws.found.io/app/kibana#/discover/Steve-Slow-Train-Analysis-(2080s-and-2083s)?_g=(refreshInterval:(display:Off,pause:!f,section:0,value:0),time:(from:'2017-11-29T08:56:49-0700',mode:absolute,to:'2017-11-29T11:28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9" s="248" t="str">
        <f>IF(AA239&lt;VLOOKUP(AG239,Variables!$AC$3:$AD$8,2,FALSE),"Y","N")</f>
        <v>Y</v>
      </c>
      <c r="X239" s="248">
        <f t="shared" si="183"/>
        <v>0</v>
      </c>
      <c r="Y239" s="248">
        <f t="shared" si="184"/>
        <v>11.2258</v>
      </c>
      <c r="Z239" s="248">
        <f t="shared" si="185"/>
        <v>1.8599999999999998E-2</v>
      </c>
      <c r="AA239" s="248">
        <f t="shared" si="174"/>
        <v>11.2072</v>
      </c>
      <c r="AB239" s="234" t="e">
        <f>VLOOKUP(A239,Enforcements!$C$7:$K$9,8,0)</f>
        <v>#N/A</v>
      </c>
      <c r="AC239" s="233" t="e">
        <f>VLOOKUP(A239,Enforcements!$C$7:$E$9,3,0)</f>
        <v>#N/A</v>
      </c>
      <c r="AD239" s="244">
        <f t="shared" si="175"/>
        <v>62</v>
      </c>
      <c r="AE239" s="236" t="str">
        <f t="shared" si="168"/>
        <v>aws s3 cp s3://rtdc.mdm.uploadarchive.raw/RTDC4049/ "%USERPROFILE%\AppData\Local\Temp\OnboardLogs"\RTDC4049\2017-11-29 --exclude "*" --recursive --include "*20171129*" &amp; "%USERPROFILE%\Documents\GitHub\mrs-test-scripts\Headless Mode &amp; Sideloading\WalkAndUnGZ.bat" "%USERPROFILE%\AppData\Local\Temp\OnboardLogs"\RTDC4049\2017-11-29 &amp; aws s3 cp s3://rtdc.mdm.uploadarchive.raw/RTDC4049/ "%USERPROFILE%\AppData\Local\Temp\OnboardLogs"\RTDC4049\2017-11-30 --exclude "*" --recursive --include "*20171130*" &amp; "%USERPROFILE%\Documents\GitHub\mrs-test-scripts\Headless Mode &amp; Sideloading\WalkAndUnGZ.bat" "%USERPROFILE%\AppData\Local\Temp\OnboardLogs"\RTDC4049\2017-11-30</v>
      </c>
      <c r="AF239" s="235" t="str">
        <f t="shared" si="169"/>
        <v>"C:\Program Files (x86)\AstroGrep\AstroGrep.exe" /e /r /s /spath="%USERPROFILE%\AppData\Local\Temp\OnboardLogs" /stypes="app*4049*20171129*" /stext=" 17:.+((SYSTEM_STATE.+slice.+state.+changed )|(ment ac)|(multiple cpu faults)|(system.+state.+changed )|(\[timeout)|(PRM\|1\|D)|(kpr)|(kdp)|(train st.+moving)|(\|lc)|(penalty))"</v>
      </c>
      <c r="AG239" s="245" t="str">
        <f t="shared" si="176"/>
        <v>Shuttle/Test</v>
      </c>
      <c r="AH239" s="237" t="str">
        <f t="shared" si="177"/>
        <v>"%USERPROFILE%\Documents\GitHub\eaglep3\Utilities\RefineRTDCRunTimes.py" --tripid 62-29 --locoid 4049 --swversion DE.1.0.9.0 --startMP 300:112258 --initTime 2017-11-29T09:56:49 --startdatetime 2017-11-29T10:00:41 --delay 66 --endMP 204:186 --enddatetime 2017-11-29T10:28:07 --enforcementcount 0 &gt;&gt;%USERPROFILE%\Documents\GitHub\eaglep3-reporting\EC\2017-11-29-refined-times.txt</v>
      </c>
      <c r="AI239" s="239" t="str">
        <f t="shared" si="178"/>
        <v>echo {"issue":{"subject":"","project_id":79,"tracker_id":40,"status_id":1,"priority_id":2,"assigned_to_id":338,"start_date":"2017-11-29","description":"","custom_fields":[{"id":1,"name":"Subdivision","value":"Shuttle/Test"},{"id":4,"name":"Milepost","value":"0.0186"},{"id":17,"name":"Train ID","value":"62-29"},{"id":16,"name":"Locomotive ID","value":"4049"},{"id":130,"name":"Impact","value":""},{"id":150,"name":"Time of Event (Mountain Time)","value":"10:28:07"},{"id":151,"name":"Denver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9" s="224"/>
      <c r="AK239" s="232"/>
      <c r="AL239" s="232"/>
      <c r="AM239" s="241" t="str">
        <f t="shared" si="179"/>
        <v>start /low /b %USERPROFILE%\Documents\GitHub\eaglep3\Utilities\DownloadLogsFromS3.py --loco 4049 --day 2017-11-29</v>
      </c>
      <c r="AN239" s="242" t="str">
        <f t="shared" si="180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17:28:07"},{"id":29,"name":"Sharepoint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231" t="str">
        <f t="shared" si="181"/>
        <v>https://d0f6bd738d7f1b3e5a7ca70fe4ff75f0.us-east-1.aws.found.io/app/kibana#/discover/Steve-Slow-Train-Analysis-(2080s-and-2083s)?_g=(refreshInterval:(display:Off,pause:!f,section:0,value:0),time:(from:'2017-11-29T08:56:49-0700',mode:absolute,to:'2017-11-29T11:28:07-0700'))&amp;_a=(columns:!('Message%20ID',Summary),filters:!(),index:'emp_*',interval:auto,query:(query_string:(analyze_wildcard:!t,query:'%22rtdc.l.rtdc.4049%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 s="230" t="s">
        <v>725</v>
      </c>
      <c r="B240" s="226">
        <v>4050</v>
      </c>
      <c r="C240" s="228" t="s">
        <v>192</v>
      </c>
      <c r="D240" s="228" t="s">
        <v>1004</v>
      </c>
      <c r="E240" s="227">
        <v>43068.388124999998</v>
      </c>
      <c r="F240" s="227">
        <v>43068.393622685187</v>
      </c>
      <c r="G240" s="226">
        <v>85</v>
      </c>
      <c r="H240" s="228" t="s">
        <v>1005</v>
      </c>
      <c r="I240" s="227">
        <v>43068.412662037037</v>
      </c>
      <c r="J240" s="226">
        <v>0</v>
      </c>
      <c r="K240" s="238" t="str">
        <f t="shared" si="170"/>
        <v>4049/4050</v>
      </c>
      <c r="L240" s="246" t="str">
        <f>VLOOKUP(A240,'Trips&amp;Operators'!$C$1:$G$99911,5,FALSE)</f>
        <v>ROMERO CHAD</v>
      </c>
      <c r="M240" s="225">
        <f t="shared" si="171"/>
        <v>1.9039351849642117E-2</v>
      </c>
      <c r="N240" s="226">
        <f t="shared" si="182"/>
        <v>27.416666663484648</v>
      </c>
      <c r="O240" s="226"/>
      <c r="P240" s="226"/>
      <c r="Q240" s="229"/>
      <c r="R240" s="243"/>
      <c r="S240" s="250">
        <f t="shared" si="172"/>
        <v>1</v>
      </c>
      <c r="T240" s="243" t="str">
        <f t="shared" si="173"/>
        <v>NorthBound</v>
      </c>
      <c r="U240" s="247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1</v>
      </c>
      <c r="V240" s="249" t="str">
        <f t="shared" si="167"/>
        <v>https://d0f6bd738d7f1b3e5a7ca70fe4ff75f0.us-east-1.aws.found.io/app/kibana#/discover/Steve-Slow-Train-Analysis-(2080s-and-2083s)?_g=(refreshInterval:(display:Off,pause:!f,section:0,value:0),time:(from:'2017-11-29T08:18:54-0700',mode:absolute,to:'2017-11-29T10:54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0" s="248" t="str">
        <f>IF(AA240&lt;VLOOKUP(AG240,Variables!$AC$3:$AD$8,2,FALSE),"Y","N")</f>
        <v>Y</v>
      </c>
      <c r="X240" s="248">
        <f t="shared" si="183"/>
        <v>1</v>
      </c>
      <c r="Y240" s="248">
        <f t="shared" si="184"/>
        <v>4.8599999999999997E-2</v>
      </c>
      <c r="Z240" s="248">
        <f t="shared" si="185"/>
        <v>11.257</v>
      </c>
      <c r="AA240" s="248">
        <f t="shared" si="174"/>
        <v>11.208399999999999</v>
      </c>
      <c r="AB240" s="234" t="e">
        <f>VLOOKUP(A240,Enforcements!$C$7:$K$9,8,0)</f>
        <v>#N/A</v>
      </c>
      <c r="AC240" s="233" t="e">
        <f>VLOOKUP(A240,Enforcements!$C$7:$E$9,3,0)</f>
        <v>#N/A</v>
      </c>
      <c r="AD240" s="244">
        <f t="shared" si="175"/>
        <v>63</v>
      </c>
      <c r="AE240" s="236" t="str">
        <f t="shared" si="168"/>
        <v>aws s3 cp s3://rtdc.mdm.uploadarchive.raw/RTDC4050/ "%USERPROFILE%\AppData\Local\Temp\OnboardLogs"\RTDC4050\2017-11-29 --exclude "*" --recursive --include "*20171129*" &amp; "%USERPROFILE%\Documents\GitHub\mrs-test-scripts\Headless Mode &amp; Sideloading\WalkAndUnGZ.bat" "%USERPROFILE%\AppData\Local\Temp\OnboardLogs"\RTDC4050\2017-11-29 &amp; aws s3 cp s3://rtdc.mdm.uploadarchive.raw/RTDC4050/ "%USERPROFILE%\AppData\Local\Temp\OnboardLogs"\RTDC4050\2017-11-30 --exclude "*" --recursive --include "*20171130*" &amp; "%USERPROFILE%\Documents\GitHub\mrs-test-scripts\Headless Mode &amp; Sideloading\WalkAndUnGZ.bat" "%USERPROFILE%\AppData\Local\Temp\OnboardLogs"\RTDC4050\2017-11-30</v>
      </c>
      <c r="AF240" s="235" t="str">
        <f t="shared" si="169"/>
        <v>"C:\Program Files (x86)\AstroGrep\AstroGrep.exe" /e /r /s /spath="%USERPROFILE%\AppData\Local\Temp\OnboardLogs" /stypes="app*4050*20171129*" /stext=" 16:.+((SYSTEM_STATE.+slice.+state.+changed )|(ment ac)|(multiple cpu faults)|(system.+state.+changed )|(\[timeout)|(PRM\|1\|D)|(kpr)|(kdp)|(train st.+moving)|(\|lc)|(penalty))"</v>
      </c>
      <c r="AG240" s="245" t="str">
        <f t="shared" si="176"/>
        <v>Shuttle/Test</v>
      </c>
      <c r="AH240" s="237" t="str">
        <f t="shared" si="177"/>
        <v>"%USERPROFILE%\Documents\GitHub\eaglep3\Utilities\RefineRTDCRunTimes.py" --tripid 63-29 --locoid 4050 --swversion DE.1.0.9.0 --startMP 204:486 --initTime 2017-11-29T09:18:54 --startdatetime 2017-11-29T09:26:49 --delay 85 --endMP 300:112570 --enddatetime 2017-11-29T09:54:14 --enforcementcount 0 &gt;&gt;%USERPROFILE%\Documents\GitHub\eaglep3-reporting\EC\2017-11-29-refined-times.txt</v>
      </c>
      <c r="AI240" s="239" t="str">
        <f t="shared" si="178"/>
        <v>echo {"issue":{"subject":"","project_id":79,"tracker_id":40,"status_id":1,"priority_id":2,"assigned_to_id":338,"start_date":"2017-11-29","description":"","custom_fields":[{"id":1,"name":"Subdivision","value":"Shuttle/Test"},{"id":4,"name":"Milepost","value":"11.257"},{"id":17,"name":"Train ID","value":"63-29"},{"id":16,"name":"Locomotive ID","value":"4050"},{"id":130,"name":"Impact","value":""},{"id":150,"name":"Time of Event (Mountain Time)","value":"09:54:14"},{"id":151,"name":"Denver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0" s="224"/>
      <c r="AK240" s="232"/>
      <c r="AL240" s="232"/>
      <c r="AM240" s="241" t="str">
        <f t="shared" si="179"/>
        <v>start /low /b %USERPROFILE%\Documents\GitHub\eaglep3\Utilities\DownloadLogsFromS3.py --loco 4050 --day 2017-11-29</v>
      </c>
      <c r="AN240" s="242" t="str">
        <f t="shared" si="180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16:54:14"},{"id":29,"name":"Sharepoint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231" t="str">
        <f t="shared" si="181"/>
        <v>https://d0f6bd738d7f1b3e5a7ca70fe4ff75f0.us-east-1.aws.found.io/app/kibana#/discover/Steve-Slow-Train-Analysis-(2080s-and-2083s)?_g=(refreshInterval:(display:Off,pause:!f,section:0,value:0),time:(from:'2017-11-29T08:18:54-0700',mode:absolute,to:'2017-11-29T10:54:14-0700'))&amp;_a=(columns:!('Message%20ID',Summary),filters:!(),index:'emp_*',interval:auto,query:(query_string:(analyze_wildcard:!t,query:'%22rtdc.l.rtdc.4050%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 s="230" t="s">
        <v>725</v>
      </c>
      <c r="B241" s="226">
        <v>4050</v>
      </c>
      <c r="C241" s="228" t="s">
        <v>192</v>
      </c>
      <c r="D241" s="228" t="s">
        <v>504</v>
      </c>
      <c r="E241" s="227">
        <v>43068.491782407407</v>
      </c>
      <c r="F241" s="227">
        <v>43068.494976851849</v>
      </c>
      <c r="G241" s="226">
        <v>76</v>
      </c>
      <c r="H241" s="228" t="s">
        <v>1006</v>
      </c>
      <c r="I241" s="227">
        <v>43068.513483796298</v>
      </c>
      <c r="J241" s="226">
        <v>0</v>
      </c>
      <c r="K241" s="238" t="str">
        <f t="shared" si="170"/>
        <v>4049/4050</v>
      </c>
      <c r="L241" s="246" t="str">
        <f>VLOOKUP(A241,'Trips&amp;Operators'!$C$1:$G$99911,5,FALSE)</f>
        <v>ROMERO CHAD</v>
      </c>
      <c r="M241" s="225">
        <f t="shared" si="171"/>
        <v>1.8506944448745344E-2</v>
      </c>
      <c r="N241" s="226">
        <f t="shared" si="182"/>
        <v>26.650000006193295</v>
      </c>
      <c r="O241" s="226"/>
      <c r="P241" s="226"/>
      <c r="Q241" s="229"/>
      <c r="R241" s="243"/>
      <c r="S241" s="250">
        <f t="shared" si="172"/>
        <v>1</v>
      </c>
      <c r="T241" s="243" t="str">
        <f t="shared" si="173"/>
        <v>NorthBound</v>
      </c>
      <c r="U241" s="247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1</v>
      </c>
      <c r="V241" s="249" t="str">
        <f t="shared" si="167"/>
        <v>https://d0f6bd738d7f1b3e5a7ca70fe4ff75f0.us-east-1.aws.found.io/app/kibana#/discover/Steve-Slow-Train-Analysis-(2080s-and-2083s)?_g=(refreshInterval:(display:Off,pause:!f,section:0,value:0),time:(from:'2017-11-29T10:48:10-0700',mode:absolute,to:'2017-11-29T13:19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1" s="248" t="str">
        <f>IF(AA241&lt;VLOOKUP(AG241,Variables!$AC$3:$AD$8,2,FALSE),"Y","N")</f>
        <v>Y</v>
      </c>
      <c r="X241" s="248">
        <f t="shared" si="183"/>
        <v>0</v>
      </c>
      <c r="Y241" s="248">
        <f t="shared" si="184"/>
        <v>4.5100000000000001E-2</v>
      </c>
      <c r="Z241" s="248">
        <f t="shared" si="185"/>
        <v>11.2507</v>
      </c>
      <c r="AA241" s="248">
        <f t="shared" si="174"/>
        <v>11.2056</v>
      </c>
      <c r="AB241" s="234" t="e">
        <f>VLOOKUP(A241,Enforcements!$C$7:$K$9,8,0)</f>
        <v>#N/A</v>
      </c>
      <c r="AC241" s="233" t="e">
        <f>VLOOKUP(A241,Enforcements!$C$7:$E$9,3,0)</f>
        <v>#N/A</v>
      </c>
      <c r="AD241" s="244">
        <f t="shared" si="175"/>
        <v>63</v>
      </c>
      <c r="AE241" s="236" t="str">
        <f t="shared" si="168"/>
        <v>aws s3 cp s3://rtdc.mdm.uploadarchive.raw/RTDC4050/ "%USERPROFILE%\AppData\Local\Temp\OnboardLogs"\RTDC4050\2017-11-29 --exclude "*" --recursive --include "*20171129*" &amp; "%USERPROFILE%\Documents\GitHub\mrs-test-scripts\Headless Mode &amp; Sideloading\WalkAndUnGZ.bat" "%USERPROFILE%\AppData\Local\Temp\OnboardLogs"\RTDC4050\2017-11-29 &amp; aws s3 cp s3://rtdc.mdm.uploadarchive.raw/RTDC4050/ "%USERPROFILE%\AppData\Local\Temp\OnboardLogs"\RTDC4050\2017-11-30 --exclude "*" --recursive --include "*20171130*" &amp; "%USERPROFILE%\Documents\GitHub\mrs-test-scripts\Headless Mode &amp; Sideloading\WalkAndUnGZ.bat" "%USERPROFILE%\AppData\Local\Temp\OnboardLogs"\RTDC4050\2017-11-30</v>
      </c>
      <c r="AF241" s="235" t="str">
        <f t="shared" si="169"/>
        <v>"C:\Program Files (x86)\AstroGrep\AstroGrep.exe" /e /r /s /spath="%USERPROFILE%\AppData\Local\Temp\OnboardLogs" /stypes="app*4050*20171129*" /stext=" 19:.+((SYSTEM_STATE.+slice.+state.+changed )|(ment ac)|(multiple cpu faults)|(system.+state.+changed )|(\[timeout)|(PRM\|1\|D)|(kpr)|(kdp)|(train st.+moving)|(\|lc)|(penalty))"</v>
      </c>
      <c r="AG241" s="245" t="str">
        <f t="shared" si="176"/>
        <v>Shuttle/Test</v>
      </c>
      <c r="AH241" s="237" t="str">
        <f t="shared" si="177"/>
        <v>"%USERPROFILE%\Documents\GitHub\eaglep3\Utilities\RefineRTDCRunTimes.py" --tripid 63-29 --locoid 4050 --swversion DE.1.0.9.0 --startMP 204:451 --initTime 2017-11-29T11:48:10 --startdatetime 2017-11-29T11:52:46 --delay 76 --endMP 300:112507 --enddatetime 2017-11-29T12:19:25 --enforcementcount 0 &gt;&gt;%USERPROFILE%\Documents\GitHub\eaglep3-reporting\EC\2017-11-29-refined-times.txt</v>
      </c>
      <c r="AI241" s="239" t="str">
        <f t="shared" si="178"/>
        <v>echo {"issue":{"subject":"","project_id":79,"tracker_id":40,"status_id":1,"priority_id":2,"assigned_to_id":338,"start_date":"2017-11-29","description":"","custom_fields":[{"id":1,"name":"Subdivision","value":"Shuttle/Test"},{"id":4,"name":"Milepost","value":"11.2507"},{"id":17,"name":"Train ID","value":"63-29"},{"id":16,"name":"Locomotive ID","value":"4050"},{"id":130,"name":"Impact","value":""},{"id":150,"name":"Time of Event (Mountain Time)","value":"12:19:25"},{"id":151,"name":"Denver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1" s="224"/>
      <c r="AK241" s="232"/>
      <c r="AL241" s="232"/>
      <c r="AM241" s="241" t="str">
        <f t="shared" si="179"/>
        <v>start /low /b %USERPROFILE%\Documents\GitHub\eaglep3\Utilities\DownloadLogsFromS3.py --loco 4050 --day 2017-11-29</v>
      </c>
      <c r="AN241" s="242" t="str">
        <f t="shared" si="180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19:19:25"},{"id":29,"name":"Sharepoint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231" t="str">
        <f t="shared" si="181"/>
        <v>https://d0f6bd738d7f1b3e5a7ca70fe4ff75f0.us-east-1.aws.found.io/app/kibana#/discover/Steve-Slow-Train-Analysis-(2080s-and-2083s)?_g=(refreshInterval:(display:Off,pause:!f,section:0,value:0),time:(from:'2017-11-29T10:48:10-0700',mode:absolute,to:'2017-11-29T13:19:25-0700'))&amp;_a=(columns:!('Message%20ID',Summary),filters:!(),index:'emp_*',interval:auto,query:(query_string:(analyze_wildcard:!t,query:'%22rtdc.l.rtdc.4050%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 s="230" t="s">
        <v>636</v>
      </c>
      <c r="B242" s="226">
        <v>4057</v>
      </c>
      <c r="C242" s="228" t="s">
        <v>192</v>
      </c>
      <c r="D242" s="228" t="s">
        <v>1007</v>
      </c>
      <c r="E242" s="227">
        <v>43068.391828703701</v>
      </c>
      <c r="F242" s="227">
        <v>43068.395277777781</v>
      </c>
      <c r="G242" s="226">
        <v>87</v>
      </c>
      <c r="H242" s="228" t="s">
        <v>605</v>
      </c>
      <c r="I242" s="227">
        <v>43068.416458333333</v>
      </c>
      <c r="J242" s="226">
        <v>0</v>
      </c>
      <c r="K242" s="238" t="str">
        <f t="shared" si="170"/>
        <v>4057/4058</v>
      </c>
      <c r="L242" s="246" t="str">
        <f>VLOOKUP(A242,'Trips&amp;Operators'!$C$1:$G$99911,5,FALSE)</f>
        <v>HUFFSMITH MONTY</v>
      </c>
      <c r="M242" s="225">
        <f t="shared" si="171"/>
        <v>2.1180555551836733E-2</v>
      </c>
      <c r="N242" s="226">
        <f t="shared" si="182"/>
        <v>30.499999994644895</v>
      </c>
      <c r="O242" s="226"/>
      <c r="P242" s="226"/>
      <c r="Q242" s="229"/>
      <c r="R242" s="243"/>
      <c r="S242" s="250">
        <f t="shared" si="172"/>
        <v>1</v>
      </c>
      <c r="T242" s="243" t="str">
        <f t="shared" si="173"/>
        <v>Southbound</v>
      </c>
      <c r="U242" s="247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1</v>
      </c>
      <c r="V242" s="249" t="str">
        <f t="shared" si="167"/>
        <v>https://d0f6bd738d7f1b3e5a7ca70fe4ff75f0.us-east-1.aws.found.io/app/kibana#/discover/Steve-Slow-Train-Analysis-(2080s-and-2083s)?_g=(refreshInterval:(display:Off,pause:!f,section:0,value:0),time:(from:'2017-11-29T08:24:14-0700',mode:absolute,to:'2017-11-29T10:59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42" s="248" t="str">
        <f>IF(AA242&lt;VLOOKUP(AG242,Variables!$AC$3:$AD$8,2,FALSE),"Y","N")</f>
        <v>Y</v>
      </c>
      <c r="X242" s="248">
        <f t="shared" si="183"/>
        <v>1</v>
      </c>
      <c r="Y242" s="248">
        <f t="shared" si="184"/>
        <v>11.2197</v>
      </c>
      <c r="Z242" s="248">
        <f t="shared" si="185"/>
        <v>1.2800000000000001E-2</v>
      </c>
      <c r="AA242" s="248">
        <f t="shared" si="174"/>
        <v>11.206899999999999</v>
      </c>
      <c r="AB242" s="234" t="e">
        <f>VLOOKUP(A242,Enforcements!$C$7:$K$9,8,0)</f>
        <v>#N/A</v>
      </c>
      <c r="AC242" s="233" t="e">
        <f>VLOOKUP(A242,Enforcements!$C$7:$E$9,3,0)</f>
        <v>#N/A</v>
      </c>
      <c r="AD242" s="244">
        <f t="shared" si="175"/>
        <v>64</v>
      </c>
      <c r="AE242" s="236" t="str">
        <f t="shared" si="168"/>
        <v>aws s3 cp s3://rtdc.mdm.uploadarchive.raw/RTDC4057/ "%USERPROFILE%\AppData\Local\Temp\OnboardLogs"\RTDC4057\2017-11-29 --exclude "*" --recursive --include "*20171129*" &amp; "%USERPROFILE%\Documents\GitHub\mrs-test-scripts\Headless Mode &amp; Sideloading\WalkAndUnGZ.bat" "%USERPROFILE%\AppData\Local\Temp\OnboardLogs"\RTDC4057\2017-11-29 &amp; aws s3 cp s3://rtdc.mdm.uploadarchive.raw/RTDC4057/ "%USERPROFILE%\AppData\Local\Temp\OnboardLogs"\RTDC4057\2017-11-30 --exclude "*" --recursive --include "*20171130*" &amp; "%USERPROFILE%\Documents\GitHub\mrs-test-scripts\Headless Mode &amp; Sideloading\WalkAndUnGZ.bat" "%USERPROFILE%\AppData\Local\Temp\OnboardLogs"\RTDC4057\2017-11-30</v>
      </c>
      <c r="AF242" s="235" t="str">
        <f t="shared" si="169"/>
        <v>"C:\Program Files (x86)\AstroGrep\AstroGrep.exe" /e /r /s /spath="%USERPROFILE%\AppData\Local\Temp\OnboardLogs" /stypes="app*4057*20171129*" /stext=" 16:.+((SYSTEM_STATE.+slice.+state.+changed )|(ment ac)|(multiple cpu faults)|(system.+state.+changed )|(\[timeout)|(PRM\|1\|D)|(kpr)|(kdp)|(train st.+moving)|(\|lc)|(penalty))"</v>
      </c>
      <c r="AG242" s="245" t="str">
        <f t="shared" si="176"/>
        <v>Shuttle/Test</v>
      </c>
      <c r="AH242" s="237" t="str">
        <f t="shared" si="177"/>
        <v>"%USERPROFILE%\Documents\GitHub\eaglep3\Utilities\RefineRTDCRunTimes.py" --tripid 64-29 --locoid 4057 --swversion DE.1.0.9.0 --startMP 300:112197 --initTime 2017-11-29T09:24:14 --startdatetime 2017-11-29T09:29:12 --delay 87 --endMP 204:128 --enddatetime 2017-11-29T09:59:42 --enforcementcount 0 &gt;&gt;%USERPROFILE%\Documents\GitHub\eaglep3-reporting\EC\2017-11-29-refined-times.txt</v>
      </c>
      <c r="AI242" s="239" t="str">
        <f t="shared" si="178"/>
        <v>echo {"issue":{"subject":"","project_id":79,"tracker_id":40,"status_id":1,"priority_id":2,"assigned_to_id":338,"start_date":"2017-11-29","description":"","custom_fields":[{"id":1,"name":"Subdivision","value":"Shuttle/Test"},{"id":4,"name":"Milepost","value":"0.0128"},{"id":17,"name":"Train ID","value":"64-29"},{"id":16,"name":"Locomotive ID","value":"4057"},{"id":130,"name":"Impact","value":""},{"id":150,"name":"Time of Event (Mountain Time)","value":"09:59:42"},{"id":151,"name":"Denver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2" s="224"/>
      <c r="AK242" s="232"/>
      <c r="AL242" s="232"/>
      <c r="AM242" s="241" t="str">
        <f t="shared" si="179"/>
        <v>start /low /b %USERPROFILE%\Documents\GitHub\eaglep3\Utilities\DownloadLogsFromS3.py --loco 4057 --day 2017-11-29</v>
      </c>
      <c r="AN242" s="242" t="str">
        <f t="shared" si="180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16:59:42"},{"id":29,"name":"Sharepoint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231" t="str">
        <f t="shared" si="181"/>
        <v>https://d0f6bd738d7f1b3e5a7ca70fe4ff75f0.us-east-1.aws.found.io/app/kibana#/discover/Steve-Slow-Train-Analysis-(2080s-and-2083s)?_g=(refreshInterval:(display:Off,pause:!f,section:0,value:0),time:(from:'2017-11-29T08:24:14-0700',mode:absolute,to:'2017-11-29T10:59:42-0700'))&amp;_a=(columns:!('Message%20ID',Summary),filters:!(),index:'emp_*',interval:auto,query:(query_string:(analyze_wildcard:!t,query:'%22rtdc.l.rtdc.4057%22')),sort:!(Time.ISO8601,asc))</v>
      </c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 s="230" t="s">
        <v>636</v>
      </c>
      <c r="B243" s="226">
        <v>4057</v>
      </c>
      <c r="C243" s="228" t="s">
        <v>192</v>
      </c>
      <c r="D243" s="228" t="s">
        <v>1008</v>
      </c>
      <c r="E243" s="227">
        <v>43068.448506944442</v>
      </c>
      <c r="F243" s="227">
        <v>43068.484386574077</v>
      </c>
      <c r="G243" s="226">
        <v>53</v>
      </c>
      <c r="H243" s="228" t="s">
        <v>1009</v>
      </c>
      <c r="I243" s="227">
        <v>43068.505729166667</v>
      </c>
      <c r="J243" s="226">
        <v>0</v>
      </c>
      <c r="K243" s="238" t="str">
        <f t="shared" si="170"/>
        <v>4057/4058</v>
      </c>
      <c r="L243" s="246" t="str">
        <f>VLOOKUP(A243,'Trips&amp;Operators'!$C$1:$G$99911,5,FALSE)</f>
        <v>HUFFSMITH MONTY</v>
      </c>
      <c r="M243" s="225">
        <f t="shared" si="171"/>
        <v>2.1342592590372078E-2</v>
      </c>
      <c r="N243" s="226">
        <f t="shared" si="182"/>
        <v>30.733333330135792</v>
      </c>
      <c r="O243" s="226"/>
      <c r="P243" s="226"/>
      <c r="Q243" s="229"/>
      <c r="R243" s="243"/>
      <c r="S243" s="250">
        <f t="shared" si="172"/>
        <v>1</v>
      </c>
      <c r="T243" s="243" t="str">
        <f t="shared" si="173"/>
        <v>Southbound</v>
      </c>
      <c r="U243" s="247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1</v>
      </c>
      <c r="V243" s="249" t="str">
        <f t="shared" si="167"/>
        <v>https://d0f6bd738d7f1b3e5a7ca70fe4ff75f0.us-east-1.aws.found.io/app/kibana#/discover/Steve-Slow-Train-Analysis-(2080s-and-2083s)?_g=(refreshInterval:(display:Off,pause:!f,section:0,value:0),time:(from:'2017-11-29T09:45:51-0700',mode:absolute,to:'2017-11-29T13:08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43" s="248" t="str">
        <f>IF(AA243&lt;VLOOKUP(AG243,Variables!$AC$3:$AD$8,2,FALSE),"Y","N")</f>
        <v>Y</v>
      </c>
      <c r="X243" s="248">
        <f t="shared" si="183"/>
        <v>0</v>
      </c>
      <c r="Y243" s="248">
        <f t="shared" si="184"/>
        <v>11.226000000000001</v>
      </c>
      <c r="Z243" s="248">
        <f t="shared" si="185"/>
        <v>0.45689999999999997</v>
      </c>
      <c r="AA243" s="248">
        <f t="shared" si="174"/>
        <v>10.769100000000002</v>
      </c>
      <c r="AB243" s="234" t="e">
        <f>VLOOKUP(A243,Enforcements!$C$7:$K$9,8,0)</f>
        <v>#N/A</v>
      </c>
      <c r="AC243" s="233" t="e">
        <f>VLOOKUP(A243,Enforcements!$C$7:$E$9,3,0)</f>
        <v>#N/A</v>
      </c>
      <c r="AD243" s="244">
        <f t="shared" si="175"/>
        <v>64</v>
      </c>
      <c r="AE243" s="236" t="str">
        <f t="shared" si="168"/>
        <v>aws s3 cp s3://rtdc.mdm.uploadarchive.raw/RTDC4057/ "%USERPROFILE%\AppData\Local\Temp\OnboardLogs"\RTDC4057\2017-11-29 --exclude "*" --recursive --include "*20171129*" &amp; "%USERPROFILE%\Documents\GitHub\mrs-test-scripts\Headless Mode &amp; Sideloading\WalkAndUnGZ.bat" "%USERPROFILE%\AppData\Local\Temp\OnboardLogs"\RTDC4057\2017-11-29 &amp; aws s3 cp s3://rtdc.mdm.uploadarchive.raw/RTDC4057/ "%USERPROFILE%\AppData\Local\Temp\OnboardLogs"\RTDC4057\2017-11-30 --exclude "*" --recursive --include "*20171130*" &amp; "%USERPROFILE%\Documents\GitHub\mrs-test-scripts\Headless Mode &amp; Sideloading\WalkAndUnGZ.bat" "%USERPROFILE%\AppData\Local\Temp\OnboardLogs"\RTDC4057\2017-11-30</v>
      </c>
      <c r="AF243" s="235" t="str">
        <f t="shared" si="169"/>
        <v>"C:\Program Files (x86)\AstroGrep\AstroGrep.exe" /e /r /s /spath="%USERPROFILE%\AppData\Local\Temp\OnboardLogs" /stypes="app*4057*20171129*" /stext=" 19:.+((SYSTEM_STATE.+slice.+state.+changed )|(ment ac)|(multiple cpu faults)|(system.+state.+changed )|(\[timeout)|(PRM\|1\|D)|(kpr)|(kdp)|(train st.+moving)|(\|lc)|(penalty))"</v>
      </c>
      <c r="AG243" s="245" t="str">
        <f t="shared" si="176"/>
        <v>Shuttle/Test</v>
      </c>
      <c r="AH243" s="237" t="str">
        <f t="shared" si="177"/>
        <v>"%USERPROFILE%\Documents\GitHub\eaglep3\Utilities\RefineRTDCRunTimes.py" --tripid 64-29 --locoid 4057 --swversion DE.1.0.9.0 --startMP 300:112260 --initTime 2017-11-29T10:45:51 --startdatetime 2017-11-29T11:37:31 --delay 53 --endMP 204:4569 --enddatetime 2017-11-29T12:08:15 --enforcementcount 0 &gt;&gt;%USERPROFILE%\Documents\GitHub\eaglep3-reporting\EC\2017-11-29-refined-times.txt</v>
      </c>
      <c r="AI243" s="239" t="str">
        <f t="shared" si="178"/>
        <v>echo {"issue":{"subject":"","project_id":79,"tracker_id":40,"status_id":1,"priority_id":2,"assigned_to_id":338,"start_date":"2017-11-29","description":"","custom_fields":[{"id":1,"name":"Subdivision","value":"Shuttle/Test"},{"id":4,"name":"Milepost","value":"0.4569"},{"id":17,"name":"Train ID","value":"64-29"},{"id":16,"name":"Locomotive ID","value":"4057"},{"id":130,"name":"Impact","value":""},{"id":150,"name":"Time of Event (Mountain Time)","value":"12:08:15"},{"id":151,"name":"Denver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3" s="224"/>
      <c r="AK243" s="232"/>
      <c r="AL243" s="232"/>
      <c r="AM243" s="241" t="str">
        <f t="shared" si="179"/>
        <v>start /low /b %USERPROFILE%\Documents\GitHub\eaglep3\Utilities\DownloadLogsFromS3.py --loco 4057 --day 2017-11-29</v>
      </c>
      <c r="AN243" s="242" t="str">
        <f t="shared" si="180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19:08:15"},{"id":29,"name":"Sharepoint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 s="231" t="str">
        <f t="shared" si="181"/>
        <v>https://d0f6bd738d7f1b3e5a7ca70fe4ff75f0.us-east-1.aws.found.io/app/kibana#/discover/Steve-Slow-Train-Analysis-(2080s-and-2083s)?_g=(refreshInterval:(display:Off,pause:!f,section:0,value:0),time:(from:'2017-11-29T09:45:51-0700',mode:absolute,to:'2017-11-29T13:08:15-0700'))&amp;_a=(columns:!('Message%20ID',Summary),filters:!(),index:'emp_*',interval:auto,query:(query_string:(analyze_wildcard:!t,query:'%22rtdc.l.rtdc.4057%22')),sort:!(Time.ISO8601,asc))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 s="230" t="s">
        <v>636</v>
      </c>
      <c r="B244" s="226">
        <v>4057</v>
      </c>
      <c r="C244" s="228" t="s">
        <v>192</v>
      </c>
      <c r="D244" s="228" t="s">
        <v>1010</v>
      </c>
      <c r="E244" s="227">
        <v>43068.507002314815</v>
      </c>
      <c r="F244" s="227">
        <v>43068.509097222224</v>
      </c>
      <c r="G244" s="226">
        <v>58</v>
      </c>
      <c r="H244" s="228" t="s">
        <v>597</v>
      </c>
      <c r="I244" s="227">
        <v>43068.528877314813</v>
      </c>
      <c r="J244" s="226">
        <v>0</v>
      </c>
      <c r="K244" s="238" t="str">
        <f t="shared" si="170"/>
        <v>4057/4058</v>
      </c>
      <c r="L244" s="246" t="str">
        <f>VLOOKUP(A244,'Trips&amp;Operators'!$C$1:$G$99911,5,FALSE)</f>
        <v>HUFFSMITH MONTY</v>
      </c>
      <c r="M244" s="225">
        <f t="shared" si="171"/>
        <v>1.9780092588916887E-2</v>
      </c>
      <c r="N244" s="226">
        <f t="shared" si="182"/>
        <v>28.483333328040317</v>
      </c>
      <c r="O244" s="226"/>
      <c r="P244" s="226"/>
      <c r="Q244" s="229"/>
      <c r="R244" s="243"/>
      <c r="S244" s="250">
        <f t="shared" si="172"/>
        <v>1</v>
      </c>
      <c r="T244" s="243" t="str">
        <f t="shared" si="173"/>
        <v>Southbound</v>
      </c>
      <c r="U244" s="247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1</v>
      </c>
      <c r="V244" s="249" t="str">
        <f t="shared" si="167"/>
        <v>https://d0f6bd738d7f1b3e5a7ca70fe4ff75f0.us-east-1.aws.found.io/app/kibana#/discover/Steve-Slow-Train-Analysis-(2080s-and-2083s)?_g=(refreshInterval:(display:Off,pause:!f,section:0,value:0),time:(from:'2017-11-29T11:10:05-0700',mode:absolute,to:'2017-11-29T13:41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44" s="248" t="str">
        <f>IF(AA244&lt;VLOOKUP(AG244,Variables!$AC$3:$AD$8,2,FALSE),"Y","N")</f>
        <v>Y</v>
      </c>
      <c r="X244" s="248">
        <f t="shared" si="183"/>
        <v>0</v>
      </c>
      <c r="Y244" s="248">
        <f t="shared" si="184"/>
        <v>11.2254</v>
      </c>
      <c r="Z244" s="248">
        <f t="shared" si="185"/>
        <v>1.29E-2</v>
      </c>
      <c r="AA244" s="248">
        <f t="shared" si="174"/>
        <v>11.2125</v>
      </c>
      <c r="AB244" s="234" t="e">
        <f>VLOOKUP(A244,Enforcements!$C$7:$K$9,8,0)</f>
        <v>#N/A</v>
      </c>
      <c r="AC244" s="233" t="e">
        <f>VLOOKUP(A244,Enforcements!$C$7:$E$9,3,0)</f>
        <v>#N/A</v>
      </c>
      <c r="AD244" s="244">
        <f t="shared" si="175"/>
        <v>64</v>
      </c>
      <c r="AE244" s="236" t="str">
        <f t="shared" si="168"/>
        <v>aws s3 cp s3://rtdc.mdm.uploadarchive.raw/RTDC4057/ "%USERPROFILE%\AppData\Local\Temp\OnboardLogs"\RTDC4057\2017-11-29 --exclude "*" --recursive --include "*20171129*" &amp; "%USERPROFILE%\Documents\GitHub\mrs-test-scripts\Headless Mode &amp; Sideloading\WalkAndUnGZ.bat" "%USERPROFILE%\AppData\Local\Temp\OnboardLogs"\RTDC4057\2017-11-29 &amp; aws s3 cp s3://rtdc.mdm.uploadarchive.raw/RTDC4057/ "%USERPROFILE%\AppData\Local\Temp\OnboardLogs"\RTDC4057\2017-11-30 --exclude "*" --recursive --include "*20171130*" &amp; "%USERPROFILE%\Documents\GitHub\mrs-test-scripts\Headless Mode &amp; Sideloading\WalkAndUnGZ.bat" "%USERPROFILE%\AppData\Local\Temp\OnboardLogs"\RTDC4057\2017-11-30</v>
      </c>
      <c r="AF244" s="235" t="str">
        <f t="shared" si="169"/>
        <v>"C:\Program Files (x86)\AstroGrep\AstroGrep.exe" /e /r /s /spath="%USERPROFILE%\AppData\Local\Temp\OnboardLogs" /stypes="app*4057*20171129*" /stext=" 19:.+((SYSTEM_STATE.+slice.+state.+changed )|(ment ac)|(multiple cpu faults)|(system.+state.+changed )|(\[timeout)|(PRM\|1\|D)|(kpr)|(kdp)|(train st.+moving)|(\|lc)|(penalty))"</v>
      </c>
      <c r="AG244" s="245" t="str">
        <f t="shared" si="176"/>
        <v>Shuttle/Test</v>
      </c>
      <c r="AH244" s="237" t="str">
        <f t="shared" si="177"/>
        <v>"%USERPROFILE%\Documents\GitHub\eaglep3\Utilities\RefineRTDCRunTimes.py" --tripid 64-29 --locoid 4057 --swversion DE.1.0.9.0 --startMP 300:112254 --initTime 2017-11-29T12:10:05 --startdatetime 2017-11-29T12:13:06 --delay 58 --endMP 204:129 --enddatetime 2017-11-29T12:41:35 --enforcementcount 0 &gt;&gt;%USERPROFILE%\Documents\GitHub\eaglep3-reporting\EC\2017-11-29-refined-times.txt</v>
      </c>
      <c r="AI244" s="239" t="str">
        <f t="shared" si="178"/>
        <v>echo {"issue":{"subject":"","project_id":79,"tracker_id":40,"status_id":1,"priority_id":2,"assigned_to_id":338,"start_date":"2017-11-29","description":"","custom_fields":[{"id":1,"name":"Subdivision","value":"Shuttle/Test"},{"id":4,"name":"Milepost","value":"0.0129"},{"id":17,"name":"Train ID","value":"64-29"},{"id":16,"name":"Locomotive ID","value":"4057"},{"id":130,"name":"Impact","value":""},{"id":150,"name":"Time of Event (Mountain Time)","value":"12:41:35"},{"id":151,"name":"Denver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4" s="224"/>
      <c r="AK244" s="232"/>
      <c r="AL244" s="232"/>
      <c r="AM244" s="241" t="str">
        <f t="shared" si="179"/>
        <v>start /low /b %USERPROFILE%\Documents\GitHub\eaglep3\Utilities\DownloadLogsFromS3.py --loco 4057 --day 2017-11-29</v>
      </c>
      <c r="AN244" s="242" t="str">
        <f t="shared" si="180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19:41:35"},{"id":29,"name":"Sharepoint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 s="231" t="str">
        <f t="shared" si="181"/>
        <v>https://d0f6bd738d7f1b3e5a7ca70fe4ff75f0.us-east-1.aws.found.io/app/kibana#/discover/Steve-Slow-Train-Analysis-(2080s-and-2083s)?_g=(refreshInterval:(display:Off,pause:!f,section:0,value:0),time:(from:'2017-11-29T11:10:05-0700',mode:absolute,to:'2017-11-29T13:41:35-0700'))&amp;_a=(columns:!('Message%20ID',Summary),filters:!(),index:'emp_*',interval:auto,query:(query_string:(analyze_wildcard:!t,query:'%22rtdc.l.rtdc.4057%22')),sort:!(Time.ISO8601,asc))</v>
      </c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 s="230" t="s">
        <v>630</v>
      </c>
      <c r="B245" s="226">
        <v>4058</v>
      </c>
      <c r="C245" s="228" t="s">
        <v>192</v>
      </c>
      <c r="D245" s="228" t="s">
        <v>609</v>
      </c>
      <c r="E245" s="227">
        <v>43068.481840277775</v>
      </c>
      <c r="F245" s="227">
        <v>43068.484386574077</v>
      </c>
      <c r="G245" s="226">
        <v>68</v>
      </c>
      <c r="H245" s="228" t="s">
        <v>1011</v>
      </c>
      <c r="I245" s="227">
        <v>43068.505729166667</v>
      </c>
      <c r="J245" s="226">
        <v>0</v>
      </c>
      <c r="K245" s="238" t="str">
        <f t="shared" si="170"/>
        <v>4057/4058</v>
      </c>
      <c r="L245" s="246" t="str">
        <f>VLOOKUP(A245,'Trips&amp;Operators'!$C$1:$G$99911,5,FALSE)</f>
        <v>HUFFSMITH MONTY</v>
      </c>
      <c r="M245" s="225">
        <f t="shared" si="171"/>
        <v>2.1342592590372078E-2</v>
      </c>
      <c r="N245" s="226">
        <f t="shared" si="182"/>
        <v>30.733333330135792</v>
      </c>
      <c r="O245" s="226"/>
      <c r="P245" s="226"/>
      <c r="Q245" s="229"/>
      <c r="R245" s="243"/>
      <c r="S245" s="250">
        <f t="shared" si="172"/>
        <v>1</v>
      </c>
      <c r="T245" s="243" t="str">
        <f t="shared" si="173"/>
        <v>NorthBound</v>
      </c>
      <c r="U245" s="247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1</v>
      </c>
      <c r="V245" s="249" t="str">
        <f t="shared" si="167"/>
        <v>https://d0f6bd738d7f1b3e5a7ca70fe4ff75f0.us-east-1.aws.found.io/app/kibana#/discover/Steve-Slow-Train-Analysis-(2080s-and-2083s)?_g=(refreshInterval:(display:Off,pause:!f,section:0,value:0),time:(from:'2017-11-29T10:33:51-0700',mode:absolute,to:'2017-11-29T13:08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45" s="248" t="str">
        <f>IF(AA245&lt;VLOOKUP(AG245,Variables!$AC$3:$AD$8,2,FALSE),"Y","N")</f>
        <v>Y</v>
      </c>
      <c r="X245" s="248">
        <f t="shared" si="183"/>
        <v>1</v>
      </c>
      <c r="Y245" s="248">
        <f t="shared" si="184"/>
        <v>4.4200000000000003E-2</v>
      </c>
      <c r="Z245" s="248">
        <f t="shared" si="185"/>
        <v>11.2576</v>
      </c>
      <c r="AA245" s="248">
        <f t="shared" si="174"/>
        <v>11.2134</v>
      </c>
      <c r="AB245" s="234" t="e">
        <f>VLOOKUP(A245,Enforcements!$C$7:$K$9,8,0)</f>
        <v>#N/A</v>
      </c>
      <c r="AC245" s="233" t="e">
        <f>VLOOKUP(A245,Enforcements!$C$7:$E$9,3,0)</f>
        <v>#N/A</v>
      </c>
      <c r="AD245" s="244">
        <f t="shared" si="175"/>
        <v>65</v>
      </c>
      <c r="AE245" s="236" t="str">
        <f t="shared" si="168"/>
        <v>aws s3 cp s3://rtdc.mdm.uploadarchive.raw/RTDC4058/ "%USERPROFILE%\AppData\Local\Temp\OnboardLogs"\RTDC4058\2017-11-29 --exclude "*" --recursive --include "*20171129*" &amp; "%USERPROFILE%\Documents\GitHub\mrs-test-scripts\Headless Mode &amp; Sideloading\WalkAndUnGZ.bat" "%USERPROFILE%\AppData\Local\Temp\OnboardLogs"\RTDC4058\2017-11-29 &amp; aws s3 cp s3://rtdc.mdm.uploadarchive.raw/RTDC4058/ "%USERPROFILE%\AppData\Local\Temp\OnboardLogs"\RTDC4058\2017-11-30 --exclude "*" --recursive --include "*20171130*" &amp; "%USERPROFILE%\Documents\GitHub\mrs-test-scripts\Headless Mode &amp; Sideloading\WalkAndUnGZ.bat" "%USERPROFILE%\AppData\Local\Temp\OnboardLogs"\RTDC4058\2017-11-30</v>
      </c>
      <c r="AF245" s="235" t="str">
        <f t="shared" si="169"/>
        <v>"C:\Program Files (x86)\AstroGrep\AstroGrep.exe" /e /r /s /spath="%USERPROFILE%\AppData\Local\Temp\OnboardLogs" /stypes="app*4058*20171129*" /stext=" 19:.+((SYSTEM_STATE.+slice.+state.+changed )|(ment ac)|(multiple cpu faults)|(system.+state.+changed )|(\[timeout)|(PRM\|1\|D)|(kpr)|(kdp)|(train st.+moving)|(\|lc)|(penalty))"</v>
      </c>
      <c r="AG245" s="245" t="str">
        <f t="shared" si="176"/>
        <v>Shuttle/Test</v>
      </c>
      <c r="AH245" s="237" t="str">
        <f t="shared" si="177"/>
        <v>"%USERPROFILE%\Documents\GitHub\eaglep3\Utilities\RefineRTDCRunTimes.py" --tripid 65-29 --locoid 4058 --swversion DE.1.0.9.0 --startMP 204:442 --initTime 2017-11-29T11:33:51 --startdatetime 2017-11-29T11:37:31 --delay 68 --endMP 300:112576 --enddatetime 2017-11-29T12:08:15 --enforcementcount 0 &gt;&gt;%USERPROFILE%\Documents\GitHub\eaglep3-reporting\EC\2017-11-29-refined-times.txt</v>
      </c>
      <c r="AI245" s="239" t="str">
        <f t="shared" si="178"/>
        <v>echo {"issue":{"subject":"","project_id":79,"tracker_id":40,"status_id":1,"priority_id":2,"assigned_to_id":338,"start_date":"2017-11-29","description":"","custom_fields":[{"id":1,"name":"Subdivision","value":"Shuttle/Test"},{"id":4,"name":"Milepost","value":"11.2576"},{"id":17,"name":"Train ID","value":"65-29"},{"id":16,"name":"Locomotive ID","value":"4058"},{"id":130,"name":"Impact","value":""},{"id":150,"name":"Time of Event (Mountain Time)","value":"12:08:15"},{"id":151,"name":"Denver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5" s="224"/>
      <c r="AK245" s="232"/>
      <c r="AL245" s="232"/>
      <c r="AM245" s="241" t="str">
        <f t="shared" si="179"/>
        <v>start /low /b %USERPROFILE%\Documents\GitHub\eaglep3\Utilities\DownloadLogsFromS3.py --loco 4058 --day 2017-11-29</v>
      </c>
      <c r="AN245" s="242" t="str">
        <f t="shared" si="180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19:08:15"},{"id":29,"name":"Sharepoint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 s="231" t="str">
        <f t="shared" si="181"/>
        <v>https://d0f6bd738d7f1b3e5a7ca70fe4ff75f0.us-east-1.aws.found.io/app/kibana#/discover/Steve-Slow-Train-Analysis-(2080s-and-2083s)?_g=(refreshInterval:(display:Off,pause:!f,section:0,value:0),time:(from:'2017-11-29T10:33:51-0700',mode:absolute,to:'2017-11-29T13:08:15-0700'))&amp;_a=(columns:!('Message%20ID',Summary),filters:!(),index:'emp_*',interval:auto,query:(query_string:(analyze_wildcard:!t,query:'%22rtdc.l.rtdc.4058%22')),sort:!(Time.ISO8601,asc))</v>
      </c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 s="230" t="s">
        <v>639</v>
      </c>
      <c r="B246" s="226">
        <v>4049</v>
      </c>
      <c r="C246" s="228" t="s">
        <v>192</v>
      </c>
      <c r="D246" s="228" t="s">
        <v>1012</v>
      </c>
      <c r="E246" s="227">
        <v>43068.515763888892</v>
      </c>
      <c r="F246" s="227">
        <v>43068.51871527778</v>
      </c>
      <c r="G246" s="226">
        <v>101</v>
      </c>
      <c r="H246" s="228" t="s">
        <v>1013</v>
      </c>
      <c r="I246" s="227">
        <v>43068.538622685184</v>
      </c>
      <c r="J246" s="226">
        <v>0</v>
      </c>
      <c r="K246" s="238" t="str">
        <f t="shared" ref="K246:K267" si="186">IF(ISEVEN(B246),(B246-1)&amp;"/"&amp;B246,B246&amp;"/"&amp;(B246+1))</f>
        <v>4049/4050</v>
      </c>
      <c r="L246" s="246" t="str">
        <f>VLOOKUP(A246,'Trips&amp;Operators'!$C$1:$G$99911,5,FALSE)</f>
        <v>PAGE MARCUS</v>
      </c>
      <c r="M246" s="225">
        <f t="shared" ref="M246:M267" si="187">I246-F246</f>
        <v>1.9907407404389232E-2</v>
      </c>
      <c r="N246" s="226">
        <f t="shared" si="182"/>
        <v>28.666666662320495</v>
      </c>
      <c r="O246" s="226"/>
      <c r="P246" s="226"/>
      <c r="Q246" s="229"/>
      <c r="R246" s="243"/>
      <c r="S246" s="250">
        <f t="shared" ref="S246:S267" si="188">1/IF(AG246="EC",12,1)*SUM(U246:U246)</f>
        <v>0</v>
      </c>
      <c r="T246" s="243" t="str">
        <f t="shared" ref="T246:T267" si="189">IF(ISEVEN(LEFT(AD246,4)),"Southbound","NorthBound")</f>
        <v>Southbound</v>
      </c>
      <c r="U246" s="247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249" t="str">
        <f t="shared" si="167"/>
        <v>https://d0f6bd738d7f1b3e5a7ca70fe4ff75f0.us-east-1.aws.found.io/app/kibana#/discover/Steve-Slow-Train-Analysis-(2080s-and-2083s)?_g=(refreshInterval:(display:Off,pause:!f,section:0,value:0),time:(from:'2017-11-29T11:22:42-0700',mode:absolute,to:'2017-11-29T13:55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46" s="248" t="str">
        <f>IF(AA246&lt;VLOOKUP(AG246,Variables!$AC$3:$AD$8,2,FALSE),"Y","N")</f>
        <v>Y</v>
      </c>
      <c r="X246" s="248">
        <f t="shared" si="183"/>
        <v>1</v>
      </c>
      <c r="Y246" s="248">
        <f t="shared" si="184"/>
        <v>11.2189</v>
      </c>
      <c r="Z246" s="248">
        <f t="shared" si="185"/>
        <v>2.8782000000000001</v>
      </c>
      <c r="AA246" s="248">
        <f t="shared" ref="AA246:AA277" si="190">ABS(Z246-Y246)</f>
        <v>8.3407</v>
      </c>
      <c r="AB246" s="234" t="e">
        <f>VLOOKUP(A246,Enforcements!$C$7:$K$9,8,0)</f>
        <v>#N/A</v>
      </c>
      <c r="AC246" s="233" t="e">
        <f>VLOOKUP(A246,Enforcements!$C$7:$E$9,3,0)</f>
        <v>#N/A</v>
      </c>
      <c r="AD246" s="244">
        <f t="shared" ref="AD246:AD267" si="191">VALUE(LEFT(A246,LEN(A246)-3))</f>
        <v>66</v>
      </c>
      <c r="AE246" s="236" t="str">
        <f t="shared" si="168"/>
        <v>aws s3 cp s3://rtdc.mdm.uploadarchive.raw/RTDC4049/ "%USERPROFILE%\AppData\Local\Temp\OnboardLogs"\RTDC4049\2017-11-29 --exclude "*" --recursive --include "*20171129*" &amp; "%USERPROFILE%\Documents\GitHub\mrs-test-scripts\Headless Mode &amp; Sideloading\WalkAndUnGZ.bat" "%USERPROFILE%\AppData\Local\Temp\OnboardLogs"\RTDC4049\2017-11-29 &amp; aws s3 cp s3://rtdc.mdm.uploadarchive.raw/RTDC4049/ "%USERPROFILE%\AppData\Local\Temp\OnboardLogs"\RTDC4049\2017-11-30 --exclude "*" --recursive --include "*20171130*" &amp; "%USERPROFILE%\Documents\GitHub\mrs-test-scripts\Headless Mode &amp; Sideloading\WalkAndUnGZ.bat" "%USERPROFILE%\AppData\Local\Temp\OnboardLogs"\RTDC4049\2017-11-30</v>
      </c>
      <c r="AF246" s="235" t="str">
        <f t="shared" si="169"/>
        <v>"C:\Program Files (x86)\AstroGrep\AstroGrep.exe" /e /r /s /spath="%USERPROFILE%\AppData\Local\Temp\OnboardLogs" /stypes="app*4049*20171129*" /stext=" 19:.+((SYSTEM_STATE.+slice.+state.+changed )|(ment ac)|(multiple cpu faults)|(system.+state.+changed )|(\[timeout)|(PRM\|1\|D)|(kpr)|(kdp)|(train st.+moving)|(\|lc)|(penalty))"</v>
      </c>
      <c r="AG246" s="245" t="str">
        <f t="shared" ref="AG246:AG267" si="192">DetSubdiv(A246)</f>
        <v>Shuttle/Test</v>
      </c>
      <c r="AH246" s="237" t="str">
        <f t="shared" si="177"/>
        <v>"%USERPROFILE%\Documents\GitHub\eaglep3\Utilities\RefineRTDCRunTimes.py" --tripid 66-29 --locoid 4049 --swversion DE.1.0.9.0 --startMP 300:112189 --initTime 2017-11-29T12:22:42 --startdatetime 2017-11-29T12:26:57 --delay 101 --endMP 300:28782 --enddatetime 2017-11-29T12:55:37 --enforcementcount 0 &gt;&gt;%USERPROFILE%\Documents\GitHub\eaglep3-reporting\EC\2017-11-29-refined-times.txt</v>
      </c>
      <c r="AI246" s="239" t="str">
        <f t="shared" si="178"/>
        <v>echo {"issue":{"subject":"","project_id":79,"tracker_id":40,"status_id":1,"priority_id":2,"assigned_to_id":338,"start_date":"2017-11-29","description":"","custom_fields":[{"id":1,"name":"Subdivision","value":"Shuttle/Test"},{"id":4,"name":"Milepost","value":"2.8782"},{"id":17,"name":"Train ID","value":"66-29"},{"id":16,"name":"Locomotive ID","value":"4049"},{"id":130,"name":"Impact","value":""},{"id":150,"name":"Time of Event (Mountain Time)","value":"12:55:37"},{"id":151,"name":"Denver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6" s="224"/>
      <c r="AK246" s="232"/>
      <c r="AL246" s="232"/>
      <c r="AM246" s="241" t="str">
        <f t="shared" si="179"/>
        <v>start /low /b %USERPROFILE%\Documents\GitHub\eaglep3\Utilities\DownloadLogsFromS3.py --loco 4049 --day 2017-11-29</v>
      </c>
      <c r="AN246" s="242" t="str">
        <f t="shared" si="180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19:55:37"},{"id":29,"name":"Sharepoint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 s="231" t="str">
        <f t="shared" si="181"/>
        <v>https://d0f6bd738d7f1b3e5a7ca70fe4ff75f0.us-east-1.aws.found.io/app/kibana#/discover/Steve-Slow-Train-Analysis-(2080s-and-2083s)?_g=(refreshInterval:(display:Off,pause:!f,section:0,value:0),time:(from:'2017-11-29T11:22:42-0700',mode:absolute,to:'2017-11-29T13:55:37-0700'))&amp;_a=(columns:!('Message%20ID',Summary),filters:!(),index:'emp_*',interval:auto,query:(query_string:(analyze_wildcard:!t,query:'%22rtdc.l.rtdc.4049%22')),sort:!(Time.ISO8601,asc))</v>
      </c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 s="230" t="s">
        <v>768</v>
      </c>
      <c r="B247" s="226">
        <v>4058</v>
      </c>
      <c r="C247" s="228" t="s">
        <v>192</v>
      </c>
      <c r="D247" s="228" t="s">
        <v>504</v>
      </c>
      <c r="E247" s="227">
        <v>43068.530509259261</v>
      </c>
      <c r="F247" s="227">
        <v>43068.538252314815</v>
      </c>
      <c r="G247" s="226">
        <v>337</v>
      </c>
      <c r="H247" s="228" t="s">
        <v>1118</v>
      </c>
      <c r="I247" s="227">
        <v>43068.557696759257</v>
      </c>
      <c r="J247" s="226">
        <v>0</v>
      </c>
      <c r="K247" s="238" t="str">
        <f t="shared" si="186"/>
        <v>4057/4058</v>
      </c>
      <c r="L247" s="246" t="str">
        <f>VLOOKUP(A247,'Trips&amp;Operators'!$C$1:$G$99911,5,FALSE)</f>
        <v>AUSTIN THOMPSON</v>
      </c>
      <c r="M247" s="225">
        <f t="shared" si="187"/>
        <v>1.9444444442342501E-2</v>
      </c>
      <c r="N247" s="226">
        <f t="shared" si="182"/>
        <v>27.999999996973202</v>
      </c>
      <c r="O247" s="226"/>
      <c r="P247" s="226"/>
      <c r="Q247" s="229"/>
      <c r="R247" s="243"/>
      <c r="S247" s="250">
        <f t="shared" si="188"/>
        <v>1</v>
      </c>
      <c r="T247" s="243" t="str">
        <f t="shared" si="189"/>
        <v>NorthBound</v>
      </c>
      <c r="U247" s="247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1</v>
      </c>
      <c r="V247" s="249" t="str">
        <f t="shared" si="167"/>
        <v>https://d0f6bd738d7f1b3e5a7ca70fe4ff75f0.us-east-1.aws.found.io/app/kibana#/discover/Steve-Slow-Train-Analysis-(2080s-and-2083s)?_g=(refreshInterval:(display:Off,pause:!f,section:0,value:0),time:(from:'2017-11-29T11:43:56-0700',mode:absolute,to:'2017-11-29T14:23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47" s="248" t="str">
        <f>IF(AA247&lt;VLOOKUP(AG247,Variables!$AC$3:$AD$8,2,FALSE),"Y","N")</f>
        <v>Y</v>
      </c>
      <c r="X247" s="248">
        <f t="shared" si="183"/>
        <v>3</v>
      </c>
      <c r="Y247" s="248">
        <f t="shared" si="184"/>
        <v>4.5100000000000001E-2</v>
      </c>
      <c r="Z247" s="248">
        <f t="shared" si="185"/>
        <v>11.251099999999999</v>
      </c>
      <c r="AA247" s="248">
        <f t="shared" si="190"/>
        <v>11.206</v>
      </c>
      <c r="AB247" s="234" t="e">
        <f>VLOOKUP(A247,Enforcements!$C$7:$K$9,8,0)</f>
        <v>#N/A</v>
      </c>
      <c r="AC247" s="233" t="e">
        <f>VLOOKUP(A247,Enforcements!$C$7:$E$9,3,0)</f>
        <v>#N/A</v>
      </c>
      <c r="AD247" s="244">
        <f t="shared" si="191"/>
        <v>69</v>
      </c>
      <c r="AE247" s="236" t="str">
        <f t="shared" si="168"/>
        <v>aws s3 cp s3://rtdc.mdm.uploadarchive.raw/RTDC4058/ "%USERPROFILE%\AppData\Local\Temp\OnboardLogs"\RTDC4058\2017-11-29 --exclude "*" --recursive --include "*20171129*" &amp; "%USERPROFILE%\Documents\GitHub\mrs-test-scripts\Headless Mode &amp; Sideloading\WalkAndUnGZ.bat" "%USERPROFILE%\AppData\Local\Temp\OnboardLogs"\RTDC4058\2017-11-29 &amp; aws s3 cp s3://rtdc.mdm.uploadarchive.raw/RTDC4058/ "%USERPROFILE%\AppData\Local\Temp\OnboardLogs"\RTDC4058\2017-11-30 --exclude "*" --recursive --include "*20171130*" &amp; "%USERPROFILE%\Documents\GitHub\mrs-test-scripts\Headless Mode &amp; Sideloading\WalkAndUnGZ.bat" "%USERPROFILE%\AppData\Local\Temp\OnboardLogs"\RTDC4058\2017-11-30</v>
      </c>
      <c r="AF247" s="235" t="str">
        <f t="shared" si="169"/>
        <v>"C:\Program Files (x86)\AstroGrep\AstroGrep.exe" /e /r /s /spath="%USERPROFILE%\AppData\Local\Temp\OnboardLogs" /stypes="app*4058*20171129*" /stext=" 20:.+((SYSTEM_STATE.+slice.+state.+changed )|(ment ac)|(multiple cpu faults)|(system.+state.+changed )|(\[timeout)|(PRM\|1\|D)|(kpr)|(kdp)|(train st.+moving)|(\|lc)|(penalty))"</v>
      </c>
      <c r="AG247" s="245" t="str">
        <f t="shared" si="192"/>
        <v>Shuttle/Test</v>
      </c>
      <c r="AH247" s="237" t="str">
        <f t="shared" si="177"/>
        <v>"%USERPROFILE%\Documents\GitHub\eaglep3\Utilities\RefineRTDCRunTimes.py" --tripid 69-29 --locoid 4058 --swversion DE.1.0.9.0 --startMP 204:451 --initTime 2017-11-29T12:43:56 --startdatetime 2017-11-29T12:55:05 --delay 337 --endMP 300:112511 --enddatetime 2017-11-29T13:23:05 --enforcementcount 0 &gt;&gt;%USERPROFILE%\Documents\GitHub\eaglep3-reporting\EC\2017-11-29-refined-times.txt</v>
      </c>
      <c r="AI247" s="239" t="str">
        <f t="shared" si="178"/>
        <v>echo {"issue":{"subject":"","project_id":79,"tracker_id":40,"status_id":1,"priority_id":2,"assigned_to_id":338,"start_date":"2017-11-29","description":"","custom_fields":[{"id":1,"name":"Subdivision","value":"Shuttle/Test"},{"id":4,"name":"Milepost","value":"11.2511"},{"id":17,"name":"Train ID","value":"69-29"},{"id":16,"name":"Locomotive ID","value":"4058"},{"id":130,"name":"Impact","value":""},{"id":150,"name":"Time of Event (Mountain Time)","value":"13:23:05"},{"id":151,"name":"Denver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7" s="224"/>
      <c r="AK247" s="232"/>
      <c r="AL247" s="232"/>
      <c r="AM247" s="241" t="str">
        <f t="shared" si="179"/>
        <v>start /low /b %USERPROFILE%\Documents\GitHub\eaglep3\Utilities\DownloadLogsFromS3.py --loco 4058 --day 2017-11-29</v>
      </c>
      <c r="AN247" s="242" t="str">
        <f t="shared" si="180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20:23:05"},{"id":29,"name":"Sharepoint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 s="231" t="str">
        <f t="shared" si="181"/>
        <v>https://d0f6bd738d7f1b3e5a7ca70fe4ff75f0.us-east-1.aws.found.io/app/kibana#/discover/Steve-Slow-Train-Analysis-(2080s-and-2083s)?_g=(refreshInterval:(display:Off,pause:!f,section:0,value:0),time:(from:'2017-11-29T11:43:56-0700',mode:absolute,to:'2017-11-29T14:23:05-0700'))&amp;_a=(columns:!('Message%20ID',Summary),filters:!(),index:'emp_*',interval:auto,query:(query_string:(analyze_wildcard:!t,query:'%22rtdc.l.rtdc.4058%22')),sort:!(Time.ISO8601,asc))</v>
      </c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 s="230" t="s">
        <v>659</v>
      </c>
      <c r="B248" s="226">
        <v>4021</v>
      </c>
      <c r="C248" s="228" t="s">
        <v>192</v>
      </c>
      <c r="D248" s="228" t="s">
        <v>1014</v>
      </c>
      <c r="E248" s="227">
        <v>43068.138819444444</v>
      </c>
      <c r="F248" s="227">
        <v>43068.140300925923</v>
      </c>
      <c r="G248" s="226">
        <v>68</v>
      </c>
      <c r="H248" s="228" t="s">
        <v>1015</v>
      </c>
      <c r="I248" s="227">
        <v>43068.141423611109</v>
      </c>
      <c r="J248" s="226">
        <v>0</v>
      </c>
      <c r="K248" s="238" t="str">
        <f t="shared" si="186"/>
        <v>4021/4022</v>
      </c>
      <c r="L248" s="246" t="str">
        <f>VLOOKUP(A248,'Trips&amp;Operators'!$C$1:$G$99911,5,FALSE)</f>
        <v>SPECTOR MICHAEL</v>
      </c>
      <c r="M248" s="225">
        <f t="shared" si="187"/>
        <v>1.1226851856918074E-3</v>
      </c>
      <c r="N248" s="226">
        <f t="shared" si="182"/>
        <v>1.6166666673962027</v>
      </c>
      <c r="O248" s="226"/>
      <c r="P248" s="226"/>
      <c r="Q248" s="229"/>
      <c r="R248" s="243"/>
      <c r="S248" s="250">
        <f t="shared" si="188"/>
        <v>0</v>
      </c>
      <c r="T248" s="243" t="str">
        <f t="shared" si="189"/>
        <v>Southbound</v>
      </c>
      <c r="U248" s="247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249" t="str">
        <f t="shared" si="167"/>
        <v>https://d0f6bd738d7f1b3e5a7ca70fe4ff75f0.us-east-1.aws.found.io/app/kibana#/discover/Steve-Slow-Train-Analysis-(2080s-and-2083s)?_g=(refreshInterval:(display:Off,pause:!f,section:0,value:0),time:(from:'2017-11-29T02:19:54-0700',mode:absolute,to:'2017-11-29T04:23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48" s="248" t="str">
        <f>IF(AA248&lt;VLOOKUP(AG248,Variables!$AC$3:$AD$8,2,FALSE),"Y","N")</f>
        <v>Y</v>
      </c>
      <c r="X248" s="248">
        <f t="shared" si="183"/>
        <v>1</v>
      </c>
      <c r="Y248" s="248">
        <f t="shared" si="184"/>
        <v>0.3221</v>
      </c>
      <c r="Z248" s="248">
        <f t="shared" si="185"/>
        <v>0.1192</v>
      </c>
      <c r="AA248" s="248">
        <f t="shared" si="190"/>
        <v>0.2029</v>
      </c>
      <c r="AB248" s="234" t="e">
        <f>VLOOKUP(A248,Enforcements!$C$7:$K$9,8,0)</f>
        <v>#N/A</v>
      </c>
      <c r="AC248" s="233" t="e">
        <f>VLOOKUP(A248,Enforcements!$C$7:$E$9,3,0)</f>
        <v>#N/A</v>
      </c>
      <c r="AD248" s="244">
        <f t="shared" si="191"/>
        <v>70</v>
      </c>
      <c r="AE248" s="236" t="str">
        <f t="shared" si="168"/>
        <v>aws s3 cp s3://rtdc.mdm.uploadarchive.raw/RTDC4021/ "%USERPROFILE%\AppData\Local\Temp\OnboardLogs"\RTDC4021\2017-11-29 --exclude "*" --recursive --include "*20171129*" &amp; "%USERPROFILE%\Documents\GitHub\mrs-test-scripts\Headless Mode &amp; Sideloading\WalkAndUnGZ.bat" "%USERPROFILE%\AppData\Local\Temp\OnboardLogs"\RTDC4021\2017-11-29 &amp; aws s3 cp s3://rtdc.mdm.uploadarchive.raw/RTDC4021/ "%USERPROFILE%\AppData\Local\Temp\OnboardLogs"\RTDC4021\2017-11-30 --exclude "*" --recursive --include "*20171130*" &amp; "%USERPROFILE%\Documents\GitHub\mrs-test-scripts\Headless Mode &amp; Sideloading\WalkAndUnGZ.bat" "%USERPROFILE%\AppData\Local\Temp\OnboardLogs"\RTDC4021\2017-11-30</v>
      </c>
      <c r="AF248" s="235" t="str">
        <f t="shared" si="169"/>
        <v>"C:\Program Files (x86)\AstroGrep\AstroGrep.exe" /e /r /s /spath="%USERPROFILE%\AppData\Local\Temp\OnboardLogs" /stypes="app*4021*20171129*" /stext=" 10:.+((SYSTEM_STATE.+slice.+state.+changed )|(ment ac)|(multiple cpu faults)|(system.+state.+changed )|(\[timeout)|(PRM\|1\|D)|(kpr)|(kdp)|(train st.+moving)|(\|lc)|(penalty))"</v>
      </c>
      <c r="AG248" s="245" t="str">
        <f t="shared" si="192"/>
        <v>Shuttle/Test</v>
      </c>
      <c r="AH248" s="237" t="str">
        <f t="shared" si="177"/>
        <v>"%USERPROFILE%\Documents\GitHub\eaglep3\Utilities\RefineRTDCRunTimes.py" --tripid 70-29 --locoid 4021 --swversion DE.1.0.9.0 --startMP 204:3221 --initTime 2017-11-29T03:19:54 --startdatetime 2017-11-29T03:22:02 --delay 68 --endMP 204:1192 --enddatetime 2017-11-29T03:23:39 --enforcementcount 0 &gt;&gt;%USERPROFILE%\Documents\GitHub\eaglep3-reporting\EC\2017-11-29-refined-times.txt</v>
      </c>
      <c r="AI248" s="239" t="str">
        <f t="shared" si="178"/>
        <v>echo {"issue":{"subject":"","project_id":79,"tracker_id":40,"status_id":1,"priority_id":2,"assigned_to_id":338,"start_date":"2017-11-29","description":"","custom_fields":[{"id":1,"name":"Subdivision","value":"Shuttle/Test"},{"id":4,"name":"Milepost","value":"0.1192"},{"id":17,"name":"Train ID","value":"70-29"},{"id":16,"name":"Locomotive ID","value":"4021"},{"id":130,"name":"Impact","value":""},{"id":150,"name":"Time of Event (Mountain Time)","value":"03:23:39"},{"id":151,"name":"Denver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8" s="224"/>
      <c r="AK248" s="232"/>
      <c r="AL248" s="232"/>
      <c r="AM248" s="241" t="str">
        <f t="shared" si="179"/>
        <v>start /low /b %USERPROFILE%\Documents\GitHub\eaglep3\Utilities\DownloadLogsFromS3.py --loco 4021 --day 2017-11-29</v>
      </c>
      <c r="AN248" s="242" t="str">
        <f t="shared" si="180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10:23:39"},{"id":29,"name":"Sharepoint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8" s="231" t="str">
        <f t="shared" si="181"/>
        <v>https://d0f6bd738d7f1b3e5a7ca70fe4ff75f0.us-east-1.aws.found.io/app/kibana#/discover/Steve-Slow-Train-Analysis-(2080s-and-2083s)?_g=(refreshInterval:(display:Off,pause:!f,section:0,value:0),time:(from:'2017-11-29T02:19:54-0700',mode:absolute,to:'2017-11-29T04:23:39-0700'))&amp;_a=(columns:!('Message%20ID',Summary),filters:!(),index:'emp_*',interval:auto,query:(query_string:(analyze_wildcard:!t,query:'%22rtdc.l.rtdc.4021%22')),sort:!(Time.ISO8601,asc))</v>
      </c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 s="230" t="s">
        <v>659</v>
      </c>
      <c r="B249" s="226">
        <v>4021</v>
      </c>
      <c r="C249" s="228" t="s">
        <v>192</v>
      </c>
      <c r="D249" s="228" t="s">
        <v>1016</v>
      </c>
      <c r="E249" s="227">
        <v>43068.1872337963</v>
      </c>
      <c r="F249" s="227">
        <v>43068.189259259256</v>
      </c>
      <c r="G249" s="226">
        <v>70</v>
      </c>
      <c r="H249" s="228" t="s">
        <v>521</v>
      </c>
      <c r="I249" s="227">
        <v>43068.191076388888</v>
      </c>
      <c r="J249" s="226">
        <v>0</v>
      </c>
      <c r="K249" s="238" t="str">
        <f t="shared" si="186"/>
        <v>4021/4022</v>
      </c>
      <c r="L249" s="246" t="str">
        <f>VLOOKUP(A249,'Trips&amp;Operators'!$C$1:$G$99911,5,FALSE)</f>
        <v>SPECTOR MICHAEL</v>
      </c>
      <c r="M249" s="225">
        <f t="shared" si="187"/>
        <v>1.8171296323998831E-3</v>
      </c>
      <c r="N249" s="226">
        <f t="shared" si="182"/>
        <v>2.6166666706558317</v>
      </c>
      <c r="O249" s="226"/>
      <c r="P249" s="226"/>
      <c r="Q249" s="229"/>
      <c r="R249" s="243"/>
      <c r="S249" s="250">
        <f t="shared" si="188"/>
        <v>0</v>
      </c>
      <c r="T249" s="243" t="str">
        <f t="shared" si="189"/>
        <v>Southbound</v>
      </c>
      <c r="U249" s="247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249" t="str">
        <f t="shared" si="167"/>
        <v>https://d0f6bd738d7f1b3e5a7ca70fe4ff75f0.us-east-1.aws.found.io/app/kibana#/discover/Steve-Slow-Train-Analysis-(2080s-and-2083s)?_g=(refreshInterval:(display:Off,pause:!f,section:0,value:0),time:(from:'2017-11-29T03:29:37-0700',mode:absolute,to:'2017-11-29T05:35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49" s="248" t="str">
        <f>IF(AA249&lt;VLOOKUP(AG249,Variables!$AC$3:$AD$8,2,FALSE),"Y","N")</f>
        <v>Y</v>
      </c>
      <c r="X249" s="248">
        <f t="shared" si="183"/>
        <v>0</v>
      </c>
      <c r="Y249" s="248">
        <f t="shared" si="184"/>
        <v>0.32250000000000001</v>
      </c>
      <c r="Z249" s="248">
        <f t="shared" si="185"/>
        <v>1.52E-2</v>
      </c>
      <c r="AA249" s="248">
        <f t="shared" si="190"/>
        <v>0.30730000000000002</v>
      </c>
      <c r="AB249" s="234" t="e">
        <f>VLOOKUP(A249,Enforcements!$C$7:$K$9,8,0)</f>
        <v>#N/A</v>
      </c>
      <c r="AC249" s="233" t="e">
        <f>VLOOKUP(A249,Enforcements!$C$7:$E$9,3,0)</f>
        <v>#N/A</v>
      </c>
      <c r="AD249" s="244">
        <f t="shared" si="191"/>
        <v>70</v>
      </c>
      <c r="AE249" s="236" t="str">
        <f t="shared" si="168"/>
        <v>aws s3 cp s3://rtdc.mdm.uploadarchive.raw/RTDC4021/ "%USERPROFILE%\AppData\Local\Temp\OnboardLogs"\RTDC4021\2017-11-29 --exclude "*" --recursive --include "*20171129*" &amp; "%USERPROFILE%\Documents\GitHub\mrs-test-scripts\Headless Mode &amp; Sideloading\WalkAndUnGZ.bat" "%USERPROFILE%\AppData\Local\Temp\OnboardLogs"\RTDC4021\2017-11-29 &amp; aws s3 cp s3://rtdc.mdm.uploadarchive.raw/RTDC4021/ "%USERPROFILE%\AppData\Local\Temp\OnboardLogs"\RTDC4021\2017-11-30 --exclude "*" --recursive --include "*20171130*" &amp; "%USERPROFILE%\Documents\GitHub\mrs-test-scripts\Headless Mode &amp; Sideloading\WalkAndUnGZ.bat" "%USERPROFILE%\AppData\Local\Temp\OnboardLogs"\RTDC4021\2017-11-30</v>
      </c>
      <c r="AF249" s="235" t="str">
        <f t="shared" si="169"/>
        <v>"C:\Program Files (x86)\AstroGrep\AstroGrep.exe" /e /r /s /spath="%USERPROFILE%\AppData\Local\Temp\OnboardLogs" /stypes="app*4021*20171129*" /stext=" 11:.+((SYSTEM_STATE.+slice.+state.+changed )|(ment ac)|(multiple cpu faults)|(system.+state.+changed )|(\[timeout)|(PRM\|1\|D)|(kpr)|(kdp)|(train st.+moving)|(\|lc)|(penalty))"</v>
      </c>
      <c r="AG249" s="245" t="str">
        <f t="shared" si="192"/>
        <v>Shuttle/Test</v>
      </c>
      <c r="AH249" s="237" t="str">
        <f t="shared" si="177"/>
        <v>"%USERPROFILE%\Documents\GitHub\eaglep3\Utilities\RefineRTDCRunTimes.py" --tripid 70-29 --locoid 4021 --swversion DE.1.0.9.0 --startMP 204:3225 --initTime 2017-11-29T04:29:37 --startdatetime 2017-11-29T04:32:32 --delay 70 --endMP 204:152 --enddatetime 2017-11-29T04:35:09 --enforcementcount 0 &gt;&gt;%USERPROFILE%\Documents\GitHub\eaglep3-reporting\EC\2017-11-29-refined-times.txt</v>
      </c>
      <c r="AI249" s="239" t="str">
        <f t="shared" si="178"/>
        <v>echo {"issue":{"subject":"","project_id":79,"tracker_id":40,"status_id":1,"priority_id":2,"assigned_to_id":338,"start_date":"2017-11-29","description":"","custom_fields":[{"id":1,"name":"Subdivision","value":"Shuttle/Test"},{"id":4,"name":"Milepost","value":"0.0152"},{"id":17,"name":"Train ID","value":"70-29"},{"id":16,"name":"Locomotive ID","value":"4021"},{"id":130,"name":"Impact","value":""},{"id":150,"name":"Time of Event (Mountain Time)","value":"04:35:09"},{"id":151,"name":"Denver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9" s="224"/>
      <c r="AK249" s="232"/>
      <c r="AL249" s="232"/>
      <c r="AM249" s="241" t="str">
        <f t="shared" si="179"/>
        <v>start /low /b %USERPROFILE%\Documents\GitHub\eaglep3\Utilities\DownloadLogsFromS3.py --loco 4021 --day 2017-11-29</v>
      </c>
      <c r="AN249" s="242" t="str">
        <f t="shared" si="180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11:35:09"},{"id":29,"name":"Sharepoint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9" s="231" t="str">
        <f t="shared" si="181"/>
        <v>https://d0f6bd738d7f1b3e5a7ca70fe4ff75f0.us-east-1.aws.found.io/app/kibana#/discover/Steve-Slow-Train-Analysis-(2080s-and-2083s)?_g=(refreshInterval:(display:Off,pause:!f,section:0,value:0),time:(from:'2017-11-29T03:29:37-0700',mode:absolute,to:'2017-11-29T05:35:09-0700'))&amp;_a=(columns:!('Message%20ID',Summary),filters:!(),index:'emp_*',interval:auto,query:(query_string:(analyze_wildcard:!t,query:'%22rtdc.l.rtdc.4021%22')),sort:!(Time.ISO8601,asc))</v>
      </c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 s="230" t="s">
        <v>617</v>
      </c>
      <c r="B250" s="226">
        <v>4022</v>
      </c>
      <c r="C250" s="228" t="s">
        <v>192</v>
      </c>
      <c r="D250" s="228" t="s">
        <v>435</v>
      </c>
      <c r="E250" s="227">
        <v>43068.129108796296</v>
      </c>
      <c r="F250" s="227">
        <v>43068.136712962965</v>
      </c>
      <c r="G250" s="226">
        <v>73</v>
      </c>
      <c r="H250" s="228" t="s">
        <v>1017</v>
      </c>
      <c r="I250" s="227">
        <v>43068.137881944444</v>
      </c>
      <c r="J250" s="226">
        <v>0</v>
      </c>
      <c r="K250" s="238" t="str">
        <f t="shared" si="186"/>
        <v>4021/4022</v>
      </c>
      <c r="L250" s="246" t="str">
        <f>VLOOKUP(A250,'Trips&amp;Operators'!$C$1:$G$99911,5,FALSE)</f>
        <v>SPECTOR MICHAEL</v>
      </c>
      <c r="M250" s="225">
        <f t="shared" si="187"/>
        <v>1.1689814782585017E-3</v>
      </c>
      <c r="N250" s="226">
        <f t="shared" ref="N250:N267" si="193">24*60*SUM($M250:$M250)</f>
        <v>1.6833333286922425</v>
      </c>
      <c r="O250" s="226"/>
      <c r="P250" s="226"/>
      <c r="Q250" s="229"/>
      <c r="R250" s="243"/>
      <c r="S250" s="250">
        <f t="shared" si="188"/>
        <v>0</v>
      </c>
      <c r="T250" s="243" t="str">
        <f t="shared" si="189"/>
        <v>NorthBound</v>
      </c>
      <c r="U250" s="247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249" t="str">
        <f t="shared" si="167"/>
        <v>https://d0f6bd738d7f1b3e5a7ca70fe4ff75f0.us-east-1.aws.found.io/app/kibana#/discover/Steve-Slow-Train-Analysis-(2080s-and-2083s)?_g=(refreshInterval:(display:Off,pause:!f,section:0,value:0),time:(from:'2017-11-29T02:05:55-0700',mode:absolute,to:'2017-11-29T04:18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50" s="248" t="str">
        <f>IF(AA250&lt;VLOOKUP(AG250,Variables!$AC$3:$AD$8,2,FALSE),"Y","N")</f>
        <v>Y</v>
      </c>
      <c r="X250" s="248">
        <f t="shared" si="183"/>
        <v>1</v>
      </c>
      <c r="Y250" s="248">
        <f t="shared" si="184"/>
        <v>5.0799999999999998E-2</v>
      </c>
      <c r="Z250" s="248">
        <f t="shared" si="185"/>
        <v>0.35539999999999999</v>
      </c>
      <c r="AA250" s="248">
        <f t="shared" si="190"/>
        <v>0.30459999999999998</v>
      </c>
      <c r="AB250" s="234" t="e">
        <f>VLOOKUP(A250,Enforcements!$C$7:$K$9,8,0)</f>
        <v>#N/A</v>
      </c>
      <c r="AC250" s="233" t="e">
        <f>VLOOKUP(A250,Enforcements!$C$7:$E$9,3,0)</f>
        <v>#N/A</v>
      </c>
      <c r="AD250" s="244">
        <f t="shared" si="191"/>
        <v>71</v>
      </c>
      <c r="AE250" s="236" t="str">
        <f t="shared" si="168"/>
        <v>aws s3 cp s3://rtdc.mdm.uploadarchive.raw/RTDC4022/ "%USERPROFILE%\AppData\Local\Temp\OnboardLogs"\RTDC4022\2017-11-29 --exclude "*" --recursive --include "*20171129*" &amp; "%USERPROFILE%\Documents\GitHub\mrs-test-scripts\Headless Mode &amp; Sideloading\WalkAndUnGZ.bat" "%USERPROFILE%\AppData\Local\Temp\OnboardLogs"\RTDC4022\2017-11-29 &amp; aws s3 cp s3://rtdc.mdm.uploadarchive.raw/RTDC4022/ "%USERPROFILE%\AppData\Local\Temp\OnboardLogs"\RTDC4022\2017-11-30 --exclude "*" --recursive --include "*20171130*" &amp; "%USERPROFILE%\Documents\GitHub\mrs-test-scripts\Headless Mode &amp; Sideloading\WalkAndUnGZ.bat" "%USERPROFILE%\AppData\Local\Temp\OnboardLogs"\RTDC4022\2017-11-30</v>
      </c>
      <c r="AF250" s="235" t="str">
        <f t="shared" si="169"/>
        <v>"C:\Program Files (x86)\AstroGrep\AstroGrep.exe" /e /r /s /spath="%USERPROFILE%\AppData\Local\Temp\OnboardLogs" /stypes="app*4022*20171129*" /stext=" 10:.+((SYSTEM_STATE.+slice.+state.+changed )|(ment ac)|(multiple cpu faults)|(system.+state.+changed )|(\[timeout)|(PRM\|1\|D)|(kpr)|(kdp)|(train st.+moving)|(\|lc)|(penalty))"</v>
      </c>
      <c r="AG250" s="245" t="str">
        <f t="shared" si="192"/>
        <v>Shuttle/Test</v>
      </c>
      <c r="AH250" s="237" t="str">
        <f t="shared" si="177"/>
        <v>"%USERPROFILE%\Documents\GitHub\eaglep3\Utilities\RefineRTDCRunTimes.py" --tripid 71-29 --locoid 4022 --swversion DE.1.0.9.0 --startMP 204:508 --initTime 2017-11-29T03:05:55 --startdatetime 2017-11-29T03:16:52 --delay 73 --endMP 204:3554 --enddatetime 2017-11-29T03:18:33 --enforcementcount 0 &gt;&gt;%USERPROFILE%\Documents\GitHub\eaglep3-reporting\EC\2017-11-29-refined-times.txt</v>
      </c>
      <c r="AI250" s="239" t="str">
        <f t="shared" si="178"/>
        <v>echo {"issue":{"subject":"","project_id":79,"tracker_id":40,"status_id":1,"priority_id":2,"assigned_to_id":338,"start_date":"2017-11-29","description":"","custom_fields":[{"id":1,"name":"Subdivision","value":"Shuttle/Test"},{"id":4,"name":"Milepost","value":"0.3554"},{"id":17,"name":"Train ID","value":"71-29"},{"id":16,"name":"Locomotive ID","value":"4022"},{"id":130,"name":"Impact","value":""},{"id":150,"name":"Time of Event (Mountain Time)","value":"03:18:33"},{"id":151,"name":"Denver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0" s="224"/>
      <c r="AK250" s="232"/>
      <c r="AL250" s="232"/>
      <c r="AM250" s="241" t="str">
        <f t="shared" si="179"/>
        <v>start /low /b %USERPROFILE%\Documents\GitHub\eaglep3\Utilities\DownloadLogsFromS3.py --loco 4022 --day 2017-11-29</v>
      </c>
      <c r="AN250" s="242" t="str">
        <f t="shared" si="180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10:18:33"},{"id":29,"name":"Sharepoint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0" s="231" t="str">
        <f t="shared" si="181"/>
        <v>https://d0f6bd738d7f1b3e5a7ca70fe4ff75f0.us-east-1.aws.found.io/app/kibana#/discover/Steve-Slow-Train-Analysis-(2080s-and-2083s)?_g=(refreshInterval:(display:Off,pause:!f,section:0,value:0),time:(from:'2017-11-29T02:05:55-0700',mode:absolute,to:'2017-11-29T04:18:33-0700'))&amp;_a=(columns:!('Message%20ID',Summary),filters:!(),index:'emp_*',interval:auto,query:(query_string:(analyze_wildcard:!t,query:'%22rtdc.l.rtdc.4022%22')),sort:!(Time.ISO8601,asc))</v>
      </c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 s="230" t="s">
        <v>617</v>
      </c>
      <c r="B251" s="226">
        <v>4022</v>
      </c>
      <c r="C251" s="228" t="s">
        <v>192</v>
      </c>
      <c r="D251" s="228" t="s">
        <v>1018</v>
      </c>
      <c r="E251" s="227">
        <v>43068.177743055552</v>
      </c>
      <c r="F251" s="227">
        <v>43068.185034722221</v>
      </c>
      <c r="G251" s="226">
        <v>98</v>
      </c>
      <c r="H251" s="228" t="s">
        <v>1019</v>
      </c>
      <c r="I251" s="227">
        <v>43068.185150462959</v>
      </c>
      <c r="J251" s="226">
        <v>0</v>
      </c>
      <c r="K251" s="238" t="str">
        <f t="shared" si="186"/>
        <v>4021/4022</v>
      </c>
      <c r="L251" s="246" t="str">
        <f>VLOOKUP(A251,'Trips&amp;Operators'!$C$1:$G$99911,5,FALSE)</f>
        <v>SPECTOR MICHAEL</v>
      </c>
      <c r="M251" s="225">
        <f t="shared" si="187"/>
        <v>1.1574073869269341E-4</v>
      </c>
      <c r="N251" s="226">
        <f t="shared" si="193"/>
        <v>0.16666666371747851</v>
      </c>
      <c r="O251" s="226"/>
      <c r="P251" s="226"/>
      <c r="Q251" s="229"/>
      <c r="R251" s="243"/>
      <c r="S251" s="250">
        <f t="shared" si="188"/>
        <v>0</v>
      </c>
      <c r="T251" s="243" t="str">
        <f t="shared" si="189"/>
        <v>NorthBound</v>
      </c>
      <c r="U251" s="247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249" t="str">
        <f t="shared" si="167"/>
        <v>https://d0f6bd738d7f1b3e5a7ca70fe4ff75f0.us-east-1.aws.found.io/app/kibana#/discover/Steve-Slow-Train-Analysis-(2080s-and-2083s)?_g=(refreshInterval:(display:Off,pause:!f,section:0,value:0),time:(from:'2017-11-29T03:15:57-0700',mode:absolute,to:'2017-11-29T05:26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51" s="248" t="str">
        <f>IF(AA251&lt;VLOOKUP(AG251,Variables!$AC$3:$AD$8,2,FALSE),"Y","N")</f>
        <v>Y</v>
      </c>
      <c r="X251" s="248">
        <f t="shared" si="183"/>
        <v>0</v>
      </c>
      <c r="Y251" s="248">
        <f t="shared" si="184"/>
        <v>0.14899999999999999</v>
      </c>
      <c r="Z251" s="248">
        <f t="shared" si="185"/>
        <v>0.18509999999999999</v>
      </c>
      <c r="AA251" s="248">
        <f t="shared" si="190"/>
        <v>3.6099999999999993E-2</v>
      </c>
      <c r="AB251" s="234" t="e">
        <f>VLOOKUP(A251,Enforcements!$C$7:$K$9,8,0)</f>
        <v>#N/A</v>
      </c>
      <c r="AC251" s="233" t="e">
        <f>VLOOKUP(A251,Enforcements!$C$7:$E$9,3,0)</f>
        <v>#N/A</v>
      </c>
      <c r="AD251" s="244">
        <f t="shared" si="191"/>
        <v>71</v>
      </c>
      <c r="AE251" s="236" t="str">
        <f t="shared" si="168"/>
        <v>aws s3 cp s3://rtdc.mdm.uploadarchive.raw/RTDC4022/ "%USERPROFILE%\AppData\Local\Temp\OnboardLogs"\RTDC4022\2017-11-29 --exclude "*" --recursive --include "*20171129*" &amp; "%USERPROFILE%\Documents\GitHub\mrs-test-scripts\Headless Mode &amp; Sideloading\WalkAndUnGZ.bat" "%USERPROFILE%\AppData\Local\Temp\OnboardLogs"\RTDC4022\2017-11-29 &amp; aws s3 cp s3://rtdc.mdm.uploadarchive.raw/RTDC4022/ "%USERPROFILE%\AppData\Local\Temp\OnboardLogs"\RTDC4022\2017-11-30 --exclude "*" --recursive --include "*20171130*" &amp; "%USERPROFILE%\Documents\GitHub\mrs-test-scripts\Headless Mode &amp; Sideloading\WalkAndUnGZ.bat" "%USERPROFILE%\AppData\Local\Temp\OnboardLogs"\RTDC4022\2017-11-30</v>
      </c>
      <c r="AF251" s="235" t="str">
        <f t="shared" si="169"/>
        <v>"C:\Program Files (x86)\AstroGrep\AstroGrep.exe" /e /r /s /spath="%USERPROFILE%\AppData\Local\Temp\OnboardLogs" /stypes="app*4022*20171129*" /stext=" 11:.+((SYSTEM_STATE.+slice.+state.+changed )|(ment ac)|(multiple cpu faults)|(system.+state.+changed )|(\[timeout)|(PRM\|1\|D)|(kpr)|(kdp)|(train st.+moving)|(\|lc)|(penalty))"</v>
      </c>
      <c r="AG251" s="245" t="str">
        <f t="shared" si="192"/>
        <v>Shuttle/Test</v>
      </c>
      <c r="AH251" s="237" t="str">
        <f t="shared" si="177"/>
        <v>"%USERPROFILE%\Documents\GitHub\eaglep3\Utilities\RefineRTDCRunTimes.py" --tripid 71-29 --locoid 4022 --swversion DE.1.0.9.0 --startMP 204:1490 --initTime 2017-11-29T04:15:57 --startdatetime 2017-11-29T04:26:27 --delay 98 --endMP 204:1851 --enddatetime 2017-11-29T04:26:37 --enforcementcount 0 &gt;&gt;%USERPROFILE%\Documents\GitHub\eaglep3-reporting\EC\2017-11-29-refined-times.txt</v>
      </c>
      <c r="AI251" s="239" t="str">
        <f t="shared" si="178"/>
        <v>echo {"issue":{"subject":"","project_id":79,"tracker_id":40,"status_id":1,"priority_id":2,"assigned_to_id":338,"start_date":"2017-11-29","description":"","custom_fields":[{"id":1,"name":"Subdivision","value":"Shuttle/Test"},{"id":4,"name":"Milepost","value":"0.1851"},{"id":17,"name":"Train ID","value":"71-29"},{"id":16,"name":"Locomotive ID","value":"4022"},{"id":130,"name":"Impact","value":""},{"id":150,"name":"Time of Event (Mountain Time)","value":"04:26:37"},{"id":151,"name":"Denver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1" s="224"/>
      <c r="AK251" s="232"/>
      <c r="AL251" s="232"/>
      <c r="AM251" s="241" t="str">
        <f t="shared" si="179"/>
        <v>start /low /b %USERPROFILE%\Documents\GitHub\eaglep3\Utilities\DownloadLogsFromS3.py --loco 4022 --day 2017-11-29</v>
      </c>
      <c r="AN251" s="242" t="str">
        <f t="shared" si="180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11:26:37"},{"id":29,"name":"Sharepoint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1" s="231" t="str">
        <f t="shared" si="181"/>
        <v>https://d0f6bd738d7f1b3e5a7ca70fe4ff75f0.us-east-1.aws.found.io/app/kibana#/discover/Steve-Slow-Train-Analysis-(2080s-and-2083s)?_g=(refreshInterval:(display:Off,pause:!f,section:0,value:0),time:(from:'2017-11-29T03:15:57-0700',mode:absolute,to:'2017-11-29T05:26:37-0700'))&amp;_a=(columns:!('Message%20ID',Summary),filters:!(),index:'emp_*',interval:auto,query:(query_string:(analyze_wildcard:!t,query:'%22rtdc.l.rtdc.4022%22')),sort:!(Time.ISO8601,asc))</v>
      </c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 s="230" t="s">
        <v>641</v>
      </c>
      <c r="B252" s="226">
        <v>4057</v>
      </c>
      <c r="C252" s="228" t="s">
        <v>192</v>
      </c>
      <c r="D252" s="228" t="s">
        <v>1020</v>
      </c>
      <c r="E252" s="227">
        <v>43068.562106481484</v>
      </c>
      <c r="F252" s="227">
        <v>43068.564641203702</v>
      </c>
      <c r="G252" s="226">
        <v>96</v>
      </c>
      <c r="H252" s="228" t="s">
        <v>1021</v>
      </c>
      <c r="I252" s="227">
        <v>43068.585486111115</v>
      </c>
      <c r="J252" s="226">
        <v>0</v>
      </c>
      <c r="K252" s="238" t="str">
        <f t="shared" si="186"/>
        <v>4057/4058</v>
      </c>
      <c r="L252" s="246" t="str">
        <f>VLOOKUP(A252,'Trips&amp;Operators'!$C$1:$G$99911,5,FALSE)</f>
        <v>ANDREA WILLIAMS</v>
      </c>
      <c r="M252" s="225">
        <f t="shared" si="187"/>
        <v>2.0844907412538305E-2</v>
      </c>
      <c r="N252" s="226">
        <f t="shared" si="193"/>
        <v>30.016666674055159</v>
      </c>
      <c r="O252" s="226"/>
      <c r="P252" s="226"/>
      <c r="Q252" s="229"/>
      <c r="R252" s="243"/>
      <c r="S252" s="250">
        <f t="shared" si="188"/>
        <v>1</v>
      </c>
      <c r="T252" s="243" t="str">
        <f t="shared" si="189"/>
        <v>Southbound</v>
      </c>
      <c r="U252" s="247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1</v>
      </c>
      <c r="V252" s="249" t="str">
        <f t="shared" si="167"/>
        <v>https://d0f6bd738d7f1b3e5a7ca70fe4ff75f0.us-east-1.aws.found.io/app/kibana#/discover/Steve-Slow-Train-Analysis-(2080s-and-2083s)?_g=(refreshInterval:(display:Off,pause:!f,section:0,value:0),time:(from:'2017-11-29T12:29:26-0700',mode:absolute,to:'2017-11-29T15:03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52" s="248" t="str">
        <f>IF(AA252&lt;VLOOKUP(AG252,Variables!$AC$3:$AD$8,2,FALSE),"Y","N")</f>
        <v>Y</v>
      </c>
      <c r="X252" s="248">
        <f t="shared" si="183"/>
        <v>1</v>
      </c>
      <c r="Y252" s="248">
        <f t="shared" si="184"/>
        <v>11.2201</v>
      </c>
      <c r="Z252" s="248">
        <f t="shared" si="185"/>
        <v>9.5600000000000004E-2</v>
      </c>
      <c r="AA252" s="248">
        <f t="shared" si="190"/>
        <v>11.124500000000001</v>
      </c>
      <c r="AB252" s="234" t="e">
        <f>VLOOKUP(A252,Enforcements!$C$7:$K$9,8,0)</f>
        <v>#N/A</v>
      </c>
      <c r="AC252" s="233" t="e">
        <f>VLOOKUP(A252,Enforcements!$C$7:$E$9,3,0)</f>
        <v>#N/A</v>
      </c>
      <c r="AD252" s="244">
        <f t="shared" si="191"/>
        <v>72</v>
      </c>
      <c r="AE252" s="236" t="str">
        <f t="shared" si="168"/>
        <v>aws s3 cp s3://rtdc.mdm.uploadarchive.raw/RTDC4057/ "%USERPROFILE%\AppData\Local\Temp\OnboardLogs"\RTDC4057\2017-11-29 --exclude "*" --recursive --include "*20171129*" &amp; "%USERPROFILE%\Documents\GitHub\mrs-test-scripts\Headless Mode &amp; Sideloading\WalkAndUnGZ.bat" "%USERPROFILE%\AppData\Local\Temp\OnboardLogs"\RTDC4057\2017-11-29 &amp; aws s3 cp s3://rtdc.mdm.uploadarchive.raw/RTDC4057/ "%USERPROFILE%\AppData\Local\Temp\OnboardLogs"\RTDC4057\2017-11-30 --exclude "*" --recursive --include "*20171130*" &amp; "%USERPROFILE%\Documents\GitHub\mrs-test-scripts\Headless Mode &amp; Sideloading\WalkAndUnGZ.bat" "%USERPROFILE%\AppData\Local\Temp\OnboardLogs"\RTDC4057\2017-11-30</v>
      </c>
      <c r="AF252" s="235" t="str">
        <f t="shared" si="169"/>
        <v>"C:\Program Files (x86)\AstroGrep\AstroGrep.exe" /e /r /s /spath="%USERPROFILE%\AppData\Local\Temp\OnboardLogs" /stypes="app*4057*20171129*" /stext=" 21:.+((SYSTEM_STATE.+slice.+state.+changed )|(ment ac)|(multiple cpu faults)|(system.+state.+changed )|(\[timeout)|(PRM\|1\|D)|(kpr)|(kdp)|(train st.+moving)|(\|lc)|(penalty))"</v>
      </c>
      <c r="AG252" s="245" t="str">
        <f t="shared" si="192"/>
        <v>Shuttle/Test</v>
      </c>
      <c r="AH252" s="237" t="str">
        <f t="shared" si="177"/>
        <v>"%USERPROFILE%\Documents\GitHub\eaglep3\Utilities\RefineRTDCRunTimes.py" --tripid 72-29 --locoid 4057 --swversion DE.1.0.9.0 --startMP 300:112201 --initTime 2017-11-29T13:29:26 --startdatetime 2017-11-29T13:33:05 --delay 96 --endMP 204:956 --enddatetime 2017-11-29T14:03:06 --enforcementcount 0 &gt;&gt;%USERPROFILE%\Documents\GitHub\eaglep3-reporting\EC\2017-11-29-refined-times.txt</v>
      </c>
      <c r="AI252" s="239" t="str">
        <f t="shared" si="178"/>
        <v>echo {"issue":{"subject":"","project_id":79,"tracker_id":40,"status_id":1,"priority_id":2,"assigned_to_id":338,"start_date":"2017-11-29","description":"","custom_fields":[{"id":1,"name":"Subdivision","value":"Shuttle/Test"},{"id":4,"name":"Milepost","value":"0.0956"},{"id":17,"name":"Train ID","value":"72-29"},{"id":16,"name":"Locomotive ID","value":"4057"},{"id":130,"name":"Impact","value":""},{"id":150,"name":"Time of Event (Mountain Time)","value":"14:03:06"},{"id":151,"name":"Denver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2" s="224"/>
      <c r="AK252" s="232"/>
      <c r="AL252" s="232"/>
      <c r="AM252" s="241" t="str">
        <f t="shared" si="179"/>
        <v>start /low /b %USERPROFILE%\Documents\GitHub\eaglep3\Utilities\DownloadLogsFromS3.py --loco 4057 --day 2017-11-29</v>
      </c>
      <c r="AN252" s="242" t="str">
        <f t="shared" si="180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21:03:06"},{"id":29,"name":"Sharepoint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2" s="231" t="str">
        <f t="shared" si="181"/>
        <v>https://d0f6bd738d7f1b3e5a7ca70fe4ff75f0.us-east-1.aws.found.io/app/kibana#/discover/Steve-Slow-Train-Analysis-(2080s-and-2083s)?_g=(refreshInterval:(display:Off,pause:!f,section:0,value:0),time:(from:'2017-11-29T12:29:26-0700',mode:absolute,to:'2017-11-29T15:03:06-0700'))&amp;_a=(columns:!('Message%20ID',Summary),filters:!(),index:'emp_*',interval:auto,query:(query_string:(analyze_wildcard:!t,query:'%22rtdc.l.rtdc.4057%22')),sort:!(Time.ISO8601,asc))</v>
      </c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 s="230" t="s">
        <v>643</v>
      </c>
      <c r="B253" s="226">
        <v>4058</v>
      </c>
      <c r="C253" s="228" t="s">
        <v>192</v>
      </c>
      <c r="D253" s="228" t="s">
        <v>1022</v>
      </c>
      <c r="E253" s="227">
        <v>43068.59170138889</v>
      </c>
      <c r="F253" s="227">
        <v>43068.593101851853</v>
      </c>
      <c r="G253" s="226">
        <v>56</v>
      </c>
      <c r="H253" s="228" t="s">
        <v>1023</v>
      </c>
      <c r="I253" s="227">
        <v>43068.612951388888</v>
      </c>
      <c r="J253" s="226">
        <v>0</v>
      </c>
      <c r="K253" s="238" t="str">
        <f t="shared" si="186"/>
        <v>4057/4058</v>
      </c>
      <c r="L253" s="246" t="str">
        <f>VLOOKUP(A253,'Trips&amp;Operators'!$C$1:$G$99911,5,FALSE)</f>
        <v>ROBINSON KADDIBA</v>
      </c>
      <c r="M253" s="225">
        <f t="shared" si="187"/>
        <v>1.9849537035042886E-2</v>
      </c>
      <c r="N253" s="226">
        <f t="shared" si="193"/>
        <v>28.583333330461755</v>
      </c>
      <c r="O253" s="226"/>
      <c r="P253" s="226"/>
      <c r="Q253" s="229"/>
      <c r="R253" s="243"/>
      <c r="S253" s="250">
        <f t="shared" si="188"/>
        <v>1</v>
      </c>
      <c r="T253" s="243" t="str">
        <f t="shared" si="189"/>
        <v>NorthBound</v>
      </c>
      <c r="U253" s="247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1</v>
      </c>
      <c r="V253" s="249" t="str">
        <f t="shared" si="167"/>
        <v>https://d0f6bd738d7f1b3e5a7ca70fe4ff75f0.us-east-1.aws.found.io/app/kibana#/discover/Steve-Slow-Train-Analysis-(2080s-and-2083s)?_g=(refreshInterval:(display:Off,pause:!f,section:0,value:0),time:(from:'2017-11-29T13:12:03-0700',mode:absolute,to:'2017-11-29T15:42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53" s="248" t="str">
        <f>IF(AA253&lt;VLOOKUP(AG253,Variables!$AC$3:$AD$8,2,FALSE),"Y","N")</f>
        <v>Y</v>
      </c>
      <c r="X253" s="248">
        <f t="shared" si="183"/>
        <v>1</v>
      </c>
      <c r="Y253" s="248">
        <f t="shared" si="184"/>
        <v>0.12809999999999999</v>
      </c>
      <c r="Z253" s="248">
        <f t="shared" si="185"/>
        <v>11.2502</v>
      </c>
      <c r="AA253" s="248">
        <f t="shared" si="190"/>
        <v>11.1221</v>
      </c>
      <c r="AB253" s="234" t="e">
        <f>VLOOKUP(A253,Enforcements!$C$7:$K$9,8,0)</f>
        <v>#N/A</v>
      </c>
      <c r="AC253" s="233" t="e">
        <f>VLOOKUP(A253,Enforcements!$C$7:$E$9,3,0)</f>
        <v>#N/A</v>
      </c>
      <c r="AD253" s="244">
        <f t="shared" si="191"/>
        <v>73</v>
      </c>
      <c r="AE253" s="236" t="str">
        <f t="shared" si="168"/>
        <v>aws s3 cp s3://rtdc.mdm.uploadarchive.raw/RTDC4058/ "%USERPROFILE%\AppData\Local\Temp\OnboardLogs"\RTDC4058\2017-11-29 --exclude "*" --recursive --include "*20171129*" &amp; "%USERPROFILE%\Documents\GitHub\mrs-test-scripts\Headless Mode &amp; Sideloading\WalkAndUnGZ.bat" "%USERPROFILE%\AppData\Local\Temp\OnboardLogs"\RTDC4058\2017-11-29 &amp; aws s3 cp s3://rtdc.mdm.uploadarchive.raw/RTDC4058/ "%USERPROFILE%\AppData\Local\Temp\OnboardLogs"\RTDC4058\2017-11-30 --exclude "*" --recursive --include "*20171130*" &amp; "%USERPROFILE%\Documents\GitHub\mrs-test-scripts\Headless Mode &amp; Sideloading\WalkAndUnGZ.bat" "%USERPROFILE%\AppData\Local\Temp\OnboardLogs"\RTDC4058\2017-11-30</v>
      </c>
      <c r="AF253" s="235" t="str">
        <f t="shared" si="169"/>
        <v>"C:\Program Files (x86)\AstroGrep\AstroGrep.exe" /e /r /s /spath="%USERPROFILE%\AppData\Local\Temp\OnboardLogs" /stypes="app*4058*20171129*" /stext=" 21:.+((SYSTEM_STATE.+slice.+state.+changed )|(ment ac)|(multiple cpu faults)|(system.+state.+changed )|(\[timeout)|(PRM\|1\|D)|(kpr)|(kdp)|(train st.+moving)|(\|lc)|(penalty))"</v>
      </c>
      <c r="AG253" s="245" t="str">
        <f t="shared" si="192"/>
        <v>Shuttle/Test</v>
      </c>
      <c r="AH253" s="237" t="str">
        <f t="shared" si="177"/>
        <v>"%USERPROFILE%\Documents\GitHub\eaglep3\Utilities\RefineRTDCRunTimes.py" --tripid 73-29 --locoid 4058 --swversion DE.1.0.9.0 --startMP 204:1281 --initTime 2017-11-29T14:12:03 --startdatetime 2017-11-29T14:14:04 --delay 56 --endMP 300:112502 --enddatetime 2017-11-29T14:42:39 --enforcementcount 0 &gt;&gt;%USERPROFILE%\Documents\GitHub\eaglep3-reporting\EC\2017-11-29-refined-times.txt</v>
      </c>
      <c r="AI253" s="239" t="str">
        <f t="shared" si="178"/>
        <v>echo {"issue":{"subject":"","project_id":79,"tracker_id":40,"status_id":1,"priority_id":2,"assigned_to_id":338,"start_date":"2017-11-29","description":"","custom_fields":[{"id":1,"name":"Subdivision","value":"Shuttle/Test"},{"id":4,"name":"Milepost","value":"11.2502"},{"id":17,"name":"Train ID","value":"73-29"},{"id":16,"name":"Locomotive ID","value":"4058"},{"id":130,"name":"Impact","value":""},{"id":150,"name":"Time of Event (Mountain Time)","value":"14:42:39"},{"id":151,"name":"Denver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3" s="224"/>
      <c r="AK253" s="232"/>
      <c r="AL253" s="232"/>
      <c r="AM253" s="241" t="str">
        <f t="shared" si="179"/>
        <v>start /low /b %USERPROFILE%\Documents\GitHub\eaglep3\Utilities\DownloadLogsFromS3.py --loco 4058 --day 2017-11-29</v>
      </c>
      <c r="AN253" s="242" t="str">
        <f t="shared" si="180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21:42:39"},{"id":29,"name":"Sharepoint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3" s="231" t="str">
        <f t="shared" si="181"/>
        <v>https://d0f6bd738d7f1b3e5a7ca70fe4ff75f0.us-east-1.aws.found.io/app/kibana#/discover/Steve-Slow-Train-Analysis-(2080s-and-2083s)?_g=(refreshInterval:(display:Off,pause:!f,section:0,value:0),time:(from:'2017-11-29T13:12:03-0700',mode:absolute,to:'2017-11-29T15:42:39-0700'))&amp;_a=(columns:!('Message%20ID',Summary),filters:!(),index:'emp_*',interval:auto,query:(query_string:(analyze_wildcard:!t,query:'%22rtdc.l.rtdc.4058%22')),sort:!(Time.ISO8601,asc))</v>
      </c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 s="230" t="s">
        <v>643</v>
      </c>
      <c r="B254" s="226">
        <v>4058</v>
      </c>
      <c r="C254" s="228" t="s">
        <v>192</v>
      </c>
      <c r="D254" s="228" t="s">
        <v>599</v>
      </c>
      <c r="E254" s="227">
        <v>43068.693020833336</v>
      </c>
      <c r="F254" s="227">
        <v>43068.696145833332</v>
      </c>
      <c r="G254" s="226">
        <v>173</v>
      </c>
      <c r="H254" s="228" t="s">
        <v>1024</v>
      </c>
      <c r="I254" s="227">
        <v>43068.716458333336</v>
      </c>
      <c r="J254" s="226">
        <v>0</v>
      </c>
      <c r="K254" s="238" t="str">
        <f t="shared" si="186"/>
        <v>4057/4058</v>
      </c>
      <c r="L254" s="246" t="str">
        <f>VLOOKUP(A254,'Trips&amp;Operators'!$C$1:$G$99911,5,FALSE)</f>
        <v>ROBINSON KADDIBA</v>
      </c>
      <c r="M254" s="225">
        <f t="shared" si="187"/>
        <v>2.0312500004365575E-2</v>
      </c>
      <c r="N254" s="226">
        <f t="shared" si="193"/>
        <v>29.250000006286427</v>
      </c>
      <c r="O254" s="226"/>
      <c r="P254" s="226"/>
      <c r="Q254" s="229"/>
      <c r="R254" s="243"/>
      <c r="S254" s="250">
        <f t="shared" si="188"/>
        <v>1</v>
      </c>
      <c r="T254" s="243" t="str">
        <f t="shared" si="189"/>
        <v>NorthBound</v>
      </c>
      <c r="U254" s="247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1</v>
      </c>
      <c r="V254" s="249" t="str">
        <f t="shared" si="167"/>
        <v>https://d0f6bd738d7f1b3e5a7ca70fe4ff75f0.us-east-1.aws.found.io/app/kibana#/discover/Steve-Slow-Train-Analysis-(2080s-and-2083s)?_g=(refreshInterval:(display:Off,pause:!f,section:0,value:0),time:(from:'2017-11-29T15:37:57-0700',mode:absolute,to:'2017-11-29T18:11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54" s="248" t="str">
        <f>IF(AA254&lt;VLOOKUP(AG254,Variables!$AC$3:$AD$8,2,FALSE),"Y","N")</f>
        <v>Y</v>
      </c>
      <c r="X254" s="248">
        <f t="shared" si="183"/>
        <v>0</v>
      </c>
      <c r="Y254" s="248">
        <f t="shared" si="184"/>
        <v>0.1235</v>
      </c>
      <c r="Z254" s="248">
        <f t="shared" si="185"/>
        <v>11.245900000000001</v>
      </c>
      <c r="AA254" s="248">
        <f t="shared" si="190"/>
        <v>11.122400000000001</v>
      </c>
      <c r="AB254" s="234" t="e">
        <f>VLOOKUP(A254,Enforcements!$C$7:$K$9,8,0)</f>
        <v>#N/A</v>
      </c>
      <c r="AC254" s="233" t="e">
        <f>VLOOKUP(A254,Enforcements!$C$7:$E$9,3,0)</f>
        <v>#N/A</v>
      </c>
      <c r="AD254" s="244">
        <f t="shared" si="191"/>
        <v>73</v>
      </c>
      <c r="AE254" s="236" t="str">
        <f t="shared" si="168"/>
        <v>aws s3 cp s3://rtdc.mdm.uploadarchive.raw/RTDC4058/ "%USERPROFILE%\AppData\Local\Temp\OnboardLogs"\RTDC4058\2017-11-29 --exclude "*" --recursive --include "*20171129*" &amp; "%USERPROFILE%\Documents\GitHub\mrs-test-scripts\Headless Mode &amp; Sideloading\WalkAndUnGZ.bat" "%USERPROFILE%\AppData\Local\Temp\OnboardLogs"\RTDC4058\2017-11-29 &amp; aws s3 cp s3://rtdc.mdm.uploadarchive.raw/RTDC4058/ "%USERPROFILE%\AppData\Local\Temp\OnboardLogs"\RTDC4058\2017-11-30 --exclude "*" --recursive --include "*20171130*" &amp; "%USERPROFILE%\Documents\GitHub\mrs-test-scripts\Headless Mode &amp; Sideloading\WalkAndUnGZ.bat" "%USERPROFILE%\AppData\Local\Temp\OnboardLogs"\RTDC4058\2017-11-30</v>
      </c>
      <c r="AF254" s="235" t="str">
        <f t="shared" si="169"/>
        <v>"C:\Program Files (x86)\AstroGrep\AstroGrep.exe" /e /r /s /spath="%USERPROFILE%\AppData\Local\Temp\OnboardLogs" /stypes="app*4058*20171130*" /stext=" 00:.+((SYSTEM_STATE.+slice.+state.+changed )|(ment ac)|(multiple cpu faults)|(system.+state.+changed )|(\[timeout)|(PRM\|1\|D)|(kpr)|(kdp)|(train st.+moving)|(\|lc)|(penalty))"</v>
      </c>
      <c r="AG254" s="245" t="str">
        <f t="shared" si="192"/>
        <v>Shuttle/Test</v>
      </c>
      <c r="AH254" s="237" t="str">
        <f t="shared" si="177"/>
        <v>"%USERPROFILE%\Documents\GitHub\eaglep3\Utilities\RefineRTDCRunTimes.py" --tripid 73-29 --locoid 4058 --swversion DE.1.0.9.0 --startMP 204:1235 --initTime 2017-11-29T16:37:57 --startdatetime 2017-11-29T16:42:27 --delay 173 --endMP 300:112459 --enddatetime 2017-11-29T17:11:42 --enforcementcount 0 &gt;&gt;%USERPROFILE%\Documents\GitHub\eaglep3-reporting\EC\2017-11-29-refined-times.txt</v>
      </c>
      <c r="AI254" s="239" t="str">
        <f t="shared" si="178"/>
        <v>echo {"issue":{"subject":"","project_id":79,"tracker_id":40,"status_id":1,"priority_id":2,"assigned_to_id":338,"start_date":"2017-11-29","description":"","custom_fields":[{"id":1,"name":"Subdivision","value":"Shuttle/Test"},{"id":4,"name":"Milepost","value":"11.2459"},{"id":17,"name":"Train ID","value":"73-29"},{"id":16,"name":"Locomotive ID","value":"4058"},{"id":130,"name":"Impact","value":""},{"id":150,"name":"Time of Event (Mountain Time)","value":"17:11:42"},{"id":151,"name":"Denver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4" s="224"/>
      <c r="AK254" s="232"/>
      <c r="AL254" s="232"/>
      <c r="AM254" s="241" t="str">
        <f t="shared" si="179"/>
        <v>start /low /b %USERPROFILE%\Documents\GitHub\eaglep3\Utilities\DownloadLogsFromS3.py --loco 4058 --day 2017-11-29</v>
      </c>
      <c r="AN254" s="242" t="str">
        <f t="shared" si="180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00:11:42"},{"id":29,"name":"Sharepoint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4" s="231" t="str">
        <f t="shared" si="181"/>
        <v>https://d0f6bd738d7f1b3e5a7ca70fe4ff75f0.us-east-1.aws.found.io/app/kibana#/discover/Steve-Slow-Train-Analysis-(2080s-and-2083s)?_g=(refreshInterval:(display:Off,pause:!f,section:0,value:0),time:(from:'2017-11-29T15:37:57-0700',mode:absolute,to:'2017-11-29T18:11:42-0700'))&amp;_a=(columns:!('Message%20ID',Summary),filters:!(),index:'emp_*',interval:auto,query:(query_string:(analyze_wildcard:!t,query:'%22rtdc.l.rtdc.4058%22')),sort:!(Time.ISO8601,asc))</v>
      </c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 s="230" t="s">
        <v>643</v>
      </c>
      <c r="B255" s="226">
        <v>4058</v>
      </c>
      <c r="C255" s="228" t="s">
        <v>192</v>
      </c>
      <c r="D255" s="228" t="s">
        <v>1119</v>
      </c>
      <c r="E255" s="227">
        <v>43068.639386574076</v>
      </c>
      <c r="F255" s="227">
        <v>43068.642187500001</v>
      </c>
      <c r="G255" s="226">
        <v>83</v>
      </c>
      <c r="H255" s="228" t="s">
        <v>1120</v>
      </c>
      <c r="I255" s="227">
        <v>43068.661053240743</v>
      </c>
      <c r="J255" s="226">
        <v>0</v>
      </c>
      <c r="K255" s="238" t="str">
        <f t="shared" si="186"/>
        <v>4057/4058</v>
      </c>
      <c r="L255" s="246" t="str">
        <f>VLOOKUP(A255,'Trips&amp;Operators'!$C$1:$G$99911,5,FALSE)</f>
        <v>ROBINSON KADDIBA</v>
      </c>
      <c r="M255" s="225">
        <f t="shared" si="187"/>
        <v>1.8865740741603076E-2</v>
      </c>
      <c r="N255" s="226">
        <f t="shared" si="193"/>
        <v>27.16666666790843</v>
      </c>
      <c r="O255" s="226"/>
      <c r="P255" s="226"/>
      <c r="Q255" s="229"/>
      <c r="R255" s="243"/>
      <c r="S255" s="250">
        <f t="shared" si="188"/>
        <v>1</v>
      </c>
      <c r="T255" s="243" t="str">
        <f t="shared" si="189"/>
        <v>NorthBound</v>
      </c>
      <c r="U255" s="247">
        <f>IF(AG255="EC",COUNTIFS(Variables!$M$2:$M$19,IF(T255="NorthBound","&gt;=","&lt;=")&amp;Y255,Variables!$M$2:$M$19,IF(T255="NorthBound","&lt;=","&gt;=")&amp;Z255),COUNTIFS(Variables!$P$2:$P$19,IF(T255="NorthBound","&gt;=","&lt;=")&amp;Y255,Variables!$P$2:$P$19,IF(T255="NorthBound","&lt;=","&gt;=")&amp;Z255))</f>
        <v>1</v>
      </c>
      <c r="V255" s="249" t="str">
        <f t="shared" si="167"/>
        <v>https://d0f6bd738d7f1b3e5a7ca70fe4ff75f0.us-east-1.aws.found.io/app/kibana#/discover/Steve-Slow-Train-Analysis-(2080s-and-2083s)?_g=(refreshInterval:(display:Off,pause:!f,section:0,value:0),time:(from:'2017-11-29T14:20:43-0700',mode:absolute,to:'2017-11-29T16:51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55" s="248" t="str">
        <f>IF(AA255&lt;VLOOKUP(AG255,Variables!$AC$3:$AD$8,2,FALSE),"Y","N")</f>
        <v>Y</v>
      </c>
      <c r="X255" s="248">
        <f t="shared" si="183"/>
        <v>0</v>
      </c>
      <c r="Y255" s="248">
        <f t="shared" si="184"/>
        <v>0.1222</v>
      </c>
      <c r="Z255" s="248">
        <f t="shared" si="185"/>
        <v>11.246600000000001</v>
      </c>
      <c r="AA255" s="248">
        <f t="shared" si="190"/>
        <v>11.124400000000001</v>
      </c>
      <c r="AB255" s="234" t="e">
        <f>VLOOKUP(A255,Enforcements!$C$7:$K$9,8,0)</f>
        <v>#N/A</v>
      </c>
      <c r="AC255" s="233" t="e">
        <f>VLOOKUP(A255,Enforcements!$C$7:$E$9,3,0)</f>
        <v>#N/A</v>
      </c>
      <c r="AD255" s="244">
        <f t="shared" si="191"/>
        <v>73</v>
      </c>
      <c r="AE255" s="236" t="str">
        <f t="shared" si="168"/>
        <v>aws s3 cp s3://rtdc.mdm.uploadarchive.raw/RTDC4058/ "%USERPROFILE%\AppData\Local\Temp\OnboardLogs"\RTDC4058\2017-11-29 --exclude "*" --recursive --include "*20171129*" &amp; "%USERPROFILE%\Documents\GitHub\mrs-test-scripts\Headless Mode &amp; Sideloading\WalkAndUnGZ.bat" "%USERPROFILE%\AppData\Local\Temp\OnboardLogs"\RTDC4058\2017-11-29 &amp; aws s3 cp s3://rtdc.mdm.uploadarchive.raw/RTDC4058/ "%USERPROFILE%\AppData\Local\Temp\OnboardLogs"\RTDC4058\2017-11-30 --exclude "*" --recursive --include "*20171130*" &amp; "%USERPROFILE%\Documents\GitHub\mrs-test-scripts\Headless Mode &amp; Sideloading\WalkAndUnGZ.bat" "%USERPROFILE%\AppData\Local\Temp\OnboardLogs"\RTDC4058\2017-11-30</v>
      </c>
      <c r="AF255" s="235" t="str">
        <f t="shared" si="169"/>
        <v>"C:\Program Files (x86)\AstroGrep\AstroGrep.exe" /e /r /s /spath="%USERPROFILE%\AppData\Local\Temp\OnboardLogs" /stypes="app*4058*20171129*" /stext=" 22:.+((SYSTEM_STATE.+slice.+state.+changed )|(ment ac)|(multiple cpu faults)|(system.+state.+changed )|(\[timeout)|(PRM\|1\|D)|(kpr)|(kdp)|(train st.+moving)|(\|lc)|(penalty))"</v>
      </c>
      <c r="AG255" s="245" t="str">
        <f t="shared" si="192"/>
        <v>Shuttle/Test</v>
      </c>
      <c r="AH255" s="237" t="str">
        <f t="shared" si="177"/>
        <v>"%USERPROFILE%\Documents\GitHub\eaglep3\Utilities\RefineRTDCRunTimes.py" --tripid 73-29 --locoid 4058 --swversion DE.1.0.9.0 --startMP 204:1222 --initTime 2017-11-29T15:20:43 --startdatetime 2017-11-29T15:24:45 --delay 83 --endMP 300:112466 --enddatetime 2017-11-29T15:51:55 --enforcementcount 0 &gt;&gt;%USERPROFILE%\Documents\GitHub\eaglep3-reporting\EC\2017-11-29-refined-times.txt</v>
      </c>
      <c r="AI255" s="239" t="str">
        <f t="shared" si="178"/>
        <v>echo {"issue":{"subject":"","project_id":79,"tracker_id":40,"status_id":1,"priority_id":2,"assigned_to_id":338,"start_date":"2017-11-29","description":"","custom_fields":[{"id":1,"name":"Subdivision","value":"Shuttle/Test"},{"id":4,"name":"Milepost","value":"11.2466"},{"id":17,"name":"Train ID","value":"73-29"},{"id":16,"name":"Locomotive ID","value":"4058"},{"id":130,"name":"Impact","value":""},{"id":150,"name":"Time of Event (Mountain Time)","value":"15:51:55"},{"id":151,"name":"Denver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5" s="224"/>
      <c r="AK255" s="232"/>
      <c r="AL255" s="232"/>
      <c r="AM255" s="241" t="str">
        <f t="shared" si="179"/>
        <v>start /low /b %USERPROFILE%\Documents\GitHub\eaglep3\Utilities\DownloadLogsFromS3.py --loco 4058 --day 2017-11-29</v>
      </c>
      <c r="AN255" s="242" t="str">
        <f t="shared" si="180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22:51:55"},{"id":29,"name":"Sharepoint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5" s="231" t="str">
        <f t="shared" si="181"/>
        <v>https://d0f6bd738d7f1b3e5a7ca70fe4ff75f0.us-east-1.aws.found.io/app/kibana#/discover/Steve-Slow-Train-Analysis-(2080s-and-2083s)?_g=(refreshInterval:(display:Off,pause:!f,section:0,value:0),time:(from:'2017-11-29T14:20:43-0700',mode:absolute,to:'2017-11-29T16:51:55-0700'))&amp;_a=(columns:!('Message%20ID',Summary),filters:!(),index:'emp_*',interval:auto,query:(query_string:(analyze_wildcard:!t,query:'%22rtdc.l.rtdc.4058%22')),sort:!(Time.ISO8601,asc))</v>
      </c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 s="230" t="s">
        <v>643</v>
      </c>
      <c r="B256" s="226">
        <v>4057</v>
      </c>
      <c r="C256" s="228" t="s">
        <v>192</v>
      </c>
      <c r="D256" s="228" t="s">
        <v>1025</v>
      </c>
      <c r="E256" s="227">
        <v>43068.744293981479</v>
      </c>
      <c r="F256" s="227">
        <v>43068.745868055557</v>
      </c>
      <c r="G256" s="226">
        <v>73</v>
      </c>
      <c r="H256" s="228" t="s">
        <v>1026</v>
      </c>
      <c r="I256" s="227">
        <v>43068.746921296297</v>
      </c>
      <c r="J256" s="226">
        <v>0</v>
      </c>
      <c r="K256" s="238" t="str">
        <f t="shared" si="186"/>
        <v>4057/4058</v>
      </c>
      <c r="L256" s="246" t="str">
        <f>VLOOKUP(A256,'Trips&amp;Operators'!$C$1:$G$99911,5,FALSE)</f>
        <v>ROBINSON KADDIBA</v>
      </c>
      <c r="M256" s="225">
        <f t="shared" si="187"/>
        <v>1.0532407395658083E-3</v>
      </c>
      <c r="N256" s="226">
        <f t="shared" si="193"/>
        <v>1.516666664974764</v>
      </c>
      <c r="O256" s="226"/>
      <c r="P256" s="226"/>
      <c r="Q256" s="229"/>
      <c r="R256" s="243"/>
      <c r="S256" s="250">
        <f t="shared" si="188"/>
        <v>0</v>
      </c>
      <c r="T256" s="243" t="str">
        <f t="shared" si="189"/>
        <v>NorthBound</v>
      </c>
      <c r="U256" s="247">
        <f>IF(AG256="EC",COUNTIFS(Variables!$M$2:$M$19,IF(T256="NorthBound","&gt;=","&lt;=")&amp;Y256,Variables!$M$2:$M$19,IF(T256="NorthBound","&lt;=","&gt;=")&amp;Z256),COUNTIFS(Variables!$P$2:$P$19,IF(T256="NorthBound","&gt;=","&lt;=")&amp;Y256,Variables!$P$2:$P$19,IF(T256="NorthBound","&lt;=","&gt;=")&amp;Z256))</f>
        <v>0</v>
      </c>
      <c r="V256" s="249" t="str">
        <f t="shared" si="167"/>
        <v>https://d0f6bd738d7f1b3e5a7ca70fe4ff75f0.us-east-1.aws.found.io/app/kibana#/discover/Steve-Slow-Train-Analysis-(2080s-and-2083s)?_g=(refreshInterval:(display:Off,pause:!f,section:0,value:0),time:(from:'2017-11-29T16:51:47-0700',mode:absolute,to:'2017-11-29T18:55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56" s="248" t="str">
        <f>IF(AA256&lt;VLOOKUP(AG256,Variables!$AC$3:$AD$8,2,FALSE),"Y","N")</f>
        <v>Y</v>
      </c>
      <c r="X256" s="248">
        <f t="shared" ref="X256:X267" si="194">VALUE(LEFT(AD256,4))-VALUE(LEFT(AD255,4))</f>
        <v>0</v>
      </c>
      <c r="Y256" s="248">
        <f t="shared" si="184"/>
        <v>0.49790000000000001</v>
      </c>
      <c r="Z256" s="248">
        <f t="shared" si="185"/>
        <v>0.17469999999999999</v>
      </c>
      <c r="AA256" s="248">
        <f t="shared" si="190"/>
        <v>0.32320000000000004</v>
      </c>
      <c r="AB256" s="234" t="e">
        <f>VLOOKUP(A256,Enforcements!$C$7:$K$9,8,0)</f>
        <v>#N/A</v>
      </c>
      <c r="AC256" s="233" t="e">
        <f>VLOOKUP(A256,Enforcements!$C$7:$E$9,3,0)</f>
        <v>#N/A</v>
      </c>
      <c r="AD256" s="244">
        <f t="shared" si="191"/>
        <v>73</v>
      </c>
      <c r="AE256" s="236" t="str">
        <f t="shared" si="168"/>
        <v>aws s3 cp s3://rtdc.mdm.uploadarchive.raw/RTDC4057/ "%USERPROFILE%\AppData\Local\Temp\OnboardLogs"\RTDC4057\2017-11-29 --exclude "*" --recursive --include "*20171129*" &amp; "%USERPROFILE%\Documents\GitHub\mrs-test-scripts\Headless Mode &amp; Sideloading\WalkAndUnGZ.bat" "%USERPROFILE%\AppData\Local\Temp\OnboardLogs"\RTDC4057\2017-11-29 &amp; aws s3 cp s3://rtdc.mdm.uploadarchive.raw/RTDC4057/ "%USERPROFILE%\AppData\Local\Temp\OnboardLogs"\RTDC4057\2017-11-30 --exclude "*" --recursive --include "*20171130*" &amp; "%USERPROFILE%\Documents\GitHub\mrs-test-scripts\Headless Mode &amp; Sideloading\WalkAndUnGZ.bat" "%USERPROFILE%\AppData\Local\Temp\OnboardLogs"\RTDC4057\2017-11-30</v>
      </c>
      <c r="AF256" s="235" t="str">
        <f t="shared" si="169"/>
        <v>"C:\Program Files (x86)\AstroGrep\AstroGrep.exe" /e /r /s /spath="%USERPROFILE%\AppData\Local\Temp\OnboardLogs" /stypes="app*4057*20171130*" /stext=" 00:.+((SYSTEM_STATE.+slice.+state.+changed )|(ment ac)|(multiple cpu faults)|(system.+state.+changed )|(\[timeout)|(PRM\|1\|D)|(kpr)|(kdp)|(train st.+moving)|(\|lc)|(penalty))"</v>
      </c>
      <c r="AG256" s="245" t="str">
        <f t="shared" si="192"/>
        <v>Shuttle/Test</v>
      </c>
      <c r="AH256" s="237" t="str">
        <f t="shared" si="177"/>
        <v>"%USERPROFILE%\Documents\GitHub\eaglep3\Utilities\RefineRTDCRunTimes.py" --tripid 73-29 --locoid 4057 --swversion DE.1.0.9.0 --startMP 300:4979 --initTime 2017-11-29T17:51:47 --startdatetime 2017-11-29T17:54:03 --delay 73 --endMP 204:1747 --enddatetime 2017-11-29T17:55:34 --enforcementcount 0 &gt;&gt;%USERPROFILE%\Documents\GitHub\eaglep3-reporting\EC\2017-11-29-refined-times.txt</v>
      </c>
      <c r="AI256" s="239" t="str">
        <f t="shared" si="178"/>
        <v>echo {"issue":{"subject":"","project_id":79,"tracker_id":40,"status_id":1,"priority_id":2,"assigned_to_id":338,"start_date":"2017-11-29","description":"","custom_fields":[{"id":1,"name":"Subdivision","value":"Shuttle/Test"},{"id":4,"name":"Milepost","value":"0.1747"},{"id":17,"name":"Train ID","value":"73-29"},{"id":16,"name":"Locomotive ID","value":"4057"},{"id":130,"name":"Impact","value":""},{"id":150,"name":"Time of Event (Mountain Time)","value":"17:55:34"},{"id":151,"name":"Denver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6" s="224"/>
      <c r="AK256" s="232"/>
      <c r="AL256" s="232"/>
      <c r="AM256" s="241" t="str">
        <f t="shared" si="179"/>
        <v>start /low /b %USERPROFILE%\Documents\GitHub\eaglep3\Utilities\DownloadLogsFromS3.py --loco 4057 --day 2017-11-29</v>
      </c>
      <c r="AN256" s="242" t="str">
        <f t="shared" si="180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00:55:34"},{"id":29,"name":"Sharepoint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6" s="231" t="str">
        <f t="shared" si="181"/>
        <v>https://d0f6bd738d7f1b3e5a7ca70fe4ff75f0.us-east-1.aws.found.io/app/kibana#/discover/Steve-Slow-Train-Analysis-(2080s-and-2083s)?_g=(refreshInterval:(display:Off,pause:!f,section:0,value:0),time:(from:'2017-11-29T16:51:47-0700',mode:absolute,to:'2017-11-29T18:55:34-0700'))&amp;_a=(columns:!('Message%20ID',Summary),filters:!(),index:'emp_*',interval:auto,query:(query_string:(analyze_wildcard:!t,query:'%22rtdc.l.rtdc.4057%22')),sort:!(Time.ISO8601,asc))</v>
      </c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 s="230" t="s">
        <v>643</v>
      </c>
      <c r="B257" s="226">
        <v>4058</v>
      </c>
      <c r="C257" s="228" t="s">
        <v>192</v>
      </c>
      <c r="D257" s="228" t="s">
        <v>1121</v>
      </c>
      <c r="E257" s="227">
        <v>43068.740590277775</v>
      </c>
      <c r="F257" s="227">
        <v>43068.745868055557</v>
      </c>
      <c r="G257" s="226">
        <v>71</v>
      </c>
      <c r="H257" s="228" t="s">
        <v>1122</v>
      </c>
      <c r="I257" s="227">
        <v>43068.746921296297</v>
      </c>
      <c r="J257" s="226">
        <v>0</v>
      </c>
      <c r="K257" s="238" t="str">
        <f t="shared" si="186"/>
        <v>4057/4058</v>
      </c>
      <c r="L257" s="246" t="str">
        <f>VLOOKUP(A257,'Trips&amp;Operators'!$C$1:$G$99911,5,FALSE)</f>
        <v>ROBINSON KADDIBA</v>
      </c>
      <c r="M257" s="225">
        <f t="shared" si="187"/>
        <v>1.0532407395658083E-3</v>
      </c>
      <c r="N257" s="226">
        <f t="shared" si="193"/>
        <v>1.516666664974764</v>
      </c>
      <c r="O257" s="226"/>
      <c r="P257" s="226"/>
      <c r="Q257" s="229"/>
      <c r="R257" s="243"/>
      <c r="S257" s="250">
        <f t="shared" si="188"/>
        <v>0</v>
      </c>
      <c r="T257" s="243" t="str">
        <f t="shared" si="189"/>
        <v>NorthBound</v>
      </c>
      <c r="U257" s="247">
        <f>IF(AG257="EC",COUNTIFS(Variables!$M$2:$M$19,IF(T257="NorthBound","&gt;=","&lt;=")&amp;Y257,Variables!$M$2:$M$19,IF(T257="NorthBound","&lt;=","&gt;=")&amp;Z257),COUNTIFS(Variables!$P$2:$P$19,IF(T257="NorthBound","&gt;=","&lt;=")&amp;Y257,Variables!$P$2:$P$19,IF(T257="NorthBound","&lt;=","&gt;=")&amp;Z257))</f>
        <v>0</v>
      </c>
      <c r="V257" s="249" t="str">
        <f t="shared" si="167"/>
        <v>https://d0f6bd738d7f1b3e5a7ca70fe4ff75f0.us-east-1.aws.found.io/app/kibana#/discover/Steve-Slow-Train-Analysis-(2080s-and-2083s)?_g=(refreshInterval:(display:Off,pause:!f,section:0,value:0),time:(from:'2017-11-29T16:46:27-0700',mode:absolute,to:'2017-11-29T18:55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57" s="248" t="str">
        <f>IF(AA257&lt;VLOOKUP(AG257,Variables!$AC$3:$AD$8,2,FALSE),"Y","N")</f>
        <v>Y</v>
      </c>
      <c r="X257" s="248">
        <f t="shared" si="194"/>
        <v>0</v>
      </c>
      <c r="Y257" s="248">
        <f t="shared" si="184"/>
        <v>7.3200000000000001E-2</v>
      </c>
      <c r="Z257" s="248">
        <f t="shared" si="185"/>
        <v>0.53210000000000002</v>
      </c>
      <c r="AA257" s="248">
        <f t="shared" si="190"/>
        <v>0.45890000000000003</v>
      </c>
      <c r="AB257" s="234" t="e">
        <f>VLOOKUP(A257,Enforcements!$C$7:$K$9,8,0)</f>
        <v>#N/A</v>
      </c>
      <c r="AC257" s="233" t="e">
        <f>VLOOKUP(A257,Enforcements!$C$7:$E$9,3,0)</f>
        <v>#N/A</v>
      </c>
      <c r="AD257" s="244">
        <f t="shared" si="191"/>
        <v>73</v>
      </c>
      <c r="AE257" s="236" t="str">
        <f t="shared" si="168"/>
        <v>aws s3 cp s3://rtdc.mdm.uploadarchive.raw/RTDC4058/ "%USERPROFILE%\AppData\Local\Temp\OnboardLogs"\RTDC4058\2017-11-29 --exclude "*" --recursive --include "*20171129*" &amp; "%USERPROFILE%\Documents\GitHub\mrs-test-scripts\Headless Mode &amp; Sideloading\WalkAndUnGZ.bat" "%USERPROFILE%\AppData\Local\Temp\OnboardLogs"\RTDC4058\2017-11-29 &amp; aws s3 cp s3://rtdc.mdm.uploadarchive.raw/RTDC4058/ "%USERPROFILE%\AppData\Local\Temp\OnboardLogs"\RTDC4058\2017-11-30 --exclude "*" --recursive --include "*20171130*" &amp; "%USERPROFILE%\Documents\GitHub\mrs-test-scripts\Headless Mode &amp; Sideloading\WalkAndUnGZ.bat" "%USERPROFILE%\AppData\Local\Temp\OnboardLogs"\RTDC4058\2017-11-30</v>
      </c>
      <c r="AF257" s="235" t="str">
        <f t="shared" si="169"/>
        <v>"C:\Program Files (x86)\AstroGrep\AstroGrep.exe" /e /r /s /spath="%USERPROFILE%\AppData\Local\Temp\OnboardLogs" /stypes="app*4058*20171130*" /stext=" 00:.+((SYSTEM_STATE.+slice.+state.+changed )|(ment ac)|(multiple cpu faults)|(system.+state.+changed )|(\[timeout)|(PRM\|1\|D)|(kpr)|(kdp)|(train st.+moving)|(\|lc)|(penalty))"</v>
      </c>
      <c r="AG257" s="245" t="str">
        <f t="shared" si="192"/>
        <v>Shuttle/Test</v>
      </c>
      <c r="AH257" s="237" t="str">
        <f t="shared" si="177"/>
        <v>"%USERPROFILE%\Documents\GitHub\eaglep3\Utilities\RefineRTDCRunTimes.py" --tripid 73-29 --locoid 4058 --swversion DE.1.0.9.0 --startMP 204:732 --initTime 2017-11-29T17:46:27 --startdatetime 2017-11-29T17:54:03 --delay 71 --endMP 300:5321 --enddatetime 2017-11-29T17:55:34 --enforcementcount 0 &gt;&gt;%USERPROFILE%\Documents\GitHub\eaglep3-reporting\EC\2017-11-29-refined-times.txt</v>
      </c>
      <c r="AI257" s="239" t="str">
        <f t="shared" si="178"/>
        <v>echo {"issue":{"subject":"","project_id":79,"tracker_id":40,"status_id":1,"priority_id":2,"assigned_to_id":338,"start_date":"2017-11-29","description":"","custom_fields":[{"id":1,"name":"Subdivision","value":"Shuttle/Test"},{"id":4,"name":"Milepost","value":"0.5321"},{"id":17,"name":"Train ID","value":"73-29"},{"id":16,"name":"Locomotive ID","value":"4058"},{"id":130,"name":"Impact","value":""},{"id":150,"name":"Time of Event (Mountain Time)","value":"17:55:34"},{"id":151,"name":"Denver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7" s="224"/>
      <c r="AK257" s="232"/>
      <c r="AL257" s="232"/>
      <c r="AM257" s="241" t="str">
        <f t="shared" si="179"/>
        <v>start /low /b %USERPROFILE%\Documents\GitHub\eaglep3\Utilities\DownloadLogsFromS3.py --loco 4058 --day 2017-11-29</v>
      </c>
      <c r="AN257" s="242" t="str">
        <f t="shared" si="180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00:55:34"},{"id":29,"name":"Sharepoint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7" s="231" t="str">
        <f t="shared" si="181"/>
        <v>https://d0f6bd738d7f1b3e5a7ca70fe4ff75f0.us-east-1.aws.found.io/app/kibana#/discover/Steve-Slow-Train-Analysis-(2080s-and-2083s)?_g=(refreshInterval:(display:Off,pause:!f,section:0,value:0),time:(from:'2017-11-29T16:46:27-0700',mode:absolute,to:'2017-11-29T18:55:34-0700'))&amp;_a=(columns:!('Message%20ID',Summary),filters:!(),index:'emp_*',interval:auto,query:(query_string:(analyze_wildcard:!t,query:'%22rtdc.l.rtdc.4058%22')),sort:!(Time.ISO8601,asc))</v>
      </c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 s="230" t="s">
        <v>647</v>
      </c>
      <c r="B258" s="226">
        <v>4057</v>
      </c>
      <c r="C258" s="228" t="s">
        <v>192</v>
      </c>
      <c r="D258" s="228" t="s">
        <v>1027</v>
      </c>
      <c r="E258" s="227">
        <v>43068.662407407406</v>
      </c>
      <c r="F258" s="227">
        <v>43068.666006944448</v>
      </c>
      <c r="G258" s="226">
        <v>205</v>
      </c>
      <c r="H258" s="228" t="s">
        <v>1028</v>
      </c>
      <c r="I258" s="227">
        <v>43068.690729166665</v>
      </c>
      <c r="J258" s="226">
        <v>0</v>
      </c>
      <c r="K258" s="238" t="str">
        <f t="shared" si="186"/>
        <v>4057/4058</v>
      </c>
      <c r="L258" s="246" t="str">
        <f>VLOOKUP(A258,'Trips&amp;Operators'!$C$1:$G$99911,5,FALSE)</f>
        <v>ROBINSON KADDIBA</v>
      </c>
      <c r="M258" s="225">
        <f t="shared" si="187"/>
        <v>2.4722222216951195E-2</v>
      </c>
      <c r="N258" s="226">
        <f t="shared" si="193"/>
        <v>35.599999992409721</v>
      </c>
      <c r="O258" s="226"/>
      <c r="P258" s="226"/>
      <c r="Q258" s="229"/>
      <c r="R258" s="243"/>
      <c r="S258" s="250">
        <f t="shared" si="188"/>
        <v>1</v>
      </c>
      <c r="T258" s="243" t="str">
        <f t="shared" si="189"/>
        <v>Southbound</v>
      </c>
      <c r="U258" s="247">
        <f>IF(AG258="EC",COUNTIFS(Variables!$M$2:$M$19,IF(T258="NorthBound","&gt;=","&lt;=")&amp;Y258,Variables!$M$2:$M$19,IF(T258="NorthBound","&lt;=","&gt;=")&amp;Z258),COUNTIFS(Variables!$P$2:$P$19,IF(T258="NorthBound","&gt;=","&lt;=")&amp;Y258,Variables!$P$2:$P$19,IF(T258="NorthBound","&lt;=","&gt;=")&amp;Z258))</f>
        <v>1</v>
      </c>
      <c r="V258" s="249" t="str">
        <f t="shared" si="167"/>
        <v>https://d0f6bd738d7f1b3e5a7ca70fe4ff75f0.us-east-1.aws.found.io/app/kibana#/discover/Steve-Slow-Train-Analysis-(2080s-and-2083s)?_g=(refreshInterval:(display:Off,pause:!f,section:0,value:0),time:(from:'2017-11-29T14:53:52-0700',mode:absolute,to:'2017-11-29T17:34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58" s="248" t="str">
        <f>IF(AA258&lt;VLOOKUP(AG258,Variables!$AC$3:$AD$8,2,FALSE),"Y","N")</f>
        <v>Y</v>
      </c>
      <c r="X258" s="248">
        <f t="shared" si="194"/>
        <v>1</v>
      </c>
      <c r="Y258" s="248">
        <f t="shared" si="184"/>
        <v>11.215</v>
      </c>
      <c r="Z258" s="248">
        <f t="shared" si="185"/>
        <v>9.2399999999999996E-2</v>
      </c>
      <c r="AA258" s="248">
        <f t="shared" si="190"/>
        <v>11.1226</v>
      </c>
      <c r="AB258" s="234" t="e">
        <f>VLOOKUP(A258,Enforcements!$C$7:$K$9,8,0)</f>
        <v>#N/A</v>
      </c>
      <c r="AC258" s="233" t="e">
        <f>VLOOKUP(A258,Enforcements!$C$7:$E$9,3,0)</f>
        <v>#N/A</v>
      </c>
      <c r="AD258" s="244">
        <f t="shared" si="191"/>
        <v>74</v>
      </c>
      <c r="AE258" s="236" t="str">
        <f t="shared" si="168"/>
        <v>aws s3 cp s3://rtdc.mdm.uploadarchive.raw/RTDC4057/ "%USERPROFILE%\AppData\Local\Temp\OnboardLogs"\RTDC4057\2017-11-29 --exclude "*" --recursive --include "*20171129*" &amp; "%USERPROFILE%\Documents\GitHub\mrs-test-scripts\Headless Mode &amp; Sideloading\WalkAndUnGZ.bat" "%USERPROFILE%\AppData\Local\Temp\OnboardLogs"\RTDC4057\2017-11-29 &amp; aws s3 cp s3://rtdc.mdm.uploadarchive.raw/RTDC4057/ "%USERPROFILE%\AppData\Local\Temp\OnboardLogs"\RTDC4057\2017-11-30 --exclude "*" --recursive --include "*20171130*" &amp; "%USERPROFILE%\Documents\GitHub\mrs-test-scripts\Headless Mode &amp; Sideloading\WalkAndUnGZ.bat" "%USERPROFILE%\AppData\Local\Temp\OnboardLogs"\RTDC4057\2017-11-30</v>
      </c>
      <c r="AF258" s="235" t="str">
        <f t="shared" si="169"/>
        <v>"C:\Program Files (x86)\AstroGrep\AstroGrep.exe" /e /r /s /spath="%USERPROFILE%\AppData\Local\Temp\OnboardLogs" /stypes="app*4057*20171129*" /stext=" 23:.+((SYSTEM_STATE.+slice.+state.+changed )|(ment ac)|(multiple cpu faults)|(system.+state.+changed )|(\[timeout)|(PRM\|1\|D)|(kpr)|(kdp)|(train st.+moving)|(\|lc)|(penalty))"</v>
      </c>
      <c r="AG258" s="245" t="str">
        <f t="shared" si="192"/>
        <v>Shuttle/Test</v>
      </c>
      <c r="AH258" s="237" t="str">
        <f t="shared" si="177"/>
        <v>"%USERPROFILE%\Documents\GitHub\eaglep3\Utilities\RefineRTDCRunTimes.py" --tripid 74-29 --locoid 4057 --swversion DE.1.0.9.0 --startMP 300:112150 --initTime 2017-11-29T15:53:52 --startdatetime 2017-11-29T15:59:03 --delay 205 --endMP 204:924 --enddatetime 2017-11-29T16:34:39 --enforcementcount 0 &gt;&gt;%USERPROFILE%\Documents\GitHub\eaglep3-reporting\EC\2017-11-29-refined-times.txt</v>
      </c>
      <c r="AI258" s="239" t="str">
        <f t="shared" si="178"/>
        <v>echo {"issue":{"subject":"","project_id":79,"tracker_id":40,"status_id":1,"priority_id":2,"assigned_to_id":338,"start_date":"2017-11-29","description":"","custom_fields":[{"id":1,"name":"Subdivision","value":"Shuttle/Test"},{"id":4,"name":"Milepost","value":"0.0924"},{"id":17,"name":"Train ID","value":"74-29"},{"id":16,"name":"Locomotive ID","value":"4057"},{"id":130,"name":"Impact","value":""},{"id":150,"name":"Time of Event (Mountain Time)","value":"16:34:39"},{"id":151,"name":"Denver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8" s="224"/>
      <c r="AK258" s="232"/>
      <c r="AL258" s="232"/>
      <c r="AM258" s="241" t="str">
        <f t="shared" si="179"/>
        <v>start /low /b %USERPROFILE%\Documents\GitHub\eaglep3\Utilities\DownloadLogsFromS3.py --loco 4057 --day 2017-11-29</v>
      </c>
      <c r="AN258" s="242" t="str">
        <f t="shared" si="180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23:34:39"},{"id":29,"name":"Sharepoint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8" s="231" t="str">
        <f t="shared" si="181"/>
        <v>https://d0f6bd738d7f1b3e5a7ca70fe4ff75f0.us-east-1.aws.found.io/app/kibana#/discover/Steve-Slow-Train-Analysis-(2080s-and-2083s)?_g=(refreshInterval:(display:Off,pause:!f,section:0,value:0),time:(from:'2017-11-29T14:53:52-0700',mode:absolute,to:'2017-11-29T17:34:39-0700'))&amp;_a=(columns:!('Message%20ID',Summary),filters:!(),index:'emp_*',interval:auto,query:(query_string:(analyze_wildcard:!t,query:'%22rtdc.l.rtdc.4057%22')),sort:!(Time.ISO8601,asc))</v>
      </c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 s="230" t="s">
        <v>647</v>
      </c>
      <c r="B259" s="226">
        <v>4057</v>
      </c>
      <c r="C259" s="228" t="s">
        <v>192</v>
      </c>
      <c r="D259" s="228" t="s">
        <v>1029</v>
      </c>
      <c r="E259" s="227">
        <v>43068.613854166666</v>
      </c>
      <c r="F259" s="227">
        <v>43068.616446759261</v>
      </c>
      <c r="G259" s="226">
        <v>115</v>
      </c>
      <c r="H259" s="228" t="s">
        <v>1030</v>
      </c>
      <c r="I259" s="227">
        <v>43068.635914351849</v>
      </c>
      <c r="J259" s="226">
        <v>0</v>
      </c>
      <c r="K259" s="238" t="str">
        <f t="shared" si="186"/>
        <v>4057/4058</v>
      </c>
      <c r="L259" s="246" t="str">
        <f>VLOOKUP(A259,'Trips&amp;Operators'!$C$1:$G$99911,5,FALSE)</f>
        <v>ROBINSON KADDIBA</v>
      </c>
      <c r="M259" s="225">
        <f t="shared" si="187"/>
        <v>1.9467592588625848E-2</v>
      </c>
      <c r="N259" s="226">
        <f t="shared" si="193"/>
        <v>28.033333327621222</v>
      </c>
      <c r="O259" s="226"/>
      <c r="P259" s="226"/>
      <c r="Q259" s="229"/>
      <c r="R259" s="243"/>
      <c r="S259" s="250">
        <f t="shared" si="188"/>
        <v>1</v>
      </c>
      <c r="T259" s="243" t="str">
        <f t="shared" si="189"/>
        <v>Southbound</v>
      </c>
      <c r="U259" s="247">
        <f>IF(AG259="EC",COUNTIFS(Variables!$M$2:$M$19,IF(T259="NorthBound","&gt;=","&lt;=")&amp;Y259,Variables!$M$2:$M$19,IF(T259="NorthBound","&lt;=","&gt;=")&amp;Z259),COUNTIFS(Variables!$P$2:$P$19,IF(T259="NorthBound","&gt;=","&lt;=")&amp;Y259,Variables!$P$2:$P$19,IF(T259="NorthBound","&lt;=","&gt;=")&amp;Z259))</f>
        <v>1</v>
      </c>
      <c r="V259" s="249" t="str">
        <f t="shared" si="167"/>
        <v>https://d0f6bd738d7f1b3e5a7ca70fe4ff75f0.us-east-1.aws.found.io/app/kibana#/discover/Steve-Slow-Train-Analysis-(2080s-and-2083s)?_g=(refreshInterval:(display:Off,pause:!f,section:0,value:0),time:(from:'2017-11-29T13:43:57-0700',mode:absolute,to:'2017-11-29T16:15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59" s="248" t="str">
        <f>IF(AA259&lt;VLOOKUP(AG259,Variables!$AC$3:$AD$8,2,FALSE),"Y","N")</f>
        <v>Y</v>
      </c>
      <c r="X259" s="248">
        <f t="shared" si="194"/>
        <v>0</v>
      </c>
      <c r="Y259" s="248">
        <f t="shared" si="184"/>
        <v>11.217000000000001</v>
      </c>
      <c r="Z259" s="248">
        <f t="shared" si="185"/>
        <v>9.1700000000000004E-2</v>
      </c>
      <c r="AA259" s="248">
        <f t="shared" si="190"/>
        <v>11.125300000000001</v>
      </c>
      <c r="AB259" s="234" t="e">
        <f>VLOOKUP(A259,Enforcements!$C$7:$K$9,8,0)</f>
        <v>#N/A</v>
      </c>
      <c r="AC259" s="233" t="e">
        <f>VLOOKUP(A259,Enforcements!$C$7:$E$9,3,0)</f>
        <v>#N/A</v>
      </c>
      <c r="AD259" s="244">
        <f t="shared" si="191"/>
        <v>74</v>
      </c>
      <c r="AE259" s="236" t="str">
        <f t="shared" si="168"/>
        <v>aws s3 cp s3://rtdc.mdm.uploadarchive.raw/RTDC4057/ "%USERPROFILE%\AppData\Local\Temp\OnboardLogs"\RTDC4057\2017-11-29 --exclude "*" --recursive --include "*20171129*" &amp; "%USERPROFILE%\Documents\GitHub\mrs-test-scripts\Headless Mode &amp; Sideloading\WalkAndUnGZ.bat" "%USERPROFILE%\AppData\Local\Temp\OnboardLogs"\RTDC4057\2017-11-29 &amp; aws s3 cp s3://rtdc.mdm.uploadarchive.raw/RTDC4057/ "%USERPROFILE%\AppData\Local\Temp\OnboardLogs"\RTDC4057\2017-11-30 --exclude "*" --recursive --include "*20171130*" &amp; "%USERPROFILE%\Documents\GitHub\mrs-test-scripts\Headless Mode &amp; Sideloading\WalkAndUnGZ.bat" "%USERPROFILE%\AppData\Local\Temp\OnboardLogs"\RTDC4057\2017-11-30</v>
      </c>
      <c r="AF259" s="235" t="str">
        <f t="shared" si="169"/>
        <v>"C:\Program Files (x86)\AstroGrep\AstroGrep.exe" /e /r /s /spath="%USERPROFILE%\AppData\Local\Temp\OnboardLogs" /stypes="app*4057*20171129*" /stext=" 22:.+((SYSTEM_STATE.+slice.+state.+changed )|(ment ac)|(multiple cpu faults)|(system.+state.+changed )|(\[timeout)|(PRM\|1\|D)|(kpr)|(kdp)|(train st.+moving)|(\|lc)|(penalty))"</v>
      </c>
      <c r="AG259" s="245" t="str">
        <f t="shared" si="192"/>
        <v>Shuttle/Test</v>
      </c>
      <c r="AH259" s="237" t="str">
        <f t="shared" si="177"/>
        <v>"%USERPROFILE%\Documents\GitHub\eaglep3\Utilities\RefineRTDCRunTimes.py" --tripid 74-29 --locoid 4057 --swversion DE.1.0.9.0 --startMP 300:112170 --initTime 2017-11-29T14:43:57 --startdatetime 2017-11-29T14:47:41 --delay 115 --endMP 204:917 --enddatetime 2017-11-29T15:15:43 --enforcementcount 0 &gt;&gt;%USERPROFILE%\Documents\GitHub\eaglep3-reporting\EC\2017-11-29-refined-times.txt</v>
      </c>
      <c r="AI259" s="239" t="str">
        <f t="shared" si="178"/>
        <v>echo {"issue":{"subject":"","project_id":79,"tracker_id":40,"status_id":1,"priority_id":2,"assigned_to_id":338,"start_date":"2017-11-29","description":"","custom_fields":[{"id":1,"name":"Subdivision","value":"Shuttle/Test"},{"id":4,"name":"Milepost","value":"0.0917"},{"id":17,"name":"Train ID","value":"74-29"},{"id":16,"name":"Locomotive ID","value":"4057"},{"id":130,"name":"Impact","value":""},{"id":150,"name":"Time of Event (Mountain Time)","value":"15:15:43"},{"id":151,"name":"Denver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9" s="224"/>
      <c r="AK259" s="232"/>
      <c r="AL259" s="232"/>
      <c r="AM259" s="241" t="str">
        <f t="shared" si="179"/>
        <v>start /low /b %USERPROFILE%\Documents\GitHub\eaglep3\Utilities\DownloadLogsFromS3.py --loco 4057 --day 2017-11-29</v>
      </c>
      <c r="AN259" s="242" t="str">
        <f t="shared" si="180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22:15:43"},{"id":29,"name":"Sharepoint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9" s="231" t="str">
        <f t="shared" si="181"/>
        <v>https://d0f6bd738d7f1b3e5a7ca70fe4ff75f0.us-east-1.aws.found.io/app/kibana#/discover/Steve-Slow-Train-Analysis-(2080s-and-2083s)?_g=(refreshInterval:(display:Off,pause:!f,section:0,value:0),time:(from:'2017-11-29T13:43:57-0700',mode:absolute,to:'2017-11-29T16:15:43-0700'))&amp;_a=(columns:!('Message%20ID',Summary),filters:!(),index:'emp_*',interval:auto,query:(query_string:(analyze_wildcard:!t,query:'%22rtdc.l.rtdc.4057%22')),sort:!(Time.ISO8601,asc))</v>
      </c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 s="230" t="s">
        <v>647</v>
      </c>
      <c r="B260" s="226">
        <v>4057</v>
      </c>
      <c r="C260" s="228" t="s">
        <v>192</v>
      </c>
      <c r="D260" s="228" t="s">
        <v>1031</v>
      </c>
      <c r="E260" s="227">
        <v>43068.717361111114</v>
      </c>
      <c r="F260" s="227">
        <v>43068.719629629632</v>
      </c>
      <c r="G260" s="226">
        <v>131</v>
      </c>
      <c r="H260" s="228" t="s">
        <v>1032</v>
      </c>
      <c r="I260" s="227">
        <v>43068.740266203706</v>
      </c>
      <c r="J260" s="226">
        <v>0</v>
      </c>
      <c r="K260" s="238" t="str">
        <f t="shared" si="186"/>
        <v>4057/4058</v>
      </c>
      <c r="L260" s="246" t="str">
        <f>VLOOKUP(A260,'Trips&amp;Operators'!$C$1:$G$99911,5,FALSE)</f>
        <v>ROBINSON KADDIBA</v>
      </c>
      <c r="M260" s="225">
        <f t="shared" si="187"/>
        <v>2.0636574074160308E-2</v>
      </c>
      <c r="N260" s="226">
        <f t="shared" si="193"/>
        <v>29.716666666790843</v>
      </c>
      <c r="O260" s="226"/>
      <c r="P260" s="226"/>
      <c r="Q260" s="229"/>
      <c r="R260" s="243"/>
      <c r="S260" s="250">
        <f t="shared" si="188"/>
        <v>1</v>
      </c>
      <c r="T260" s="243" t="str">
        <f t="shared" si="189"/>
        <v>Southbound</v>
      </c>
      <c r="U260" s="247">
        <f>IF(AG260="EC",COUNTIFS(Variables!$M$2:$M$19,IF(T260="NorthBound","&gt;=","&lt;=")&amp;Y260,Variables!$M$2:$M$19,IF(T260="NorthBound","&lt;=","&gt;=")&amp;Z260),COUNTIFS(Variables!$P$2:$P$19,IF(T260="NorthBound","&gt;=","&lt;=")&amp;Y260,Variables!$P$2:$P$19,IF(T260="NorthBound","&lt;=","&gt;=")&amp;Z260))</f>
        <v>1</v>
      </c>
      <c r="V260" s="249" t="str">
        <f t="shared" si="167"/>
        <v>https://d0f6bd738d7f1b3e5a7ca70fe4ff75f0.us-east-1.aws.found.io/app/kibana#/discover/Steve-Slow-Train-Analysis-(2080s-and-2083s)?_g=(refreshInterval:(display:Off,pause:!f,section:0,value:0),time:(from:'2017-11-29T16:13:00-0700',mode:absolute,to:'2017-11-29T18:45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60" s="248" t="str">
        <f>IF(AA260&lt;VLOOKUP(AG260,Variables!$AC$3:$AD$8,2,FALSE),"Y","N")</f>
        <v>Y</v>
      </c>
      <c r="X260" s="248">
        <f t="shared" si="194"/>
        <v>0</v>
      </c>
      <c r="Y260" s="248">
        <f t="shared" si="184"/>
        <v>11.213800000000001</v>
      </c>
      <c r="Z260" s="248">
        <f t="shared" si="185"/>
        <v>4.3299999999999998E-2</v>
      </c>
      <c r="AA260" s="248">
        <f t="shared" si="190"/>
        <v>11.170500000000001</v>
      </c>
      <c r="AB260" s="234" t="e">
        <f>VLOOKUP(A260,Enforcements!$C$7:$K$9,8,0)</f>
        <v>#N/A</v>
      </c>
      <c r="AC260" s="233" t="e">
        <f>VLOOKUP(A260,Enforcements!$C$7:$E$9,3,0)</f>
        <v>#N/A</v>
      </c>
      <c r="AD260" s="244">
        <f t="shared" si="191"/>
        <v>74</v>
      </c>
      <c r="AE260" s="236" t="str">
        <f t="shared" si="168"/>
        <v>aws s3 cp s3://rtdc.mdm.uploadarchive.raw/RTDC4057/ "%USERPROFILE%\AppData\Local\Temp\OnboardLogs"\RTDC4057\2017-11-29 --exclude "*" --recursive --include "*20171129*" &amp; "%USERPROFILE%\Documents\GitHub\mrs-test-scripts\Headless Mode &amp; Sideloading\WalkAndUnGZ.bat" "%USERPROFILE%\AppData\Local\Temp\OnboardLogs"\RTDC4057\2017-11-29 &amp; aws s3 cp s3://rtdc.mdm.uploadarchive.raw/RTDC4057/ "%USERPROFILE%\AppData\Local\Temp\OnboardLogs"\RTDC4057\2017-11-30 --exclude "*" --recursive --include "*20171130*" &amp; "%USERPROFILE%\Documents\GitHub\mrs-test-scripts\Headless Mode &amp; Sideloading\WalkAndUnGZ.bat" "%USERPROFILE%\AppData\Local\Temp\OnboardLogs"\RTDC4057\2017-11-30</v>
      </c>
      <c r="AF260" s="235" t="str">
        <f t="shared" si="169"/>
        <v>"C:\Program Files (x86)\AstroGrep\AstroGrep.exe" /e /r /s /spath="%USERPROFILE%\AppData\Local\Temp\OnboardLogs" /stypes="app*4057*20171130*" /stext=" 00:.+((SYSTEM_STATE.+slice.+state.+changed )|(ment ac)|(multiple cpu faults)|(system.+state.+changed )|(\[timeout)|(PRM\|1\|D)|(kpr)|(kdp)|(train st.+moving)|(\|lc)|(penalty))"</v>
      </c>
      <c r="AG260" s="245" t="str">
        <f t="shared" si="192"/>
        <v>Shuttle/Test</v>
      </c>
      <c r="AH260" s="237" t="str">
        <f t="shared" si="177"/>
        <v>"%USERPROFILE%\Documents\GitHub\eaglep3\Utilities\RefineRTDCRunTimes.py" --tripid 74-29 --locoid 4057 --swversion DE.1.0.9.0 --startMP 300:112138 --initTime 2017-11-29T17:13:00 --startdatetime 2017-11-29T17:16:16 --delay 131 --endMP 204:433 --enddatetime 2017-11-29T17:45:59 --enforcementcount 0 &gt;&gt;%USERPROFILE%\Documents\GitHub\eaglep3-reporting\EC\2017-11-29-refined-times.txt</v>
      </c>
      <c r="AI260" s="239" t="str">
        <f t="shared" si="178"/>
        <v>echo {"issue":{"subject":"","project_id":79,"tracker_id":40,"status_id":1,"priority_id":2,"assigned_to_id":338,"start_date":"2017-11-29","description":"","custom_fields":[{"id":1,"name":"Subdivision","value":"Shuttle/Test"},{"id":4,"name":"Milepost","value":"0.0433"},{"id":17,"name":"Train ID","value":"74-29"},{"id":16,"name":"Locomotive ID","value":"4057"},{"id":130,"name":"Impact","value":""},{"id":150,"name":"Time of Event (Mountain Time)","value":"17:45:59"},{"id":151,"name":"Denver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0" s="224"/>
      <c r="AK260" s="232"/>
      <c r="AL260" s="232"/>
      <c r="AM260" s="241" t="str">
        <f t="shared" si="179"/>
        <v>start /low /b %USERPROFILE%\Documents\GitHub\eaglep3\Utilities\DownloadLogsFromS3.py --loco 4057 --day 2017-11-29</v>
      </c>
      <c r="AN260" s="242" t="str">
        <f t="shared" si="180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00:45:59"},{"id":29,"name":"Sharepoint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0" s="231" t="str">
        <f t="shared" si="181"/>
        <v>https://d0f6bd738d7f1b3e5a7ca70fe4ff75f0.us-east-1.aws.found.io/app/kibana#/discover/Steve-Slow-Train-Analysis-(2080s-and-2083s)?_g=(refreshInterval:(display:Off,pause:!f,section:0,value:0),time:(from:'2017-11-29T16:13:00-0700',mode:absolute,to:'2017-11-29T18:45:59-0700'))&amp;_a=(columns:!('Message%20ID',Summary),filters:!(),index:'emp_*',interval:auto,query:(query_string:(analyze_wildcard:!t,query:'%22rtdc.l.rtdc.4057%22')),sort:!(Time.ISO8601,asc))</v>
      </c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 s="230" t="s">
        <v>800</v>
      </c>
      <c r="B261" s="226">
        <v>4063</v>
      </c>
      <c r="C261" s="228" t="s">
        <v>192</v>
      </c>
      <c r="D261" s="228" t="s">
        <v>1033</v>
      </c>
      <c r="E261" s="227">
        <v>43068.659247685187</v>
      </c>
      <c r="F261" s="227">
        <v>43068.660810185182</v>
      </c>
      <c r="G261" s="226">
        <v>69</v>
      </c>
      <c r="H261" s="228" t="s">
        <v>413</v>
      </c>
      <c r="I261" s="227">
        <v>43068.662083333336</v>
      </c>
      <c r="J261" s="226">
        <v>0</v>
      </c>
      <c r="K261" s="238" t="str">
        <f t="shared" si="186"/>
        <v>4063/4064</v>
      </c>
      <c r="L261" s="246" t="str">
        <f>VLOOKUP(A261,'Trips&amp;Operators'!$C$1:$G$99911,5,FALSE)</f>
        <v>MOSES BRADLEY</v>
      </c>
      <c r="M261" s="225">
        <f t="shared" si="187"/>
        <v>1.273148154723458E-3</v>
      </c>
      <c r="N261" s="226">
        <f t="shared" si="193"/>
        <v>1.8333333428017795</v>
      </c>
      <c r="O261" s="226"/>
      <c r="P261" s="226"/>
      <c r="Q261" s="229"/>
      <c r="R261" s="243"/>
      <c r="S261" s="250">
        <f t="shared" si="188"/>
        <v>0</v>
      </c>
      <c r="T261" s="243" t="str">
        <f t="shared" si="189"/>
        <v>NorthBound</v>
      </c>
      <c r="U261" s="247">
        <f>IF(AG261="EC",COUNTIFS(Variables!$M$2:$M$19,IF(T261="NorthBound","&gt;=","&lt;=")&amp;Y261,Variables!$M$2:$M$19,IF(T261="NorthBound","&lt;=","&gt;=")&amp;Z261),COUNTIFS(Variables!$P$2:$P$19,IF(T261="NorthBound","&gt;=","&lt;=")&amp;Y261,Variables!$P$2:$P$19,IF(T261="NorthBound","&lt;=","&gt;=")&amp;Z261))</f>
        <v>0</v>
      </c>
      <c r="V261" s="249" t="str">
        <f t="shared" si="167"/>
        <v>https://d0f6bd738d7f1b3e5a7ca70fe4ff75f0.us-east-1.aws.found.io/app/kibana#/discover/Steve-Slow-Train-Analysis-(2080s-and-2083s)?_g=(refreshInterval:(display:Off,pause:!f,section:0,value:0),time:(from:'2017-11-29T14:49:19-0700',mode:absolute,to:'2017-11-29T16:53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61" s="248" t="str">
        <f>IF(AA261&lt;VLOOKUP(AG261,Variables!$AC$3:$AD$8,2,FALSE),"Y","N")</f>
        <v>Y</v>
      </c>
      <c r="X261" s="248">
        <f t="shared" si="194"/>
        <v>1</v>
      </c>
      <c r="Y261" s="248">
        <f t="shared" si="184"/>
        <v>0.32029999999999997</v>
      </c>
      <c r="Z261" s="248">
        <f t="shared" si="185"/>
        <v>2.07E-2</v>
      </c>
      <c r="AA261" s="248">
        <f t="shared" si="190"/>
        <v>0.29959999999999998</v>
      </c>
      <c r="AB261" s="234" t="e">
        <f>VLOOKUP(A261,Enforcements!$C$7:$K$9,8,0)</f>
        <v>#N/A</v>
      </c>
      <c r="AC261" s="233" t="e">
        <f>VLOOKUP(A261,Enforcements!$C$7:$E$9,3,0)</f>
        <v>#N/A</v>
      </c>
      <c r="AD261" s="244">
        <f t="shared" si="191"/>
        <v>75</v>
      </c>
      <c r="AE261" s="236" t="str">
        <f t="shared" si="168"/>
        <v>aws s3 cp s3://rtdc.mdm.uploadarchive.raw/RTDC4063/ "%USERPROFILE%\AppData\Local\Temp\OnboardLogs"\RTDC4063\2017-11-29 --exclude "*" --recursive --include "*20171129*" &amp; "%USERPROFILE%\Documents\GitHub\mrs-test-scripts\Headless Mode &amp; Sideloading\WalkAndUnGZ.bat" "%USERPROFILE%\AppData\Local\Temp\OnboardLogs"\RTDC4063\2017-11-29 &amp; aws s3 cp s3://rtdc.mdm.uploadarchive.raw/RTDC4063/ "%USERPROFILE%\AppData\Local\Temp\OnboardLogs"\RTDC4063\2017-11-30 --exclude "*" --recursive --include "*20171130*" &amp; "%USERPROFILE%\Documents\GitHub\mrs-test-scripts\Headless Mode &amp; Sideloading\WalkAndUnGZ.bat" "%USERPROFILE%\AppData\Local\Temp\OnboardLogs"\RTDC4063\2017-11-30</v>
      </c>
      <c r="AF261" s="235" t="str">
        <f t="shared" si="169"/>
        <v>"C:\Program Files (x86)\AstroGrep\AstroGrep.exe" /e /r /s /spath="%USERPROFILE%\AppData\Local\Temp\OnboardLogs" /stypes="app*4063*20171129*" /stext=" 22:.+((SYSTEM_STATE.+slice.+state.+changed )|(ment ac)|(multiple cpu faults)|(system.+state.+changed )|(\[timeout)|(PRM\|1\|D)|(kpr)|(kdp)|(train st.+moving)|(\|lc)|(penalty))"</v>
      </c>
      <c r="AG261" s="245" t="str">
        <f t="shared" si="192"/>
        <v>Shuttle/Test</v>
      </c>
      <c r="AH261" s="237" t="str">
        <f t="shared" si="177"/>
        <v>"%USERPROFILE%\Documents\GitHub\eaglep3\Utilities\RefineRTDCRunTimes.py" --tripid 75-29 --locoid 4063 --swversion DE.1.0.9.0 --startMP 204:3203 --initTime 2017-11-29T15:49:19 --startdatetime 2017-11-29T15:51:34 --delay 69 --endMP 204:207 --enddatetime 2017-11-29T15:53:24 --enforcementcount 0 &gt;&gt;%USERPROFILE%\Documents\GitHub\eaglep3-reporting\EC\2017-11-29-refined-times.txt</v>
      </c>
      <c r="AI261" s="239" t="str">
        <f t="shared" si="178"/>
        <v>echo {"issue":{"subject":"","project_id":79,"tracker_id":40,"status_id":1,"priority_id":2,"assigned_to_id":338,"start_date":"2017-11-29","description":"","custom_fields":[{"id":1,"name":"Subdivision","value":"Shuttle/Test"},{"id":4,"name":"Milepost","value":"0.0207"},{"id":17,"name":"Train ID","value":"75-29"},{"id":16,"name":"Locomotive ID","value":"4063"},{"id":130,"name":"Impact","value":""},{"id":150,"name":"Time of Event (Mountain Time)","value":"15:53:24"},{"id":151,"name":"Denver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1" s="224"/>
      <c r="AK261" s="232"/>
      <c r="AL261" s="232"/>
      <c r="AM261" s="241" t="str">
        <f t="shared" si="179"/>
        <v>start /low /b %USERPROFILE%\Documents\GitHub\eaglep3\Utilities\DownloadLogsFromS3.py --loco 4063 --day 2017-11-29</v>
      </c>
      <c r="AN261" s="242" t="str">
        <f t="shared" si="180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22:53:24"},{"id":29,"name":"Sharepoint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1" s="231" t="str">
        <f t="shared" si="181"/>
        <v>https://d0f6bd738d7f1b3e5a7ca70fe4ff75f0.us-east-1.aws.found.io/app/kibana#/discover/Steve-Slow-Train-Analysis-(2080s-and-2083s)?_g=(refreshInterval:(display:Off,pause:!f,section:0,value:0),time:(from:'2017-11-29T14:49:19-0700',mode:absolute,to:'2017-11-29T16:53:24-0700'))&amp;_a=(columns:!('Message%20ID',Summary),filters:!(),index:'emp_*',interval:auto,query:(query_string:(analyze_wildcard:!t,query:'%22rtdc.l.rtdc.4063%22')),sort:!(Time.ISO8601,asc))</v>
      </c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 s="230" t="s">
        <v>800</v>
      </c>
      <c r="B262" s="226">
        <v>4064</v>
      </c>
      <c r="C262" s="228" t="s">
        <v>192</v>
      </c>
      <c r="D262" s="228" t="s">
        <v>1034</v>
      </c>
      <c r="E262" s="227">
        <v>43068.651678240742</v>
      </c>
      <c r="F262" s="227">
        <v>43068.660810185182</v>
      </c>
      <c r="G262" s="226">
        <v>79</v>
      </c>
      <c r="H262" s="228" t="s">
        <v>1035</v>
      </c>
      <c r="I262" s="227">
        <v>43068.662083333336</v>
      </c>
      <c r="J262" s="226">
        <v>0</v>
      </c>
      <c r="K262" s="238" t="str">
        <f t="shared" si="186"/>
        <v>4063/4064</v>
      </c>
      <c r="L262" s="246" t="str">
        <f>VLOOKUP(A262,'Trips&amp;Operators'!$C$1:$G$99911,5,FALSE)</f>
        <v>MOSES BRADLEY</v>
      </c>
      <c r="M262" s="225">
        <f t="shared" si="187"/>
        <v>1.273148154723458E-3</v>
      </c>
      <c r="N262" s="226">
        <f t="shared" si="193"/>
        <v>1.8333333428017795</v>
      </c>
      <c r="O262" s="226"/>
      <c r="P262" s="226"/>
      <c r="Q262" s="229"/>
      <c r="R262" s="243"/>
      <c r="S262" s="250">
        <f t="shared" si="188"/>
        <v>0</v>
      </c>
      <c r="T262" s="243" t="str">
        <f t="shared" si="189"/>
        <v>NorthBound</v>
      </c>
      <c r="U262" s="247">
        <f>IF(AG262="EC",COUNTIFS(Variables!$M$2:$M$19,IF(T262="NorthBound","&gt;=","&lt;=")&amp;Y262,Variables!$M$2:$M$19,IF(T262="NorthBound","&lt;=","&gt;=")&amp;Z262),COUNTIFS(Variables!$P$2:$P$19,IF(T262="NorthBound","&gt;=","&lt;=")&amp;Y262,Variables!$P$2:$P$19,IF(T262="NorthBound","&lt;=","&gt;=")&amp;Z262))</f>
        <v>0</v>
      </c>
      <c r="V262" s="249" t="str">
        <f t="shared" si="167"/>
        <v>https://d0f6bd738d7f1b3e5a7ca70fe4ff75f0.us-east-1.aws.found.io/app/kibana#/discover/Steve-Slow-Train-Analysis-(2080s-and-2083s)?_g=(refreshInterval:(display:Off,pause:!f,section:0,value:0),time:(from:'2017-11-29T14:38:25-0700',mode:absolute,to:'2017-11-29T16:53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62" s="248" t="str">
        <f>IF(AA262&lt;VLOOKUP(AG262,Variables!$AC$3:$AD$8,2,FALSE),"Y","N")</f>
        <v>Y</v>
      </c>
      <c r="X262" s="248">
        <f t="shared" si="194"/>
        <v>0</v>
      </c>
      <c r="Y262" s="248">
        <f t="shared" si="184"/>
        <v>0.1148</v>
      </c>
      <c r="Z262" s="248">
        <f t="shared" si="185"/>
        <v>0.35049999999999998</v>
      </c>
      <c r="AA262" s="248">
        <f t="shared" si="190"/>
        <v>0.23569999999999997</v>
      </c>
      <c r="AB262" s="234" t="e">
        <f>VLOOKUP(A262,Enforcements!$C$7:$K$9,8,0)</f>
        <v>#N/A</v>
      </c>
      <c r="AC262" s="233" t="e">
        <f>VLOOKUP(A262,Enforcements!$C$7:$E$9,3,0)</f>
        <v>#N/A</v>
      </c>
      <c r="AD262" s="244">
        <f t="shared" si="191"/>
        <v>75</v>
      </c>
      <c r="AE262" s="236" t="str">
        <f t="shared" si="168"/>
        <v>aws s3 cp s3://rtdc.mdm.uploadarchive.raw/RTDC4064/ "%USERPROFILE%\AppData\Local\Temp\OnboardLogs"\RTDC4064\2017-11-29 --exclude "*" --recursive --include "*20171129*" &amp; "%USERPROFILE%\Documents\GitHub\mrs-test-scripts\Headless Mode &amp; Sideloading\WalkAndUnGZ.bat" "%USERPROFILE%\AppData\Local\Temp\OnboardLogs"\RTDC4064\2017-11-29 &amp; aws s3 cp s3://rtdc.mdm.uploadarchive.raw/RTDC4064/ "%USERPROFILE%\AppData\Local\Temp\OnboardLogs"\RTDC4064\2017-11-30 --exclude "*" --recursive --include "*20171130*" &amp; "%USERPROFILE%\Documents\GitHub\mrs-test-scripts\Headless Mode &amp; Sideloading\WalkAndUnGZ.bat" "%USERPROFILE%\AppData\Local\Temp\OnboardLogs"\RTDC4064\2017-11-30</v>
      </c>
      <c r="AF262" s="235" t="str">
        <f t="shared" si="169"/>
        <v>"C:\Program Files (x86)\AstroGrep\AstroGrep.exe" /e /r /s /spath="%USERPROFILE%\AppData\Local\Temp\OnboardLogs" /stypes="app*4064*20171129*" /stext=" 22:.+((SYSTEM_STATE.+slice.+state.+changed )|(ment ac)|(multiple cpu faults)|(system.+state.+changed )|(\[timeout)|(PRM\|1\|D)|(kpr)|(kdp)|(train st.+moving)|(\|lc)|(penalty))"</v>
      </c>
      <c r="AG262" s="245" t="str">
        <f t="shared" si="192"/>
        <v>Shuttle/Test</v>
      </c>
      <c r="AH262" s="237" t="str">
        <f t="shared" si="177"/>
        <v>"%USERPROFILE%\Documents\GitHub\eaglep3\Utilities\RefineRTDCRunTimes.py" --tripid 75-29 --locoid 4064 --swversion DE.1.0.9.0 --startMP 204:1148 --initTime 2017-11-29T15:38:25 --startdatetime 2017-11-29T15:51:34 --delay 79 --endMP 204:3505 --enddatetime 2017-11-29T15:53:24 --enforcementcount 0 &gt;&gt;%USERPROFILE%\Documents\GitHub\eaglep3-reporting\EC\2017-11-29-refined-times.txt</v>
      </c>
      <c r="AI262" s="239" t="str">
        <f t="shared" si="178"/>
        <v>echo {"issue":{"subject":"","project_id":79,"tracker_id":40,"status_id":1,"priority_id":2,"assigned_to_id":338,"start_date":"2017-11-29","description":"","custom_fields":[{"id":1,"name":"Subdivision","value":"Shuttle/Test"},{"id":4,"name":"Milepost","value":"0.3505"},{"id":17,"name":"Train ID","value":"75-29"},{"id":16,"name":"Locomotive ID","value":"4064"},{"id":130,"name":"Impact","value":""},{"id":150,"name":"Time of Event (Mountain Time)","value":"15:53:24"},{"id":151,"name":"Denver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2" s="224"/>
      <c r="AK262" s="232"/>
      <c r="AL262" s="232"/>
      <c r="AM262" s="241" t="str">
        <f t="shared" si="179"/>
        <v>start /low /b %USERPROFILE%\Documents\GitHub\eaglep3\Utilities\DownloadLogsFromS3.py --loco 4064 --day 2017-11-29</v>
      </c>
      <c r="AN262" s="242" t="str">
        <f t="shared" si="180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22:53:24"},{"id":29,"name":"Sharepoint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2" s="231" t="str">
        <f t="shared" si="181"/>
        <v>https://d0f6bd738d7f1b3e5a7ca70fe4ff75f0.us-east-1.aws.found.io/app/kibana#/discover/Steve-Slow-Train-Analysis-(2080s-and-2083s)?_g=(refreshInterval:(display:Off,pause:!f,section:0,value:0),time:(from:'2017-11-29T14:38:25-0700',mode:absolute,to:'2017-11-29T16:53:24-0700'))&amp;_a=(columns:!('Message%20ID',Summary),filters:!(),index:'emp_*',interval:auto,query:(query_string:(analyze_wildcard:!t,query:'%22rtdc.l.rtdc.4064%22')),sort:!(Time.ISO8601,asc))</v>
      </c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 s="230" t="s">
        <v>800</v>
      </c>
      <c r="B263" s="226">
        <v>4064</v>
      </c>
      <c r="C263" s="228" t="s">
        <v>192</v>
      </c>
      <c r="D263" s="228" t="s">
        <v>1036</v>
      </c>
      <c r="E263" s="227">
        <v>43068.734780092593</v>
      </c>
      <c r="F263" s="227">
        <v>43068.749456018515</v>
      </c>
      <c r="G263" s="226">
        <v>127</v>
      </c>
      <c r="H263" s="228" t="s">
        <v>594</v>
      </c>
      <c r="I263" s="227">
        <v>43068.756331018521</v>
      </c>
      <c r="J263" s="226">
        <v>0</v>
      </c>
      <c r="K263" s="238" t="str">
        <f t="shared" si="186"/>
        <v>4063/4064</v>
      </c>
      <c r="L263" s="246" t="str">
        <f>VLOOKUP(A263,'Trips&amp;Operators'!$C$1:$G$99911,5,FALSE)</f>
        <v>MOSES BRADLEY</v>
      </c>
      <c r="M263" s="225">
        <f t="shared" si="187"/>
        <v>6.8750000064028427E-3</v>
      </c>
      <c r="N263" s="226">
        <f t="shared" si="193"/>
        <v>9.9000000092200935</v>
      </c>
      <c r="O263" s="226"/>
      <c r="P263" s="226"/>
      <c r="Q263" s="229"/>
      <c r="R263" s="243"/>
      <c r="S263" s="250">
        <f t="shared" si="188"/>
        <v>1</v>
      </c>
      <c r="T263" s="243" t="str">
        <f t="shared" si="189"/>
        <v>NorthBound</v>
      </c>
      <c r="U263" s="247">
        <f>IF(AG263="EC",COUNTIFS(Variables!$M$2:$M$19,IF(T263="NorthBound","&gt;=","&lt;=")&amp;Y263,Variables!$M$2:$M$19,IF(T263="NorthBound","&lt;=","&gt;=")&amp;Z263),COUNTIFS(Variables!$P$2:$P$19,IF(T263="NorthBound","&gt;=","&lt;=")&amp;Y263,Variables!$P$2:$P$19,IF(T263="NorthBound","&lt;=","&gt;=")&amp;Z263))</f>
        <v>1</v>
      </c>
      <c r="V263" s="249" t="str">
        <f t="shared" si="167"/>
        <v>https://d0f6bd738d7f1b3e5a7ca70fe4ff75f0.us-east-1.aws.found.io/app/kibana#/discover/Steve-Slow-Train-Analysis-(2080s-and-2083s)?_g=(refreshInterval:(display:Off,pause:!f,section:0,value:0),time:(from:'2017-11-29T16:38:05-0700',mode:absolute,to:'2017-11-29T19:09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63" s="248" t="str">
        <f>IF(AA263&lt;VLOOKUP(AG263,Variables!$AC$3:$AD$8,2,FALSE),"Y","N")</f>
        <v>Y</v>
      </c>
      <c r="X263" s="248">
        <f t="shared" si="194"/>
        <v>0</v>
      </c>
      <c r="Y263" s="248">
        <f t="shared" si="184"/>
        <v>0.1205</v>
      </c>
      <c r="Z263" s="248">
        <f t="shared" si="185"/>
        <v>2.3304</v>
      </c>
      <c r="AA263" s="248">
        <f t="shared" si="190"/>
        <v>2.2099000000000002</v>
      </c>
      <c r="AB263" s="234" t="e">
        <f>VLOOKUP(A263,Enforcements!$C$7:$K$9,8,0)</f>
        <v>#N/A</v>
      </c>
      <c r="AC263" s="233" t="e">
        <f>VLOOKUP(A263,Enforcements!$C$7:$E$9,3,0)</f>
        <v>#N/A</v>
      </c>
      <c r="AD263" s="244">
        <f t="shared" si="191"/>
        <v>75</v>
      </c>
      <c r="AE263" s="236" t="str">
        <f t="shared" si="168"/>
        <v>aws s3 cp s3://rtdc.mdm.uploadarchive.raw/RTDC4064/ "%USERPROFILE%\AppData\Local\Temp\OnboardLogs"\RTDC4064\2017-11-29 --exclude "*" --recursive --include "*20171129*" &amp; "%USERPROFILE%\Documents\GitHub\mrs-test-scripts\Headless Mode &amp; Sideloading\WalkAndUnGZ.bat" "%USERPROFILE%\AppData\Local\Temp\OnboardLogs"\RTDC4064\2017-11-29 &amp; aws s3 cp s3://rtdc.mdm.uploadarchive.raw/RTDC4064/ "%USERPROFILE%\AppData\Local\Temp\OnboardLogs"\RTDC4064\2017-11-30 --exclude "*" --recursive --include "*20171130*" &amp; "%USERPROFILE%\Documents\GitHub\mrs-test-scripts\Headless Mode &amp; Sideloading\WalkAndUnGZ.bat" "%USERPROFILE%\AppData\Local\Temp\OnboardLogs"\RTDC4064\2017-11-30</v>
      </c>
      <c r="AF263" s="235" t="str">
        <f t="shared" si="169"/>
        <v>"C:\Program Files (x86)\AstroGrep\AstroGrep.exe" /e /r /s /spath="%USERPROFILE%\AppData\Local\Temp\OnboardLogs" /stypes="app*4064*20171130*" /stext=" 01:.+((SYSTEM_STATE.+slice.+state.+changed )|(ment ac)|(multiple cpu faults)|(system.+state.+changed )|(\[timeout)|(PRM\|1\|D)|(kpr)|(kdp)|(train st.+moving)|(\|lc)|(penalty))"</v>
      </c>
      <c r="AG263" s="245" t="str">
        <f t="shared" si="192"/>
        <v>Shuttle/Test</v>
      </c>
      <c r="AH263" s="237" t="str">
        <f t="shared" si="177"/>
        <v>"%USERPROFILE%\Documents\GitHub\eaglep3\Utilities\RefineRTDCRunTimes.py" --tripid 75-29 --locoid 4064 --swversion DE.1.0.9.0 --startMP 204:1205 --initTime 2017-11-29T17:38:05 --startdatetime 2017-11-29T17:59:13 --delay 127 --endMP 300:23304 --enddatetime 2017-11-29T18:09:07 --enforcementcount 0 &gt;&gt;%USERPROFILE%\Documents\GitHub\eaglep3-reporting\EC\2017-11-29-refined-times.txt</v>
      </c>
      <c r="AI263" s="239" t="str">
        <f t="shared" si="178"/>
        <v>echo {"issue":{"subject":"","project_id":79,"tracker_id":40,"status_id":1,"priority_id":2,"assigned_to_id":338,"start_date":"2017-11-29","description":"","custom_fields":[{"id":1,"name":"Subdivision","value":"Shuttle/Test"},{"id":4,"name":"Milepost","value":"2.3304"},{"id":17,"name":"Train ID","value":"75-29"},{"id":16,"name":"Locomotive ID","value":"4064"},{"id":130,"name":"Impact","value":""},{"id":150,"name":"Time of Event (Mountain Time)","value":"18:09:07"},{"id":151,"name":"Denver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3" s="224"/>
      <c r="AK263" s="232"/>
      <c r="AL263" s="232"/>
      <c r="AM263" s="241" t="str">
        <f t="shared" si="179"/>
        <v>start /low /b %USERPROFILE%\Documents\GitHub\eaglep3\Utilities\DownloadLogsFromS3.py --loco 4064 --day 2017-11-29</v>
      </c>
      <c r="AN263" s="242" t="str">
        <f t="shared" si="180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01:09:07"},{"id":29,"name":"Sharepoint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3" s="231" t="str">
        <f t="shared" si="181"/>
        <v>https://d0f6bd738d7f1b3e5a7ca70fe4ff75f0.us-east-1.aws.found.io/app/kibana#/discover/Steve-Slow-Train-Analysis-(2080s-and-2083s)?_g=(refreshInterval:(display:Off,pause:!f,section:0,value:0),time:(from:'2017-11-29T16:38:05-0700',mode:absolute,to:'2017-11-29T19:09:07-0700'))&amp;_a=(columns:!('Message%20ID',Summary),filters:!(),index:'emp_*',interval:auto,query:(query_string:(analyze_wildcard:!t,query:'%22rtdc.l.rtdc.4064%22')),sort:!(Time.ISO8601,asc))</v>
      </c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 s="230" t="s">
        <v>807</v>
      </c>
      <c r="B264" s="226">
        <v>4028</v>
      </c>
      <c r="C264" s="228" t="s">
        <v>192</v>
      </c>
      <c r="D264" s="228" t="s">
        <v>1037</v>
      </c>
      <c r="E264" s="227">
        <v>43068.674768518518</v>
      </c>
      <c r="F264" s="227">
        <v>43068.677210648151</v>
      </c>
      <c r="G264" s="226">
        <v>95</v>
      </c>
      <c r="H264" s="228" t="s">
        <v>1038</v>
      </c>
      <c r="I264" s="227">
        <v>43068.687384259261</v>
      </c>
      <c r="J264" s="226">
        <v>0</v>
      </c>
      <c r="K264" s="238" t="str">
        <f t="shared" si="186"/>
        <v>4027/4028</v>
      </c>
      <c r="L264" s="246" t="str">
        <f>VLOOKUP(A264,'Trips&amp;Operators'!$C$1:$G$99911,5,FALSE)</f>
        <v>DE LA ROSA ALEX</v>
      </c>
      <c r="M264" s="225">
        <f t="shared" si="187"/>
        <v>1.0173611110076308E-2</v>
      </c>
      <c r="N264" s="226">
        <f t="shared" si="193"/>
        <v>14.649999998509884</v>
      </c>
      <c r="O264" s="226"/>
      <c r="P264" s="226"/>
      <c r="Q264" s="229"/>
      <c r="R264" s="243"/>
      <c r="S264" s="250">
        <f t="shared" si="188"/>
        <v>1</v>
      </c>
      <c r="T264" s="243" t="str">
        <f t="shared" si="189"/>
        <v>NorthBound</v>
      </c>
      <c r="U264" s="247">
        <f>IF(AG264="EC",COUNTIFS(Variables!$M$2:$M$19,IF(T264="NorthBound","&gt;=","&lt;=")&amp;Y264,Variables!$M$2:$M$19,IF(T264="NorthBound","&lt;=","&gt;=")&amp;Z264),COUNTIFS(Variables!$P$2:$P$19,IF(T264="NorthBound","&gt;=","&lt;=")&amp;Y264,Variables!$P$2:$P$19,IF(T264="NorthBound","&lt;=","&gt;=")&amp;Z264))</f>
        <v>1</v>
      </c>
      <c r="V264" s="249" t="str">
        <f t="shared" si="167"/>
        <v>https://d0f6bd738d7f1b3e5a7ca70fe4ff75f0.us-east-1.aws.found.io/app/kibana#/discover/Steve-Slow-Train-Analysis-(2080s-and-2083s)?_g=(refreshInterval:(display:Off,pause:!f,section:0,value:0),time:(from:'2017-11-29T15:11:40-0700',mode:absolute,to:'2017-11-29T17:29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64" s="248" t="str">
        <f>IF(AA264&lt;VLOOKUP(AG264,Variables!$AC$3:$AD$8,2,FALSE),"Y","N")</f>
        <v>Y</v>
      </c>
      <c r="X264" s="248">
        <f t="shared" si="194"/>
        <v>2</v>
      </c>
      <c r="Y264" s="248">
        <f t="shared" si="184"/>
        <v>0.121</v>
      </c>
      <c r="Z264" s="248">
        <f t="shared" si="185"/>
        <v>2.3308</v>
      </c>
      <c r="AA264" s="248">
        <f t="shared" si="190"/>
        <v>2.2098</v>
      </c>
      <c r="AB264" s="234" t="e">
        <f>VLOOKUP(A264,Enforcements!$C$7:$K$9,8,0)</f>
        <v>#N/A</v>
      </c>
      <c r="AC264" s="233" t="e">
        <f>VLOOKUP(A264,Enforcements!$C$7:$E$9,3,0)</f>
        <v>#N/A</v>
      </c>
      <c r="AD264" s="244">
        <f t="shared" si="191"/>
        <v>77</v>
      </c>
      <c r="AE264" s="236" t="str">
        <f t="shared" si="168"/>
        <v>aws s3 cp s3://rtdc.mdm.uploadarchive.raw/RTDC4028/ "%USERPROFILE%\AppData\Local\Temp\OnboardLogs"\RTDC4028\2017-11-29 --exclude "*" --recursive --include "*20171129*" &amp; "%USERPROFILE%\Documents\GitHub\mrs-test-scripts\Headless Mode &amp; Sideloading\WalkAndUnGZ.bat" "%USERPROFILE%\AppData\Local\Temp\OnboardLogs"\RTDC4028\2017-11-29 &amp; aws s3 cp s3://rtdc.mdm.uploadarchive.raw/RTDC4028/ "%USERPROFILE%\AppData\Local\Temp\OnboardLogs"\RTDC4028\2017-11-30 --exclude "*" --recursive --include "*20171130*" &amp; "%USERPROFILE%\Documents\GitHub\mrs-test-scripts\Headless Mode &amp; Sideloading\WalkAndUnGZ.bat" "%USERPROFILE%\AppData\Local\Temp\OnboardLogs"\RTDC4028\2017-11-30</v>
      </c>
      <c r="AF264" s="235" t="str">
        <f t="shared" si="169"/>
        <v>"C:\Program Files (x86)\AstroGrep\AstroGrep.exe" /e /r /s /spath="%USERPROFILE%\AppData\Local\Temp\OnboardLogs" /stypes="app*4028*20171129*" /stext=" 23:.+((SYSTEM_STATE.+slice.+state.+changed )|(ment ac)|(multiple cpu faults)|(system.+state.+changed )|(\[timeout)|(PRM\|1\|D)|(kpr)|(kdp)|(train st.+moving)|(\|lc)|(penalty))"</v>
      </c>
      <c r="AG264" s="245" t="str">
        <f t="shared" si="192"/>
        <v>Shuttle/Test</v>
      </c>
      <c r="AH264" s="237" t="str">
        <f t="shared" si="177"/>
        <v>"%USERPROFILE%\Documents\GitHub\eaglep3\Utilities\RefineRTDCRunTimes.py" --tripid 77-29 --locoid 4028 --swversion DE.1.0.9.0 --startMP 204:1210 --initTime 2017-11-29T16:11:40 --startdatetime 2017-11-29T16:15:11 --delay 95 --endMP 300:23308 --enddatetime 2017-11-29T16:29:50 --enforcementcount 0 &gt;&gt;%USERPROFILE%\Documents\GitHub\eaglep3-reporting\EC\2017-11-29-refined-times.txt</v>
      </c>
      <c r="AI264" s="239" t="str">
        <f t="shared" si="178"/>
        <v>echo {"issue":{"subject":"","project_id":79,"tracker_id":40,"status_id":1,"priority_id":2,"assigned_to_id":338,"start_date":"2017-11-29","description":"","custom_fields":[{"id":1,"name":"Subdivision","value":"Shuttle/Test"},{"id":4,"name":"Milepost","value":"2.3308"},{"id":17,"name":"Train ID","value":"77-29"},{"id":16,"name":"Locomotive ID","value":"4028"},{"id":130,"name":"Impact","value":""},{"id":150,"name":"Time of Event (Mountain Time)","value":"16:29:50"},{"id":151,"name":"Denver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4" s="224"/>
      <c r="AK264" s="232"/>
      <c r="AL264" s="232"/>
      <c r="AM264" s="241" t="str">
        <f t="shared" si="179"/>
        <v>start /low /b %USERPROFILE%\Documents\GitHub\eaglep3\Utilities\DownloadLogsFromS3.py --loco 4028 --day 2017-11-29</v>
      </c>
      <c r="AN264" s="242" t="str">
        <f t="shared" si="180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23:29:50"},{"id":29,"name":"Sharepoint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4" s="231" t="str">
        <f t="shared" si="181"/>
        <v>https://d0f6bd738d7f1b3e5a7ca70fe4ff75f0.us-east-1.aws.found.io/app/kibana#/discover/Steve-Slow-Train-Analysis-(2080s-and-2083s)?_g=(refreshInterval:(display:Off,pause:!f,section:0,value:0),time:(from:'2017-11-29T15:11:40-0700',mode:absolute,to:'2017-11-29T17:29:50-0700'))&amp;_a=(columns:!('Message%20ID',Summary),filters:!(),index:'emp_*',interval:auto,query:(query_string:(analyze_wildcard:!t,query:'%22rtdc.l.rtdc.4028%22')),sort:!(Time.ISO8601,asc))</v>
      </c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 s="230" t="s">
        <v>807</v>
      </c>
      <c r="B265" s="226">
        <v>4046</v>
      </c>
      <c r="C265" s="228" t="s">
        <v>192</v>
      </c>
      <c r="D265" s="228" t="s">
        <v>1123</v>
      </c>
      <c r="E265" s="227">
        <v>43068.720381944448</v>
      </c>
      <c r="F265" s="227">
        <v>43068.722048611111</v>
      </c>
      <c r="G265" s="226">
        <v>65</v>
      </c>
      <c r="H265" s="228" t="s">
        <v>1124</v>
      </c>
      <c r="I265" s="227">
        <v>43068.725462962961</v>
      </c>
      <c r="J265" s="226">
        <v>0</v>
      </c>
      <c r="K265" s="238" t="str">
        <f t="shared" si="186"/>
        <v>4045/4046</v>
      </c>
      <c r="L265" s="246" t="str">
        <f>VLOOKUP(A265,'Trips&amp;Operators'!$C$1:$G$99911,5,FALSE)</f>
        <v>DE LA ROSA ALEX</v>
      </c>
      <c r="M265" s="225">
        <f t="shared" si="187"/>
        <v>3.4143518496421166E-3</v>
      </c>
      <c r="N265" s="226">
        <f t="shared" si="193"/>
        <v>4.9166666634846479</v>
      </c>
      <c r="O265" s="226"/>
      <c r="P265" s="226"/>
      <c r="Q265" s="229"/>
      <c r="R265" s="243"/>
      <c r="S265" s="250">
        <f t="shared" si="188"/>
        <v>0</v>
      </c>
      <c r="T265" s="243" t="str">
        <f t="shared" si="189"/>
        <v>NorthBound</v>
      </c>
      <c r="U265" s="247">
        <f>IF(AG265="EC",COUNTIFS(Variables!$M$2:$M$19,IF(T265="NorthBound","&gt;=","&lt;=")&amp;Y265,Variables!$M$2:$M$19,IF(T265="NorthBound","&lt;=","&gt;=")&amp;Z265),COUNTIFS(Variables!$P$2:$P$19,IF(T265="NorthBound","&gt;=","&lt;=")&amp;Y265,Variables!$P$2:$P$19,IF(T265="NorthBound","&lt;=","&gt;=")&amp;Z265))</f>
        <v>0</v>
      </c>
      <c r="V265" s="249" t="str">
        <f t="shared" si="167"/>
        <v>https://d0f6bd738d7f1b3e5a7ca70fe4ff75f0.us-east-1.aws.found.io/app/kibana#/discover/Steve-Slow-Train-Analysis-(2080s-and-2083s)?_g=(refreshInterval:(display:Off,pause:!f,section:0,value:0),time:(from:'2017-11-29T16:17:21-0700',mode:absolute,to:'2017-11-29T18:24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65" s="248" t="str">
        <f>IF(AA265&lt;VLOOKUP(AG265,Variables!$AC$3:$AD$8,2,FALSE),"Y","N")</f>
        <v>Y</v>
      </c>
      <c r="X265" s="248">
        <f t="shared" si="194"/>
        <v>0</v>
      </c>
      <c r="Y265" s="248">
        <f t="shared" si="184"/>
        <v>2.1797</v>
      </c>
      <c r="Z265" s="248">
        <f t="shared" si="185"/>
        <v>2.3163999999999998</v>
      </c>
      <c r="AA265" s="248">
        <f t="shared" si="190"/>
        <v>0.13669999999999982</v>
      </c>
      <c r="AB265" s="234" t="e">
        <f>VLOOKUP(A265,Enforcements!$C$7:$K$9,8,0)</f>
        <v>#N/A</v>
      </c>
      <c r="AC265" s="233" t="e">
        <f>VLOOKUP(A265,Enforcements!$C$7:$E$9,3,0)</f>
        <v>#N/A</v>
      </c>
      <c r="AD265" s="244">
        <f t="shared" si="191"/>
        <v>77</v>
      </c>
      <c r="AE265" s="236" t="str">
        <f t="shared" si="168"/>
        <v>aws s3 cp s3://rtdc.mdm.uploadarchive.raw/RTDC4046/ "%USERPROFILE%\AppData\Local\Temp\OnboardLogs"\RTDC4046\2017-11-29 --exclude "*" --recursive --include "*20171129*" &amp; "%USERPROFILE%\Documents\GitHub\mrs-test-scripts\Headless Mode &amp; Sideloading\WalkAndUnGZ.bat" "%USERPROFILE%\AppData\Local\Temp\OnboardLogs"\RTDC4046\2017-11-29 &amp; aws s3 cp s3://rtdc.mdm.uploadarchive.raw/RTDC4046/ "%USERPROFILE%\AppData\Local\Temp\OnboardLogs"\RTDC4046\2017-11-30 --exclude "*" --recursive --include "*20171130*" &amp; "%USERPROFILE%\Documents\GitHub\mrs-test-scripts\Headless Mode &amp; Sideloading\WalkAndUnGZ.bat" "%USERPROFILE%\AppData\Local\Temp\OnboardLogs"\RTDC4046\2017-11-30</v>
      </c>
      <c r="AF265" s="235" t="str">
        <f t="shared" si="169"/>
        <v>"C:\Program Files (x86)\AstroGrep\AstroGrep.exe" /e /r /s /spath="%USERPROFILE%\AppData\Local\Temp\OnboardLogs" /stypes="app*4046*20171130*" /stext=" 00:.+((SYSTEM_STATE.+slice.+state.+changed )|(ment ac)|(multiple cpu faults)|(system.+state.+changed )|(\[timeout)|(PRM\|1\|D)|(kpr)|(kdp)|(train st.+moving)|(\|lc)|(penalty))"</v>
      </c>
      <c r="AG265" s="245" t="str">
        <f t="shared" si="192"/>
        <v>Shuttle/Test</v>
      </c>
      <c r="AH265" s="237" t="str">
        <f t="shared" si="177"/>
        <v>"%USERPROFILE%\Documents\GitHub\eaglep3\Utilities\RefineRTDCRunTimes.py" --tripid 77-29 --locoid 4046 --swversion DE.1.0.9.0 --startMP 300:21797 --initTime 2017-11-29T17:17:21 --startdatetime 2017-11-29T17:19:45 --delay 65 --endMP 300:23164 --enddatetime 2017-11-29T17:24:40 --enforcementcount 0 &gt;&gt;%USERPROFILE%\Documents\GitHub\eaglep3-reporting\EC\2017-11-29-refined-times.txt</v>
      </c>
      <c r="AI265" s="239" t="str">
        <f t="shared" si="178"/>
        <v>echo {"issue":{"subject":"","project_id":79,"tracker_id":40,"status_id":1,"priority_id":2,"assigned_to_id":338,"start_date":"2017-11-29","description":"","custom_fields":[{"id":1,"name":"Subdivision","value":"Shuttle/Test"},{"id":4,"name":"Milepost","value":"2.3164"},{"id":17,"name":"Train ID","value":"77-29"},{"id":16,"name":"Locomotive ID","value":"4046"},{"id":130,"name":"Impact","value":""},{"id":150,"name":"Time of Event (Mountain Time)","value":"17:24:40"},{"id":151,"name":"Denver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5" s="224"/>
      <c r="AK265" s="232"/>
      <c r="AL265" s="232"/>
      <c r="AM265" s="241" t="str">
        <f t="shared" si="179"/>
        <v>start /low /b %USERPROFILE%\Documents\GitHub\eaglep3\Utilities\DownloadLogsFromS3.py --loco 4046 --day 2017-11-29</v>
      </c>
      <c r="AN265" s="242" t="str">
        <f t="shared" si="180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00:24:40"},{"id":29,"name":"Sharepoint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5" s="231" t="str">
        <f t="shared" si="181"/>
        <v>https://d0f6bd738d7f1b3e5a7ca70fe4ff75f0.us-east-1.aws.found.io/app/kibana#/discover/Steve-Slow-Train-Analysis-(2080s-and-2083s)?_g=(refreshInterval:(display:Off,pause:!f,section:0,value:0),time:(from:'2017-11-29T16:17:21-0700',mode:absolute,to:'2017-11-29T18:24:40-0700'))&amp;_a=(columns:!('Message%20ID',Summary),filters:!(),index:'emp_*',interval:auto,query:(query_string:(analyze_wildcard:!t,query:'%22rtdc.l.rtdc.4046%22')),sort:!(Time.ISO8601,asc))</v>
      </c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 s="230" t="s">
        <v>807</v>
      </c>
      <c r="B266" s="226">
        <v>4045</v>
      </c>
      <c r="C266" s="228" t="s">
        <v>192</v>
      </c>
      <c r="D266" s="228" t="s">
        <v>1039</v>
      </c>
      <c r="E266" s="227">
        <v>43068.715717592589</v>
      </c>
      <c r="F266" s="227">
        <v>43068.722048611111</v>
      </c>
      <c r="G266" s="226">
        <v>98</v>
      </c>
      <c r="H266" s="228" t="s">
        <v>1040</v>
      </c>
      <c r="I266" s="227">
        <v>43068.725462962961</v>
      </c>
      <c r="J266" s="226">
        <v>0</v>
      </c>
      <c r="K266" s="238" t="str">
        <f t="shared" si="186"/>
        <v>4045/4046</v>
      </c>
      <c r="L266" s="246" t="str">
        <f>VLOOKUP(A266,'Trips&amp;Operators'!$C$1:$G$99911,5,FALSE)</f>
        <v>DE LA ROSA ALEX</v>
      </c>
      <c r="M266" s="225">
        <f t="shared" si="187"/>
        <v>3.4143518496421166E-3</v>
      </c>
      <c r="N266" s="226">
        <f t="shared" si="193"/>
        <v>4.9166666634846479</v>
      </c>
      <c r="O266" s="226"/>
      <c r="P266" s="226"/>
      <c r="Q266" s="229"/>
      <c r="R266" s="243"/>
      <c r="S266" s="250">
        <f t="shared" si="188"/>
        <v>0</v>
      </c>
      <c r="T266" s="243" t="str">
        <f t="shared" si="189"/>
        <v>NorthBound</v>
      </c>
      <c r="U266" s="247">
        <f>IF(AG266="EC",COUNTIFS(Variables!$M$2:$M$19,IF(T266="NorthBound","&gt;=","&lt;=")&amp;Y266,Variables!$M$2:$M$19,IF(T266="NorthBound","&lt;=","&gt;=")&amp;Z266),COUNTIFS(Variables!$P$2:$P$19,IF(T266="NorthBound","&gt;=","&lt;=")&amp;Y266,Variables!$P$2:$P$19,IF(T266="NorthBound","&lt;=","&gt;=")&amp;Z266))</f>
        <v>0</v>
      </c>
      <c r="V266" s="249" t="str">
        <f t="shared" si="167"/>
        <v>https://d0f6bd738d7f1b3e5a7ca70fe4ff75f0.us-east-1.aws.found.io/app/kibana#/discover/Steve-Slow-Train-Analysis-(2080s-and-2083s)?_g=(refreshInterval:(display:Off,pause:!f,section:0,value:0),time:(from:'2017-11-29T16:10:38-0700',mode:absolute,to:'2017-11-29T18:24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66" s="248" t="str">
        <f>IF(AA266&lt;VLOOKUP(AG266,Variables!$AC$3:$AD$8,2,FALSE),"Y","N")</f>
        <v>Y</v>
      </c>
      <c r="X266" s="248">
        <f t="shared" si="194"/>
        <v>0</v>
      </c>
      <c r="Y266" s="248">
        <f t="shared" si="184"/>
        <v>2.3841000000000001</v>
      </c>
      <c r="Z266" s="248">
        <f t="shared" si="185"/>
        <v>2.1463999999999999</v>
      </c>
      <c r="AA266" s="248">
        <f t="shared" si="190"/>
        <v>0.23770000000000024</v>
      </c>
      <c r="AB266" s="234" t="e">
        <f>VLOOKUP(A266,Enforcements!$C$7:$K$9,8,0)</f>
        <v>#N/A</v>
      </c>
      <c r="AC266" s="233" t="e">
        <f>VLOOKUP(A266,Enforcements!$C$7:$E$9,3,0)</f>
        <v>#N/A</v>
      </c>
      <c r="AD266" s="244">
        <f t="shared" si="191"/>
        <v>77</v>
      </c>
      <c r="AE266" s="236" t="str">
        <f t="shared" si="168"/>
        <v>aws s3 cp s3://rtdc.mdm.uploadarchive.raw/RTDC4045/ "%USERPROFILE%\AppData\Local\Temp\OnboardLogs"\RTDC4045\2017-11-29 --exclude "*" --recursive --include "*20171129*" &amp; "%USERPROFILE%\Documents\GitHub\mrs-test-scripts\Headless Mode &amp; Sideloading\WalkAndUnGZ.bat" "%USERPROFILE%\AppData\Local\Temp\OnboardLogs"\RTDC4045\2017-11-29 &amp; aws s3 cp s3://rtdc.mdm.uploadarchive.raw/RTDC4045/ "%USERPROFILE%\AppData\Local\Temp\OnboardLogs"\RTDC4045\2017-11-30 --exclude "*" --recursive --include "*20171130*" &amp; "%USERPROFILE%\Documents\GitHub\mrs-test-scripts\Headless Mode &amp; Sideloading\WalkAndUnGZ.bat" "%USERPROFILE%\AppData\Local\Temp\OnboardLogs"\RTDC4045\2017-11-30</v>
      </c>
      <c r="AF266" s="235" t="str">
        <f t="shared" si="169"/>
        <v>"C:\Program Files (x86)\AstroGrep\AstroGrep.exe" /e /r /s /spath="%USERPROFILE%\AppData\Local\Temp\OnboardLogs" /stypes="app*4045*20171130*" /stext=" 00:.+((SYSTEM_STATE.+slice.+state.+changed )|(ment ac)|(multiple cpu faults)|(system.+state.+changed )|(\[timeout)|(PRM\|1\|D)|(kpr)|(kdp)|(train st.+moving)|(\|lc)|(penalty))"</v>
      </c>
      <c r="AG266" s="245" t="str">
        <f t="shared" si="192"/>
        <v>Shuttle/Test</v>
      </c>
      <c r="AH266" s="237" t="str">
        <f t="shared" si="177"/>
        <v>"%USERPROFILE%\Documents\GitHub\eaglep3\Utilities\RefineRTDCRunTimes.py" --tripid 77-29 --locoid 4045 --swversion DE.1.0.9.0 --startMP 300:23841 --initTime 2017-11-29T17:10:38 --startdatetime 2017-11-29T17:19:45 --delay 98 --endMP 300:21464 --enddatetime 2017-11-29T17:24:40 --enforcementcount 0 &gt;&gt;%USERPROFILE%\Documents\GitHub\eaglep3-reporting\EC\2017-11-29-refined-times.txt</v>
      </c>
      <c r="AI266" s="239" t="str">
        <f t="shared" si="178"/>
        <v>echo {"issue":{"subject":"","project_id":79,"tracker_id":40,"status_id":1,"priority_id":2,"assigned_to_id":338,"start_date":"2017-11-29","description":"","custom_fields":[{"id":1,"name":"Subdivision","value":"Shuttle/Test"},{"id":4,"name":"Milepost","value":"2.1464"},{"id":17,"name":"Train ID","value":"77-29"},{"id":16,"name":"Locomotive ID","value":"4045"},{"id":130,"name":"Impact","value":""},{"id":150,"name":"Time of Event (Mountain Time)","value":"17:24:40"},{"id":151,"name":"Denver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6" s="224"/>
      <c r="AK266" s="232"/>
      <c r="AL266" s="232"/>
      <c r="AM266" s="241" t="str">
        <f t="shared" si="179"/>
        <v>start /low /b %USERPROFILE%\Documents\GitHub\eaglep3\Utilities\DownloadLogsFromS3.py --loco 4045 --day 2017-11-29</v>
      </c>
      <c r="AN266" s="242" t="str">
        <f t="shared" si="180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00:24:40"},{"id":29,"name":"Sharepoint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6" s="231" t="str">
        <f t="shared" si="181"/>
        <v>https://d0f6bd738d7f1b3e5a7ca70fe4ff75f0.us-east-1.aws.found.io/app/kibana#/discover/Steve-Slow-Train-Analysis-(2080s-and-2083s)?_g=(refreshInterval:(display:Off,pause:!f,section:0,value:0),time:(from:'2017-11-29T16:10:38-0700',mode:absolute,to:'2017-11-29T18:24:40-0700'))&amp;_a=(columns:!('Message%20ID',Summary),filters:!(),index:'emp_*',interval:auto,query:(query_string:(analyze_wildcard:!t,query:'%22rtdc.l.rtdc.4045%22')),sort:!(Time.ISO8601,asc))</v>
      </c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 s="230" t="s">
        <v>816</v>
      </c>
      <c r="B267" s="226">
        <v>4026</v>
      </c>
      <c r="C267" s="228" t="s">
        <v>192</v>
      </c>
      <c r="D267" s="228" t="s">
        <v>1064</v>
      </c>
      <c r="E267" s="227">
        <v>43068.709317129629</v>
      </c>
      <c r="F267" s="227">
        <v>43068.725370370368</v>
      </c>
      <c r="G267" s="226">
        <v>100</v>
      </c>
      <c r="H267" s="228" t="s">
        <v>1125</v>
      </c>
      <c r="I267" s="227">
        <v>43068.726342592592</v>
      </c>
      <c r="J267" s="226">
        <v>0</v>
      </c>
      <c r="K267" s="238" t="str">
        <f t="shared" si="186"/>
        <v>4025/4026</v>
      </c>
      <c r="L267" s="246" t="str">
        <f>VLOOKUP(A267,'Trips&amp;Operators'!$C$1:$G$99911,5,FALSE)</f>
        <v>NEWELL JAMES</v>
      </c>
      <c r="M267" s="225">
        <f t="shared" si="187"/>
        <v>9.7222222393611446E-4</v>
      </c>
      <c r="N267" s="226">
        <f t="shared" si="193"/>
        <v>1.4000000024680048</v>
      </c>
      <c r="O267" s="226"/>
      <c r="P267" s="226"/>
      <c r="Q267" s="229"/>
      <c r="R267" s="243"/>
      <c r="S267" s="250">
        <f t="shared" si="188"/>
        <v>0</v>
      </c>
      <c r="T267" s="243" t="str">
        <f t="shared" si="189"/>
        <v>Southbound</v>
      </c>
      <c r="U267" s="247">
        <f>IF(AG267="EC",COUNTIFS(Variables!$M$2:$M$19,IF(T267="NorthBound","&gt;=","&lt;=")&amp;Y267,Variables!$M$2:$M$19,IF(T267="NorthBound","&lt;=","&gt;=")&amp;Z267),COUNTIFS(Variables!$P$2:$P$19,IF(T267="NorthBound","&gt;=","&lt;=")&amp;Y267,Variables!$P$2:$P$19,IF(T267="NorthBound","&lt;=","&gt;=")&amp;Z267))</f>
        <v>0</v>
      </c>
      <c r="V267" s="249" t="str">
        <f t="shared" si="167"/>
        <v>https://d0f6bd738d7f1b3e5a7ca70fe4ff75f0.us-east-1.aws.found.io/app/kibana#/discover/Steve-Slow-Train-Analysis-(2080s-and-2083s)?_g=(refreshInterval:(display:Off,pause:!f,section:0,value:0),time:(from:'2017-11-29T16:01:25-0700',mode:absolute,to:'2017-11-29T18:25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67" s="248" t="str">
        <f>IF(AA267&lt;VLOOKUP(AG267,Variables!$AC$3:$AD$8,2,FALSE),"Y","N")</f>
        <v>Y</v>
      </c>
      <c r="X267" s="248">
        <f t="shared" si="194"/>
        <v>11</v>
      </c>
      <c r="Y267" s="248">
        <f t="shared" si="184"/>
        <v>0.1154</v>
      </c>
      <c r="Z267" s="248">
        <f t="shared" si="185"/>
        <v>0.32979999999999998</v>
      </c>
      <c r="AA267" s="248">
        <f t="shared" si="190"/>
        <v>0.21439999999999998</v>
      </c>
      <c r="AB267" s="234" t="e">
        <f>VLOOKUP(A267,Enforcements!$C$7:$K$9,8,0)</f>
        <v>#N/A</v>
      </c>
      <c r="AC267" s="233" t="e">
        <f>VLOOKUP(A267,Enforcements!$C$7:$E$9,3,0)</f>
        <v>#N/A</v>
      </c>
      <c r="AD267" s="244">
        <f t="shared" si="191"/>
        <v>88</v>
      </c>
      <c r="AE267" s="236" t="str">
        <f t="shared" si="168"/>
        <v>aws s3 cp s3://rtdc.mdm.uploadarchive.raw/RTDC4026/ "%USERPROFILE%\AppData\Local\Temp\OnboardLogs"\RTDC4026\2017-11-29 --exclude "*" --recursive --include "*20171129*" &amp; "%USERPROFILE%\Documents\GitHub\mrs-test-scripts\Headless Mode &amp; Sideloading\WalkAndUnGZ.bat" "%USERPROFILE%\AppData\Local\Temp\OnboardLogs"\RTDC4026\2017-11-29 &amp; aws s3 cp s3://rtdc.mdm.uploadarchive.raw/RTDC4026/ "%USERPROFILE%\AppData\Local\Temp\OnboardLogs"\RTDC4026\2017-11-30 --exclude "*" --recursive --include "*20171130*" &amp; "%USERPROFILE%\Documents\GitHub\mrs-test-scripts\Headless Mode &amp; Sideloading\WalkAndUnGZ.bat" "%USERPROFILE%\AppData\Local\Temp\OnboardLogs"\RTDC4026\2017-11-30</v>
      </c>
      <c r="AF267" s="235" t="str">
        <f t="shared" si="169"/>
        <v>"C:\Program Files (x86)\AstroGrep\AstroGrep.exe" /e /r /s /spath="%USERPROFILE%\AppData\Local\Temp\OnboardLogs" /stypes="app*4026*20171130*" /stext=" 00:.+((SYSTEM_STATE.+slice.+state.+changed )|(ment ac)|(multiple cpu faults)|(system.+state.+changed )|(\[timeout)|(PRM\|1\|D)|(kpr)|(kdp)|(train st.+moving)|(\|lc)|(penalty))"</v>
      </c>
      <c r="AG267" s="245" t="str">
        <f t="shared" si="192"/>
        <v>Shuttle/Test</v>
      </c>
      <c r="AH267" s="237" t="str">
        <f t="shared" si="177"/>
        <v>"%USERPROFILE%\Documents\GitHub\eaglep3\Utilities\RefineRTDCRunTimes.py" --tripid 88-29 --locoid 4026 --swversion DE.1.0.9.0 --startMP 204:1154 --initTime 2017-11-29T17:01:25 --startdatetime 2017-11-29T17:24:32 --delay 100 --endMP 204:3298 --enddatetime 2017-11-29T17:25:56 --enforcementcount 0 &gt;&gt;%USERPROFILE%\Documents\GitHub\eaglep3-reporting\EC\2017-11-29-refined-times.txt</v>
      </c>
      <c r="AI267" s="239" t="str">
        <f t="shared" si="178"/>
        <v>echo {"issue":{"subject":"","project_id":79,"tracker_id":40,"status_id":1,"priority_id":2,"assigned_to_id":338,"start_date":"2017-11-29","description":"","custom_fields":[{"id":1,"name":"Subdivision","value":"Shuttle/Test"},{"id":4,"name":"Milepost","value":"0.3298"},{"id":17,"name":"Train ID","value":"88-29"},{"id":16,"name":"Locomotive ID","value":"4026"},{"id":130,"name":"Impact","value":""},{"id":150,"name":"Time of Event (Mountain Time)","value":"17:25:56"},{"id":151,"name":"Denver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7" s="224"/>
      <c r="AK267" s="232"/>
      <c r="AL267" s="232"/>
      <c r="AM267" s="241" t="str">
        <f t="shared" si="179"/>
        <v>start /low /b %USERPROFILE%\Documents\GitHub\eaglep3\Utilities\DownloadLogsFromS3.py --loco 4026 --day 2017-11-29</v>
      </c>
      <c r="AN267" s="242" t="str">
        <f t="shared" si="180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00:25:56"},{"id":29,"name":"Sharepoint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7" s="231" t="str">
        <f t="shared" si="181"/>
        <v>https://d0f6bd738d7f1b3e5a7ca70fe4ff75f0.us-east-1.aws.found.io/app/kibana#/discover/Steve-Slow-Train-Analysis-(2080s-and-2083s)?_g=(refreshInterval:(display:Off,pause:!f,section:0,value:0),time:(from:'2017-11-29T16:01:25-0700',mode:absolute,to:'2017-11-29T18:25:56-0700'))&amp;_a=(columns:!('Message%20ID',Summary),filters:!(),index:'emp_*',interval:auto,query:(query_string:(analyze_wildcard:!t,query:'%22rtdc.l.rtdc.4026%22')),sort:!(Time.ISO8601,asc))</v>
      </c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M391"/>
      <c r="AO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M397"/>
      <c r="AO397"/>
    </row>
    <row r="398" spans="1:9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M398"/>
      <c r="AO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M405"/>
      <c r="AO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M407"/>
      <c r="AO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M409"/>
      <c r="AO409"/>
    </row>
    <row r="410" spans="1:91" s="2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M411"/>
      <c r="AO411"/>
    </row>
    <row r="412" spans="1:91" s="2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M414"/>
      <c r="AO414"/>
    </row>
    <row r="415" spans="1:91" s="2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M416"/>
      <c r="AO416"/>
    </row>
    <row r="417" spans="1:91" s="20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M420"/>
      <c r="AO420"/>
    </row>
    <row r="421" spans="1:91" s="2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91" s="2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M429"/>
      <c r="AO429"/>
    </row>
    <row r="430" spans="1:9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91" s="20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M432"/>
      <c r="AO432"/>
    </row>
    <row r="433" spans="1:91" s="20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M437"/>
      <c r="AO437"/>
    </row>
    <row r="438" spans="1:9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91" s="20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9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s="20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s="20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s="20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:9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9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s="20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:9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s="20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:9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s="20" customFormat="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:9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9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9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91" s="20" customFormat="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:9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4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4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4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4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4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4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4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4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4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4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4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4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</sheetData>
  <autoFilter ref="A12:AG503">
    <sortState ref="A13:AG503">
      <sortCondition ref="AG13:AG267"/>
      <sortCondition ref="AD13:AD267"/>
    </sortState>
  </autoFilter>
  <sortState ref="A13:AN408">
    <sortCondition ref="AG13:AG408"/>
    <sortCondition ref="AD13:AD408"/>
  </sortState>
  <mergeCells count="1">
    <mergeCell ref="A11:P11"/>
  </mergeCells>
  <conditionalFormatting sqref="W11:W12 W509:X1048576 W13:X267">
    <cfRule type="cellIs" dxfId="10" priority="465" operator="equal">
      <formula>"Y"</formula>
    </cfRule>
  </conditionalFormatting>
  <conditionalFormatting sqref="X509:X1048576 X13:X267">
    <cfRule type="cellIs" dxfId="9" priority="448" operator="greaterThan">
      <formula>1</formula>
    </cfRule>
  </conditionalFormatting>
  <conditionalFormatting sqref="X509:X1048576 X12:X267">
    <cfRule type="cellIs" dxfId="8" priority="445" operator="equal">
      <formula>0</formula>
    </cfRule>
  </conditionalFormatting>
  <conditionalFormatting sqref="A13:S267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A13:S267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A13:S267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AK13:AK267</xm:sqref>
        </x14:dataValidation>
        <x14:dataValidation type="list" allowBlank="1" showInputMessage="1" showErrorMessage="1">
          <x14:formula1>
            <xm:f>'Redmine List Values'!$C$2:$C$15</xm:f>
          </x14:formula1>
          <xm:sqref>AL13:AL267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8"/>
  <sheetViews>
    <sheetView tabSelected="1" topLeftCell="A2" zoomScaleNormal="100" workbookViewId="0">
      <selection activeCell="P7" sqref="P7:P17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7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6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1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COUNTIF($O$7:$O$155,"=Y")</f>
        <v>8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COUNTA($O$7:$O$155)-O2</f>
        <v>24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25">
      <c r="A5" s="251" t="str">
        <f>"Eagle P3 Braking Events - "&amp;TEXT(Variables!$A$2,"YYYY-mm-dd")</f>
        <v>Eagle P3 Braking Events - 2017-11-29</v>
      </c>
      <c r="B5" s="251"/>
      <c r="C5" s="251"/>
      <c r="D5" s="251"/>
      <c r="E5" s="251"/>
      <c r="F5" s="251"/>
      <c r="G5" s="251"/>
      <c r="H5" s="251"/>
      <c r="I5" s="251"/>
      <c r="J5" s="251"/>
      <c r="K5" s="251"/>
      <c r="L5" s="251"/>
      <c r="M5" s="251"/>
      <c r="N5" s="251"/>
      <c r="O5" s="251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0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25">
      <c r="A7" s="31">
        <v>43068.516099537039</v>
      </c>
      <c r="B7" s="30" t="s">
        <v>479</v>
      </c>
      <c r="C7" s="30" t="s">
        <v>638</v>
      </c>
      <c r="D7" s="30" t="s">
        <v>49</v>
      </c>
      <c r="E7" s="30" t="s">
        <v>183</v>
      </c>
      <c r="F7" s="42">
        <v>0</v>
      </c>
      <c r="G7" s="42">
        <v>397</v>
      </c>
      <c r="H7" s="42">
        <v>58791</v>
      </c>
      <c r="I7" s="42">
        <v>57753</v>
      </c>
      <c r="J7" s="30" t="s">
        <v>184</v>
      </c>
      <c r="K7" s="42">
        <v>58301</v>
      </c>
      <c r="L7" s="131" t="s">
        <v>51</v>
      </c>
      <c r="M7" s="132">
        <f t="shared" ref="M7:M38" si="0">CONVERT((I7-K7)/10000,"mi","ft")*IF(L7="Increasing Mileposts (1)",-1,1)</f>
        <v>-289.34399999999999</v>
      </c>
      <c r="N7" s="133" t="str">
        <f>VLOOKUP(C7,'Trips&amp;Operators'!$C$1:$G$99911,5,FALSE)</f>
        <v>FORTUNATO FRANK</v>
      </c>
      <c r="O7" s="175" t="s">
        <v>178</v>
      </c>
      <c r="P7" s="240" t="s">
        <v>344</v>
      </c>
      <c r="Q7" s="30"/>
      <c r="R7" s="81" t="str">
        <f>VLOOKUP(C7,'Train Runs'!$A$13:$AE$10162,31,0)</f>
        <v>aws s3 cp s3://rtdc.mdm.uploadarchive.raw/RTDC4019/ "%USERPROFILE%\AppData\Local\Temp\OnboardLogs"\RTDC4019\2017-11-29 --exclude "*" --recursive --include "*20171129*" &amp; "%USERPROFILE%\Documents\GitHub\mrs-test-scripts\Headless Mode &amp; Sideloading\WalkAndUnGZ.bat" "%USERPROFILE%\AppData\Local\Temp\OnboardLogs"\RTDC4019\2017-11-29 &amp; aws s3 cp s3://rtdc.mdm.uploadarchive.raw/RTDC4019/ "%USERPROFILE%\AppData\Local\Temp\OnboardLogs"\RTDC4019\2017-11-30 --exclude "*" --recursive --include "*20171130*" &amp; "%USERPROFILE%\Documents\GitHub\mrs-test-scripts\Headless Mode &amp; Sideloading\WalkAndUnGZ.bat" "%USERPROFILE%\AppData\Local\Temp\OnboardLogs"\RTDC4019\2017-11-30</v>
      </c>
      <c r="S7" s="84" t="str">
        <f>VLOOKUP(C7,'Train Runs'!$A$13:$AE$10162,22,0)</f>
        <v>https://d0f6bd738d7f1b3e5a7ca70fe4ff75f0.us-east-1.aws.found.io/app/kibana#/discover/Steve-Slow-Train-Analysis-(2080s-and-2083s)?_g=(refreshInterval:(display:Off,pause:!f,section:0,value:0),time:(from:'2017-11-29T10:37:00-0700',mode:absolute,to:'2017-11-29T13:36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7" s="86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/stypes="*4019*201711291*" /stext=" 19:.+((SYSTEM_STATE.+slice.+state.+changed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4019</v>
      </c>
      <c r="V7" s="31">
        <f t="shared" ref="V7:V38" si="3">A7-utc_offset/24</f>
        <v>43068.807766203703</v>
      </c>
      <c r="W7" s="45" t="str">
        <f t="shared" ref="W7:W38" si="4">DetSubdiv(C7)</f>
        <v>EC</v>
      </c>
      <c r="X7" s="22">
        <f t="shared" ref="X7:X38" si="5">VALUE(LEFT(C7,LEN(C7)-3))</f>
        <v>160</v>
      </c>
      <c r="Y7" s="96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Arrival","project_id":79,"tracker_id":40,"status_id":1,"priority_id":2,"assigned_to_id":338,"start_date":"2017-11-29","description":"","custom_fields":[{"id":1,"name":"Subdivision","value":"EC"},{"id":4,"name":"Milepost","value":"5.8301"},{"id":17,"name":"Train ID","value":"160-29"},{"id":16,"name":"Locomotive ID","value":"4019"},{"id":130,"name":"Impact","value":""},{"id":150,"name":"Time of Event (Mountain Time)","value":"12:23:11"},{"id":151,"name":"Denver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 t="shared" ref="AC7:AC3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/c/Users/stu/AppData/Local/Temp/OnboardLogs/RTDC4019 --include="*4019*201711291*"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"%USERPROFILE%\AppData\Local\Temp\OnboardLogs"\RTDC4019\*4019*201711291* &gt;&gt; 2017-11-29-SliceDisagreementCheck.txt</v>
      </c>
      <c r="AE7" s="144" t="str">
        <f t="shared" ref="AE7" si="8">"start /low /b "&amp;dls3logs&amp;" --loco "&amp;U7&amp;" --day "&amp;TEXT(V7,"YYYY-MM-DD")</f>
        <v>start /low /b %USERPROFILE%\Documents\GitHub\eaglep3\Utilities\DownloadLogsFromS3.py --loco 4019 --day 2017-11-29</v>
      </c>
    </row>
    <row r="8" spans="1:32" s="1" customFormat="1" x14ac:dyDescent="0.25">
      <c r="A8" s="31">
        <v>43068.662407407406</v>
      </c>
      <c r="B8" s="30" t="s">
        <v>479</v>
      </c>
      <c r="C8" s="30" t="s">
        <v>646</v>
      </c>
      <c r="D8" s="30" t="s">
        <v>49</v>
      </c>
      <c r="E8" s="30" t="s">
        <v>183</v>
      </c>
      <c r="F8" s="42">
        <v>80</v>
      </c>
      <c r="G8" s="42">
        <v>146</v>
      </c>
      <c r="H8" s="42">
        <v>64029</v>
      </c>
      <c r="I8" s="42">
        <v>63868</v>
      </c>
      <c r="J8" s="30" t="s">
        <v>184</v>
      </c>
      <c r="K8" s="42">
        <v>63309</v>
      </c>
      <c r="L8" s="131" t="s">
        <v>51</v>
      </c>
      <c r="M8" s="132">
        <f t="shared" si="0"/>
        <v>295.15199999999999</v>
      </c>
      <c r="N8" s="133" t="str">
        <f>VLOOKUP(C8,'Trips&amp;Operators'!$C$1:$G$99911,5,FALSE)</f>
        <v>HOLCOMB KAMDEN</v>
      </c>
      <c r="O8" s="175" t="s">
        <v>178</v>
      </c>
      <c r="P8" s="240" t="s">
        <v>344</v>
      </c>
      <c r="Q8" s="30"/>
      <c r="R8" s="81" t="str">
        <f>VLOOKUP(C8,'Train Runs'!$A$13:$AE$10162,31,0)</f>
        <v>aws s3 cp s3://rtdc.mdm.uploadarchive.raw/RTDC4019/ "%USERPROFILE%\AppData\Local\Temp\OnboardLogs"\RTDC4019\2017-11-29 --exclude "*" --recursive --include "*20171129*" &amp; "%USERPROFILE%\Documents\GitHub\mrs-test-scripts\Headless Mode &amp; Sideloading\WalkAndUnGZ.bat" "%USERPROFILE%\AppData\Local\Temp\OnboardLogs"\RTDC4019\2017-11-29 &amp; aws s3 cp s3://rtdc.mdm.uploadarchive.raw/RTDC4019/ "%USERPROFILE%\AppData\Local\Temp\OnboardLogs"\RTDC4019\2017-11-30 --exclude "*" --recursive --include "*20171130*" &amp; "%USERPROFILE%\Documents\GitHub\mrs-test-scripts\Headless Mode &amp; Sideloading\WalkAndUnGZ.bat" "%USERPROFILE%\AppData\Local\Temp\OnboardLogs"\RTDC4019\2017-11-30</v>
      </c>
      <c r="S8" s="84" t="str">
        <f>VLOOKUP(C8,'Train Runs'!$A$13:$AE$10162,22,0)</f>
        <v>https://d0f6bd738d7f1b3e5a7ca70fe4ff75f0.us-east-1.aws.found.io/app/kibana#/discover/Steve-Slow-Train-Analysis-(2080s-and-2083s)?_g=(refreshInterval:(display:Off,pause:!f,section:0,value:0),time:(from:'2017-11-29T14:18:48-0700',mode:absolute,to:'2017-11-29T17:08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8" s="86" t="str">
        <f t="shared" si="1"/>
        <v>"C:\Program Files (x86)\AstroGrep\AstroGrep.exe" /e /r /s /spath="%USERPROFILE%\AppData\Local\Temp\OnboardLogs" /stypes="*4019*201711292*" /stext=" 22:.+((SYSTEM_STATE.+slice.+state.+changed )|(ment ac)|(multiple cpu faults)|(system.+state.+changed )|(\[timeout)|(PRM\|1\|D)|(kpr)|(kdp)|(train st.+moving)|(\|lc)|(penalty))"</v>
      </c>
      <c r="U8" s="9" t="str">
        <f t="shared" si="2"/>
        <v>4019</v>
      </c>
      <c r="V8" s="31">
        <f t="shared" si="3"/>
        <v>43068.95407407407</v>
      </c>
      <c r="W8" s="45" t="str">
        <f t="shared" si="4"/>
        <v>EC</v>
      </c>
      <c r="X8" s="229">
        <f t="shared" si="5"/>
        <v>188</v>
      </c>
      <c r="Y8" s="239" t="str">
        <f t="shared" si="6"/>
        <v>echo {"issue":{"subject":"Early Arrival","project_id":79,"tracker_id":40,"status_id":1,"priority_id":2,"assigned_to_id":338,"start_date":"2017-11-29","description":"","custom_fields":[{"id":1,"name":"Subdivision","value":"EC"},{"id":4,"name":"Milepost","value":"6.3309"},{"id":17,"name":"Train ID","value":"188-29"},{"id":16,"name":"Locomotive ID","value":"4019"},{"id":130,"name":"Impact","value":""},{"id":150,"name":"Time of Event (Mountain Time)","value":"15:53:52"},{"id":151,"name":"Denver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2"/>
      <c r="AB8" s="232"/>
      <c r="AC8" s="115" t="str">
        <f t="shared" si="7"/>
        <v>grep -hrE -A400 "Enforcement Action" /c/Users/stu/AppData/Local/Temp/OnboardLogs/RTDC4019 --include="*4019*201711292*"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"%USERPROFILE%\AppData\Local\Temp\OnboardLogs"\RTDC4019\*4019*201711292* &gt;&gt; 2017-11-29-SliceDisagreementCheck.txt</v>
      </c>
      <c r="AE8" s="144" t="str">
        <f t="shared" ref="AE8:AE38" si="9">"start /low /b "&amp;dls3logs&amp;" --loco "&amp;U8&amp;" --day "&amp;TEXT(V8,"YYYY-MM-DD")</f>
        <v>start /low /b %USERPROFILE%\Documents\GitHub\eaglep3\Utilities\DownloadLogsFromS3.py --loco 4019 --day 2017-11-29</v>
      </c>
    </row>
    <row r="9" spans="1:32" s="1" customFormat="1" x14ac:dyDescent="0.25">
      <c r="A9" s="31">
        <v>43068.50409722222</v>
      </c>
      <c r="B9" s="30" t="s">
        <v>449</v>
      </c>
      <c r="C9" s="30" t="s">
        <v>637</v>
      </c>
      <c r="D9" s="30" t="s">
        <v>49</v>
      </c>
      <c r="E9" s="30" t="s">
        <v>183</v>
      </c>
      <c r="F9" s="42">
        <v>90</v>
      </c>
      <c r="G9" s="42">
        <v>154</v>
      </c>
      <c r="H9" s="42">
        <v>64009</v>
      </c>
      <c r="I9" s="42">
        <v>63786</v>
      </c>
      <c r="J9" s="30" t="s">
        <v>184</v>
      </c>
      <c r="K9" s="42">
        <v>63309</v>
      </c>
      <c r="L9" s="131" t="s">
        <v>51</v>
      </c>
      <c r="M9" s="132">
        <f t="shared" si="0"/>
        <v>251.85599999999999</v>
      </c>
      <c r="N9" s="133" t="str">
        <f>VLOOKUP(C9,'Trips&amp;Operators'!$C$1:$G$99911,5,FALSE)</f>
        <v>DAVIS MICHAEL</v>
      </c>
      <c r="O9" s="175" t="s">
        <v>178</v>
      </c>
      <c r="P9" s="240" t="s">
        <v>344</v>
      </c>
      <c r="Q9" s="30"/>
      <c r="R9" s="81" t="str">
        <f>VLOOKUP(C9,'Train Runs'!$A$13:$AE$10162,31,0)</f>
        <v>aws s3 cp s3://rtdc.mdm.uploadarchive.raw/RTDC4025/ "%USERPROFILE%\AppData\Local\Temp\OnboardLogs"\RTDC4025\2017-11-29 --exclude "*" --recursive --include "*20171129*" &amp; "%USERPROFILE%\Documents\GitHub\mrs-test-scripts\Headless Mode &amp; Sideloading\WalkAndUnGZ.bat" "%USERPROFILE%\AppData\Local\Temp\OnboardLogs"\RTDC4025\2017-11-29 &amp; aws s3 cp s3://rtdc.mdm.uploadarchive.raw/RTDC4025/ "%USERPROFILE%\AppData\Local\Temp\OnboardLogs"\RTDC4025\2017-11-30 --exclude "*" --recursive --include "*20171130*" &amp; "%USERPROFILE%\Documents\GitHub\mrs-test-scripts\Headless Mode &amp; Sideloading\WalkAndUnGZ.bat" "%USERPROFILE%\AppData\Local\Temp\OnboardLogs"\RTDC4025\2017-11-30</v>
      </c>
      <c r="S9" s="84" t="str">
        <f>VLOOKUP(C9,'Train Runs'!$A$13:$AE$10162,22,0)</f>
        <v>https://d0f6bd738d7f1b3e5a7ca70fe4ff75f0.us-east-1.aws.found.io/app/kibana#/discover/Steve-Slow-Train-Analysis-(2080s-and-2083s)?_g=(refreshInterval:(display:Off,pause:!f,section:0,value:0),time:(from:'2017-11-29T10:39:18-0700',mode:absolute,to:'2017-11-29T13:21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9" s="86" t="str">
        <f t="shared" si="1"/>
        <v>"C:\Program Files (x86)\AstroGrep\AstroGrep.exe" /e /r /s /spath="%USERPROFILE%\AppData\Local\Temp\OnboardLogs" /stypes="*4025*201711291*" /stext=" 19:.+((SYSTEM_STATE.+slice.+state.+changed )|(ment ac)|(multiple cpu faults)|(system.+state.+changed )|(\[timeout)|(PRM\|1\|D)|(kpr)|(kdp)|(train st.+moving)|(\|lc)|(penalty))"</v>
      </c>
      <c r="U9" s="9" t="str">
        <f t="shared" si="2"/>
        <v>4025</v>
      </c>
      <c r="V9" s="31">
        <f t="shared" si="3"/>
        <v>43068.795763888884</v>
      </c>
      <c r="W9" s="45" t="str">
        <f t="shared" si="4"/>
        <v>EC</v>
      </c>
      <c r="X9" s="229">
        <f t="shared" si="5"/>
        <v>158</v>
      </c>
      <c r="Y9" s="239" t="str">
        <f t="shared" si="6"/>
        <v>echo {"issue":{"subject":"Early Arrival","project_id":79,"tracker_id":40,"status_id":1,"priority_id":2,"assigned_to_id":338,"start_date":"2017-11-29","description":"","custom_fields":[{"id":1,"name":"Subdivision","value":"EC"},{"id":4,"name":"Milepost","value":"6.3309"},{"id":17,"name":"Train ID","value":"158-29"},{"id":16,"name":"Locomotive ID","value":"4025"},{"id":130,"name":"Impact","value":""},{"id":150,"name":"Time of Event (Mountain Time)","value":"12:05:54"},{"id":151,"name":"Denver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2"/>
      <c r="AB9" s="232"/>
      <c r="AC9" s="115" t="str">
        <f t="shared" si="7"/>
        <v>grep -hrE -A400 "Enforcement Action" /c/Users/stu/AppData/Local/Temp/OnboardLogs/RTDC4025 --include="*4025*201711291*"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"%USERPROFILE%\AppData\Local\Temp\OnboardLogs"\RTDC4025\*4025*201711291* &gt;&gt; 2017-11-29-SliceDisagreementCheck.txt</v>
      </c>
      <c r="AE9" s="144" t="str">
        <f t="shared" si="9"/>
        <v>start /low /b %USERPROFILE%\Documents\GitHub\eaglep3\Utilities\DownloadLogsFromS3.py --loco 4025 --day 2017-11-29</v>
      </c>
    </row>
    <row r="10" spans="1:32" x14ac:dyDescent="0.25">
      <c r="A10" s="31">
        <v>43069.077488425923</v>
      </c>
      <c r="B10" s="30" t="s">
        <v>653</v>
      </c>
      <c r="C10" s="30" t="s">
        <v>655</v>
      </c>
      <c r="D10" s="30" t="s">
        <v>49</v>
      </c>
      <c r="E10" s="30" t="s">
        <v>183</v>
      </c>
      <c r="F10" s="42">
        <v>140</v>
      </c>
      <c r="G10" s="42">
        <v>196</v>
      </c>
      <c r="H10" s="42">
        <v>63866</v>
      </c>
      <c r="I10" s="42">
        <v>63566</v>
      </c>
      <c r="J10" s="30" t="s">
        <v>184</v>
      </c>
      <c r="K10" s="42">
        <v>63309</v>
      </c>
      <c r="L10" s="131" t="s">
        <v>51</v>
      </c>
      <c r="M10" s="132">
        <f t="shared" si="0"/>
        <v>135.696</v>
      </c>
      <c r="N10" s="133" t="str">
        <f>VLOOKUP(C10,'Trips&amp;Operators'!$C$1:$G$99911,5,FALSE)</f>
        <v>ANDERS STEVEN</v>
      </c>
      <c r="O10" s="175" t="s">
        <v>178</v>
      </c>
      <c r="P10" s="240" t="s">
        <v>344</v>
      </c>
      <c r="Q10" s="30"/>
      <c r="R10" s="81" t="str">
        <f>VLOOKUP(C10,'Train Runs'!$A$13:$AE$10162,31,0)</f>
        <v>aws s3 cp s3://rtdc.mdm.uploadarchive.raw/RTDC4005/ "%USERPROFILE%\AppData\Local\Temp\OnboardLogs"\RTDC4005\2017-11-30 --exclude "*" --recursive --include "*20171130*" &amp; "%USERPROFILE%\Documents\GitHub\mrs-test-scripts\Headless Mode &amp; Sideloading\WalkAndUnGZ.bat" "%USERPROFILE%\AppData\Local\Temp\OnboardLogs"\RTDC4005\2017-11-30 &amp; aws s3 cp s3://rtdc.mdm.uploadarchive.raw/RTDC4005/ "%USERPROFILE%\AppData\Local\Temp\OnboardLogs"\RTDC4005\2017-12-01 --exclude "*" --recursive --include "*20171201*" &amp; "%USERPROFILE%\Documents\GitHub\mrs-test-scripts\Headless Mode &amp; Sideloading\WalkAndUnGZ.bat" "%USERPROFILE%\AppData\Local\Temp\OnboardLogs"\RTDC4005\2017-12-01</v>
      </c>
      <c r="S10" s="84" t="str">
        <f>VLOOKUP(C10,'Train Runs'!$A$13:$AE$10162,22,0)</f>
        <v>https://d0f6bd738d7f1b3e5a7ca70fe4ff75f0.us-east-1.aws.found.io/app/kibana#/discover/Steve-Slow-Train-Analysis-(2080s-and-2083s)?_g=(refreshInterval:(display:Off,pause:!f,section:0,value:0),time:(from:'2017-11-30T00:11:39-0700',mode:absolute,to:'2017-11-30T03:06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0" s="86" t="str">
        <f t="shared" si="1"/>
        <v>"C:\Program Files (x86)\AstroGrep\AstroGrep.exe" /e /r /s /spath="%USERPROFILE%\AppData\Local\Temp\OnboardLogs" /stypes="*4005*201711300*" /stext=" 08:.+((SYSTEM_STATE.+slice.+state.+changed )|(ment ac)|(multiple cpu faults)|(system.+state.+changed )|(\[timeout)|(PRM\|1\|D)|(kpr)|(kdp)|(train st.+moving)|(\|lc)|(penalty))"</v>
      </c>
      <c r="U10" s="9" t="str">
        <f t="shared" si="2"/>
        <v>4005</v>
      </c>
      <c r="V10" s="31">
        <f t="shared" si="3"/>
        <v>43069.369155092587</v>
      </c>
      <c r="W10" s="45" t="str">
        <f t="shared" si="4"/>
        <v>EC</v>
      </c>
      <c r="X10" s="229">
        <f t="shared" si="5"/>
        <v>244</v>
      </c>
      <c r="Y10" s="239" t="str">
        <f t="shared" si="6"/>
        <v>echo {"issue":{"subject":"Early Arrival","project_id":79,"tracker_id":40,"status_id":1,"priority_id":2,"assigned_to_id":338,"start_date":"2017-11-30","description":"","custom_fields":[{"id":1,"name":"Subdivision","value":"EC"},{"id":4,"name":"Milepost","value":"6.3309"},{"id":17,"name":"Train ID","value":"244-29"},{"id":16,"name":"Locomotive ID","value":"4005"},{"id":130,"name":"Impact","value":""},{"id":150,"name":"Time of Event (Mountain Time)","value":"01:51:35"},{"id":151,"name":"Denver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2"/>
      <c r="AB10" s="232"/>
      <c r="AC10" s="115" t="str">
        <f t="shared" si="7"/>
        <v>grep -hrE -A400 "Enforcement Action" /c/Users/stu/AppData/Local/Temp/OnboardLogs/RTDC4005 --include="*4005*201711300*"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"%USERPROFILE%\AppData\Local\Temp\OnboardLogs"\RTDC4005\*4005*201711300* &gt;&gt; 2017-11-29-SliceDisagreementCheck.txt</v>
      </c>
      <c r="AE10" s="144" t="str">
        <f t="shared" si="9"/>
        <v>start /low /b %USERPROFILE%\Documents\GitHub\eaglep3\Utilities\DownloadLogsFromS3.py --loco 4005 --day 2017-11-30</v>
      </c>
      <c r="AF10" s="1"/>
    </row>
    <row r="11" spans="1:32" x14ac:dyDescent="0.25">
      <c r="A11" s="31">
        <v>43068.617754629631</v>
      </c>
      <c r="B11" s="30" t="s">
        <v>644</v>
      </c>
      <c r="C11" s="30" t="s">
        <v>645</v>
      </c>
      <c r="D11" s="30" t="s">
        <v>49</v>
      </c>
      <c r="E11" s="30" t="s">
        <v>190</v>
      </c>
      <c r="F11" s="42">
        <v>400</v>
      </c>
      <c r="G11" s="42">
        <v>576</v>
      </c>
      <c r="H11" s="42">
        <v>115477</v>
      </c>
      <c r="I11" s="42">
        <v>117017</v>
      </c>
      <c r="J11" s="30" t="s">
        <v>191</v>
      </c>
      <c r="K11" s="42">
        <v>116838</v>
      </c>
      <c r="L11" s="131" t="s">
        <v>50</v>
      </c>
      <c r="M11" s="132">
        <f t="shared" si="0"/>
        <v>-94.512</v>
      </c>
      <c r="N11" s="133" t="str">
        <f>VLOOKUP(C11,'Trips&amp;Operators'!$C$1:$G$99911,5,FALSE)</f>
        <v>HOLCOMB KAMDEN</v>
      </c>
      <c r="O11" s="175" t="s">
        <v>178</v>
      </c>
      <c r="P11" s="240"/>
      <c r="Q11" s="30"/>
      <c r="R11" s="81" t="str">
        <f>VLOOKUP(C11,'Train Runs'!$A$13:$AE$10162,31,0)</f>
        <v>aws s3 cp s3://rtdc.mdm.uploadarchive.raw/RTDC4020/ "%USERPROFILE%\AppData\Local\Temp\OnboardLogs"\RTDC4020\2017-11-29 --exclude "*" --recursive --include "*20171129*" &amp; "%USERPROFILE%\Documents\GitHub\mrs-test-scripts\Headless Mode &amp; Sideloading\WalkAndUnGZ.bat" "%USERPROFILE%\AppData\Local\Temp\OnboardLogs"\RTDC4020\2017-11-29 &amp; aws s3 cp s3://rtdc.mdm.uploadarchive.raw/RTDC4020/ "%USERPROFILE%\AppData\Local\Temp\OnboardLogs"\RTDC4020\2017-11-30 --exclude "*" --recursive --include "*20171130*" &amp; "%USERPROFILE%\Documents\GitHub\mrs-test-scripts\Headless Mode &amp; Sideloading\WalkAndUnGZ.bat" "%USERPROFILE%\AppData\Local\Temp\OnboardLogs"\RTDC4020\2017-11-30</v>
      </c>
      <c r="S11" s="84" t="str">
        <f>VLOOKUP(C11,'Train Runs'!$A$13:$AE$10162,22,0)</f>
        <v>https://d0f6bd738d7f1b3e5a7ca70fe4ff75f0.us-east-1.aws.found.io/app/kibana#/discover/Steve-Slow-Train-Analysis-(2080s-and-2083s)?_g=(refreshInterval:(display:Off,pause:!f,section:0,value:0),time:(from:'2017-11-29T13:21:10-0700',mode:absolute,to:'2017-11-29T16:05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1" s="86" t="str">
        <f t="shared" si="1"/>
        <v>"C:\Program Files (x86)\AstroGrep\AstroGrep.exe" /e /r /s /spath="%USERPROFILE%\AppData\Local\Temp\OnboardLogs" /stypes="*4020*201711292*" /stext=" 21:.+((SYSTEM_STATE.+slice.+state.+changed )|(ment ac)|(multiple cpu faults)|(system.+state.+changed )|(\[timeout)|(PRM\|1\|D)|(kpr)|(kdp)|(train st.+moving)|(\|lc)|(penalty))"</v>
      </c>
      <c r="U11" s="9" t="str">
        <f t="shared" si="2"/>
        <v>4020</v>
      </c>
      <c r="V11" s="31">
        <f t="shared" si="3"/>
        <v>43068.909421296295</v>
      </c>
      <c r="W11" s="45" t="str">
        <f t="shared" si="4"/>
        <v>EC</v>
      </c>
      <c r="X11" s="229">
        <f t="shared" si="5"/>
        <v>187</v>
      </c>
      <c r="Y11" s="239" t="str">
        <f t="shared" si="6"/>
        <v>echo {"issue":{"subject":"","project_id":79,"tracker_id":40,"status_id":1,"priority_id":2,"assigned_to_id":338,"start_date":"2017-11-29","description":"","custom_fields":[{"id":1,"name":"Subdivision","value":"EC"},{"id":4,"name":"Milepost","value":"11.6838"},{"id":17,"name":"Train ID","value":"187-29"},{"id":16,"name":"Locomotive ID","value":"4020"},{"id":130,"name":"Impact","value":""},{"id":150,"name":"Time of Event (Mountain Time)","value":"14:49:34"},{"id":151,"name":"Denver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2"/>
      <c r="AB11" s="232"/>
      <c r="AC11" s="115" t="str">
        <f t="shared" si="7"/>
        <v>grep -hrE -A400 "Enforcement Action" /c/Users/stu/AppData/Local/Temp/OnboardLogs/RTDC4020 --include="*4020*201711292*"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"%USERPROFILE%\AppData\Local\Temp\OnboardLogs"\RTDC4020\*4020*201711292* &gt;&gt; 2017-11-29-SliceDisagreementCheck.txt</v>
      </c>
      <c r="AE11" s="144" t="str">
        <f t="shared" si="9"/>
        <v>start /low /b %USERPROFILE%\Documents\GitHub\eaglep3\Utilities\DownloadLogsFromS3.py --loco 4020 --day 2017-11-29</v>
      </c>
      <c r="AF11" s="1"/>
    </row>
    <row r="12" spans="1:32" x14ac:dyDescent="0.25">
      <c r="A12" s="31">
        <v>43068.200335648151</v>
      </c>
      <c r="B12" s="30" t="s">
        <v>449</v>
      </c>
      <c r="C12" s="30" t="s">
        <v>618</v>
      </c>
      <c r="D12" s="30" t="s">
        <v>95</v>
      </c>
      <c r="E12" s="30" t="s">
        <v>190</v>
      </c>
      <c r="F12" s="42">
        <v>600</v>
      </c>
      <c r="G12" s="42">
        <v>650</v>
      </c>
      <c r="H12" s="42">
        <v>189408</v>
      </c>
      <c r="I12" s="42">
        <v>0</v>
      </c>
      <c r="J12" s="30" t="s">
        <v>191</v>
      </c>
      <c r="K12" s="42">
        <v>191104</v>
      </c>
      <c r="L12" s="131" t="s">
        <v>51</v>
      </c>
      <c r="M12" s="132">
        <f t="shared" si="0"/>
        <v>-100902.912</v>
      </c>
      <c r="N12" s="133" t="str">
        <f>VLOOKUP(C12,'Trips&amp;Operators'!$C$1:$G$99911,5,FALSE)</f>
        <v>THOMPSON LESTER</v>
      </c>
      <c r="O12" s="175" t="s">
        <v>178</v>
      </c>
      <c r="P12" s="240"/>
      <c r="Q12" s="30"/>
      <c r="R12" s="81" t="str">
        <f>VLOOKUP(C12,'Train Runs'!$A$13:$AE$10162,31,0)</f>
        <v>aws s3 cp s3://rtdc.mdm.uploadarchive.raw/RTDC4025/ "%USERPROFILE%\AppData\Local\Temp\OnboardLogs"\RTDC4025\2017-11-29 --exclude "*" --recursive --include "*20171129*" &amp; "%USERPROFILE%\Documents\GitHub\mrs-test-scripts\Headless Mode &amp; Sideloading\WalkAndUnGZ.bat" "%USERPROFILE%\AppData\Local\Temp\OnboardLogs"\RTDC4025\2017-11-29 &amp; aws s3 cp s3://rtdc.mdm.uploadarchive.raw/RTDC4025/ "%USERPROFILE%\AppData\Local\Temp\OnboardLogs"\RTDC4025\2017-11-30 --exclude "*" --recursive --include "*20171130*" &amp; "%USERPROFILE%\Documents\GitHub\mrs-test-scripts\Headless Mode &amp; Sideloading\WalkAndUnGZ.bat" "%USERPROFILE%\AppData\Local\Temp\OnboardLogs"\RTDC4025\2017-11-30</v>
      </c>
      <c r="S12" s="84" t="str">
        <f>VLOOKUP(C12,'Train Runs'!$A$13:$AE$10162,22,0)</f>
        <v>https://d0f6bd738d7f1b3e5a7ca70fe4ff75f0.us-east-1.aws.found.io/app/kibana#/discover/Steve-Slow-Train-Analysis-(2080s-and-2083s)?_g=(refreshInterval:(display:Off,pause:!f,section:0,value:0),time:(from:'2017-11-29T03:40:59-0700',mode:absolute,to:'2017-11-29T06:22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2" s="86" t="str">
        <f t="shared" si="1"/>
        <v>"C:\Program Files (x86)\AstroGrep\AstroGrep.exe" /e /r /s /spath="%USERPROFILE%\AppData\Local\Temp\OnboardLogs" /stypes="*4025*201711291*" /stext=" 11:.+((SYSTEM_STATE.+slice.+state.+changed )|(ment ac)|(multiple cpu faults)|(system.+state.+changed )|(\[timeout)|(PRM\|1\|D)|(kpr)|(kdp)|(train st.+moving)|(\|lc)|(penalty))"</v>
      </c>
      <c r="U12" s="9" t="str">
        <f t="shared" si="2"/>
        <v>4025</v>
      </c>
      <c r="V12" s="31">
        <f t="shared" si="3"/>
        <v>43068.492002314815</v>
      </c>
      <c r="W12" s="45" t="str">
        <f t="shared" si="4"/>
        <v>EC</v>
      </c>
      <c r="X12" s="229">
        <f t="shared" si="5"/>
        <v>104</v>
      </c>
      <c r="Y12" s="239" t="str">
        <f t="shared" si="6"/>
        <v>echo {"issue":{"subject":"","project_id":79,"tracker_id":40,"status_id":1,"priority_id":2,"assigned_to_id":338,"start_date":"2017-11-29","description":"","custom_fields":[{"id":1,"name":"Subdivision","value":"EC"},{"id":4,"name":"Milepost","value":"19.1104"},{"id":17,"name":"Train ID","value":"104-29"},{"id":16,"name":"Locomotive ID","value":"4025"},{"id":130,"name":"Impact","value":""},{"id":150,"name":"Time of Event (Mountain Time)","value":"04:48:29"},{"id":151,"name":"Denver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2"/>
      <c r="AB12" s="232"/>
      <c r="AC12" s="115" t="str">
        <f t="shared" si="7"/>
        <v>grep -hrE -A400 "Enforcement Action" /c/Users/stu/AppData/Local/Temp/OnboardLogs/RTDC4025 --include="*4025*201711291*"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"%USERPROFILE%\AppData\Local\Temp\OnboardLogs"\RTDC4025\*4025*201711291* &gt;&gt; 2017-11-29-SliceDisagreementCheck.txt</v>
      </c>
      <c r="AE12" s="144" t="str">
        <f t="shared" si="9"/>
        <v>start /low /b %USERPROFILE%\Documents\GitHub\eaglep3\Utilities\DownloadLogsFromS3.py --loco 4025 --day 2017-11-29</v>
      </c>
      <c r="AF12" s="1"/>
    </row>
    <row r="13" spans="1:32" x14ac:dyDescent="0.25">
      <c r="A13" s="31">
        <v>43068.303437499999</v>
      </c>
      <c r="B13" s="30" t="s">
        <v>450</v>
      </c>
      <c r="C13" s="30" t="s">
        <v>623</v>
      </c>
      <c r="D13" s="30" t="s">
        <v>49</v>
      </c>
      <c r="E13" s="30" t="s">
        <v>355</v>
      </c>
      <c r="F13" s="42">
        <v>0</v>
      </c>
      <c r="G13" s="42">
        <v>110</v>
      </c>
      <c r="H13" s="42">
        <v>2413</v>
      </c>
      <c r="I13" s="42">
        <v>2598</v>
      </c>
      <c r="J13" s="30" t="s">
        <v>356</v>
      </c>
      <c r="K13" s="42">
        <v>2789</v>
      </c>
      <c r="L13" s="131" t="s">
        <v>50</v>
      </c>
      <c r="M13" s="132">
        <f t="shared" si="0"/>
        <v>100.848</v>
      </c>
      <c r="N13" s="133" t="str">
        <f>VLOOKUP(C13,'Trips&amp;Operators'!$C$1:$G$99911,5,FALSE)</f>
        <v>THOMPSON LESTER</v>
      </c>
      <c r="O13" s="175" t="s">
        <v>178</v>
      </c>
      <c r="P13" s="240" t="s">
        <v>1131</v>
      </c>
      <c r="Q13" s="30"/>
      <c r="R13" s="81" t="str">
        <f>VLOOKUP(C13,'Train Runs'!$A$13:$AE$10162,31,0)</f>
        <v>aws s3 cp s3://rtdc.mdm.uploadarchive.raw/RTDC4026/ "%USERPROFILE%\AppData\Local\Temp\OnboardLogs"\RTDC4026\2017-11-29 --exclude "*" --recursive --include "*20171129*" &amp; "%USERPROFILE%\Documents\GitHub\mrs-test-scripts\Headless Mode &amp; Sideloading\WalkAndUnGZ.bat" "%USERPROFILE%\AppData\Local\Temp\OnboardLogs"\RTDC4026\2017-11-29 &amp; aws s3 cp s3://rtdc.mdm.uploadarchive.raw/RTDC4026/ "%USERPROFILE%\AppData\Local\Temp\OnboardLogs"\RTDC4026\2017-11-30 --exclude "*" --recursive --include "*20171130*" &amp; "%USERPROFILE%\Documents\GitHub\mrs-test-scripts\Headless Mode &amp; Sideloading\WalkAndUnGZ.bat" "%USERPROFILE%\AppData\Local\Temp\OnboardLogs"\RTDC4026\2017-11-30</v>
      </c>
      <c r="S13" s="84" t="str">
        <f>VLOOKUP(C13,'Train Runs'!$A$13:$AE$10162,22,0)</f>
        <v>https://d0f6bd738d7f1b3e5a7ca70fe4ff75f0.us-east-1.aws.found.io/app/kibana#/discover/Steve-Slow-Train-Analysis-(2080s-and-2083s)?_g=(refreshInterval:(display:Off,pause:!f,section:0,value:0),time:(from:'2017-11-29T06:11:40-0700',mode:absolute,to:'2017-11-29T08:52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3" s="86" t="str">
        <f t="shared" si="1"/>
        <v>"C:\Program Files (x86)\AstroGrep\AstroGrep.exe" /e /r /s /spath="%USERPROFILE%\AppData\Local\Temp\OnboardLogs" /stypes="*4026*201711291*" /stext=" 14:.+((SYSTEM_STATE.+slice.+state.+changed )|(ment ac)|(multiple cpu faults)|(system.+state.+changed )|(\[timeout)|(PRM\|1\|D)|(kpr)|(kdp)|(train st.+moving)|(\|lc)|(penalty))"</v>
      </c>
      <c r="U13" s="9" t="str">
        <f t="shared" si="2"/>
        <v>4026</v>
      </c>
      <c r="V13" s="31">
        <f t="shared" si="3"/>
        <v>43068.595104166663</v>
      </c>
      <c r="W13" s="45" t="str">
        <f t="shared" si="4"/>
        <v>EC</v>
      </c>
      <c r="X13" s="229">
        <f t="shared" si="5"/>
        <v>129</v>
      </c>
      <c r="Y13" s="239" t="str">
        <f t="shared" si="6"/>
        <v>echo {"issue":{"subject":"Selected wrong track","project_id":79,"tracker_id":40,"status_id":1,"priority_id":2,"assigned_to_id":338,"start_date":"2017-11-29","description":"","custom_fields":[{"id":1,"name":"Subdivision","value":"EC"},{"id":4,"name":"Milepost","value":"0.2789"},{"id":17,"name":"Train ID","value":"129-29"},{"id":16,"name":"Locomotive ID","value":"4026"},{"id":130,"name":"Impact","value":""},{"id":150,"name":"Time of Event (Mountain Time)","value":"07:16:57"},{"id":151,"name":"Denver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2"/>
      <c r="AB13" s="232"/>
      <c r="AC13" s="115" t="str">
        <f t="shared" si="7"/>
        <v>grep -hrE -A400 "Enforcement Action" /c/Users/stu/AppData/Local/Temp/OnboardLogs/RTDC4026 --include="*4026*201711291*"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"%USERPROFILE%\AppData\Local\Temp\OnboardLogs"\RTDC4026\*4026*201711291* &gt;&gt; 2017-11-29-SliceDisagreementCheck.txt</v>
      </c>
      <c r="AE13" s="144" t="str">
        <f t="shared" si="9"/>
        <v>start /low /b %USERPROFILE%\Documents\GitHub\eaglep3\Utilities\DownloadLogsFromS3.py --loco 4026 --day 2017-11-29</v>
      </c>
      <c r="AF13" s="1"/>
    </row>
    <row r="14" spans="1:32" x14ac:dyDescent="0.25">
      <c r="A14" s="31">
        <v>43068.163888888892</v>
      </c>
      <c r="B14" s="30" t="s">
        <v>450</v>
      </c>
      <c r="C14" s="30" t="s">
        <v>616</v>
      </c>
      <c r="D14" s="30" t="s">
        <v>95</v>
      </c>
      <c r="E14" s="30" t="s">
        <v>355</v>
      </c>
      <c r="F14" s="42">
        <v>200</v>
      </c>
      <c r="G14" s="42">
        <v>253</v>
      </c>
      <c r="H14" s="42">
        <v>20617</v>
      </c>
      <c r="I14" s="42">
        <v>21297</v>
      </c>
      <c r="J14" s="30" t="s">
        <v>356</v>
      </c>
      <c r="K14" s="42">
        <v>10800</v>
      </c>
      <c r="L14" s="131" t="s">
        <v>50</v>
      </c>
      <c r="M14" s="132">
        <f t="shared" si="0"/>
        <v>-5542.4160000000011</v>
      </c>
      <c r="N14" s="133" t="str">
        <f>VLOOKUP(C14,'Trips&amp;Operators'!$C$1:$G$99911,5,FALSE)</f>
        <v>THOMPSON LESTER</v>
      </c>
      <c r="O14" s="175" t="s">
        <v>178</v>
      </c>
      <c r="P14" s="240" t="s">
        <v>1130</v>
      </c>
      <c r="Q14" s="30"/>
      <c r="R14" s="81" t="str">
        <f>VLOOKUP(C14,'Train Runs'!$A$13:$AE$10162,31,0)</f>
        <v>aws s3 cp s3://rtdc.mdm.uploadarchive.raw/RTDC4026/ "%USERPROFILE%\AppData\Local\Temp\OnboardLogs"\RTDC4026\2017-11-29 --exclude "*" --recursive --include "*20171129*" &amp; "%USERPROFILE%\Documents\GitHub\mrs-test-scripts\Headless Mode &amp; Sideloading\WalkAndUnGZ.bat" "%USERPROFILE%\AppData\Local\Temp\OnboardLogs"\RTDC4026\2017-11-29 &amp; aws s3 cp s3://rtdc.mdm.uploadarchive.raw/RTDC4026/ "%USERPROFILE%\AppData\Local\Temp\OnboardLogs"\RTDC4026\2017-11-30 --exclude "*" --recursive --include "*20171130*" &amp; "%USERPROFILE%\Documents\GitHub\mrs-test-scripts\Headless Mode &amp; Sideloading\WalkAndUnGZ.bat" "%USERPROFILE%\AppData\Local\Temp\OnboardLogs"\RTDC4026\2017-11-30</v>
      </c>
      <c r="S14" s="84" t="str">
        <f>VLOOKUP(C14,'Train Runs'!$A$13:$AE$10162,22,0)</f>
        <v>https://d0f6bd738d7f1b3e5a7ca70fe4ff75f0.us-east-1.aws.found.io/app/kibana#/discover/Steve-Slow-Train-Analysis-(2080s-and-2083s)?_g=(refreshInterval:(display:Off,pause:!f,section:0,value:0),time:(from:'2017-11-29T02:33:51-0700',mode:absolute,to:'2017-11-29T05:30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4" s="86" t="str">
        <f t="shared" si="1"/>
        <v>"C:\Program Files (x86)\AstroGrep\AstroGrep.exe" /e /r /s /spath="%USERPROFILE%\AppData\Local\Temp\OnboardLogs" /stypes="*4026*201711291*" /stext=" 10:.+((SYSTEM_STATE.+slice.+state.+changed )|(ment ac)|(multiple cpu faults)|(system.+state.+changed )|(\[timeout)|(PRM\|1\|D)|(kpr)|(kdp)|(train st.+moving)|(\|lc)|(penalty))"</v>
      </c>
      <c r="U14" s="9" t="str">
        <f t="shared" si="2"/>
        <v>4026</v>
      </c>
      <c r="V14" s="31">
        <f t="shared" si="3"/>
        <v>43068.455555555556</v>
      </c>
      <c r="W14" s="45" t="str">
        <f t="shared" si="4"/>
        <v>EC</v>
      </c>
      <c r="X14" s="229">
        <f t="shared" si="5"/>
        <v>103</v>
      </c>
      <c r="Y14" s="239" t="str">
        <f t="shared" si="6"/>
        <v>echo {"issue":{"subject":"Overspeed","project_id":79,"tracker_id":40,"status_id":1,"priority_id":2,"assigned_to_id":338,"start_date":"2017-11-29","description":"","custom_fields":[{"id":1,"name":"Subdivision","value":"EC"},{"id":4,"name":"Milepost","value":"1.08"},{"id":17,"name":"Train ID","value":"103-29"},{"id":16,"name":"Locomotive ID","value":"4026"},{"id":130,"name":"Impact","value":""},{"id":150,"name":"Time of Event (Mountain Time)","value":"03:56:00"},{"id":151,"name":"Denver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2"/>
      <c r="AB14" s="232"/>
      <c r="AC14" s="115" t="str">
        <f t="shared" si="7"/>
        <v>grep -hrE -A400 "Enforcement Action" /c/Users/stu/AppData/Local/Temp/OnboardLogs/RTDC4026 --include="*4026*201711291*"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"%USERPROFILE%\AppData\Local\Temp\OnboardLogs"\RTDC4026\*4026*201711291* &gt;&gt; 2017-11-29-SliceDisagreementCheck.txt</v>
      </c>
      <c r="AE14" s="144" t="str">
        <f t="shared" si="9"/>
        <v>start /low /b %USERPROFILE%\Documents\GitHub\eaglep3\Utilities\DownloadLogsFromS3.py --loco 4026 --day 2017-11-29</v>
      </c>
      <c r="AF14" s="1"/>
    </row>
    <row r="15" spans="1:32" x14ac:dyDescent="0.25">
      <c r="A15" s="31">
        <v>43068.909814814811</v>
      </c>
      <c r="B15" s="30" t="s">
        <v>653</v>
      </c>
      <c r="C15" s="30" t="s">
        <v>654</v>
      </c>
      <c r="D15" s="30" t="s">
        <v>95</v>
      </c>
      <c r="E15" s="30" t="s">
        <v>355</v>
      </c>
      <c r="F15" s="42">
        <v>0</v>
      </c>
      <c r="G15" s="42">
        <v>566</v>
      </c>
      <c r="H15" s="42">
        <v>81656</v>
      </c>
      <c r="I15" s="42">
        <v>79272</v>
      </c>
      <c r="J15" s="30" t="s">
        <v>356</v>
      </c>
      <c r="K15" s="42">
        <v>81751</v>
      </c>
      <c r="L15" s="131" t="s">
        <v>51</v>
      </c>
      <c r="M15" s="132">
        <f t="shared" si="0"/>
        <v>-1308.912</v>
      </c>
      <c r="N15" s="133" t="str">
        <f>VLOOKUP(C15,'Trips&amp;Operators'!$C$1:$G$99911,5,FALSE)</f>
        <v>ANDERS STEVEN</v>
      </c>
      <c r="O15" s="175" t="s">
        <v>349</v>
      </c>
      <c r="P15" s="240" t="s">
        <v>522</v>
      </c>
      <c r="Q15" s="30"/>
      <c r="R15" s="81" t="str">
        <f>VLOOKUP(C15,'Train Runs'!$A$13:$AE$10162,31,0)</f>
        <v>aws s3 cp s3://rtdc.mdm.uploadarchive.raw/RTDC4005/ "%USERPROFILE%\AppData\Local\Temp\OnboardLogs"\RTDC4005\2017-11-29 --exclude "*" --recursive --include "*20171129*" &amp; "%USERPROFILE%\Documents\GitHub\mrs-test-scripts\Headless Mode &amp; Sideloading\WalkAndUnGZ.bat" "%USERPROFILE%\AppData\Local\Temp\OnboardLogs"\RTDC4005\2017-11-29 &amp; aws s3 cp s3://rtdc.mdm.uploadarchive.raw/RTDC4005/ "%USERPROFILE%\AppData\Local\Temp\OnboardLogs"\RTDC4005\2017-11-30 --exclude "*" --recursive --include "*20171130*" &amp; "%USERPROFILE%\Documents\GitHub\mrs-test-scripts\Headless Mode &amp; Sideloading\WalkAndUnGZ.bat" "%USERPROFILE%\AppData\Local\Temp\OnboardLogs"\RTDC4005\2017-11-30</v>
      </c>
      <c r="S15" s="84" t="str">
        <f>VLOOKUP(C15,'Train Runs'!$A$13:$AE$10162,22,0)</f>
        <v>https://d0f6bd738d7f1b3e5a7ca70fe4ff75f0.us-east-1.aws.found.io/app/kibana#/discover/Steve-Slow-Train-Analysis-(2080s-and-2083s)?_g=(refreshInterval:(display:Off,pause:!f,section:0,value:0),time:(from:'2017-11-29T20:23:26-0700',mode:absolute,to:'2017-11-29T23:09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5" s="86" t="str">
        <f t="shared" si="1"/>
        <v>"C:\Program Files (x86)\AstroGrep\AstroGrep.exe" /e /r /s /spath="%USERPROFILE%\AppData\Local\Temp\OnboardLogs" /stypes="*4005*201711300*" /stext=" 04:.+((SYSTEM_STATE.+slice.+state.+changed )|(ment ac)|(multiple cpu faults)|(system.+state.+changed )|(\[timeout)|(PRM\|1\|D)|(kpr)|(kdp)|(train st.+moving)|(\|lc)|(penalty))"</v>
      </c>
      <c r="U15" s="9" t="str">
        <f t="shared" si="2"/>
        <v>4005</v>
      </c>
      <c r="V15" s="31">
        <f t="shared" si="3"/>
        <v>43069.201481481476</v>
      </c>
      <c r="W15" s="45" t="str">
        <f t="shared" si="4"/>
        <v>EC</v>
      </c>
      <c r="X15" s="229">
        <f t="shared" si="5"/>
        <v>228</v>
      </c>
      <c r="Y15" s="239" t="str">
        <f t="shared" si="6"/>
        <v>echo {"issue":{"subject":"Wi-MAX data drop","project_id":79,"tracker_id":40,"status_id":1,"priority_id":2,"assigned_to_id":338,"start_date":"2017-11-29","description":"","custom_fields":[{"id":1,"name":"Subdivision","value":"EC"},{"id":4,"name":"Milepost","value":"8.1751"},{"id":17,"name":"Train ID","value":"228-29"},{"id":16,"name":"Locomotive ID","value":"4005"},{"id":130,"name":"Impact","value":""},{"id":150,"name":"Time of Event (Mountain Time)","value":"21:50:08"},{"id":151,"name":"Denver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2"/>
      <c r="AB15" s="232"/>
      <c r="AC15" s="115" t="str">
        <f t="shared" si="7"/>
        <v>grep -hrE -A400 "Enforcement Action" /c/Users/stu/AppData/Local/Temp/OnboardLogs/RTDC4005 --include="*4005*201711300*"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"%USERPROFILE%\AppData\Local\Temp\OnboardLogs"\RTDC4005\*4005*201711300* &gt;&gt; 2017-11-29-SliceDisagreementCheck.txt</v>
      </c>
      <c r="AE15" s="144" t="str">
        <f t="shared" si="9"/>
        <v>start /low /b %USERPROFILE%\Documents\GitHub\eaglep3\Utilities\DownloadLogsFromS3.py --loco 4005 --day 2017-11-30</v>
      </c>
      <c r="AF15" s="1"/>
    </row>
    <row r="16" spans="1:32" x14ac:dyDescent="0.25">
      <c r="A16" s="31">
        <v>43068.235821759263</v>
      </c>
      <c r="B16" s="30" t="s">
        <v>620</v>
      </c>
      <c r="C16" s="30" t="s">
        <v>621</v>
      </c>
      <c r="D16" s="30" t="s">
        <v>49</v>
      </c>
      <c r="E16" s="30" t="s">
        <v>355</v>
      </c>
      <c r="F16" s="42">
        <v>0</v>
      </c>
      <c r="G16" s="42">
        <v>717</v>
      </c>
      <c r="H16" s="42">
        <v>142703</v>
      </c>
      <c r="I16" s="42">
        <v>146645</v>
      </c>
      <c r="J16" s="30" t="s">
        <v>356</v>
      </c>
      <c r="K16" s="42">
        <v>144300</v>
      </c>
      <c r="L16" s="131" t="s">
        <v>50</v>
      </c>
      <c r="M16" s="132">
        <f t="shared" si="0"/>
        <v>-1238.1600000000001</v>
      </c>
      <c r="N16" s="133" t="str">
        <f>VLOOKUP(C16,'Trips&amp;Operators'!$C$1:$G$99911,5,FALSE)</f>
        <v>YANAI IAN</v>
      </c>
      <c r="O16" s="175" t="s">
        <v>349</v>
      </c>
      <c r="P16" s="240" t="s">
        <v>522</v>
      </c>
      <c r="Q16" s="30"/>
      <c r="R16" s="81" t="str">
        <f>VLOOKUP(C16,'Train Runs'!$A$13:$AE$10162,31,0)</f>
        <v>aws s3 cp s3://rtdc.mdm.uploadarchive.raw/RTDC4028/ "%USERPROFILE%\AppData\Local\Temp\OnboardLogs"\RTDC4028\2017-11-29 --exclude "*" --recursive --include "*20171129*" &amp; "%USERPROFILE%\Documents\GitHub\mrs-test-scripts\Headless Mode &amp; Sideloading\WalkAndUnGZ.bat" "%USERPROFILE%\AppData\Local\Temp\OnboardLogs"\RTDC4028\2017-11-29 &amp; aws s3 cp s3://rtdc.mdm.uploadarchive.raw/RTDC4028/ "%USERPROFILE%\AppData\Local\Temp\OnboardLogs"\RTDC4028\2017-11-30 --exclude "*" --recursive --include "*20171130*" &amp; "%USERPROFILE%\Documents\GitHub\mrs-test-scripts\Headless Mode &amp; Sideloading\WalkAndUnGZ.bat" "%USERPROFILE%\AppData\Local\Temp\OnboardLogs"\RTDC4028\2017-11-30</v>
      </c>
      <c r="S16" s="84" t="str">
        <f>VLOOKUP(C16,'Train Runs'!$A$13:$AE$10162,22,0)</f>
        <v>https://d0f6bd738d7f1b3e5a7ca70fe4ff75f0.us-east-1.aws.found.io/app/kibana#/discover/Steve-Slow-Train-Analysis-(2080s-and-2083s)?_g=(refreshInterval:(display:Off,pause:!f,section:0,value:0),time:(from:'2017-11-29T04:52:53-0700',mode:absolute,to:'2017-11-29T06:39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6" s="86" t="str">
        <f t="shared" si="1"/>
        <v>"C:\Program Files (x86)\AstroGrep\AstroGrep.exe" /e /r /s /spath="%USERPROFILE%\AppData\Local\Temp\OnboardLogs" /stypes="*4028*201711291*" /stext=" 12:.+((SYSTEM_STATE.+slice.+state.+changed )|(ment ac)|(multiple cpu faults)|(system.+state.+changed )|(\[timeout)|(PRM\|1\|D)|(kpr)|(kdp)|(train st.+moving)|(\|lc)|(penalty))"</v>
      </c>
      <c r="U16" s="9" t="str">
        <f t="shared" si="2"/>
        <v>4028</v>
      </c>
      <c r="V16" s="31">
        <f t="shared" si="3"/>
        <v>43068.527488425927</v>
      </c>
      <c r="W16" s="45" t="str">
        <f t="shared" si="4"/>
        <v>EC</v>
      </c>
      <c r="X16" s="229">
        <f t="shared" si="5"/>
        <v>113</v>
      </c>
      <c r="Y16" s="239" t="str">
        <f t="shared" si="6"/>
        <v>echo {"issue":{"subject":"Wi-MAX data drop","project_id":79,"tracker_id":40,"status_id":1,"priority_id":2,"assigned_to_id":338,"start_date":"2017-11-29","description":"","custom_fields":[{"id":1,"name":"Subdivision","value":"EC"},{"id":4,"name":"Milepost","value":"14.43"},{"id":17,"name":"Train ID","value":"113-29"},{"id":16,"name":"Locomotive ID","value":"4028"},{"id":130,"name":"Impact","value":""},{"id":150,"name":"Time of Event (Mountain Time)","value":"05:39:35"},{"id":151,"name":"Denver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2"/>
      <c r="AB16" s="232"/>
      <c r="AC16" s="115" t="str">
        <f t="shared" si="7"/>
        <v>grep -hrE -A400 "Enforcement Action" /c/Users/stu/AppData/Local/Temp/OnboardLogs/RTDC4028 --include="*4028*201711291*"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"%USERPROFILE%\AppData\Local\Temp\OnboardLogs"\RTDC4028\*4028*201711291* &gt;&gt; 2017-11-29-SliceDisagreementCheck.txt</v>
      </c>
      <c r="AE16" s="144" t="str">
        <f t="shared" si="9"/>
        <v>start /low /b %USERPROFILE%\Documents\GitHub\eaglep3\Utilities\DownloadLogsFromS3.py --loco 4028 --day 2017-11-29</v>
      </c>
      <c r="AF16" s="1"/>
    </row>
    <row r="17" spans="1:32" x14ac:dyDescent="0.25">
      <c r="A17" s="31">
        <v>43068.558553240742</v>
      </c>
      <c r="B17" s="30" t="s">
        <v>523</v>
      </c>
      <c r="C17" s="30" t="s">
        <v>640</v>
      </c>
      <c r="D17" s="30" t="s">
        <v>49</v>
      </c>
      <c r="E17" s="30" t="s">
        <v>355</v>
      </c>
      <c r="F17" s="42">
        <v>0</v>
      </c>
      <c r="G17" s="42">
        <v>803</v>
      </c>
      <c r="H17" s="42">
        <v>142422</v>
      </c>
      <c r="I17" s="42">
        <v>146568</v>
      </c>
      <c r="J17" s="30" t="s">
        <v>356</v>
      </c>
      <c r="K17" s="42">
        <v>144300</v>
      </c>
      <c r="L17" s="131" t="s">
        <v>50</v>
      </c>
      <c r="M17" s="132">
        <f t="shared" si="0"/>
        <v>-1197.5039999999999</v>
      </c>
      <c r="N17" s="133" t="str">
        <f>VLOOKUP(C17,'Trips&amp;Operators'!$C$1:$G$99911,5,FALSE)</f>
        <v>NEWELL JAMES</v>
      </c>
      <c r="O17" s="175" t="s">
        <v>349</v>
      </c>
      <c r="P17" s="240" t="s">
        <v>522</v>
      </c>
      <c r="Q17" s="30"/>
      <c r="R17" s="81" t="str">
        <f>VLOOKUP(C17,'Train Runs'!$A$13:$AE$10162,31,0)</f>
        <v>aws s3 cp s3://rtdc.mdm.uploadarchive.raw/RTDC4002/ "%USERPROFILE%\AppData\Local\Temp\OnboardLogs"\RTDC4002\2017-11-29 --exclude "*" --recursive --include "*20171129*" &amp; "%USERPROFILE%\Documents\GitHub\mrs-test-scripts\Headless Mode &amp; Sideloading\WalkAndUnGZ.bat" "%USERPROFILE%\AppData\Local\Temp\OnboardLogs"\RTDC4002\2017-11-29 &amp; aws s3 cp s3://rtdc.mdm.uploadarchive.raw/RTDC4002/ "%USERPROFILE%\AppData\Local\Temp\OnboardLogs"\RTDC4002\2017-11-30 --exclude "*" --recursive --include "*20171130*" &amp; "%USERPROFILE%\Documents\GitHub\mrs-test-scripts\Headless Mode &amp; Sideloading\WalkAndUnGZ.bat" "%USERPROFILE%\AppData\Local\Temp\OnboardLogs"\RTDC4002\2017-11-30</v>
      </c>
      <c r="S17" s="84" t="str">
        <f>VLOOKUP(C17,'Train Runs'!$A$13:$AE$10162,22,0)</f>
        <v>https://d0f6bd738d7f1b3e5a7ca70fe4ff75f0.us-east-1.aws.found.io/app/kibana#/discover/Steve-Slow-Train-Analysis-(2080s-and-2083s)?_g=(refreshInterval:(display:Off,pause:!f,section:0,value:0),time:(from:'2017-11-29T11:51:54-0700',mode:absolute,to:'2017-11-29T14:36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7" s="86" t="str">
        <f t="shared" si="1"/>
        <v>"C:\Program Files (x86)\AstroGrep\AstroGrep.exe" /e /r /s /spath="%USERPROFILE%\AppData\Local\Temp\OnboardLogs" /stypes="*4002*201711292*" /stext=" 20:.+((SYSTEM_STATE.+slice.+state.+changed )|(ment ac)|(multiple cpu faults)|(system.+state.+changed )|(\[timeout)|(PRM\|1\|D)|(kpr)|(kdp)|(train st.+moving)|(\|lc)|(penalty))"</v>
      </c>
      <c r="U17" s="9" t="str">
        <f t="shared" si="2"/>
        <v>4002</v>
      </c>
      <c r="V17" s="31">
        <f t="shared" si="3"/>
        <v>43068.850219907406</v>
      </c>
      <c r="W17" s="45" t="str">
        <f t="shared" si="4"/>
        <v>EC</v>
      </c>
      <c r="X17" s="229">
        <f t="shared" si="5"/>
        <v>175</v>
      </c>
      <c r="Y17" s="239" t="str">
        <f t="shared" si="6"/>
        <v>echo {"issue":{"subject":"Wi-MAX data drop","project_id":79,"tracker_id":40,"status_id":1,"priority_id":2,"assigned_to_id":338,"start_date":"2017-11-29","description":"","custom_fields":[{"id":1,"name":"Subdivision","value":"EC"},{"id":4,"name":"Milepost","value":"14.43"},{"id":17,"name":"Train ID","value":"175-29"},{"id":16,"name":"Locomotive ID","value":"4002"},{"id":130,"name":"Impact","value":""},{"id":150,"name":"Time of Event (Mountain Time)","value":"13:24:19"},{"id":151,"name":"Denver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2"/>
      <c r="AB17" s="232"/>
      <c r="AC17" s="115" t="str">
        <f t="shared" si="7"/>
        <v>grep -hrE -A400 "Enforcement Action" /c/Users/stu/AppData/Local/Temp/OnboardLogs/RTDC4002 --include="*4002*201711292*"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"%USERPROFILE%\AppData\Local\Temp\OnboardLogs"\RTDC4002\*4002*201711292* &gt;&gt; 2017-11-29-SliceDisagreementCheck.txt</v>
      </c>
      <c r="AE17" s="144" t="str">
        <f t="shared" si="9"/>
        <v>start /low /b %USERPROFILE%\Documents\GitHub\eaglep3\Utilities\DownloadLogsFromS3.py --loco 4002 --day 2017-11-29</v>
      </c>
      <c r="AF17" s="1"/>
    </row>
    <row r="18" spans="1:32" x14ac:dyDescent="0.25">
      <c r="A18" s="31">
        <v>43068.815416666665</v>
      </c>
      <c r="B18" s="30" t="s">
        <v>479</v>
      </c>
      <c r="C18" s="30" t="s">
        <v>649</v>
      </c>
      <c r="D18" s="30" t="s">
        <v>49</v>
      </c>
      <c r="E18" s="30" t="s">
        <v>524</v>
      </c>
      <c r="F18" s="42">
        <v>0</v>
      </c>
      <c r="G18" s="42">
        <v>156</v>
      </c>
      <c r="H18" s="42">
        <v>675</v>
      </c>
      <c r="I18" s="42">
        <v>446</v>
      </c>
      <c r="J18" s="30" t="s">
        <v>525</v>
      </c>
      <c r="K18" s="42">
        <v>1</v>
      </c>
      <c r="L18" s="131" t="s">
        <v>51</v>
      </c>
      <c r="M18" s="132">
        <f t="shared" si="0"/>
        <v>234.96</v>
      </c>
      <c r="N18" s="133" t="str">
        <f>VLOOKUP(C18,'Trips&amp;Operators'!$C$1:$G$99911,5,FALSE)</f>
        <v>HOLCOMB KAMDEN</v>
      </c>
      <c r="O18" s="175" t="s">
        <v>178</v>
      </c>
      <c r="P18" s="240"/>
      <c r="Q18" s="30"/>
      <c r="R18" s="81" t="str">
        <f>VLOOKUP(C18,'Train Runs'!$A$13:$AE$10162,31,0)</f>
        <v>aws s3 cp s3://rtdc.mdm.uploadarchive.raw/RTDC4019/ "%USERPROFILE%\AppData\Local\Temp\OnboardLogs"\RTDC4019\2017-11-29 --exclude "*" --recursive --include "*20171129*" &amp; "%USERPROFILE%\Documents\GitHub\mrs-test-scripts\Headless Mode &amp; Sideloading\WalkAndUnGZ.bat" "%USERPROFILE%\AppData\Local\Temp\OnboardLogs"\RTDC4019\2017-11-29 &amp; aws s3 cp s3://rtdc.mdm.uploadarchive.raw/RTDC4019/ "%USERPROFILE%\AppData\Local\Temp\OnboardLogs"\RTDC4019\2017-11-30 --exclude "*" --recursive --include "*20171130*" &amp; "%USERPROFILE%\Documents\GitHub\mrs-test-scripts\Headless Mode &amp; Sideloading\WalkAndUnGZ.bat" "%USERPROFILE%\AppData\Local\Temp\OnboardLogs"\RTDC4019\2017-11-30</v>
      </c>
      <c r="S18" s="84" t="str">
        <f>VLOOKUP(C18,'Train Runs'!$A$13:$AE$10162,22,0)</f>
        <v>https://d0f6bd738d7f1b3e5a7ca70fe4ff75f0.us-east-1.aws.found.io/app/kibana#/discover/Steve-Slow-Train-Analysis-(2080s-and-2083s)?_g=(refreshInterval:(display:Off,pause:!f,section:0,value:0),time:(from:'2017-11-29T17:52:43-0700',mode:absolute,to:'2017-11-29T20:35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8" s="86" t="str">
        <f t="shared" si="1"/>
        <v>"C:\Program Files (x86)\AstroGrep\AstroGrep.exe" /e /r /s /spath="%USERPROFILE%\AppData\Local\Temp\OnboardLogs" /stypes="*4019*201711300*" /stext=" 02:.+((SYSTEM_STATE.+slice.+state.+changed )|(ment ac)|(multiple cpu faults)|(system.+state.+changed )|(\[timeout)|(PRM\|1\|D)|(kpr)|(kdp)|(train st.+moving)|(\|lc)|(penalty))"</v>
      </c>
      <c r="U18" s="9" t="str">
        <f t="shared" si="2"/>
        <v>4019</v>
      </c>
      <c r="V18" s="31">
        <f t="shared" si="3"/>
        <v>43069.107083333329</v>
      </c>
      <c r="W18" s="45" t="str">
        <f t="shared" si="4"/>
        <v>EC</v>
      </c>
      <c r="X18" s="229">
        <f t="shared" si="5"/>
        <v>216</v>
      </c>
      <c r="Y18" s="239" t="str">
        <f t="shared" si="6"/>
        <v>echo {"issue":{"subject":"","project_id":79,"tracker_id":40,"status_id":1,"priority_id":2,"assigned_to_id":338,"start_date":"2017-11-29","description":"","custom_fields":[{"id":1,"name":"Subdivision","value":"EC"},{"id":4,"name":"Milepost","value":"0.0001"},{"id":17,"name":"Train ID","value":"216-29"},{"id":16,"name":"Locomotive ID","value":"4019"},{"id":130,"name":"Impact","value":""},{"id":150,"name":"Time of Event (Mountain Time)","value":"19:34:12"},{"id":151,"name":"Denver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2"/>
      <c r="AB18" s="232"/>
      <c r="AC18" s="115" t="str">
        <f t="shared" si="7"/>
        <v>grep -hrE -A400 "Enforcement Action" /c/Users/stu/AppData/Local/Temp/OnboardLogs/RTDC4019 --include="*4019*201711300*"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"%USERPROFILE%\AppData\Local\Temp\OnboardLogs"\RTDC4019\*4019*201711300* &gt;&gt; 2017-11-29-SliceDisagreementCheck.txt</v>
      </c>
      <c r="AE18" s="144" t="str">
        <f t="shared" si="9"/>
        <v>start /low /b %USERPROFILE%\Documents\GitHub\eaglep3\Utilities\DownloadLogsFromS3.py --loco 4019 --day 2017-11-30</v>
      </c>
      <c r="AF18" s="1"/>
    </row>
    <row r="19" spans="1:32" x14ac:dyDescent="0.25">
      <c r="A19" s="31">
        <v>43068.255046296297</v>
      </c>
      <c r="B19" s="30" t="s">
        <v>450</v>
      </c>
      <c r="C19" s="30" t="s">
        <v>622</v>
      </c>
      <c r="D19" s="30" t="s">
        <v>49</v>
      </c>
      <c r="E19" s="30" t="s">
        <v>524</v>
      </c>
      <c r="F19" s="42">
        <v>0</v>
      </c>
      <c r="G19" s="42">
        <v>154</v>
      </c>
      <c r="H19" s="42">
        <v>232806</v>
      </c>
      <c r="I19" s="42">
        <v>233094</v>
      </c>
      <c r="J19" s="30" t="s">
        <v>525</v>
      </c>
      <c r="K19" s="42">
        <v>233491</v>
      </c>
      <c r="L19" s="131" t="s">
        <v>50</v>
      </c>
      <c r="M19" s="132">
        <f t="shared" si="0"/>
        <v>209.61600000000001</v>
      </c>
      <c r="N19" s="133" t="str">
        <f>VLOOKUP(C19,'Trips&amp;Operators'!$C$1:$G$99911,5,FALSE)</f>
        <v>THOMPSON LESTER</v>
      </c>
      <c r="O19" s="175" t="s">
        <v>178</v>
      </c>
      <c r="P19" s="240"/>
      <c r="Q19" s="30"/>
      <c r="R19" s="81" t="str">
        <f>VLOOKUP(C19,'Train Runs'!$A$13:$AE$10162,31,0)</f>
        <v>aws s3 cp s3://rtdc.mdm.uploadarchive.raw/RTDC4026/ "%USERPROFILE%\AppData\Local\Temp\OnboardLogs"\RTDC4026\2017-11-29 --exclude "*" --recursive --include "*20171129*" &amp; "%USERPROFILE%\Documents\GitHub\mrs-test-scripts\Headless Mode &amp; Sideloading\WalkAndUnGZ.bat" "%USERPROFILE%\AppData\Local\Temp\OnboardLogs"\RTDC4026\2017-11-29 &amp; aws s3 cp s3://rtdc.mdm.uploadarchive.raw/RTDC4026/ "%USERPROFILE%\AppData\Local\Temp\OnboardLogs"\RTDC4026\2017-11-30 --exclude "*" --recursive --include "*20171130*" &amp; "%USERPROFILE%\Documents\GitHub\mrs-test-scripts\Headless Mode &amp; Sideloading\WalkAndUnGZ.bat" "%USERPROFILE%\AppData\Local\Temp\OnboardLogs"\RTDC4026\2017-11-30</v>
      </c>
      <c r="S19" s="84" t="str">
        <f>VLOOKUP(C19,'Train Runs'!$A$13:$AE$10162,22,0)</f>
        <v>https://d0f6bd738d7f1b3e5a7ca70fe4ff75f0.us-east-1.aws.found.io/app/kibana#/discover/Steve-Slow-Train-Analysis-(2080s-and-2083s)?_g=(refreshInterval:(display:Off,pause:!f,section:0,value:0),time:(from:'2017-11-29T04:27:33-0700',mode:absolute,to:'2017-11-29T07:07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9" s="86" t="str">
        <f t="shared" si="1"/>
        <v>"C:\Program Files (x86)\AstroGrep\AstroGrep.exe" /e /r /s /spath="%USERPROFILE%\AppData\Local\Temp\OnboardLogs" /stypes="*4026*201711291*" /stext=" 13:.+((SYSTEM_STATE.+slice.+state.+changed )|(ment ac)|(multiple cpu faults)|(system.+state.+changed )|(\[timeout)|(PRM\|1\|D)|(kpr)|(kdp)|(train st.+moving)|(\|lc)|(penalty))"</v>
      </c>
      <c r="U19" s="9" t="str">
        <f t="shared" si="2"/>
        <v>4026</v>
      </c>
      <c r="V19" s="31">
        <f t="shared" si="3"/>
        <v>43068.546712962961</v>
      </c>
      <c r="W19" s="45" t="str">
        <f t="shared" si="4"/>
        <v>EC</v>
      </c>
      <c r="X19" s="229">
        <f t="shared" si="5"/>
        <v>115</v>
      </c>
      <c r="Y19" s="239" t="str">
        <f t="shared" si="6"/>
        <v>echo {"issue":{"subject":"","project_id":79,"tracker_id":40,"status_id":1,"priority_id":2,"assigned_to_id":338,"start_date":"2017-11-29","description":"","custom_fields":[{"id":1,"name":"Subdivision","value":"EC"},{"id":4,"name":"Milepost","value":"23.3491"},{"id":17,"name":"Train ID","value":"115-29"},{"id":16,"name":"Locomotive ID","value":"4026"},{"id":130,"name":"Impact","value":""},{"id":150,"name":"Time of Event (Mountain Time)","value":"06:07:16"},{"id":151,"name":"Denver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2"/>
      <c r="AB19" s="232"/>
      <c r="AC19" s="115" t="str">
        <f t="shared" si="7"/>
        <v>grep -hrE -A400 "Enforcement Action" /c/Users/stu/AppData/Local/Temp/OnboardLogs/RTDC4026 --include="*4026*201711291*"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"%USERPROFILE%\AppData\Local\Temp\OnboardLogs"\RTDC4026\*4026*201711291* &gt;&gt; 2017-11-29-SliceDisagreementCheck.txt</v>
      </c>
      <c r="AE19" s="144" t="str">
        <f t="shared" si="9"/>
        <v>start /low /b %USERPROFILE%\Documents\GitHub\eaglep3\Utilities\DownloadLogsFromS3.py --loco 4026 --day 2017-11-29</v>
      </c>
      <c r="AF19" s="1"/>
    </row>
    <row r="20" spans="1:32" x14ac:dyDescent="0.25">
      <c r="A20" s="31">
        <v>43068.466365740744</v>
      </c>
      <c r="B20" s="30" t="s">
        <v>634</v>
      </c>
      <c r="C20" s="30" t="s">
        <v>635</v>
      </c>
      <c r="D20" s="30" t="s">
        <v>95</v>
      </c>
      <c r="E20" s="30" t="s">
        <v>190</v>
      </c>
      <c r="F20" s="42">
        <v>200</v>
      </c>
      <c r="G20" s="42">
        <v>250</v>
      </c>
      <c r="H20" s="42">
        <v>6018</v>
      </c>
      <c r="I20" s="42">
        <v>6588</v>
      </c>
      <c r="J20" s="30" t="s">
        <v>191</v>
      </c>
      <c r="K20" s="42">
        <v>4790</v>
      </c>
      <c r="L20" s="131" t="s">
        <v>50</v>
      </c>
      <c r="M20" s="132">
        <f t="shared" si="0"/>
        <v>-949.34400000000005</v>
      </c>
      <c r="N20" s="133" t="str">
        <f>VLOOKUP(C20,'Trips&amp;Operators'!$C$1:$G$99911,5,FALSE)</f>
        <v>LONG FULLER</v>
      </c>
      <c r="O20" s="175" t="s">
        <v>178</v>
      </c>
      <c r="P20" s="240"/>
      <c r="Q20" s="30"/>
      <c r="R20" s="81" t="str">
        <f>VLOOKUP(C20,'Train Runs'!$A$13:$AE$10162,31,0)</f>
        <v>aws s3 cp s3://rtdc.mdm.uploadarchive.raw/RTDC4032/ "%USERPROFILE%\AppData\Local\Temp\OnboardLogs"\RTDC4032\2017-11-29 --exclude "*" --recursive --include "*20171129*" &amp; "%USERPROFILE%\Documents\GitHub\mrs-test-scripts\Headless Mode &amp; Sideloading\WalkAndUnGZ.bat" "%USERPROFILE%\AppData\Local\Temp\OnboardLogs"\RTDC4032\2017-11-29 &amp; aws s3 cp s3://rtdc.mdm.uploadarchive.raw/RTDC4032/ "%USERPROFILE%\AppData\Local\Temp\OnboardLogs"\RTDC4032\2017-11-30 --exclude "*" --recursive --include "*20171130*" &amp; "%USERPROFILE%\Documents\GitHub\mrs-test-scripts\Headless Mode &amp; Sideloading\WalkAndUnGZ.bat" "%USERPROFILE%\AppData\Local\Temp\OnboardLogs"\RTDC4032\2017-11-30</v>
      </c>
      <c r="S20" s="84" t="str">
        <f>VLOOKUP(C20,'Train Runs'!$A$13:$AE$10162,22,0)</f>
        <v>https://d0f6bd738d7f1b3e5a7ca70fe4ff75f0.us-east-1.aws.found.io/app/kibana#/discover/Steve-Slow-Train-Analysis-(2080s-and-2083s)?_g=(refreshInterval:(display:Off,pause:!f,section:0,value:0),time:(from:'2017-11-29T09:59:15-0700',mode:absolute,to:'2017-11-29T12:24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0" s="86" t="str">
        <f t="shared" si="1"/>
        <v>"C:\Program Files (x86)\AstroGrep\AstroGrep.exe" /e /r /s /spath="%USERPROFILE%\AppData\Local\Temp\OnboardLogs" /stypes="*4032*201711291*" /stext=" 18:.+((SYSTEM_STATE.+slice.+state.+changed )|(ment ac)|(multiple cpu faults)|(system.+state.+changed )|(\[timeout)|(PRM\|1\|D)|(kpr)|(kdp)|(train st.+moving)|(\|lc)|(penalty))"</v>
      </c>
      <c r="U20" s="9" t="str">
        <f t="shared" si="2"/>
        <v>4032</v>
      </c>
      <c r="V20" s="31">
        <f t="shared" si="3"/>
        <v>43068.758032407408</v>
      </c>
      <c r="W20" s="45" t="str">
        <f t="shared" si="4"/>
        <v>NW</v>
      </c>
      <c r="X20" s="229">
        <f t="shared" si="5"/>
        <v>817</v>
      </c>
      <c r="Y20" s="239" t="str">
        <f t="shared" si="6"/>
        <v>echo {"issue":{"subject":"","project_id":79,"tracker_id":40,"status_id":1,"priority_id":2,"assigned_to_id":338,"start_date":"2017-11-29","description":"","custom_fields":[{"id":1,"name":"Subdivision","value":"NW"},{"id":4,"name":"Milepost","value":"0.479"},{"id":17,"name":"Train ID","value":"817-29"},{"id":16,"name":"Locomotive ID","value":"4032"},{"id":130,"name":"Impact","value":""},{"id":150,"name":"Time of Event (Mountain Time)","value":"11:11:34"},{"id":151,"name":"Denver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2"/>
      <c r="AB20" s="232"/>
      <c r="AC20" s="115" t="str">
        <f t="shared" si="7"/>
        <v>grep -hrE -A400 "Enforcement Action" /c/Users/stu/AppData/Local/Temp/OnboardLogs/RTDC4032 --include="*4032*201711291*"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"%USERPROFILE%\AppData\Local\Temp\OnboardLogs"\RTDC4032\*4032*201711291* &gt;&gt; 2017-11-29-SliceDisagreementCheck.txt</v>
      </c>
      <c r="AE20" s="144" t="str">
        <f t="shared" si="9"/>
        <v>start /low /b %USERPROFILE%\Documents\GitHub\eaglep3\Utilities\DownloadLogsFromS3.py --loco 4032 --day 2017-11-29</v>
      </c>
      <c r="AF20" s="1"/>
    </row>
    <row r="21" spans="1:32" x14ac:dyDescent="0.25">
      <c r="A21" s="31">
        <v>43068.593344907407</v>
      </c>
      <c r="B21" s="30" t="s">
        <v>634</v>
      </c>
      <c r="C21" s="30" t="s">
        <v>642</v>
      </c>
      <c r="D21" s="30" t="s">
        <v>49</v>
      </c>
      <c r="E21" s="30" t="s">
        <v>190</v>
      </c>
      <c r="F21" s="42">
        <v>300</v>
      </c>
      <c r="G21" s="42">
        <v>388</v>
      </c>
      <c r="H21" s="42">
        <v>19400</v>
      </c>
      <c r="I21" s="42">
        <v>20614</v>
      </c>
      <c r="J21" s="30" t="s">
        <v>191</v>
      </c>
      <c r="K21" s="42">
        <v>21312</v>
      </c>
      <c r="L21" s="131" t="s">
        <v>50</v>
      </c>
      <c r="M21" s="132">
        <f t="shared" si="0"/>
        <v>368.54399999999998</v>
      </c>
      <c r="N21" s="133" t="str">
        <f>VLOOKUP(C21,'Trips&amp;Operators'!$C$1:$G$99911,5,FALSE)</f>
        <v>LORI SANTOS</v>
      </c>
      <c r="O21" s="175" t="s">
        <v>178</v>
      </c>
      <c r="P21" s="240"/>
      <c r="Q21" s="30"/>
      <c r="R21" s="81" t="str">
        <f>VLOOKUP(C21,'Train Runs'!$A$13:$AE$10162,31,0)</f>
        <v>aws s3 cp s3://rtdc.mdm.uploadarchive.raw/RTDC4032/ "%USERPROFILE%\AppData\Local\Temp\OnboardLogs"\RTDC4032\2017-11-29 --exclude "*" --recursive --include "*20171129*" &amp; "%USERPROFILE%\Documents\GitHub\mrs-test-scripts\Headless Mode &amp; Sideloading\WalkAndUnGZ.bat" "%USERPROFILE%\AppData\Local\Temp\OnboardLogs"\RTDC4032\2017-11-29 &amp; aws s3 cp s3://rtdc.mdm.uploadarchive.raw/RTDC4032/ "%USERPROFILE%\AppData\Local\Temp\OnboardLogs"\RTDC4032\2017-11-30 --exclude "*" --recursive --include "*20171130*" &amp; "%USERPROFILE%\Documents\GitHub\mrs-test-scripts\Headless Mode &amp; Sideloading\WalkAndUnGZ.bat" "%USERPROFILE%\AppData\Local\Temp\OnboardLogs"\RTDC4032\2017-11-30</v>
      </c>
      <c r="S21" s="84" t="str">
        <f>VLOOKUP(C21,'Train Runs'!$A$13:$AE$10162,22,0)</f>
        <v>https://d0f6bd738d7f1b3e5a7ca70fe4ff75f0.us-east-1.aws.found.io/app/kibana#/discover/Steve-Slow-Train-Analysis-(2080s-and-2083s)?_g=(refreshInterval:(display:Off,pause:!f,section:0,value:0),time:(from:'2017-11-29T13:05:32-0700',mode:absolute,to:'2017-11-29T15:25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1" s="86" t="str">
        <f t="shared" si="1"/>
        <v>"C:\Program Files (x86)\AstroGrep\AstroGrep.exe" /e /r /s /spath="%USERPROFILE%\AppData\Local\Temp\OnboardLogs" /stypes="*4032*201711292*" /stext=" 21:.+((SYSTEM_STATE.+slice.+state.+changed )|(ment ac)|(multiple cpu faults)|(system.+state.+changed )|(\[timeout)|(PRM\|1\|D)|(kpr)|(kdp)|(train st.+moving)|(\|lc)|(penalty))"</v>
      </c>
      <c r="U21" s="9" t="str">
        <f t="shared" si="2"/>
        <v>4032</v>
      </c>
      <c r="V21" s="31">
        <f t="shared" si="3"/>
        <v>43068.885011574072</v>
      </c>
      <c r="W21" s="45" t="str">
        <f t="shared" si="4"/>
        <v>NW</v>
      </c>
      <c r="X21" s="229">
        <f t="shared" si="5"/>
        <v>823</v>
      </c>
      <c r="Y21" s="239" t="str">
        <f t="shared" si="6"/>
        <v>echo {"issue":{"subject":"","project_id":79,"tracker_id":40,"status_id":1,"priority_id":2,"assigned_to_id":338,"start_date":"2017-11-29","description":"","custom_fields":[{"id":1,"name":"Subdivision","value":"NW"},{"id":4,"name":"Milepost","value":"2.1312"},{"id":17,"name":"Train ID","value":"823-29"},{"id":16,"name":"Locomotive ID","value":"4032"},{"id":130,"name":"Impact","value":""},{"id":150,"name":"Time of Event (Mountain Time)","value":"14:14:25"},{"id":151,"name":"Denver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2"/>
      <c r="AB21" s="232"/>
      <c r="AC21" s="115" t="str">
        <f t="shared" si="7"/>
        <v>grep -hrE -A400 "Enforcement Action" /c/Users/stu/AppData/Local/Temp/OnboardLogs/RTDC4032 --include="*4032*201711292*"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"%USERPROFILE%\AppData\Local\Temp\OnboardLogs"\RTDC4032\*4032*201711292* &gt;&gt; 2017-11-29-SliceDisagreementCheck.txt</v>
      </c>
      <c r="AE21" s="144" t="str">
        <f t="shared" si="9"/>
        <v>start /low /b %USERPROFILE%\Documents\GitHub\eaglep3\Utilities\DownloadLogsFromS3.py --loco 4032 --day 2017-11-29</v>
      </c>
      <c r="AF21" s="1"/>
    </row>
    <row r="22" spans="1:32" x14ac:dyDescent="0.25">
      <c r="A22" s="31">
        <v>43068.328460648147</v>
      </c>
      <c r="B22" s="30" t="s">
        <v>624</v>
      </c>
      <c r="C22" s="30" t="s">
        <v>625</v>
      </c>
      <c r="D22" s="30" t="s">
        <v>95</v>
      </c>
      <c r="E22" s="30" t="s">
        <v>355</v>
      </c>
      <c r="F22" s="42">
        <v>0</v>
      </c>
      <c r="G22" s="42">
        <v>90</v>
      </c>
      <c r="H22" s="42">
        <v>4787</v>
      </c>
      <c r="I22" s="42">
        <v>4634</v>
      </c>
      <c r="J22" s="30" t="s">
        <v>356</v>
      </c>
      <c r="K22" s="42">
        <v>4798</v>
      </c>
      <c r="L22" s="131" t="s">
        <v>51</v>
      </c>
      <c r="M22" s="132">
        <f t="shared" si="0"/>
        <v>-86.592000000000013</v>
      </c>
      <c r="N22" s="133" t="str">
        <f>VLOOKUP(C22,'Trips&amp;Operators'!$C$1:$G$99911,5,FALSE)</f>
        <v>LONG FULLER</v>
      </c>
      <c r="O22" s="175" t="s">
        <v>349</v>
      </c>
      <c r="P22" s="240" t="s">
        <v>615</v>
      </c>
      <c r="Q22" s="30"/>
      <c r="R22" s="81" t="str">
        <f>VLOOKUP(C22,'Train Runs'!$A$13:$AE$10162,31,0)</f>
        <v>aws s3 cp s3://rtdc.mdm.uploadarchive.raw/RTDC4031/ "%USERPROFILE%\AppData\Local\Temp\OnboardLogs"\RTDC4031\2017-11-29 --exclude "*" --recursive --include "*20171129*" &amp; "%USERPROFILE%\Documents\GitHub\mrs-test-scripts\Headless Mode &amp; Sideloading\WalkAndUnGZ.bat" "%USERPROFILE%\AppData\Local\Temp\OnboardLogs"\RTDC4031\2017-11-29 &amp; aws s3 cp s3://rtdc.mdm.uploadarchive.raw/RTDC4031/ "%USERPROFILE%\AppData\Local\Temp\OnboardLogs"\RTDC4031\2017-11-30 --exclude "*" --recursive --include "*20171130*" &amp; "%USERPROFILE%\Documents\GitHub\mrs-test-scripts\Headless Mode &amp; Sideloading\WalkAndUnGZ.bat" "%USERPROFILE%\AppData\Local\Temp\OnboardLogs"\RTDC4031\2017-11-30</v>
      </c>
      <c r="S22" s="84" t="str">
        <f>VLOOKUP(C22,'Train Runs'!$A$13:$AE$10162,22,0)</f>
        <v>https://d0f6bd738d7f1b3e5a7ca70fe4ff75f0.us-east-1.aws.found.io/app/kibana#/discover/Steve-Slow-Train-Analysis-(2080s-and-2083s)?_g=(refreshInterval:(display:Off,pause:!f,section:0,value:0),time:(from:'2017-11-29T06:25:33-0700',mode:absolute,to:'2017-11-29T08:52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2" s="86" t="str">
        <f t="shared" si="1"/>
        <v>"C:\Program Files (x86)\AstroGrep\AstroGrep.exe" /e /r /s /spath="%USERPROFILE%\AppData\Local\Temp\OnboardLogs" /stypes="*4031*201711291*" /stext=" 14:.+((SYSTEM_STATE.+slice.+state.+changed )|(ment ac)|(multiple cpu faults)|(system.+state.+changed )|(\[timeout)|(PRM\|1\|D)|(kpr)|(kdp)|(train st.+moving)|(\|lc)|(penalty))"</v>
      </c>
      <c r="U22" s="9" t="str">
        <f t="shared" si="2"/>
        <v>4031</v>
      </c>
      <c r="V22" s="31">
        <f t="shared" si="3"/>
        <v>43068.620127314811</v>
      </c>
      <c r="W22" s="45" t="str">
        <f t="shared" si="4"/>
        <v>NW</v>
      </c>
      <c r="X22" s="229">
        <f t="shared" si="5"/>
        <v>808</v>
      </c>
      <c r="Y22" s="239" t="str">
        <f t="shared" si="6"/>
        <v>echo {"issue":{"subject":"Poor GPS @ Wewatta","project_id":79,"tracker_id":40,"status_id":1,"priority_id":2,"assigned_to_id":338,"start_date":"2017-11-29","description":"","custom_fields":[{"id":1,"name":"Subdivision","value":"NW"},{"id":4,"name":"Milepost","value":"0.4798"},{"id":17,"name":"Train ID","value":"808-29"},{"id":16,"name":"Locomotive ID","value":"4031"},{"id":130,"name":"Impact","value":""},{"id":150,"name":"Time of Event (Mountain Time)","value":"07:52:59"},{"id":151,"name":"Denver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2"/>
      <c r="AB22" s="232"/>
      <c r="AC22" s="115" t="str">
        <f t="shared" si="7"/>
        <v>grep -hrE -A400 "Enforcement Action" /c/Users/stu/AppData/Local/Temp/OnboardLogs/RTDC4031 --include="*4031*201711291*"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"%USERPROFILE%\AppData\Local\Temp\OnboardLogs"\RTDC4031\*4031*201711291* &gt;&gt; 2017-11-29-SliceDisagreementCheck.txt</v>
      </c>
      <c r="AE22" s="144" t="str">
        <f t="shared" si="9"/>
        <v>start /low /b %USERPROFILE%\Documents\GitHub\eaglep3\Utilities\DownloadLogsFromS3.py --loco 4031 --day 2017-11-29</v>
      </c>
      <c r="AF22" s="1"/>
    </row>
    <row r="23" spans="1:32" x14ac:dyDescent="0.25">
      <c r="A23" s="31">
        <v>43068.349108796298</v>
      </c>
      <c r="B23" s="30" t="s">
        <v>361</v>
      </c>
      <c r="C23" s="30" t="s">
        <v>628</v>
      </c>
      <c r="D23" s="30" t="s">
        <v>49</v>
      </c>
      <c r="E23" s="30" t="s">
        <v>355</v>
      </c>
      <c r="F23" s="42">
        <v>0</v>
      </c>
      <c r="G23" s="42">
        <v>89</v>
      </c>
      <c r="H23" s="42">
        <v>4813</v>
      </c>
      <c r="I23" s="42">
        <v>4701</v>
      </c>
      <c r="J23" s="30" t="s">
        <v>356</v>
      </c>
      <c r="K23" s="42">
        <v>4798</v>
      </c>
      <c r="L23" s="131" t="s">
        <v>51</v>
      </c>
      <c r="M23" s="132">
        <f t="shared" si="0"/>
        <v>-51.216000000000001</v>
      </c>
      <c r="N23" s="133" t="str">
        <f>VLOOKUP(C23,'Trips&amp;Operators'!$C$1:$G$99911,5,FALSE)</f>
        <v>LAMAR NEKESHA</v>
      </c>
      <c r="O23" s="175" t="s">
        <v>349</v>
      </c>
      <c r="P23" s="240" t="s">
        <v>615</v>
      </c>
      <c r="Q23" s="30"/>
      <c r="R23" s="81" t="str">
        <f>VLOOKUP(C23,'Train Runs'!$A$13:$AE$10162,31,0)</f>
        <v>aws s3 cp s3://rtdc.mdm.uploadarchive.raw/RTDC4017/ "%USERPROFILE%\AppData\Local\Temp\OnboardLogs"\RTDC4017\2017-11-29 --exclude "*" --recursive --include "*20171129*" &amp; "%USERPROFILE%\Documents\GitHub\mrs-test-scripts\Headless Mode &amp; Sideloading\WalkAndUnGZ.bat" "%USERPROFILE%\AppData\Local\Temp\OnboardLogs"\RTDC4017\2017-11-29 &amp; aws s3 cp s3://rtdc.mdm.uploadarchive.raw/RTDC4017/ "%USERPROFILE%\AppData\Local\Temp\OnboardLogs"\RTDC4017\2017-11-30 --exclude "*" --recursive --include "*20171130*" &amp; "%USERPROFILE%\Documents\GitHub\mrs-test-scripts\Headless Mode &amp; Sideloading\WalkAndUnGZ.bat" "%USERPROFILE%\AppData\Local\Temp\OnboardLogs"\RTDC4017\2017-11-30</v>
      </c>
      <c r="S23" s="84" t="str">
        <f>VLOOKUP(C23,'Train Runs'!$A$13:$AE$10162,22,0)</f>
        <v>https://d0f6bd738d7f1b3e5a7ca70fe4ff75f0.us-east-1.aws.found.io/app/kibana#/discover/Steve-Slow-Train-Analysis-(2080s-and-2083s)?_g=(refreshInterval:(display:Off,pause:!f,section:0,value:0),time:(from:'2017-11-29T06:56:21-0700',mode:absolute,to:'2017-11-29T09:22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3" s="86" t="str">
        <f t="shared" si="1"/>
        <v>"C:\Program Files (x86)\AstroGrep\AstroGrep.exe" /e /r /s /spath="%USERPROFILE%\AppData\Local\Temp\OnboardLogs" /stypes="*4017*201711291*" /stext=" 15:.+((SYSTEM_STATE.+slice.+state.+changed )|(ment ac)|(multiple cpu faults)|(system.+state.+changed )|(\[timeout)|(PRM\|1\|D)|(kpr)|(kdp)|(train st.+moving)|(\|lc)|(penalty))"</v>
      </c>
      <c r="U23" s="9" t="str">
        <f t="shared" si="2"/>
        <v>4017</v>
      </c>
      <c r="V23" s="31">
        <f t="shared" si="3"/>
        <v>43068.640775462962</v>
      </c>
      <c r="W23" s="45" t="str">
        <f t="shared" si="4"/>
        <v>NW</v>
      </c>
      <c r="X23" s="229">
        <f t="shared" si="5"/>
        <v>810</v>
      </c>
      <c r="Y23" s="239" t="str">
        <f t="shared" si="6"/>
        <v>echo {"issue":{"subject":"Poor GPS @ Wewatta","project_id":79,"tracker_id":40,"status_id":1,"priority_id":2,"assigned_to_id":338,"start_date":"2017-11-29","description":"","custom_fields":[{"id":1,"name":"Subdivision","value":"NW"},{"id":4,"name":"Milepost","value":"0.4798"},{"id":17,"name":"Train ID","value":"810-29"},{"id":16,"name":"Locomotive ID","value":"4017"},{"id":130,"name":"Impact","value":""},{"id":150,"name":"Time of Event (Mountain Time)","value":"08:22:43"},{"id":151,"name":"Denver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8"/>
      <c r="AA23" s="232"/>
      <c r="AB23" s="232"/>
      <c r="AC23" s="115" t="str">
        <f t="shared" si="7"/>
        <v>grep -hrE -A400 "Enforcement Action" /c/Users/stu/AppData/Local/Temp/OnboardLogs/RTDC4017 --include="*4017*201711291*"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"%USERPROFILE%\AppData\Local\Temp\OnboardLogs"\RTDC4017\*4017*201711291* &gt;&gt; 2017-11-29-SliceDisagreementCheck.txt</v>
      </c>
      <c r="AE23" s="144" t="str">
        <f t="shared" si="9"/>
        <v>start /low /b %USERPROFILE%\Documents\GitHub\eaglep3\Utilities\DownloadLogsFromS3.py --loco 4017 --day 2017-11-29</v>
      </c>
      <c r="AF23" s="1"/>
    </row>
    <row r="24" spans="1:32" x14ac:dyDescent="0.25">
      <c r="A24" s="31">
        <v>43068.828715277778</v>
      </c>
      <c r="B24" s="30" t="s">
        <v>624</v>
      </c>
      <c r="C24" s="30" t="s">
        <v>651</v>
      </c>
      <c r="D24" s="30" t="s">
        <v>49</v>
      </c>
      <c r="E24" s="30" t="s">
        <v>355</v>
      </c>
      <c r="F24" s="42">
        <v>0</v>
      </c>
      <c r="G24" s="42">
        <v>156</v>
      </c>
      <c r="H24" s="42">
        <v>7545</v>
      </c>
      <c r="I24" s="42">
        <v>7322</v>
      </c>
      <c r="J24" s="30" t="s">
        <v>356</v>
      </c>
      <c r="K24" s="42">
        <v>6799</v>
      </c>
      <c r="L24" s="131" t="s">
        <v>51</v>
      </c>
      <c r="M24" s="132">
        <f t="shared" si="0"/>
        <v>276.14400000000001</v>
      </c>
      <c r="N24" s="133" t="str">
        <f>VLOOKUP(C24,'Trips&amp;Operators'!$C$1:$G$99911,5,FALSE)</f>
        <v>LORI SANTOS</v>
      </c>
      <c r="O24" s="175" t="s">
        <v>349</v>
      </c>
      <c r="P24" s="240" t="s">
        <v>522</v>
      </c>
      <c r="Q24" s="30"/>
      <c r="R24" s="81" t="str">
        <f>VLOOKUP(C24,'Train Runs'!$A$13:$AE$10162,31,0)</f>
        <v>aws s3 cp s3://rtdc.mdm.uploadarchive.raw/RTDC4031/ "%USERPROFILE%\AppData\Local\Temp\OnboardLogs"\RTDC4031\2017-11-29 --exclude "*" --recursive --include "*20171129*" &amp; "%USERPROFILE%\Documents\GitHub\mrs-test-scripts\Headless Mode &amp; Sideloading\WalkAndUnGZ.bat" "%USERPROFILE%\AppData\Local\Temp\OnboardLogs"\RTDC4031\2017-11-29 &amp; aws s3 cp s3://rtdc.mdm.uploadarchive.raw/RTDC4031/ "%USERPROFILE%\AppData\Local\Temp\OnboardLogs"\RTDC4031\2017-11-30 --exclude "*" --recursive --include "*20171130*" &amp; "%USERPROFILE%\Documents\GitHub\mrs-test-scripts\Headless Mode &amp; Sideloading\WalkAndUnGZ.bat" "%USERPROFILE%\AppData\Local\Temp\OnboardLogs"\RTDC4031\2017-11-30</v>
      </c>
      <c r="S24" s="84" t="str">
        <f>VLOOKUP(C24,'Train Runs'!$A$13:$AE$10162,22,0)</f>
        <v>https://d0f6bd738d7f1b3e5a7ca70fe4ff75f0.us-east-1.aws.found.io/app/kibana#/discover/Steve-Slow-Train-Analysis-(2080s-and-2083s)?_g=(refreshInterval:(display:Off,pause:!f,section:0,value:0),time:(from:'2017-11-29T18:27:53-0700',mode:absolute,to:'2017-11-29T20:59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4" s="86" t="str">
        <f t="shared" si="1"/>
        <v>"C:\Program Files (x86)\AstroGrep\AstroGrep.exe" /e /r /s /spath="%USERPROFILE%\AppData\Local\Temp\OnboardLogs" /stypes="*4031*201711300*" /stext=" 02:.+((SYSTEM_STATE.+slice.+state.+changed )|(ment ac)|(multiple cpu faults)|(system.+state.+changed )|(\[timeout)|(PRM\|1\|D)|(kpr)|(kdp)|(train st.+moving)|(\|lc)|(penalty))"</v>
      </c>
      <c r="U24" s="9" t="str">
        <f t="shared" si="2"/>
        <v>4031</v>
      </c>
      <c r="V24" s="31">
        <f t="shared" si="3"/>
        <v>43069.120381944442</v>
      </c>
      <c r="W24" s="45" t="str">
        <f t="shared" si="4"/>
        <v>NW</v>
      </c>
      <c r="X24" s="229">
        <f t="shared" si="5"/>
        <v>840</v>
      </c>
      <c r="Y24" s="239" t="str">
        <f t="shared" si="6"/>
        <v>echo {"issue":{"subject":"Wi-MAX data drop","project_id":79,"tracker_id":40,"status_id":1,"priority_id":2,"assigned_to_id":338,"start_date":"2017-11-29","description":"","custom_fields":[{"id":1,"name":"Subdivision","value":"NW"},{"id":4,"name":"Milepost","value":"0.6799"},{"id":17,"name":"Train ID","value":"840-29"},{"id":16,"name":"Locomotive ID","value":"4031"},{"id":130,"name":"Impact","value":""},{"id":150,"name":"Time of Event (Mountain Time)","value":"19:53:21"},{"id":151,"name":"Denver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8"/>
      <c r="AA24" s="232"/>
      <c r="AB24" s="232"/>
      <c r="AC24" s="115" t="str">
        <f t="shared" si="7"/>
        <v>grep -hrE -A400 "Enforcement Action" /c/Users/stu/AppData/Local/Temp/OnboardLogs/RTDC4031 --include="*4031*201711300*"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"%USERPROFILE%\AppData\Local\Temp\OnboardLogs"\RTDC4031\*4031*201711300* &gt;&gt; 2017-11-29-SliceDisagreementCheck.txt</v>
      </c>
      <c r="AE24" s="144" t="str">
        <f t="shared" si="9"/>
        <v>start /low /b %USERPROFILE%\Documents\GitHub\eaglep3\Utilities\DownloadLogsFromS3.py --loco 4031 --day 2017-11-30</v>
      </c>
      <c r="AF24" s="1"/>
    </row>
    <row r="25" spans="1:32" x14ac:dyDescent="0.25">
      <c r="A25" s="31">
        <v>43068.697581018518</v>
      </c>
      <c r="B25" s="30" t="s">
        <v>624</v>
      </c>
      <c r="C25" s="30" t="s">
        <v>648</v>
      </c>
      <c r="D25" s="30" t="s">
        <v>49</v>
      </c>
      <c r="E25" s="30" t="s">
        <v>524</v>
      </c>
      <c r="F25" s="42">
        <v>0</v>
      </c>
      <c r="G25" s="42">
        <v>161</v>
      </c>
      <c r="H25" s="42">
        <v>56663</v>
      </c>
      <c r="I25" s="42">
        <v>56397</v>
      </c>
      <c r="J25" s="30" t="s">
        <v>525</v>
      </c>
      <c r="K25" s="42">
        <v>1</v>
      </c>
      <c r="L25" s="131" t="s">
        <v>51</v>
      </c>
      <c r="M25" s="132">
        <f t="shared" si="0"/>
        <v>29777.088</v>
      </c>
      <c r="N25" s="133" t="str">
        <f>VLOOKUP(C25,'Trips&amp;Operators'!$C$1:$G$99911,5,FALSE)</f>
        <v>LORI SANTOS</v>
      </c>
      <c r="O25" s="175" t="s">
        <v>178</v>
      </c>
      <c r="P25" s="240"/>
      <c r="Q25" s="30"/>
      <c r="R25" s="81" t="str">
        <f>VLOOKUP(C25,'Train Runs'!$A$13:$AE$10162,31,0)</f>
        <v>aws s3 cp s3://rtdc.mdm.uploadarchive.raw/RTDC4031/ "%USERPROFILE%\AppData\Local\Temp\OnboardLogs"\RTDC4031\2017-11-29 --exclude "*" --recursive --include "*20171129*" &amp; "%USERPROFILE%\Documents\GitHub\mrs-test-scripts\Headless Mode &amp; Sideloading\WalkAndUnGZ.bat" "%USERPROFILE%\AppData\Local\Temp\OnboardLogs"\RTDC4031\2017-11-29 &amp; aws s3 cp s3://rtdc.mdm.uploadarchive.raw/RTDC4031/ "%USERPROFILE%\AppData\Local\Temp\OnboardLogs"\RTDC4031\2017-11-30 --exclude "*" --recursive --include "*20171130*" &amp; "%USERPROFILE%\Documents\GitHub\mrs-test-scripts\Headless Mode &amp; Sideloading\WalkAndUnGZ.bat" "%USERPROFILE%\AppData\Local\Temp\OnboardLogs"\RTDC4031\2017-11-30</v>
      </c>
      <c r="S25" s="84" t="str">
        <f>VLOOKUP(C25,'Train Runs'!$A$13:$AE$10162,22,0)</f>
        <v>https://d0f6bd738d7f1b3e5a7ca70fe4ff75f0.us-east-1.aws.found.io/app/kibana#/discover/Steve-Slow-Train-Analysis-(2080s-and-2083s)?_g=(refreshInterval:(display:Off,pause:!f,section:0,value:0),time:(from:'2017-11-29T15:27:10-0700',mode:absolute,to:'2017-11-29T17:58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5" s="86" t="str">
        <f t="shared" si="1"/>
        <v>"C:\Program Files (x86)\AstroGrep\AstroGrep.exe" /e /r /s /spath="%USERPROFILE%\AppData\Local\Temp\OnboardLogs" /stypes="*4031*201711292*" /stext=" 23:.+((SYSTEM_STATE.+slice.+state.+changed )|(ment ac)|(multiple cpu faults)|(system.+state.+changed )|(\[timeout)|(PRM\|1\|D)|(kpr)|(kdp)|(train st.+moving)|(\|lc)|(penalty))"</v>
      </c>
      <c r="U25" s="9" t="str">
        <f t="shared" si="2"/>
        <v>4031</v>
      </c>
      <c r="V25" s="31">
        <f t="shared" si="3"/>
        <v>43068.989247685182</v>
      </c>
      <c r="W25" s="45" t="str">
        <f t="shared" si="4"/>
        <v>NW</v>
      </c>
      <c r="X25" s="229">
        <f t="shared" si="5"/>
        <v>830</v>
      </c>
      <c r="Y25" s="239" t="str">
        <f t="shared" si="6"/>
        <v>echo {"issue":{"subject":"","project_id":79,"tracker_id":40,"status_id":1,"priority_id":2,"assigned_to_id":338,"start_date":"2017-11-29","description":"","custom_fields":[{"id":1,"name":"Subdivision","value":"NW"},{"id":4,"name":"Milepost","value":"0.0001"},{"id":17,"name":"Train ID","value":"830-29"},{"id":16,"name":"Locomotive ID","value":"4031"},{"id":130,"name":"Impact","value":""},{"id":150,"name":"Time of Event (Mountain Time)","value":"16:44:31"},{"id":151,"name":"Denver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8"/>
      <c r="AA25" s="232"/>
      <c r="AB25" s="232"/>
      <c r="AC25" s="115" t="str">
        <f t="shared" si="7"/>
        <v>grep -hrE -A400 "Enforcement Action" /c/Users/stu/AppData/Local/Temp/OnboardLogs/RTDC4031 --include="*4031*201711292*"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"%USERPROFILE%\AppData\Local\Temp\OnboardLogs"\RTDC4031\*4031*201711292* &gt;&gt; 2017-11-29-SliceDisagreementCheck.txt</v>
      </c>
      <c r="AE25" s="144" t="str">
        <f t="shared" si="9"/>
        <v>start /low /b %USERPROFILE%\Documents\GitHub\eaglep3\Utilities\DownloadLogsFromS3.py --loco 4031 --day 2017-11-29</v>
      </c>
      <c r="AF25" s="1"/>
    </row>
    <row r="26" spans="1:32" x14ac:dyDescent="0.25">
      <c r="A26" s="31">
        <v>43068.821250000001</v>
      </c>
      <c r="B26" s="30" t="s">
        <v>644</v>
      </c>
      <c r="C26" s="30" t="s">
        <v>650</v>
      </c>
      <c r="D26" s="30" t="s">
        <v>49</v>
      </c>
      <c r="E26" s="30" t="s">
        <v>183</v>
      </c>
      <c r="F26" s="42">
        <v>200</v>
      </c>
      <c r="G26" s="42">
        <v>310</v>
      </c>
      <c r="H26" s="42">
        <v>9338</v>
      </c>
      <c r="I26" s="42">
        <v>10014</v>
      </c>
      <c r="J26" s="30" t="s">
        <v>184</v>
      </c>
      <c r="K26" s="42">
        <v>10716</v>
      </c>
      <c r="L26" s="131" t="s">
        <v>50</v>
      </c>
      <c r="M26" s="132">
        <f t="shared" si="0"/>
        <v>370.65600000000001</v>
      </c>
      <c r="N26" s="133" t="str">
        <f>VLOOKUP(C26,'Trips&amp;Operators'!$C$1:$G$99911,5,FALSE)</f>
        <v>HOLCOMB KAMDEN</v>
      </c>
      <c r="O26" s="175" t="s">
        <v>178</v>
      </c>
      <c r="P26" s="240" t="s">
        <v>344</v>
      </c>
      <c r="Q26" s="30"/>
      <c r="R26" s="81" t="str">
        <f>VLOOKUP(C26,'Train Runs'!$A$13:$AE$10162,31,0)</f>
        <v>aws s3 cp s3://rtdc.mdm.uploadarchive.raw/RTDC4020/ "%USERPROFILE%\AppData\Local\Temp\OnboardLogs"\RTDC4020\2017-11-29 --exclude "*" --recursive --include "*20171129*" &amp; "%USERPROFILE%\Documents\GitHub\mrs-test-scripts\Headless Mode &amp; Sideloading\WalkAndUnGZ.bat" "%USERPROFILE%\AppData\Local\Temp\OnboardLogs"\RTDC4020\2017-11-29 &amp; aws s3 cp s3://rtdc.mdm.uploadarchive.raw/RTDC4020/ "%USERPROFILE%\AppData\Local\Temp\OnboardLogs"\RTDC4020\2017-11-30 --exclude "*" --recursive --include "*20171130*" &amp; "%USERPROFILE%\Documents\GitHub\mrs-test-scripts\Headless Mode &amp; Sideloading\WalkAndUnGZ.bat" "%USERPROFILE%\AppData\Local\Temp\OnboardLogs"\RTDC4020\2017-11-30</v>
      </c>
      <c r="S26" s="84" t="str">
        <f>VLOOKUP(C26,'Train Runs'!$A$13:$AE$10162,22,0)</f>
        <v>https://d0f6bd738d7f1b3e5a7ca70fe4ff75f0.us-east-1.aws.found.io/app/kibana#/discover/Steve-Slow-Train-Analysis-(2080s-and-2083s)?_g=(refreshInterval:(display:Off,pause:!f,section:0,value:0),time:(from:'2017-11-29T18:37:04-0700',mode:absolute,to:'2017-11-29T20:49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6" s="86" t="str">
        <f t="shared" si="1"/>
        <v>"C:\Program Files (x86)\AstroGrep\AstroGrep.exe" /e /r /s /spath="%USERPROFILE%\AppData\Local\Temp\OnboardLogs" /stypes="*4020*201711300*" /stext=" 02:.+((SYSTEM_STATE.+slice.+state.+changed )|(ment ac)|(multiple cpu faults)|(system.+state.+changed )|(\[timeout)|(PRM\|1\|D)|(kpr)|(kdp)|(train st.+moving)|(\|lc)|(penalty))"</v>
      </c>
      <c r="U26" s="9" t="str">
        <f t="shared" si="2"/>
        <v>4020</v>
      </c>
      <c r="V26" s="31">
        <f t="shared" si="3"/>
        <v>43069.112916666665</v>
      </c>
      <c r="W26" s="45" t="str">
        <f t="shared" si="4"/>
        <v>Other</v>
      </c>
      <c r="X26" s="229">
        <f t="shared" si="5"/>
        <v>305</v>
      </c>
      <c r="Y26" s="239" t="str">
        <f t="shared" si="6"/>
        <v>echo {"issue":{"subject":"Early Arrival","project_id":79,"tracker_id":40,"status_id":1,"priority_id":2,"assigned_to_id":338,"start_date":"2017-11-29","description":"","custom_fields":[{"id":1,"name":"Subdivision","value":"Other"},{"id":4,"name":"Milepost","value":"1.0716"},{"id":17,"name":"Train ID","value":"305-29"},{"id":16,"name":"Locomotive ID","value":"4020"},{"id":130,"name":"Impact","value":""},{"id":150,"name":"Time of Event (Mountain Time)","value":"19:42:36"},{"id":151,"name":"Denver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8"/>
      <c r="AA26" s="232"/>
      <c r="AB26" s="232"/>
      <c r="AC26" s="115" t="str">
        <f t="shared" si="7"/>
        <v>grep -hrE -A400 "Enforcement Action" /c/Users/stu/AppData/Local/Temp/OnboardLogs/RTDC4020 --include="*4020*201711300*"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"%USERPROFILE%\AppData\Local\Temp\OnboardLogs"\RTDC4020\*4020*201711300* &gt;&gt; 2017-11-29-SliceDisagreementCheck.txt</v>
      </c>
      <c r="AE26" s="144" t="str">
        <f t="shared" si="9"/>
        <v>start /low /b %USERPROFILE%\Documents\GitHub\eaglep3\Utilities\DownloadLogsFromS3.py --loco 4020 --day 2017-11-30</v>
      </c>
      <c r="AF26" s="1"/>
    </row>
    <row r="27" spans="1:32" x14ac:dyDescent="0.25">
      <c r="A27" s="31">
        <v>43068.354351851849</v>
      </c>
      <c r="B27" s="30" t="s">
        <v>359</v>
      </c>
      <c r="C27" s="30" t="s">
        <v>629</v>
      </c>
      <c r="D27" s="30" t="s">
        <v>95</v>
      </c>
      <c r="E27" s="30" t="s">
        <v>416</v>
      </c>
      <c r="F27" s="42">
        <v>0</v>
      </c>
      <c r="G27" s="42">
        <v>123</v>
      </c>
      <c r="H27" s="42">
        <v>2176</v>
      </c>
      <c r="I27" s="42">
        <v>0</v>
      </c>
      <c r="J27" s="30" t="s">
        <v>417</v>
      </c>
      <c r="K27" s="42">
        <v>1725</v>
      </c>
      <c r="L27" s="131" t="s">
        <v>50</v>
      </c>
      <c r="M27" s="132">
        <f t="shared" si="0"/>
        <v>910.8</v>
      </c>
      <c r="N27" s="133" t="str">
        <f>VLOOKUP(C27,'Trips&amp;Operators'!$C$1:$G$99911,5,FALSE)</f>
        <v>LAMAR NEKESHA</v>
      </c>
      <c r="O27" s="175" t="s">
        <v>349</v>
      </c>
      <c r="P27" s="240" t="s">
        <v>1136</v>
      </c>
      <c r="Q27" s="30"/>
      <c r="R27" s="81" t="str">
        <f>VLOOKUP(C27,'Train Runs'!$A$13:$AE$10162,31,0)</f>
        <v>aws s3 cp s3://rtdc.mdm.uploadarchive.raw/RTDC4018/ "%USERPROFILE%\AppData\Local\Temp\OnboardLogs"\RTDC4018\2017-11-29 --exclude "*" --recursive --include "*20171129*" &amp; "%USERPROFILE%\Documents\GitHub\mrs-test-scripts\Headless Mode &amp; Sideloading\WalkAndUnGZ.bat" "%USERPROFILE%\AppData\Local\Temp\OnboardLogs"\RTDC4018\2017-11-29 &amp; aws s3 cp s3://rtdc.mdm.uploadarchive.raw/RTDC4018/ "%USERPROFILE%\AppData\Local\Temp\OnboardLogs"\RTDC4018\2017-11-30 --exclude "*" --recursive --include "*20171130*" &amp; "%USERPROFILE%\Documents\GitHub\mrs-test-scripts\Headless Mode &amp; Sideloading\WalkAndUnGZ.bat" "%USERPROFILE%\AppData\Local\Temp\OnboardLogs"\RTDC4018\2017-11-30</v>
      </c>
      <c r="S27" s="84" t="str">
        <f>VLOOKUP(C27,'Train Runs'!$A$13:$AE$10162,22,0)</f>
        <v>https://d0f6bd738d7f1b3e5a7ca70fe4ff75f0.us-east-1.aws.found.io/app/kibana#/discover/Steve-Slow-Train-Analysis-(2080s-and-2083s)?_g=(refreshInterval:(display:Off,pause:!f,section:0,value:0),time:(from:'2017-11-29T07:28:00-0700',mode:absolute,to:'2017-11-29T09:43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7" s="86" t="str">
        <f t="shared" si="1"/>
        <v>"C:\Program Files (x86)\AstroGrep\AstroGrep.exe" /e /r /s /spath="%USERPROFILE%\AppData\Local\Temp\OnboardLogs" /stypes="*4018*201711291*" /stext=" 15:.+((SYSTEM_STATE.+slice.+state.+changed )|(ment ac)|(multiple cpu faults)|(system.+state.+changed )|(\[timeout)|(PRM\|1\|D)|(kpr)|(kdp)|(train st.+moving)|(\|lc)|(penalty))"</v>
      </c>
      <c r="U27" s="9" t="str">
        <f t="shared" si="2"/>
        <v>4018</v>
      </c>
      <c r="V27" s="31">
        <f t="shared" si="3"/>
        <v>43068.646018518513</v>
      </c>
      <c r="W27" s="45" t="str">
        <f t="shared" si="4"/>
        <v>Other</v>
      </c>
      <c r="X27" s="229">
        <f t="shared" si="5"/>
        <v>903</v>
      </c>
      <c r="Y27" s="239" t="str">
        <f t="shared" si="6"/>
        <v>echo {"issue":{"subject":"Minor Onboard in-route failure caused switch unknown banner","project_id":79,"tracker_id":40,"status_id":1,"priority_id":2,"assigned_to_id":338,"start_date":"2017-11-29","description":"","custom_fields":[{"id":1,"name":"Subdivision","value":"Other"},{"id":4,"name":"Milepost","value":"0.1725"},{"id":17,"name":"Train ID","value":"903-29"},{"id":16,"name":"Locomotive ID","value":"4018"},{"id":130,"name":"Impact","value":""},{"id":150,"name":"Time of Event (Mountain Time)","value":"08:30:16"},{"id":151,"name":"Denver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8"/>
      <c r="AA27" s="232"/>
      <c r="AB27" s="232"/>
      <c r="AC27" s="115" t="str">
        <f t="shared" si="7"/>
        <v>grep -hrE -A400 "Enforcement Action" /c/Users/stu/AppData/Local/Temp/OnboardLogs/RTDC4018 --include="*4018*201711291*"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"%USERPROFILE%\AppData\Local\Temp\OnboardLogs"\RTDC4018\*4018*201711291* &gt;&gt; 2017-11-29-SliceDisagreementCheck.txt</v>
      </c>
      <c r="AE27" s="144" t="str">
        <f t="shared" si="9"/>
        <v>start /low /b %USERPROFILE%\Documents\GitHub\eaglep3\Utilities\DownloadLogsFromS3.py --loco 4018 --day 2017-11-29</v>
      </c>
      <c r="AF27" s="1"/>
    </row>
    <row r="28" spans="1:32" x14ac:dyDescent="0.25">
      <c r="A28" s="31">
        <v>43068.457627314812</v>
      </c>
      <c r="B28" s="30" t="s">
        <v>534</v>
      </c>
      <c r="C28" s="30" t="s">
        <v>633</v>
      </c>
      <c r="D28" s="30" t="s">
        <v>49</v>
      </c>
      <c r="E28" s="30" t="s">
        <v>183</v>
      </c>
      <c r="F28" s="42">
        <v>110</v>
      </c>
      <c r="G28" s="42">
        <v>301</v>
      </c>
      <c r="H28" s="42">
        <v>79212</v>
      </c>
      <c r="I28" s="42">
        <v>79961</v>
      </c>
      <c r="J28" s="30" t="s">
        <v>184</v>
      </c>
      <c r="K28" s="42">
        <v>80205</v>
      </c>
      <c r="L28" s="131" t="s">
        <v>50</v>
      </c>
      <c r="M28" s="132">
        <f t="shared" si="0"/>
        <v>128.83199999999999</v>
      </c>
      <c r="N28" s="133" t="str">
        <f>VLOOKUP(C28,'Trips&amp;Operators'!$C$1:$G$99911,5,FALSE)</f>
        <v>PAGE MARCUS</v>
      </c>
      <c r="O28" s="175" t="s">
        <v>178</v>
      </c>
      <c r="P28" s="240" t="s">
        <v>344</v>
      </c>
      <c r="Q28" s="30"/>
      <c r="R28" s="81" t="str">
        <f>VLOOKUP(C28,'Train Runs'!$A$13:$AE$10162,31,0)</f>
        <v>aws s3 cp s3://rtdc.mdm.uploadarchive.raw/RTDC4050/ "%USERPROFILE%\AppData\Local\Temp\OnboardLogs"\RTDC4050\2017-11-29 --exclude "*" --recursive --include "*20171129*" &amp; "%USERPROFILE%\Documents\GitHub\mrs-test-scripts\Headless Mode &amp; Sideloading\WalkAndUnGZ.bat" "%USERPROFILE%\AppData\Local\Temp\OnboardLogs"\RTDC4050\2017-11-29 &amp; aws s3 cp s3://rtdc.mdm.uploadarchive.raw/RTDC4050/ "%USERPROFILE%\AppData\Local\Temp\OnboardLogs"\RTDC4050\2017-11-30 --exclude "*" --recursive --include "*20171130*" &amp; "%USERPROFILE%\Documents\GitHub\mrs-test-scripts\Headless Mode &amp; Sideloading\WalkAndUnGZ.bat" "%USERPROFILE%\AppData\Local\Temp\OnboardLogs"\RTDC4050\2017-11-30</v>
      </c>
      <c r="S28" s="84" t="str">
        <f>VLOOKUP(C28,'Train Runs'!$A$13:$AE$10162,22,0)</f>
        <v>https://d0f6bd738d7f1b3e5a7ca70fe4ff75f0.us-east-1.aws.found.io/app/kibana#/discover/Steve-Slow-Train-Analysis-(2080s-and-2083s)?_g=(refreshInterval:(display:Off,pause:!f,section:0,value:0),time:(from:'2017-11-29T09:31:19-0700',mode:absolute,to:'2017-11-29T12:10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8" s="86" t="str">
        <f t="shared" si="1"/>
        <v>"C:\Program Files (x86)\AstroGrep\AstroGrep.exe" /e /r /s /spath="%USERPROFILE%\AppData\Local\Temp\OnboardLogs" /stypes="*4050*201711291*" /stext=" 17:.+((SYSTEM_STATE.+slice.+state.+changed )|(ment ac)|(multiple cpu faults)|(system.+state.+changed )|(\[timeout)|(PRM\|1\|D)|(kpr)|(kdp)|(train st.+moving)|(\|lc)|(penalty))"</v>
      </c>
      <c r="U28" s="9" t="str">
        <f t="shared" si="2"/>
        <v>4050</v>
      </c>
      <c r="V28" s="31">
        <f t="shared" si="3"/>
        <v>43068.749293981477</v>
      </c>
      <c r="W28" s="45" t="str">
        <f t="shared" si="4"/>
        <v>Shuttle/Test</v>
      </c>
      <c r="X28" s="229">
        <f t="shared" si="5"/>
        <v>61</v>
      </c>
      <c r="Y28" s="239" t="str">
        <f t="shared" si="6"/>
        <v>echo {"issue":{"subject":"Early Arrival","project_id":79,"tracker_id":40,"status_id":1,"priority_id":2,"assigned_to_id":338,"start_date":"2017-11-29","description":"","custom_fields":[{"id":1,"name":"Subdivision","value":"Shuttle/Test"},{"id":4,"name":"Milepost","value":"8.0205"},{"id":17,"name":"Train ID","value":"61-29"},{"id":16,"name":"Locomotive ID","value":"4050"},{"id":130,"name":"Impact","value":""},{"id":150,"name":"Time of Event (Mountain Time)","value":"10:58:59"},{"id":151,"name":"Denver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8"/>
      <c r="AA28" s="232"/>
      <c r="AB28" s="232"/>
      <c r="AC28" s="115" t="str">
        <f t="shared" si="7"/>
        <v>grep -hrE -A400 "Enforcement Action" /c/Users/stu/AppData/Local/Temp/OnboardLogs/RTDC4050 --include="*4050*201711291*"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"%USERPROFILE%\AppData\Local\Temp\OnboardLogs"\RTDC4050\*4050*201711291* &gt;&gt; 2017-11-29-SliceDisagreementCheck.txt</v>
      </c>
      <c r="AE28" s="144" t="str">
        <f t="shared" si="9"/>
        <v>start /low /b %USERPROFILE%\Documents\GitHub\eaglep3\Utilities\DownloadLogsFromS3.py --loco 4050 --day 2017-11-29</v>
      </c>
      <c r="AF28" s="1"/>
    </row>
    <row r="29" spans="1:32" x14ac:dyDescent="0.25">
      <c r="A29" s="31">
        <v>43068.42355324074</v>
      </c>
      <c r="B29" s="30" t="s">
        <v>533</v>
      </c>
      <c r="C29" s="30" t="s">
        <v>631</v>
      </c>
      <c r="D29" s="30" t="s">
        <v>49</v>
      </c>
      <c r="E29" s="30" t="s">
        <v>183</v>
      </c>
      <c r="F29" s="42">
        <v>20</v>
      </c>
      <c r="G29" s="42">
        <v>238</v>
      </c>
      <c r="H29" s="42">
        <v>81182</v>
      </c>
      <c r="I29" s="42">
        <v>80733</v>
      </c>
      <c r="J29" s="30" t="s">
        <v>184</v>
      </c>
      <c r="K29" s="42">
        <v>80485</v>
      </c>
      <c r="L29" s="131" t="s">
        <v>51</v>
      </c>
      <c r="M29" s="132">
        <f t="shared" si="0"/>
        <v>130.94399999999999</v>
      </c>
      <c r="N29" s="133" t="str">
        <f>VLOOKUP(C29,'Trips&amp;Operators'!$C$1:$G$99911,5,FALSE)</f>
        <v>ROMERO CHAD</v>
      </c>
      <c r="O29" s="175" t="s">
        <v>178</v>
      </c>
      <c r="P29" s="240" t="s">
        <v>344</v>
      </c>
      <c r="Q29" s="30"/>
      <c r="R29" s="81" t="str">
        <f>VLOOKUP(C29,'Train Runs'!$A$13:$AE$10162,31,0)</f>
        <v>aws s3 cp s3://rtdc.mdm.uploadarchive.raw/RTDC4049/ "%USERPROFILE%\AppData\Local\Temp\OnboardLogs"\RTDC4049\2017-11-29 --exclude "*" --recursive --include "*20171129*" &amp; "%USERPROFILE%\Documents\GitHub\mrs-test-scripts\Headless Mode &amp; Sideloading\WalkAndUnGZ.bat" "%USERPROFILE%\AppData\Local\Temp\OnboardLogs"\RTDC4049\2017-11-29 &amp; aws s3 cp s3://rtdc.mdm.uploadarchive.raw/RTDC4049/ "%USERPROFILE%\AppData\Local\Temp\OnboardLogs"\RTDC4049\2017-11-30 --exclude "*" --recursive --include "*20171130*" &amp; "%USERPROFILE%\Documents\GitHub\mrs-test-scripts\Headless Mode &amp; Sideloading\WalkAndUnGZ.bat" "%USERPROFILE%\AppData\Local\Temp\OnboardLogs"\RTDC4049\2017-11-30</v>
      </c>
      <c r="S29" s="84" t="str">
        <f>VLOOKUP(C29,'Train Runs'!$A$13:$AE$10162,22,0)</f>
        <v>https://d0f6bd738d7f1b3e5a7ca70fe4ff75f0.us-east-1.aws.found.io/app/kibana#/discover/Steve-Slow-Train-Analysis-(2080s-and-2083s)?_g=(refreshInterval:(display:Off,pause:!f,section:0,value:0),time:(from:'2017-11-29T07:50:29-0700',mode:absolute,to:'2017-11-29T10:03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29" s="86" t="str">
        <f t="shared" si="1"/>
        <v>"C:\Program Files (x86)\AstroGrep\AstroGrep.exe" /e /r /s /spath="%USERPROFILE%\AppData\Local\Temp\OnboardLogs" /stypes="*4049*201711291*" /stext=" 17:.+((SYSTEM_STATE.+slice.+state.+changed )|(ment ac)|(multiple cpu faults)|(system.+state.+changed )|(\[timeout)|(PRM\|1\|D)|(kpr)|(kdp)|(train st.+moving)|(\|lc)|(penalty))"</v>
      </c>
      <c r="U29" s="9" t="str">
        <f t="shared" si="2"/>
        <v>4049</v>
      </c>
      <c r="V29" s="31">
        <f t="shared" si="3"/>
        <v>43068.715219907404</v>
      </c>
      <c r="W29" s="45" t="str">
        <f t="shared" si="4"/>
        <v>Shuttle/Test</v>
      </c>
      <c r="X29" s="229">
        <f t="shared" si="5"/>
        <v>62</v>
      </c>
      <c r="Y29" s="239" t="str">
        <f t="shared" si="6"/>
        <v>echo {"issue":{"subject":"Early Arrival","project_id":79,"tracker_id":40,"status_id":1,"priority_id":2,"assigned_to_id":338,"start_date":"2017-11-29","description":"","custom_fields":[{"id":1,"name":"Subdivision","value":"Shuttle/Test"},{"id":4,"name":"Milepost","value":"8.0485"},{"id":17,"name":"Train ID","value":"62-29"},{"id":16,"name":"Locomotive ID","value":"4049"},{"id":130,"name":"Impact","value":""},{"id":150,"name":"Time of Event (Mountain Time)","value":"10:09:55"},{"id":151,"name":"Denver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8"/>
      <c r="AA29" s="232"/>
      <c r="AB29" s="232"/>
      <c r="AC29" s="115" t="str">
        <f t="shared" si="7"/>
        <v>grep -hrE -A400 "Enforcement Action" /c/Users/stu/AppData/Local/Temp/OnboardLogs/RTDC4049 --include="*4049*201711291*"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"%USERPROFILE%\AppData\Local\Temp\OnboardLogs"\RTDC4049\*4049*201711291* &gt;&gt; 2017-11-29-SliceDisagreementCheck.txt</v>
      </c>
      <c r="AE29" s="144" t="str">
        <f t="shared" si="9"/>
        <v>start /low /b %USERPROFILE%\Documents\GitHub\eaglep3\Utilities\DownloadLogsFromS3.py --loco 4049 --day 2017-11-29</v>
      </c>
      <c r="AF29" s="1"/>
    </row>
    <row r="30" spans="1:32" x14ac:dyDescent="0.25">
      <c r="A30" s="31">
        <v>43068.463622685187</v>
      </c>
      <c r="B30" s="30" t="s">
        <v>534</v>
      </c>
      <c r="C30" s="30" t="s">
        <v>633</v>
      </c>
      <c r="D30" s="30" t="s">
        <v>49</v>
      </c>
      <c r="E30" s="30" t="s">
        <v>183</v>
      </c>
      <c r="F30" s="42">
        <v>140</v>
      </c>
      <c r="G30" s="42">
        <v>297</v>
      </c>
      <c r="H30" s="42">
        <v>108507</v>
      </c>
      <c r="I30" s="42">
        <v>110296</v>
      </c>
      <c r="J30" s="30" t="s">
        <v>184</v>
      </c>
      <c r="K30" s="42">
        <v>109614</v>
      </c>
      <c r="L30" s="131" t="s">
        <v>50</v>
      </c>
      <c r="M30" s="132">
        <f t="shared" si="0"/>
        <v>-360.096</v>
      </c>
      <c r="N30" s="133" t="str">
        <f>VLOOKUP(C30,'Trips&amp;Operators'!$C$1:$G$99911,5,FALSE)</f>
        <v>PAGE MARCUS</v>
      </c>
      <c r="O30" s="175" t="s">
        <v>178</v>
      </c>
      <c r="P30" s="240" t="s">
        <v>344</v>
      </c>
      <c r="Q30" s="30"/>
      <c r="R30" s="81" t="str">
        <f>VLOOKUP(C30,'Train Runs'!$A$13:$AE$10162,31,0)</f>
        <v>aws s3 cp s3://rtdc.mdm.uploadarchive.raw/RTDC4050/ "%USERPROFILE%\AppData\Local\Temp\OnboardLogs"\RTDC4050\2017-11-29 --exclude "*" --recursive --include "*20171129*" &amp; "%USERPROFILE%\Documents\GitHub\mrs-test-scripts\Headless Mode &amp; Sideloading\WalkAndUnGZ.bat" "%USERPROFILE%\AppData\Local\Temp\OnboardLogs"\RTDC4050\2017-11-29 &amp; aws s3 cp s3://rtdc.mdm.uploadarchive.raw/RTDC4050/ "%USERPROFILE%\AppData\Local\Temp\OnboardLogs"\RTDC4050\2017-11-30 --exclude "*" --recursive --include "*20171130*" &amp; "%USERPROFILE%\Documents\GitHub\mrs-test-scripts\Headless Mode &amp; Sideloading\WalkAndUnGZ.bat" "%USERPROFILE%\AppData\Local\Temp\OnboardLogs"\RTDC4050\2017-11-30</v>
      </c>
      <c r="S30" s="84" t="str">
        <f>VLOOKUP(C30,'Train Runs'!$A$13:$AE$10162,22,0)</f>
        <v>https://d0f6bd738d7f1b3e5a7ca70fe4ff75f0.us-east-1.aws.found.io/app/kibana#/discover/Steve-Slow-Train-Analysis-(2080s-and-2083s)?_g=(refreshInterval:(display:Off,pause:!f,section:0,value:0),time:(from:'2017-11-29T09:31:19-0700',mode:absolute,to:'2017-11-29T12:10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0" s="86" t="str">
        <f t="shared" si="1"/>
        <v>"C:\Program Files (x86)\AstroGrep\AstroGrep.exe" /e /r /s /spath="%USERPROFILE%\AppData\Local\Temp\OnboardLogs" /stypes="*4050*201711291*" /stext=" 18:.+((SYSTEM_STATE.+slice.+state.+changed )|(ment ac)|(multiple cpu faults)|(system.+state.+changed )|(\[timeout)|(PRM\|1\|D)|(kpr)|(kdp)|(train st.+moving)|(\|lc)|(penalty))"</v>
      </c>
      <c r="U30" s="9" t="str">
        <f t="shared" si="2"/>
        <v>4050</v>
      </c>
      <c r="V30" s="31">
        <f t="shared" si="3"/>
        <v>43068.755289351851</v>
      </c>
      <c r="W30" s="45" t="str">
        <f t="shared" si="4"/>
        <v>Shuttle/Test</v>
      </c>
      <c r="X30" s="229">
        <f t="shared" si="5"/>
        <v>61</v>
      </c>
      <c r="Y30" s="239" t="str">
        <f t="shared" si="6"/>
        <v>echo {"issue":{"subject":"Early Arrival","project_id":79,"tracker_id":40,"status_id":1,"priority_id":2,"assigned_to_id":338,"start_date":"2017-11-29","description":"","custom_fields":[{"id":1,"name":"Subdivision","value":"Shuttle/Test"},{"id":4,"name":"Milepost","value":"10.9614"},{"id":17,"name":"Train ID","value":"61-29"},{"id":16,"name":"Locomotive ID","value":"4050"},{"id":130,"name":"Impact","value":""},{"id":150,"name":"Time of Event (Mountain Time)","value":"11:07:37"},{"id":151,"name":"Denver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8"/>
      <c r="AA30" s="232"/>
      <c r="AB30" s="232"/>
      <c r="AC30" s="115" t="str">
        <f t="shared" si="7"/>
        <v>grep -hrE -A400 "Enforcement Action" /c/Users/stu/AppData/Local/Temp/OnboardLogs/RTDC4050 --include="*4050*201711291*"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"%USERPROFILE%\AppData\Local\Temp\OnboardLogs"\RTDC4050\*4050*201711291* &gt;&gt; 2017-11-29-SliceDisagreementCheck.txt</v>
      </c>
      <c r="AE30" s="144" t="str">
        <f t="shared" si="9"/>
        <v>start /low /b %USERPROFILE%\Documents\GitHub\eaglep3\Utilities\DownloadLogsFromS3.py --loco 4050 --day 2017-11-29</v>
      </c>
      <c r="AF30" s="1"/>
    </row>
    <row r="31" spans="1:32" x14ac:dyDescent="0.25">
      <c r="A31" s="31">
        <v>43068.453055555554</v>
      </c>
      <c r="B31" s="30" t="s">
        <v>534</v>
      </c>
      <c r="C31" s="30" t="s">
        <v>633</v>
      </c>
      <c r="D31" s="30" t="s">
        <v>95</v>
      </c>
      <c r="E31" s="30" t="s">
        <v>190</v>
      </c>
      <c r="F31" s="42">
        <v>450</v>
      </c>
      <c r="G31" s="42">
        <v>510</v>
      </c>
      <c r="H31" s="42">
        <v>53081</v>
      </c>
      <c r="I31" s="42">
        <v>55225</v>
      </c>
      <c r="J31" s="30" t="s">
        <v>191</v>
      </c>
      <c r="K31" s="42">
        <v>50710</v>
      </c>
      <c r="L31" s="131" t="s">
        <v>50</v>
      </c>
      <c r="M31" s="132">
        <f t="shared" si="0"/>
        <v>-2383.92</v>
      </c>
      <c r="N31" s="133" t="str">
        <f>VLOOKUP(C31,'Trips&amp;Operators'!$C$1:$G$99911,5,FALSE)</f>
        <v>PAGE MARCUS</v>
      </c>
      <c r="O31" s="175" t="s">
        <v>178</v>
      </c>
      <c r="P31" s="240"/>
      <c r="Q31" s="30"/>
      <c r="R31" s="81" t="str">
        <f>VLOOKUP(C31,'Train Runs'!$A$13:$AE$10162,31,0)</f>
        <v>aws s3 cp s3://rtdc.mdm.uploadarchive.raw/RTDC4050/ "%USERPROFILE%\AppData\Local\Temp\OnboardLogs"\RTDC4050\2017-11-29 --exclude "*" --recursive --include "*20171129*" &amp; "%USERPROFILE%\Documents\GitHub\mrs-test-scripts\Headless Mode &amp; Sideloading\WalkAndUnGZ.bat" "%USERPROFILE%\AppData\Local\Temp\OnboardLogs"\RTDC4050\2017-11-29 &amp; aws s3 cp s3://rtdc.mdm.uploadarchive.raw/RTDC4050/ "%USERPROFILE%\AppData\Local\Temp\OnboardLogs"\RTDC4050\2017-11-30 --exclude "*" --recursive --include "*20171130*" &amp; "%USERPROFILE%\Documents\GitHub\mrs-test-scripts\Headless Mode &amp; Sideloading\WalkAndUnGZ.bat" "%USERPROFILE%\AppData\Local\Temp\OnboardLogs"\RTDC4050\2017-11-30</v>
      </c>
      <c r="S31" s="84" t="str">
        <f>VLOOKUP(C31,'Train Runs'!$A$13:$AE$10162,22,0)</f>
        <v>https://d0f6bd738d7f1b3e5a7ca70fe4ff75f0.us-east-1.aws.found.io/app/kibana#/discover/Steve-Slow-Train-Analysis-(2080s-and-2083s)?_g=(refreshInterval:(display:Off,pause:!f,section:0,value:0),time:(from:'2017-11-29T09:31:19-0700',mode:absolute,to:'2017-11-29T12:10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1" s="86" t="str">
        <f t="shared" si="1"/>
        <v>"C:\Program Files (x86)\AstroGrep\AstroGrep.exe" /e /r /s /spath="%USERPROFILE%\AppData\Local\Temp\OnboardLogs" /stypes="*4050*201711291*" /stext=" 17:.+((SYSTEM_STATE.+slice.+state.+changed )|(ment ac)|(multiple cpu faults)|(system.+state.+changed )|(\[timeout)|(PRM\|1\|D)|(kpr)|(kdp)|(train st.+moving)|(\|lc)|(penalty))"</v>
      </c>
      <c r="U31" s="9" t="str">
        <f t="shared" si="2"/>
        <v>4050</v>
      </c>
      <c r="V31" s="31">
        <f t="shared" si="3"/>
        <v>43068.744722222218</v>
      </c>
      <c r="W31" s="45" t="str">
        <f t="shared" si="4"/>
        <v>Shuttle/Test</v>
      </c>
      <c r="X31" s="229">
        <f t="shared" si="5"/>
        <v>61</v>
      </c>
      <c r="Y31" s="239" t="str">
        <f t="shared" si="6"/>
        <v>echo {"issue":{"subject":"","project_id":79,"tracker_id":40,"status_id":1,"priority_id":2,"assigned_to_id":338,"start_date":"2017-11-29","description":"","custom_fields":[{"id":1,"name":"Subdivision","value":"Shuttle/Test"},{"id":4,"name":"Milepost","value":"5.071"},{"id":17,"name":"Train ID","value":"61-29"},{"id":16,"name":"Locomotive ID","value":"4050"},{"id":130,"name":"Impact","value":""},{"id":150,"name":"Time of Event (Mountain Time)","value":"10:52:24"},{"id":151,"name":"Denver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8"/>
      <c r="AA31" s="232"/>
      <c r="AB31" s="232"/>
      <c r="AC31" s="115" t="str">
        <f t="shared" si="7"/>
        <v>grep -hrE -A400 "Enforcement Action" /c/Users/stu/AppData/Local/Temp/OnboardLogs/RTDC4050 --include="*4050*201711291*"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"%USERPROFILE%\AppData\Local\Temp\OnboardLogs"\RTDC4050\*4050*201711291* &gt;&gt; 2017-11-29-SliceDisagreementCheck.txt</v>
      </c>
      <c r="AE31" s="144" t="str">
        <f t="shared" si="9"/>
        <v>start /low /b %USERPROFILE%\Documents\GitHub\eaglep3\Utilities\DownloadLogsFromS3.py --loco 4050 --day 2017-11-29</v>
      </c>
      <c r="AF31" s="1"/>
    </row>
    <row r="32" spans="1:32" x14ac:dyDescent="0.25">
      <c r="A32" s="31">
        <v>43068.572465277779</v>
      </c>
      <c r="B32" s="30" t="s">
        <v>530</v>
      </c>
      <c r="C32" s="30" t="s">
        <v>641</v>
      </c>
      <c r="D32" s="30" t="s">
        <v>49</v>
      </c>
      <c r="E32" s="30" t="s">
        <v>190</v>
      </c>
      <c r="F32" s="42">
        <v>300</v>
      </c>
      <c r="G32" s="42">
        <v>382</v>
      </c>
      <c r="H32" s="42">
        <v>72769</v>
      </c>
      <c r="I32" s="42">
        <v>71654</v>
      </c>
      <c r="J32" s="30" t="s">
        <v>191</v>
      </c>
      <c r="K32" s="42">
        <v>71417</v>
      </c>
      <c r="L32" s="131" t="s">
        <v>51</v>
      </c>
      <c r="M32" s="132">
        <f t="shared" si="0"/>
        <v>125.136</v>
      </c>
      <c r="N32" s="133" t="str">
        <f>VLOOKUP(C32,'Trips&amp;Operators'!$C$1:$G$99911,5,FALSE)</f>
        <v>ANDREA WILLIAMS</v>
      </c>
      <c r="O32" s="175" t="s">
        <v>178</v>
      </c>
      <c r="P32" s="240"/>
      <c r="Q32" s="30"/>
      <c r="R32" s="81" t="str">
        <f>VLOOKUP(C32,'Train Runs'!$A$13:$AE$10162,31,0)</f>
        <v>aws s3 cp s3://rtdc.mdm.uploadarchive.raw/RTDC4057/ "%USERPROFILE%\AppData\Local\Temp\OnboardLogs"\RTDC4057\2017-11-29 --exclude "*" --recursive --include "*20171129*" &amp; "%USERPROFILE%\Documents\GitHub\mrs-test-scripts\Headless Mode &amp; Sideloading\WalkAndUnGZ.bat" "%USERPROFILE%\AppData\Local\Temp\OnboardLogs"\RTDC4057\2017-11-29 &amp; aws s3 cp s3://rtdc.mdm.uploadarchive.raw/RTDC4057/ "%USERPROFILE%\AppData\Local\Temp\OnboardLogs"\RTDC4057\2017-11-30 --exclude "*" --recursive --include "*20171130*" &amp; "%USERPROFILE%\Documents\GitHub\mrs-test-scripts\Headless Mode &amp; Sideloading\WalkAndUnGZ.bat" "%USERPROFILE%\AppData\Local\Temp\OnboardLogs"\RTDC4057\2017-11-30</v>
      </c>
      <c r="S32" s="84" t="str">
        <f>VLOOKUP(C32,'Train Runs'!$A$13:$AE$10162,22,0)</f>
        <v>https://d0f6bd738d7f1b3e5a7ca70fe4ff75f0.us-east-1.aws.found.io/app/kibana#/discover/Steve-Slow-Train-Analysis-(2080s-and-2083s)?_g=(refreshInterval:(display:Off,pause:!f,section:0,value:0),time:(from:'2017-11-29T12:29:26-0700',mode:absolute,to:'2017-11-29T15:03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2" s="86" t="str">
        <f t="shared" si="1"/>
        <v>"C:\Program Files (x86)\AstroGrep\AstroGrep.exe" /e /r /s /spath="%USERPROFILE%\AppData\Local\Temp\OnboardLogs" /stypes="*4057*201711292*" /stext=" 20:.+((SYSTEM_STATE.+slice.+state.+changed )|(ment ac)|(multiple cpu faults)|(system.+state.+changed )|(\[timeout)|(PRM\|1\|D)|(kpr)|(kdp)|(train st.+moving)|(\|lc)|(penalty))"</v>
      </c>
      <c r="U32" s="9" t="str">
        <f t="shared" si="2"/>
        <v>4057</v>
      </c>
      <c r="V32" s="31">
        <f t="shared" si="3"/>
        <v>43068.864131944443</v>
      </c>
      <c r="W32" s="45" t="str">
        <f t="shared" si="4"/>
        <v>Shuttle/Test</v>
      </c>
      <c r="X32" s="229">
        <f t="shared" si="5"/>
        <v>72</v>
      </c>
      <c r="Y32" s="239" t="str">
        <f t="shared" si="6"/>
        <v>echo {"issue":{"subject":"","project_id":79,"tracker_id":40,"status_id":1,"priority_id":2,"assigned_to_id":338,"start_date":"2017-11-29","description":"","custom_fields":[{"id":1,"name":"Subdivision","value":"Shuttle/Test"},{"id":4,"name":"Milepost","value":"7.1417"},{"id":17,"name":"Train ID","value":"72-29"},{"id":16,"name":"Locomotive ID","value":"4057"},{"id":130,"name":"Impact","value":""},{"id":150,"name":"Time of Event (Mountain Time)","value":"13:44:21"},{"id":151,"name":"Denver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8"/>
      <c r="AA32" s="232"/>
      <c r="AB32" s="232"/>
      <c r="AC32" s="115" t="str">
        <f t="shared" si="7"/>
        <v>grep -hrE -A400 "Enforcement Action" /c/Users/stu/AppData/Local/Temp/OnboardLogs/RTDC4057 --include="*4057*201711292*"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"%USERPROFILE%\AppData\Local\Temp\OnboardLogs"\RTDC4057\*4057*201711292* &gt;&gt; 2017-11-29-SliceDisagreementCheck.txt</v>
      </c>
      <c r="AE32" s="144" t="str">
        <f t="shared" si="9"/>
        <v>start /low /b %USERPROFILE%\Documents\GitHub\eaglep3\Utilities\DownloadLogsFromS3.py --loco 4057 --day 2017-11-29</v>
      </c>
      <c r="AF32" s="1"/>
    </row>
    <row r="33" spans="1:32" x14ac:dyDescent="0.25">
      <c r="A33" s="31">
        <v>43068.185150462959</v>
      </c>
      <c r="B33" s="30" t="s">
        <v>378</v>
      </c>
      <c r="C33" s="30" t="s">
        <v>617</v>
      </c>
      <c r="D33" s="30" t="s">
        <v>95</v>
      </c>
      <c r="E33" s="30" t="s">
        <v>355</v>
      </c>
      <c r="F33" s="42">
        <v>0</v>
      </c>
      <c r="G33" s="42">
        <v>42</v>
      </c>
      <c r="H33" s="42">
        <v>1841</v>
      </c>
      <c r="I33" s="42">
        <v>1878</v>
      </c>
      <c r="J33" s="30" t="s">
        <v>356</v>
      </c>
      <c r="K33" s="42">
        <v>1692</v>
      </c>
      <c r="L33" s="131" t="s">
        <v>50</v>
      </c>
      <c r="M33" s="132">
        <f t="shared" si="0"/>
        <v>-98.207999999999998</v>
      </c>
      <c r="N33" s="133" t="str">
        <f>VLOOKUP(C33,'Trips&amp;Operators'!$C$1:$G$99911,5,FALSE)</f>
        <v>SPECTOR MICHAEL</v>
      </c>
      <c r="O33" s="175" t="s">
        <v>178</v>
      </c>
      <c r="P33" s="240"/>
      <c r="Q33" s="30"/>
      <c r="R33" s="81" t="str">
        <f>VLOOKUP(C33,'Train Runs'!$A$13:$AE$10162,31,0)</f>
        <v>aws s3 cp s3://rtdc.mdm.uploadarchive.raw/RTDC4022/ "%USERPROFILE%\AppData\Local\Temp\OnboardLogs"\RTDC4022\2017-11-29 --exclude "*" --recursive --include "*20171129*" &amp; "%USERPROFILE%\Documents\GitHub\mrs-test-scripts\Headless Mode &amp; Sideloading\WalkAndUnGZ.bat" "%USERPROFILE%\AppData\Local\Temp\OnboardLogs"\RTDC4022\2017-11-29 &amp; aws s3 cp s3://rtdc.mdm.uploadarchive.raw/RTDC4022/ "%USERPROFILE%\AppData\Local\Temp\OnboardLogs"\RTDC4022\2017-11-30 --exclude "*" --recursive --include "*20171130*" &amp; "%USERPROFILE%\Documents\GitHub\mrs-test-scripts\Headless Mode &amp; Sideloading\WalkAndUnGZ.bat" "%USERPROFILE%\AppData\Local\Temp\OnboardLogs"\RTDC4022\2017-11-30</v>
      </c>
      <c r="S33" s="84" t="str">
        <f>VLOOKUP(C33,'Train Runs'!$A$13:$AE$10162,22,0)</f>
        <v>https://d0f6bd738d7f1b3e5a7ca70fe4ff75f0.us-east-1.aws.found.io/app/kibana#/discover/Steve-Slow-Train-Analysis-(2080s-and-2083s)?_g=(refreshInterval:(display:Off,pause:!f,section:0,value:0),time:(from:'2017-11-29T02:05:55-0700',mode:absolute,to:'2017-11-29T04:18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33" s="86" t="str">
        <f t="shared" si="1"/>
        <v>"C:\Program Files (x86)\AstroGrep\AstroGrep.exe" /e /r /s /spath="%USERPROFILE%\AppData\Local\Temp\OnboardLogs" /stypes="*4022*201711291*" /stext=" 11:.+((SYSTEM_STATE.+slice.+state.+changed )|(ment ac)|(multiple cpu faults)|(system.+state.+changed )|(\[timeout)|(PRM\|1\|D)|(kpr)|(kdp)|(train st.+moving)|(\|lc)|(penalty))"</v>
      </c>
      <c r="U33" s="9" t="str">
        <f t="shared" si="2"/>
        <v>4022</v>
      </c>
      <c r="V33" s="31">
        <f t="shared" si="3"/>
        <v>43068.476817129624</v>
      </c>
      <c r="W33" s="45" t="str">
        <f t="shared" si="4"/>
        <v>Shuttle/Test</v>
      </c>
      <c r="X33" s="229">
        <f t="shared" si="5"/>
        <v>71</v>
      </c>
      <c r="Y33" s="239" t="str">
        <f t="shared" si="6"/>
        <v>echo {"issue":{"subject":"","project_id":79,"tracker_id":40,"status_id":1,"priority_id":2,"assigned_to_id":338,"start_date":"2017-11-29","description":"","custom_fields":[{"id":1,"name":"Subdivision","value":"Shuttle/Test"},{"id":4,"name":"Milepost","value":"0.1692"},{"id":17,"name":"Train ID","value":"71-29"},{"id":16,"name":"Locomotive ID","value":"4022"},{"id":130,"name":"Impact","value":""},{"id":150,"name":"Time of Event (Mountain Time)","value":"04:26:37"},{"id":151,"name":"Denver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58"/>
      <c r="AA33" s="232"/>
      <c r="AB33" s="232"/>
      <c r="AC33" s="115" t="str">
        <f t="shared" si="7"/>
        <v>grep -hrE -A400 "Enforcement Action" /c/Users/stu/AppData/Local/Temp/OnboardLogs/RTDC4022 --include="*4022*201711291*"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"%USERPROFILE%\AppData\Local\Temp\OnboardLogs"\RTDC4022\*4022*201711291* &gt;&gt; 2017-11-29-SliceDisagreementCheck.txt</v>
      </c>
      <c r="AE33" s="144" t="str">
        <f t="shared" si="9"/>
        <v>start /low /b %USERPROFILE%\Documents\GitHub\eaglep3\Utilities\DownloadLogsFromS3.py --loco 4022 --day 2017-11-29</v>
      </c>
      <c r="AF33" s="1"/>
    </row>
    <row r="34" spans="1:32" x14ac:dyDescent="0.25">
      <c r="A34" s="31">
        <v>43068.474432870367</v>
      </c>
      <c r="B34" s="30" t="s">
        <v>530</v>
      </c>
      <c r="C34" s="30" t="s">
        <v>636</v>
      </c>
      <c r="D34" s="30" t="s">
        <v>49</v>
      </c>
      <c r="E34" s="30" t="s">
        <v>355</v>
      </c>
      <c r="F34" s="42">
        <v>0</v>
      </c>
      <c r="G34" s="42">
        <v>84</v>
      </c>
      <c r="H34" s="42">
        <v>4849</v>
      </c>
      <c r="I34" s="42">
        <v>4722</v>
      </c>
      <c r="J34" s="30" t="s">
        <v>356</v>
      </c>
      <c r="K34" s="42">
        <v>4798</v>
      </c>
      <c r="L34" s="131" t="s">
        <v>51</v>
      </c>
      <c r="M34" s="132">
        <f t="shared" si="0"/>
        <v>-40.128</v>
      </c>
      <c r="N34" s="133" t="str">
        <f>VLOOKUP(C34,'Trips&amp;Operators'!$C$1:$G$99911,5,FALSE)</f>
        <v>HUFFSMITH MONTY</v>
      </c>
      <c r="O34" s="175" t="s">
        <v>178</v>
      </c>
      <c r="P34" s="240"/>
      <c r="Q34" s="30"/>
      <c r="R34" s="81" t="str">
        <f>VLOOKUP(C34,'Train Runs'!$A$13:$AE$10162,31,0)</f>
        <v>aws s3 cp s3://rtdc.mdm.uploadarchive.raw/RTDC4057/ "%USERPROFILE%\AppData\Local\Temp\OnboardLogs"\RTDC4057\2017-11-29 --exclude "*" --recursive --include "*20171129*" &amp; "%USERPROFILE%\Documents\GitHub\mrs-test-scripts\Headless Mode &amp; Sideloading\WalkAndUnGZ.bat" "%USERPROFILE%\AppData\Local\Temp\OnboardLogs"\RTDC4057\2017-11-29 &amp; aws s3 cp s3://rtdc.mdm.uploadarchive.raw/RTDC4057/ "%USERPROFILE%\AppData\Local\Temp\OnboardLogs"\RTDC4057\2017-11-30 --exclude "*" --recursive --include "*20171130*" &amp; "%USERPROFILE%\Documents\GitHub\mrs-test-scripts\Headless Mode &amp; Sideloading\WalkAndUnGZ.bat" "%USERPROFILE%\AppData\Local\Temp\OnboardLogs"\RTDC4057\2017-11-30</v>
      </c>
      <c r="S34" s="84" t="str">
        <f>VLOOKUP(C34,'Train Runs'!$A$13:$AE$10162,22,0)</f>
        <v>https://d0f6bd738d7f1b3e5a7ca70fe4ff75f0.us-east-1.aws.found.io/app/kibana#/discover/Steve-Slow-Train-Analysis-(2080s-and-2083s)?_g=(refreshInterval:(display:Off,pause:!f,section:0,value:0),time:(from:'2017-11-29T08:24:14-0700',mode:absolute,to:'2017-11-29T10:59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4" s="86" t="str">
        <f t="shared" si="1"/>
        <v>"C:\Program Files (x86)\AstroGrep\AstroGrep.exe" /e /r /s /spath="%USERPROFILE%\AppData\Local\Temp\OnboardLogs" /stypes="*4057*201711291*" /stext=" 18:.+((SYSTEM_STATE.+slice.+state.+changed )|(ment ac)|(multiple cpu faults)|(system.+state.+changed )|(\[timeout)|(PRM\|1\|D)|(kpr)|(kdp)|(train st.+moving)|(\|lc)|(penalty))"</v>
      </c>
      <c r="U34" s="9" t="str">
        <f t="shared" si="2"/>
        <v>4057</v>
      </c>
      <c r="V34" s="31">
        <f t="shared" si="3"/>
        <v>43068.766099537032</v>
      </c>
      <c r="W34" s="45" t="str">
        <f t="shared" si="4"/>
        <v>Shuttle/Test</v>
      </c>
      <c r="X34" s="229">
        <f t="shared" si="5"/>
        <v>64</v>
      </c>
      <c r="Y34" s="239" t="str">
        <f t="shared" si="6"/>
        <v>echo {"issue":{"subject":"","project_id":79,"tracker_id":40,"status_id":1,"priority_id":2,"assigned_to_id":338,"start_date":"2017-11-29","description":"","custom_fields":[{"id":1,"name":"Subdivision","value":"Shuttle/Test"},{"id":4,"name":"Milepost","value":"0.4798"},{"id":17,"name":"Train ID","value":"64-29"},{"id":16,"name":"Locomotive ID","value":"4057"},{"id":130,"name":"Impact","value":""},{"id":150,"name":"Time of Event (Mountain Time)","value":"11:23:11"},{"id":151,"name":"Denver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4" s="158"/>
      <c r="AA34" s="232"/>
      <c r="AB34" s="232"/>
      <c r="AC34" s="115" t="str">
        <f t="shared" si="7"/>
        <v>grep -hrE -A400 "Enforcement Action" /c/Users/stu/AppData/Local/Temp/OnboardLogs/RTDC4057 --include="*4057*201711291*"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"%USERPROFILE%\AppData\Local\Temp\OnboardLogs"\RTDC4057\*4057*201711291* &gt;&gt; 2017-11-29-SliceDisagreementCheck.txt</v>
      </c>
      <c r="AE34" s="144" t="str">
        <f t="shared" si="9"/>
        <v>start /low /b %USERPROFILE%\Documents\GitHub\eaglep3\Utilities\DownloadLogsFromS3.py --loco 4057 --day 2017-11-29</v>
      </c>
      <c r="AF34" s="1"/>
    </row>
    <row r="35" spans="1:32" x14ac:dyDescent="0.25">
      <c r="A35" s="31">
        <v>43068.732754629629</v>
      </c>
      <c r="B35" s="30" t="s">
        <v>530</v>
      </c>
      <c r="C35" s="30" t="s">
        <v>647</v>
      </c>
      <c r="D35" s="30" t="s">
        <v>49</v>
      </c>
      <c r="E35" s="30" t="s">
        <v>355</v>
      </c>
      <c r="F35" s="42">
        <v>0</v>
      </c>
      <c r="G35" s="42">
        <v>262</v>
      </c>
      <c r="H35" s="42">
        <v>45144</v>
      </c>
      <c r="I35" s="42">
        <v>44557</v>
      </c>
      <c r="J35" s="30" t="s">
        <v>356</v>
      </c>
      <c r="K35" s="42">
        <v>43942</v>
      </c>
      <c r="L35" s="131" t="s">
        <v>51</v>
      </c>
      <c r="M35" s="132">
        <f t="shared" si="0"/>
        <v>324.72000000000003</v>
      </c>
      <c r="N35" s="133" t="str">
        <f>VLOOKUP(C35,'Trips&amp;Operators'!$C$1:$G$99911,5,FALSE)</f>
        <v>ROBINSON KADDIBA</v>
      </c>
      <c r="O35" s="175" t="s">
        <v>178</v>
      </c>
      <c r="P35" s="240"/>
      <c r="Q35" s="30"/>
      <c r="R35" s="81" t="str">
        <f>VLOOKUP(C35,'Train Runs'!$A$13:$AE$10162,31,0)</f>
        <v>aws s3 cp s3://rtdc.mdm.uploadarchive.raw/RTDC4057/ "%USERPROFILE%\AppData\Local\Temp\OnboardLogs"\RTDC4057\2017-11-29 --exclude "*" --recursive --include "*20171129*" &amp; "%USERPROFILE%\Documents\GitHub\mrs-test-scripts\Headless Mode &amp; Sideloading\WalkAndUnGZ.bat" "%USERPROFILE%\AppData\Local\Temp\OnboardLogs"\RTDC4057\2017-11-29 &amp; aws s3 cp s3://rtdc.mdm.uploadarchive.raw/RTDC4057/ "%USERPROFILE%\AppData\Local\Temp\OnboardLogs"\RTDC4057\2017-11-30 --exclude "*" --recursive --include "*20171130*" &amp; "%USERPROFILE%\Documents\GitHub\mrs-test-scripts\Headless Mode &amp; Sideloading\WalkAndUnGZ.bat" "%USERPROFILE%\AppData\Local\Temp\OnboardLogs"\RTDC4057\2017-11-30</v>
      </c>
      <c r="S35" s="84" t="str">
        <f>VLOOKUP(C35,'Train Runs'!$A$13:$AE$10162,22,0)</f>
        <v>https://d0f6bd738d7f1b3e5a7ca70fe4ff75f0.us-east-1.aws.found.io/app/kibana#/discover/Steve-Slow-Train-Analysis-(2080s-and-2083s)?_g=(refreshInterval:(display:Off,pause:!f,section:0,value:0),time:(from:'2017-11-29T14:53:52-0700',mode:absolute,to:'2017-11-29T17:34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5" s="86" t="str">
        <f t="shared" si="1"/>
        <v>"C:\Program Files (x86)\AstroGrep\AstroGrep.exe" /e /r /s /spath="%USERPROFILE%\AppData\Local\Temp\OnboardLogs" /stypes="*4057*201711300*" /stext=" 00:.+((SYSTEM_STATE.+slice.+state.+changed )|(ment ac)|(multiple cpu faults)|(system.+state.+changed )|(\[timeout)|(PRM\|1\|D)|(kpr)|(kdp)|(train st.+moving)|(\|lc)|(penalty))"</v>
      </c>
      <c r="U35" s="9" t="str">
        <f t="shared" si="2"/>
        <v>4057</v>
      </c>
      <c r="V35" s="31">
        <f t="shared" si="3"/>
        <v>43069.024421296293</v>
      </c>
      <c r="W35" s="45" t="str">
        <f t="shared" si="4"/>
        <v>Shuttle/Test</v>
      </c>
      <c r="X35" s="229">
        <f t="shared" si="5"/>
        <v>74</v>
      </c>
      <c r="Y35" s="239" t="str">
        <f t="shared" si="6"/>
        <v>echo {"issue":{"subject":"","project_id":79,"tracker_id":40,"status_id":1,"priority_id":2,"assigned_to_id":338,"start_date":"2017-11-29","description":"","custom_fields":[{"id":1,"name":"Subdivision","value":"Shuttle/Test"},{"id":4,"name":"Milepost","value":"4.3942"},{"id":17,"name":"Train ID","value":"74-29"},{"id":16,"name":"Locomotive ID","value":"4057"},{"id":130,"name":"Impact","value":""},{"id":150,"name":"Time of Event (Mountain Time)","value":"17:35:10"},{"id":151,"name":"Denver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5" s="158"/>
      <c r="AA35" s="232"/>
      <c r="AB35" s="232"/>
      <c r="AC35" s="115" t="str">
        <f t="shared" si="7"/>
        <v>grep -hrE -A400 "Enforcement Action" /c/Users/stu/AppData/Local/Temp/OnboardLogs/RTDC4057 --include="*4057*201711300*"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"%USERPROFILE%\AppData\Local\Temp\OnboardLogs"\RTDC4057\*4057*201711300* &gt;&gt; 2017-11-29-SliceDisagreementCheck.txt</v>
      </c>
      <c r="AE35" s="144" t="str">
        <f t="shared" si="9"/>
        <v>start /low /b %USERPROFILE%\Documents\GitHub\eaglep3\Utilities\DownloadLogsFromS3.py --loco 4057 --day 2017-11-30</v>
      </c>
      <c r="AF35" s="1"/>
    </row>
    <row r="36" spans="1:32" x14ac:dyDescent="0.25">
      <c r="A36" s="31">
        <v>43068.673981481479</v>
      </c>
      <c r="B36" s="30" t="s">
        <v>530</v>
      </c>
      <c r="C36" s="30" t="s">
        <v>647</v>
      </c>
      <c r="D36" s="30" t="s">
        <v>49</v>
      </c>
      <c r="E36" s="30" t="s">
        <v>355</v>
      </c>
      <c r="F36" s="42">
        <v>0</v>
      </c>
      <c r="G36" s="42">
        <v>153</v>
      </c>
      <c r="H36" s="42">
        <v>71406</v>
      </c>
      <c r="I36" s="42">
        <v>71105</v>
      </c>
      <c r="J36" s="30" t="s">
        <v>356</v>
      </c>
      <c r="K36" s="42">
        <v>70654</v>
      </c>
      <c r="L36" s="131" t="s">
        <v>51</v>
      </c>
      <c r="M36" s="132">
        <f t="shared" si="0"/>
        <v>238.12799999999999</v>
      </c>
      <c r="N36" s="133" t="str">
        <f>VLOOKUP(C36,'Trips&amp;Operators'!$C$1:$G$99911,5,FALSE)</f>
        <v>ROBINSON KADDIBA</v>
      </c>
      <c r="O36" s="175" t="s">
        <v>349</v>
      </c>
      <c r="P36" s="240" t="s">
        <v>522</v>
      </c>
      <c r="Q36" s="30"/>
      <c r="R36" s="81" t="str">
        <f>VLOOKUP(C36,'Train Runs'!$A$13:$AE$10162,31,0)</f>
        <v>aws s3 cp s3://rtdc.mdm.uploadarchive.raw/RTDC4057/ "%USERPROFILE%\AppData\Local\Temp\OnboardLogs"\RTDC4057\2017-11-29 --exclude "*" --recursive --include "*20171129*" &amp; "%USERPROFILE%\Documents\GitHub\mrs-test-scripts\Headless Mode &amp; Sideloading\WalkAndUnGZ.bat" "%USERPROFILE%\AppData\Local\Temp\OnboardLogs"\RTDC4057\2017-11-29 &amp; aws s3 cp s3://rtdc.mdm.uploadarchive.raw/RTDC4057/ "%USERPROFILE%\AppData\Local\Temp\OnboardLogs"\RTDC4057\2017-11-30 --exclude "*" --recursive --include "*20171130*" &amp; "%USERPROFILE%\Documents\GitHub\mrs-test-scripts\Headless Mode &amp; Sideloading\WalkAndUnGZ.bat" "%USERPROFILE%\AppData\Local\Temp\OnboardLogs"\RTDC4057\2017-11-30</v>
      </c>
      <c r="S36" s="84" t="str">
        <f>VLOOKUP(C36,'Train Runs'!$A$13:$AE$10162,22,0)</f>
        <v>https://d0f6bd738d7f1b3e5a7ca70fe4ff75f0.us-east-1.aws.found.io/app/kibana#/discover/Steve-Slow-Train-Analysis-(2080s-and-2083s)?_g=(refreshInterval:(display:Off,pause:!f,section:0,value:0),time:(from:'2017-11-29T14:53:52-0700',mode:absolute,to:'2017-11-29T17:34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6" s="86" t="str">
        <f t="shared" si="1"/>
        <v>"C:\Program Files (x86)\AstroGrep\AstroGrep.exe" /e /r /s /spath="%USERPROFILE%\AppData\Local\Temp\OnboardLogs" /stypes="*4057*201711292*" /stext=" 23:.+((SYSTEM_STATE.+slice.+state.+changed )|(ment ac)|(multiple cpu faults)|(system.+state.+changed )|(\[timeout)|(PRM\|1\|D)|(kpr)|(kdp)|(train st.+moving)|(\|lc)|(penalty))"</v>
      </c>
      <c r="U36" s="9" t="str">
        <f t="shared" si="2"/>
        <v>4057</v>
      </c>
      <c r="V36" s="31">
        <f t="shared" si="3"/>
        <v>43068.965648148143</v>
      </c>
      <c r="W36" s="45" t="str">
        <f t="shared" si="4"/>
        <v>Shuttle/Test</v>
      </c>
      <c r="X36" s="229">
        <f t="shared" si="5"/>
        <v>74</v>
      </c>
      <c r="Y36" s="239" t="str">
        <f t="shared" si="6"/>
        <v>echo {"issue":{"subject":"Wi-MAX data drop","project_id":79,"tracker_id":40,"status_id":1,"priority_id":2,"assigned_to_id":338,"start_date":"2017-11-29","description":"","custom_fields":[{"id":1,"name":"Subdivision","value":"Shuttle/Test"},{"id":4,"name":"Milepost","value":"7.0654"},{"id":17,"name":"Train ID","value":"74-29"},{"id":16,"name":"Locomotive ID","value":"4057"},{"id":130,"name":"Impact","value":""},{"id":150,"name":"Time of Event (Mountain Time)","value":"16:10:32"},{"id":151,"name":"Denver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6" s="158"/>
      <c r="AA36" s="232"/>
      <c r="AB36" s="232"/>
      <c r="AC36" s="115" t="str">
        <f t="shared" si="7"/>
        <v>grep -hrE -A400 "Enforcement Action" /c/Users/stu/AppData/Local/Temp/OnboardLogs/RTDC4057 --include="*4057*201711292*"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"%USERPROFILE%\AppData\Local\Temp\OnboardLogs"\RTDC4057\*4057*201711292* &gt;&gt; 2017-11-29-SliceDisagreementCheck.txt</v>
      </c>
      <c r="AE36" s="144" t="str">
        <f t="shared" si="9"/>
        <v>start /low /b %USERPROFILE%\Documents\GitHub\eaglep3\Utilities\DownloadLogsFromS3.py --loco 4057 --day 2017-11-29</v>
      </c>
      <c r="AF36" s="1"/>
    </row>
    <row r="37" spans="1:32" x14ac:dyDescent="0.25">
      <c r="A37" s="31">
        <v>43068.66741898148</v>
      </c>
      <c r="B37" s="30" t="s">
        <v>530</v>
      </c>
      <c r="C37" s="30" t="s">
        <v>647</v>
      </c>
      <c r="D37" s="30" t="s">
        <v>95</v>
      </c>
      <c r="E37" s="30" t="s">
        <v>355</v>
      </c>
      <c r="F37" s="42">
        <v>200</v>
      </c>
      <c r="G37" s="42">
        <v>255</v>
      </c>
      <c r="H37" s="42">
        <v>108948</v>
      </c>
      <c r="I37" s="42">
        <v>108251</v>
      </c>
      <c r="J37" s="30" t="s">
        <v>356</v>
      </c>
      <c r="K37" s="42">
        <v>112097</v>
      </c>
      <c r="L37" s="131" t="s">
        <v>51</v>
      </c>
      <c r="M37" s="132">
        <f t="shared" si="0"/>
        <v>-2030.6880000000001</v>
      </c>
      <c r="N37" s="133" t="str">
        <f>VLOOKUP(C37,'Trips&amp;Operators'!$C$1:$G$99911,5,FALSE)</f>
        <v>ROBINSON KADDIBA</v>
      </c>
      <c r="O37" s="175" t="s">
        <v>178</v>
      </c>
      <c r="P37" s="240"/>
      <c r="Q37" s="30"/>
      <c r="R37" s="81" t="str">
        <f>VLOOKUP(C37,'Train Runs'!$A$13:$AE$10162,31,0)</f>
        <v>aws s3 cp s3://rtdc.mdm.uploadarchive.raw/RTDC4057/ "%USERPROFILE%\AppData\Local\Temp\OnboardLogs"\RTDC4057\2017-11-29 --exclude "*" --recursive --include "*20171129*" &amp; "%USERPROFILE%\Documents\GitHub\mrs-test-scripts\Headless Mode &amp; Sideloading\WalkAndUnGZ.bat" "%USERPROFILE%\AppData\Local\Temp\OnboardLogs"\RTDC4057\2017-11-29 &amp; aws s3 cp s3://rtdc.mdm.uploadarchive.raw/RTDC4057/ "%USERPROFILE%\AppData\Local\Temp\OnboardLogs"\RTDC4057\2017-11-30 --exclude "*" --recursive --include "*20171130*" &amp; "%USERPROFILE%\Documents\GitHub\mrs-test-scripts\Headless Mode &amp; Sideloading\WalkAndUnGZ.bat" "%USERPROFILE%\AppData\Local\Temp\OnboardLogs"\RTDC4057\2017-11-30</v>
      </c>
      <c r="S37" s="84" t="str">
        <f>VLOOKUP(C37,'Train Runs'!$A$13:$AE$10162,22,0)</f>
        <v>https://d0f6bd738d7f1b3e5a7ca70fe4ff75f0.us-east-1.aws.found.io/app/kibana#/discover/Steve-Slow-Train-Analysis-(2080s-and-2083s)?_g=(refreshInterval:(display:Off,pause:!f,section:0,value:0),time:(from:'2017-11-29T14:53:52-0700',mode:absolute,to:'2017-11-29T17:34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7" s="86" t="str">
        <f t="shared" si="1"/>
        <v>"C:\Program Files (x86)\AstroGrep\AstroGrep.exe" /e /r /s /spath="%USERPROFILE%\AppData\Local\Temp\OnboardLogs" /stypes="*4057*201711292*" /stext=" 23:.+((SYSTEM_STATE.+slice.+state.+changed )|(ment ac)|(multiple cpu faults)|(system.+state.+changed )|(\[timeout)|(PRM\|1\|D)|(kpr)|(kdp)|(train st.+moving)|(\|lc)|(penalty))"</v>
      </c>
      <c r="U37" s="9" t="str">
        <f t="shared" si="2"/>
        <v>4057</v>
      </c>
      <c r="V37" s="31">
        <f t="shared" si="3"/>
        <v>43068.959085648145</v>
      </c>
      <c r="W37" s="45" t="str">
        <f t="shared" si="4"/>
        <v>Shuttle/Test</v>
      </c>
      <c r="X37" s="229">
        <f t="shared" si="5"/>
        <v>74</v>
      </c>
      <c r="Y37" s="239" t="str">
        <f t="shared" si="6"/>
        <v>echo {"issue":{"subject":"","project_id":79,"tracker_id":40,"status_id":1,"priority_id":2,"assigned_to_id":338,"start_date":"2017-11-29","description":"","custom_fields":[{"id":1,"name":"Subdivision","value":"Shuttle/Test"},{"id":4,"name":"Milepost","value":"11.2097"},{"id":17,"name":"Train ID","value":"74-29"},{"id":16,"name":"Locomotive ID","value":"4057"},{"id":130,"name":"Impact","value":""},{"id":150,"name":"Time of Event (Mountain Time)","value":"16:01:05"},{"id":151,"name":"Denver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7" s="158"/>
      <c r="AA37" s="232"/>
      <c r="AB37" s="232"/>
      <c r="AC37" s="115" t="str">
        <f t="shared" si="7"/>
        <v>grep -hrE -A400 "Enforcement Action" /c/Users/stu/AppData/Local/Temp/OnboardLogs/RTDC4057 --include="*4057*201711292*"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"%USERPROFILE%\AppData\Local\Temp\OnboardLogs"\RTDC4057\*4057*201711292* &gt;&gt; 2017-11-29-SliceDisagreementCheck.txt</v>
      </c>
      <c r="AE37" s="144" t="str">
        <f t="shared" si="9"/>
        <v>start /low /b %USERPROFILE%\Documents\GitHub\eaglep3\Utilities\DownloadLogsFromS3.py --loco 4057 --day 2017-11-29</v>
      </c>
      <c r="AF37" s="1"/>
    </row>
    <row r="38" spans="1:32" x14ac:dyDescent="0.25">
      <c r="A38" s="31">
        <v>43068.530497685184</v>
      </c>
      <c r="B38" s="30" t="s">
        <v>533</v>
      </c>
      <c r="C38" s="30" t="s">
        <v>639</v>
      </c>
      <c r="D38" s="30" t="s">
        <v>49</v>
      </c>
      <c r="E38" s="30" t="s">
        <v>416</v>
      </c>
      <c r="F38" s="42">
        <v>0</v>
      </c>
      <c r="G38" s="42">
        <v>254</v>
      </c>
      <c r="H38" s="42">
        <v>45190</v>
      </c>
      <c r="I38" s="42">
        <v>44586</v>
      </c>
      <c r="J38" s="30" t="s">
        <v>417</v>
      </c>
      <c r="K38" s="42">
        <v>43942</v>
      </c>
      <c r="L38" s="131" t="s">
        <v>51</v>
      </c>
      <c r="M38" s="132">
        <f t="shared" si="0"/>
        <v>340.03199999999998</v>
      </c>
      <c r="N38" s="133" t="str">
        <f>VLOOKUP(C38,'Trips&amp;Operators'!$C$1:$G$99911,5,FALSE)</f>
        <v>PAGE MARCUS</v>
      </c>
      <c r="O38" s="175" t="s">
        <v>178</v>
      </c>
      <c r="P38" s="240"/>
      <c r="Q38" s="30"/>
      <c r="R38" s="81" t="str">
        <f>VLOOKUP(C38,'Train Runs'!$A$13:$AE$10162,31,0)</f>
        <v>aws s3 cp s3://rtdc.mdm.uploadarchive.raw/RTDC4049/ "%USERPROFILE%\AppData\Local\Temp\OnboardLogs"\RTDC4049\2017-11-29 --exclude "*" --recursive --include "*20171129*" &amp; "%USERPROFILE%\Documents\GitHub\mrs-test-scripts\Headless Mode &amp; Sideloading\WalkAndUnGZ.bat" "%USERPROFILE%\AppData\Local\Temp\OnboardLogs"\RTDC4049\2017-11-29 &amp; aws s3 cp s3://rtdc.mdm.uploadarchive.raw/RTDC4049/ "%USERPROFILE%\AppData\Local\Temp\OnboardLogs"\RTDC4049\2017-11-30 --exclude "*" --recursive --include "*20171130*" &amp; "%USERPROFILE%\Documents\GitHub\mrs-test-scripts\Headless Mode &amp; Sideloading\WalkAndUnGZ.bat" "%USERPROFILE%\AppData\Local\Temp\OnboardLogs"\RTDC4049\2017-11-30</v>
      </c>
      <c r="S38" s="84" t="str">
        <f>VLOOKUP(C38,'Train Runs'!$A$13:$AE$10162,22,0)</f>
        <v>https://d0f6bd738d7f1b3e5a7ca70fe4ff75f0.us-east-1.aws.found.io/app/kibana#/discover/Steve-Slow-Train-Analysis-(2080s-and-2083s)?_g=(refreshInterval:(display:Off,pause:!f,section:0,value:0),time:(from:'2017-11-29T11:22:42-0700',mode:absolute,to:'2017-11-29T13:55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38" s="86" t="str">
        <f t="shared" si="1"/>
        <v>"C:\Program Files (x86)\AstroGrep\AstroGrep.exe" /e /r /s /spath="%USERPROFILE%\AppData\Local\Temp\OnboardLogs" /stypes="*4049*201711291*" /stext=" 19:.+((SYSTEM_STATE.+slice.+state.+changed )|(ment ac)|(multiple cpu faults)|(system.+state.+changed )|(\[timeout)|(PRM\|1\|D)|(kpr)|(kdp)|(train st.+moving)|(\|lc)|(penalty))"</v>
      </c>
      <c r="U38" s="9" t="str">
        <f t="shared" si="2"/>
        <v>4049</v>
      </c>
      <c r="V38" s="31">
        <f t="shared" si="3"/>
        <v>43068.822164351848</v>
      </c>
      <c r="W38" s="45" t="str">
        <f t="shared" si="4"/>
        <v>Shuttle/Test</v>
      </c>
      <c r="X38" s="229">
        <f t="shared" si="5"/>
        <v>66</v>
      </c>
      <c r="Y38" s="239" t="str">
        <f t="shared" si="6"/>
        <v>echo {"issue":{"subject":"","project_id":79,"tracker_id":40,"status_id":1,"priority_id":2,"assigned_to_id":338,"start_date":"2017-11-29","description":"","custom_fields":[{"id":1,"name":"Subdivision","value":"Shuttle/Test"},{"id":4,"name":"Milepost","value":"4.3942"},{"id":17,"name":"Train ID","value":"66-29"},{"id":16,"name":"Locomotive ID","value":"4049"},{"id":130,"name":"Impact","value":""},{"id":150,"name":"Time of Event (Mountain Time)","value":"12:43:55"},{"id":151,"name":"Denver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8" s="158"/>
      <c r="AA38" s="232"/>
      <c r="AB38" s="232"/>
      <c r="AC38" s="115" t="str">
        <f t="shared" si="7"/>
        <v>grep -hrE -A400 "Enforcement Action" /c/Users/stu/AppData/Local/Temp/OnboardLogs/RTDC4049 --include="*4049*201711291*"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"%USERPROFILE%\AppData\Local\Temp\OnboardLogs"\RTDC4049\*4049*201711291* &gt;&gt; 2017-11-29-SliceDisagreementCheck.txt</v>
      </c>
      <c r="AE38" s="144" t="str">
        <f t="shared" si="9"/>
        <v>start /low /b %USERPROFILE%\Documents\GitHub\eaglep3\Utilities\DownloadLogsFromS3.py --loco 4049 --day 2017-11-29</v>
      </c>
      <c r="AF38" s="1"/>
    </row>
  </sheetData>
  <autoFilter ref="A6:AC16">
    <sortState ref="A7:AC38">
      <sortCondition ref="W7:W38"/>
      <sortCondition ref="E7:E38"/>
      <sortCondition ref="K7:K38"/>
      <sortCondition ref="F7:F38"/>
    </sortState>
  </autoFilter>
  <sortState ref="A7:AE16">
    <sortCondition ref="W7:W16"/>
    <sortCondition ref="E7:E16"/>
    <sortCondition ref="K7:K16"/>
    <sortCondition ref="C7:C16"/>
    <sortCondition ref="F7:F16"/>
  </sortState>
  <mergeCells count="1">
    <mergeCell ref="A5:O5"/>
  </mergeCells>
  <conditionalFormatting sqref="O6:P6 R6 O7:O1048576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38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AA7:AA38</xm:sqref>
        </x14:dataValidation>
        <x14:dataValidation type="list" allowBlank="1" showInputMessage="1" showErrorMessage="1">
          <x14:formula1>
            <xm:f>'Redmine List Values'!$C$2:$C$15</xm:f>
          </x14:formula1>
          <xm:sqref>AB7:AB38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5" x14ac:dyDescent="0.25"/>
  <cols>
    <col min="1" max="1" width="8" style="195" customWidth="1"/>
    <col min="2" max="2" width="9.140625" style="2" customWidth="1"/>
    <col min="3" max="3" width="8" style="88" bestFit="1" customWidth="1"/>
    <col min="4" max="4" width="11.28515625" style="138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8" customWidth="1"/>
    <col min="10" max="10" width="9.140625" customWidth="1"/>
  </cols>
  <sheetData>
    <row r="1" spans="1:10" s="20" customFormat="1" x14ac:dyDescent="0.25">
      <c r="A1" s="195"/>
      <c r="B1" s="252" t="str">
        <f>"Trips that did not appear in PTC Data "&amp;TEXT(Variables!$A$2,"YYYY-mm-dd")</f>
        <v>Trips that did not appear in PTC Data 2017-11-29</v>
      </c>
      <c r="C1" s="252"/>
      <c r="D1" s="252"/>
      <c r="E1" s="252"/>
      <c r="F1" s="252"/>
      <c r="I1" s="188"/>
    </row>
    <row r="2" spans="1:10" s="23" customFormat="1" ht="45" x14ac:dyDescent="0.25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25">
      <c r="A3" s="197"/>
      <c r="B3" s="42" t="str">
        <f>A3&amp;"-"&amp;IF(DAY(Variables!$A$2)&lt;10,0,"")&amp;DAY(Variables!$A$2)</f>
        <v>-29</v>
      </c>
      <c r="C3" s="134"/>
      <c r="D3" s="223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" s="30" t="e">
        <f>VLOOKUP(B3,'Train Runs'!$A$13:$A$100159,1,FALSE)</f>
        <v>#N/A</v>
      </c>
    </row>
    <row r="4" spans="1:10" x14ac:dyDescent="0.25">
      <c r="A4" s="197"/>
      <c r="B4" s="42" t="str">
        <f>A4&amp;"-"&amp;IF(DAY(Variables!$A$2)&lt;10,0,"")&amp;DAY(Variables!$A$2)</f>
        <v>-29</v>
      </c>
      <c r="C4" s="134"/>
      <c r="D4" s="152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" s="30" t="e">
        <f>VLOOKUP(B4,'Train Runs'!$A$13:$A$100159,1,FALSE)</f>
        <v>#N/A</v>
      </c>
    </row>
    <row r="5" spans="1:10" x14ac:dyDescent="0.25">
      <c r="A5" s="197"/>
      <c r="B5" s="42" t="str">
        <f>A5&amp;"-"&amp;IF(DAY(Variables!$A$2)&lt;10,0,"")&amp;DAY(Variables!$A$2)</f>
        <v>-29</v>
      </c>
      <c r="C5" s="134"/>
      <c r="D5" s="152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5" s="30" t="e">
        <f>VLOOKUP(B5,'Train Runs'!$A$13:$A$100159,1,FALSE)</f>
        <v>#N/A</v>
      </c>
    </row>
    <row r="6" spans="1:10" x14ac:dyDescent="0.25">
      <c r="A6" s="197"/>
      <c r="B6" s="42" t="str">
        <f>A6&amp;"-"&amp;IF(DAY(Variables!$A$2)&lt;10,0,"")&amp;DAY(Variables!$A$2)</f>
        <v>-29</v>
      </c>
      <c r="C6" s="134"/>
      <c r="D6" s="152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6" s="30" t="e">
        <f>VLOOKUP(B6,'Train Runs'!$A$13:$A$100159,1,FALSE)</f>
        <v>#N/A</v>
      </c>
    </row>
    <row r="7" spans="1:10" x14ac:dyDescent="0.25">
      <c r="A7" s="197"/>
      <c r="B7" s="42" t="str">
        <f>A7&amp;"-"&amp;IF(DAY(Variables!$A$2)&lt;10,0,"")&amp;DAY(Variables!$A$2)</f>
        <v>-29</v>
      </c>
      <c r="C7" s="134"/>
      <c r="D7" s="152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7" s="30" t="e">
        <f>VLOOKUP(B7,'Train Runs'!$A$13:$A$100159,1,FALSE)</f>
        <v>#N/A</v>
      </c>
    </row>
    <row r="8" spans="1:10" x14ac:dyDescent="0.25">
      <c r="A8" s="197"/>
      <c r="B8" s="42" t="str">
        <f>A8&amp;"-"&amp;IF(DAY(Variables!$A$2)&lt;10,0,"")&amp;DAY(Variables!$A$2)</f>
        <v>-29</v>
      </c>
      <c r="C8" s="134"/>
      <c r="D8" s="152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8" s="30" t="e">
        <f>VLOOKUP(B8,'Train Runs'!$A$13:$A$100159,1,FALSE)</f>
        <v>#N/A</v>
      </c>
    </row>
    <row r="9" spans="1:10" x14ac:dyDescent="0.25">
      <c r="A9" s="197"/>
      <c r="B9" s="42" t="str">
        <f>A9&amp;"-"&amp;IF(DAY(Variables!$A$2)&lt;10,0,"")&amp;DAY(Variables!$A$2)</f>
        <v>-29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9" s="30" t="e">
        <f>VLOOKUP(B9,'Train Runs'!$A$13:$A$100159,1,FALSE)</f>
        <v>#N/A</v>
      </c>
    </row>
    <row r="10" spans="1:10" x14ac:dyDescent="0.25">
      <c r="A10" s="197"/>
      <c r="B10" s="42" t="str">
        <f>A10&amp;"-"&amp;IF(DAY(Variables!$A$2)&lt;10,0,"")&amp;DAY(Variables!$A$2)</f>
        <v>-29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0" s="30" t="e">
        <f>VLOOKUP(B10,'Train Runs'!$A$13:$A$100159,1,FALSE)</f>
        <v>#N/A</v>
      </c>
    </row>
    <row r="11" spans="1:10" x14ac:dyDescent="0.25">
      <c r="A11" s="197"/>
      <c r="B11" s="42" t="str">
        <f>A11&amp;"-"&amp;IF(DAY(Variables!$A$2)&lt;10,0,"")&amp;DAY(Variables!$A$2)</f>
        <v>-29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1" s="30" t="e">
        <f>VLOOKUP(B11,'Train Runs'!$A$13:$A$100159,1,FALSE)</f>
        <v>#N/A</v>
      </c>
    </row>
    <row r="12" spans="1:10" x14ac:dyDescent="0.25">
      <c r="A12" s="197"/>
      <c r="B12" s="42" t="str">
        <f>A12&amp;"-"&amp;IF(DAY(Variables!$A$2)&lt;10,0,"")&amp;DAY(Variables!$A$2)</f>
        <v>-29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2" s="30" t="e">
        <f>VLOOKUP(B12,'Train Runs'!$A$13:$A$100159,1,FALSE)</f>
        <v>#N/A</v>
      </c>
    </row>
    <row r="13" spans="1:10" x14ac:dyDescent="0.25">
      <c r="A13" s="197"/>
      <c r="B13" s="42" t="str">
        <f>A13&amp;"-"&amp;IF(DAY(Variables!$A$2)&lt;10,0,"")&amp;DAY(Variables!$A$2)</f>
        <v>-29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3" s="30" t="e">
        <f>VLOOKUP(B13,'Train Runs'!$A$13:$A$100159,1,FALSE)</f>
        <v>#N/A</v>
      </c>
    </row>
    <row r="14" spans="1:10" x14ac:dyDescent="0.25">
      <c r="A14" s="197"/>
      <c r="B14" s="42" t="str">
        <f>A14&amp;"-"&amp;IF(DAY(Variables!$A$2)&lt;10,0,"")&amp;DAY(Variables!$A$2)</f>
        <v>-29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4" s="30" t="e">
        <f>VLOOKUP(B14,'Train Runs'!$A$13:$A$100159,1,FALSE)</f>
        <v>#N/A</v>
      </c>
    </row>
    <row r="15" spans="1:10" x14ac:dyDescent="0.25">
      <c r="A15" s="197"/>
      <c r="B15" s="42" t="str">
        <f>A15&amp;"-"&amp;IF(DAY(Variables!$A$2)&lt;10,0,"")&amp;DAY(Variables!$A$2)</f>
        <v>-29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5" s="30" t="e">
        <f>VLOOKUP(B15,'Train Runs'!$A$13:$A$100159,1,FALSE)</f>
        <v>#N/A</v>
      </c>
    </row>
    <row r="16" spans="1:10" x14ac:dyDescent="0.25">
      <c r="A16" s="197"/>
      <c r="B16" s="42" t="str">
        <f>A16&amp;"-"&amp;IF(DAY(Variables!$A$2)&lt;10,0,"")&amp;DAY(Variables!$A$2)</f>
        <v>-29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6" s="30" t="e">
        <f>VLOOKUP(B16,'Train Runs'!$A$13:$A$100159,1,FALSE)</f>
        <v>#N/A</v>
      </c>
    </row>
    <row r="17" spans="1:10" x14ac:dyDescent="0.25">
      <c r="A17" s="197"/>
      <c r="B17" s="42" t="str">
        <f>A17&amp;"-"&amp;IF(DAY(Variables!$A$2)&lt;10,0,"")&amp;DAY(Variables!$A$2)</f>
        <v>-29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7" s="30" t="e">
        <f>VLOOKUP(B17,'Train Runs'!$A$13:$A$100159,1,FALSE)</f>
        <v>#N/A</v>
      </c>
    </row>
    <row r="18" spans="1:10" x14ac:dyDescent="0.25">
      <c r="A18" s="197"/>
      <c r="B18" s="42" t="str">
        <f>A18&amp;"-"&amp;IF(DAY(Variables!$A$2)&lt;10,0,"")&amp;DAY(Variables!$A$2)</f>
        <v>-29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8" s="30" t="e">
        <f>VLOOKUP(B18,'Train Runs'!$A$13:$A$100159,1,FALSE)</f>
        <v>#N/A</v>
      </c>
    </row>
    <row r="19" spans="1:10" x14ac:dyDescent="0.25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25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25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25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25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25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25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25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25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25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25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25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25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25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25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25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25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25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25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25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25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25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25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25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25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25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25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25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25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25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25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25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25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25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25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25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25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25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25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25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25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25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25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25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25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25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25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25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25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25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25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25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25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25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25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25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7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7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43068.035277777781</v>
      </c>
      <c r="B2" s="20" t="s">
        <v>383</v>
      </c>
      <c r="C2" s="20" t="s">
        <v>547</v>
      </c>
      <c r="D2" s="137">
        <v>3320000</v>
      </c>
      <c r="E2" s="20" t="s">
        <v>362</v>
      </c>
      <c r="F2" s="20" t="s">
        <v>363</v>
      </c>
      <c r="G2" s="8" t="str">
        <f>E2&amp;" "&amp;F2</f>
        <v>NICHOLSON WESLEY</v>
      </c>
      <c r="H2" t="str">
        <f>MID(B2,13,4)</f>
        <v>4059</v>
      </c>
    </row>
    <row r="3" spans="1:8" x14ac:dyDescent="0.25">
      <c r="A3" s="8">
        <v>43068.047569444447</v>
      </c>
      <c r="B3" s="20" t="s">
        <v>357</v>
      </c>
      <c r="C3" s="20" t="s">
        <v>546</v>
      </c>
      <c r="D3" s="137">
        <v>890000</v>
      </c>
      <c r="E3" s="20" t="s">
        <v>345</v>
      </c>
      <c r="F3" s="20" t="s">
        <v>346</v>
      </c>
      <c r="G3" s="8" t="str">
        <f t="shared" ref="G3:G66" si="0">E3&amp;" "&amp;F3</f>
        <v>LOZA FIDEL</v>
      </c>
      <c r="H3" s="20" t="str">
        <f t="shared" ref="H3:H66" si="1">MID(B3,13,4)</f>
        <v>4008</v>
      </c>
    </row>
    <row r="4" spans="1:8" x14ac:dyDescent="0.25">
      <c r="A4" s="8">
        <v>43068.048506944448</v>
      </c>
      <c r="B4" s="20" t="s">
        <v>357</v>
      </c>
      <c r="C4" s="20" t="s">
        <v>546</v>
      </c>
      <c r="D4" s="137">
        <v>890000</v>
      </c>
      <c r="E4" s="20" t="s">
        <v>345</v>
      </c>
      <c r="F4" s="20" t="s">
        <v>346</v>
      </c>
      <c r="G4" s="8" t="str">
        <f t="shared" si="0"/>
        <v>LOZA FIDEL</v>
      </c>
      <c r="H4" s="20" t="str">
        <f t="shared" si="1"/>
        <v>4008</v>
      </c>
    </row>
    <row r="5" spans="1:8" x14ac:dyDescent="0.25">
      <c r="A5" s="8">
        <v>43068.05909722222</v>
      </c>
      <c r="B5" s="20" t="s">
        <v>352</v>
      </c>
      <c r="C5" s="20" t="s">
        <v>548</v>
      </c>
      <c r="D5" s="137">
        <v>3310000</v>
      </c>
      <c r="E5" s="20" t="s">
        <v>542</v>
      </c>
      <c r="F5" s="20" t="s">
        <v>543</v>
      </c>
      <c r="G5" s="8" t="str">
        <f t="shared" si="0"/>
        <v>ANDERS STEVEN</v>
      </c>
      <c r="H5" s="20" t="str">
        <f t="shared" si="1"/>
        <v>4055</v>
      </c>
    </row>
    <row r="6" spans="1:8" x14ac:dyDescent="0.25">
      <c r="A6" s="8">
        <v>43068.070439814815</v>
      </c>
      <c r="B6" s="20" t="s">
        <v>358</v>
      </c>
      <c r="C6" s="20" t="s">
        <v>549</v>
      </c>
      <c r="D6" s="137">
        <v>3320000</v>
      </c>
      <c r="E6" s="20" t="s">
        <v>362</v>
      </c>
      <c r="F6" s="20" t="s">
        <v>363</v>
      </c>
      <c r="G6" s="8" t="str">
        <f t="shared" si="0"/>
        <v>NICHOLSON WESLEY</v>
      </c>
      <c r="H6" s="20" t="str">
        <f t="shared" si="1"/>
        <v>4060</v>
      </c>
    </row>
    <row r="7" spans="1:8" x14ac:dyDescent="0.25">
      <c r="A7" s="8">
        <v>43068.118888888886</v>
      </c>
      <c r="B7" s="20" t="s">
        <v>473</v>
      </c>
      <c r="C7" s="20" t="s">
        <v>656</v>
      </c>
      <c r="D7" s="137">
        <v>3790000</v>
      </c>
      <c r="E7" s="20" t="s">
        <v>474</v>
      </c>
      <c r="F7" s="20" t="s">
        <v>475</v>
      </c>
      <c r="G7" s="8" t="str">
        <f t="shared" si="0"/>
        <v>NICHOLAS PLOYSA</v>
      </c>
      <c r="H7" s="20" t="str">
        <f t="shared" si="1"/>
        <v>4021</v>
      </c>
    </row>
    <row r="8" spans="1:8" x14ac:dyDescent="0.25">
      <c r="A8" s="8">
        <v>43068.129629629628</v>
      </c>
      <c r="B8" s="20" t="s">
        <v>378</v>
      </c>
      <c r="C8" s="20" t="s">
        <v>617</v>
      </c>
      <c r="D8" s="137">
        <v>1090000</v>
      </c>
      <c r="E8" s="20" t="s">
        <v>476</v>
      </c>
      <c r="F8" s="20" t="s">
        <v>353</v>
      </c>
      <c r="G8" s="8" t="str">
        <f t="shared" si="0"/>
        <v>SPECTOR MICHAEL</v>
      </c>
      <c r="H8" s="20" t="str">
        <f t="shared" si="1"/>
        <v>4022</v>
      </c>
    </row>
    <row r="9" spans="1:8" ht="15.75" thickBot="1" x14ac:dyDescent="0.3">
      <c r="A9" s="24">
        <v>43068.131331018521</v>
      </c>
      <c r="B9" s="20" t="s">
        <v>470</v>
      </c>
      <c r="C9" s="20" t="s">
        <v>657</v>
      </c>
      <c r="D9" s="137">
        <v>3790000</v>
      </c>
      <c r="E9" s="20" t="s">
        <v>474</v>
      </c>
      <c r="F9" s="20" t="s">
        <v>475</v>
      </c>
      <c r="G9" s="8" t="str">
        <f t="shared" si="0"/>
        <v>NICHOLAS PLOYSA</v>
      </c>
      <c r="H9" s="20" t="str">
        <f t="shared" si="1"/>
        <v>4044</v>
      </c>
    </row>
    <row r="10" spans="1:8" x14ac:dyDescent="0.25">
      <c r="A10" s="8">
        <v>43068.136631944442</v>
      </c>
      <c r="B10" s="20" t="s">
        <v>449</v>
      </c>
      <c r="C10" s="20" t="s">
        <v>658</v>
      </c>
      <c r="D10" s="137">
        <v>3120000</v>
      </c>
      <c r="E10" s="20" t="s">
        <v>528</v>
      </c>
      <c r="F10" s="20" t="s">
        <v>529</v>
      </c>
      <c r="G10" s="8" t="str">
        <f t="shared" si="0"/>
        <v>THOMPSON LESTER</v>
      </c>
      <c r="H10" s="20" t="str">
        <f t="shared" si="1"/>
        <v>4025</v>
      </c>
    </row>
    <row r="11" spans="1:8" x14ac:dyDescent="0.25">
      <c r="A11" s="8">
        <v>43068.13784722222</v>
      </c>
      <c r="B11" s="20" t="s">
        <v>449</v>
      </c>
      <c r="C11" s="20" t="s">
        <v>658</v>
      </c>
      <c r="D11" s="137">
        <v>3120000</v>
      </c>
      <c r="E11" s="20" t="s">
        <v>528</v>
      </c>
      <c r="F11" s="20" t="s">
        <v>529</v>
      </c>
      <c r="G11" s="8" t="str">
        <f t="shared" si="0"/>
        <v>THOMPSON LESTER</v>
      </c>
      <c r="H11" s="20" t="str">
        <f t="shared" si="1"/>
        <v>4025</v>
      </c>
    </row>
    <row r="12" spans="1:8" x14ac:dyDescent="0.25">
      <c r="A12" s="8">
        <v>43068.139293981483</v>
      </c>
      <c r="B12" s="20" t="s">
        <v>473</v>
      </c>
      <c r="C12" s="20" t="s">
        <v>659</v>
      </c>
      <c r="D12" s="137">
        <v>1090000</v>
      </c>
      <c r="E12" s="20" t="s">
        <v>476</v>
      </c>
      <c r="F12" s="20" t="s">
        <v>353</v>
      </c>
      <c r="G12" s="8" t="str">
        <f t="shared" si="0"/>
        <v>SPECTOR MICHAEL</v>
      </c>
      <c r="H12" s="20" t="str">
        <f t="shared" si="1"/>
        <v>4021</v>
      </c>
    </row>
    <row r="13" spans="1:8" x14ac:dyDescent="0.25">
      <c r="A13" s="8">
        <v>43068.149050925924</v>
      </c>
      <c r="B13" s="20" t="s">
        <v>450</v>
      </c>
      <c r="C13" s="20" t="s">
        <v>616</v>
      </c>
      <c r="D13" s="137">
        <v>3120000</v>
      </c>
      <c r="E13" s="20" t="s">
        <v>528</v>
      </c>
      <c r="F13" s="20" t="s">
        <v>529</v>
      </c>
      <c r="G13" s="8" t="str">
        <f t="shared" si="0"/>
        <v>THOMPSON LESTER</v>
      </c>
      <c r="H13" s="20" t="str">
        <f t="shared" si="1"/>
        <v>4026</v>
      </c>
    </row>
    <row r="14" spans="1:8" x14ac:dyDescent="0.25">
      <c r="A14" s="8">
        <v>43068.156828703701</v>
      </c>
      <c r="B14" s="20" t="s">
        <v>526</v>
      </c>
      <c r="C14" s="20" t="s">
        <v>660</v>
      </c>
      <c r="D14" s="137">
        <v>1830000</v>
      </c>
      <c r="E14" s="20" t="s">
        <v>347</v>
      </c>
      <c r="F14" s="20" t="s">
        <v>348</v>
      </c>
      <c r="G14" s="8" t="str">
        <f t="shared" si="0"/>
        <v>YORK EDGAR</v>
      </c>
      <c r="H14" s="20" t="str">
        <f t="shared" si="1"/>
        <v>4001</v>
      </c>
    </row>
    <row r="15" spans="1:8" x14ac:dyDescent="0.25">
      <c r="A15" s="8">
        <v>43068.161273148151</v>
      </c>
      <c r="B15" s="20" t="s">
        <v>450</v>
      </c>
      <c r="C15" s="20" t="s">
        <v>616</v>
      </c>
      <c r="D15" s="137">
        <v>3120000</v>
      </c>
      <c r="E15" s="20" t="s">
        <v>528</v>
      </c>
      <c r="F15" s="20" t="s">
        <v>529</v>
      </c>
      <c r="G15" s="8" t="str">
        <f t="shared" si="0"/>
        <v>THOMPSON LESTER</v>
      </c>
      <c r="H15" s="20" t="str">
        <f t="shared" si="1"/>
        <v>4026</v>
      </c>
    </row>
    <row r="16" spans="1:8" x14ac:dyDescent="0.25">
      <c r="A16" s="8">
        <v>43068.164837962962</v>
      </c>
      <c r="B16" s="20" t="s">
        <v>523</v>
      </c>
      <c r="C16" s="20" t="s">
        <v>661</v>
      </c>
      <c r="D16" s="137">
        <v>1830000</v>
      </c>
      <c r="E16" s="20" t="s">
        <v>347</v>
      </c>
      <c r="F16" s="20" t="s">
        <v>348</v>
      </c>
      <c r="G16" s="8" t="str">
        <f t="shared" si="0"/>
        <v>YORK EDGAR</v>
      </c>
      <c r="H16" s="20" t="str">
        <f t="shared" si="1"/>
        <v>4002</v>
      </c>
    </row>
    <row r="17" spans="1:8" x14ac:dyDescent="0.25">
      <c r="A17" s="8">
        <v>43068.16946759259</v>
      </c>
      <c r="B17" s="20" t="s">
        <v>653</v>
      </c>
      <c r="C17" s="20" t="s">
        <v>662</v>
      </c>
      <c r="D17" s="137">
        <v>2600000</v>
      </c>
      <c r="E17" s="20" t="s">
        <v>478</v>
      </c>
      <c r="F17" s="20" t="s">
        <v>423</v>
      </c>
      <c r="G17" s="8" t="str">
        <f t="shared" si="0"/>
        <v>DAVIDSON DAVID</v>
      </c>
      <c r="H17" s="20" t="str">
        <f t="shared" si="1"/>
        <v>4005</v>
      </c>
    </row>
    <row r="18" spans="1:8" x14ac:dyDescent="0.25">
      <c r="A18" s="8">
        <v>43068.170497685183</v>
      </c>
      <c r="B18" s="20" t="s">
        <v>471</v>
      </c>
      <c r="C18" s="20" t="s">
        <v>619</v>
      </c>
      <c r="D18" s="137">
        <v>3790000</v>
      </c>
      <c r="E18" s="20" t="s">
        <v>474</v>
      </c>
      <c r="F18" s="20" t="s">
        <v>475</v>
      </c>
      <c r="G18" s="8" t="str">
        <f t="shared" si="0"/>
        <v>NICHOLAS PLOYSA</v>
      </c>
      <c r="H18" s="20" t="str">
        <f t="shared" si="1"/>
        <v>4043</v>
      </c>
    </row>
    <row r="19" spans="1:8" x14ac:dyDescent="0.25">
      <c r="A19" s="8">
        <v>43068.17292824074</v>
      </c>
      <c r="B19" s="20" t="s">
        <v>663</v>
      </c>
      <c r="C19" s="20" t="s">
        <v>664</v>
      </c>
      <c r="D19" s="137">
        <v>2440000</v>
      </c>
      <c r="E19" s="20" t="s">
        <v>665</v>
      </c>
      <c r="F19" s="20" t="s">
        <v>666</v>
      </c>
      <c r="G19" s="8" t="str">
        <f t="shared" si="0"/>
        <v>LOPES KIMBERLY</v>
      </c>
      <c r="H19" s="20" t="str">
        <f t="shared" si="1"/>
        <v>4065</v>
      </c>
    </row>
    <row r="20" spans="1:8" x14ac:dyDescent="0.25">
      <c r="A20" s="8">
        <v>43068.178576388891</v>
      </c>
      <c r="B20" s="20" t="s">
        <v>378</v>
      </c>
      <c r="C20" s="20" t="s">
        <v>617</v>
      </c>
      <c r="D20" s="137">
        <v>1090000</v>
      </c>
      <c r="E20" s="20" t="s">
        <v>476</v>
      </c>
      <c r="F20" s="20" t="s">
        <v>353</v>
      </c>
      <c r="G20" s="8" t="str">
        <f t="shared" si="0"/>
        <v>SPECTOR MICHAEL</v>
      </c>
      <c r="H20" s="20" t="str">
        <f t="shared" si="1"/>
        <v>4022</v>
      </c>
    </row>
    <row r="21" spans="1:8" x14ac:dyDescent="0.25">
      <c r="A21" s="8">
        <v>43068.183275462965</v>
      </c>
      <c r="B21" s="20" t="s">
        <v>667</v>
      </c>
      <c r="C21" s="20" t="s">
        <v>668</v>
      </c>
      <c r="D21" s="137">
        <v>2600000</v>
      </c>
      <c r="E21" s="20" t="s">
        <v>478</v>
      </c>
      <c r="F21" s="20" t="s">
        <v>423</v>
      </c>
      <c r="G21" s="8" t="str">
        <f t="shared" si="0"/>
        <v>DAVIDSON DAVID</v>
      </c>
      <c r="H21" s="20" t="str">
        <f t="shared" si="1"/>
        <v>4006</v>
      </c>
    </row>
    <row r="22" spans="1:8" x14ac:dyDescent="0.25">
      <c r="A22" s="26">
        <v>43068.1875</v>
      </c>
      <c r="B22" s="20" t="s">
        <v>669</v>
      </c>
      <c r="C22" s="20" t="s">
        <v>670</v>
      </c>
      <c r="D22" s="137">
        <v>2440000</v>
      </c>
      <c r="E22" s="20" t="s">
        <v>665</v>
      </c>
      <c r="F22" s="20" t="s">
        <v>666</v>
      </c>
      <c r="G22" s="8" t="str">
        <f t="shared" si="0"/>
        <v>LOPES KIMBERLY</v>
      </c>
      <c r="H22" s="20" t="str">
        <f t="shared" si="1"/>
        <v>4066</v>
      </c>
    </row>
    <row r="23" spans="1:8" x14ac:dyDescent="0.25">
      <c r="A23" s="8">
        <v>43068.187743055554</v>
      </c>
      <c r="B23" s="20" t="s">
        <v>473</v>
      </c>
      <c r="C23" s="20" t="s">
        <v>659</v>
      </c>
      <c r="D23" s="137">
        <v>1090000</v>
      </c>
      <c r="E23" s="20" t="s">
        <v>476</v>
      </c>
      <c r="F23" s="20" t="s">
        <v>353</v>
      </c>
      <c r="G23" s="8" t="str">
        <f t="shared" si="0"/>
        <v>SPECTOR MICHAEL</v>
      </c>
      <c r="H23" s="20" t="str">
        <f t="shared" si="1"/>
        <v>4021</v>
      </c>
    </row>
    <row r="24" spans="1:8" x14ac:dyDescent="0.25">
      <c r="A24" s="8">
        <v>43068.194108796299</v>
      </c>
      <c r="B24" s="20" t="s">
        <v>378</v>
      </c>
      <c r="C24" s="20" t="s">
        <v>671</v>
      </c>
      <c r="D24" s="137">
        <v>1090000</v>
      </c>
      <c r="E24" s="20" t="s">
        <v>476</v>
      </c>
      <c r="F24" s="20" t="s">
        <v>353</v>
      </c>
      <c r="G24" s="8" t="str">
        <f t="shared" si="0"/>
        <v>SPECTOR MICHAEL</v>
      </c>
      <c r="H24" s="20" t="str">
        <f t="shared" si="1"/>
        <v>4022</v>
      </c>
    </row>
    <row r="25" spans="1:8" x14ac:dyDescent="0.25">
      <c r="A25" s="8">
        <v>43068.195127314815</v>
      </c>
      <c r="B25" s="20" t="s">
        <v>672</v>
      </c>
      <c r="C25" s="20" t="s">
        <v>673</v>
      </c>
      <c r="D25" s="137">
        <v>1230000</v>
      </c>
      <c r="E25" s="20" t="s">
        <v>531</v>
      </c>
      <c r="F25" s="20" t="s">
        <v>532</v>
      </c>
      <c r="G25" s="8" t="str">
        <f t="shared" si="0"/>
        <v>YANAI IAN</v>
      </c>
      <c r="H25" s="20" t="str">
        <f t="shared" si="1"/>
        <v>4027</v>
      </c>
    </row>
    <row r="26" spans="1:8" x14ac:dyDescent="0.25">
      <c r="A26" s="8">
        <v>43068.195451388892</v>
      </c>
      <c r="B26" s="20" t="s">
        <v>449</v>
      </c>
      <c r="C26" s="20" t="s">
        <v>618</v>
      </c>
      <c r="D26" s="137">
        <v>3120000</v>
      </c>
      <c r="E26" s="20" t="s">
        <v>528</v>
      </c>
      <c r="F26" s="20" t="s">
        <v>529</v>
      </c>
      <c r="G26" s="8" t="str">
        <f t="shared" si="0"/>
        <v>THOMPSON LESTER</v>
      </c>
      <c r="H26" s="20" t="str">
        <f t="shared" si="1"/>
        <v>4025</v>
      </c>
    </row>
    <row r="27" spans="1:8" x14ac:dyDescent="0.25">
      <c r="A27" s="8">
        <v>43068.196053240739</v>
      </c>
      <c r="B27" s="20" t="s">
        <v>378</v>
      </c>
      <c r="C27" s="20" t="s">
        <v>671</v>
      </c>
      <c r="D27" s="137">
        <v>1090000</v>
      </c>
      <c r="E27" s="20" t="s">
        <v>476</v>
      </c>
      <c r="F27" s="20" t="s">
        <v>353</v>
      </c>
      <c r="G27" s="8" t="str">
        <f t="shared" si="0"/>
        <v>SPECTOR MICHAEL</v>
      </c>
      <c r="H27" s="20" t="str">
        <f t="shared" si="1"/>
        <v>4022</v>
      </c>
    </row>
    <row r="28" spans="1:8" x14ac:dyDescent="0.25">
      <c r="A28" s="8">
        <v>43068.202118055553</v>
      </c>
      <c r="B28" s="20" t="s">
        <v>359</v>
      </c>
      <c r="C28" s="20" t="s">
        <v>674</v>
      </c>
      <c r="D28" s="137">
        <v>3090000</v>
      </c>
      <c r="E28" s="20" t="s">
        <v>452</v>
      </c>
      <c r="F28" s="20" t="s">
        <v>453</v>
      </c>
      <c r="G28" s="8" t="str">
        <f t="shared" si="0"/>
        <v>LAMAR NEKESHA</v>
      </c>
      <c r="H28" s="20" t="str">
        <f t="shared" si="1"/>
        <v>4018</v>
      </c>
    </row>
    <row r="29" spans="1:8" x14ac:dyDescent="0.25">
      <c r="A29" s="8">
        <v>43068.202638888892</v>
      </c>
      <c r="B29" s="20" t="s">
        <v>526</v>
      </c>
      <c r="C29" s="20" t="s">
        <v>675</v>
      </c>
      <c r="D29" s="137">
        <v>1830000</v>
      </c>
      <c r="E29" s="20" t="s">
        <v>347</v>
      </c>
      <c r="F29" s="20" t="s">
        <v>348</v>
      </c>
      <c r="G29" s="8" t="str">
        <f t="shared" si="0"/>
        <v>YORK EDGAR</v>
      </c>
      <c r="H29" s="20" t="str">
        <f t="shared" si="1"/>
        <v>4001</v>
      </c>
    </row>
    <row r="30" spans="1:8" x14ac:dyDescent="0.25">
      <c r="A30" s="8">
        <v>43068.212037037039</v>
      </c>
      <c r="B30" s="20" t="s">
        <v>361</v>
      </c>
      <c r="C30" s="20" t="s">
        <v>676</v>
      </c>
      <c r="D30" s="137">
        <v>3090000</v>
      </c>
      <c r="E30" s="20" t="s">
        <v>452</v>
      </c>
      <c r="F30" s="20" t="s">
        <v>453</v>
      </c>
      <c r="G30" s="8" t="str">
        <f t="shared" si="0"/>
        <v>LAMAR NEKESHA</v>
      </c>
      <c r="H30" s="20" t="str">
        <f t="shared" si="1"/>
        <v>4017</v>
      </c>
    </row>
    <row r="31" spans="1:8" x14ac:dyDescent="0.25">
      <c r="A31" s="8">
        <v>43068.212141203701</v>
      </c>
      <c r="B31" s="20" t="s">
        <v>620</v>
      </c>
      <c r="C31" s="20" t="s">
        <v>621</v>
      </c>
      <c r="D31" s="137">
        <v>1230000</v>
      </c>
      <c r="E31" s="20" t="s">
        <v>531</v>
      </c>
      <c r="F31" s="20" t="s">
        <v>532</v>
      </c>
      <c r="G31" s="8" t="str">
        <f t="shared" si="0"/>
        <v>YANAI IAN</v>
      </c>
      <c r="H31" s="20" t="str">
        <f t="shared" si="1"/>
        <v>4028</v>
      </c>
    </row>
    <row r="32" spans="1:8" x14ac:dyDescent="0.25">
      <c r="A32" s="8">
        <v>43068.214930555558</v>
      </c>
      <c r="B32" s="20" t="s">
        <v>653</v>
      </c>
      <c r="C32" s="20" t="s">
        <v>677</v>
      </c>
      <c r="D32" s="137">
        <v>2600000</v>
      </c>
      <c r="E32" s="20" t="s">
        <v>478</v>
      </c>
      <c r="F32" s="20" t="s">
        <v>423</v>
      </c>
      <c r="G32" s="8" t="str">
        <f t="shared" si="0"/>
        <v>DAVIDSON DAVID</v>
      </c>
      <c r="H32" s="20" t="str">
        <f t="shared" si="1"/>
        <v>4005</v>
      </c>
    </row>
    <row r="33" spans="1:8" x14ac:dyDescent="0.25">
      <c r="A33" s="8">
        <v>43068.218993055554</v>
      </c>
      <c r="B33" s="20" t="s">
        <v>479</v>
      </c>
      <c r="C33" s="20" t="s">
        <v>678</v>
      </c>
      <c r="D33" s="137">
        <v>3000000</v>
      </c>
      <c r="E33" s="20" t="s">
        <v>679</v>
      </c>
      <c r="F33" s="20" t="s">
        <v>680</v>
      </c>
      <c r="G33" s="8" t="str">
        <f t="shared" si="0"/>
        <v>FORTUNATO FRANK</v>
      </c>
      <c r="H33" s="20" t="str">
        <f t="shared" si="1"/>
        <v>4019</v>
      </c>
    </row>
    <row r="34" spans="1:8" x14ac:dyDescent="0.25">
      <c r="A34" s="8">
        <v>43068.224270833336</v>
      </c>
      <c r="B34" s="20" t="s">
        <v>663</v>
      </c>
      <c r="C34" s="20" t="s">
        <v>681</v>
      </c>
      <c r="D34" s="137">
        <v>2440000</v>
      </c>
      <c r="E34" s="20" t="s">
        <v>665</v>
      </c>
      <c r="F34" s="20" t="s">
        <v>666</v>
      </c>
      <c r="G34" s="8" t="str">
        <f t="shared" si="0"/>
        <v>LOPES KIMBERLY</v>
      </c>
      <c r="H34" s="20" t="str">
        <f t="shared" si="1"/>
        <v>4065</v>
      </c>
    </row>
    <row r="35" spans="1:8" x14ac:dyDescent="0.25">
      <c r="A35" s="8">
        <v>43068.227812500001</v>
      </c>
      <c r="B35" s="20" t="s">
        <v>450</v>
      </c>
      <c r="C35" s="20" t="s">
        <v>622</v>
      </c>
      <c r="D35" s="137">
        <v>3120000</v>
      </c>
      <c r="E35" s="20" t="s">
        <v>528</v>
      </c>
      <c r="F35" s="20" t="s">
        <v>529</v>
      </c>
      <c r="G35" s="8" t="str">
        <f t="shared" si="0"/>
        <v>THOMPSON LESTER</v>
      </c>
      <c r="H35" s="20" t="str">
        <f t="shared" si="1"/>
        <v>4026</v>
      </c>
    </row>
    <row r="36" spans="1:8" x14ac:dyDescent="0.25">
      <c r="A36" s="8">
        <v>43068.22923611111</v>
      </c>
      <c r="B36" s="20" t="s">
        <v>359</v>
      </c>
      <c r="C36" s="20" t="s">
        <v>682</v>
      </c>
      <c r="D36" s="137">
        <v>3090000</v>
      </c>
      <c r="E36" s="20" t="s">
        <v>452</v>
      </c>
      <c r="F36" s="20" t="s">
        <v>453</v>
      </c>
      <c r="G36" s="8" t="str">
        <f t="shared" si="0"/>
        <v>LAMAR NEKESHA</v>
      </c>
      <c r="H36" s="20" t="str">
        <f t="shared" si="1"/>
        <v>4018</v>
      </c>
    </row>
    <row r="37" spans="1:8" x14ac:dyDescent="0.25">
      <c r="A37" s="8">
        <v>43068.231793981482</v>
      </c>
      <c r="B37" s="20" t="s">
        <v>644</v>
      </c>
      <c r="C37" s="20" t="s">
        <v>683</v>
      </c>
      <c r="D37" s="137">
        <v>3000000</v>
      </c>
      <c r="E37" s="20" t="s">
        <v>679</v>
      </c>
      <c r="F37" s="20" t="s">
        <v>680</v>
      </c>
      <c r="G37" s="8" t="str">
        <f t="shared" si="0"/>
        <v>FORTUNATO FRANK</v>
      </c>
      <c r="H37" s="20" t="str">
        <f t="shared" si="1"/>
        <v>4020</v>
      </c>
    </row>
    <row r="38" spans="1:8" x14ac:dyDescent="0.25">
      <c r="A38" s="8">
        <v>43068.23951388889</v>
      </c>
      <c r="B38" s="20" t="s">
        <v>624</v>
      </c>
      <c r="C38" s="20" t="s">
        <v>684</v>
      </c>
      <c r="D38" s="137">
        <v>3840000</v>
      </c>
      <c r="E38" s="20" t="s">
        <v>481</v>
      </c>
      <c r="F38" s="20" t="s">
        <v>482</v>
      </c>
      <c r="G38" s="8" t="str">
        <f t="shared" si="0"/>
        <v>LONG FULLER</v>
      </c>
      <c r="H38" s="20" t="str">
        <f t="shared" si="1"/>
        <v>4031</v>
      </c>
    </row>
    <row r="39" spans="1:8" x14ac:dyDescent="0.25">
      <c r="A39" s="8">
        <v>43068.244895833333</v>
      </c>
      <c r="B39" s="20" t="s">
        <v>523</v>
      </c>
      <c r="C39" s="20" t="s">
        <v>685</v>
      </c>
      <c r="D39" s="137">
        <v>1830000</v>
      </c>
      <c r="E39" s="20" t="s">
        <v>347</v>
      </c>
      <c r="F39" s="20" t="s">
        <v>348</v>
      </c>
      <c r="G39" s="8" t="str">
        <f t="shared" si="0"/>
        <v>YORK EDGAR</v>
      </c>
      <c r="H39" s="20" t="str">
        <f t="shared" si="1"/>
        <v>4002</v>
      </c>
    </row>
    <row r="40" spans="1:8" x14ac:dyDescent="0.25">
      <c r="A40" s="8">
        <v>43068.245532407411</v>
      </c>
      <c r="B40" s="25" t="s">
        <v>473</v>
      </c>
      <c r="C40" s="20" t="s">
        <v>686</v>
      </c>
      <c r="D40" s="137">
        <v>1090000</v>
      </c>
      <c r="E40" s="20" t="s">
        <v>476</v>
      </c>
      <c r="F40" s="20" t="s">
        <v>353</v>
      </c>
      <c r="G40" s="8" t="str">
        <f t="shared" si="0"/>
        <v>SPECTOR MICHAEL</v>
      </c>
      <c r="H40" s="20" t="str">
        <f t="shared" si="1"/>
        <v>4021</v>
      </c>
    </row>
    <row r="41" spans="1:8" x14ac:dyDescent="0.25">
      <c r="A41" s="8">
        <v>43068.245682870373</v>
      </c>
      <c r="B41" s="20" t="s">
        <v>672</v>
      </c>
      <c r="C41" s="20" t="s">
        <v>687</v>
      </c>
      <c r="D41" s="137">
        <v>1230000</v>
      </c>
      <c r="E41" s="20" t="s">
        <v>531</v>
      </c>
      <c r="F41" s="20" t="s">
        <v>532</v>
      </c>
      <c r="G41" s="8" t="str">
        <f t="shared" si="0"/>
        <v>YANAI IAN</v>
      </c>
      <c r="H41" s="20" t="str">
        <f t="shared" si="1"/>
        <v>4027</v>
      </c>
    </row>
    <row r="42" spans="1:8" x14ac:dyDescent="0.25">
      <c r="A42" s="8">
        <v>43068.247129629628</v>
      </c>
      <c r="B42" s="20" t="s">
        <v>361</v>
      </c>
      <c r="C42" s="20" t="s">
        <v>688</v>
      </c>
      <c r="D42" s="137">
        <v>3090000</v>
      </c>
      <c r="E42" s="20" t="s">
        <v>452</v>
      </c>
      <c r="F42" s="20" t="s">
        <v>453</v>
      </c>
      <c r="G42" s="8" t="str">
        <f t="shared" si="0"/>
        <v>LAMAR NEKESHA</v>
      </c>
      <c r="H42" s="20" t="str">
        <f t="shared" si="1"/>
        <v>4017</v>
      </c>
    </row>
    <row r="43" spans="1:8" x14ac:dyDescent="0.25">
      <c r="A43" s="8">
        <v>43068.251377314817</v>
      </c>
      <c r="B43" s="20" t="s">
        <v>634</v>
      </c>
      <c r="C43" s="20" t="s">
        <v>689</v>
      </c>
      <c r="D43" s="137">
        <v>3840000</v>
      </c>
      <c r="E43" s="20" t="s">
        <v>481</v>
      </c>
      <c r="F43" s="20" t="s">
        <v>482</v>
      </c>
      <c r="G43" s="8" t="str">
        <f t="shared" si="0"/>
        <v>LONG FULLER</v>
      </c>
      <c r="H43" s="20" t="str">
        <f t="shared" si="1"/>
        <v>4032</v>
      </c>
    </row>
    <row r="44" spans="1:8" x14ac:dyDescent="0.25">
      <c r="A44" s="8">
        <v>43068.256689814814</v>
      </c>
      <c r="B44" s="20" t="s">
        <v>667</v>
      </c>
      <c r="C44" s="20" t="s">
        <v>690</v>
      </c>
      <c r="D44" s="137">
        <v>2600000</v>
      </c>
      <c r="E44" s="20" t="s">
        <v>478</v>
      </c>
      <c r="F44" s="20" t="s">
        <v>423</v>
      </c>
      <c r="G44" s="8" t="str">
        <f t="shared" si="0"/>
        <v>DAVIDSON DAVID</v>
      </c>
      <c r="H44" s="20" t="str">
        <f t="shared" si="1"/>
        <v>4006</v>
      </c>
    </row>
    <row r="45" spans="1:8" x14ac:dyDescent="0.25">
      <c r="A45" s="8">
        <v>43068.265023148146</v>
      </c>
      <c r="B45" s="20" t="s">
        <v>669</v>
      </c>
      <c r="C45" s="20" t="s">
        <v>691</v>
      </c>
      <c r="D45" s="137">
        <v>2440000</v>
      </c>
      <c r="E45" s="20" t="s">
        <v>665</v>
      </c>
      <c r="F45" s="20" t="s">
        <v>666</v>
      </c>
      <c r="G45" s="8" t="str">
        <f t="shared" si="0"/>
        <v>LOPES KIMBERLY</v>
      </c>
      <c r="H45" s="20" t="str">
        <f t="shared" si="1"/>
        <v>4066</v>
      </c>
    </row>
    <row r="46" spans="1:8" x14ac:dyDescent="0.25">
      <c r="A46" s="8">
        <v>43068.266840277778</v>
      </c>
      <c r="B46" s="20" t="s">
        <v>479</v>
      </c>
      <c r="C46" s="20" t="s">
        <v>692</v>
      </c>
      <c r="D46" s="137">
        <v>3000000</v>
      </c>
      <c r="E46" s="20" t="s">
        <v>679</v>
      </c>
      <c r="F46" s="20" t="s">
        <v>680</v>
      </c>
      <c r="G46" s="8" t="str">
        <f t="shared" si="0"/>
        <v>FORTUNATO FRANK</v>
      </c>
      <c r="H46" s="20" t="str">
        <f t="shared" si="1"/>
        <v>4019</v>
      </c>
    </row>
    <row r="47" spans="1:8" x14ac:dyDescent="0.25">
      <c r="A47" s="8">
        <v>43068.267106481479</v>
      </c>
      <c r="B47" s="20" t="s">
        <v>449</v>
      </c>
      <c r="C47" s="20" t="s">
        <v>693</v>
      </c>
      <c r="D47" s="137">
        <v>3120000</v>
      </c>
      <c r="E47" s="20" t="s">
        <v>528</v>
      </c>
      <c r="F47" s="20" t="s">
        <v>529</v>
      </c>
      <c r="G47" s="8" t="str">
        <f t="shared" si="0"/>
        <v>THOMPSON LESTER</v>
      </c>
      <c r="H47" s="20" t="str">
        <f t="shared" si="1"/>
        <v>4025</v>
      </c>
    </row>
    <row r="48" spans="1:8" x14ac:dyDescent="0.25">
      <c r="A48" s="8">
        <v>43068.268437500003</v>
      </c>
      <c r="B48" s="20" t="s">
        <v>624</v>
      </c>
      <c r="C48" s="20" t="s">
        <v>694</v>
      </c>
      <c r="D48" s="137">
        <v>3840000</v>
      </c>
      <c r="E48" s="20" t="s">
        <v>481</v>
      </c>
      <c r="F48" s="20" t="s">
        <v>482</v>
      </c>
      <c r="G48" s="8" t="str">
        <f t="shared" si="0"/>
        <v>LONG FULLER</v>
      </c>
      <c r="H48" s="20" t="str">
        <f t="shared" si="1"/>
        <v>4031</v>
      </c>
    </row>
    <row r="49" spans="1:8" x14ac:dyDescent="0.25">
      <c r="A49" s="8">
        <v>43068.275659722225</v>
      </c>
      <c r="B49" s="20" t="s">
        <v>359</v>
      </c>
      <c r="C49" s="20" t="s">
        <v>695</v>
      </c>
      <c r="D49" s="137">
        <v>3090000</v>
      </c>
      <c r="E49" s="20" t="s">
        <v>452</v>
      </c>
      <c r="F49" s="20" t="s">
        <v>453</v>
      </c>
      <c r="G49" s="8" t="str">
        <f t="shared" si="0"/>
        <v>LAMAR NEKESHA</v>
      </c>
      <c r="H49" s="20" t="str">
        <f t="shared" si="1"/>
        <v>4018</v>
      </c>
    </row>
    <row r="50" spans="1:8" x14ac:dyDescent="0.25">
      <c r="A50" s="8">
        <v>43068.276446759257</v>
      </c>
      <c r="B50" s="20" t="s">
        <v>526</v>
      </c>
      <c r="C50" s="20" t="s">
        <v>696</v>
      </c>
      <c r="D50" s="137">
        <v>1830000</v>
      </c>
      <c r="E50" s="20" t="s">
        <v>347</v>
      </c>
      <c r="F50" s="20" t="s">
        <v>348</v>
      </c>
      <c r="G50" s="8" t="str">
        <f t="shared" si="0"/>
        <v>YORK EDGAR</v>
      </c>
      <c r="H50" s="20" t="str">
        <f t="shared" si="1"/>
        <v>4001</v>
      </c>
    </row>
    <row r="51" spans="1:8" x14ac:dyDescent="0.25">
      <c r="A51" s="8">
        <v>43068.277650462966</v>
      </c>
      <c r="B51" s="20" t="s">
        <v>378</v>
      </c>
      <c r="C51" s="20" t="s">
        <v>697</v>
      </c>
      <c r="D51" s="137">
        <v>3790000</v>
      </c>
      <c r="E51" s="20" t="s">
        <v>474</v>
      </c>
      <c r="F51" s="20" t="s">
        <v>475</v>
      </c>
      <c r="G51" s="8" t="str">
        <f t="shared" si="0"/>
        <v>NICHOLAS PLOYSA</v>
      </c>
      <c r="H51" s="20" t="str">
        <f t="shared" si="1"/>
        <v>4022</v>
      </c>
    </row>
    <row r="52" spans="1:8" x14ac:dyDescent="0.25">
      <c r="A52" s="8">
        <v>43068.28696759259</v>
      </c>
      <c r="B52" s="20" t="s">
        <v>620</v>
      </c>
      <c r="C52" s="20" t="s">
        <v>698</v>
      </c>
      <c r="D52" s="137">
        <v>1230000</v>
      </c>
      <c r="E52" s="20" t="s">
        <v>531</v>
      </c>
      <c r="F52" s="20" t="s">
        <v>532</v>
      </c>
      <c r="G52" s="8" t="str">
        <f t="shared" si="0"/>
        <v>YANAI IAN</v>
      </c>
      <c r="H52" s="20" t="str">
        <f t="shared" si="1"/>
        <v>4028</v>
      </c>
    </row>
    <row r="53" spans="1:8" x14ac:dyDescent="0.25">
      <c r="A53" s="8">
        <v>43068.287453703706</v>
      </c>
      <c r="B53" s="20" t="s">
        <v>653</v>
      </c>
      <c r="C53" s="20" t="s">
        <v>699</v>
      </c>
      <c r="D53" s="137">
        <v>2600000</v>
      </c>
      <c r="E53" s="20" t="s">
        <v>478</v>
      </c>
      <c r="F53" s="20" t="s">
        <v>423</v>
      </c>
      <c r="G53" s="8" t="str">
        <f t="shared" si="0"/>
        <v>DAVIDSON DAVID</v>
      </c>
      <c r="H53" s="20" t="str">
        <f t="shared" si="1"/>
        <v>4005</v>
      </c>
    </row>
    <row r="54" spans="1:8" x14ac:dyDescent="0.25">
      <c r="A54" s="8">
        <v>43068.2887962963</v>
      </c>
      <c r="B54" s="20" t="s">
        <v>361</v>
      </c>
      <c r="C54" s="20" t="s">
        <v>700</v>
      </c>
      <c r="D54" s="137">
        <v>3090000</v>
      </c>
      <c r="E54" s="20" t="s">
        <v>452</v>
      </c>
      <c r="F54" s="20" t="s">
        <v>453</v>
      </c>
      <c r="G54" s="8" t="str">
        <f t="shared" si="0"/>
        <v>LAMAR NEKESHA</v>
      </c>
      <c r="H54" s="20" t="str">
        <f t="shared" si="1"/>
        <v>4017</v>
      </c>
    </row>
    <row r="55" spans="1:8" x14ac:dyDescent="0.25">
      <c r="A55" s="8">
        <v>43068.289976851855</v>
      </c>
      <c r="B55" s="20" t="s">
        <v>634</v>
      </c>
      <c r="C55" s="20" t="s">
        <v>701</v>
      </c>
      <c r="D55" s="137">
        <v>3840000</v>
      </c>
      <c r="E55" s="20" t="s">
        <v>481</v>
      </c>
      <c r="F55" s="20" t="s">
        <v>482</v>
      </c>
      <c r="G55" s="8" t="str">
        <f t="shared" si="0"/>
        <v>LONG FULLER</v>
      </c>
      <c r="H55" s="20" t="str">
        <f t="shared" si="1"/>
        <v>4032</v>
      </c>
    </row>
    <row r="56" spans="1:8" x14ac:dyDescent="0.25">
      <c r="A56" s="8">
        <v>43068.300416666665</v>
      </c>
      <c r="B56" s="20" t="s">
        <v>450</v>
      </c>
      <c r="C56" s="20" t="s">
        <v>623</v>
      </c>
      <c r="D56" s="137">
        <v>3120000</v>
      </c>
      <c r="E56" s="20" t="s">
        <v>528</v>
      </c>
      <c r="F56" s="20" t="s">
        <v>529</v>
      </c>
      <c r="G56" s="8" t="str">
        <f t="shared" si="0"/>
        <v>THOMPSON LESTER</v>
      </c>
      <c r="H56" s="20" t="str">
        <f t="shared" si="1"/>
        <v>4026</v>
      </c>
    </row>
    <row r="57" spans="1:8" x14ac:dyDescent="0.25">
      <c r="A57" s="8">
        <v>43068.306331018517</v>
      </c>
      <c r="B57" s="20" t="s">
        <v>663</v>
      </c>
      <c r="C57" s="20" t="s">
        <v>702</v>
      </c>
      <c r="D57" s="137">
        <v>2440000</v>
      </c>
      <c r="E57" s="20" t="s">
        <v>665</v>
      </c>
      <c r="F57" s="20" t="s">
        <v>666</v>
      </c>
      <c r="G57" s="8" t="str">
        <f t="shared" si="0"/>
        <v>LOPES KIMBERLY</v>
      </c>
      <c r="H57" s="20" t="str">
        <f t="shared" si="1"/>
        <v>4065</v>
      </c>
    </row>
    <row r="58" spans="1:8" x14ac:dyDescent="0.25">
      <c r="A58" s="8">
        <v>43068.307372685187</v>
      </c>
      <c r="B58" s="20" t="s">
        <v>644</v>
      </c>
      <c r="C58" s="20" t="s">
        <v>703</v>
      </c>
      <c r="D58" s="137">
        <v>3000000</v>
      </c>
      <c r="E58" s="20" t="s">
        <v>679</v>
      </c>
      <c r="F58" s="20" t="s">
        <v>680</v>
      </c>
      <c r="G58" s="8" t="str">
        <f t="shared" si="0"/>
        <v>FORTUNATO FRANK</v>
      </c>
      <c r="H58" s="20" t="str">
        <f t="shared" si="1"/>
        <v>4020</v>
      </c>
    </row>
    <row r="59" spans="1:8" x14ac:dyDescent="0.25">
      <c r="A59" s="8">
        <v>43068.309884259259</v>
      </c>
      <c r="B59" s="20" t="s">
        <v>624</v>
      </c>
      <c r="C59" s="20" t="s">
        <v>625</v>
      </c>
      <c r="D59" s="137">
        <v>3840000</v>
      </c>
      <c r="E59" s="20" t="s">
        <v>481</v>
      </c>
      <c r="F59" s="20" t="s">
        <v>482</v>
      </c>
      <c r="G59" s="8" t="str">
        <f t="shared" si="0"/>
        <v>LONG FULLER</v>
      </c>
      <c r="H59" s="20" t="str">
        <f t="shared" si="1"/>
        <v>4031</v>
      </c>
    </row>
    <row r="60" spans="1:8" x14ac:dyDescent="0.25">
      <c r="A60" s="8">
        <v>43068.310636574075</v>
      </c>
      <c r="B60" s="20" t="s">
        <v>473</v>
      </c>
      <c r="C60" s="20" t="s">
        <v>627</v>
      </c>
      <c r="D60" s="137">
        <v>3790000</v>
      </c>
      <c r="E60" s="20" t="s">
        <v>474</v>
      </c>
      <c r="F60" s="20" t="s">
        <v>475</v>
      </c>
      <c r="G60" s="8" t="str">
        <f t="shared" si="0"/>
        <v>NICHOLAS PLOYSA</v>
      </c>
      <c r="H60" s="20" t="str">
        <f t="shared" si="1"/>
        <v>4021</v>
      </c>
    </row>
    <row r="61" spans="1:8" x14ac:dyDescent="0.25">
      <c r="A61" s="8">
        <v>43068.317118055558</v>
      </c>
      <c r="B61" s="20" t="s">
        <v>672</v>
      </c>
      <c r="C61" s="20" t="s">
        <v>704</v>
      </c>
      <c r="D61" s="137">
        <v>1230000</v>
      </c>
      <c r="E61" s="20" t="s">
        <v>531</v>
      </c>
      <c r="F61" s="20" t="s">
        <v>532</v>
      </c>
      <c r="G61" s="8" t="str">
        <f t="shared" si="0"/>
        <v>YANAI IAN</v>
      </c>
      <c r="H61" s="20" t="str">
        <f t="shared" si="1"/>
        <v>4027</v>
      </c>
    </row>
    <row r="62" spans="1:8" x14ac:dyDescent="0.25">
      <c r="A62" s="8">
        <v>43068.317349537036</v>
      </c>
      <c r="B62" s="20" t="s">
        <v>359</v>
      </c>
      <c r="C62" s="20" t="s">
        <v>626</v>
      </c>
      <c r="D62" s="137">
        <v>3090000</v>
      </c>
      <c r="E62" s="20" t="s">
        <v>452</v>
      </c>
      <c r="F62" s="20" t="s">
        <v>453</v>
      </c>
      <c r="G62" s="8" t="str">
        <f t="shared" si="0"/>
        <v>LAMAR NEKESHA</v>
      </c>
      <c r="H62" s="20" t="str">
        <f t="shared" si="1"/>
        <v>4018</v>
      </c>
    </row>
    <row r="63" spans="1:8" x14ac:dyDescent="0.25">
      <c r="A63" s="8">
        <v>43068.317499999997</v>
      </c>
      <c r="B63" s="20" t="s">
        <v>523</v>
      </c>
      <c r="C63" s="20" t="s">
        <v>705</v>
      </c>
      <c r="D63" s="137">
        <v>1830000</v>
      </c>
      <c r="E63" s="20" t="s">
        <v>347</v>
      </c>
      <c r="F63" s="20" t="s">
        <v>348</v>
      </c>
      <c r="G63" s="8" t="str">
        <f t="shared" si="0"/>
        <v>YORK EDGAR</v>
      </c>
      <c r="H63" s="20" t="str">
        <f t="shared" si="1"/>
        <v>4002</v>
      </c>
    </row>
    <row r="64" spans="1:8" x14ac:dyDescent="0.25">
      <c r="A64" s="26">
        <v>43068.329270833332</v>
      </c>
      <c r="B64" s="20" t="s">
        <v>667</v>
      </c>
      <c r="C64" s="20" t="s">
        <v>706</v>
      </c>
      <c r="D64" s="137">
        <v>2600000</v>
      </c>
      <c r="E64" s="20" t="s">
        <v>478</v>
      </c>
      <c r="F64" s="20" t="s">
        <v>423</v>
      </c>
      <c r="G64" s="8" t="str">
        <f t="shared" si="0"/>
        <v>DAVIDSON DAVID</v>
      </c>
      <c r="H64" s="20" t="str">
        <f t="shared" si="1"/>
        <v>4006</v>
      </c>
    </row>
    <row r="65" spans="1:8" x14ac:dyDescent="0.25">
      <c r="A65" s="8">
        <v>43068.331296296295</v>
      </c>
      <c r="B65" s="20" t="s">
        <v>361</v>
      </c>
      <c r="C65" s="20" t="s">
        <v>628</v>
      </c>
      <c r="D65" s="137">
        <v>3090000</v>
      </c>
      <c r="E65" s="20" t="s">
        <v>452</v>
      </c>
      <c r="F65" s="20" t="s">
        <v>453</v>
      </c>
      <c r="G65" s="8" t="str">
        <f t="shared" si="0"/>
        <v>LAMAR NEKESHA</v>
      </c>
      <c r="H65" s="20" t="str">
        <f t="shared" si="1"/>
        <v>4017</v>
      </c>
    </row>
    <row r="66" spans="1:8" x14ac:dyDescent="0.25">
      <c r="A66" s="8">
        <v>43068.332812499997</v>
      </c>
      <c r="B66" s="20" t="s">
        <v>634</v>
      </c>
      <c r="C66" s="20" t="s">
        <v>707</v>
      </c>
      <c r="D66" s="137">
        <v>3840000</v>
      </c>
      <c r="E66" s="20" t="s">
        <v>481</v>
      </c>
      <c r="F66" s="20" t="s">
        <v>482</v>
      </c>
      <c r="G66" s="8" t="str">
        <f t="shared" si="0"/>
        <v>LONG FULLER</v>
      </c>
      <c r="H66" s="20" t="str">
        <f t="shared" si="1"/>
        <v>4032</v>
      </c>
    </row>
    <row r="67" spans="1:8" x14ac:dyDescent="0.25">
      <c r="A67" s="8">
        <v>43068.33902777778</v>
      </c>
      <c r="B67" s="20" t="s">
        <v>669</v>
      </c>
      <c r="C67" s="20" t="s">
        <v>708</v>
      </c>
      <c r="D67" s="137">
        <v>2440000</v>
      </c>
      <c r="E67" s="20" t="s">
        <v>665</v>
      </c>
      <c r="F67" s="20" t="s">
        <v>666</v>
      </c>
      <c r="G67" s="8" t="str">
        <f t="shared" ref="G67:G130" si="2">E67&amp;" "&amp;F67</f>
        <v>LOPES KIMBERLY</v>
      </c>
      <c r="H67" s="20" t="str">
        <f t="shared" ref="H67:H130" si="3">MID(B67,13,4)</f>
        <v>4066</v>
      </c>
    </row>
    <row r="68" spans="1:8" x14ac:dyDescent="0.25">
      <c r="A68" s="8">
        <v>43068.339178240742</v>
      </c>
      <c r="B68" s="20" t="s">
        <v>479</v>
      </c>
      <c r="C68" s="20" t="s">
        <v>709</v>
      </c>
      <c r="D68" s="137">
        <v>3000000</v>
      </c>
      <c r="E68" s="20" t="s">
        <v>679</v>
      </c>
      <c r="F68" s="20" t="s">
        <v>680</v>
      </c>
      <c r="G68" s="8" t="str">
        <f t="shared" si="2"/>
        <v>FORTUNATO FRANK</v>
      </c>
      <c r="H68" s="20" t="str">
        <f t="shared" si="3"/>
        <v>4019</v>
      </c>
    </row>
    <row r="69" spans="1:8" x14ac:dyDescent="0.25">
      <c r="A69" s="8">
        <v>43068.34070601852</v>
      </c>
      <c r="B69" s="20" t="s">
        <v>449</v>
      </c>
      <c r="C69" s="20" t="s">
        <v>710</v>
      </c>
      <c r="D69" s="137">
        <v>3120000</v>
      </c>
      <c r="E69" s="20" t="s">
        <v>528</v>
      </c>
      <c r="F69" s="20" t="s">
        <v>529</v>
      </c>
      <c r="G69" s="8" t="str">
        <f t="shared" si="2"/>
        <v>THOMPSON LESTER</v>
      </c>
      <c r="H69" s="20" t="str">
        <f t="shared" si="3"/>
        <v>4025</v>
      </c>
    </row>
    <row r="70" spans="1:8" x14ac:dyDescent="0.25">
      <c r="A70" s="8">
        <v>43068.350451388891</v>
      </c>
      <c r="B70" s="20" t="s">
        <v>378</v>
      </c>
      <c r="C70" s="20" t="s">
        <v>711</v>
      </c>
      <c r="D70" s="137">
        <v>3790000</v>
      </c>
      <c r="E70" s="20" t="s">
        <v>474</v>
      </c>
      <c r="F70" s="20" t="s">
        <v>475</v>
      </c>
      <c r="G70" s="8" t="str">
        <f t="shared" si="2"/>
        <v>NICHOLAS PLOYSA</v>
      </c>
      <c r="H70" s="20" t="str">
        <f t="shared" si="3"/>
        <v>4022</v>
      </c>
    </row>
    <row r="71" spans="1:8" x14ac:dyDescent="0.25">
      <c r="A71" s="8">
        <v>43068.351585648146</v>
      </c>
      <c r="B71" s="20" t="s">
        <v>624</v>
      </c>
      <c r="C71" s="20" t="s">
        <v>712</v>
      </c>
      <c r="D71" s="137">
        <v>3840000</v>
      </c>
      <c r="E71" s="20" t="s">
        <v>481</v>
      </c>
      <c r="F71" s="20" t="s">
        <v>482</v>
      </c>
      <c r="G71" s="8" t="str">
        <f t="shared" si="2"/>
        <v>LONG FULLER</v>
      </c>
      <c r="H71" s="20" t="str">
        <f t="shared" si="3"/>
        <v>4031</v>
      </c>
    </row>
    <row r="72" spans="1:8" x14ac:dyDescent="0.25">
      <c r="A72" s="8">
        <v>43068.353217592594</v>
      </c>
      <c r="B72" s="20" t="s">
        <v>359</v>
      </c>
      <c r="C72" s="20" t="s">
        <v>629</v>
      </c>
      <c r="D72" s="137">
        <v>3090000</v>
      </c>
      <c r="E72" s="20" t="s">
        <v>452</v>
      </c>
      <c r="F72" s="20" t="s">
        <v>453</v>
      </c>
      <c r="G72" s="8" t="str">
        <f t="shared" si="2"/>
        <v>LAMAR NEKESHA</v>
      </c>
      <c r="H72" s="20" t="str">
        <f t="shared" si="3"/>
        <v>4018</v>
      </c>
    </row>
    <row r="73" spans="1:8" x14ac:dyDescent="0.25">
      <c r="A73" s="8">
        <v>43068.35659722222</v>
      </c>
      <c r="B73" s="20" t="s">
        <v>359</v>
      </c>
      <c r="C73" s="20" t="s">
        <v>629</v>
      </c>
      <c r="D73" s="137">
        <v>3090000</v>
      </c>
      <c r="E73" s="20" t="s">
        <v>452</v>
      </c>
      <c r="F73" s="20" t="s">
        <v>453</v>
      </c>
      <c r="G73" s="8" t="str">
        <f t="shared" si="2"/>
        <v>LAMAR NEKESHA</v>
      </c>
      <c r="H73" s="20" t="str">
        <f t="shared" si="3"/>
        <v>4018</v>
      </c>
    </row>
    <row r="74" spans="1:8" x14ac:dyDescent="0.25">
      <c r="A74" s="8">
        <v>43068.359178240738</v>
      </c>
      <c r="B74" s="20" t="s">
        <v>620</v>
      </c>
      <c r="C74" s="20" t="s">
        <v>713</v>
      </c>
      <c r="D74" s="137">
        <v>1230000</v>
      </c>
      <c r="E74" s="20" t="s">
        <v>531</v>
      </c>
      <c r="F74" s="20" t="s">
        <v>532</v>
      </c>
      <c r="G74" s="8" t="str">
        <f t="shared" si="2"/>
        <v>YANAI IAN</v>
      </c>
      <c r="H74" s="20" t="str">
        <f t="shared" si="3"/>
        <v>4028</v>
      </c>
    </row>
    <row r="75" spans="1:8" x14ac:dyDescent="0.25">
      <c r="A75" s="8">
        <v>43068.360138888886</v>
      </c>
      <c r="B75" s="20" t="s">
        <v>653</v>
      </c>
      <c r="C75" s="20" t="s">
        <v>714</v>
      </c>
      <c r="D75" s="137">
        <v>2600000</v>
      </c>
      <c r="E75" s="20" t="s">
        <v>478</v>
      </c>
      <c r="F75" s="20" t="s">
        <v>423</v>
      </c>
      <c r="G75" s="8" t="str">
        <f t="shared" si="2"/>
        <v>DAVIDSON DAVID</v>
      </c>
      <c r="H75" s="20" t="str">
        <f t="shared" si="3"/>
        <v>4005</v>
      </c>
    </row>
    <row r="76" spans="1:8" x14ac:dyDescent="0.25">
      <c r="A76" s="8">
        <v>43068.360520833332</v>
      </c>
      <c r="B76" s="20" t="s">
        <v>526</v>
      </c>
      <c r="C76" s="20" t="s">
        <v>715</v>
      </c>
      <c r="D76" s="137">
        <v>1830000</v>
      </c>
      <c r="E76" s="20" t="s">
        <v>347</v>
      </c>
      <c r="F76" s="20" t="s">
        <v>348</v>
      </c>
      <c r="G76" s="8" t="str">
        <f t="shared" si="2"/>
        <v>YORK EDGAR</v>
      </c>
      <c r="H76" s="20" t="str">
        <f t="shared" si="3"/>
        <v>4001</v>
      </c>
    </row>
    <row r="77" spans="1:8" x14ac:dyDescent="0.25">
      <c r="A77" s="8">
        <v>43068.366226851853</v>
      </c>
      <c r="B77" s="20" t="s">
        <v>533</v>
      </c>
      <c r="C77" s="20" t="s">
        <v>631</v>
      </c>
      <c r="D77" s="137">
        <v>2470000</v>
      </c>
      <c r="E77" s="20" t="s">
        <v>716</v>
      </c>
      <c r="F77" s="20" t="s">
        <v>717</v>
      </c>
      <c r="G77" s="8" t="str">
        <f t="shared" si="2"/>
        <v>ROMERO CHAD</v>
      </c>
      <c r="H77" s="20" t="str">
        <f t="shared" si="3"/>
        <v>4049</v>
      </c>
    </row>
    <row r="78" spans="1:8" x14ac:dyDescent="0.25">
      <c r="A78" s="8">
        <v>43068.368738425925</v>
      </c>
      <c r="B78" s="20" t="s">
        <v>533</v>
      </c>
      <c r="C78" s="20" t="s">
        <v>631</v>
      </c>
      <c r="D78" s="137">
        <v>2470000</v>
      </c>
      <c r="E78" s="20" t="s">
        <v>716</v>
      </c>
      <c r="F78" s="20" t="s">
        <v>717</v>
      </c>
      <c r="G78" s="8" t="str">
        <f t="shared" si="2"/>
        <v>ROMERO CHAD</v>
      </c>
      <c r="H78" s="20" t="str">
        <f t="shared" si="3"/>
        <v>4049</v>
      </c>
    </row>
    <row r="79" spans="1:8" x14ac:dyDescent="0.25">
      <c r="A79" s="8">
        <v>43068.370324074072</v>
      </c>
      <c r="B79" s="20" t="s">
        <v>527</v>
      </c>
      <c r="C79" s="20" t="s">
        <v>630</v>
      </c>
      <c r="D79" s="137">
        <v>3180000</v>
      </c>
      <c r="E79" s="20" t="s">
        <v>718</v>
      </c>
      <c r="F79" s="20" t="s">
        <v>719</v>
      </c>
      <c r="G79" s="8" t="str">
        <f t="shared" si="2"/>
        <v>HUFFSMITH MONTY</v>
      </c>
      <c r="H79" s="20" t="str">
        <f t="shared" si="3"/>
        <v>4058</v>
      </c>
    </row>
    <row r="80" spans="1:8" x14ac:dyDescent="0.25">
      <c r="A80" s="8">
        <v>43068.372488425928</v>
      </c>
      <c r="B80" s="20" t="s">
        <v>450</v>
      </c>
      <c r="C80" s="20" t="s">
        <v>720</v>
      </c>
      <c r="D80" s="137">
        <v>3120000</v>
      </c>
      <c r="E80" s="20" t="s">
        <v>528</v>
      </c>
      <c r="F80" s="20" t="s">
        <v>529</v>
      </c>
      <c r="G80" s="8" t="str">
        <f t="shared" si="2"/>
        <v>THOMPSON LESTER</v>
      </c>
      <c r="H80" s="20" t="str">
        <f t="shared" si="3"/>
        <v>4026</v>
      </c>
    </row>
    <row r="81" spans="1:8" x14ac:dyDescent="0.25">
      <c r="A81" s="8">
        <v>43068.37259259259</v>
      </c>
      <c r="B81" s="20" t="s">
        <v>527</v>
      </c>
      <c r="C81" s="20" t="s">
        <v>630</v>
      </c>
      <c r="D81" s="137">
        <v>3180000</v>
      </c>
      <c r="E81" s="20" t="s">
        <v>718</v>
      </c>
      <c r="F81" s="20" t="s">
        <v>719</v>
      </c>
      <c r="G81" s="8" t="str">
        <f t="shared" si="2"/>
        <v>HUFFSMITH MONTY</v>
      </c>
      <c r="H81" s="20" t="str">
        <f t="shared" si="3"/>
        <v>4058</v>
      </c>
    </row>
    <row r="82" spans="1:8" x14ac:dyDescent="0.25">
      <c r="A82" s="8">
        <v>43068.374814814815</v>
      </c>
      <c r="B82" s="20" t="s">
        <v>634</v>
      </c>
      <c r="C82" s="20" t="s">
        <v>721</v>
      </c>
      <c r="D82" s="137">
        <v>3840000</v>
      </c>
      <c r="E82" s="20" t="s">
        <v>481</v>
      </c>
      <c r="F82" s="20" t="s">
        <v>482</v>
      </c>
      <c r="G82" s="8" t="str">
        <f t="shared" si="2"/>
        <v>LONG FULLER</v>
      </c>
      <c r="H82" s="20" t="str">
        <f t="shared" si="3"/>
        <v>4032</v>
      </c>
    </row>
    <row r="83" spans="1:8" x14ac:dyDescent="0.25">
      <c r="A83" s="8">
        <v>43068.377349537041</v>
      </c>
      <c r="B83" s="20" t="s">
        <v>663</v>
      </c>
      <c r="C83" s="20" t="s">
        <v>722</v>
      </c>
      <c r="D83" s="137">
        <v>2440000</v>
      </c>
      <c r="E83" s="20" t="s">
        <v>665</v>
      </c>
      <c r="F83" s="20" t="s">
        <v>666</v>
      </c>
      <c r="G83" s="8" t="str">
        <f t="shared" si="2"/>
        <v>LOPES KIMBERLY</v>
      </c>
      <c r="H83" s="20" t="str">
        <f t="shared" si="3"/>
        <v>4065</v>
      </c>
    </row>
    <row r="84" spans="1:8" x14ac:dyDescent="0.25">
      <c r="A84" s="8">
        <v>43068.381678240738</v>
      </c>
      <c r="B84" s="20" t="s">
        <v>473</v>
      </c>
      <c r="C84" s="20" t="s">
        <v>723</v>
      </c>
      <c r="D84" s="137">
        <v>3790000</v>
      </c>
      <c r="E84" s="20" t="s">
        <v>474</v>
      </c>
      <c r="F84" s="20" t="s">
        <v>475</v>
      </c>
      <c r="G84" s="8" t="str">
        <f t="shared" si="2"/>
        <v>NICHOLAS PLOYSA</v>
      </c>
      <c r="H84" s="20" t="str">
        <f t="shared" si="3"/>
        <v>4021</v>
      </c>
    </row>
    <row r="85" spans="1:8" x14ac:dyDescent="0.25">
      <c r="A85" s="8">
        <v>43068.383969907409</v>
      </c>
      <c r="B85" s="20" t="s">
        <v>644</v>
      </c>
      <c r="C85" s="20" t="s">
        <v>724</v>
      </c>
      <c r="D85" s="137">
        <v>3000000</v>
      </c>
      <c r="E85" s="20" t="s">
        <v>679</v>
      </c>
      <c r="F85" s="20" t="s">
        <v>680</v>
      </c>
      <c r="G85" s="8" t="str">
        <f t="shared" si="2"/>
        <v>FORTUNATO FRANK</v>
      </c>
      <c r="H85" s="20" t="str">
        <f t="shared" si="3"/>
        <v>4020</v>
      </c>
    </row>
    <row r="86" spans="1:8" x14ac:dyDescent="0.25">
      <c r="A86" s="8">
        <v>43068.388692129629</v>
      </c>
      <c r="B86" s="20" t="s">
        <v>534</v>
      </c>
      <c r="C86" s="20" t="s">
        <v>725</v>
      </c>
      <c r="D86" s="137">
        <v>2470000</v>
      </c>
      <c r="E86" s="20" t="s">
        <v>716</v>
      </c>
      <c r="F86" s="20" t="s">
        <v>717</v>
      </c>
      <c r="G86" s="8" t="str">
        <f t="shared" si="2"/>
        <v>ROMERO CHAD</v>
      </c>
      <c r="H86" s="20" t="str">
        <f t="shared" si="3"/>
        <v>4050</v>
      </c>
    </row>
    <row r="87" spans="1:8" x14ac:dyDescent="0.25">
      <c r="A87" s="8">
        <v>43068.391041666669</v>
      </c>
      <c r="B87" s="20" t="s">
        <v>672</v>
      </c>
      <c r="C87" s="20" t="s">
        <v>726</v>
      </c>
      <c r="D87" s="137">
        <v>1230000</v>
      </c>
      <c r="E87" s="20" t="s">
        <v>531</v>
      </c>
      <c r="F87" s="20" t="s">
        <v>532</v>
      </c>
      <c r="G87" s="8" t="str">
        <f t="shared" si="2"/>
        <v>YANAI IAN</v>
      </c>
      <c r="H87" s="20" t="str">
        <f t="shared" si="3"/>
        <v>4027</v>
      </c>
    </row>
    <row r="88" spans="1:8" x14ac:dyDescent="0.25">
      <c r="A88" s="8">
        <v>43068.391516203701</v>
      </c>
      <c r="B88" s="20" t="s">
        <v>523</v>
      </c>
      <c r="C88" s="20" t="s">
        <v>727</v>
      </c>
      <c r="D88" s="137">
        <v>1830000</v>
      </c>
      <c r="E88" s="20" t="s">
        <v>347</v>
      </c>
      <c r="F88" s="20" t="s">
        <v>348</v>
      </c>
      <c r="G88" s="8" t="str">
        <f t="shared" si="2"/>
        <v>YORK EDGAR</v>
      </c>
      <c r="H88" s="20" t="str">
        <f t="shared" si="3"/>
        <v>4002</v>
      </c>
    </row>
    <row r="89" spans="1:8" x14ac:dyDescent="0.25">
      <c r="A89" s="8">
        <v>43068.392523148148</v>
      </c>
      <c r="B89" s="20" t="s">
        <v>530</v>
      </c>
      <c r="C89" s="20" t="s">
        <v>636</v>
      </c>
      <c r="D89" s="137">
        <v>3180000</v>
      </c>
      <c r="E89" s="20" t="s">
        <v>718</v>
      </c>
      <c r="F89" s="20" t="s">
        <v>719</v>
      </c>
      <c r="G89" s="8" t="str">
        <f t="shared" si="2"/>
        <v>HUFFSMITH MONTY</v>
      </c>
      <c r="H89" s="20" t="str">
        <f t="shared" si="3"/>
        <v>4057</v>
      </c>
    </row>
    <row r="90" spans="1:8" x14ac:dyDescent="0.25">
      <c r="A90" s="8">
        <v>43068.394016203703</v>
      </c>
      <c r="B90" s="20" t="s">
        <v>624</v>
      </c>
      <c r="C90" s="20" t="s">
        <v>728</v>
      </c>
      <c r="D90" s="137">
        <v>3840000</v>
      </c>
      <c r="E90" s="20" t="s">
        <v>481</v>
      </c>
      <c r="F90" s="20" t="s">
        <v>482</v>
      </c>
      <c r="G90" s="8" t="str">
        <f t="shared" si="2"/>
        <v>LONG FULLER</v>
      </c>
      <c r="H90" s="20" t="str">
        <f t="shared" si="3"/>
        <v>4031</v>
      </c>
    </row>
    <row r="91" spans="1:8" x14ac:dyDescent="0.25">
      <c r="A91" s="8">
        <v>43068.401828703703</v>
      </c>
      <c r="B91" s="20" t="s">
        <v>667</v>
      </c>
      <c r="C91" s="20" t="s">
        <v>729</v>
      </c>
      <c r="D91" s="137">
        <v>2600000</v>
      </c>
      <c r="E91" s="20" t="s">
        <v>478</v>
      </c>
      <c r="F91" s="20" t="s">
        <v>423</v>
      </c>
      <c r="G91" s="8" t="str">
        <f t="shared" si="2"/>
        <v>DAVIDSON DAVID</v>
      </c>
      <c r="H91" s="20" t="str">
        <f t="shared" si="3"/>
        <v>4006</v>
      </c>
    </row>
    <row r="92" spans="1:8" x14ac:dyDescent="0.25">
      <c r="A92" s="8">
        <v>43068.411180555559</v>
      </c>
      <c r="B92" s="20" t="s">
        <v>669</v>
      </c>
      <c r="C92" s="20" t="s">
        <v>730</v>
      </c>
      <c r="D92" s="137">
        <v>2440000</v>
      </c>
      <c r="E92" s="20" t="s">
        <v>665</v>
      </c>
      <c r="F92" s="20" t="s">
        <v>666</v>
      </c>
      <c r="G92" s="8" t="str">
        <f t="shared" si="2"/>
        <v>LOPES KIMBERLY</v>
      </c>
      <c r="H92" s="20" t="str">
        <f t="shared" si="3"/>
        <v>4066</v>
      </c>
    </row>
    <row r="93" spans="1:8" x14ac:dyDescent="0.25">
      <c r="A93" s="8">
        <v>43068.412268518521</v>
      </c>
      <c r="B93" s="20" t="s">
        <v>479</v>
      </c>
      <c r="C93" s="20" t="s">
        <v>731</v>
      </c>
      <c r="D93" s="137">
        <v>3000000</v>
      </c>
      <c r="E93" s="20" t="s">
        <v>679</v>
      </c>
      <c r="F93" s="20" t="s">
        <v>680</v>
      </c>
      <c r="G93" s="8" t="str">
        <f t="shared" si="2"/>
        <v>FORTUNATO FRANK</v>
      </c>
      <c r="H93" s="20" t="str">
        <f t="shared" si="3"/>
        <v>4019</v>
      </c>
    </row>
    <row r="94" spans="1:8" x14ac:dyDescent="0.25">
      <c r="A94" s="8">
        <v>43068.412731481483</v>
      </c>
      <c r="B94" s="20" t="s">
        <v>449</v>
      </c>
      <c r="C94" s="20" t="s">
        <v>732</v>
      </c>
      <c r="D94" s="137">
        <v>3120000</v>
      </c>
      <c r="E94" s="20" t="s">
        <v>528</v>
      </c>
      <c r="F94" s="20" t="s">
        <v>529</v>
      </c>
      <c r="G94" s="8" t="str">
        <f t="shared" si="2"/>
        <v>THOMPSON LESTER</v>
      </c>
      <c r="H94" s="20" t="str">
        <f t="shared" si="3"/>
        <v>4025</v>
      </c>
    </row>
    <row r="95" spans="1:8" x14ac:dyDescent="0.25">
      <c r="A95" s="8">
        <v>43068.414849537039</v>
      </c>
      <c r="B95" s="20" t="s">
        <v>533</v>
      </c>
      <c r="C95" s="20" t="s">
        <v>631</v>
      </c>
      <c r="D95" s="137">
        <v>2470000</v>
      </c>
      <c r="E95" s="20" t="s">
        <v>716</v>
      </c>
      <c r="F95" s="20" t="s">
        <v>717</v>
      </c>
      <c r="G95" s="8" t="str">
        <f t="shared" si="2"/>
        <v>ROMERO CHAD</v>
      </c>
      <c r="H95" s="20" t="str">
        <f t="shared" si="3"/>
        <v>4049</v>
      </c>
    </row>
    <row r="96" spans="1:8" x14ac:dyDescent="0.25">
      <c r="A96" s="8">
        <v>43068.415520833332</v>
      </c>
      <c r="B96" s="20" t="s">
        <v>634</v>
      </c>
      <c r="C96" s="20" t="s">
        <v>733</v>
      </c>
      <c r="D96" s="137">
        <v>3840000</v>
      </c>
      <c r="E96" s="20" t="s">
        <v>481</v>
      </c>
      <c r="F96" s="20" t="s">
        <v>482</v>
      </c>
      <c r="G96" s="8" t="str">
        <f t="shared" si="2"/>
        <v>LONG FULLER</v>
      </c>
      <c r="H96" s="20" t="str">
        <f t="shared" si="3"/>
        <v>4032</v>
      </c>
    </row>
    <row r="97" spans="1:8" x14ac:dyDescent="0.25">
      <c r="A97" s="8">
        <v>43068.417939814812</v>
      </c>
      <c r="B97" s="20" t="s">
        <v>527</v>
      </c>
      <c r="C97" s="20" t="s">
        <v>630</v>
      </c>
      <c r="D97" s="137">
        <v>3180000</v>
      </c>
      <c r="E97" s="20" t="s">
        <v>718</v>
      </c>
      <c r="F97" s="20" t="s">
        <v>719</v>
      </c>
      <c r="G97" s="8" t="str">
        <f t="shared" si="2"/>
        <v>HUFFSMITH MONTY</v>
      </c>
      <c r="H97" s="20" t="str">
        <f t="shared" si="3"/>
        <v>4058</v>
      </c>
    </row>
    <row r="98" spans="1:8" x14ac:dyDescent="0.25">
      <c r="A98" s="8">
        <v>43068.421435185184</v>
      </c>
      <c r="B98" s="20" t="s">
        <v>526</v>
      </c>
      <c r="C98" s="20" t="s">
        <v>734</v>
      </c>
      <c r="D98" s="137">
        <v>1830000</v>
      </c>
      <c r="E98" s="20" t="s">
        <v>347</v>
      </c>
      <c r="F98" s="20" t="s">
        <v>348</v>
      </c>
      <c r="G98" s="8" t="str">
        <f t="shared" si="2"/>
        <v>YORK EDGAR</v>
      </c>
      <c r="H98" s="20" t="str">
        <f t="shared" si="3"/>
        <v>4001</v>
      </c>
    </row>
    <row r="99" spans="1:8" x14ac:dyDescent="0.25">
      <c r="A99" s="8">
        <v>43068.424050925925</v>
      </c>
      <c r="B99" s="20" t="s">
        <v>378</v>
      </c>
      <c r="C99" s="20" t="s">
        <v>632</v>
      </c>
      <c r="D99" s="137">
        <v>3090000</v>
      </c>
      <c r="E99" s="20" t="s">
        <v>452</v>
      </c>
      <c r="F99" s="20" t="s">
        <v>453</v>
      </c>
      <c r="G99" s="8" t="str">
        <f t="shared" si="2"/>
        <v>LAMAR NEKESHA</v>
      </c>
      <c r="H99" s="20" t="str">
        <f t="shared" si="3"/>
        <v>4022</v>
      </c>
    </row>
    <row r="100" spans="1:8" x14ac:dyDescent="0.25">
      <c r="A100" s="8">
        <v>43068.431886574072</v>
      </c>
      <c r="B100" s="20" t="s">
        <v>620</v>
      </c>
      <c r="C100" s="20" t="s">
        <v>735</v>
      </c>
      <c r="D100" s="137">
        <v>1230000</v>
      </c>
      <c r="E100" s="20" t="s">
        <v>531</v>
      </c>
      <c r="F100" s="20" t="s">
        <v>532</v>
      </c>
      <c r="G100" s="8" t="str">
        <f t="shared" si="2"/>
        <v>YANAI IAN</v>
      </c>
      <c r="H100" s="20" t="str">
        <f t="shared" si="3"/>
        <v>4028</v>
      </c>
    </row>
    <row r="101" spans="1:8" x14ac:dyDescent="0.25">
      <c r="A101" s="8">
        <v>43068.433217592596</v>
      </c>
      <c r="B101" s="20" t="s">
        <v>653</v>
      </c>
      <c r="C101" s="20" t="s">
        <v>736</v>
      </c>
      <c r="D101" s="137">
        <v>2600000</v>
      </c>
      <c r="E101" s="20" t="s">
        <v>478</v>
      </c>
      <c r="F101" s="20" t="s">
        <v>423</v>
      </c>
      <c r="G101" s="8" t="str">
        <f t="shared" si="2"/>
        <v>DAVIDSON DAVID</v>
      </c>
      <c r="H101" s="20" t="str">
        <f t="shared" si="3"/>
        <v>4005</v>
      </c>
    </row>
    <row r="102" spans="1:8" x14ac:dyDescent="0.25">
      <c r="A102" s="8">
        <v>43068.434317129628</v>
      </c>
      <c r="B102" s="20" t="s">
        <v>624</v>
      </c>
      <c r="C102" s="20" t="s">
        <v>737</v>
      </c>
      <c r="D102" s="137">
        <v>3840000</v>
      </c>
      <c r="E102" s="20" t="s">
        <v>481</v>
      </c>
      <c r="F102" s="20" t="s">
        <v>482</v>
      </c>
      <c r="G102" s="8" t="str">
        <f t="shared" si="2"/>
        <v>LONG FULLER</v>
      </c>
      <c r="H102" s="20" t="str">
        <f t="shared" si="3"/>
        <v>4031</v>
      </c>
    </row>
    <row r="103" spans="1:8" x14ac:dyDescent="0.25">
      <c r="A103" s="8">
        <v>43068.442118055558</v>
      </c>
      <c r="B103" s="20" t="s">
        <v>534</v>
      </c>
      <c r="C103" s="20" t="s">
        <v>633</v>
      </c>
      <c r="D103" s="137">
        <v>3260000</v>
      </c>
      <c r="E103" s="20" t="s">
        <v>738</v>
      </c>
      <c r="F103" s="20" t="s">
        <v>739</v>
      </c>
      <c r="G103" s="8" t="str">
        <f t="shared" si="2"/>
        <v>PAGE MARCUS</v>
      </c>
      <c r="H103" s="20" t="str">
        <f t="shared" si="3"/>
        <v>4050</v>
      </c>
    </row>
    <row r="104" spans="1:8" x14ac:dyDescent="0.25">
      <c r="A104" s="8">
        <v>43068.444930555554</v>
      </c>
      <c r="B104" s="20" t="s">
        <v>740</v>
      </c>
      <c r="C104" s="20" t="s">
        <v>741</v>
      </c>
      <c r="D104" s="137">
        <v>2040000</v>
      </c>
      <c r="E104" s="20" t="s">
        <v>387</v>
      </c>
      <c r="F104" s="20" t="s">
        <v>388</v>
      </c>
      <c r="G104" s="8" t="str">
        <f t="shared" si="2"/>
        <v>MOSES BRADLEY</v>
      </c>
      <c r="H104" s="20" t="str">
        <f t="shared" si="3"/>
        <v>4045</v>
      </c>
    </row>
    <row r="105" spans="1:8" x14ac:dyDescent="0.25">
      <c r="A105" s="8">
        <v>43068.445740740739</v>
      </c>
      <c r="B105" s="20" t="s">
        <v>450</v>
      </c>
      <c r="C105" s="20" t="s">
        <v>742</v>
      </c>
      <c r="D105" s="137">
        <v>920000</v>
      </c>
      <c r="E105" s="20" t="s">
        <v>433</v>
      </c>
      <c r="F105" s="20" t="s">
        <v>353</v>
      </c>
      <c r="G105" s="8" t="str">
        <f t="shared" si="2"/>
        <v>DAVIS MICHAEL</v>
      </c>
      <c r="H105" s="20" t="str">
        <f t="shared" si="3"/>
        <v>4026</v>
      </c>
    </row>
    <row r="106" spans="1:8" x14ac:dyDescent="0.25">
      <c r="A106" s="8">
        <v>43068.448831018519</v>
      </c>
      <c r="B106" s="20" t="s">
        <v>530</v>
      </c>
      <c r="C106" s="20" t="s">
        <v>636</v>
      </c>
      <c r="D106" s="137">
        <v>3180000</v>
      </c>
      <c r="E106" s="20" t="s">
        <v>718</v>
      </c>
      <c r="F106" s="20" t="s">
        <v>719</v>
      </c>
      <c r="G106" s="8" t="str">
        <f t="shared" si="2"/>
        <v>HUFFSMITH MONTY</v>
      </c>
      <c r="H106" s="20" t="str">
        <f t="shared" si="3"/>
        <v>4057</v>
      </c>
    </row>
    <row r="107" spans="1:8" x14ac:dyDescent="0.25">
      <c r="A107" s="8">
        <v>43068.449606481481</v>
      </c>
      <c r="B107" s="20" t="s">
        <v>663</v>
      </c>
      <c r="C107" s="20" t="s">
        <v>743</v>
      </c>
      <c r="D107" s="137">
        <v>2440000</v>
      </c>
      <c r="E107" s="20" t="s">
        <v>665</v>
      </c>
      <c r="F107" s="20" t="s">
        <v>666</v>
      </c>
      <c r="G107" s="8" t="str">
        <f t="shared" si="2"/>
        <v>LOPES KIMBERLY</v>
      </c>
      <c r="H107" s="20" t="str">
        <f t="shared" si="3"/>
        <v>4065</v>
      </c>
    </row>
    <row r="108" spans="1:8" x14ac:dyDescent="0.25">
      <c r="A108" s="8">
        <v>43068.452951388892</v>
      </c>
      <c r="B108" s="20" t="s">
        <v>644</v>
      </c>
      <c r="C108" s="20" t="s">
        <v>744</v>
      </c>
      <c r="D108" s="137">
        <v>3000000</v>
      </c>
      <c r="E108" s="20" t="s">
        <v>679</v>
      </c>
      <c r="F108" s="20" t="s">
        <v>680</v>
      </c>
      <c r="G108" s="8" t="str">
        <f t="shared" si="2"/>
        <v>FORTUNATO FRANK</v>
      </c>
      <c r="H108" s="20" t="str">
        <f t="shared" si="3"/>
        <v>4020</v>
      </c>
    </row>
    <row r="109" spans="1:8" x14ac:dyDescent="0.25">
      <c r="A109" s="8">
        <v>43068.458275462966</v>
      </c>
      <c r="B109" s="20" t="s">
        <v>634</v>
      </c>
      <c r="C109" s="20" t="s">
        <v>635</v>
      </c>
      <c r="D109" s="137">
        <v>3840000</v>
      </c>
      <c r="E109" s="20" t="s">
        <v>481</v>
      </c>
      <c r="F109" s="20" t="s">
        <v>482</v>
      </c>
      <c r="G109" s="8" t="str">
        <f t="shared" si="2"/>
        <v>LONG FULLER</v>
      </c>
      <c r="H109" s="20" t="str">
        <f t="shared" si="3"/>
        <v>4032</v>
      </c>
    </row>
    <row r="110" spans="1:8" x14ac:dyDescent="0.25">
      <c r="A110" s="8">
        <v>43068.463090277779</v>
      </c>
      <c r="B110" s="20" t="s">
        <v>672</v>
      </c>
      <c r="C110" s="20" t="s">
        <v>745</v>
      </c>
      <c r="D110" s="137">
        <v>1230000</v>
      </c>
      <c r="E110" s="20" t="s">
        <v>531</v>
      </c>
      <c r="F110" s="20" t="s">
        <v>532</v>
      </c>
      <c r="G110" s="8" t="str">
        <f t="shared" si="2"/>
        <v>YANAI IAN</v>
      </c>
      <c r="H110" s="20" t="str">
        <f t="shared" si="3"/>
        <v>4027</v>
      </c>
    </row>
    <row r="111" spans="1:8" x14ac:dyDescent="0.25">
      <c r="A111" s="8">
        <v>43068.465405092589</v>
      </c>
      <c r="B111" s="20" t="s">
        <v>473</v>
      </c>
      <c r="C111" s="20" t="s">
        <v>746</v>
      </c>
      <c r="D111" s="137">
        <v>3090000</v>
      </c>
      <c r="E111" s="20" t="s">
        <v>452</v>
      </c>
      <c r="F111" s="20" t="s">
        <v>453</v>
      </c>
      <c r="G111" s="8" t="str">
        <f t="shared" si="2"/>
        <v>LAMAR NEKESHA</v>
      </c>
      <c r="H111" s="20" t="str">
        <f t="shared" si="3"/>
        <v>4021</v>
      </c>
    </row>
    <row r="112" spans="1:8" x14ac:dyDescent="0.25">
      <c r="A112" s="8">
        <v>43068.466979166667</v>
      </c>
      <c r="B112" s="20" t="s">
        <v>523</v>
      </c>
      <c r="C112" s="20" t="s">
        <v>747</v>
      </c>
      <c r="D112" s="137">
        <v>1770000</v>
      </c>
      <c r="E112" s="20" t="s">
        <v>535</v>
      </c>
      <c r="F112" s="20" t="s">
        <v>536</v>
      </c>
      <c r="G112" s="8" t="str">
        <f t="shared" si="2"/>
        <v>BRUDER RICHARD</v>
      </c>
      <c r="H112" s="20" t="str">
        <f t="shared" si="3"/>
        <v>4002</v>
      </c>
    </row>
    <row r="113" spans="1:8" x14ac:dyDescent="0.25">
      <c r="A113" s="8">
        <v>43068.467638888891</v>
      </c>
      <c r="B113" s="20" t="s">
        <v>533</v>
      </c>
      <c r="C113" s="20" t="s">
        <v>748</v>
      </c>
      <c r="D113" s="137">
        <v>3260000</v>
      </c>
      <c r="E113" s="20" t="s">
        <v>738</v>
      </c>
      <c r="F113" s="20" t="s">
        <v>739</v>
      </c>
      <c r="G113" s="8" t="str">
        <f t="shared" si="2"/>
        <v>PAGE MARCUS</v>
      </c>
      <c r="H113" s="20" t="str">
        <f t="shared" si="3"/>
        <v>4049</v>
      </c>
    </row>
    <row r="114" spans="1:8" x14ac:dyDescent="0.25">
      <c r="A114" s="8">
        <v>43068.470671296294</v>
      </c>
      <c r="B114" s="20" t="s">
        <v>653</v>
      </c>
      <c r="C114" s="20" t="s">
        <v>736</v>
      </c>
      <c r="D114" s="137">
        <v>2600000</v>
      </c>
      <c r="E114" s="20" t="s">
        <v>478</v>
      </c>
      <c r="F114" s="20" t="s">
        <v>423</v>
      </c>
      <c r="G114" s="8" t="str">
        <f t="shared" si="2"/>
        <v>DAVIDSON DAVID</v>
      </c>
      <c r="H114" s="20" t="str">
        <f t="shared" si="3"/>
        <v>4005</v>
      </c>
    </row>
    <row r="115" spans="1:8" x14ac:dyDescent="0.25">
      <c r="A115" s="8">
        <v>43068.476979166669</v>
      </c>
      <c r="B115" s="20" t="s">
        <v>624</v>
      </c>
      <c r="C115" s="20" t="s">
        <v>749</v>
      </c>
      <c r="D115" s="137">
        <v>3840000</v>
      </c>
      <c r="E115" s="20" t="s">
        <v>481</v>
      </c>
      <c r="F115" s="20" t="s">
        <v>482</v>
      </c>
      <c r="G115" s="8" t="str">
        <f t="shared" si="2"/>
        <v>LONG FULLER</v>
      </c>
      <c r="H115" s="20" t="str">
        <f t="shared" si="3"/>
        <v>4031</v>
      </c>
    </row>
    <row r="116" spans="1:8" x14ac:dyDescent="0.25">
      <c r="A116" s="8">
        <v>43068.478067129632</v>
      </c>
      <c r="B116" s="20" t="s">
        <v>667</v>
      </c>
      <c r="C116" s="20" t="s">
        <v>750</v>
      </c>
      <c r="D116" s="137">
        <v>880000</v>
      </c>
      <c r="E116" s="20" t="s">
        <v>432</v>
      </c>
      <c r="F116" s="20" t="s">
        <v>353</v>
      </c>
      <c r="G116" s="8" t="str">
        <f t="shared" si="2"/>
        <v>STEWART MICHAEL</v>
      </c>
      <c r="H116" s="20" t="str">
        <f t="shared" si="3"/>
        <v>4006</v>
      </c>
    </row>
    <row r="117" spans="1:8" x14ac:dyDescent="0.25">
      <c r="A117" s="8">
        <v>43068.479386574072</v>
      </c>
      <c r="B117" s="20" t="s">
        <v>751</v>
      </c>
      <c r="C117" s="20" t="s">
        <v>752</v>
      </c>
      <c r="D117" s="137">
        <v>1830000</v>
      </c>
      <c r="E117" s="20" t="s">
        <v>347</v>
      </c>
      <c r="F117" s="20" t="s">
        <v>348</v>
      </c>
      <c r="G117" s="8" t="str">
        <f t="shared" si="2"/>
        <v>YORK EDGAR</v>
      </c>
      <c r="H117" s="20" t="str">
        <f t="shared" si="3"/>
        <v>4046</v>
      </c>
    </row>
    <row r="118" spans="1:8" x14ac:dyDescent="0.25">
      <c r="A118" s="8">
        <v>43068.480092592596</v>
      </c>
      <c r="B118" s="20" t="s">
        <v>527</v>
      </c>
      <c r="C118" s="20" t="s">
        <v>636</v>
      </c>
      <c r="D118" s="137">
        <v>3180000</v>
      </c>
      <c r="E118" s="20" t="s">
        <v>718</v>
      </c>
      <c r="F118" s="20" t="s">
        <v>719</v>
      </c>
      <c r="G118" s="8" t="str">
        <f t="shared" si="2"/>
        <v>HUFFSMITH MONTY</v>
      </c>
      <c r="H118" s="20" t="str">
        <f t="shared" si="3"/>
        <v>4058</v>
      </c>
    </row>
    <row r="119" spans="1:8" x14ac:dyDescent="0.25">
      <c r="A119" s="8">
        <v>43068.482245370367</v>
      </c>
      <c r="B119" s="20" t="s">
        <v>527</v>
      </c>
      <c r="C119" s="20" t="s">
        <v>630</v>
      </c>
      <c r="D119" s="137">
        <v>3180000</v>
      </c>
      <c r="E119" s="20" t="s">
        <v>718</v>
      </c>
      <c r="F119" s="20" t="s">
        <v>719</v>
      </c>
      <c r="G119" s="8" t="str">
        <f t="shared" si="2"/>
        <v>HUFFSMITH MONTY</v>
      </c>
      <c r="H119" s="20" t="str">
        <f t="shared" si="3"/>
        <v>4058</v>
      </c>
    </row>
    <row r="120" spans="1:8" x14ac:dyDescent="0.25">
      <c r="A120" s="8">
        <v>43068.484409722223</v>
      </c>
      <c r="B120" s="20" t="s">
        <v>479</v>
      </c>
      <c r="C120" s="20" t="s">
        <v>638</v>
      </c>
      <c r="D120" s="137">
        <v>3000000</v>
      </c>
      <c r="E120" s="20" t="s">
        <v>679</v>
      </c>
      <c r="F120" s="20" t="s">
        <v>680</v>
      </c>
      <c r="G120" s="8" t="str">
        <f t="shared" si="2"/>
        <v>FORTUNATO FRANK</v>
      </c>
      <c r="H120" s="20" t="str">
        <f t="shared" si="3"/>
        <v>4019</v>
      </c>
    </row>
    <row r="121" spans="1:8" x14ac:dyDescent="0.25">
      <c r="A121" s="8">
        <v>43068.48578703704</v>
      </c>
      <c r="B121" s="20" t="s">
        <v>669</v>
      </c>
      <c r="C121" s="20" t="s">
        <v>753</v>
      </c>
      <c r="D121" s="137">
        <v>2970000</v>
      </c>
      <c r="E121" s="20" t="s">
        <v>370</v>
      </c>
      <c r="F121" s="20" t="s">
        <v>371</v>
      </c>
      <c r="G121" s="8" t="str">
        <f t="shared" si="2"/>
        <v>GUZMAN DANNY</v>
      </c>
      <c r="H121" s="20" t="str">
        <f t="shared" si="3"/>
        <v>4066</v>
      </c>
    </row>
    <row r="122" spans="1:8" x14ac:dyDescent="0.25">
      <c r="A122" s="8">
        <v>43068.486481481479</v>
      </c>
      <c r="B122" s="25" t="s">
        <v>449</v>
      </c>
      <c r="C122" s="20" t="s">
        <v>637</v>
      </c>
      <c r="D122" s="137">
        <v>920000</v>
      </c>
      <c r="E122" s="20" t="s">
        <v>433</v>
      </c>
      <c r="F122" s="20" t="s">
        <v>353</v>
      </c>
      <c r="G122" s="8" t="str">
        <f t="shared" si="2"/>
        <v>DAVIS MICHAEL</v>
      </c>
      <c r="H122" s="20" t="str">
        <f t="shared" si="3"/>
        <v>4025</v>
      </c>
    </row>
    <row r="123" spans="1:8" x14ac:dyDescent="0.25">
      <c r="A123" s="8">
        <v>43068.492349537039</v>
      </c>
      <c r="B123" s="20" t="s">
        <v>534</v>
      </c>
      <c r="C123" s="20" t="s">
        <v>725</v>
      </c>
      <c r="D123" s="137">
        <v>2470000</v>
      </c>
      <c r="E123" s="20" t="s">
        <v>716</v>
      </c>
      <c r="F123" s="20" t="s">
        <v>717</v>
      </c>
      <c r="G123" s="8" t="str">
        <f t="shared" si="2"/>
        <v>ROMERO CHAD</v>
      </c>
      <c r="H123" s="20" t="str">
        <f t="shared" si="3"/>
        <v>4050</v>
      </c>
    </row>
    <row r="124" spans="1:8" x14ac:dyDescent="0.25">
      <c r="A124" s="8">
        <v>43068.49560185185</v>
      </c>
      <c r="B124" s="20" t="s">
        <v>378</v>
      </c>
      <c r="C124" s="20" t="s">
        <v>754</v>
      </c>
      <c r="D124" s="137">
        <v>1300000</v>
      </c>
      <c r="E124" s="20" t="s">
        <v>537</v>
      </c>
      <c r="F124" s="20" t="s">
        <v>538</v>
      </c>
      <c r="G124" s="8" t="str">
        <f t="shared" si="2"/>
        <v>LEVIN SCOTT</v>
      </c>
      <c r="H124" s="20" t="str">
        <f t="shared" si="3"/>
        <v>4022</v>
      </c>
    </row>
    <row r="125" spans="1:8" x14ac:dyDescent="0.25">
      <c r="A125" s="8">
        <v>43068.498657407406</v>
      </c>
      <c r="B125" s="20" t="s">
        <v>634</v>
      </c>
      <c r="C125" s="20" t="s">
        <v>755</v>
      </c>
      <c r="D125" s="137">
        <v>3840000</v>
      </c>
      <c r="E125" s="20" t="s">
        <v>481</v>
      </c>
      <c r="F125" s="20" t="s">
        <v>482</v>
      </c>
      <c r="G125" s="8" t="str">
        <f t="shared" si="2"/>
        <v>LONG FULLER</v>
      </c>
      <c r="H125" s="20" t="str">
        <f t="shared" si="3"/>
        <v>4032</v>
      </c>
    </row>
    <row r="126" spans="1:8" x14ac:dyDescent="0.25">
      <c r="A126" s="8">
        <v>43068.506111111114</v>
      </c>
      <c r="B126" s="20" t="s">
        <v>526</v>
      </c>
      <c r="C126" s="20" t="s">
        <v>756</v>
      </c>
      <c r="D126" s="137">
        <v>1770000</v>
      </c>
      <c r="E126" s="20" t="s">
        <v>535</v>
      </c>
      <c r="F126" s="20" t="s">
        <v>536</v>
      </c>
      <c r="G126" s="8" t="str">
        <f t="shared" si="2"/>
        <v>BRUDER RICHARD</v>
      </c>
      <c r="H126" s="20" t="str">
        <f t="shared" si="3"/>
        <v>4001</v>
      </c>
    </row>
    <row r="127" spans="1:8" x14ac:dyDescent="0.25">
      <c r="A127" s="8">
        <v>43068.507337962961</v>
      </c>
      <c r="B127" s="20" t="s">
        <v>530</v>
      </c>
      <c r="C127" s="20" t="s">
        <v>636</v>
      </c>
      <c r="D127" s="137">
        <v>3180000</v>
      </c>
      <c r="E127" s="20" t="s">
        <v>718</v>
      </c>
      <c r="F127" s="20" t="s">
        <v>719</v>
      </c>
      <c r="G127" s="8" t="str">
        <f t="shared" si="2"/>
        <v>HUFFSMITH MONTY</v>
      </c>
      <c r="H127" s="20" t="str">
        <f t="shared" si="3"/>
        <v>4057</v>
      </c>
    </row>
    <row r="128" spans="1:8" x14ac:dyDescent="0.25">
      <c r="A128" s="8">
        <v>43068.5075</v>
      </c>
      <c r="B128" s="20" t="s">
        <v>620</v>
      </c>
      <c r="C128" s="20" t="s">
        <v>757</v>
      </c>
      <c r="D128" s="137">
        <v>2350000</v>
      </c>
      <c r="E128" s="20" t="s">
        <v>758</v>
      </c>
      <c r="F128" s="20" t="s">
        <v>759</v>
      </c>
      <c r="G128" s="8" t="str">
        <f t="shared" si="2"/>
        <v>BERLING GARY</v>
      </c>
      <c r="H128" s="20" t="str">
        <f t="shared" si="3"/>
        <v>4028</v>
      </c>
    </row>
    <row r="129" spans="1:8" x14ac:dyDescent="0.25">
      <c r="A129" s="8">
        <v>43068.514918981484</v>
      </c>
      <c r="B129" s="20" t="s">
        <v>653</v>
      </c>
      <c r="C129" s="20" t="s">
        <v>760</v>
      </c>
      <c r="D129" s="137">
        <v>880000</v>
      </c>
      <c r="E129" s="20" t="s">
        <v>432</v>
      </c>
      <c r="F129" s="20" t="s">
        <v>353</v>
      </c>
      <c r="G129" s="8" t="str">
        <f t="shared" si="2"/>
        <v>STEWART MICHAEL</v>
      </c>
      <c r="H129" s="20" t="str">
        <f t="shared" si="3"/>
        <v>4005</v>
      </c>
    </row>
    <row r="130" spans="1:8" x14ac:dyDescent="0.25">
      <c r="A130" s="8">
        <v>43068.516284722224</v>
      </c>
      <c r="B130" s="20" t="s">
        <v>533</v>
      </c>
      <c r="C130" s="20" t="s">
        <v>639</v>
      </c>
      <c r="D130" s="137">
        <v>3260000</v>
      </c>
      <c r="E130" s="20" t="s">
        <v>738</v>
      </c>
      <c r="F130" s="20" t="s">
        <v>739</v>
      </c>
      <c r="G130" s="8" t="str">
        <f t="shared" si="2"/>
        <v>PAGE MARCUS</v>
      </c>
      <c r="H130" s="20" t="str">
        <f t="shared" si="3"/>
        <v>4049</v>
      </c>
    </row>
    <row r="131" spans="1:8" x14ac:dyDescent="0.25">
      <c r="A131" s="8">
        <v>43068.517314814817</v>
      </c>
      <c r="B131" s="20" t="s">
        <v>624</v>
      </c>
      <c r="C131" s="20" t="s">
        <v>761</v>
      </c>
      <c r="D131" s="137">
        <v>3840000</v>
      </c>
      <c r="E131" s="20" t="s">
        <v>481</v>
      </c>
      <c r="F131" s="20" t="s">
        <v>482</v>
      </c>
      <c r="G131" s="8" t="str">
        <f t="shared" ref="G131:G194" si="4">E131&amp;" "&amp;F131</f>
        <v>LONG FULLER</v>
      </c>
      <c r="H131" s="20" t="str">
        <f t="shared" ref="H131:H194" si="5">MID(B131,13,4)</f>
        <v>4031</v>
      </c>
    </row>
    <row r="132" spans="1:8" x14ac:dyDescent="0.25">
      <c r="A132" s="8">
        <v>43068.518159722225</v>
      </c>
      <c r="B132" s="20" t="s">
        <v>663</v>
      </c>
      <c r="C132" s="20" t="s">
        <v>762</v>
      </c>
      <c r="D132" s="137">
        <v>2970000</v>
      </c>
      <c r="E132" s="20" t="s">
        <v>370</v>
      </c>
      <c r="F132" s="20" t="s">
        <v>371</v>
      </c>
      <c r="G132" s="8" t="str">
        <f t="shared" si="4"/>
        <v>GUZMAN DANNY</v>
      </c>
      <c r="H132" s="20" t="str">
        <f t="shared" si="5"/>
        <v>4065</v>
      </c>
    </row>
    <row r="133" spans="1:8" x14ac:dyDescent="0.25">
      <c r="A133" s="8">
        <v>43068.519259259258</v>
      </c>
      <c r="B133" s="20" t="s">
        <v>450</v>
      </c>
      <c r="C133" s="20" t="s">
        <v>763</v>
      </c>
      <c r="D133" s="137">
        <v>920000</v>
      </c>
      <c r="E133" s="20" t="s">
        <v>433</v>
      </c>
      <c r="F133" s="20" t="s">
        <v>353</v>
      </c>
      <c r="G133" s="8" t="str">
        <f t="shared" si="4"/>
        <v>DAVIS MICHAEL</v>
      </c>
      <c r="H133" s="20" t="str">
        <f t="shared" si="5"/>
        <v>4026</v>
      </c>
    </row>
    <row r="134" spans="1:8" x14ac:dyDescent="0.25">
      <c r="A134" s="8">
        <v>43068.528402777774</v>
      </c>
      <c r="B134" s="20" t="s">
        <v>644</v>
      </c>
      <c r="C134" s="20" t="s">
        <v>764</v>
      </c>
      <c r="D134" s="137">
        <v>2420000</v>
      </c>
      <c r="E134" s="20" t="s">
        <v>765</v>
      </c>
      <c r="F134" s="20" t="s">
        <v>766</v>
      </c>
      <c r="G134" s="8" t="str">
        <f t="shared" si="4"/>
        <v>HOLCOMB KAMDEN</v>
      </c>
      <c r="H134" s="20" t="str">
        <f t="shared" si="5"/>
        <v>4020</v>
      </c>
    </row>
    <row r="135" spans="1:8" x14ac:dyDescent="0.25">
      <c r="A135" s="8">
        <v>43068.532233796293</v>
      </c>
      <c r="B135" s="20" t="s">
        <v>473</v>
      </c>
      <c r="C135" s="20" t="s">
        <v>767</v>
      </c>
      <c r="D135" s="137">
        <v>1300000</v>
      </c>
      <c r="E135" s="20" t="s">
        <v>537</v>
      </c>
      <c r="F135" s="20" t="s">
        <v>538</v>
      </c>
      <c r="G135" s="8" t="str">
        <f t="shared" si="4"/>
        <v>LEVIN SCOTT</v>
      </c>
      <c r="H135" s="20" t="str">
        <f t="shared" si="5"/>
        <v>4021</v>
      </c>
    </row>
    <row r="136" spans="1:8" x14ac:dyDescent="0.25">
      <c r="A136" s="8">
        <v>43068.533946759257</v>
      </c>
      <c r="B136" s="20" t="s">
        <v>527</v>
      </c>
      <c r="C136" s="20" t="s">
        <v>768</v>
      </c>
      <c r="D136" s="137">
        <v>3700000</v>
      </c>
      <c r="E136" s="20" t="s">
        <v>769</v>
      </c>
      <c r="F136" s="20" t="s">
        <v>528</v>
      </c>
      <c r="G136" s="8" t="str">
        <f t="shared" si="4"/>
        <v>AUSTIN THOMPSON</v>
      </c>
      <c r="H136" s="20" t="str">
        <f t="shared" si="5"/>
        <v>4058</v>
      </c>
    </row>
    <row r="137" spans="1:8" x14ac:dyDescent="0.25">
      <c r="A137" s="8">
        <v>43068.536493055559</v>
      </c>
      <c r="B137" s="20" t="s">
        <v>523</v>
      </c>
      <c r="C137" s="20" t="s">
        <v>640</v>
      </c>
      <c r="D137" s="137">
        <v>1810000</v>
      </c>
      <c r="E137" s="20" t="s">
        <v>541</v>
      </c>
      <c r="F137" s="20" t="s">
        <v>386</v>
      </c>
      <c r="G137" s="8" t="str">
        <f t="shared" si="4"/>
        <v>NEWELL JAMES</v>
      </c>
      <c r="H137" s="20" t="str">
        <f t="shared" si="5"/>
        <v>4002</v>
      </c>
    </row>
    <row r="138" spans="1:8" x14ac:dyDescent="0.25">
      <c r="A138" s="8">
        <v>43068.542500000003</v>
      </c>
      <c r="B138" s="20" t="s">
        <v>634</v>
      </c>
      <c r="C138" s="20" t="s">
        <v>770</v>
      </c>
      <c r="D138" s="137">
        <v>3810000</v>
      </c>
      <c r="E138" s="20" t="s">
        <v>483</v>
      </c>
      <c r="F138" s="20" t="s">
        <v>484</v>
      </c>
      <c r="G138" s="8" t="str">
        <f t="shared" si="4"/>
        <v>LORI SANTOS</v>
      </c>
      <c r="H138" s="20" t="str">
        <f t="shared" si="5"/>
        <v>4032</v>
      </c>
    </row>
    <row r="139" spans="1:8" x14ac:dyDescent="0.25">
      <c r="A139" s="8">
        <v>43068.544537037036</v>
      </c>
      <c r="B139" s="20" t="s">
        <v>672</v>
      </c>
      <c r="C139" s="20" t="s">
        <v>771</v>
      </c>
      <c r="D139" s="137">
        <v>2350000</v>
      </c>
      <c r="E139" s="20" t="s">
        <v>758</v>
      </c>
      <c r="F139" s="20" t="s">
        <v>759</v>
      </c>
      <c r="G139" s="8" t="str">
        <f t="shared" si="4"/>
        <v>BERLING GARY</v>
      </c>
      <c r="H139" s="20" t="str">
        <f t="shared" si="5"/>
        <v>4027</v>
      </c>
    </row>
    <row r="140" spans="1:8" x14ac:dyDescent="0.25">
      <c r="A140" s="8">
        <v>43068.548692129632</v>
      </c>
      <c r="B140" s="20" t="s">
        <v>667</v>
      </c>
      <c r="C140" s="20" t="s">
        <v>772</v>
      </c>
      <c r="D140" s="137">
        <v>880000</v>
      </c>
      <c r="E140" s="20" t="s">
        <v>432</v>
      </c>
      <c r="F140" s="20" t="s">
        <v>353</v>
      </c>
      <c r="G140" s="8" t="str">
        <f t="shared" si="4"/>
        <v>STEWART MICHAEL</v>
      </c>
      <c r="H140" s="20" t="str">
        <f t="shared" si="5"/>
        <v>4006</v>
      </c>
    </row>
    <row r="141" spans="1:8" x14ac:dyDescent="0.25">
      <c r="A141" s="8">
        <v>43068.55914351852</v>
      </c>
      <c r="B141" s="20" t="s">
        <v>449</v>
      </c>
      <c r="C141" s="20" t="s">
        <v>773</v>
      </c>
      <c r="D141" s="137">
        <v>920000</v>
      </c>
      <c r="E141" s="20" t="s">
        <v>433</v>
      </c>
      <c r="F141" s="20" t="s">
        <v>353</v>
      </c>
      <c r="G141" s="8" t="str">
        <f t="shared" si="4"/>
        <v>DAVIS MICHAEL</v>
      </c>
      <c r="H141" s="20" t="str">
        <f t="shared" si="5"/>
        <v>4025</v>
      </c>
    </row>
    <row r="142" spans="1:8" x14ac:dyDescent="0.25">
      <c r="A142" s="8">
        <v>43068.559293981481</v>
      </c>
      <c r="B142" s="20" t="s">
        <v>669</v>
      </c>
      <c r="C142" s="20" t="s">
        <v>774</v>
      </c>
      <c r="D142" s="137">
        <v>2970000</v>
      </c>
      <c r="E142" s="20" t="s">
        <v>370</v>
      </c>
      <c r="F142" s="20" t="s">
        <v>371</v>
      </c>
      <c r="G142" s="8" t="str">
        <f t="shared" si="4"/>
        <v>GUZMAN DANNY</v>
      </c>
      <c r="H142" s="20" t="str">
        <f t="shared" si="5"/>
        <v>4066</v>
      </c>
    </row>
    <row r="143" spans="1:8" x14ac:dyDescent="0.25">
      <c r="A143" s="8">
        <v>43068.560196759259</v>
      </c>
      <c r="B143" s="20" t="s">
        <v>470</v>
      </c>
      <c r="C143" s="20" t="s">
        <v>775</v>
      </c>
      <c r="D143" s="137">
        <v>1780000</v>
      </c>
      <c r="E143" s="20" t="s">
        <v>776</v>
      </c>
      <c r="F143" s="20" t="s">
        <v>777</v>
      </c>
      <c r="G143" s="8" t="str">
        <f t="shared" si="4"/>
        <v>DE LA ROSA ALEX</v>
      </c>
      <c r="H143" s="20" t="str">
        <f t="shared" si="5"/>
        <v>4044</v>
      </c>
    </row>
    <row r="144" spans="1:8" x14ac:dyDescent="0.25">
      <c r="A144" s="8">
        <v>43068.562708333331</v>
      </c>
      <c r="B144" s="20" t="s">
        <v>530</v>
      </c>
      <c r="C144" s="20" t="s">
        <v>641</v>
      </c>
      <c r="D144" s="137">
        <v>3670000</v>
      </c>
      <c r="E144" s="20" t="s">
        <v>376</v>
      </c>
      <c r="F144" s="20" t="s">
        <v>367</v>
      </c>
      <c r="G144" s="8" t="str">
        <f t="shared" si="4"/>
        <v>ANDREA WILLIAMS</v>
      </c>
      <c r="H144" s="20" t="str">
        <f t="shared" si="5"/>
        <v>4057</v>
      </c>
    </row>
    <row r="145" spans="1:8" x14ac:dyDescent="0.25">
      <c r="A145" s="8">
        <v>43068.562962962962</v>
      </c>
      <c r="B145" s="20" t="s">
        <v>624</v>
      </c>
      <c r="C145" s="20" t="s">
        <v>778</v>
      </c>
      <c r="D145" s="137">
        <v>3810000</v>
      </c>
      <c r="E145" s="20" t="s">
        <v>483</v>
      </c>
      <c r="F145" s="20" t="s">
        <v>484</v>
      </c>
      <c r="G145" s="8" t="str">
        <f t="shared" si="4"/>
        <v>LORI SANTOS</v>
      </c>
      <c r="H145" s="20" t="str">
        <f t="shared" si="5"/>
        <v>4031</v>
      </c>
    </row>
    <row r="146" spans="1:8" x14ac:dyDescent="0.25">
      <c r="A146" s="8">
        <v>43068.565497685187</v>
      </c>
      <c r="B146" s="20" t="s">
        <v>471</v>
      </c>
      <c r="C146" s="20" t="s">
        <v>775</v>
      </c>
      <c r="D146" s="137">
        <v>1780000</v>
      </c>
      <c r="E146" s="20" t="s">
        <v>776</v>
      </c>
      <c r="F146" s="20" t="s">
        <v>777</v>
      </c>
      <c r="G146" s="8" t="str">
        <f t="shared" si="4"/>
        <v>DE LA ROSA ALEX</v>
      </c>
      <c r="H146" s="20" t="str">
        <f t="shared" si="5"/>
        <v>4043</v>
      </c>
    </row>
    <row r="147" spans="1:8" x14ac:dyDescent="0.25">
      <c r="A147" s="8">
        <v>43068.569212962961</v>
      </c>
      <c r="B147" s="20" t="s">
        <v>526</v>
      </c>
      <c r="C147" s="20" t="s">
        <v>779</v>
      </c>
      <c r="D147" s="137">
        <v>1810000</v>
      </c>
      <c r="E147" s="20" t="s">
        <v>541</v>
      </c>
      <c r="F147" s="20" t="s">
        <v>386</v>
      </c>
      <c r="G147" s="8" t="str">
        <f t="shared" si="4"/>
        <v>NEWELL JAMES</v>
      </c>
      <c r="H147" s="20" t="str">
        <f t="shared" si="5"/>
        <v>4001</v>
      </c>
    </row>
    <row r="148" spans="1:8" x14ac:dyDescent="0.25">
      <c r="A148" s="8">
        <v>43068.570381944446</v>
      </c>
      <c r="B148" s="20" t="s">
        <v>378</v>
      </c>
      <c r="C148" s="20" t="s">
        <v>780</v>
      </c>
      <c r="D148" s="137">
        <v>1300000</v>
      </c>
      <c r="E148" s="20" t="s">
        <v>537</v>
      </c>
      <c r="F148" s="20" t="s">
        <v>538</v>
      </c>
      <c r="G148" s="8" t="str">
        <f t="shared" si="4"/>
        <v>LEVIN SCOTT</v>
      </c>
      <c r="H148" s="20" t="str">
        <f t="shared" si="5"/>
        <v>4022</v>
      </c>
    </row>
    <row r="149" spans="1:8" x14ac:dyDescent="0.25">
      <c r="A149" s="8">
        <v>43068.570937500001</v>
      </c>
      <c r="B149" s="20" t="s">
        <v>479</v>
      </c>
      <c r="C149" s="20" t="s">
        <v>781</v>
      </c>
      <c r="D149" s="137">
        <v>2420000</v>
      </c>
      <c r="E149" s="20" t="s">
        <v>765</v>
      </c>
      <c r="F149" s="20" t="s">
        <v>766</v>
      </c>
      <c r="G149" s="8" t="str">
        <f t="shared" si="4"/>
        <v>HOLCOMB KAMDEN</v>
      </c>
      <c r="H149" s="20" t="str">
        <f t="shared" si="5"/>
        <v>4019</v>
      </c>
    </row>
    <row r="150" spans="1:8" x14ac:dyDescent="0.25">
      <c r="A150" s="8">
        <v>43068.572685185187</v>
      </c>
      <c r="B150" s="20" t="s">
        <v>470</v>
      </c>
      <c r="C150" s="20" t="s">
        <v>782</v>
      </c>
      <c r="D150" s="137">
        <v>1780000</v>
      </c>
      <c r="E150" s="20" t="s">
        <v>776</v>
      </c>
      <c r="F150" s="20" t="s">
        <v>777</v>
      </c>
      <c r="G150" s="8" t="str">
        <f t="shared" si="4"/>
        <v>DE LA ROSA ALEX</v>
      </c>
      <c r="H150" s="20" t="str">
        <f t="shared" si="5"/>
        <v>4044</v>
      </c>
    </row>
    <row r="151" spans="1:8" x14ac:dyDescent="0.25">
      <c r="A151" s="8">
        <v>43068.588101851848</v>
      </c>
      <c r="B151" s="20" t="s">
        <v>634</v>
      </c>
      <c r="C151" s="20" t="s">
        <v>642</v>
      </c>
      <c r="D151" s="137">
        <v>3810000</v>
      </c>
      <c r="E151" s="20" t="s">
        <v>483</v>
      </c>
      <c r="F151" s="20" t="s">
        <v>484</v>
      </c>
      <c r="G151" s="8" t="str">
        <f t="shared" si="4"/>
        <v>LORI SANTOS</v>
      </c>
      <c r="H151" s="20" t="str">
        <f t="shared" si="5"/>
        <v>4032</v>
      </c>
    </row>
    <row r="152" spans="1:8" x14ac:dyDescent="0.25">
      <c r="A152" s="8">
        <v>43068.589918981481</v>
      </c>
      <c r="B152" s="20" t="s">
        <v>653</v>
      </c>
      <c r="C152" s="20" t="s">
        <v>783</v>
      </c>
      <c r="D152" s="137">
        <v>880000</v>
      </c>
      <c r="E152" s="20" t="s">
        <v>432</v>
      </c>
      <c r="F152" s="20" t="s">
        <v>353</v>
      </c>
      <c r="G152" s="8" t="str">
        <f t="shared" si="4"/>
        <v>STEWART MICHAEL</v>
      </c>
      <c r="H152" s="20" t="str">
        <f t="shared" si="5"/>
        <v>4005</v>
      </c>
    </row>
    <row r="153" spans="1:8" x14ac:dyDescent="0.25">
      <c r="A153" s="8">
        <v>43068.590590277781</v>
      </c>
      <c r="B153" s="20" t="s">
        <v>663</v>
      </c>
      <c r="C153" s="20" t="s">
        <v>784</v>
      </c>
      <c r="D153" s="137">
        <v>2970000</v>
      </c>
      <c r="E153" s="20" t="s">
        <v>370</v>
      </c>
      <c r="F153" s="20" t="s">
        <v>371</v>
      </c>
      <c r="G153" s="8" t="str">
        <f t="shared" si="4"/>
        <v>GUZMAN DANNY</v>
      </c>
      <c r="H153" s="20" t="str">
        <f t="shared" si="5"/>
        <v>4065</v>
      </c>
    </row>
    <row r="154" spans="1:8" x14ac:dyDescent="0.25">
      <c r="A154" s="8">
        <v>43068.591562499998</v>
      </c>
      <c r="B154" s="20" t="s">
        <v>527</v>
      </c>
      <c r="C154" s="20" t="s">
        <v>643</v>
      </c>
      <c r="D154" s="137">
        <v>2140000</v>
      </c>
      <c r="E154" s="20" t="s">
        <v>539</v>
      </c>
      <c r="F154" s="20" t="s">
        <v>540</v>
      </c>
      <c r="G154" s="8" t="str">
        <f t="shared" si="4"/>
        <v>ROBINSON KADDIBA</v>
      </c>
      <c r="H154" s="20" t="str">
        <f t="shared" si="5"/>
        <v>4058</v>
      </c>
    </row>
    <row r="155" spans="1:8" x14ac:dyDescent="0.25">
      <c r="A155" s="8">
        <v>43068.592129629629</v>
      </c>
      <c r="B155" s="20" t="s">
        <v>527</v>
      </c>
      <c r="C155" s="20" t="s">
        <v>643</v>
      </c>
      <c r="D155" s="137">
        <v>2140000</v>
      </c>
      <c r="E155" s="20" t="s">
        <v>539</v>
      </c>
      <c r="F155" s="20" t="s">
        <v>540</v>
      </c>
      <c r="G155" s="8" t="str">
        <f t="shared" si="4"/>
        <v>ROBINSON KADDIBA</v>
      </c>
      <c r="H155" s="20" t="str">
        <f t="shared" si="5"/>
        <v>4058</v>
      </c>
    </row>
    <row r="156" spans="1:8" x14ac:dyDescent="0.25">
      <c r="A156" s="8">
        <v>43068.592280092591</v>
      </c>
      <c r="B156" s="20" t="s">
        <v>450</v>
      </c>
      <c r="C156" s="20" t="s">
        <v>785</v>
      </c>
      <c r="D156" s="137">
        <v>920000</v>
      </c>
      <c r="E156" s="20" t="s">
        <v>433</v>
      </c>
      <c r="F156" s="20" t="s">
        <v>353</v>
      </c>
      <c r="G156" s="8" t="str">
        <f t="shared" si="4"/>
        <v>DAVIS MICHAEL</v>
      </c>
      <c r="H156" s="20" t="str">
        <f t="shared" si="5"/>
        <v>4026</v>
      </c>
    </row>
    <row r="157" spans="1:8" x14ac:dyDescent="0.25">
      <c r="A157" s="8">
        <v>43068.598414351851</v>
      </c>
      <c r="B157" s="20" t="s">
        <v>644</v>
      </c>
      <c r="C157" s="20" t="s">
        <v>645</v>
      </c>
      <c r="D157" s="137">
        <v>2420000</v>
      </c>
      <c r="E157" s="20" t="s">
        <v>765</v>
      </c>
      <c r="F157" s="20" t="s">
        <v>766</v>
      </c>
      <c r="G157" s="8" t="str">
        <f t="shared" si="4"/>
        <v>HOLCOMB KAMDEN</v>
      </c>
      <c r="H157" s="20" t="str">
        <f t="shared" si="5"/>
        <v>4020</v>
      </c>
    </row>
    <row r="158" spans="1:8" x14ac:dyDescent="0.25">
      <c r="A158" s="8">
        <v>43068.602743055555</v>
      </c>
      <c r="B158" s="20" t="s">
        <v>624</v>
      </c>
      <c r="C158" s="20" t="s">
        <v>786</v>
      </c>
      <c r="D158" s="137">
        <v>3810000</v>
      </c>
      <c r="E158" s="20" t="s">
        <v>483</v>
      </c>
      <c r="F158" s="20" t="s">
        <v>484</v>
      </c>
      <c r="G158" s="8" t="str">
        <f t="shared" si="4"/>
        <v>LORI SANTOS</v>
      </c>
      <c r="H158" s="20" t="str">
        <f t="shared" si="5"/>
        <v>4031</v>
      </c>
    </row>
    <row r="159" spans="1:8" x14ac:dyDescent="0.25">
      <c r="A159" s="8">
        <v>43068.609513888892</v>
      </c>
      <c r="B159" s="20" t="s">
        <v>473</v>
      </c>
      <c r="C159" s="20" t="s">
        <v>787</v>
      </c>
      <c r="D159" s="137">
        <v>1300000</v>
      </c>
      <c r="E159" s="20" t="s">
        <v>537</v>
      </c>
      <c r="F159" s="20" t="s">
        <v>538</v>
      </c>
      <c r="G159" s="8" t="str">
        <f t="shared" si="4"/>
        <v>LEVIN SCOTT</v>
      </c>
      <c r="H159" s="20" t="str">
        <f t="shared" si="5"/>
        <v>4021</v>
      </c>
    </row>
    <row r="160" spans="1:8" x14ac:dyDescent="0.25">
      <c r="A160" s="8">
        <v>43068.611678240741</v>
      </c>
      <c r="B160" s="20" t="s">
        <v>523</v>
      </c>
      <c r="C160" s="20" t="s">
        <v>788</v>
      </c>
      <c r="D160" s="137">
        <v>1770000</v>
      </c>
      <c r="E160" s="20" t="s">
        <v>535</v>
      </c>
      <c r="F160" s="20" t="s">
        <v>536</v>
      </c>
      <c r="G160" s="8" t="str">
        <f t="shared" si="4"/>
        <v>BRUDER RICHARD</v>
      </c>
      <c r="H160" s="20" t="str">
        <f t="shared" si="5"/>
        <v>4002</v>
      </c>
    </row>
    <row r="161" spans="1:8" x14ac:dyDescent="0.25">
      <c r="A161" s="8">
        <v>43068.614988425928</v>
      </c>
      <c r="B161" s="20" t="s">
        <v>530</v>
      </c>
      <c r="C161" s="20" t="s">
        <v>647</v>
      </c>
      <c r="D161" s="137">
        <v>2140000</v>
      </c>
      <c r="E161" s="20" t="s">
        <v>539</v>
      </c>
      <c r="F161" s="20" t="s">
        <v>540</v>
      </c>
      <c r="G161" s="8" t="str">
        <f t="shared" si="4"/>
        <v>ROBINSON KADDIBA</v>
      </c>
      <c r="H161" s="20" t="str">
        <f t="shared" si="5"/>
        <v>4057</v>
      </c>
    </row>
    <row r="162" spans="1:8" x14ac:dyDescent="0.25">
      <c r="A162" s="8">
        <v>43068.618159722224</v>
      </c>
      <c r="B162" s="20" t="s">
        <v>471</v>
      </c>
      <c r="C162" s="20" t="s">
        <v>789</v>
      </c>
      <c r="D162" s="137">
        <v>1780000</v>
      </c>
      <c r="E162" s="20" t="s">
        <v>776</v>
      </c>
      <c r="F162" s="20" t="s">
        <v>777</v>
      </c>
      <c r="G162" s="8" t="str">
        <f t="shared" si="4"/>
        <v>DE LA ROSA ALEX</v>
      </c>
      <c r="H162" s="20" t="str">
        <f t="shared" si="5"/>
        <v>4043</v>
      </c>
    </row>
    <row r="163" spans="1:8" x14ac:dyDescent="0.25">
      <c r="A163" s="8">
        <v>43068.623078703706</v>
      </c>
      <c r="B163" s="20" t="s">
        <v>667</v>
      </c>
      <c r="C163" s="20" t="s">
        <v>790</v>
      </c>
      <c r="D163" s="137">
        <v>880000</v>
      </c>
      <c r="E163" s="20" t="s">
        <v>432</v>
      </c>
      <c r="F163" s="20" t="s">
        <v>353</v>
      </c>
      <c r="G163" s="8" t="str">
        <f t="shared" si="4"/>
        <v>STEWART MICHAEL</v>
      </c>
      <c r="H163" s="20" t="str">
        <f t="shared" si="5"/>
        <v>4006</v>
      </c>
    </row>
    <row r="164" spans="1:8" x14ac:dyDescent="0.25">
      <c r="A164" s="8">
        <v>43068.627523148149</v>
      </c>
      <c r="B164" s="20" t="s">
        <v>634</v>
      </c>
      <c r="C164" s="20" t="s">
        <v>791</v>
      </c>
      <c r="D164" s="137">
        <v>3810000</v>
      </c>
      <c r="E164" s="20" t="s">
        <v>483</v>
      </c>
      <c r="F164" s="20" t="s">
        <v>484</v>
      </c>
      <c r="G164" s="8" t="str">
        <f t="shared" si="4"/>
        <v>LORI SANTOS</v>
      </c>
      <c r="H164" s="20" t="str">
        <f t="shared" si="5"/>
        <v>4032</v>
      </c>
    </row>
    <row r="165" spans="1:8" x14ac:dyDescent="0.25">
      <c r="A165" s="8">
        <v>43068.630949074075</v>
      </c>
      <c r="B165" s="20" t="s">
        <v>669</v>
      </c>
      <c r="C165" s="20" t="s">
        <v>792</v>
      </c>
      <c r="D165" s="137">
        <v>2970000</v>
      </c>
      <c r="E165" s="20" t="s">
        <v>370</v>
      </c>
      <c r="F165" s="20" t="s">
        <v>371</v>
      </c>
      <c r="G165" s="8" t="str">
        <f t="shared" si="4"/>
        <v>GUZMAN DANNY</v>
      </c>
      <c r="H165" s="20" t="str">
        <f t="shared" si="5"/>
        <v>4066</v>
      </c>
    </row>
    <row r="166" spans="1:8" x14ac:dyDescent="0.25">
      <c r="A166" s="8">
        <v>43068.631724537037</v>
      </c>
      <c r="B166" s="20" t="s">
        <v>449</v>
      </c>
      <c r="C166" s="20" t="s">
        <v>793</v>
      </c>
      <c r="D166" s="137">
        <v>920000</v>
      </c>
      <c r="E166" s="20" t="s">
        <v>433</v>
      </c>
      <c r="F166" s="20" t="s">
        <v>353</v>
      </c>
      <c r="G166" s="8" t="str">
        <f t="shared" si="4"/>
        <v>DAVIS MICHAEL</v>
      </c>
      <c r="H166" s="20" t="str">
        <f t="shared" si="5"/>
        <v>4025</v>
      </c>
    </row>
    <row r="167" spans="1:8" x14ac:dyDescent="0.25">
      <c r="A167" s="8">
        <v>43068.634826388887</v>
      </c>
      <c r="B167" s="20" t="s">
        <v>361</v>
      </c>
      <c r="C167" s="20" t="s">
        <v>794</v>
      </c>
      <c r="D167" s="137">
        <v>2000000</v>
      </c>
      <c r="E167" s="20" t="s">
        <v>385</v>
      </c>
      <c r="F167" s="20" t="s">
        <v>386</v>
      </c>
      <c r="G167" s="8" t="str">
        <f t="shared" si="4"/>
        <v>STAMBAUGH JAMES</v>
      </c>
      <c r="H167" s="20" t="str">
        <f t="shared" si="5"/>
        <v>4017</v>
      </c>
    </row>
    <row r="168" spans="1:8" x14ac:dyDescent="0.25">
      <c r="A168" s="8">
        <v>43068.638472222221</v>
      </c>
      <c r="B168" s="20" t="s">
        <v>479</v>
      </c>
      <c r="C168" s="20" t="s">
        <v>646</v>
      </c>
      <c r="D168" s="137">
        <v>2420000</v>
      </c>
      <c r="E168" s="20" t="s">
        <v>765</v>
      </c>
      <c r="F168" s="20" t="s">
        <v>766</v>
      </c>
      <c r="G168" s="8" t="str">
        <f t="shared" si="4"/>
        <v>HOLCOMB KAMDEN</v>
      </c>
      <c r="H168" s="20" t="str">
        <f t="shared" si="5"/>
        <v>4019</v>
      </c>
    </row>
    <row r="169" spans="1:8" x14ac:dyDescent="0.25">
      <c r="A169" s="8">
        <v>43068.639953703707</v>
      </c>
      <c r="B169" s="20" t="s">
        <v>527</v>
      </c>
      <c r="C169" s="20" t="s">
        <v>643</v>
      </c>
      <c r="D169" s="137">
        <v>3130000</v>
      </c>
      <c r="E169" s="20" t="s">
        <v>544</v>
      </c>
      <c r="F169" s="20" t="s">
        <v>545</v>
      </c>
      <c r="G169" s="8" t="str">
        <f t="shared" si="4"/>
        <v>ZEWDU DEREJE</v>
      </c>
      <c r="H169" s="20" t="str">
        <f t="shared" si="5"/>
        <v>4058</v>
      </c>
    </row>
    <row r="170" spans="1:8" x14ac:dyDescent="0.25">
      <c r="A170" s="8">
        <v>43068.641319444447</v>
      </c>
      <c r="B170" s="20" t="s">
        <v>378</v>
      </c>
      <c r="C170" s="20" t="s">
        <v>795</v>
      </c>
      <c r="D170" s="137">
        <v>1300000</v>
      </c>
      <c r="E170" s="20" t="s">
        <v>537</v>
      </c>
      <c r="F170" s="20" t="s">
        <v>538</v>
      </c>
      <c r="G170" s="8" t="str">
        <f t="shared" si="4"/>
        <v>LEVIN SCOTT</v>
      </c>
      <c r="H170" s="20" t="str">
        <f t="shared" si="5"/>
        <v>4022</v>
      </c>
    </row>
    <row r="171" spans="1:8" x14ac:dyDescent="0.25">
      <c r="A171" s="8">
        <v>43068.644166666665</v>
      </c>
      <c r="B171" s="20" t="s">
        <v>624</v>
      </c>
      <c r="C171" s="20" t="s">
        <v>796</v>
      </c>
      <c r="D171" s="137">
        <v>3810000</v>
      </c>
      <c r="E171" s="20" t="s">
        <v>483</v>
      </c>
      <c r="F171" s="20" t="s">
        <v>484</v>
      </c>
      <c r="G171" s="8" t="str">
        <f t="shared" si="4"/>
        <v>LORI SANTOS</v>
      </c>
      <c r="H171" s="20" t="str">
        <f t="shared" si="5"/>
        <v>4031</v>
      </c>
    </row>
    <row r="172" spans="1:8" x14ac:dyDescent="0.25">
      <c r="A172" s="8">
        <v>43068.648738425924</v>
      </c>
      <c r="B172" s="20" t="s">
        <v>449</v>
      </c>
      <c r="C172" s="20" t="s">
        <v>793</v>
      </c>
      <c r="D172" s="137">
        <v>920000</v>
      </c>
      <c r="E172" s="20" t="s">
        <v>433</v>
      </c>
      <c r="F172" s="20" t="s">
        <v>353</v>
      </c>
      <c r="G172" s="8" t="str">
        <f t="shared" si="4"/>
        <v>DAVIS MICHAEL</v>
      </c>
      <c r="H172" s="20" t="str">
        <f t="shared" si="5"/>
        <v>4025</v>
      </c>
    </row>
    <row r="173" spans="1:8" x14ac:dyDescent="0.25">
      <c r="A173" s="8">
        <v>43068.648958333331</v>
      </c>
      <c r="B173" s="20" t="s">
        <v>359</v>
      </c>
      <c r="C173" s="20" t="s">
        <v>797</v>
      </c>
      <c r="D173" s="137">
        <v>2000000</v>
      </c>
      <c r="E173" s="20" t="s">
        <v>385</v>
      </c>
      <c r="F173" s="20" t="s">
        <v>386</v>
      </c>
      <c r="G173" s="8" t="str">
        <f t="shared" si="4"/>
        <v>STAMBAUGH JAMES</v>
      </c>
      <c r="H173" s="20" t="str">
        <f t="shared" si="5"/>
        <v>4018</v>
      </c>
    </row>
    <row r="174" spans="1:8" x14ac:dyDescent="0.25">
      <c r="A174" s="8">
        <v>43068.651226851849</v>
      </c>
      <c r="B174" s="20" t="s">
        <v>470</v>
      </c>
      <c r="C174" s="20" t="s">
        <v>798</v>
      </c>
      <c r="D174" s="137">
        <v>2350000</v>
      </c>
      <c r="E174" s="20" t="s">
        <v>758</v>
      </c>
      <c r="F174" s="20" t="s">
        <v>759</v>
      </c>
      <c r="G174" s="8" t="str">
        <f t="shared" si="4"/>
        <v>BERLING GARY</v>
      </c>
      <c r="H174" s="20" t="str">
        <f t="shared" si="5"/>
        <v>4044</v>
      </c>
    </row>
    <row r="175" spans="1:8" x14ac:dyDescent="0.25">
      <c r="A175" s="8">
        <v>43068.651423611111</v>
      </c>
      <c r="B175" s="20" t="s">
        <v>526</v>
      </c>
      <c r="C175" s="20" t="s">
        <v>799</v>
      </c>
      <c r="D175" s="137">
        <v>1770000</v>
      </c>
      <c r="E175" s="20" t="s">
        <v>535</v>
      </c>
      <c r="F175" s="20" t="s">
        <v>536</v>
      </c>
      <c r="G175" s="8" t="str">
        <f t="shared" si="4"/>
        <v>BRUDER RICHARD</v>
      </c>
      <c r="H175" s="20" t="str">
        <f t="shared" si="5"/>
        <v>4001</v>
      </c>
    </row>
    <row r="176" spans="1:8" x14ac:dyDescent="0.25">
      <c r="A176" s="8">
        <v>43068.652314814812</v>
      </c>
      <c r="B176" s="20" t="s">
        <v>480</v>
      </c>
      <c r="C176" s="20" t="s">
        <v>800</v>
      </c>
      <c r="D176" s="137">
        <v>2040000</v>
      </c>
      <c r="E176" s="20" t="s">
        <v>387</v>
      </c>
      <c r="F176" s="20" t="s">
        <v>388</v>
      </c>
      <c r="G176" s="8" t="str">
        <f t="shared" si="4"/>
        <v>MOSES BRADLEY</v>
      </c>
      <c r="H176" s="20" t="str">
        <f t="shared" si="5"/>
        <v>4064</v>
      </c>
    </row>
    <row r="177" spans="1:8" x14ac:dyDescent="0.25">
      <c r="A177" s="8">
        <v>43068.659837962965</v>
      </c>
      <c r="B177" s="20" t="s">
        <v>477</v>
      </c>
      <c r="C177" s="20" t="s">
        <v>800</v>
      </c>
      <c r="D177" s="137">
        <v>2040000</v>
      </c>
      <c r="E177" s="20" t="s">
        <v>387</v>
      </c>
      <c r="F177" s="20" t="s">
        <v>388</v>
      </c>
      <c r="G177" s="8" t="str">
        <f t="shared" si="4"/>
        <v>MOSES BRADLEY</v>
      </c>
      <c r="H177" s="20" t="str">
        <f t="shared" si="5"/>
        <v>4063</v>
      </c>
    </row>
    <row r="178" spans="1:8" x14ac:dyDescent="0.25">
      <c r="A178" s="8">
        <v>43068.66201388889</v>
      </c>
      <c r="B178" s="20" t="s">
        <v>653</v>
      </c>
      <c r="C178" s="20" t="s">
        <v>801</v>
      </c>
      <c r="D178" s="137">
        <v>880000</v>
      </c>
      <c r="E178" s="20" t="s">
        <v>432</v>
      </c>
      <c r="F178" s="20" t="s">
        <v>353</v>
      </c>
      <c r="G178" s="8" t="str">
        <f t="shared" si="4"/>
        <v>STEWART MICHAEL</v>
      </c>
      <c r="H178" s="20" t="str">
        <f t="shared" si="5"/>
        <v>4005</v>
      </c>
    </row>
    <row r="179" spans="1:8" x14ac:dyDescent="0.25">
      <c r="A179" s="8">
        <v>43068.664421296293</v>
      </c>
      <c r="B179" s="20" t="s">
        <v>361</v>
      </c>
      <c r="C179" s="20" t="s">
        <v>802</v>
      </c>
      <c r="D179" s="137">
        <v>2000000</v>
      </c>
      <c r="E179" s="20" t="s">
        <v>385</v>
      </c>
      <c r="F179" s="20" t="s">
        <v>386</v>
      </c>
      <c r="G179" s="8" t="str">
        <f t="shared" si="4"/>
        <v>STAMBAUGH JAMES</v>
      </c>
      <c r="H179" s="20" t="str">
        <f t="shared" si="5"/>
        <v>4017</v>
      </c>
    </row>
    <row r="180" spans="1:8" x14ac:dyDescent="0.25">
      <c r="A180" s="8">
        <v>43068.664525462962</v>
      </c>
      <c r="B180" s="20" t="s">
        <v>530</v>
      </c>
      <c r="C180" s="20" t="s">
        <v>647</v>
      </c>
      <c r="D180" s="137">
        <v>3130000</v>
      </c>
      <c r="E180" s="20" t="s">
        <v>544</v>
      </c>
      <c r="F180" s="20" t="s">
        <v>545</v>
      </c>
      <c r="G180" s="8" t="str">
        <f t="shared" si="4"/>
        <v>ZEWDU DEREJE</v>
      </c>
      <c r="H180" s="20" t="str">
        <f t="shared" si="5"/>
        <v>4057</v>
      </c>
    </row>
    <row r="181" spans="1:8" x14ac:dyDescent="0.25">
      <c r="A181" s="8">
        <v>43068.664756944447</v>
      </c>
      <c r="B181" s="20" t="s">
        <v>480</v>
      </c>
      <c r="C181" s="20" t="s">
        <v>803</v>
      </c>
      <c r="D181" s="137">
        <v>2040000</v>
      </c>
      <c r="E181" s="20" t="s">
        <v>387</v>
      </c>
      <c r="F181" s="20" t="s">
        <v>388</v>
      </c>
      <c r="G181" s="8" t="str">
        <f t="shared" si="4"/>
        <v>MOSES BRADLEY</v>
      </c>
      <c r="H181" s="20" t="str">
        <f t="shared" si="5"/>
        <v>4064</v>
      </c>
    </row>
    <row r="182" spans="1:8" x14ac:dyDescent="0.25">
      <c r="A182" s="8">
        <v>43068.667881944442</v>
      </c>
      <c r="B182" s="20" t="s">
        <v>526</v>
      </c>
      <c r="C182" s="20" t="s">
        <v>799</v>
      </c>
      <c r="D182" s="137">
        <v>1770000</v>
      </c>
      <c r="E182" s="20" t="s">
        <v>535</v>
      </c>
      <c r="F182" s="20" t="s">
        <v>536</v>
      </c>
      <c r="G182" s="8" t="str">
        <f t="shared" si="4"/>
        <v>BRUDER RICHARD</v>
      </c>
      <c r="H182" s="20" t="str">
        <f t="shared" si="5"/>
        <v>4001</v>
      </c>
    </row>
    <row r="183" spans="1:8" x14ac:dyDescent="0.25">
      <c r="A183" s="8">
        <v>43068.670069444444</v>
      </c>
      <c r="B183" s="20" t="s">
        <v>634</v>
      </c>
      <c r="C183" s="20" t="s">
        <v>804</v>
      </c>
      <c r="D183" s="137">
        <v>3810000</v>
      </c>
      <c r="E183" s="20" t="s">
        <v>483</v>
      </c>
      <c r="F183" s="20" t="s">
        <v>484</v>
      </c>
      <c r="G183" s="8" t="str">
        <f t="shared" si="4"/>
        <v>LORI SANTOS</v>
      </c>
      <c r="H183" s="20" t="str">
        <f t="shared" si="5"/>
        <v>4032</v>
      </c>
    </row>
    <row r="184" spans="1:8" x14ac:dyDescent="0.25">
      <c r="A184" s="8">
        <v>43068.672280092593</v>
      </c>
      <c r="B184" s="20" t="s">
        <v>663</v>
      </c>
      <c r="C184" s="20" t="s">
        <v>805</v>
      </c>
      <c r="D184" s="137">
        <v>2970000</v>
      </c>
      <c r="E184" s="20" t="s">
        <v>370</v>
      </c>
      <c r="F184" s="20" t="s">
        <v>371</v>
      </c>
      <c r="G184" s="8" t="str">
        <f t="shared" si="4"/>
        <v>GUZMAN DANNY</v>
      </c>
      <c r="H184" s="20" t="str">
        <f t="shared" si="5"/>
        <v>4065</v>
      </c>
    </row>
    <row r="185" spans="1:8" x14ac:dyDescent="0.25">
      <c r="A185" s="8">
        <v>43068.674942129626</v>
      </c>
      <c r="B185" s="20" t="s">
        <v>644</v>
      </c>
      <c r="C185" s="20" t="s">
        <v>806</v>
      </c>
      <c r="D185" s="137">
        <v>2420000</v>
      </c>
      <c r="E185" s="20" t="s">
        <v>765</v>
      </c>
      <c r="F185" s="20" t="s">
        <v>766</v>
      </c>
      <c r="G185" s="8" t="str">
        <f t="shared" si="4"/>
        <v>HOLCOMB KAMDEN</v>
      </c>
      <c r="H185" s="20" t="str">
        <f t="shared" si="5"/>
        <v>4020</v>
      </c>
    </row>
    <row r="186" spans="1:8" x14ac:dyDescent="0.25">
      <c r="A186" s="8">
        <v>43068.675659722219</v>
      </c>
      <c r="B186" s="20" t="s">
        <v>620</v>
      </c>
      <c r="C186" s="20" t="s">
        <v>807</v>
      </c>
      <c r="D186" s="137">
        <v>1780000</v>
      </c>
      <c r="E186" s="20" t="s">
        <v>776</v>
      </c>
      <c r="F186" s="20" t="s">
        <v>777</v>
      </c>
      <c r="G186" s="8" t="str">
        <f t="shared" si="4"/>
        <v>DE LA ROSA ALEX</v>
      </c>
      <c r="H186" s="20" t="str">
        <f t="shared" si="5"/>
        <v>4028</v>
      </c>
    </row>
    <row r="187" spans="1:8" x14ac:dyDescent="0.25">
      <c r="A187" s="8">
        <v>43068.677210648151</v>
      </c>
      <c r="B187" s="20" t="s">
        <v>473</v>
      </c>
      <c r="C187" s="20" t="s">
        <v>808</v>
      </c>
      <c r="D187" s="137">
        <v>1300000</v>
      </c>
      <c r="E187" s="20" t="s">
        <v>537</v>
      </c>
      <c r="F187" s="20" t="s">
        <v>538</v>
      </c>
      <c r="G187" s="8" t="str">
        <f t="shared" si="4"/>
        <v>LEVIN SCOTT</v>
      </c>
      <c r="H187" s="20" t="str">
        <f t="shared" si="5"/>
        <v>4021</v>
      </c>
    </row>
    <row r="188" spans="1:8" x14ac:dyDescent="0.25">
      <c r="A188" s="8">
        <v>43068.686122685183</v>
      </c>
      <c r="B188" s="20" t="s">
        <v>624</v>
      </c>
      <c r="C188" s="20" t="s">
        <v>648</v>
      </c>
      <c r="D188" s="137">
        <v>3810000</v>
      </c>
      <c r="E188" s="20" t="s">
        <v>483</v>
      </c>
      <c r="F188" s="20" t="s">
        <v>484</v>
      </c>
      <c r="G188" s="8" t="str">
        <f t="shared" si="4"/>
        <v>LORI SANTOS</v>
      </c>
      <c r="H188" s="20" t="str">
        <f t="shared" si="5"/>
        <v>4031</v>
      </c>
    </row>
    <row r="189" spans="1:8" x14ac:dyDescent="0.25">
      <c r="A189" s="8">
        <v>43068.686793981484</v>
      </c>
      <c r="B189" s="20" t="s">
        <v>523</v>
      </c>
      <c r="C189" s="20" t="s">
        <v>809</v>
      </c>
      <c r="D189" s="137">
        <v>1770000</v>
      </c>
      <c r="E189" s="20" t="s">
        <v>535</v>
      </c>
      <c r="F189" s="20" t="s">
        <v>536</v>
      </c>
      <c r="G189" s="8" t="str">
        <f t="shared" si="4"/>
        <v>BRUDER RICHARD</v>
      </c>
      <c r="H189" s="20" t="str">
        <f t="shared" si="5"/>
        <v>4002</v>
      </c>
    </row>
    <row r="190" spans="1:8" x14ac:dyDescent="0.25">
      <c r="A190" s="8">
        <v>43068.691006944442</v>
      </c>
      <c r="B190" s="20" t="s">
        <v>359</v>
      </c>
      <c r="C190" s="20" t="s">
        <v>810</v>
      </c>
      <c r="D190" s="137">
        <v>2000000</v>
      </c>
      <c r="E190" s="20" t="s">
        <v>385</v>
      </c>
      <c r="F190" s="20" t="s">
        <v>386</v>
      </c>
      <c r="G190" s="8" t="str">
        <f t="shared" si="4"/>
        <v>STAMBAUGH JAMES</v>
      </c>
      <c r="H190" s="20" t="str">
        <f t="shared" si="5"/>
        <v>4018</v>
      </c>
    </row>
    <row r="191" spans="1:8" x14ac:dyDescent="0.25">
      <c r="A191" s="8">
        <v>43068.691481481481</v>
      </c>
      <c r="B191" s="20" t="s">
        <v>471</v>
      </c>
      <c r="C191" s="20" t="s">
        <v>811</v>
      </c>
      <c r="D191" s="137">
        <v>2350000</v>
      </c>
      <c r="E191" s="20" t="s">
        <v>758</v>
      </c>
      <c r="F191" s="20" t="s">
        <v>759</v>
      </c>
      <c r="G191" s="8" t="str">
        <f t="shared" si="4"/>
        <v>BERLING GARY</v>
      </c>
      <c r="H191" s="20" t="str">
        <f t="shared" si="5"/>
        <v>4043</v>
      </c>
    </row>
    <row r="192" spans="1:8" x14ac:dyDescent="0.25">
      <c r="A192" s="8">
        <v>43068.694432870368</v>
      </c>
      <c r="B192" s="20" t="s">
        <v>667</v>
      </c>
      <c r="C192" s="20" t="s">
        <v>812</v>
      </c>
      <c r="D192" s="137">
        <v>880000</v>
      </c>
      <c r="E192" s="20" t="s">
        <v>432</v>
      </c>
      <c r="F192" s="20" t="s">
        <v>353</v>
      </c>
      <c r="G192" s="8" t="str">
        <f t="shared" si="4"/>
        <v>STEWART MICHAEL</v>
      </c>
      <c r="H192" s="20" t="str">
        <f t="shared" si="5"/>
        <v>4006</v>
      </c>
    </row>
    <row r="193" spans="1:8" x14ac:dyDescent="0.25">
      <c r="A193" s="8">
        <v>43068.694745370369</v>
      </c>
      <c r="B193" s="20" t="s">
        <v>527</v>
      </c>
      <c r="C193" s="20" t="s">
        <v>643</v>
      </c>
      <c r="D193" s="137">
        <v>3130000</v>
      </c>
      <c r="E193" s="20" t="s">
        <v>544</v>
      </c>
      <c r="F193" s="20" t="s">
        <v>545</v>
      </c>
      <c r="G193" s="8" t="str">
        <f t="shared" si="4"/>
        <v>ZEWDU DEREJE</v>
      </c>
      <c r="H193" s="20" t="str">
        <f t="shared" si="5"/>
        <v>4058</v>
      </c>
    </row>
    <row r="194" spans="1:8" x14ac:dyDescent="0.25">
      <c r="A194" s="8">
        <v>43068.704363425924</v>
      </c>
      <c r="B194" s="20" t="s">
        <v>477</v>
      </c>
      <c r="C194" s="20" t="s">
        <v>813</v>
      </c>
      <c r="D194" s="137">
        <v>2040000</v>
      </c>
      <c r="E194" s="20" t="s">
        <v>387</v>
      </c>
      <c r="F194" s="20" t="s">
        <v>388</v>
      </c>
      <c r="G194" s="8" t="str">
        <f t="shared" si="4"/>
        <v>MOSES BRADLEY</v>
      </c>
      <c r="H194" s="20" t="str">
        <f t="shared" si="5"/>
        <v>4063</v>
      </c>
    </row>
    <row r="195" spans="1:8" x14ac:dyDescent="0.25">
      <c r="A195" s="8">
        <v>43068.70484953704</v>
      </c>
      <c r="B195" s="20" t="s">
        <v>669</v>
      </c>
      <c r="C195" s="20" t="s">
        <v>814</v>
      </c>
      <c r="D195" s="137">
        <v>2970000</v>
      </c>
      <c r="E195" s="20" t="s">
        <v>370</v>
      </c>
      <c r="F195" s="20" t="s">
        <v>371</v>
      </c>
      <c r="G195" s="8" t="str">
        <f t="shared" ref="G195:G258" si="6">E195&amp;" "&amp;F195</f>
        <v>GUZMAN DANNY</v>
      </c>
      <c r="H195" s="20" t="str">
        <f t="shared" ref="H195:H258" si="7">MID(B195,13,4)</f>
        <v>4066</v>
      </c>
    </row>
    <row r="196" spans="1:8" x14ac:dyDescent="0.25">
      <c r="A196" s="8">
        <v>43068.707361111112</v>
      </c>
      <c r="B196" s="20" t="s">
        <v>361</v>
      </c>
      <c r="C196" s="20" t="s">
        <v>815</v>
      </c>
      <c r="D196" s="137">
        <v>2000000</v>
      </c>
      <c r="E196" s="20" t="s">
        <v>385</v>
      </c>
      <c r="F196" s="20" t="s">
        <v>386</v>
      </c>
      <c r="G196" s="8" t="str">
        <f t="shared" si="6"/>
        <v>STAMBAUGH JAMES</v>
      </c>
      <c r="H196" s="20" t="str">
        <f t="shared" si="7"/>
        <v>4017</v>
      </c>
    </row>
    <row r="197" spans="1:8" x14ac:dyDescent="0.25">
      <c r="A197" s="8">
        <v>43068.709756944445</v>
      </c>
      <c r="B197" s="20" t="s">
        <v>450</v>
      </c>
      <c r="C197" s="20" t="s">
        <v>816</v>
      </c>
      <c r="D197" s="137">
        <v>1810000</v>
      </c>
      <c r="E197" s="20" t="s">
        <v>541</v>
      </c>
      <c r="F197" s="20" t="s">
        <v>386</v>
      </c>
      <c r="G197" s="8" t="str">
        <f t="shared" si="6"/>
        <v>NEWELL JAMES</v>
      </c>
      <c r="H197" s="20" t="str">
        <f t="shared" si="7"/>
        <v>4026</v>
      </c>
    </row>
    <row r="198" spans="1:8" x14ac:dyDescent="0.25">
      <c r="A198" s="8">
        <v>43068.711643518516</v>
      </c>
      <c r="B198" s="20" t="s">
        <v>634</v>
      </c>
      <c r="C198" s="20" t="s">
        <v>817</v>
      </c>
      <c r="D198" s="137">
        <v>3810000</v>
      </c>
      <c r="E198" s="20" t="s">
        <v>483</v>
      </c>
      <c r="F198" s="20" t="s">
        <v>484</v>
      </c>
      <c r="G198" s="8" t="str">
        <f t="shared" si="6"/>
        <v>LORI SANTOS</v>
      </c>
      <c r="H198" s="20" t="str">
        <f t="shared" si="7"/>
        <v>4032</v>
      </c>
    </row>
    <row r="199" spans="1:8" x14ac:dyDescent="0.25">
      <c r="A199" s="8">
        <v>43068.714629629627</v>
      </c>
      <c r="B199" s="20" t="s">
        <v>479</v>
      </c>
      <c r="C199" s="20" t="s">
        <v>818</v>
      </c>
      <c r="D199" s="137">
        <v>2420000</v>
      </c>
      <c r="E199" s="20" t="s">
        <v>765</v>
      </c>
      <c r="F199" s="20" t="s">
        <v>766</v>
      </c>
      <c r="G199" s="8" t="str">
        <f t="shared" si="6"/>
        <v>HOLCOMB KAMDEN</v>
      </c>
      <c r="H199" s="20" t="str">
        <f t="shared" si="7"/>
        <v>4019</v>
      </c>
    </row>
    <row r="200" spans="1:8" x14ac:dyDescent="0.25">
      <c r="A200" s="8">
        <v>43068.716585648152</v>
      </c>
      <c r="B200" s="20" t="s">
        <v>740</v>
      </c>
      <c r="C200" s="20" t="s">
        <v>807</v>
      </c>
      <c r="D200" s="137">
        <v>2030000</v>
      </c>
      <c r="E200" s="20" t="s">
        <v>454</v>
      </c>
      <c r="F200" s="20" t="s">
        <v>423</v>
      </c>
      <c r="G200" s="8" t="str">
        <f t="shared" si="6"/>
        <v>KILLION DAVID</v>
      </c>
      <c r="H200" s="20" t="str">
        <f t="shared" si="7"/>
        <v>4045</v>
      </c>
    </row>
    <row r="201" spans="1:8" x14ac:dyDescent="0.25">
      <c r="A201" s="8">
        <v>43068.716608796298</v>
      </c>
      <c r="B201" s="20" t="s">
        <v>378</v>
      </c>
      <c r="C201" s="20" t="s">
        <v>819</v>
      </c>
      <c r="D201" s="137">
        <v>1300000</v>
      </c>
      <c r="E201" s="20" t="s">
        <v>537</v>
      </c>
      <c r="F201" s="20" t="s">
        <v>538</v>
      </c>
      <c r="G201" s="8" t="str">
        <f t="shared" si="6"/>
        <v>LEVIN SCOTT</v>
      </c>
      <c r="H201" s="20" t="str">
        <f t="shared" si="7"/>
        <v>4022</v>
      </c>
    </row>
    <row r="202" spans="1:8" x14ac:dyDescent="0.25">
      <c r="A202" s="26">
        <v>43068.718645833331</v>
      </c>
      <c r="B202" s="20" t="s">
        <v>530</v>
      </c>
      <c r="C202" s="20" t="s">
        <v>647</v>
      </c>
      <c r="D202" s="137">
        <v>3130000</v>
      </c>
      <c r="E202" s="20" t="s">
        <v>544</v>
      </c>
      <c r="F202" s="20" t="s">
        <v>545</v>
      </c>
      <c r="G202" s="8" t="str">
        <f t="shared" si="6"/>
        <v>ZEWDU DEREJE</v>
      </c>
      <c r="H202" s="20" t="str">
        <f t="shared" si="7"/>
        <v>4057</v>
      </c>
    </row>
    <row r="203" spans="1:8" x14ac:dyDescent="0.25">
      <c r="A203" s="8">
        <v>43068.720879629633</v>
      </c>
      <c r="B203" s="20" t="s">
        <v>751</v>
      </c>
      <c r="C203" s="20" t="s">
        <v>807</v>
      </c>
      <c r="D203" s="137">
        <v>2030000</v>
      </c>
      <c r="E203" s="20" t="s">
        <v>454</v>
      </c>
      <c r="F203" s="20" t="s">
        <v>423</v>
      </c>
      <c r="G203" s="8" t="str">
        <f t="shared" si="6"/>
        <v>KILLION DAVID</v>
      </c>
      <c r="H203" s="20" t="str">
        <f t="shared" si="7"/>
        <v>4046</v>
      </c>
    </row>
    <row r="204" spans="1:8" x14ac:dyDescent="0.25">
      <c r="A204" s="8">
        <v>43068.723877314813</v>
      </c>
      <c r="B204" s="20" t="s">
        <v>449</v>
      </c>
      <c r="C204" s="20" t="s">
        <v>816</v>
      </c>
      <c r="D204" s="137">
        <v>1810000</v>
      </c>
      <c r="E204" s="20" t="s">
        <v>541</v>
      </c>
      <c r="F204" s="20" t="s">
        <v>386</v>
      </c>
      <c r="G204" s="8" t="str">
        <f t="shared" si="6"/>
        <v>NEWELL JAMES</v>
      </c>
      <c r="H204" s="20" t="str">
        <f t="shared" si="7"/>
        <v>4025</v>
      </c>
    </row>
    <row r="205" spans="1:8" x14ac:dyDescent="0.25">
      <c r="A205" s="8">
        <v>43068.724166666667</v>
      </c>
      <c r="B205" s="20" t="s">
        <v>526</v>
      </c>
      <c r="C205" s="20" t="s">
        <v>820</v>
      </c>
      <c r="D205" s="137">
        <v>1770000</v>
      </c>
      <c r="E205" s="20" t="s">
        <v>535</v>
      </c>
      <c r="F205" s="20" t="s">
        <v>536</v>
      </c>
      <c r="G205" s="8" t="str">
        <f t="shared" si="6"/>
        <v>BRUDER RICHARD</v>
      </c>
      <c r="H205" s="20" t="str">
        <f t="shared" si="7"/>
        <v>4001</v>
      </c>
    </row>
    <row r="206" spans="1:8" x14ac:dyDescent="0.25">
      <c r="A206" s="8">
        <v>43068.724421296298</v>
      </c>
      <c r="B206" s="20" t="s">
        <v>470</v>
      </c>
      <c r="C206" s="20" t="s">
        <v>821</v>
      </c>
      <c r="D206" s="137">
        <v>2350000</v>
      </c>
      <c r="E206" s="20" t="s">
        <v>758</v>
      </c>
      <c r="F206" s="20" t="s">
        <v>759</v>
      </c>
      <c r="G206" s="8" t="str">
        <f t="shared" si="6"/>
        <v>BERLING GARY</v>
      </c>
      <c r="H206" s="20" t="str">
        <f t="shared" si="7"/>
        <v>4044</v>
      </c>
    </row>
    <row r="207" spans="1:8" x14ac:dyDescent="0.25">
      <c r="A207" s="8">
        <v>43068.728495370371</v>
      </c>
      <c r="B207" s="20" t="s">
        <v>624</v>
      </c>
      <c r="C207" s="20" t="s">
        <v>822</v>
      </c>
      <c r="D207" s="137">
        <v>3810000</v>
      </c>
      <c r="E207" s="20" t="s">
        <v>483</v>
      </c>
      <c r="F207" s="20" t="s">
        <v>484</v>
      </c>
      <c r="G207" s="8" t="str">
        <f t="shared" si="6"/>
        <v>LORI SANTOS</v>
      </c>
      <c r="H207" s="20" t="str">
        <f t="shared" si="7"/>
        <v>4031</v>
      </c>
    </row>
    <row r="208" spans="1:8" x14ac:dyDescent="0.25">
      <c r="A208" s="8">
        <v>43068.732569444444</v>
      </c>
      <c r="B208" s="20" t="s">
        <v>359</v>
      </c>
      <c r="C208" s="20" t="s">
        <v>823</v>
      </c>
      <c r="D208" s="137">
        <v>2000000</v>
      </c>
      <c r="E208" s="20" t="s">
        <v>385</v>
      </c>
      <c r="F208" s="20" t="s">
        <v>386</v>
      </c>
      <c r="G208" s="8" t="str">
        <f t="shared" si="6"/>
        <v>STAMBAUGH JAMES</v>
      </c>
      <c r="H208" s="20" t="str">
        <f t="shared" si="7"/>
        <v>4018</v>
      </c>
    </row>
    <row r="209" spans="1:8" x14ac:dyDescent="0.25">
      <c r="A209" s="8">
        <v>43068.733067129629</v>
      </c>
      <c r="B209" s="20" t="s">
        <v>450</v>
      </c>
      <c r="C209" s="20" t="s">
        <v>824</v>
      </c>
      <c r="D209" s="137">
        <v>3220000</v>
      </c>
      <c r="E209" s="20" t="s">
        <v>374</v>
      </c>
      <c r="F209" s="20" t="s">
        <v>375</v>
      </c>
      <c r="G209" s="8" t="str">
        <f t="shared" si="6"/>
        <v>RESPASS AARON</v>
      </c>
      <c r="H209" s="20" t="str">
        <f t="shared" si="7"/>
        <v>4026</v>
      </c>
    </row>
    <row r="210" spans="1:8" x14ac:dyDescent="0.25">
      <c r="A210" s="8">
        <v>43068.736006944448</v>
      </c>
      <c r="B210" s="20" t="s">
        <v>480</v>
      </c>
      <c r="C210" s="20" t="s">
        <v>800</v>
      </c>
      <c r="D210" s="137">
        <v>2040000</v>
      </c>
      <c r="E210" s="20" t="s">
        <v>387</v>
      </c>
      <c r="F210" s="20" t="s">
        <v>388</v>
      </c>
      <c r="G210" s="8" t="str">
        <f t="shared" si="6"/>
        <v>MOSES BRADLEY</v>
      </c>
      <c r="H210" s="20" t="str">
        <f t="shared" si="7"/>
        <v>4064</v>
      </c>
    </row>
    <row r="211" spans="1:8" x14ac:dyDescent="0.25">
      <c r="A211" s="8">
        <v>43068.736516203702</v>
      </c>
      <c r="B211" s="20" t="s">
        <v>653</v>
      </c>
      <c r="C211" s="20" t="s">
        <v>825</v>
      </c>
      <c r="D211" s="137">
        <v>880000</v>
      </c>
      <c r="E211" s="20" t="s">
        <v>432</v>
      </c>
      <c r="F211" s="20" t="s">
        <v>353</v>
      </c>
      <c r="G211" s="8" t="str">
        <f t="shared" si="6"/>
        <v>STEWART MICHAEL</v>
      </c>
      <c r="H211" s="20" t="str">
        <f t="shared" si="7"/>
        <v>4005</v>
      </c>
    </row>
    <row r="212" spans="1:8" x14ac:dyDescent="0.25">
      <c r="A212" s="8">
        <v>43068.739618055559</v>
      </c>
      <c r="B212" s="20" t="s">
        <v>663</v>
      </c>
      <c r="C212" s="20" t="s">
        <v>826</v>
      </c>
      <c r="D212" s="137">
        <v>2970000</v>
      </c>
      <c r="E212" s="20" t="s">
        <v>370</v>
      </c>
      <c r="F212" s="20" t="s">
        <v>371</v>
      </c>
      <c r="G212" s="8" t="str">
        <f t="shared" si="6"/>
        <v>GUZMAN DANNY</v>
      </c>
      <c r="H212" s="20" t="str">
        <f t="shared" si="7"/>
        <v>4065</v>
      </c>
    </row>
    <row r="213" spans="1:8" x14ac:dyDescent="0.25">
      <c r="A213" s="8">
        <v>43068.740925925929</v>
      </c>
      <c r="B213" s="20" t="s">
        <v>526</v>
      </c>
      <c r="C213" s="20" t="s">
        <v>820</v>
      </c>
      <c r="D213" s="137">
        <v>1770000</v>
      </c>
      <c r="E213" s="20" t="s">
        <v>535</v>
      </c>
      <c r="F213" s="20" t="s">
        <v>536</v>
      </c>
      <c r="G213" s="8" t="str">
        <f t="shared" si="6"/>
        <v>BRUDER RICHARD</v>
      </c>
      <c r="H213" s="20" t="str">
        <f t="shared" si="7"/>
        <v>4001</v>
      </c>
    </row>
    <row r="214" spans="1:8" x14ac:dyDescent="0.25">
      <c r="A214" s="8">
        <v>43068.74119212963</v>
      </c>
      <c r="B214" s="20" t="s">
        <v>527</v>
      </c>
      <c r="C214" s="20" t="s">
        <v>643</v>
      </c>
      <c r="D214" s="137">
        <v>3130000</v>
      </c>
      <c r="E214" s="20" t="s">
        <v>544</v>
      </c>
      <c r="F214" s="20" t="s">
        <v>545</v>
      </c>
      <c r="G214" s="8" t="str">
        <f t="shared" si="6"/>
        <v>ZEWDU DEREJE</v>
      </c>
      <c r="H214" s="20" t="str">
        <f t="shared" si="7"/>
        <v>4058</v>
      </c>
    </row>
    <row r="215" spans="1:8" x14ac:dyDescent="0.25">
      <c r="A215" s="8">
        <v>43068.74490740741</v>
      </c>
      <c r="B215" s="20" t="s">
        <v>530</v>
      </c>
      <c r="C215" s="20" t="s">
        <v>643</v>
      </c>
      <c r="D215" s="137">
        <v>3130000</v>
      </c>
      <c r="E215" s="20" t="s">
        <v>544</v>
      </c>
      <c r="F215" s="20" t="s">
        <v>545</v>
      </c>
      <c r="G215" s="8" t="str">
        <f t="shared" si="6"/>
        <v>ZEWDU DEREJE</v>
      </c>
      <c r="H215" s="20" t="str">
        <f t="shared" si="7"/>
        <v>4057</v>
      </c>
    </row>
    <row r="216" spans="1:8" x14ac:dyDescent="0.25">
      <c r="A216" s="8">
        <v>43068.746782407405</v>
      </c>
      <c r="B216" s="20" t="s">
        <v>644</v>
      </c>
      <c r="C216" s="20" t="s">
        <v>827</v>
      </c>
      <c r="D216" s="137">
        <v>2420000</v>
      </c>
      <c r="E216" s="20" t="s">
        <v>765</v>
      </c>
      <c r="F216" s="20" t="s">
        <v>766</v>
      </c>
      <c r="G216" s="8" t="str">
        <f t="shared" si="6"/>
        <v>HOLCOMB KAMDEN</v>
      </c>
      <c r="H216" s="20" t="str">
        <f t="shared" si="7"/>
        <v>4020</v>
      </c>
    </row>
    <row r="217" spans="1:8" x14ac:dyDescent="0.25">
      <c r="A217" s="8">
        <v>43068.748645833337</v>
      </c>
      <c r="B217" s="20" t="s">
        <v>361</v>
      </c>
      <c r="C217" s="20" t="s">
        <v>828</v>
      </c>
      <c r="D217" s="137">
        <v>2000000</v>
      </c>
      <c r="E217" s="20" t="s">
        <v>385</v>
      </c>
      <c r="F217" s="20" t="s">
        <v>386</v>
      </c>
      <c r="G217" s="8" t="str">
        <f t="shared" si="6"/>
        <v>STAMBAUGH JAMES</v>
      </c>
      <c r="H217" s="20" t="str">
        <f t="shared" si="7"/>
        <v>4017</v>
      </c>
    </row>
    <row r="218" spans="1:8" x14ac:dyDescent="0.25">
      <c r="A218" s="8">
        <v>43068.752881944441</v>
      </c>
      <c r="B218" s="20" t="s">
        <v>473</v>
      </c>
      <c r="C218" s="20" t="s">
        <v>829</v>
      </c>
      <c r="D218" s="137">
        <v>1300000</v>
      </c>
      <c r="E218" s="20" t="s">
        <v>537</v>
      </c>
      <c r="F218" s="20" t="s">
        <v>538</v>
      </c>
      <c r="G218" s="8" t="str">
        <f t="shared" si="6"/>
        <v>LEVIN SCOTT</v>
      </c>
      <c r="H218" s="20" t="str">
        <f t="shared" si="7"/>
        <v>4021</v>
      </c>
    </row>
    <row r="219" spans="1:8" x14ac:dyDescent="0.25">
      <c r="A219" s="8">
        <v>43068.755416666667</v>
      </c>
      <c r="B219" s="20" t="s">
        <v>634</v>
      </c>
      <c r="C219" s="20" t="s">
        <v>830</v>
      </c>
      <c r="D219" s="137">
        <v>3810000</v>
      </c>
      <c r="E219" s="20" t="s">
        <v>483</v>
      </c>
      <c r="F219" s="20" t="s">
        <v>484</v>
      </c>
      <c r="G219" s="8" t="str">
        <f t="shared" si="6"/>
        <v>LORI SANTOS</v>
      </c>
      <c r="H219" s="20" t="str">
        <f t="shared" si="7"/>
        <v>4032</v>
      </c>
    </row>
    <row r="220" spans="1:8" x14ac:dyDescent="0.25">
      <c r="A220" s="8">
        <v>43068.760127314818</v>
      </c>
      <c r="B220" s="20" t="s">
        <v>523</v>
      </c>
      <c r="C220" s="20" t="s">
        <v>831</v>
      </c>
      <c r="D220" s="137">
        <v>890000</v>
      </c>
      <c r="E220" s="20" t="s">
        <v>345</v>
      </c>
      <c r="F220" s="20" t="s">
        <v>346</v>
      </c>
      <c r="G220" s="8" t="str">
        <f t="shared" si="6"/>
        <v>LOZA FIDEL</v>
      </c>
      <c r="H220" s="20" t="str">
        <f t="shared" si="7"/>
        <v>4002</v>
      </c>
    </row>
    <row r="221" spans="1:8" x14ac:dyDescent="0.25">
      <c r="A221" s="8">
        <v>43068.764340277776</v>
      </c>
      <c r="B221" s="20" t="s">
        <v>471</v>
      </c>
      <c r="C221" s="20" t="s">
        <v>832</v>
      </c>
      <c r="D221" s="137">
        <v>2350000</v>
      </c>
      <c r="E221" s="20" t="s">
        <v>758</v>
      </c>
      <c r="F221" s="20" t="s">
        <v>759</v>
      </c>
      <c r="G221" s="8" t="str">
        <f t="shared" si="6"/>
        <v>BERLING GARY</v>
      </c>
      <c r="H221" s="20" t="str">
        <f t="shared" si="7"/>
        <v>4043</v>
      </c>
    </row>
    <row r="222" spans="1:8" x14ac:dyDescent="0.25">
      <c r="A222" s="8">
        <v>43068.770474537036</v>
      </c>
      <c r="B222" s="20" t="s">
        <v>624</v>
      </c>
      <c r="C222" s="20" t="s">
        <v>833</v>
      </c>
      <c r="D222" s="137">
        <v>3810000</v>
      </c>
      <c r="E222" s="20" t="s">
        <v>483</v>
      </c>
      <c r="F222" s="20" t="s">
        <v>484</v>
      </c>
      <c r="G222" s="8" t="str">
        <f t="shared" si="6"/>
        <v>LORI SANTOS</v>
      </c>
      <c r="H222" s="20" t="str">
        <f t="shared" si="7"/>
        <v>4031</v>
      </c>
    </row>
    <row r="223" spans="1:8" x14ac:dyDescent="0.25">
      <c r="A223" s="8">
        <v>43068.770567129628</v>
      </c>
      <c r="B223" s="20" t="s">
        <v>667</v>
      </c>
      <c r="C223" s="20" t="s">
        <v>834</v>
      </c>
      <c r="D223" s="137">
        <v>3310000</v>
      </c>
      <c r="E223" s="20" t="s">
        <v>542</v>
      </c>
      <c r="F223" s="20" t="s">
        <v>543</v>
      </c>
      <c r="G223" s="8" t="str">
        <f t="shared" si="6"/>
        <v>ANDERS STEVEN</v>
      </c>
      <c r="H223" s="20" t="str">
        <f t="shared" si="7"/>
        <v>4006</v>
      </c>
    </row>
    <row r="224" spans="1:8" x14ac:dyDescent="0.25">
      <c r="A224" s="8">
        <v>43068.773634259262</v>
      </c>
      <c r="B224" t="s">
        <v>359</v>
      </c>
      <c r="C224" t="s">
        <v>835</v>
      </c>
      <c r="D224" s="137">
        <v>2000000</v>
      </c>
      <c r="E224" t="s">
        <v>385</v>
      </c>
      <c r="F224" s="20" t="s">
        <v>386</v>
      </c>
      <c r="G224" s="8" t="str">
        <f t="shared" si="6"/>
        <v>STAMBAUGH JAMES</v>
      </c>
      <c r="H224" s="20" t="str">
        <f t="shared" si="7"/>
        <v>4018</v>
      </c>
    </row>
    <row r="225" spans="1:8" x14ac:dyDescent="0.25">
      <c r="A225" s="8">
        <v>43068.777233796296</v>
      </c>
      <c r="B225" t="s">
        <v>449</v>
      </c>
      <c r="C225" t="s">
        <v>836</v>
      </c>
      <c r="D225" s="137">
        <v>3220000</v>
      </c>
      <c r="E225" t="s">
        <v>374</v>
      </c>
      <c r="F225" s="20" t="s">
        <v>375</v>
      </c>
      <c r="G225" s="8" t="str">
        <f t="shared" si="6"/>
        <v>RESPASS AARON</v>
      </c>
      <c r="H225" s="20" t="str">
        <f t="shared" si="7"/>
        <v>4025</v>
      </c>
    </row>
    <row r="226" spans="1:8" x14ac:dyDescent="0.25">
      <c r="A226" s="8">
        <v>43068.778263888889</v>
      </c>
      <c r="B226" t="s">
        <v>669</v>
      </c>
      <c r="C226" t="s">
        <v>837</v>
      </c>
      <c r="D226" s="137">
        <v>2970000</v>
      </c>
      <c r="E226" t="s">
        <v>370</v>
      </c>
      <c r="F226" s="20" t="s">
        <v>371</v>
      </c>
      <c r="G226" s="8" t="str">
        <f t="shared" si="6"/>
        <v>GUZMAN DANNY</v>
      </c>
      <c r="H226" s="20" t="str">
        <f t="shared" si="7"/>
        <v>4066</v>
      </c>
    </row>
    <row r="227" spans="1:8" x14ac:dyDescent="0.25">
      <c r="A227" s="8">
        <v>43068.786921296298</v>
      </c>
      <c r="B227" t="s">
        <v>479</v>
      </c>
      <c r="C227" t="s">
        <v>649</v>
      </c>
      <c r="D227" s="137">
        <v>2420000</v>
      </c>
      <c r="E227" t="s">
        <v>765</v>
      </c>
      <c r="F227" s="20" t="s">
        <v>766</v>
      </c>
      <c r="G227" s="8" t="str">
        <f t="shared" si="6"/>
        <v>HOLCOMB KAMDEN</v>
      </c>
      <c r="H227" s="20" t="str">
        <f t="shared" si="7"/>
        <v>4019</v>
      </c>
    </row>
    <row r="228" spans="1:8" x14ac:dyDescent="0.25">
      <c r="A228" s="8">
        <v>43068.788136574076</v>
      </c>
      <c r="B228" t="s">
        <v>378</v>
      </c>
      <c r="C228" t="s">
        <v>838</v>
      </c>
      <c r="D228" s="137">
        <v>3320000</v>
      </c>
      <c r="E228" t="s">
        <v>362</v>
      </c>
      <c r="F228" s="20" t="s">
        <v>363</v>
      </c>
      <c r="G228" s="8" t="str">
        <f t="shared" si="6"/>
        <v>NICHOLSON WESLEY</v>
      </c>
      <c r="H228" s="20" t="str">
        <f t="shared" si="7"/>
        <v>4022</v>
      </c>
    </row>
    <row r="229" spans="1:8" x14ac:dyDescent="0.25">
      <c r="A229" s="8">
        <v>43068.788668981484</v>
      </c>
      <c r="B229" t="s">
        <v>361</v>
      </c>
      <c r="C229" t="s">
        <v>839</v>
      </c>
      <c r="D229" s="137">
        <v>2000000</v>
      </c>
      <c r="E229" t="s">
        <v>385</v>
      </c>
      <c r="F229" s="20" t="s">
        <v>386</v>
      </c>
      <c r="G229" s="8" t="str">
        <f t="shared" si="6"/>
        <v>STAMBAUGH JAMES</v>
      </c>
      <c r="H229" s="20" t="str">
        <f t="shared" si="7"/>
        <v>4017</v>
      </c>
    </row>
    <row r="230" spans="1:8" x14ac:dyDescent="0.25">
      <c r="A230" s="8">
        <v>43068.79587962963</v>
      </c>
      <c r="B230" t="s">
        <v>634</v>
      </c>
      <c r="C230" t="s">
        <v>840</v>
      </c>
      <c r="D230" s="137">
        <v>3810000</v>
      </c>
      <c r="E230" t="s">
        <v>483</v>
      </c>
      <c r="F230" s="20" t="s">
        <v>484</v>
      </c>
      <c r="G230" s="8" t="str">
        <f t="shared" si="6"/>
        <v>LORI SANTOS</v>
      </c>
      <c r="H230" s="20" t="str">
        <f t="shared" si="7"/>
        <v>4032</v>
      </c>
    </row>
    <row r="231" spans="1:8" x14ac:dyDescent="0.25">
      <c r="A231" s="8">
        <v>43068.797511574077</v>
      </c>
      <c r="B231" t="s">
        <v>526</v>
      </c>
      <c r="C231" t="s">
        <v>841</v>
      </c>
      <c r="D231" s="137">
        <v>890000</v>
      </c>
      <c r="E231" t="s">
        <v>345</v>
      </c>
      <c r="F231" s="20" t="s">
        <v>346</v>
      </c>
      <c r="G231" s="8" t="str">
        <f t="shared" si="6"/>
        <v>LOZA FIDEL</v>
      </c>
      <c r="H231" s="20" t="str">
        <f t="shared" si="7"/>
        <v>4001</v>
      </c>
    </row>
    <row r="232" spans="1:8" x14ac:dyDescent="0.25">
      <c r="A232" s="8">
        <v>43068.79855324074</v>
      </c>
      <c r="B232" t="s">
        <v>470</v>
      </c>
      <c r="C232" t="s">
        <v>842</v>
      </c>
      <c r="D232" s="137">
        <v>2350000</v>
      </c>
      <c r="E232" t="s">
        <v>758</v>
      </c>
      <c r="F232" s="20" t="s">
        <v>759</v>
      </c>
      <c r="G232" s="8" t="str">
        <f t="shared" si="6"/>
        <v>BERLING GARY</v>
      </c>
      <c r="H232" s="20" t="str">
        <f t="shared" si="7"/>
        <v>4044</v>
      </c>
    </row>
    <row r="233" spans="1:8" x14ac:dyDescent="0.25">
      <c r="A233" s="8">
        <v>43068.808356481481</v>
      </c>
      <c r="B233" t="s">
        <v>450</v>
      </c>
      <c r="C233" t="s">
        <v>843</v>
      </c>
      <c r="D233" s="137">
        <v>3220000</v>
      </c>
      <c r="E233" t="s">
        <v>374</v>
      </c>
      <c r="F233" s="20" t="s">
        <v>375</v>
      </c>
      <c r="G233" s="8" t="str">
        <f t="shared" si="6"/>
        <v>RESPASS AARON</v>
      </c>
      <c r="H233" s="20" t="str">
        <f t="shared" si="7"/>
        <v>4026</v>
      </c>
    </row>
    <row r="234" spans="1:8" x14ac:dyDescent="0.25">
      <c r="A234" s="8">
        <v>43068.808437500003</v>
      </c>
      <c r="B234" t="s">
        <v>653</v>
      </c>
      <c r="C234" t="s">
        <v>844</v>
      </c>
      <c r="D234" s="137">
        <v>3310000</v>
      </c>
      <c r="E234" t="s">
        <v>542</v>
      </c>
      <c r="F234" s="20" t="s">
        <v>543</v>
      </c>
      <c r="G234" s="8" t="str">
        <f t="shared" si="6"/>
        <v>ANDERS STEVEN</v>
      </c>
      <c r="H234" s="20" t="str">
        <f t="shared" si="7"/>
        <v>4005</v>
      </c>
    </row>
    <row r="235" spans="1:8" x14ac:dyDescent="0.25">
      <c r="A235" s="8">
        <v>43068.811608796299</v>
      </c>
      <c r="B235" t="s">
        <v>624</v>
      </c>
      <c r="C235" t="s">
        <v>651</v>
      </c>
      <c r="D235" s="137">
        <v>3810000</v>
      </c>
      <c r="E235" t="s">
        <v>483</v>
      </c>
      <c r="F235" s="20" t="s">
        <v>484</v>
      </c>
      <c r="G235" s="8" t="str">
        <f t="shared" si="6"/>
        <v>LORI SANTOS</v>
      </c>
      <c r="H235" s="20" t="str">
        <f t="shared" si="7"/>
        <v>4031</v>
      </c>
    </row>
    <row r="236" spans="1:8" x14ac:dyDescent="0.25">
      <c r="A236" s="8">
        <v>43068.818020833336</v>
      </c>
      <c r="B236" t="s">
        <v>644</v>
      </c>
      <c r="C236" t="s">
        <v>650</v>
      </c>
      <c r="D236" s="137">
        <v>2420000</v>
      </c>
      <c r="E236" t="s">
        <v>765</v>
      </c>
      <c r="F236" s="20" t="s">
        <v>766</v>
      </c>
      <c r="G236" s="8" t="str">
        <f t="shared" si="6"/>
        <v>HOLCOMB KAMDEN</v>
      </c>
      <c r="H236" s="20" t="str">
        <f t="shared" si="7"/>
        <v>4020</v>
      </c>
    </row>
    <row r="237" spans="1:8" x14ac:dyDescent="0.25">
      <c r="A237" s="8">
        <v>43068.824143518519</v>
      </c>
      <c r="B237" t="s">
        <v>473</v>
      </c>
      <c r="C237" t="s">
        <v>845</v>
      </c>
      <c r="D237" s="137">
        <v>3320000</v>
      </c>
      <c r="E237" t="s">
        <v>362</v>
      </c>
      <c r="F237" s="20" t="s">
        <v>363</v>
      </c>
      <c r="G237" s="8" t="str">
        <f t="shared" si="6"/>
        <v>NICHOLSON WESLEY</v>
      </c>
      <c r="H237" s="20" t="str">
        <f t="shared" si="7"/>
        <v>4021</v>
      </c>
    </row>
    <row r="238" spans="1:8" x14ac:dyDescent="0.25">
      <c r="A238" s="8">
        <v>43068.830891203703</v>
      </c>
      <c r="B238" t="s">
        <v>523</v>
      </c>
      <c r="C238" t="s">
        <v>846</v>
      </c>
      <c r="D238" s="137">
        <v>890000</v>
      </c>
      <c r="E238" t="s">
        <v>345</v>
      </c>
      <c r="F238" s="20" t="s">
        <v>346</v>
      </c>
      <c r="G238" s="8" t="str">
        <f t="shared" si="6"/>
        <v>LOZA FIDEL</v>
      </c>
      <c r="H238" s="20" t="str">
        <f t="shared" si="7"/>
        <v>4002</v>
      </c>
    </row>
    <row r="239" spans="1:8" x14ac:dyDescent="0.25">
      <c r="A239" s="8">
        <v>43068.838437500002</v>
      </c>
      <c r="B239" t="s">
        <v>634</v>
      </c>
      <c r="C239" t="s">
        <v>652</v>
      </c>
      <c r="D239" s="137">
        <v>3810000</v>
      </c>
      <c r="E239" t="s">
        <v>483</v>
      </c>
      <c r="F239" s="20" t="s">
        <v>484</v>
      </c>
      <c r="G239" s="8" t="str">
        <f t="shared" si="6"/>
        <v>LORI SANTOS</v>
      </c>
      <c r="H239" s="20" t="str">
        <f t="shared" si="7"/>
        <v>4032</v>
      </c>
    </row>
    <row r="240" spans="1:8" x14ac:dyDescent="0.25">
      <c r="A240" s="8">
        <v>43068.849236111113</v>
      </c>
      <c r="B240" t="s">
        <v>449</v>
      </c>
      <c r="C240" t="s">
        <v>847</v>
      </c>
      <c r="D240" s="137">
        <v>3220000</v>
      </c>
      <c r="E240" t="s">
        <v>374</v>
      </c>
      <c r="F240" s="20" t="s">
        <v>375</v>
      </c>
      <c r="G240" s="8" t="str">
        <f t="shared" si="6"/>
        <v>RESPASS AARON</v>
      </c>
      <c r="H240" s="20" t="str">
        <f t="shared" si="7"/>
        <v>4025</v>
      </c>
    </row>
    <row r="241" spans="1:8" x14ac:dyDescent="0.25">
      <c r="A241" s="8">
        <v>43068.851145833331</v>
      </c>
      <c r="B241" t="s">
        <v>667</v>
      </c>
      <c r="C241" t="s">
        <v>848</v>
      </c>
      <c r="D241" s="137">
        <v>3310000</v>
      </c>
      <c r="E241" t="s">
        <v>542</v>
      </c>
      <c r="F241" s="20" t="s">
        <v>543</v>
      </c>
      <c r="G241" s="8" t="str">
        <f t="shared" si="6"/>
        <v>ANDERS STEVEN</v>
      </c>
      <c r="H241" s="20" t="str">
        <f t="shared" si="7"/>
        <v>4006</v>
      </c>
    </row>
    <row r="242" spans="1:8" x14ac:dyDescent="0.25">
      <c r="A242" s="8">
        <v>43068.852337962962</v>
      </c>
      <c r="B242" t="s">
        <v>624</v>
      </c>
      <c r="C242" t="s">
        <v>849</v>
      </c>
      <c r="D242" s="137">
        <v>3810000</v>
      </c>
      <c r="E242" t="s">
        <v>483</v>
      </c>
      <c r="F242" s="20" t="s">
        <v>484</v>
      </c>
      <c r="G242" s="8" t="str">
        <f t="shared" si="6"/>
        <v>LORI SANTOS</v>
      </c>
      <c r="H242" s="20" t="str">
        <f t="shared" si="7"/>
        <v>4031</v>
      </c>
    </row>
    <row r="243" spans="1:8" x14ac:dyDescent="0.25">
      <c r="A243" s="8">
        <v>43068.865358796298</v>
      </c>
      <c r="B243" t="s">
        <v>378</v>
      </c>
      <c r="C243" t="s">
        <v>850</v>
      </c>
      <c r="D243" s="137">
        <v>3320000</v>
      </c>
      <c r="E243" t="s">
        <v>362</v>
      </c>
      <c r="F243" s="20" t="s">
        <v>363</v>
      </c>
      <c r="G243" s="8" t="str">
        <f t="shared" si="6"/>
        <v>NICHOLSON WESLEY</v>
      </c>
      <c r="H243" s="20" t="str">
        <f t="shared" si="7"/>
        <v>4022</v>
      </c>
    </row>
    <row r="244" spans="1:8" x14ac:dyDescent="0.25">
      <c r="A244" s="8">
        <v>43068.871365740742</v>
      </c>
      <c r="B244" t="s">
        <v>526</v>
      </c>
      <c r="C244" t="s">
        <v>851</v>
      </c>
      <c r="D244" s="137">
        <v>890000</v>
      </c>
      <c r="E244" t="s">
        <v>345</v>
      </c>
      <c r="F244" s="20" t="s">
        <v>346</v>
      </c>
      <c r="G244" s="8" t="str">
        <f t="shared" si="6"/>
        <v>LOZA FIDEL</v>
      </c>
      <c r="H244" s="20" t="str">
        <f t="shared" si="7"/>
        <v>4001</v>
      </c>
    </row>
    <row r="245" spans="1:8" x14ac:dyDescent="0.25">
      <c r="A245" s="8">
        <v>43068.878553240742</v>
      </c>
      <c r="B245" t="s">
        <v>634</v>
      </c>
      <c r="C245" t="s">
        <v>852</v>
      </c>
      <c r="D245" s="137">
        <v>2000000</v>
      </c>
      <c r="E245" t="s">
        <v>385</v>
      </c>
      <c r="F245" s="20" t="s">
        <v>386</v>
      </c>
      <c r="G245" s="8" t="str">
        <f t="shared" si="6"/>
        <v>STAMBAUGH JAMES</v>
      </c>
      <c r="H245" s="20" t="str">
        <f t="shared" si="7"/>
        <v>4032</v>
      </c>
    </row>
    <row r="246" spans="1:8" x14ac:dyDescent="0.25">
      <c r="A246" s="8">
        <v>43068.890370370369</v>
      </c>
      <c r="B246" t="s">
        <v>450</v>
      </c>
      <c r="C246" t="s">
        <v>853</v>
      </c>
      <c r="D246" s="137">
        <v>3220000</v>
      </c>
      <c r="E246" t="s">
        <v>374</v>
      </c>
      <c r="F246" s="20" t="s">
        <v>375</v>
      </c>
      <c r="G246" s="8" t="str">
        <f t="shared" si="6"/>
        <v>RESPASS AARON</v>
      </c>
      <c r="H246" s="20" t="str">
        <f t="shared" si="7"/>
        <v>4026</v>
      </c>
    </row>
    <row r="247" spans="1:8" x14ac:dyDescent="0.25">
      <c r="A247" s="8">
        <v>43068.891817129632</v>
      </c>
      <c r="B247" t="s">
        <v>653</v>
      </c>
      <c r="C247" t="s">
        <v>654</v>
      </c>
      <c r="D247" s="137">
        <v>3310000</v>
      </c>
      <c r="E247" t="s">
        <v>542</v>
      </c>
      <c r="F247" s="20" t="s">
        <v>543</v>
      </c>
      <c r="G247" s="8" t="str">
        <f t="shared" si="6"/>
        <v>ANDERS STEVEN</v>
      </c>
      <c r="H247" s="20" t="str">
        <f t="shared" si="7"/>
        <v>4005</v>
      </c>
    </row>
    <row r="248" spans="1:8" x14ac:dyDescent="0.25">
      <c r="A248" s="8">
        <v>43068.893067129633</v>
      </c>
      <c r="B248" t="s">
        <v>624</v>
      </c>
      <c r="C248" t="s">
        <v>854</v>
      </c>
      <c r="D248" s="137">
        <v>2000000</v>
      </c>
      <c r="E248" t="s">
        <v>385</v>
      </c>
      <c r="F248" s="20" t="s">
        <v>386</v>
      </c>
      <c r="G248" s="8" t="str">
        <f t="shared" si="6"/>
        <v>STAMBAUGH JAMES</v>
      </c>
      <c r="H248" s="20" t="str">
        <f t="shared" si="7"/>
        <v>4031</v>
      </c>
    </row>
    <row r="249" spans="1:8" x14ac:dyDescent="0.25">
      <c r="A249" s="8">
        <v>43068.904988425929</v>
      </c>
      <c r="B249" t="s">
        <v>523</v>
      </c>
      <c r="C249" t="s">
        <v>855</v>
      </c>
      <c r="D249" s="137">
        <v>890000</v>
      </c>
      <c r="E249" t="s">
        <v>345</v>
      </c>
      <c r="F249" s="20" t="s">
        <v>346</v>
      </c>
      <c r="G249" s="8" t="str">
        <f t="shared" si="6"/>
        <v>LOZA FIDEL</v>
      </c>
      <c r="H249" s="20" t="str">
        <f t="shared" si="7"/>
        <v>4002</v>
      </c>
    </row>
    <row r="250" spans="1:8" x14ac:dyDescent="0.25">
      <c r="A250" s="8">
        <v>43068.913229166668</v>
      </c>
      <c r="B250" t="s">
        <v>473</v>
      </c>
      <c r="C250" t="s">
        <v>856</v>
      </c>
      <c r="D250" s="137">
        <v>3320000</v>
      </c>
      <c r="E250" t="s">
        <v>362</v>
      </c>
      <c r="F250" s="20" t="s">
        <v>363</v>
      </c>
      <c r="G250" s="8" t="str">
        <f t="shared" si="6"/>
        <v>NICHOLSON WESLEY</v>
      </c>
      <c r="H250" s="20" t="str">
        <f t="shared" si="7"/>
        <v>4021</v>
      </c>
    </row>
    <row r="251" spans="1:8" x14ac:dyDescent="0.25">
      <c r="A251" s="8">
        <v>43068.921585648146</v>
      </c>
      <c r="B251" t="s">
        <v>634</v>
      </c>
      <c r="C251" t="s">
        <v>857</v>
      </c>
      <c r="D251" s="137">
        <v>2000000</v>
      </c>
      <c r="E251" t="s">
        <v>385</v>
      </c>
      <c r="F251" s="20" t="s">
        <v>386</v>
      </c>
      <c r="G251" s="8" t="str">
        <f t="shared" si="6"/>
        <v>STAMBAUGH JAMES</v>
      </c>
      <c r="H251" s="20" t="str">
        <f t="shared" si="7"/>
        <v>4032</v>
      </c>
    </row>
    <row r="252" spans="1:8" x14ac:dyDescent="0.25">
      <c r="A252" s="8">
        <v>43068.932928240742</v>
      </c>
      <c r="B252" t="s">
        <v>449</v>
      </c>
      <c r="C252" t="s">
        <v>858</v>
      </c>
      <c r="D252" s="137">
        <v>3220000</v>
      </c>
      <c r="E252" t="s">
        <v>374</v>
      </c>
      <c r="F252" s="20" t="s">
        <v>375</v>
      </c>
      <c r="G252" s="8" t="str">
        <f t="shared" si="6"/>
        <v>RESPASS AARON</v>
      </c>
      <c r="H252" s="20" t="str">
        <f t="shared" si="7"/>
        <v>4025</v>
      </c>
    </row>
    <row r="253" spans="1:8" x14ac:dyDescent="0.25">
      <c r="A253" s="8">
        <v>43068.933634259258</v>
      </c>
      <c r="B253" t="s">
        <v>624</v>
      </c>
      <c r="C253" t="s">
        <v>859</v>
      </c>
      <c r="D253" s="137">
        <v>2000000</v>
      </c>
      <c r="E253" t="s">
        <v>385</v>
      </c>
      <c r="F253" s="20" t="s">
        <v>386</v>
      </c>
      <c r="G253" s="8" t="str">
        <f t="shared" si="6"/>
        <v>STAMBAUGH JAMES</v>
      </c>
      <c r="H253" s="20" t="str">
        <f t="shared" si="7"/>
        <v>4031</v>
      </c>
    </row>
    <row r="254" spans="1:8" x14ac:dyDescent="0.25">
      <c r="A254" s="8">
        <v>43068.936041666668</v>
      </c>
      <c r="B254" t="s">
        <v>667</v>
      </c>
      <c r="C254" t="s">
        <v>860</v>
      </c>
      <c r="D254" s="137">
        <v>3310000</v>
      </c>
      <c r="E254" t="s">
        <v>542</v>
      </c>
      <c r="F254" s="20" t="s">
        <v>543</v>
      </c>
      <c r="G254" s="8" t="str">
        <f t="shared" si="6"/>
        <v>ANDERS STEVEN</v>
      </c>
      <c r="H254" s="20" t="str">
        <f t="shared" si="7"/>
        <v>4006</v>
      </c>
    </row>
    <row r="255" spans="1:8" x14ac:dyDescent="0.25">
      <c r="A255" s="8">
        <v>43068.945405092592</v>
      </c>
      <c r="B255" t="s">
        <v>378</v>
      </c>
      <c r="C255" t="s">
        <v>861</v>
      </c>
      <c r="D255" s="137">
        <v>3320000</v>
      </c>
      <c r="E255" t="s">
        <v>362</v>
      </c>
      <c r="F255" s="20" t="s">
        <v>363</v>
      </c>
      <c r="G255" s="8" t="str">
        <f t="shared" si="6"/>
        <v>NICHOLSON WESLEY</v>
      </c>
      <c r="H255" s="20" t="str">
        <f t="shared" si="7"/>
        <v>4022</v>
      </c>
    </row>
    <row r="256" spans="1:8" x14ac:dyDescent="0.25">
      <c r="A256" s="8">
        <v>43068.952187499999</v>
      </c>
      <c r="B256" t="s">
        <v>526</v>
      </c>
      <c r="C256" t="s">
        <v>862</v>
      </c>
      <c r="D256" s="137">
        <v>890000</v>
      </c>
      <c r="E256" t="s">
        <v>345</v>
      </c>
      <c r="F256" s="20" t="s">
        <v>346</v>
      </c>
      <c r="G256" s="8" t="str">
        <f t="shared" si="6"/>
        <v>LOZA FIDEL</v>
      </c>
      <c r="H256" s="20" t="str">
        <f t="shared" si="7"/>
        <v>4001</v>
      </c>
    </row>
    <row r="257" spans="1:8" x14ac:dyDescent="0.25">
      <c r="A257" s="8">
        <v>43068.961168981485</v>
      </c>
      <c r="B257" t="s">
        <v>634</v>
      </c>
      <c r="C257" t="s">
        <v>863</v>
      </c>
      <c r="D257" s="137">
        <v>2000000</v>
      </c>
      <c r="E257" t="s">
        <v>385</v>
      </c>
      <c r="F257" s="20" t="s">
        <v>386</v>
      </c>
      <c r="G257" s="8" t="str">
        <f t="shared" si="6"/>
        <v>STAMBAUGH JAMES</v>
      </c>
      <c r="H257" s="20" t="str">
        <f t="shared" si="7"/>
        <v>4032</v>
      </c>
    </row>
    <row r="258" spans="1:8" x14ac:dyDescent="0.25">
      <c r="A258" s="8">
        <v>43068.974456018521</v>
      </c>
      <c r="B258" t="s">
        <v>450</v>
      </c>
      <c r="C258" t="s">
        <v>864</v>
      </c>
      <c r="D258" s="137">
        <v>3220000</v>
      </c>
      <c r="E258" t="s">
        <v>374</v>
      </c>
      <c r="F258" s="20" t="s">
        <v>375</v>
      </c>
      <c r="G258" s="8" t="str">
        <f t="shared" si="6"/>
        <v>RESPASS AARON</v>
      </c>
      <c r="H258" s="20" t="str">
        <f t="shared" si="7"/>
        <v>4026</v>
      </c>
    </row>
    <row r="259" spans="1:8" x14ac:dyDescent="0.25">
      <c r="A259" s="8">
        <v>43068.975543981483</v>
      </c>
      <c r="B259" t="s">
        <v>624</v>
      </c>
      <c r="C259" t="s">
        <v>865</v>
      </c>
      <c r="D259" s="137">
        <v>2000000</v>
      </c>
      <c r="E259" t="s">
        <v>385</v>
      </c>
      <c r="F259" s="20" t="s">
        <v>386</v>
      </c>
      <c r="G259" s="8" t="str">
        <f t="shared" ref="G259:G313" si="8">E259&amp;" "&amp;F259</f>
        <v>STAMBAUGH JAMES</v>
      </c>
      <c r="H259" s="20" t="str">
        <f t="shared" ref="H259:H313" si="9">MID(B259,13,4)</f>
        <v>4031</v>
      </c>
    </row>
    <row r="260" spans="1:8" x14ac:dyDescent="0.25">
      <c r="A260" s="8">
        <v>43068.975706018522</v>
      </c>
      <c r="B260" t="s">
        <v>653</v>
      </c>
      <c r="C260" t="s">
        <v>866</v>
      </c>
      <c r="D260" s="137">
        <v>3310000</v>
      </c>
      <c r="E260" t="s">
        <v>542</v>
      </c>
      <c r="F260" s="20" t="s">
        <v>543</v>
      </c>
      <c r="G260" s="8" t="str">
        <f t="shared" si="8"/>
        <v>ANDERS STEVEN</v>
      </c>
      <c r="H260" s="20" t="str">
        <f t="shared" si="9"/>
        <v>4005</v>
      </c>
    </row>
    <row r="261" spans="1:8" x14ac:dyDescent="0.25">
      <c r="A261" s="8">
        <v>43068.986145833333</v>
      </c>
      <c r="B261" t="s">
        <v>523</v>
      </c>
      <c r="C261" t="s">
        <v>867</v>
      </c>
      <c r="D261" s="137">
        <v>890000</v>
      </c>
      <c r="E261" t="s">
        <v>345</v>
      </c>
      <c r="F261" s="20" t="s">
        <v>346</v>
      </c>
      <c r="G261" s="8" t="str">
        <f t="shared" si="8"/>
        <v>LOZA FIDEL</v>
      </c>
      <c r="H261" s="20" t="str">
        <f t="shared" si="9"/>
        <v>4002</v>
      </c>
    </row>
    <row r="262" spans="1:8" x14ac:dyDescent="0.25">
      <c r="A262" s="8">
        <v>43068.990578703706</v>
      </c>
      <c r="B262" t="s">
        <v>473</v>
      </c>
      <c r="C262" t="s">
        <v>868</v>
      </c>
      <c r="D262" s="137">
        <v>3320000</v>
      </c>
      <c r="E262" t="s">
        <v>362</v>
      </c>
      <c r="F262" s="20" t="s">
        <v>363</v>
      </c>
      <c r="G262" s="8" t="str">
        <f t="shared" si="8"/>
        <v>NICHOLSON WESLEY</v>
      </c>
      <c r="H262" s="20" t="str">
        <f t="shared" si="9"/>
        <v>4021</v>
      </c>
    </row>
    <row r="263" spans="1:8" x14ac:dyDescent="0.25">
      <c r="A263" s="8">
        <v>43069.015138888892</v>
      </c>
      <c r="B263" t="s">
        <v>449</v>
      </c>
      <c r="C263" t="s">
        <v>869</v>
      </c>
      <c r="D263" s="137">
        <v>3220000</v>
      </c>
      <c r="E263" t="s">
        <v>374</v>
      </c>
      <c r="F263" s="20" t="s">
        <v>375</v>
      </c>
      <c r="G263" s="8" t="str">
        <f t="shared" si="8"/>
        <v>RESPASS AARON</v>
      </c>
      <c r="H263" s="20" t="str">
        <f t="shared" si="9"/>
        <v>4025</v>
      </c>
    </row>
    <row r="264" spans="1:8" x14ac:dyDescent="0.25">
      <c r="A264" s="8">
        <v>43069.019780092596</v>
      </c>
      <c r="B264" t="s">
        <v>667</v>
      </c>
      <c r="C264" t="s">
        <v>870</v>
      </c>
      <c r="D264" s="137">
        <v>3310000</v>
      </c>
      <c r="E264" t="s">
        <v>542</v>
      </c>
      <c r="F264" s="20" t="s">
        <v>543</v>
      </c>
      <c r="G264" s="8" t="str">
        <f t="shared" si="8"/>
        <v>ANDERS STEVEN</v>
      </c>
      <c r="H264" s="20" t="str">
        <f t="shared" si="9"/>
        <v>4006</v>
      </c>
    </row>
    <row r="265" spans="1:8" x14ac:dyDescent="0.25">
      <c r="A265" s="8">
        <v>43069.029178240744</v>
      </c>
      <c r="B265" t="s">
        <v>378</v>
      </c>
      <c r="C265" t="s">
        <v>871</v>
      </c>
      <c r="D265" s="137">
        <v>3320000</v>
      </c>
      <c r="E265" t="s">
        <v>362</v>
      </c>
      <c r="F265" s="20" t="s">
        <v>363</v>
      </c>
      <c r="G265" s="8" t="str">
        <f t="shared" si="8"/>
        <v>NICHOLSON WESLEY</v>
      </c>
      <c r="H265" s="20" t="str">
        <f t="shared" si="9"/>
        <v>4022</v>
      </c>
    </row>
    <row r="266" spans="1:8" x14ac:dyDescent="0.25">
      <c r="A266" s="8">
        <v>43069.038206018522</v>
      </c>
      <c r="B266" t="s">
        <v>526</v>
      </c>
      <c r="C266" t="s">
        <v>872</v>
      </c>
      <c r="D266" s="137">
        <v>890000</v>
      </c>
      <c r="E266" t="s">
        <v>345</v>
      </c>
      <c r="F266" s="20" t="s">
        <v>346</v>
      </c>
      <c r="G266" s="8" t="str">
        <f t="shared" si="8"/>
        <v>LOZA FIDEL</v>
      </c>
      <c r="H266" s="20" t="str">
        <f t="shared" si="9"/>
        <v>4001</v>
      </c>
    </row>
    <row r="267" spans="1:8" x14ac:dyDescent="0.25">
      <c r="A267" s="8">
        <v>43069.046111111114</v>
      </c>
      <c r="B267" t="s">
        <v>450</v>
      </c>
      <c r="C267" t="s">
        <v>873</v>
      </c>
      <c r="D267" s="137">
        <v>3220000</v>
      </c>
      <c r="E267" t="s">
        <v>374</v>
      </c>
      <c r="F267" s="20" t="s">
        <v>375</v>
      </c>
      <c r="G267" s="8" t="str">
        <f t="shared" si="8"/>
        <v>RESPASS AARON</v>
      </c>
      <c r="H267" s="20" t="str">
        <f t="shared" si="9"/>
        <v>4026</v>
      </c>
    </row>
    <row r="268" spans="1:8" x14ac:dyDescent="0.25">
      <c r="A268" s="8">
        <v>43069.050173611111</v>
      </c>
      <c r="B268" t="s">
        <v>653</v>
      </c>
      <c r="C268" t="s">
        <v>655</v>
      </c>
      <c r="D268" s="137">
        <v>3310000</v>
      </c>
      <c r="E268" t="s">
        <v>542</v>
      </c>
      <c r="F268" s="20" t="s">
        <v>543</v>
      </c>
      <c r="G268" s="8" t="str">
        <f t="shared" si="8"/>
        <v>ANDERS STEVEN</v>
      </c>
      <c r="H268" s="20" t="str">
        <f t="shared" si="9"/>
        <v>4005</v>
      </c>
    </row>
    <row r="269" spans="1:8" x14ac:dyDescent="0.25">
      <c r="A269" s="8">
        <v>43069.067777777775</v>
      </c>
      <c r="B269" t="s">
        <v>523</v>
      </c>
      <c r="C269" t="s">
        <v>874</v>
      </c>
      <c r="D269" s="137">
        <v>890000</v>
      </c>
      <c r="E269" t="s">
        <v>345</v>
      </c>
      <c r="F269" s="20" t="s">
        <v>346</v>
      </c>
      <c r="G269" s="8" t="str">
        <f t="shared" si="8"/>
        <v>LOZA FIDEL</v>
      </c>
      <c r="H269" s="20" t="str">
        <f t="shared" si="9"/>
        <v>4002</v>
      </c>
    </row>
    <row r="270" spans="1:8" x14ac:dyDescent="0.25">
      <c r="A270" s="8">
        <v>43069.090451388889</v>
      </c>
      <c r="B270" t="s">
        <v>667</v>
      </c>
      <c r="C270" t="s">
        <v>875</v>
      </c>
      <c r="D270" s="137">
        <v>3310000</v>
      </c>
      <c r="E270" t="s">
        <v>542</v>
      </c>
      <c r="F270" s="20" t="s">
        <v>543</v>
      </c>
      <c r="G270" s="8" t="str">
        <f t="shared" si="8"/>
        <v>ANDERS STEVEN</v>
      </c>
      <c r="H270" s="20" t="str">
        <f t="shared" si="9"/>
        <v>4006</v>
      </c>
    </row>
    <row r="271" spans="1:8" x14ac:dyDescent="0.25">
      <c r="A271" s="8">
        <v>43069.091400462959</v>
      </c>
      <c r="B271" t="s">
        <v>667</v>
      </c>
      <c r="C271" t="s">
        <v>875</v>
      </c>
      <c r="D271" s="137">
        <v>3310000</v>
      </c>
      <c r="E271" t="s">
        <v>542</v>
      </c>
      <c r="F271" s="20" t="s">
        <v>543</v>
      </c>
      <c r="G271" s="8" t="str">
        <f t="shared" si="8"/>
        <v>ANDERS STEVEN</v>
      </c>
      <c r="H271" s="20" t="str">
        <f t="shared" si="9"/>
        <v>4006</v>
      </c>
    </row>
    <row r="272" spans="1:8" x14ac:dyDescent="0.25">
      <c r="A272" s="8">
        <v>43066.934120370373</v>
      </c>
      <c r="B272" t="s">
        <v>352</v>
      </c>
      <c r="C272" t="s">
        <v>485</v>
      </c>
      <c r="D272" s="137">
        <v>2000000</v>
      </c>
      <c r="E272" t="s">
        <v>385</v>
      </c>
      <c r="F272" s="20" t="s">
        <v>386</v>
      </c>
      <c r="G272" s="8" t="str">
        <f t="shared" si="8"/>
        <v>STAMBAUGH JAMES</v>
      </c>
      <c r="H272" s="20" t="str">
        <f t="shared" si="9"/>
        <v>4055</v>
      </c>
    </row>
    <row r="273" spans="1:8" x14ac:dyDescent="0.25">
      <c r="A273" s="8">
        <v>43066.945567129631</v>
      </c>
      <c r="B273" t="s">
        <v>359</v>
      </c>
      <c r="C273" t="s">
        <v>486</v>
      </c>
      <c r="D273" s="137">
        <v>3340000</v>
      </c>
      <c r="E273" t="s">
        <v>421</v>
      </c>
      <c r="F273" s="20" t="s">
        <v>422</v>
      </c>
      <c r="G273" s="8" t="str">
        <f t="shared" si="8"/>
        <v>ELBAUM MIKE</v>
      </c>
      <c r="H273" s="20" t="str">
        <f t="shared" si="9"/>
        <v>4018</v>
      </c>
    </row>
    <row r="274" spans="1:8" x14ac:dyDescent="0.25">
      <c r="A274" s="8">
        <v>43066.946863425925</v>
      </c>
      <c r="B274" t="s">
        <v>471</v>
      </c>
      <c r="C274" t="s">
        <v>487</v>
      </c>
      <c r="D274" s="137">
        <v>3500000</v>
      </c>
      <c r="E274" t="s">
        <v>372</v>
      </c>
      <c r="F274" s="20" t="s">
        <v>373</v>
      </c>
      <c r="G274" s="8" t="str">
        <f t="shared" si="8"/>
        <v>GUNTHIER ERIC</v>
      </c>
      <c r="H274" s="20" t="str">
        <f t="shared" si="9"/>
        <v>4043</v>
      </c>
    </row>
    <row r="275" spans="1:8" x14ac:dyDescent="0.25">
      <c r="A275" s="8">
        <v>43066.962430555555</v>
      </c>
      <c r="B275" t="s">
        <v>431</v>
      </c>
      <c r="C275" t="s">
        <v>488</v>
      </c>
      <c r="D275" s="137">
        <v>2000000</v>
      </c>
      <c r="E275" t="s">
        <v>385</v>
      </c>
      <c r="F275" s="20" t="s">
        <v>386</v>
      </c>
      <c r="G275" s="8" t="str">
        <f t="shared" si="8"/>
        <v>STAMBAUGH JAMES</v>
      </c>
      <c r="H275" s="20" t="str">
        <f t="shared" si="9"/>
        <v>4056</v>
      </c>
    </row>
    <row r="276" spans="1:8" x14ac:dyDescent="0.25">
      <c r="A276" s="8">
        <v>43066.969027777777</v>
      </c>
      <c r="B276" t="s">
        <v>378</v>
      </c>
      <c r="C276" t="s">
        <v>489</v>
      </c>
      <c r="D276" s="137">
        <v>890000</v>
      </c>
      <c r="E276" t="s">
        <v>345</v>
      </c>
      <c r="F276" s="20" t="s">
        <v>346</v>
      </c>
      <c r="G276" s="8" t="str">
        <f t="shared" si="8"/>
        <v>LOZA FIDEL</v>
      </c>
      <c r="H276" s="20" t="str">
        <f t="shared" si="9"/>
        <v>4022</v>
      </c>
    </row>
    <row r="277" spans="1:8" x14ac:dyDescent="0.25">
      <c r="A277" s="8">
        <v>43066.974097222221</v>
      </c>
      <c r="B277" t="s">
        <v>449</v>
      </c>
      <c r="C277" t="s">
        <v>490</v>
      </c>
      <c r="D277" s="137">
        <v>3040000</v>
      </c>
      <c r="E277" t="s">
        <v>367</v>
      </c>
      <c r="F277" s="20" t="s">
        <v>451</v>
      </c>
      <c r="G277" s="8" t="str">
        <f t="shared" si="8"/>
        <v>WILLIAMS DONTE</v>
      </c>
      <c r="H277" s="20" t="str">
        <f t="shared" si="9"/>
        <v>4025</v>
      </c>
    </row>
    <row r="278" spans="1:8" x14ac:dyDescent="0.25">
      <c r="A278" s="8">
        <v>43066.974907407406</v>
      </c>
      <c r="B278" t="s">
        <v>352</v>
      </c>
      <c r="C278" t="s">
        <v>491</v>
      </c>
      <c r="D278" s="137">
        <v>2000000</v>
      </c>
      <c r="E278" t="s">
        <v>385</v>
      </c>
      <c r="F278" s="20" t="s">
        <v>386</v>
      </c>
      <c r="G278" s="8" t="str">
        <f t="shared" si="8"/>
        <v>STAMBAUGH JAMES</v>
      </c>
      <c r="H278" s="20" t="str">
        <f t="shared" si="9"/>
        <v>4055</v>
      </c>
    </row>
    <row r="279" spans="1:8" x14ac:dyDescent="0.25">
      <c r="A279" s="8">
        <v>43066.986979166664</v>
      </c>
      <c r="B279" t="s">
        <v>361</v>
      </c>
      <c r="C279" t="s">
        <v>492</v>
      </c>
      <c r="D279" s="137">
        <v>3340000</v>
      </c>
      <c r="E279" t="s">
        <v>421</v>
      </c>
      <c r="F279" s="20" t="s">
        <v>422</v>
      </c>
      <c r="G279" s="8" t="str">
        <f t="shared" si="8"/>
        <v>ELBAUM MIKE</v>
      </c>
      <c r="H279" s="20" t="str">
        <f t="shared" si="9"/>
        <v>4017</v>
      </c>
    </row>
    <row r="280" spans="1:8" x14ac:dyDescent="0.25">
      <c r="A280" s="8">
        <v>43066.992754629631</v>
      </c>
      <c r="B280" t="s">
        <v>470</v>
      </c>
      <c r="C280" t="s">
        <v>493</v>
      </c>
      <c r="D280" s="137">
        <v>3220000</v>
      </c>
      <c r="E280" t="s">
        <v>374</v>
      </c>
      <c r="F280" s="20" t="s">
        <v>375</v>
      </c>
      <c r="G280" s="8" t="str">
        <f t="shared" si="8"/>
        <v>RESPASS AARON</v>
      </c>
      <c r="H280" s="20" t="str">
        <f t="shared" si="9"/>
        <v>4044</v>
      </c>
    </row>
    <row r="281" spans="1:8" x14ac:dyDescent="0.25">
      <c r="A281" s="8">
        <v>43067.015798611108</v>
      </c>
      <c r="B281" t="s">
        <v>473</v>
      </c>
      <c r="C281" t="s">
        <v>494</v>
      </c>
      <c r="D281" s="137">
        <v>890000</v>
      </c>
      <c r="E281" t="s">
        <v>345</v>
      </c>
      <c r="F281" s="20" t="s">
        <v>346</v>
      </c>
      <c r="G281" s="8" t="str">
        <f t="shared" si="8"/>
        <v>LOZA FIDEL</v>
      </c>
      <c r="H281" s="20" t="str">
        <f t="shared" si="9"/>
        <v>4021</v>
      </c>
    </row>
    <row r="282" spans="1:8" x14ac:dyDescent="0.25">
      <c r="A282" s="8">
        <v>43067.017256944448</v>
      </c>
      <c r="B282" t="s">
        <v>450</v>
      </c>
      <c r="C282" t="s">
        <v>495</v>
      </c>
      <c r="D282" s="137">
        <v>3040000</v>
      </c>
      <c r="E282" t="s">
        <v>367</v>
      </c>
      <c r="F282" s="20" t="s">
        <v>451</v>
      </c>
      <c r="G282" s="8" t="str">
        <f t="shared" si="8"/>
        <v>WILLIAMS DONTE</v>
      </c>
      <c r="H282" s="20" t="str">
        <f t="shared" si="9"/>
        <v>4026</v>
      </c>
    </row>
    <row r="283" spans="1:8" x14ac:dyDescent="0.25">
      <c r="A283" s="8">
        <v>43067.025405092594</v>
      </c>
      <c r="B283" t="s">
        <v>359</v>
      </c>
      <c r="C283" t="s">
        <v>496</v>
      </c>
      <c r="D283" s="137">
        <v>3340000</v>
      </c>
      <c r="E283" t="s">
        <v>421</v>
      </c>
      <c r="F283" s="20" t="s">
        <v>422</v>
      </c>
      <c r="G283" s="8" t="str">
        <f t="shared" si="8"/>
        <v>ELBAUM MIKE</v>
      </c>
      <c r="H283" s="20" t="str">
        <f t="shared" si="9"/>
        <v>4018</v>
      </c>
    </row>
    <row r="284" spans="1:8" x14ac:dyDescent="0.25">
      <c r="A284" s="8">
        <v>43067.035092592596</v>
      </c>
      <c r="B284" t="s">
        <v>471</v>
      </c>
      <c r="C284" t="s">
        <v>497</v>
      </c>
      <c r="D284" s="137">
        <v>3220000</v>
      </c>
      <c r="E284" t="s">
        <v>374</v>
      </c>
      <c r="F284" s="20" t="s">
        <v>375</v>
      </c>
      <c r="G284" s="8" t="str">
        <f t="shared" si="8"/>
        <v>RESPASS AARON</v>
      </c>
      <c r="H284" s="20" t="str">
        <f t="shared" si="9"/>
        <v>4043</v>
      </c>
    </row>
    <row r="285" spans="1:8" x14ac:dyDescent="0.25">
      <c r="A285" s="8">
        <v>43067.0469212963</v>
      </c>
      <c r="B285" t="s">
        <v>378</v>
      </c>
      <c r="C285" t="s">
        <v>472</v>
      </c>
      <c r="D285" s="137">
        <v>890000</v>
      </c>
      <c r="E285" t="s">
        <v>345</v>
      </c>
      <c r="F285" s="20" t="s">
        <v>346</v>
      </c>
      <c r="G285" s="8" t="str">
        <f t="shared" si="8"/>
        <v>LOZA FIDEL</v>
      </c>
      <c r="H285" s="20" t="str">
        <f t="shared" si="9"/>
        <v>4022</v>
      </c>
    </row>
    <row r="286" spans="1:8" x14ac:dyDescent="0.25">
      <c r="A286" s="8">
        <v>43067.056122685186</v>
      </c>
      <c r="B286" t="s">
        <v>449</v>
      </c>
      <c r="C286" t="s">
        <v>498</v>
      </c>
      <c r="D286" s="137">
        <v>3040000</v>
      </c>
      <c r="E286" t="s">
        <v>367</v>
      </c>
      <c r="F286" s="20" t="s">
        <v>451</v>
      </c>
      <c r="G286" s="8" t="str">
        <f t="shared" si="8"/>
        <v>WILLIAMS DONTE</v>
      </c>
      <c r="H286" s="20" t="str">
        <f t="shared" si="9"/>
        <v>4025</v>
      </c>
    </row>
    <row r="287" spans="1:8" x14ac:dyDescent="0.25">
      <c r="A287" s="8">
        <v>43067.066620370373</v>
      </c>
      <c r="B287" t="s">
        <v>470</v>
      </c>
      <c r="C287" t="s">
        <v>499</v>
      </c>
      <c r="D287" s="137">
        <v>3220000</v>
      </c>
      <c r="E287" t="s">
        <v>374</v>
      </c>
      <c r="F287" s="20" t="s">
        <v>375</v>
      </c>
      <c r="G287" s="8" t="str">
        <f t="shared" si="8"/>
        <v>RESPASS AARON</v>
      </c>
      <c r="H287" s="20" t="str">
        <f t="shared" si="9"/>
        <v>4044</v>
      </c>
    </row>
    <row r="288" spans="1:8" x14ac:dyDescent="0.25">
      <c r="A288" s="8">
        <v>43067.08871527778</v>
      </c>
      <c r="B288" t="s">
        <v>450</v>
      </c>
      <c r="C288" t="s">
        <v>500</v>
      </c>
      <c r="D288" s="137">
        <v>3040000</v>
      </c>
      <c r="E288" t="s">
        <v>367</v>
      </c>
      <c r="F288" s="20" t="s">
        <v>451</v>
      </c>
      <c r="G288" s="8" t="str">
        <f t="shared" si="8"/>
        <v>WILLIAMS DONTE</v>
      </c>
      <c r="H288" s="20" t="str">
        <f t="shared" si="9"/>
        <v>4026</v>
      </c>
    </row>
    <row r="289" spans="1:8" x14ac:dyDescent="0.25">
      <c r="A289" s="8">
        <v>43039.891932870371</v>
      </c>
      <c r="B289" t="s">
        <v>366</v>
      </c>
      <c r="C289" t="s">
        <v>389</v>
      </c>
      <c r="D289" s="137">
        <v>2040000</v>
      </c>
      <c r="E289" t="s">
        <v>387</v>
      </c>
      <c r="F289" s="20" t="s">
        <v>388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379</v>
      </c>
      <c r="C290" t="s">
        <v>390</v>
      </c>
      <c r="D290" s="137">
        <v>2000000</v>
      </c>
      <c r="E290" t="s">
        <v>385</v>
      </c>
      <c r="F290" s="20" t="s">
        <v>386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368</v>
      </c>
      <c r="C291" t="s">
        <v>391</v>
      </c>
      <c r="D291" s="137">
        <v>3320000</v>
      </c>
      <c r="E291" t="s">
        <v>362</v>
      </c>
      <c r="F291" s="20" t="s">
        <v>363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360</v>
      </c>
      <c r="C292" t="s">
        <v>392</v>
      </c>
      <c r="D292" s="137">
        <v>3500000</v>
      </c>
      <c r="E292" t="s">
        <v>372</v>
      </c>
      <c r="F292" s="20" t="s">
        <v>373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377</v>
      </c>
      <c r="C293" t="s">
        <v>393</v>
      </c>
      <c r="D293" s="137">
        <v>3220000</v>
      </c>
      <c r="E293" t="s">
        <v>374</v>
      </c>
      <c r="F293" s="20" t="s">
        <v>375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380</v>
      </c>
      <c r="C294" t="s">
        <v>381</v>
      </c>
      <c r="D294" s="137">
        <v>3670000</v>
      </c>
      <c r="E294" t="s">
        <v>376</v>
      </c>
      <c r="F294" s="20" t="s">
        <v>367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365</v>
      </c>
      <c r="C295" t="s">
        <v>394</v>
      </c>
      <c r="D295" s="137">
        <v>2040000</v>
      </c>
      <c r="E295" t="s">
        <v>387</v>
      </c>
      <c r="F295" s="20" t="s">
        <v>388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379</v>
      </c>
      <c r="C296" t="s">
        <v>395</v>
      </c>
      <c r="D296" s="137">
        <v>3220000</v>
      </c>
      <c r="E296" t="s">
        <v>374</v>
      </c>
      <c r="F296" s="20" t="s">
        <v>375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357</v>
      </c>
      <c r="C297" t="s">
        <v>396</v>
      </c>
      <c r="D297" s="137">
        <v>3500000</v>
      </c>
      <c r="E297" t="s">
        <v>372</v>
      </c>
      <c r="F297" s="20" t="s">
        <v>373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369</v>
      </c>
      <c r="C298" t="s">
        <v>397</v>
      </c>
      <c r="D298" s="137">
        <v>3320000</v>
      </c>
      <c r="E298" t="s">
        <v>362</v>
      </c>
      <c r="F298" s="20" t="s">
        <v>363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377</v>
      </c>
      <c r="C299" t="s">
        <v>398</v>
      </c>
      <c r="D299" s="137">
        <v>2000000</v>
      </c>
      <c r="E299" t="s">
        <v>385</v>
      </c>
      <c r="F299" s="20" t="s">
        <v>386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384</v>
      </c>
      <c r="C300" t="s">
        <v>399</v>
      </c>
      <c r="D300" s="137">
        <v>3670000</v>
      </c>
      <c r="E300" t="s">
        <v>376</v>
      </c>
      <c r="F300" s="20" t="s">
        <v>367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366</v>
      </c>
      <c r="C301" t="s">
        <v>400</v>
      </c>
      <c r="D301" s="137">
        <v>2040000</v>
      </c>
      <c r="E301" t="s">
        <v>387</v>
      </c>
      <c r="F301" s="20" t="s">
        <v>388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379</v>
      </c>
      <c r="C302" t="s">
        <v>401</v>
      </c>
      <c r="D302" s="137">
        <v>2000000</v>
      </c>
      <c r="E302" t="s">
        <v>385</v>
      </c>
      <c r="F302" s="20" t="s">
        <v>386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360</v>
      </c>
      <c r="C303" t="s">
        <v>382</v>
      </c>
      <c r="D303" s="137">
        <v>3500000</v>
      </c>
      <c r="E303" t="s">
        <v>372</v>
      </c>
      <c r="F303" s="20" t="s">
        <v>373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368</v>
      </c>
      <c r="C304" t="s">
        <v>402</v>
      </c>
      <c r="D304" s="137">
        <v>3320000</v>
      </c>
      <c r="E304" t="s">
        <v>362</v>
      </c>
      <c r="F304" s="20" t="s">
        <v>363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380</v>
      </c>
      <c r="C305" t="s">
        <v>403</v>
      </c>
      <c r="D305" s="137">
        <v>3670000</v>
      </c>
      <c r="E305" t="s">
        <v>376</v>
      </c>
      <c r="F305" s="20" t="s">
        <v>367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365</v>
      </c>
      <c r="C306" t="s">
        <v>404</v>
      </c>
      <c r="D306" s="137">
        <v>2040000</v>
      </c>
      <c r="E306" t="s">
        <v>387</v>
      </c>
      <c r="F306" s="20" t="s">
        <v>388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357</v>
      </c>
      <c r="C307" t="s">
        <v>405</v>
      </c>
      <c r="D307" s="137">
        <v>3500000</v>
      </c>
      <c r="E307" t="s">
        <v>372</v>
      </c>
      <c r="F307" s="20" t="s">
        <v>373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369</v>
      </c>
      <c r="C308" t="s">
        <v>406</v>
      </c>
      <c r="D308" s="137">
        <v>3320000</v>
      </c>
      <c r="E308" t="s">
        <v>362</v>
      </c>
      <c r="F308" s="20" t="s">
        <v>363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384</v>
      </c>
      <c r="C309" t="s">
        <v>407</v>
      </c>
      <c r="D309" s="137">
        <v>3670000</v>
      </c>
      <c r="E309" t="s">
        <v>376</v>
      </c>
      <c r="F309" s="20" t="s">
        <v>367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366</v>
      </c>
      <c r="C310" t="s">
        <v>408</v>
      </c>
      <c r="D310" s="137">
        <v>2040000</v>
      </c>
      <c r="E310" t="s">
        <v>387</v>
      </c>
      <c r="F310" s="20" t="s">
        <v>388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368</v>
      </c>
      <c r="C311" t="s">
        <v>409</v>
      </c>
      <c r="D311" s="137">
        <v>3320000</v>
      </c>
      <c r="E311" t="s">
        <v>362</v>
      </c>
      <c r="F311" s="20" t="s">
        <v>363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365</v>
      </c>
      <c r="C312" t="s">
        <v>410</v>
      </c>
      <c r="D312" s="137">
        <v>2040000</v>
      </c>
      <c r="E312" t="s">
        <v>387</v>
      </c>
      <c r="F312" s="20" t="s">
        <v>388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352</v>
      </c>
      <c r="C313" t="s">
        <v>364</v>
      </c>
      <c r="D313" s="137">
        <v>1830000</v>
      </c>
      <c r="E313" t="s">
        <v>347</v>
      </c>
      <c r="F313" s="20" t="s">
        <v>348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R29"/>
    </sheetView>
  </sheetViews>
  <sheetFormatPr defaultColWidth="9.140625" defaultRowHeight="15" x14ac:dyDescent="0.25"/>
  <cols>
    <col min="1" max="1" width="22.5703125" style="140" customWidth="1"/>
    <col min="2" max="2" width="8.42578125" style="140" bestFit="1" customWidth="1"/>
    <col min="3" max="3" width="12.5703125" style="140" bestFit="1" customWidth="1"/>
    <col min="4" max="4" width="18.5703125" style="130" bestFit="1" customWidth="1"/>
    <col min="5" max="5" width="9.85546875" style="140" bestFit="1" customWidth="1"/>
    <col min="6" max="6" width="9" style="140" bestFit="1" customWidth="1"/>
    <col min="7" max="7" width="8.85546875" style="140" bestFit="1" customWidth="1"/>
    <col min="8" max="8" width="14" style="140" bestFit="1" customWidth="1"/>
    <col min="9" max="9" width="21.140625" style="140" bestFit="1" customWidth="1"/>
    <col min="10" max="10" width="8.7109375" style="140" bestFit="1" customWidth="1"/>
    <col min="11" max="11" width="11.28515625" style="140" bestFit="1" customWidth="1"/>
    <col min="12" max="12" width="11" style="140" bestFit="1" customWidth="1"/>
    <col min="13" max="13" width="11.28515625" style="140" bestFit="1" customWidth="1"/>
    <col min="14" max="14" width="13.7109375" style="140" bestFit="1" customWidth="1"/>
    <col min="15" max="15" width="14.85546875" style="140" bestFit="1" customWidth="1"/>
    <col min="16" max="16" width="16.7109375" style="140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162</v>
      </c>
      <c r="I1" s="217" t="s">
        <v>163</v>
      </c>
      <c r="J1" s="217" t="s">
        <v>157</v>
      </c>
      <c r="K1" s="217" t="s">
        <v>155</v>
      </c>
      <c r="L1" s="217" t="s">
        <v>150</v>
      </c>
      <c r="M1" s="217" t="s">
        <v>160</v>
      </c>
      <c r="N1" s="217" t="s">
        <v>334</v>
      </c>
      <c r="O1" s="217" t="s">
        <v>154</v>
      </c>
      <c r="P1" s="217" t="s">
        <v>161</v>
      </c>
      <c r="Q1" s="217" t="s">
        <v>335</v>
      </c>
      <c r="R1" s="217" t="s">
        <v>158</v>
      </c>
      <c r="S1"/>
      <c r="T1"/>
    </row>
    <row r="2" spans="1:20" x14ac:dyDescent="0.25">
      <c r="A2" s="195">
        <v>30.92</v>
      </c>
      <c r="B2" s="195">
        <v>0</v>
      </c>
      <c r="C2" s="195">
        <v>24.35</v>
      </c>
      <c r="D2" s="8">
        <v>43068</v>
      </c>
      <c r="E2" s="195">
        <v>0.76</v>
      </c>
      <c r="F2" s="195" t="s">
        <v>419</v>
      </c>
      <c r="G2" s="195">
        <v>254.83</v>
      </c>
      <c r="H2" s="195">
        <v>0</v>
      </c>
      <c r="I2" s="195">
        <v>0</v>
      </c>
      <c r="J2" s="195">
        <v>1021.65</v>
      </c>
      <c r="K2" s="195" t="s">
        <v>418</v>
      </c>
      <c r="L2" s="195">
        <v>30.92</v>
      </c>
      <c r="M2" s="195">
        <v>1511938800</v>
      </c>
      <c r="N2" s="195">
        <v>0</v>
      </c>
      <c r="O2" s="195">
        <v>3.35</v>
      </c>
      <c r="P2" s="195">
        <v>201</v>
      </c>
      <c r="Q2" s="195">
        <v>2.79</v>
      </c>
      <c r="R2" s="195">
        <v>0.73</v>
      </c>
      <c r="S2"/>
      <c r="T2"/>
    </row>
    <row r="3" spans="1:20" x14ac:dyDescent="0.25">
      <c r="A3" s="195">
        <v>29.98</v>
      </c>
      <c r="B3" s="195">
        <v>0</v>
      </c>
      <c r="C3" s="195">
        <v>23.99</v>
      </c>
      <c r="D3" s="8">
        <v>43068.041666666664</v>
      </c>
      <c r="E3" s="195">
        <v>0.78</v>
      </c>
      <c r="F3" s="195" t="s">
        <v>419</v>
      </c>
      <c r="G3" s="195">
        <v>256.54000000000002</v>
      </c>
      <c r="H3" s="195">
        <v>0</v>
      </c>
      <c r="I3" s="195">
        <v>0</v>
      </c>
      <c r="J3" s="195">
        <v>1020.53</v>
      </c>
      <c r="K3" s="195" t="s">
        <v>418</v>
      </c>
      <c r="L3" s="195">
        <v>29.98</v>
      </c>
      <c r="M3" s="195">
        <v>1511942400</v>
      </c>
      <c r="N3" s="195">
        <v>0</v>
      </c>
      <c r="O3" s="195">
        <v>2.85</v>
      </c>
      <c r="P3" s="195">
        <v>196</v>
      </c>
      <c r="Q3" s="195">
        <v>2.54</v>
      </c>
      <c r="R3" s="195">
        <v>0.95</v>
      </c>
      <c r="S3"/>
      <c r="T3"/>
    </row>
    <row r="4" spans="1:20" x14ac:dyDescent="0.25">
      <c r="A4" s="195">
        <v>29.11</v>
      </c>
      <c r="B4" s="195">
        <v>0</v>
      </c>
      <c r="C4" s="195">
        <v>23.46</v>
      </c>
      <c r="D4" s="8">
        <v>43068.083333333336</v>
      </c>
      <c r="E4" s="195">
        <v>0.79</v>
      </c>
      <c r="F4" s="195" t="s">
        <v>419</v>
      </c>
      <c r="G4" s="195">
        <v>257.58</v>
      </c>
      <c r="H4" s="195">
        <v>0</v>
      </c>
      <c r="I4" s="195">
        <v>0</v>
      </c>
      <c r="J4" s="195">
        <v>1020.14</v>
      </c>
      <c r="K4" s="195" t="s">
        <v>418</v>
      </c>
      <c r="L4" s="195">
        <v>29.11</v>
      </c>
      <c r="M4" s="195">
        <v>1511946000</v>
      </c>
      <c r="N4" s="195">
        <v>0</v>
      </c>
      <c r="O4" s="195">
        <v>3.31</v>
      </c>
      <c r="P4" s="195">
        <v>215</v>
      </c>
      <c r="Q4" s="195">
        <v>2.42</v>
      </c>
      <c r="R4" s="195">
        <v>0.55000000000000004</v>
      </c>
      <c r="S4"/>
      <c r="T4"/>
    </row>
    <row r="5" spans="1:20" x14ac:dyDescent="0.25">
      <c r="A5" s="195">
        <v>28.43</v>
      </c>
      <c r="B5" s="195">
        <v>0.04</v>
      </c>
      <c r="C5" s="195">
        <v>23.18</v>
      </c>
      <c r="D5" s="8">
        <v>43068.125</v>
      </c>
      <c r="E5" s="195">
        <v>0.8</v>
      </c>
      <c r="F5" s="195" t="s">
        <v>419</v>
      </c>
      <c r="G5" s="195">
        <v>257.06</v>
      </c>
      <c r="H5" s="195">
        <v>0</v>
      </c>
      <c r="I5" s="195">
        <v>0</v>
      </c>
      <c r="J5" s="195">
        <v>1019.43</v>
      </c>
      <c r="K5" s="195" t="s">
        <v>418</v>
      </c>
      <c r="L5" s="195">
        <v>28.43</v>
      </c>
      <c r="M5" s="195">
        <v>1511949600</v>
      </c>
      <c r="N5" s="195">
        <v>0</v>
      </c>
      <c r="O5" s="195">
        <v>3.12</v>
      </c>
      <c r="P5" s="195">
        <v>200</v>
      </c>
      <c r="Q5" s="195">
        <v>2.3199999999999998</v>
      </c>
      <c r="R5" s="195">
        <v>0.44</v>
      </c>
      <c r="S5"/>
      <c r="T5"/>
    </row>
    <row r="6" spans="1:20" x14ac:dyDescent="0.25">
      <c r="A6" s="195">
        <v>28.21</v>
      </c>
      <c r="B6" s="195">
        <v>0.05</v>
      </c>
      <c r="C6" s="195">
        <v>23.16</v>
      </c>
      <c r="D6" s="8">
        <v>43068.166666666664</v>
      </c>
      <c r="E6" s="195">
        <v>0.81</v>
      </c>
      <c r="F6" s="195" t="s">
        <v>419</v>
      </c>
      <c r="G6" s="195">
        <v>255.77</v>
      </c>
      <c r="H6" s="195">
        <v>0</v>
      </c>
      <c r="I6" s="195">
        <v>0</v>
      </c>
      <c r="J6" s="195">
        <v>1018.11</v>
      </c>
      <c r="K6" s="195" t="s">
        <v>418</v>
      </c>
      <c r="L6" s="195">
        <v>28.21</v>
      </c>
      <c r="M6" s="195">
        <v>1511953200</v>
      </c>
      <c r="N6" s="195">
        <v>0</v>
      </c>
      <c r="O6" s="195">
        <v>3.52</v>
      </c>
      <c r="P6" s="195">
        <v>183</v>
      </c>
      <c r="Q6" s="195">
        <v>2.39</v>
      </c>
      <c r="R6" s="195">
        <v>0.68</v>
      </c>
      <c r="S6"/>
      <c r="T6"/>
    </row>
    <row r="7" spans="1:20" x14ac:dyDescent="0.25">
      <c r="A7" s="195">
        <v>28.53</v>
      </c>
      <c r="B7" s="195">
        <v>0.03</v>
      </c>
      <c r="C7" s="195">
        <v>23.55</v>
      </c>
      <c r="D7" s="8">
        <v>43068.208333333336</v>
      </c>
      <c r="E7" s="195">
        <v>0.81</v>
      </c>
      <c r="F7" s="195" t="s">
        <v>419</v>
      </c>
      <c r="G7" s="195">
        <v>255.38</v>
      </c>
      <c r="H7" s="195">
        <v>0</v>
      </c>
      <c r="I7" s="195">
        <v>0</v>
      </c>
      <c r="J7" s="195">
        <v>1018.29</v>
      </c>
      <c r="K7" s="195" t="s">
        <v>418</v>
      </c>
      <c r="L7" s="195">
        <v>28.53</v>
      </c>
      <c r="M7" s="195">
        <v>1511956800</v>
      </c>
      <c r="N7" s="195">
        <v>0</v>
      </c>
      <c r="O7" s="195">
        <v>3.54</v>
      </c>
      <c r="P7" s="195">
        <v>188</v>
      </c>
      <c r="Q7" s="195">
        <v>2.73</v>
      </c>
      <c r="R7" s="195">
        <v>0.64</v>
      </c>
      <c r="S7"/>
      <c r="T7"/>
    </row>
    <row r="8" spans="1:20" x14ac:dyDescent="0.25">
      <c r="A8" s="195">
        <v>29.77</v>
      </c>
      <c r="B8" s="195">
        <v>7.0000000000000007E-2</v>
      </c>
      <c r="C8" s="195">
        <v>23.96</v>
      </c>
      <c r="D8" s="8">
        <v>43068.25</v>
      </c>
      <c r="E8" s="195">
        <v>0.79</v>
      </c>
      <c r="F8" s="195" t="s">
        <v>419</v>
      </c>
      <c r="G8" s="195">
        <v>256.17</v>
      </c>
      <c r="H8" s="195">
        <v>0</v>
      </c>
      <c r="I8" s="195">
        <v>0</v>
      </c>
      <c r="J8" s="195">
        <v>1018.69</v>
      </c>
      <c r="K8" s="195" t="s">
        <v>418</v>
      </c>
      <c r="L8" s="195">
        <v>29.77</v>
      </c>
      <c r="M8" s="195">
        <v>1511960400</v>
      </c>
      <c r="N8" s="195">
        <v>0</v>
      </c>
      <c r="O8" s="195">
        <v>4.0999999999999996</v>
      </c>
      <c r="P8" s="195">
        <v>174</v>
      </c>
      <c r="Q8" s="195">
        <v>3.35</v>
      </c>
      <c r="R8" s="195">
        <v>0.68</v>
      </c>
      <c r="S8"/>
      <c r="T8"/>
    </row>
    <row r="9" spans="1:20" x14ac:dyDescent="0.25">
      <c r="A9" s="195">
        <v>30.47</v>
      </c>
      <c r="B9" s="195">
        <v>7.0000000000000007E-2</v>
      </c>
      <c r="C9" s="195">
        <v>23.92</v>
      </c>
      <c r="D9" s="8">
        <v>43068.291666666664</v>
      </c>
      <c r="E9" s="195">
        <v>0.76</v>
      </c>
      <c r="F9" s="195" t="s">
        <v>419</v>
      </c>
      <c r="G9" s="195">
        <v>257.86</v>
      </c>
      <c r="H9" s="195">
        <v>0</v>
      </c>
      <c r="I9" s="195">
        <v>0</v>
      </c>
      <c r="J9" s="195">
        <v>1018.39</v>
      </c>
      <c r="K9" s="195" t="s">
        <v>418</v>
      </c>
      <c r="L9" s="195">
        <v>30.47</v>
      </c>
      <c r="M9" s="195">
        <v>1511964000</v>
      </c>
      <c r="N9" s="195">
        <v>0</v>
      </c>
      <c r="O9" s="195">
        <v>2.93</v>
      </c>
      <c r="P9" s="195">
        <v>222</v>
      </c>
      <c r="Q9" s="195">
        <v>3.43</v>
      </c>
      <c r="R9" s="195">
        <v>0.33</v>
      </c>
      <c r="S9"/>
      <c r="T9"/>
    </row>
    <row r="10" spans="1:20" x14ac:dyDescent="0.25">
      <c r="A10" s="195">
        <v>32.11</v>
      </c>
      <c r="B10" s="195">
        <v>0.13</v>
      </c>
      <c r="C10" s="195">
        <v>24.26</v>
      </c>
      <c r="D10" s="8">
        <v>43068.333333333336</v>
      </c>
      <c r="E10" s="195">
        <v>0.72</v>
      </c>
      <c r="F10" s="195" t="s">
        <v>455</v>
      </c>
      <c r="G10" s="195">
        <v>259.27</v>
      </c>
      <c r="H10" s="195">
        <v>0</v>
      </c>
      <c r="I10" s="195">
        <v>0</v>
      </c>
      <c r="J10" s="195">
        <v>1017.54</v>
      </c>
      <c r="K10" s="195" t="s">
        <v>418</v>
      </c>
      <c r="L10" s="195">
        <v>32.11</v>
      </c>
      <c r="M10" s="195">
        <v>1511967600</v>
      </c>
      <c r="N10" s="195">
        <v>1</v>
      </c>
      <c r="O10" s="195">
        <v>4.1900000000000004</v>
      </c>
      <c r="P10" s="195">
        <v>235</v>
      </c>
      <c r="Q10" s="195">
        <v>3.58</v>
      </c>
      <c r="R10" s="195">
        <v>0.65</v>
      </c>
      <c r="S10"/>
      <c r="T10"/>
    </row>
    <row r="11" spans="1:20" x14ac:dyDescent="0.25">
      <c r="A11" s="195">
        <v>35.340000000000003</v>
      </c>
      <c r="B11" s="195">
        <v>0.13</v>
      </c>
      <c r="C11" s="195">
        <v>26.13</v>
      </c>
      <c r="D11" s="8">
        <v>43068.375</v>
      </c>
      <c r="E11" s="195">
        <v>0.69</v>
      </c>
      <c r="F11" s="195" t="s">
        <v>455</v>
      </c>
      <c r="G11" s="195">
        <v>260.43</v>
      </c>
      <c r="H11" s="195">
        <v>0</v>
      </c>
      <c r="I11" s="195">
        <v>0</v>
      </c>
      <c r="J11" s="195">
        <v>1017.43</v>
      </c>
      <c r="K11" s="195" t="s">
        <v>418</v>
      </c>
      <c r="L11" s="195">
        <v>35.340000000000003</v>
      </c>
      <c r="M11" s="195">
        <v>1511971200</v>
      </c>
      <c r="N11" s="195">
        <v>1</v>
      </c>
      <c r="O11" s="195">
        <v>4.6900000000000004</v>
      </c>
      <c r="P11" s="195">
        <v>274</v>
      </c>
      <c r="Q11" s="195">
        <v>3.35</v>
      </c>
      <c r="R11" s="195">
        <v>0.22</v>
      </c>
      <c r="S11"/>
      <c r="T11"/>
    </row>
    <row r="12" spans="1:20" x14ac:dyDescent="0.25">
      <c r="A12" s="195">
        <v>43.46</v>
      </c>
      <c r="B12" s="195">
        <v>0.13</v>
      </c>
      <c r="C12" s="195">
        <v>28.57</v>
      </c>
      <c r="D12" s="8">
        <v>43068.416666666664</v>
      </c>
      <c r="E12" s="195">
        <v>0.55000000000000004</v>
      </c>
      <c r="F12" s="195" t="s">
        <v>455</v>
      </c>
      <c r="G12" s="195">
        <v>261.2</v>
      </c>
      <c r="H12" s="195">
        <v>0</v>
      </c>
      <c r="I12" s="195">
        <v>0</v>
      </c>
      <c r="J12" s="195">
        <v>1015.64</v>
      </c>
      <c r="K12" s="195" t="s">
        <v>418</v>
      </c>
      <c r="L12" s="195">
        <v>43.46</v>
      </c>
      <c r="M12" s="195">
        <v>1511974800</v>
      </c>
      <c r="N12" s="195">
        <v>2</v>
      </c>
      <c r="O12" s="195">
        <v>4.79</v>
      </c>
      <c r="P12" s="195">
        <v>173</v>
      </c>
      <c r="Q12" s="195">
        <v>3.93</v>
      </c>
      <c r="R12" s="195">
        <v>0.31</v>
      </c>
      <c r="S12"/>
      <c r="T12"/>
    </row>
    <row r="13" spans="1:20" x14ac:dyDescent="0.25">
      <c r="A13" s="195">
        <v>52.01</v>
      </c>
      <c r="B13" s="195">
        <v>0.11</v>
      </c>
      <c r="C13" s="195">
        <v>26.59</v>
      </c>
      <c r="D13" s="8">
        <v>43068.458333333336</v>
      </c>
      <c r="E13" s="195">
        <v>0.37</v>
      </c>
      <c r="F13" s="195" t="s">
        <v>455</v>
      </c>
      <c r="G13" s="195">
        <v>258.75</v>
      </c>
      <c r="H13" s="195">
        <v>0</v>
      </c>
      <c r="I13" s="195">
        <v>0</v>
      </c>
      <c r="J13" s="195">
        <v>1014.4</v>
      </c>
      <c r="K13" s="195" t="s">
        <v>418</v>
      </c>
      <c r="L13" s="195">
        <v>52.01</v>
      </c>
      <c r="M13" s="195">
        <v>1511978400</v>
      </c>
      <c r="N13" s="195">
        <v>2</v>
      </c>
      <c r="O13" s="195">
        <v>4.6900000000000004</v>
      </c>
      <c r="P13" s="195">
        <v>201</v>
      </c>
      <c r="Q13" s="195">
        <v>4.83</v>
      </c>
      <c r="R13" s="195">
        <v>0.04</v>
      </c>
      <c r="S13"/>
      <c r="T13"/>
    </row>
    <row r="14" spans="1:20" x14ac:dyDescent="0.25">
      <c r="A14" s="195">
        <v>58.94</v>
      </c>
      <c r="B14" s="195">
        <v>0.17</v>
      </c>
      <c r="C14" s="195">
        <v>23.59</v>
      </c>
      <c r="D14" s="8">
        <v>43068.5</v>
      </c>
      <c r="E14" s="195">
        <v>0.25</v>
      </c>
      <c r="F14" s="195" t="s">
        <v>455</v>
      </c>
      <c r="G14" s="195">
        <v>258.23</v>
      </c>
      <c r="H14" s="195">
        <v>0</v>
      </c>
      <c r="I14" s="195">
        <v>0</v>
      </c>
      <c r="J14" s="195">
        <v>1013.83</v>
      </c>
      <c r="K14" s="195" t="s">
        <v>418</v>
      </c>
      <c r="L14" s="195">
        <v>58.94</v>
      </c>
      <c r="M14" s="195">
        <v>1511982000</v>
      </c>
      <c r="N14" s="195">
        <v>2</v>
      </c>
      <c r="O14" s="195">
        <v>4.13</v>
      </c>
      <c r="P14" s="195">
        <v>345</v>
      </c>
      <c r="Q14" s="195">
        <v>7.16</v>
      </c>
      <c r="R14" s="195">
        <v>1.3</v>
      </c>
      <c r="S14"/>
      <c r="T14"/>
    </row>
    <row r="15" spans="1:20" x14ac:dyDescent="0.25">
      <c r="A15" s="195">
        <v>61.93</v>
      </c>
      <c r="B15" s="195">
        <v>0.14000000000000001</v>
      </c>
      <c r="C15" s="195">
        <v>22</v>
      </c>
      <c r="D15" s="8">
        <v>43068.541666666664</v>
      </c>
      <c r="E15" s="195">
        <v>0.21</v>
      </c>
      <c r="F15" s="195" t="s">
        <v>455</v>
      </c>
      <c r="G15" s="195">
        <v>257.72000000000003</v>
      </c>
      <c r="H15" s="195">
        <v>0</v>
      </c>
      <c r="I15" s="195">
        <v>0</v>
      </c>
      <c r="J15" s="195">
        <v>1013.54</v>
      </c>
      <c r="K15" s="195" t="s">
        <v>418</v>
      </c>
      <c r="L15" s="195">
        <v>61.93</v>
      </c>
      <c r="M15" s="195">
        <v>1511985600</v>
      </c>
      <c r="N15" s="195">
        <v>2</v>
      </c>
      <c r="O15" s="195">
        <v>4.6900000000000004</v>
      </c>
      <c r="P15" s="195">
        <v>3</v>
      </c>
      <c r="Q15" s="195">
        <v>9.2200000000000006</v>
      </c>
      <c r="R15" s="195">
        <v>2.06</v>
      </c>
      <c r="S15"/>
      <c r="T15"/>
    </row>
    <row r="16" spans="1:20" x14ac:dyDescent="0.25">
      <c r="A16" s="195">
        <v>63.73</v>
      </c>
      <c r="B16" s="195">
        <v>0.12</v>
      </c>
      <c r="C16" s="195">
        <v>22.31</v>
      </c>
      <c r="D16" s="8">
        <v>43068.583333333336</v>
      </c>
      <c r="E16" s="195">
        <v>0.2</v>
      </c>
      <c r="F16" s="195" t="s">
        <v>455</v>
      </c>
      <c r="G16" s="195">
        <v>257.45999999999998</v>
      </c>
      <c r="H16" s="195">
        <v>0</v>
      </c>
      <c r="I16" s="195">
        <v>0</v>
      </c>
      <c r="J16" s="195">
        <v>1013.67</v>
      </c>
      <c r="K16" s="195" t="s">
        <v>418</v>
      </c>
      <c r="L16" s="195">
        <v>63.73</v>
      </c>
      <c r="M16" s="195">
        <v>1511989200</v>
      </c>
      <c r="N16" s="195">
        <v>2</v>
      </c>
      <c r="O16" s="195">
        <v>4.6900000000000004</v>
      </c>
      <c r="P16" s="195">
        <v>355</v>
      </c>
      <c r="Q16" s="195">
        <v>10.15</v>
      </c>
      <c r="R16" s="195">
        <v>1.95</v>
      </c>
      <c r="S16"/>
      <c r="T16"/>
    </row>
    <row r="17" spans="1:20" x14ac:dyDescent="0.25">
      <c r="A17" s="195">
        <v>63.71</v>
      </c>
      <c r="B17" s="195">
        <v>0.09</v>
      </c>
      <c r="C17" s="195">
        <v>22.12</v>
      </c>
      <c r="D17" s="8">
        <v>43068.625</v>
      </c>
      <c r="E17" s="195">
        <v>0.2</v>
      </c>
      <c r="F17" s="195" t="s">
        <v>455</v>
      </c>
      <c r="G17" s="195">
        <v>257.45999999999998</v>
      </c>
      <c r="H17" s="195">
        <v>0</v>
      </c>
      <c r="I17" s="195">
        <v>0</v>
      </c>
      <c r="J17" s="195">
        <v>1014.55</v>
      </c>
      <c r="K17" s="195" t="s">
        <v>418</v>
      </c>
      <c r="L17" s="195">
        <v>63.71</v>
      </c>
      <c r="M17" s="195">
        <v>1511992800</v>
      </c>
      <c r="N17" s="195">
        <v>1</v>
      </c>
      <c r="O17" s="195">
        <v>3.82</v>
      </c>
      <c r="P17" s="195">
        <v>335</v>
      </c>
      <c r="Q17" s="195">
        <v>9</v>
      </c>
      <c r="R17" s="195">
        <v>1.8</v>
      </c>
      <c r="S17"/>
      <c r="T17"/>
    </row>
    <row r="18" spans="1:20" x14ac:dyDescent="0.25">
      <c r="A18" s="195">
        <v>60.76</v>
      </c>
      <c r="B18" s="195">
        <v>0.08</v>
      </c>
      <c r="C18" s="195">
        <v>22.22</v>
      </c>
      <c r="D18" s="8">
        <v>43068.666666666664</v>
      </c>
      <c r="E18" s="195">
        <v>0.22</v>
      </c>
      <c r="F18" s="195" t="s">
        <v>455</v>
      </c>
      <c r="G18" s="195">
        <v>257.72000000000003</v>
      </c>
      <c r="H18" s="195">
        <v>0</v>
      </c>
      <c r="I18" s="195">
        <v>0</v>
      </c>
      <c r="J18" s="195">
        <v>1017.04</v>
      </c>
      <c r="K18" s="195" t="s">
        <v>418</v>
      </c>
      <c r="L18" s="195">
        <v>60.76</v>
      </c>
      <c r="M18" s="195">
        <v>1511996400</v>
      </c>
      <c r="N18" s="195">
        <v>0</v>
      </c>
      <c r="O18" s="195">
        <v>4.05</v>
      </c>
      <c r="P18" s="195">
        <v>347</v>
      </c>
      <c r="Q18" s="195">
        <v>11.61</v>
      </c>
      <c r="R18" s="195">
        <v>1.98</v>
      </c>
      <c r="S18"/>
      <c r="T18"/>
    </row>
    <row r="19" spans="1:20" x14ac:dyDescent="0.25">
      <c r="A19" s="195">
        <v>54.46</v>
      </c>
      <c r="B19" s="195">
        <v>0.08</v>
      </c>
      <c r="C19" s="195">
        <v>22.82</v>
      </c>
      <c r="D19" s="8">
        <v>43068.708333333336</v>
      </c>
      <c r="E19" s="195">
        <v>0.28999999999999998</v>
      </c>
      <c r="F19" s="195" t="s">
        <v>419</v>
      </c>
      <c r="G19" s="195">
        <v>260.14999999999998</v>
      </c>
      <c r="H19" s="195">
        <v>0</v>
      </c>
      <c r="I19" s="195">
        <v>0</v>
      </c>
      <c r="J19" s="195">
        <v>1019.14</v>
      </c>
      <c r="K19" s="195" t="s">
        <v>418</v>
      </c>
      <c r="L19" s="195">
        <v>54.46</v>
      </c>
      <c r="M19" s="195">
        <v>1512000000</v>
      </c>
      <c r="N19" s="195">
        <v>0</v>
      </c>
      <c r="O19" s="195">
        <v>4.05</v>
      </c>
      <c r="P19" s="195">
        <v>35</v>
      </c>
      <c r="Q19" s="195">
        <v>8.8699999999999992</v>
      </c>
      <c r="R19" s="195">
        <v>2.0099999999999998</v>
      </c>
      <c r="S19"/>
      <c r="T19"/>
    </row>
    <row r="20" spans="1:20" x14ac:dyDescent="0.25">
      <c r="A20" s="195">
        <v>51.22</v>
      </c>
      <c r="B20" s="195">
        <v>0.15</v>
      </c>
      <c r="C20" s="195">
        <v>22.74</v>
      </c>
      <c r="D20" s="8">
        <v>43068.75</v>
      </c>
      <c r="E20" s="195">
        <v>0.32</v>
      </c>
      <c r="F20" s="195" t="s">
        <v>419</v>
      </c>
      <c r="G20" s="195">
        <v>261.56</v>
      </c>
      <c r="H20" s="195">
        <v>0</v>
      </c>
      <c r="I20" s="195">
        <v>0</v>
      </c>
      <c r="J20" s="195">
        <v>1021.44</v>
      </c>
      <c r="K20" s="195" t="s">
        <v>418</v>
      </c>
      <c r="L20" s="195">
        <v>51.22</v>
      </c>
      <c r="M20" s="195">
        <v>1512003600</v>
      </c>
      <c r="N20" s="195">
        <v>0</v>
      </c>
      <c r="O20" s="195">
        <v>3.89</v>
      </c>
      <c r="P20" s="195">
        <v>84</v>
      </c>
      <c r="Q20" s="195">
        <v>11.39</v>
      </c>
      <c r="R20" s="195">
        <v>4.21</v>
      </c>
      <c r="S20"/>
      <c r="T20"/>
    </row>
    <row r="21" spans="1:20" x14ac:dyDescent="0.25">
      <c r="A21" s="195">
        <v>45.05</v>
      </c>
      <c r="B21" s="195">
        <v>0.2</v>
      </c>
      <c r="C21" s="195">
        <v>22.6</v>
      </c>
      <c r="D21" s="8">
        <v>43068.791666666664</v>
      </c>
      <c r="E21" s="195">
        <v>0.37</v>
      </c>
      <c r="F21" s="195" t="s">
        <v>419</v>
      </c>
      <c r="G21" s="195">
        <v>262.95999999999998</v>
      </c>
      <c r="H21" s="195">
        <v>0</v>
      </c>
      <c r="I21" s="195">
        <v>0</v>
      </c>
      <c r="J21" s="195">
        <v>1023.36</v>
      </c>
      <c r="K21" s="195" t="s">
        <v>418</v>
      </c>
      <c r="L21" s="195">
        <v>47.28</v>
      </c>
      <c r="M21" s="195">
        <v>1512007200</v>
      </c>
      <c r="N21" s="195">
        <v>0</v>
      </c>
      <c r="O21" s="195">
        <v>3.95</v>
      </c>
      <c r="P21" s="195">
        <v>115</v>
      </c>
      <c r="Q21" s="195">
        <v>10.73</v>
      </c>
      <c r="R21" s="195">
        <v>4.95</v>
      </c>
      <c r="S21"/>
      <c r="T21"/>
    </row>
    <row r="22" spans="1:20" x14ac:dyDescent="0.25">
      <c r="A22" s="195">
        <v>42.66</v>
      </c>
      <c r="B22" s="195">
        <v>0.1</v>
      </c>
      <c r="C22" s="195">
        <v>20.96</v>
      </c>
      <c r="D22" s="8">
        <v>43068.833333333336</v>
      </c>
      <c r="E22" s="195">
        <v>0.38</v>
      </c>
      <c r="F22" s="195" t="s">
        <v>419</v>
      </c>
      <c r="G22" s="195">
        <v>264.23</v>
      </c>
      <c r="H22" s="195">
        <v>0</v>
      </c>
      <c r="I22" s="195">
        <v>0</v>
      </c>
      <c r="J22" s="195">
        <v>1025.08</v>
      </c>
      <c r="K22" s="195" t="s">
        <v>418</v>
      </c>
      <c r="L22" s="195">
        <v>44.7</v>
      </c>
      <c r="M22" s="195">
        <v>1512010800</v>
      </c>
      <c r="N22" s="195">
        <v>0</v>
      </c>
      <c r="O22" s="195">
        <v>3.79</v>
      </c>
      <c r="P22" s="195">
        <v>122</v>
      </c>
      <c r="Q22" s="195">
        <v>9.3800000000000008</v>
      </c>
      <c r="R22" s="195">
        <v>4.0999999999999996</v>
      </c>
      <c r="S22"/>
      <c r="T22"/>
    </row>
    <row r="23" spans="1:20" x14ac:dyDescent="0.25">
      <c r="A23" s="195">
        <v>39.880000000000003</v>
      </c>
      <c r="B23" s="195">
        <v>0.08</v>
      </c>
      <c r="C23" s="195">
        <v>18.760000000000002</v>
      </c>
      <c r="D23" s="8">
        <v>43068.875</v>
      </c>
      <c r="E23" s="195">
        <v>0.39</v>
      </c>
      <c r="F23" s="195" t="s">
        <v>419</v>
      </c>
      <c r="G23" s="195">
        <v>265.37</v>
      </c>
      <c r="H23" s="195">
        <v>0</v>
      </c>
      <c r="I23" s="195">
        <v>0</v>
      </c>
      <c r="J23" s="195">
        <v>1026.6199999999999</v>
      </c>
      <c r="K23" s="195" t="s">
        <v>418</v>
      </c>
      <c r="L23" s="195">
        <v>41.71</v>
      </c>
      <c r="M23" s="195">
        <v>1512014400</v>
      </c>
      <c r="N23" s="195">
        <v>0</v>
      </c>
      <c r="O23" s="195">
        <v>3.99</v>
      </c>
      <c r="P23" s="195">
        <v>124</v>
      </c>
      <c r="Q23" s="195">
        <v>7.88</v>
      </c>
      <c r="R23" s="195">
        <v>3.39</v>
      </c>
      <c r="S23"/>
      <c r="T23"/>
    </row>
    <row r="24" spans="1:20" x14ac:dyDescent="0.25">
      <c r="A24" s="195">
        <v>39.43</v>
      </c>
      <c r="B24" s="195">
        <v>0.04</v>
      </c>
      <c r="C24" s="195">
        <v>18.059999999999999</v>
      </c>
      <c r="D24" s="8">
        <v>43068.916666666664</v>
      </c>
      <c r="E24" s="195">
        <v>0.42</v>
      </c>
      <c r="F24" s="195" t="s">
        <v>419</v>
      </c>
      <c r="G24" s="195">
        <v>266.49</v>
      </c>
      <c r="H24" s="195">
        <v>0</v>
      </c>
      <c r="I24" s="195">
        <v>0</v>
      </c>
      <c r="J24" s="195">
        <v>1026.1500000000001</v>
      </c>
      <c r="K24" s="195" t="s">
        <v>418</v>
      </c>
      <c r="L24" s="195">
        <v>39.43</v>
      </c>
      <c r="M24" s="195">
        <v>1512018000</v>
      </c>
      <c r="N24" s="195">
        <v>0</v>
      </c>
      <c r="O24" s="195">
        <v>3.42</v>
      </c>
      <c r="P24" s="195">
        <v>135</v>
      </c>
      <c r="Q24" s="195">
        <v>4.97</v>
      </c>
      <c r="R24" s="195">
        <v>2.34</v>
      </c>
      <c r="S24"/>
      <c r="T24"/>
    </row>
    <row r="25" spans="1:20" x14ac:dyDescent="0.25">
      <c r="A25" s="195">
        <v>36.67</v>
      </c>
      <c r="B25" s="195">
        <v>0.02</v>
      </c>
      <c r="C25" s="195">
        <v>17.64</v>
      </c>
      <c r="D25" s="8">
        <v>43068.958333333336</v>
      </c>
      <c r="E25" s="195">
        <v>0.46</v>
      </c>
      <c r="F25" s="195" t="s">
        <v>419</v>
      </c>
      <c r="G25" s="195">
        <v>267.87</v>
      </c>
      <c r="H25" s="195">
        <v>0</v>
      </c>
      <c r="I25" s="195">
        <v>0</v>
      </c>
      <c r="J25" s="195">
        <v>1026.43</v>
      </c>
      <c r="K25" s="195" t="s">
        <v>418</v>
      </c>
      <c r="L25" s="195">
        <v>36.67</v>
      </c>
      <c r="M25" s="195">
        <v>1512021600</v>
      </c>
      <c r="N25" s="195">
        <v>0</v>
      </c>
      <c r="O25" s="195">
        <v>3.14</v>
      </c>
      <c r="P25" s="195">
        <v>136</v>
      </c>
      <c r="Q25" s="195">
        <v>3.77</v>
      </c>
      <c r="R25" s="195">
        <v>1.81</v>
      </c>
      <c r="S25"/>
      <c r="T25"/>
    </row>
    <row r="26" spans="1:20" x14ac:dyDescent="0.25">
      <c r="A26" s="195">
        <v>34.65</v>
      </c>
      <c r="B26" s="195">
        <v>0.05</v>
      </c>
      <c r="C26" s="195">
        <v>17.54</v>
      </c>
      <c r="D26" s="8">
        <v>43069</v>
      </c>
      <c r="E26" s="195">
        <v>0.49</v>
      </c>
      <c r="F26" s="195" t="s">
        <v>419</v>
      </c>
      <c r="G26" s="195">
        <v>269.49</v>
      </c>
      <c r="H26" s="195">
        <v>0</v>
      </c>
      <c r="I26" s="195">
        <v>0</v>
      </c>
      <c r="J26" s="195">
        <v>1026.23</v>
      </c>
      <c r="K26" s="195" t="s">
        <v>418</v>
      </c>
      <c r="L26" s="195">
        <v>34.65</v>
      </c>
      <c r="M26" s="195">
        <v>1512025200</v>
      </c>
      <c r="N26" s="195">
        <v>0</v>
      </c>
      <c r="O26" s="195">
        <v>3.52</v>
      </c>
      <c r="P26" s="195">
        <v>143</v>
      </c>
      <c r="Q26" s="195">
        <v>2.65</v>
      </c>
      <c r="R26" s="195">
        <v>1.29</v>
      </c>
      <c r="S26"/>
      <c r="T26"/>
    </row>
    <row r="27" spans="1:20" x14ac:dyDescent="0.25">
      <c r="A27" s="195">
        <v>33.33</v>
      </c>
      <c r="B27" s="195">
        <v>0.03</v>
      </c>
      <c r="C27" s="195">
        <v>17.79</v>
      </c>
      <c r="D27" s="8">
        <v>43069.041666666664</v>
      </c>
      <c r="E27" s="195">
        <v>0.52</v>
      </c>
      <c r="F27" s="195" t="s">
        <v>419</v>
      </c>
      <c r="G27" s="195">
        <v>271.23</v>
      </c>
      <c r="H27" s="195">
        <v>0</v>
      </c>
      <c r="I27" s="195">
        <v>0</v>
      </c>
      <c r="J27" s="195">
        <v>1026.6600000000001</v>
      </c>
      <c r="K27" s="195" t="s">
        <v>418</v>
      </c>
      <c r="L27" s="195">
        <v>33.33</v>
      </c>
      <c r="M27" s="195">
        <v>1512028800</v>
      </c>
      <c r="N27" s="195">
        <v>0</v>
      </c>
      <c r="O27" s="195">
        <v>3.27</v>
      </c>
      <c r="P27" s="195">
        <v>141</v>
      </c>
      <c r="Q27" s="195">
        <v>3.29</v>
      </c>
      <c r="R27" s="195">
        <v>1.1299999999999999</v>
      </c>
      <c r="S27"/>
      <c r="T27"/>
    </row>
    <row r="28" spans="1:20" x14ac:dyDescent="0.25">
      <c r="A28" s="195">
        <v>33.049999999999997</v>
      </c>
      <c r="B28" s="195">
        <v>0.04</v>
      </c>
      <c r="C28" s="195">
        <v>17.71</v>
      </c>
      <c r="D28" s="8">
        <v>43069.083333333336</v>
      </c>
      <c r="E28" s="195">
        <v>0.53</v>
      </c>
      <c r="F28" s="195" t="s">
        <v>419</v>
      </c>
      <c r="G28" s="195">
        <v>272.7</v>
      </c>
      <c r="H28" s="195">
        <v>0</v>
      </c>
      <c r="I28" s="195">
        <v>0</v>
      </c>
      <c r="J28" s="195">
        <v>1028.06</v>
      </c>
      <c r="K28" s="195" t="s">
        <v>418</v>
      </c>
      <c r="L28" s="195">
        <v>33.049999999999997</v>
      </c>
      <c r="M28" s="195">
        <v>1512032400</v>
      </c>
      <c r="N28" s="195">
        <v>0</v>
      </c>
      <c r="O28" s="195">
        <v>3.27</v>
      </c>
      <c r="P28" s="195">
        <v>140</v>
      </c>
      <c r="Q28" s="195">
        <v>5.23</v>
      </c>
      <c r="R28" s="195">
        <v>2.02</v>
      </c>
      <c r="S28"/>
      <c r="T28"/>
    </row>
    <row r="29" spans="1:20" x14ac:dyDescent="0.25">
      <c r="A29" s="195">
        <v>32.590000000000003</v>
      </c>
      <c r="B29" s="195">
        <v>0.04</v>
      </c>
      <c r="C29" s="195">
        <v>17.27</v>
      </c>
      <c r="D29" s="8">
        <v>43069.125</v>
      </c>
      <c r="E29" s="195">
        <v>0.53</v>
      </c>
      <c r="F29" s="195" t="s">
        <v>419</v>
      </c>
      <c r="G29" s="195">
        <v>273.3</v>
      </c>
      <c r="H29" s="195">
        <v>0</v>
      </c>
      <c r="I29" s="195">
        <v>0</v>
      </c>
      <c r="J29" s="195">
        <v>1028.24</v>
      </c>
      <c r="K29" s="195" t="s">
        <v>418</v>
      </c>
      <c r="L29" s="195">
        <v>32.590000000000003</v>
      </c>
      <c r="M29" s="195">
        <v>1512036000</v>
      </c>
      <c r="N29" s="195">
        <v>0</v>
      </c>
      <c r="O29" s="195">
        <v>5.1100000000000003</v>
      </c>
      <c r="P29" s="195">
        <v>181</v>
      </c>
      <c r="Q29" s="195">
        <v>5.01</v>
      </c>
      <c r="R29" s="195">
        <v>1.83</v>
      </c>
      <c r="S29"/>
      <c r="T29"/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40" t="s">
        <v>179</v>
      </c>
    </row>
    <row r="33" spans="1:1" x14ac:dyDescent="0.25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2"/>
  <sheetViews>
    <sheetView workbookViewId="0">
      <selection activeCell="C18" sqref="C18:C29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39" bestFit="1" customWidth="1"/>
    <col min="11" max="11" width="15.28515625" style="139" hidden="1" customWidth="1"/>
    <col min="12" max="12" width="13.5703125" style="139" hidden="1" customWidth="1"/>
    <col min="13" max="13" width="9" style="153" bestFit="1" customWidth="1"/>
    <col min="14" max="17" width="9.140625" style="139"/>
    <col min="20" max="24" width="9.140625" style="153"/>
    <col min="29" max="29" width="12.42578125" customWidth="1"/>
    <col min="30" max="30" width="9.140625" style="167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.75" thickBot="1" x14ac:dyDescent="0.3">
      <c r="A2" s="12">
        <v>43068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25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25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350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3">
        <v>9999</v>
      </c>
      <c r="AE8" s="131">
        <v>9999</v>
      </c>
      <c r="AF8" s="131">
        <v>9999</v>
      </c>
    </row>
    <row r="9" spans="1:32" x14ac:dyDescent="0.25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25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25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25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25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25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25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25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25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25">
      <c r="C18" t="s">
        <v>1104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25">
      <c r="C19" t="s">
        <v>1105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25">
      <c r="C20" t="s">
        <v>1106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25">
      <c r="C21" t="s">
        <v>1107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25">
      <c r="C22" t="s">
        <v>612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25">
      <c r="C23" t="s">
        <v>1108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25">
      <c r="C24" t="s">
        <v>1109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25">
      <c r="C25" t="s">
        <v>1110</v>
      </c>
      <c r="J25" s="139" t="s">
        <v>144</v>
      </c>
      <c r="M25" s="153" t="b">
        <v>1</v>
      </c>
    </row>
    <row r="26" spans="3:24" x14ac:dyDescent="0.25">
      <c r="C26" t="s">
        <v>1111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%USERPROFILE%\Documents\GitHub\eaglep3-reporting\EC\2017-11-29-refined-times.txt</v>
      </c>
    </row>
    <row r="27" spans="3:24" x14ac:dyDescent="0.25">
      <c r="C27" t="s">
        <v>1112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%USERPROFILE%\Documents\GitHub\eaglep3-reporting\EC\2017-11-29-Enforcements.txt</v>
      </c>
    </row>
    <row r="28" spans="3:24" x14ac:dyDescent="0.25">
      <c r="C28" t="s">
        <v>1113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%USERPROFILE%\Documents\GitHub\eaglep3-reporting\EC\2017-11-29-Runs-refined.txt</v>
      </c>
    </row>
    <row r="29" spans="3:24" x14ac:dyDescent="0.25">
      <c r="C29" t="s">
        <v>1114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%USERPROFILE%\Documents\GitHub\eaglep3-reporting\EC\2017-11-29-Trips.txt</v>
      </c>
    </row>
    <row r="30" spans="3:24" x14ac:dyDescent="0.25">
      <c r="C30" t="s">
        <v>1115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%USERPROFILE%\Documents\GitHub\eaglep3-reporting\EC\2017-11-29-Weather.txt</v>
      </c>
    </row>
    <row r="31" spans="3:24" x14ac:dyDescent="0.25">
      <c r="C31" t="s">
        <v>1116</v>
      </c>
      <c r="J31" s="139" t="s">
        <v>188</v>
      </c>
      <c r="M31" s="153" t="s">
        <v>189</v>
      </c>
    </row>
    <row r="32" spans="3:24" x14ac:dyDescent="0.25">
      <c r="C32" t="s">
        <v>1117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7" bestFit="1" customWidth="1"/>
    <col min="9" max="10" width="9.140625" style="187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354</v>
      </c>
      <c r="J1" s="167" t="s">
        <v>330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331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25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25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25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25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25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25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25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25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25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25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25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25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25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25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25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25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25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25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25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25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25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25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25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25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25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25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25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25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25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25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25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25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25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25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25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25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25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25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25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25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25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25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25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25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25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25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25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25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25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25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25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25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25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25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25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25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25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25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25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25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25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25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25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25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25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25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25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25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25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25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25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25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25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25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25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25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25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25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25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25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25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25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25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25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25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25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25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25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25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25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25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25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25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25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25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25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25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25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25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25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25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25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2017-11-30T16:35:07Z</dcterms:modified>
</cp:coreProperties>
</file>