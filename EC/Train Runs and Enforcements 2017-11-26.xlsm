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Enforcements!$A$6:$AC$18</definedName>
    <definedName name="_xlnm._FilterDatabase" localSheetId="2" hidden="1">'Missing Trips'!$A$2:$J$26</definedName>
    <definedName name="_xlnm._FilterDatabase" localSheetId="0" hidden="1">'Train Runs'!$A$12:$AG$502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3" i="1" l="1"/>
  <c r="I203" i="1"/>
  <c r="P195" i="1"/>
  <c r="P177" i="1"/>
  <c r="X197" i="1"/>
  <c r="X198" i="1"/>
  <c r="X199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7" i="1"/>
  <c r="AM197" i="1"/>
  <c r="AN197" i="1"/>
  <c r="AO197" i="1"/>
  <c r="X194" i="1"/>
  <c r="K193" i="1"/>
  <c r="L193" i="1"/>
  <c r="M193" i="1"/>
  <c r="N193" i="1" s="1"/>
  <c r="V193" i="1"/>
  <c r="X193" i="1"/>
  <c r="Y193" i="1"/>
  <c r="Z193" i="1"/>
  <c r="AA193" i="1"/>
  <c r="AB193" i="1"/>
  <c r="AC193" i="1"/>
  <c r="AD193" i="1"/>
  <c r="T193" i="1" s="1"/>
  <c r="AE193" i="1"/>
  <c r="AF193" i="1"/>
  <c r="AH193" i="1"/>
  <c r="AM193" i="1"/>
  <c r="AN193" i="1"/>
  <c r="AO193" i="1"/>
  <c r="X190" i="1"/>
  <c r="X191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189" i="1"/>
  <c r="AM189" i="1"/>
  <c r="AN189" i="1"/>
  <c r="AO189" i="1"/>
  <c r="X185" i="1"/>
  <c r="X18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85" i="1"/>
  <c r="AM185" i="1"/>
  <c r="AN185" i="1"/>
  <c r="AO185" i="1"/>
  <c r="X182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81" i="1"/>
  <c r="AM181" i="1"/>
  <c r="AN181" i="1"/>
  <c r="AO181" i="1"/>
  <c r="X178" i="1"/>
  <c r="K177" i="1"/>
  <c r="L177" i="1"/>
  <c r="M177" i="1"/>
  <c r="V177" i="1"/>
  <c r="Y177" i="1"/>
  <c r="Z177" i="1"/>
  <c r="AA177" i="1"/>
  <c r="AB177" i="1"/>
  <c r="AC177" i="1"/>
  <c r="AD177" i="1"/>
  <c r="T177" i="1" s="1"/>
  <c r="AE177" i="1"/>
  <c r="AF177" i="1"/>
  <c r="AH177" i="1"/>
  <c r="AM177" i="1"/>
  <c r="AN177" i="1"/>
  <c r="AO177" i="1"/>
  <c r="P157" i="1"/>
  <c r="X149" i="1"/>
  <c r="X150" i="1"/>
  <c r="X151" i="1"/>
  <c r="X152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AO150" i="1"/>
  <c r="X132" i="1"/>
  <c r="X133" i="1"/>
  <c r="X134" i="1"/>
  <c r="X135" i="1"/>
  <c r="X136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AO134" i="1"/>
  <c r="P82" i="1"/>
  <c r="AG197" i="1"/>
  <c r="AG193" i="1"/>
  <c r="AG189" i="1"/>
  <c r="AG185" i="1"/>
  <c r="AG181" i="1"/>
  <c r="AG177" i="1"/>
  <c r="AG148" i="1"/>
  <c r="AG149" i="1"/>
  <c r="AG150" i="1"/>
  <c r="AG132" i="1"/>
  <c r="AG133" i="1"/>
  <c r="AG134" i="1"/>
  <c r="AI197" i="1" l="1"/>
  <c r="U197" i="1"/>
  <c r="S197" i="1" s="1"/>
  <c r="W197" i="1"/>
  <c r="AI193" i="1"/>
  <c r="U193" i="1"/>
  <c r="S193" i="1" s="1"/>
  <c r="W193" i="1"/>
  <c r="AI189" i="1"/>
  <c r="U189" i="1"/>
  <c r="S189" i="1" s="1"/>
  <c r="W189" i="1"/>
  <c r="X189" i="1"/>
  <c r="AA185" i="1"/>
  <c r="T185" i="1"/>
  <c r="AI185" i="1"/>
  <c r="U185" i="1"/>
  <c r="S185" i="1" s="1"/>
  <c r="W185" i="1"/>
  <c r="AI181" i="1"/>
  <c r="U181" i="1"/>
  <c r="S181" i="1" s="1"/>
  <c r="W181" i="1"/>
  <c r="X181" i="1"/>
  <c r="U177" i="1"/>
  <c r="S177" i="1" s="1"/>
  <c r="AI177" i="1"/>
  <c r="W177" i="1"/>
  <c r="X177" i="1"/>
  <c r="AI150" i="1"/>
  <c r="U150" i="1"/>
  <c r="S150" i="1" s="1"/>
  <c r="AI149" i="1"/>
  <c r="U149" i="1"/>
  <c r="S149" i="1" s="1"/>
  <c r="AI148" i="1"/>
  <c r="U148" i="1"/>
  <c r="S148" i="1" s="1"/>
  <c r="W150" i="1"/>
  <c r="W149" i="1"/>
  <c r="W148" i="1"/>
  <c r="X148" i="1"/>
  <c r="AI134" i="1"/>
  <c r="U134" i="1"/>
  <c r="S134" i="1" s="1"/>
  <c r="AI133" i="1"/>
  <c r="U133" i="1"/>
  <c r="S133" i="1" s="1"/>
  <c r="AI132" i="1"/>
  <c r="U132" i="1"/>
  <c r="S132" i="1" s="1"/>
  <c r="W134" i="1"/>
  <c r="W133" i="1"/>
  <c r="W13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7" i="3" s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R11" i="3" s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S13" i="3" s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S10" i="3" s="1"/>
  <c r="Y70" i="1"/>
  <c r="Z70" i="1"/>
  <c r="AB70" i="1"/>
  <c r="AC70" i="1"/>
  <c r="AD70" i="1"/>
  <c r="AE70" i="1"/>
  <c r="R10" i="3" s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AA79" i="1" s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AA80" i="1" s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V82" i="1"/>
  <c r="Y82" i="1"/>
  <c r="Z82" i="1"/>
  <c r="AB82" i="1"/>
  <c r="AC82" i="1"/>
  <c r="AD82" i="1"/>
  <c r="AE82" i="1"/>
  <c r="R12" i="3" s="1"/>
  <c r="AF82" i="1"/>
  <c r="AH82" i="1"/>
  <c r="AM82" i="1"/>
  <c r="AN82" i="1"/>
  <c r="AO82" i="1"/>
  <c r="K83" i="1"/>
  <c r="L83" i="1"/>
  <c r="M83" i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AA84" i="1" s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95" i="1"/>
  <c r="AM95" i="1"/>
  <c r="AN95" i="1"/>
  <c r="AO95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8" i="1"/>
  <c r="AM98" i="1"/>
  <c r="AN98" i="1"/>
  <c r="AO98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99" i="1"/>
  <c r="AM99" i="1"/>
  <c r="AN99" i="1"/>
  <c r="AO99" i="1"/>
  <c r="K165" i="1"/>
  <c r="L165" i="1"/>
  <c r="M165" i="1"/>
  <c r="N165" i="1"/>
  <c r="V165" i="1"/>
  <c r="Y165" i="1"/>
  <c r="Z165" i="1"/>
  <c r="AA165" i="1"/>
  <c r="AB165" i="1"/>
  <c r="AC165" i="1"/>
  <c r="AD165" i="1"/>
  <c r="AE165" i="1"/>
  <c r="AF165" i="1"/>
  <c r="AH100" i="1"/>
  <c r="AM100" i="1"/>
  <c r="AN100" i="1"/>
  <c r="AO100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01" i="1"/>
  <c r="AM101" i="1"/>
  <c r="AN101" i="1"/>
  <c r="AO101" i="1"/>
  <c r="K167" i="1"/>
  <c r="L167" i="1"/>
  <c r="M167" i="1"/>
  <c r="N167" i="1"/>
  <c r="V167" i="1"/>
  <c r="Y167" i="1"/>
  <c r="Z167" i="1"/>
  <c r="AB167" i="1"/>
  <c r="AC167" i="1"/>
  <c r="AD167" i="1"/>
  <c r="AE167" i="1"/>
  <c r="AF167" i="1"/>
  <c r="AH102" i="1"/>
  <c r="AM102" i="1"/>
  <c r="AN102" i="1"/>
  <c r="AO102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95" i="1"/>
  <c r="L95" i="1"/>
  <c r="M95" i="1"/>
  <c r="N95" i="1"/>
  <c r="V95" i="1"/>
  <c r="Y95" i="1"/>
  <c r="Z95" i="1"/>
  <c r="AB95" i="1"/>
  <c r="AC95" i="1"/>
  <c r="AD95" i="1"/>
  <c r="AE95" i="1"/>
  <c r="AF95" i="1"/>
  <c r="AH105" i="1"/>
  <c r="AM105" i="1"/>
  <c r="AN105" i="1"/>
  <c r="AO105" i="1"/>
  <c r="K170" i="1"/>
  <c r="L170" i="1"/>
  <c r="M170" i="1"/>
  <c r="V170" i="1"/>
  <c r="S19" i="3" s="1"/>
  <c r="Y170" i="1"/>
  <c r="Z170" i="1"/>
  <c r="AB170" i="1"/>
  <c r="AC170" i="1"/>
  <c r="AD170" i="1"/>
  <c r="T170" i="1" s="1"/>
  <c r="AE170" i="1"/>
  <c r="AF170" i="1"/>
  <c r="AH106" i="1"/>
  <c r="AM106" i="1"/>
  <c r="AN106" i="1"/>
  <c r="AO106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107" i="1"/>
  <c r="AM107" i="1"/>
  <c r="AN107" i="1"/>
  <c r="AO107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08" i="1"/>
  <c r="AM108" i="1"/>
  <c r="AN108" i="1"/>
  <c r="AO108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109" i="1"/>
  <c r="AM109" i="1"/>
  <c r="AN109" i="1"/>
  <c r="AO109" i="1"/>
  <c r="K174" i="1"/>
  <c r="L174" i="1"/>
  <c r="M174" i="1"/>
  <c r="V174" i="1"/>
  <c r="Y174" i="1"/>
  <c r="Z174" i="1"/>
  <c r="AB174" i="1"/>
  <c r="AC174" i="1"/>
  <c r="AD174" i="1"/>
  <c r="T174" i="1" s="1"/>
  <c r="AE174" i="1"/>
  <c r="AF174" i="1"/>
  <c r="AH110" i="1"/>
  <c r="AM110" i="1"/>
  <c r="AN110" i="1"/>
  <c r="AO110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111" i="1"/>
  <c r="AM111" i="1"/>
  <c r="AN111" i="1"/>
  <c r="AO111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AO113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R16" i="3" s="1"/>
  <c r="AF180" i="1"/>
  <c r="AH115" i="1"/>
  <c r="AM115" i="1"/>
  <c r="AN115" i="1"/>
  <c r="AO11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6" i="1"/>
  <c r="AM116" i="1"/>
  <c r="AN116" i="1"/>
  <c r="AO11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7" i="1"/>
  <c r="AM117" i="1"/>
  <c r="AN117" i="1"/>
  <c r="AO11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8" i="1"/>
  <c r="AM118" i="1"/>
  <c r="AN118" i="1"/>
  <c r="AO118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19" i="1"/>
  <c r="AM119" i="1"/>
  <c r="AN119" i="1"/>
  <c r="AO11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0" i="1"/>
  <c r="AM120" i="1"/>
  <c r="AN120" i="1"/>
  <c r="AO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AO121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2" i="1"/>
  <c r="AM122" i="1"/>
  <c r="AN122" i="1"/>
  <c r="AO122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123" i="1"/>
  <c r="AM123" i="1"/>
  <c r="AN123" i="1"/>
  <c r="AO1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4" i="1"/>
  <c r="AM124" i="1"/>
  <c r="AN124" i="1"/>
  <c r="AO124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25" i="1"/>
  <c r="AM125" i="1"/>
  <c r="AN125" i="1"/>
  <c r="AO125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126" i="1"/>
  <c r="AM126" i="1"/>
  <c r="AN126" i="1"/>
  <c r="AO126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127" i="1"/>
  <c r="AM127" i="1"/>
  <c r="AN127" i="1"/>
  <c r="AO127" i="1"/>
  <c r="K195" i="1"/>
  <c r="L195" i="1"/>
  <c r="M195" i="1"/>
  <c r="V195" i="1"/>
  <c r="Y195" i="1"/>
  <c r="Z195" i="1"/>
  <c r="AB195" i="1"/>
  <c r="AC195" i="1"/>
  <c r="AD195" i="1"/>
  <c r="AE195" i="1"/>
  <c r="R18" i="3" s="1"/>
  <c r="AF195" i="1"/>
  <c r="AH128" i="1"/>
  <c r="AM128" i="1"/>
  <c r="AN128" i="1"/>
  <c r="AO12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29" i="1"/>
  <c r="AM129" i="1"/>
  <c r="AN129" i="1"/>
  <c r="AO129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0" i="1"/>
  <c r="AM130" i="1"/>
  <c r="AN130" i="1"/>
  <c r="AO130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131" i="1"/>
  <c r="AM131" i="1"/>
  <c r="AN131" i="1"/>
  <c r="AO131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AO135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AN136" i="1"/>
  <c r="AO136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7" i="1"/>
  <c r="AM137" i="1"/>
  <c r="AN137" i="1"/>
  <c r="AO137" i="1"/>
  <c r="K103" i="1"/>
  <c r="L103" i="1"/>
  <c r="M103" i="1"/>
  <c r="N103" i="1" s="1"/>
  <c r="V103" i="1"/>
  <c r="S9" i="3" s="1"/>
  <c r="Y103" i="1"/>
  <c r="Z103" i="1"/>
  <c r="AA103" i="1" s="1"/>
  <c r="AB103" i="1"/>
  <c r="AC103" i="1"/>
  <c r="AD103" i="1"/>
  <c r="AE103" i="1"/>
  <c r="R9" i="3" s="1"/>
  <c r="AF103" i="1"/>
  <c r="AH138" i="1"/>
  <c r="AM138" i="1"/>
  <c r="AN138" i="1"/>
  <c r="AO138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9" i="1"/>
  <c r="AM139" i="1"/>
  <c r="AN139" i="1"/>
  <c r="AO139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40" i="1"/>
  <c r="AM140" i="1"/>
  <c r="AN140" i="1"/>
  <c r="AO140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41" i="1"/>
  <c r="AM141" i="1"/>
  <c r="AN141" i="1"/>
  <c r="AO141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42" i="1"/>
  <c r="AM142" i="1"/>
  <c r="AN142" i="1"/>
  <c r="AO142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3" i="1"/>
  <c r="AM143" i="1"/>
  <c r="AN143" i="1"/>
  <c r="AO143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4" i="1"/>
  <c r="AM144" i="1"/>
  <c r="AN144" i="1"/>
  <c r="AO144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5" i="1"/>
  <c r="AM145" i="1"/>
  <c r="AN145" i="1"/>
  <c r="AO145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46" i="1"/>
  <c r="AM146" i="1"/>
  <c r="AN146" i="1"/>
  <c r="AO146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7" i="1"/>
  <c r="AM147" i="1"/>
  <c r="AN147" i="1"/>
  <c r="AO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AA112" i="1" s="1"/>
  <c r="Z112" i="1"/>
  <c r="AB112" i="1"/>
  <c r="AC112" i="1"/>
  <c r="AD112" i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4" i="1"/>
  <c r="AM154" i="1"/>
  <c r="AN154" i="1"/>
  <c r="AO15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55" i="1"/>
  <c r="AM155" i="1"/>
  <c r="AN155" i="1"/>
  <c r="AO15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6" i="1"/>
  <c r="AM156" i="1"/>
  <c r="AN156" i="1"/>
  <c r="AO15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7" i="1"/>
  <c r="AM157" i="1"/>
  <c r="AN157" i="1"/>
  <c r="AO15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/>
  <c r="V120" i="1"/>
  <c r="Y120" i="1"/>
  <c r="Z120" i="1"/>
  <c r="AA120" i="1"/>
  <c r="AB120" i="1"/>
  <c r="AC120" i="1"/>
  <c r="AD120" i="1"/>
  <c r="AE120" i="1"/>
  <c r="AF120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1" i="1"/>
  <c r="AM161" i="1"/>
  <c r="AN161" i="1"/>
  <c r="AO16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2" i="1"/>
  <c r="AM162" i="1"/>
  <c r="AN162" i="1"/>
  <c r="AO162" i="1"/>
  <c r="K123" i="1"/>
  <c r="L123" i="1"/>
  <c r="M123" i="1"/>
  <c r="N123" i="1"/>
  <c r="V123" i="1"/>
  <c r="Y123" i="1"/>
  <c r="Z123" i="1"/>
  <c r="AA123" i="1"/>
  <c r="AB123" i="1"/>
  <c r="AC123" i="1"/>
  <c r="AD123" i="1"/>
  <c r="AE123" i="1"/>
  <c r="AF123" i="1"/>
  <c r="AH163" i="1"/>
  <c r="AM163" i="1"/>
  <c r="AN163" i="1"/>
  <c r="AO163" i="1"/>
  <c r="K124" i="1"/>
  <c r="L124" i="1"/>
  <c r="M124" i="1"/>
  <c r="N124" i="1" s="1"/>
  <c r="V124" i="1"/>
  <c r="X124" i="1"/>
  <c r="Y124" i="1"/>
  <c r="Z124" i="1"/>
  <c r="AA124" i="1" s="1"/>
  <c r="AB124" i="1"/>
  <c r="AC124" i="1"/>
  <c r="AD124" i="1"/>
  <c r="T124" i="1" s="1"/>
  <c r="AE124" i="1"/>
  <c r="AF124" i="1"/>
  <c r="AH164" i="1"/>
  <c r="AM164" i="1"/>
  <c r="AN164" i="1"/>
  <c r="AO16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70" i="1"/>
  <c r="AM170" i="1"/>
  <c r="AN170" i="1"/>
  <c r="AO170" i="1"/>
  <c r="K131" i="1"/>
  <c r="L131" i="1"/>
  <c r="M131" i="1"/>
  <c r="N131" i="1"/>
  <c r="V131" i="1"/>
  <c r="Y131" i="1"/>
  <c r="AA131" i="1" s="1"/>
  <c r="Z131" i="1"/>
  <c r="AB131" i="1"/>
  <c r="AC131" i="1"/>
  <c r="AD131" i="1"/>
  <c r="AE131" i="1"/>
  <c r="AF131" i="1"/>
  <c r="AH171" i="1"/>
  <c r="AM171" i="1"/>
  <c r="AN171" i="1"/>
  <c r="AO171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2" i="1"/>
  <c r="AM172" i="1"/>
  <c r="AN172" i="1"/>
  <c r="AO172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3" i="1"/>
  <c r="AM173" i="1"/>
  <c r="AN173" i="1"/>
  <c r="AO173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4" i="1"/>
  <c r="AM174" i="1"/>
  <c r="AN174" i="1"/>
  <c r="AO174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5" i="1"/>
  <c r="AM175" i="1"/>
  <c r="AN175" i="1"/>
  <c r="AO175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6" i="1"/>
  <c r="AM176" i="1"/>
  <c r="AN176" i="1"/>
  <c r="AO176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79" i="1"/>
  <c r="AM179" i="1"/>
  <c r="AN179" i="1"/>
  <c r="AO179" i="1"/>
  <c r="K142" i="1"/>
  <c r="L142" i="1"/>
  <c r="M142" i="1"/>
  <c r="N142" i="1" s="1"/>
  <c r="V142" i="1"/>
  <c r="S15" i="3" s="1"/>
  <c r="Y142" i="1"/>
  <c r="Z142" i="1"/>
  <c r="AA142" i="1" s="1"/>
  <c r="AB142" i="1"/>
  <c r="AC142" i="1"/>
  <c r="AD142" i="1"/>
  <c r="AE142" i="1"/>
  <c r="R15" i="3" s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2" i="1"/>
  <c r="AM182" i="1"/>
  <c r="AN182" i="1"/>
  <c r="AO182" i="1"/>
  <c r="K144" i="1"/>
  <c r="L144" i="1"/>
  <c r="M144" i="1"/>
  <c r="N144" i="1"/>
  <c r="V144" i="1"/>
  <c r="Y144" i="1"/>
  <c r="Z144" i="1"/>
  <c r="AB144" i="1"/>
  <c r="AC144" i="1"/>
  <c r="AD144" i="1"/>
  <c r="X144" i="1" s="1"/>
  <c r="AE144" i="1"/>
  <c r="AF144" i="1"/>
  <c r="AH183" i="1"/>
  <c r="AM183" i="1"/>
  <c r="AN183" i="1"/>
  <c r="AO183" i="1"/>
  <c r="K145" i="1"/>
  <c r="L145" i="1"/>
  <c r="M145" i="1"/>
  <c r="N145" i="1"/>
  <c r="V145" i="1"/>
  <c r="Y145" i="1"/>
  <c r="AA145" i="1" s="1"/>
  <c r="Z145" i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7" i="1"/>
  <c r="AM187" i="1"/>
  <c r="AN187" i="1"/>
  <c r="AO187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8" i="1"/>
  <c r="AM188" i="1"/>
  <c r="AN188" i="1"/>
  <c r="AO188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S8" i="3" s="1"/>
  <c r="Y153" i="1"/>
  <c r="Z153" i="1"/>
  <c r="AB153" i="1"/>
  <c r="AC153" i="1"/>
  <c r="AD153" i="1"/>
  <c r="AE153" i="1"/>
  <c r="R8" i="3" s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4" i="1"/>
  <c r="AM194" i="1"/>
  <c r="AN194" i="1"/>
  <c r="AO194" i="1"/>
  <c r="K156" i="1"/>
  <c r="L156" i="1"/>
  <c r="M156" i="1"/>
  <c r="V156" i="1"/>
  <c r="Y156" i="1"/>
  <c r="Z156" i="1"/>
  <c r="AB156" i="1"/>
  <c r="AC156" i="1"/>
  <c r="AD156" i="1"/>
  <c r="X156" i="1" s="1"/>
  <c r="AE156" i="1"/>
  <c r="AF156" i="1"/>
  <c r="AH195" i="1"/>
  <c r="AM195" i="1"/>
  <c r="AN195" i="1"/>
  <c r="AO195" i="1"/>
  <c r="K157" i="1"/>
  <c r="L157" i="1"/>
  <c r="M157" i="1"/>
  <c r="V157" i="1"/>
  <c r="Y157" i="1"/>
  <c r="Z157" i="1"/>
  <c r="AB157" i="1"/>
  <c r="AC157" i="1"/>
  <c r="AD157" i="1"/>
  <c r="T157" i="1" s="1"/>
  <c r="AE157" i="1"/>
  <c r="AF157" i="1"/>
  <c r="AH196" i="1"/>
  <c r="AM196" i="1"/>
  <c r="AN196" i="1"/>
  <c r="AO196" i="1"/>
  <c r="K158" i="1"/>
  <c r="L158" i="1"/>
  <c r="M158" i="1"/>
  <c r="N158" i="1" s="1"/>
  <c r="T158" i="1"/>
  <c r="V158" i="1"/>
  <c r="Y158" i="1"/>
  <c r="Z158" i="1"/>
  <c r="AB158" i="1"/>
  <c r="AC158" i="1"/>
  <c r="AD158" i="1"/>
  <c r="AE158" i="1"/>
  <c r="AF158" i="1"/>
  <c r="AH198" i="1"/>
  <c r="AM198" i="1"/>
  <c r="AN198" i="1"/>
  <c r="AO198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99" i="1"/>
  <c r="AM199" i="1"/>
  <c r="AN199" i="1"/>
  <c r="AO199" i="1"/>
  <c r="K198" i="1"/>
  <c r="L198" i="1"/>
  <c r="M198" i="1"/>
  <c r="N198" i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/>
  <c r="V199" i="1"/>
  <c r="Y199" i="1"/>
  <c r="AA199" i="1" s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T200" i="1"/>
  <c r="V200" i="1"/>
  <c r="Y200" i="1"/>
  <c r="AA200" i="1" s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V203" i="1"/>
  <c r="Y203" i="1"/>
  <c r="Z203" i="1"/>
  <c r="AA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T204" i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T205" i="1"/>
  <c r="V205" i="1"/>
  <c r="Y205" i="1"/>
  <c r="Z205" i="1"/>
  <c r="AA205" i="1" s="1"/>
  <c r="AB205" i="1"/>
  <c r="AC205" i="1"/>
  <c r="AD205" i="1"/>
  <c r="X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T207" i="1"/>
  <c r="V207" i="1"/>
  <c r="X207" i="1"/>
  <c r="Y207" i="1"/>
  <c r="Z207" i="1"/>
  <c r="AA207" i="1" s="1"/>
  <c r="AB207" i="1"/>
  <c r="AC207" i="1"/>
  <c r="AD207" i="1"/>
  <c r="AE207" i="1"/>
  <c r="AF207" i="1"/>
  <c r="AH209" i="1"/>
  <c r="AM209" i="1"/>
  <c r="AN209" i="1"/>
  <c r="AO209" i="1"/>
  <c r="K208" i="1"/>
  <c r="L208" i="1"/>
  <c r="M208" i="1"/>
  <c r="N208" i="1" s="1"/>
  <c r="T208" i="1"/>
  <c r="V208" i="1"/>
  <c r="Y208" i="1"/>
  <c r="Z208" i="1"/>
  <c r="AA208" i="1" s="1"/>
  <c r="AB208" i="1"/>
  <c r="AC208" i="1"/>
  <c r="AD208" i="1"/>
  <c r="X208" i="1" s="1"/>
  <c r="AE208" i="1"/>
  <c r="AF208" i="1"/>
  <c r="AH210" i="1"/>
  <c r="AM210" i="1"/>
  <c r="AN210" i="1"/>
  <c r="AO210" i="1"/>
  <c r="K209" i="1"/>
  <c r="L209" i="1"/>
  <c r="M209" i="1"/>
  <c r="N209" i="1" s="1"/>
  <c r="T209" i="1"/>
  <c r="V209" i="1"/>
  <c r="Y209" i="1"/>
  <c r="Z209" i="1"/>
  <c r="AA209" i="1" s="1"/>
  <c r="AB209" i="1"/>
  <c r="AC209" i="1"/>
  <c r="AD209" i="1"/>
  <c r="X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AO212" i="1"/>
  <c r="K213" i="1"/>
  <c r="L213" i="1"/>
  <c r="M213" i="1"/>
  <c r="N213" i="1" s="1"/>
  <c r="T213" i="1"/>
  <c r="V213" i="1"/>
  <c r="X213" i="1"/>
  <c r="Y213" i="1"/>
  <c r="Z213" i="1"/>
  <c r="AA213" i="1" s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T214" i="1"/>
  <c r="V214" i="1"/>
  <c r="Y214" i="1"/>
  <c r="Z214" i="1"/>
  <c r="AA214" i="1" s="1"/>
  <c r="AB214" i="1"/>
  <c r="AC214" i="1"/>
  <c r="AD214" i="1"/>
  <c r="X214" i="1" s="1"/>
  <c r="AE214" i="1"/>
  <c r="AF214" i="1"/>
  <c r="AH214" i="1"/>
  <c r="AM214" i="1"/>
  <c r="AN214" i="1"/>
  <c r="AO214" i="1"/>
  <c r="K215" i="1"/>
  <c r="L215" i="1"/>
  <c r="M215" i="1"/>
  <c r="N215" i="1" s="1"/>
  <c r="T215" i="1"/>
  <c r="V215" i="1"/>
  <c r="Y215" i="1"/>
  <c r="Z215" i="1"/>
  <c r="AA215" i="1" s="1"/>
  <c r="AB215" i="1"/>
  <c r="AC215" i="1"/>
  <c r="AD215" i="1"/>
  <c r="X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T217" i="1"/>
  <c r="V217" i="1"/>
  <c r="X217" i="1"/>
  <c r="Y217" i="1"/>
  <c r="Z217" i="1"/>
  <c r="AA217" i="1" s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 s="1"/>
  <c r="T218" i="1"/>
  <c r="V218" i="1"/>
  <c r="Y218" i="1"/>
  <c r="Z218" i="1"/>
  <c r="AA218" i="1" s="1"/>
  <c r="AB218" i="1"/>
  <c r="AC218" i="1"/>
  <c r="AD218" i="1"/>
  <c r="X218" i="1" s="1"/>
  <c r="AE218" i="1"/>
  <c r="AF218" i="1"/>
  <c r="AH218" i="1"/>
  <c r="AM218" i="1"/>
  <c r="AN218" i="1"/>
  <c r="AO218" i="1"/>
  <c r="K219" i="1"/>
  <c r="L219" i="1"/>
  <c r="M219" i="1"/>
  <c r="N219" i="1"/>
  <c r="V219" i="1"/>
  <c r="Y219" i="1"/>
  <c r="Z219" i="1"/>
  <c r="AA219" i="1" s="1"/>
  <c r="AB219" i="1"/>
  <c r="AC219" i="1"/>
  <c r="AD219" i="1"/>
  <c r="X219" i="1" s="1"/>
  <c r="AE219" i="1"/>
  <c r="AF219" i="1"/>
  <c r="AH219" i="1"/>
  <c r="AM219" i="1"/>
  <c r="AN219" i="1"/>
  <c r="AO219" i="1"/>
  <c r="M7" i="3"/>
  <c r="R7" i="3"/>
  <c r="U7" i="3"/>
  <c r="AC7" i="3" s="1"/>
  <c r="V7" i="3"/>
  <c r="X7" i="3"/>
  <c r="M11" i="3"/>
  <c r="S11" i="3"/>
  <c r="T11" i="3"/>
  <c r="U11" i="3"/>
  <c r="AC11" i="3" s="1"/>
  <c r="V11" i="3"/>
  <c r="X11" i="3"/>
  <c r="AD11" i="3"/>
  <c r="M13" i="3"/>
  <c r="R13" i="3"/>
  <c r="U13" i="3"/>
  <c r="T13" i="3" s="1"/>
  <c r="V13" i="3"/>
  <c r="X13" i="3"/>
  <c r="M19" i="3"/>
  <c r="R19" i="3"/>
  <c r="U19" i="3"/>
  <c r="AD13" i="3" s="1"/>
  <c r="V19" i="3"/>
  <c r="X19" i="3"/>
  <c r="M10" i="3"/>
  <c r="U10" i="3"/>
  <c r="AC10" i="3" s="1"/>
  <c r="V10" i="3"/>
  <c r="X10" i="3"/>
  <c r="M12" i="3"/>
  <c r="S12" i="3"/>
  <c r="U12" i="3"/>
  <c r="AC12" i="3" s="1"/>
  <c r="V12" i="3"/>
  <c r="X12" i="3"/>
  <c r="M14" i="3"/>
  <c r="S14" i="3"/>
  <c r="U14" i="3"/>
  <c r="T14" i="3" s="1"/>
  <c r="V14" i="3"/>
  <c r="X14" i="3"/>
  <c r="M16" i="3"/>
  <c r="S16" i="3"/>
  <c r="U16" i="3"/>
  <c r="AD16" i="3" s="1"/>
  <c r="V16" i="3"/>
  <c r="X16" i="3"/>
  <c r="AC16" i="3"/>
  <c r="M9" i="3"/>
  <c r="U9" i="3"/>
  <c r="AC9" i="3" s="1"/>
  <c r="V9" i="3"/>
  <c r="X9" i="3"/>
  <c r="M17" i="3"/>
  <c r="R17" i="3"/>
  <c r="S17" i="3"/>
  <c r="T17" i="3"/>
  <c r="U17" i="3"/>
  <c r="AC17" i="3" s="1"/>
  <c r="V17" i="3"/>
  <c r="X17" i="3"/>
  <c r="AD18" i="3"/>
  <c r="AD19" i="3"/>
  <c r="M15" i="3"/>
  <c r="U15" i="3"/>
  <c r="V15" i="3"/>
  <c r="X15" i="3"/>
  <c r="M18" i="3"/>
  <c r="S18" i="3"/>
  <c r="U18" i="3"/>
  <c r="AC18" i="3" s="1"/>
  <c r="V18" i="3"/>
  <c r="X18" i="3"/>
  <c r="M8" i="3"/>
  <c r="U8" i="3"/>
  <c r="AC8" i="3" s="1"/>
  <c r="V8" i="3"/>
  <c r="X8" i="3"/>
  <c r="W7" i="3"/>
  <c r="W11" i="3"/>
  <c r="W12" i="3"/>
  <c r="W15" i="3"/>
  <c r="W17" i="3"/>
  <c r="W13" i="3"/>
  <c r="W14" i="3"/>
  <c r="W18" i="3"/>
  <c r="W19" i="3"/>
  <c r="W16" i="3"/>
  <c r="W8" i="3"/>
  <c r="W10" i="3"/>
  <c r="W9" i="3"/>
  <c r="AG129" i="1"/>
  <c r="AG140" i="1"/>
  <c r="AG66" i="1"/>
  <c r="AG107" i="1"/>
  <c r="AG155" i="1"/>
  <c r="AG74" i="1"/>
  <c r="AG101" i="1"/>
  <c r="AG144" i="1"/>
  <c r="AG116" i="1"/>
  <c r="AG22" i="1"/>
  <c r="AG38" i="1"/>
  <c r="AG54" i="1"/>
  <c r="AG78" i="1"/>
  <c r="AG164" i="1"/>
  <c r="AG87" i="1"/>
  <c r="AG27" i="1"/>
  <c r="AG43" i="1"/>
  <c r="AG59" i="1"/>
  <c r="AG88" i="1"/>
  <c r="AG68" i="1"/>
  <c r="AG21" i="1"/>
  <c r="AG37" i="1"/>
  <c r="AG53" i="1"/>
  <c r="AG84" i="1"/>
  <c r="AG63" i="1"/>
  <c r="AG168" i="1"/>
  <c r="AG186" i="1"/>
  <c r="AG104" i="1"/>
  <c r="AG118" i="1"/>
  <c r="AG137" i="1"/>
  <c r="AG156" i="1"/>
  <c r="AG210" i="1"/>
  <c r="AG48" i="1"/>
  <c r="AG95" i="1"/>
  <c r="AG192" i="1"/>
  <c r="AG113" i="1"/>
  <c r="AG138" i="1"/>
  <c r="AG200" i="1"/>
  <c r="AG24" i="1"/>
  <c r="AG166" i="1"/>
  <c r="AG183" i="1"/>
  <c r="AG111" i="1"/>
  <c r="AG154" i="1"/>
  <c r="AG44" i="1"/>
  <c r="AG169" i="1"/>
  <c r="AG97" i="1"/>
  <c r="AG112" i="1"/>
  <c r="AG136" i="1"/>
  <c r="AG199" i="1"/>
  <c r="AG20" i="1"/>
  <c r="AG162" i="1"/>
  <c r="AG182" i="1"/>
  <c r="AG212" i="1"/>
  <c r="AG125" i="1"/>
  <c r="AG153" i="1"/>
  <c r="AG214" i="1"/>
  <c r="AG135" i="1"/>
  <c r="AG14" i="1"/>
  <c r="AG46" i="1"/>
  <c r="AG91" i="1"/>
  <c r="AG19" i="1"/>
  <c r="AG51" i="1"/>
  <c r="AG161" i="1"/>
  <c r="AG29" i="1"/>
  <c r="AG61" i="1"/>
  <c r="AG77" i="1"/>
  <c r="AG195" i="1"/>
  <c r="AG145" i="1"/>
  <c r="AG16" i="1"/>
  <c r="AG180" i="1"/>
  <c r="AG151" i="1"/>
  <c r="AG56" i="1"/>
  <c r="AG127" i="1"/>
  <c r="AG179" i="1"/>
  <c r="AG147" i="1"/>
  <c r="AG170" i="1"/>
  <c r="AG139" i="1"/>
  <c r="AG196" i="1"/>
  <c r="AG26" i="1"/>
  <c r="AG42" i="1"/>
  <c r="AG58" i="1"/>
  <c r="AG86" i="1"/>
  <c r="AG65" i="1"/>
  <c r="AG15" i="1"/>
  <c r="AG31" i="1"/>
  <c r="AG47" i="1"/>
  <c r="AG67" i="1"/>
  <c r="AG92" i="1"/>
  <c r="AG73" i="1"/>
  <c r="AG25" i="1"/>
  <c r="AG41" i="1"/>
  <c r="AG57" i="1"/>
  <c r="AG90" i="1"/>
  <c r="AG69" i="1"/>
  <c r="AG172" i="1"/>
  <c r="AG191" i="1"/>
  <c r="AG106" i="1"/>
  <c r="AG122" i="1"/>
  <c r="AG141" i="1"/>
  <c r="AG198" i="1"/>
  <c r="AG216" i="1"/>
  <c r="AG64" i="1"/>
  <c r="AG174" i="1"/>
  <c r="AG99" i="1"/>
  <c r="AG119" i="1"/>
  <c r="AG143" i="1"/>
  <c r="AG205" i="1"/>
  <c r="AG40" i="1"/>
  <c r="AG167" i="1"/>
  <c r="AG190" i="1"/>
  <c r="AG121" i="1"/>
  <c r="AG203" i="1"/>
  <c r="AG60" i="1"/>
  <c r="AG173" i="1"/>
  <c r="AG98" i="1"/>
  <c r="AG117" i="1"/>
  <c r="AG142" i="1"/>
  <c r="AG204" i="1"/>
  <c r="AG36" i="1"/>
  <c r="AG83" i="1"/>
  <c r="AG188" i="1"/>
  <c r="AG109" i="1"/>
  <c r="AG131" i="1"/>
  <c r="AG158" i="1"/>
  <c r="AG219" i="1"/>
  <c r="AG146" i="1"/>
  <c r="AG110" i="1"/>
  <c r="AG211" i="1"/>
  <c r="AG213" i="1"/>
  <c r="AG102" i="1"/>
  <c r="AG89" i="1"/>
  <c r="AG123" i="1"/>
  <c r="AG209" i="1"/>
  <c r="AG194" i="1"/>
  <c r="AG201" i="1"/>
  <c r="AG30" i="1"/>
  <c r="AG62" i="1"/>
  <c r="AG71" i="1"/>
  <c r="AG35" i="1"/>
  <c r="AG72" i="1"/>
  <c r="AG81" i="1"/>
  <c r="AG45" i="1"/>
  <c r="AG94" i="1"/>
  <c r="AG176" i="1"/>
  <c r="AG126" i="1"/>
  <c r="AG202" i="1"/>
  <c r="AG93" i="1"/>
  <c r="AG124" i="1"/>
  <c r="AG171" i="1"/>
  <c r="AG215" i="1"/>
  <c r="AG103" i="1"/>
  <c r="AG52" i="1"/>
  <c r="AG115" i="1"/>
  <c r="AG159" i="1"/>
  <c r="AG18" i="1"/>
  <c r="AG34" i="1"/>
  <c r="AG50" i="1"/>
  <c r="AG70" i="1"/>
  <c r="AG160" i="1"/>
  <c r="AG79" i="1"/>
  <c r="AG23" i="1"/>
  <c r="AG39" i="1"/>
  <c r="AG55" i="1"/>
  <c r="AG80" i="1"/>
  <c r="AG165" i="1"/>
  <c r="AG17" i="1"/>
  <c r="AG33" i="1"/>
  <c r="AG49" i="1"/>
  <c r="AG76" i="1"/>
  <c r="AG163" i="1"/>
  <c r="AG85" i="1"/>
  <c r="AG96" i="1"/>
  <c r="AG100" i="1"/>
  <c r="AG114" i="1"/>
  <c r="AG130" i="1"/>
  <c r="AG152" i="1"/>
  <c r="AG206" i="1"/>
  <c r="AG32" i="1"/>
  <c r="AG75" i="1"/>
  <c r="AG187" i="1"/>
  <c r="AG108" i="1"/>
  <c r="AG157" i="1"/>
  <c r="AG218" i="1"/>
  <c r="AG82" i="1"/>
  <c r="AG178" i="1"/>
  <c r="AG105" i="1"/>
  <c r="AG28" i="1"/>
  <c r="AG184" i="1"/>
  <c r="AG128" i="1"/>
  <c r="AG217" i="1"/>
  <c r="AG175" i="1"/>
  <c r="AG120" i="1"/>
  <c r="AG207" i="1"/>
  <c r="AG208" i="1"/>
  <c r="AE19" i="3" l="1"/>
  <c r="AA56" i="1"/>
  <c r="AA73" i="1"/>
  <c r="W73" i="1" s="1"/>
  <c r="X56" i="1"/>
  <c r="T68" i="1"/>
  <c r="X68" i="1"/>
  <c r="AA54" i="1"/>
  <c r="W54" i="1" s="1"/>
  <c r="AA50" i="1"/>
  <c r="AA46" i="1"/>
  <c r="T67" i="1"/>
  <c r="X67" i="1"/>
  <c r="R14" i="3"/>
  <c r="AA70" i="1"/>
  <c r="AA66" i="1"/>
  <c r="AA62" i="1"/>
  <c r="W62" i="1" s="1"/>
  <c r="AA67" i="1"/>
  <c r="T66" i="1"/>
  <c r="X66" i="1"/>
  <c r="AA128" i="1"/>
  <c r="X127" i="1"/>
  <c r="AA114" i="1"/>
  <c r="AA90" i="1"/>
  <c r="AA76" i="1"/>
  <c r="AA51" i="1"/>
  <c r="X154" i="1"/>
  <c r="AA202" i="1"/>
  <c r="AA201" i="1"/>
  <c r="AA157" i="1"/>
  <c r="AA152" i="1"/>
  <c r="X141" i="1"/>
  <c r="AA138" i="1"/>
  <c r="X121" i="1"/>
  <c r="AA116" i="1"/>
  <c r="AA191" i="1"/>
  <c r="AA186" i="1"/>
  <c r="AA146" i="1"/>
  <c r="AA139" i="1"/>
  <c r="AA135" i="1"/>
  <c r="AA117" i="1"/>
  <c r="AA107" i="1"/>
  <c r="AA211" i="1"/>
  <c r="AA101" i="1"/>
  <c r="AA196" i="1"/>
  <c r="AA97" i="1"/>
  <c r="AA187" i="1"/>
  <c r="AA162" i="1"/>
  <c r="AA61" i="1"/>
  <c r="AA49" i="1"/>
  <c r="W49" i="1" s="1"/>
  <c r="AA48" i="1"/>
  <c r="AA44" i="1"/>
  <c r="AA40" i="1"/>
  <c r="AA34" i="1"/>
  <c r="AA18" i="1"/>
  <c r="X210" i="1"/>
  <c r="X206" i="1"/>
  <c r="X155" i="1"/>
  <c r="AA153" i="1"/>
  <c r="AA143" i="1"/>
  <c r="AA130" i="1"/>
  <c r="X129" i="1"/>
  <c r="X122" i="1"/>
  <c r="AA113" i="1"/>
  <c r="AA111" i="1"/>
  <c r="AA110" i="1"/>
  <c r="AA212" i="1"/>
  <c r="AA102" i="1"/>
  <c r="AA98" i="1"/>
  <c r="AA47" i="1"/>
  <c r="W47" i="1" s="1"/>
  <c r="AA45" i="1"/>
  <c r="AA32" i="1"/>
  <c r="AA28" i="1"/>
  <c r="AA24" i="1"/>
  <c r="AA20" i="1"/>
  <c r="AA16" i="1"/>
  <c r="AA163" i="1"/>
  <c r="AA69" i="1"/>
  <c r="W69" i="1" s="1"/>
  <c r="AA64" i="1"/>
  <c r="AA35" i="1"/>
  <c r="AA33" i="1"/>
  <c r="AA29" i="1"/>
  <c r="AA25" i="1"/>
  <c r="AA21" i="1"/>
  <c r="AA17" i="1"/>
  <c r="X216" i="1"/>
  <c r="AA204" i="1"/>
  <c r="T219" i="1"/>
  <c r="U219" i="1" s="1"/>
  <c r="S219" i="1" s="1"/>
  <c r="AA216" i="1"/>
  <c r="AA210" i="1"/>
  <c r="AA206" i="1"/>
  <c r="X200" i="1"/>
  <c r="AA198" i="1"/>
  <c r="AA159" i="1"/>
  <c r="AA158" i="1"/>
  <c r="AA156" i="1"/>
  <c r="AA155" i="1"/>
  <c r="T154" i="1"/>
  <c r="AA151" i="1"/>
  <c r="AA147" i="1"/>
  <c r="X146" i="1"/>
  <c r="X143" i="1"/>
  <c r="X140" i="1"/>
  <c r="X138" i="1"/>
  <c r="AA127" i="1"/>
  <c r="AA126" i="1"/>
  <c r="AA122" i="1"/>
  <c r="AA121" i="1"/>
  <c r="AA119" i="1"/>
  <c r="AA118" i="1"/>
  <c r="AA106" i="1"/>
  <c r="AA104" i="1"/>
  <c r="AA100" i="1"/>
  <c r="AA195" i="1"/>
  <c r="AA93" i="1"/>
  <c r="AA88" i="1"/>
  <c r="AA83" i="1"/>
  <c r="AA71" i="1"/>
  <c r="AA55" i="1"/>
  <c r="W55" i="1" s="1"/>
  <c r="AA53" i="1"/>
  <c r="AA52" i="1"/>
  <c r="W52" i="1" s="1"/>
  <c r="AA39" i="1"/>
  <c r="AA37" i="1"/>
  <c r="AA36" i="1"/>
  <c r="AA30" i="1"/>
  <c r="AA26" i="1"/>
  <c r="AA22" i="1"/>
  <c r="AA94" i="1"/>
  <c r="AA85" i="1"/>
  <c r="AA81" i="1"/>
  <c r="AA75" i="1"/>
  <c r="W75" i="1" s="1"/>
  <c r="X61" i="1"/>
  <c r="AA43" i="1"/>
  <c r="AA41" i="1"/>
  <c r="AA31" i="1"/>
  <c r="AA27" i="1"/>
  <c r="AA23" i="1"/>
  <c r="AA19" i="1"/>
  <c r="AA15" i="1"/>
  <c r="X202" i="1"/>
  <c r="T202" i="1"/>
  <c r="X204" i="1"/>
  <c r="X203" i="1"/>
  <c r="X158" i="1"/>
  <c r="X157" i="1"/>
  <c r="T156" i="1"/>
  <c r="X153" i="1"/>
  <c r="X139" i="1"/>
  <c r="X137" i="1"/>
  <c r="AA136" i="1"/>
  <c r="X131" i="1"/>
  <c r="T159" i="1"/>
  <c r="U159" i="1" s="1"/>
  <c r="S159" i="1" s="1"/>
  <c r="T135" i="1"/>
  <c r="U135" i="1" s="1"/>
  <c r="S135" i="1" s="1"/>
  <c r="T130" i="1"/>
  <c r="AA86" i="1"/>
  <c r="AA78" i="1"/>
  <c r="AA74" i="1"/>
  <c r="W74" i="1" s="1"/>
  <c r="AA72" i="1"/>
  <c r="AA65" i="1"/>
  <c r="W65" i="1" s="1"/>
  <c r="X64" i="1"/>
  <c r="AA63" i="1"/>
  <c r="AA60" i="1"/>
  <c r="AA59" i="1"/>
  <c r="W59" i="1" s="1"/>
  <c r="AA58" i="1"/>
  <c r="AA57" i="1"/>
  <c r="W57" i="1" s="1"/>
  <c r="T198" i="1"/>
  <c r="U198" i="1" s="1"/>
  <c r="S198" i="1" s="1"/>
  <c r="X147" i="1"/>
  <c r="X145" i="1"/>
  <c r="AA144" i="1"/>
  <c r="X142" i="1"/>
  <c r="X128" i="1"/>
  <c r="X126" i="1"/>
  <c r="AA125" i="1"/>
  <c r="X123" i="1"/>
  <c r="AA14" i="1"/>
  <c r="AA183" i="1"/>
  <c r="AA182" i="1"/>
  <c r="AA96" i="1"/>
  <c r="AA180" i="1"/>
  <c r="AA179" i="1"/>
  <c r="AA178" i="1"/>
  <c r="AA176" i="1"/>
  <c r="AA175" i="1"/>
  <c r="AA174" i="1"/>
  <c r="AA173" i="1"/>
  <c r="AA172" i="1"/>
  <c r="AA171" i="1"/>
  <c r="AA170" i="1"/>
  <c r="AA95" i="1"/>
  <c r="AA169" i="1"/>
  <c r="AA168" i="1"/>
  <c r="AA167" i="1"/>
  <c r="AA89" i="1"/>
  <c r="AA82" i="1"/>
  <c r="AA68" i="1"/>
  <c r="X57" i="1"/>
  <c r="AI219" i="1"/>
  <c r="AI218" i="1"/>
  <c r="U218" i="1"/>
  <c r="S218" i="1" s="1"/>
  <c r="AI217" i="1"/>
  <c r="U217" i="1"/>
  <c r="S217" i="1" s="1"/>
  <c r="AI216" i="1"/>
  <c r="U216" i="1"/>
  <c r="S216" i="1" s="1"/>
  <c r="AI215" i="1"/>
  <c r="U215" i="1"/>
  <c r="S215" i="1" s="1"/>
  <c r="AI214" i="1"/>
  <c r="U214" i="1"/>
  <c r="S214" i="1" s="1"/>
  <c r="AI213" i="1"/>
  <c r="U213" i="1"/>
  <c r="S213" i="1" s="1"/>
  <c r="AI212" i="1"/>
  <c r="U210" i="1"/>
  <c r="S210" i="1" s="1"/>
  <c r="AI211" i="1"/>
  <c r="U209" i="1"/>
  <c r="S209" i="1" s="1"/>
  <c r="AI210" i="1"/>
  <c r="U208" i="1"/>
  <c r="S208" i="1" s="1"/>
  <c r="AI209" i="1"/>
  <c r="U207" i="1"/>
  <c r="S207" i="1" s="1"/>
  <c r="AI208" i="1"/>
  <c r="U206" i="1"/>
  <c r="S206" i="1" s="1"/>
  <c r="AI207" i="1"/>
  <c r="U205" i="1"/>
  <c r="S205" i="1" s="1"/>
  <c r="U204" i="1"/>
  <c r="S204" i="1" s="1"/>
  <c r="AI206" i="1"/>
  <c r="U203" i="1"/>
  <c r="S203" i="1" s="1"/>
  <c r="AI205" i="1"/>
  <c r="U202" i="1"/>
  <c r="S202" i="1" s="1"/>
  <c r="AI204" i="1"/>
  <c r="U201" i="1"/>
  <c r="S201" i="1" s="1"/>
  <c r="AI203" i="1"/>
  <c r="U200" i="1"/>
  <c r="S200" i="1" s="1"/>
  <c r="AI202" i="1"/>
  <c r="U199" i="1"/>
  <c r="S199" i="1" s="1"/>
  <c r="AI201" i="1"/>
  <c r="AI200" i="1"/>
  <c r="AI199" i="1"/>
  <c r="U158" i="1"/>
  <c r="S158" i="1" s="1"/>
  <c r="AI198" i="1"/>
  <c r="U157" i="1"/>
  <c r="S157" i="1" s="1"/>
  <c r="AI196" i="1"/>
  <c r="U156" i="1"/>
  <c r="AI195" i="1"/>
  <c r="U155" i="1"/>
  <c r="S155" i="1" s="1"/>
  <c r="AI194" i="1"/>
  <c r="U154" i="1"/>
  <c r="S154" i="1" s="1"/>
  <c r="AI192" i="1"/>
  <c r="AI191" i="1"/>
  <c r="U152" i="1"/>
  <c r="S152" i="1" s="1"/>
  <c r="AI190" i="1"/>
  <c r="AI188" i="1"/>
  <c r="U147" i="1"/>
  <c r="S147" i="1" s="1"/>
  <c r="AI187" i="1"/>
  <c r="AI186" i="1"/>
  <c r="U145" i="1"/>
  <c r="S145" i="1" s="1"/>
  <c r="AI184" i="1"/>
  <c r="AI183" i="1"/>
  <c r="U143" i="1"/>
  <c r="S143" i="1" s="1"/>
  <c r="AI182" i="1"/>
  <c r="AI180" i="1"/>
  <c r="U141" i="1"/>
  <c r="S141" i="1" s="1"/>
  <c r="AI179" i="1"/>
  <c r="AI178" i="1"/>
  <c r="U139" i="1"/>
  <c r="S139" i="1" s="1"/>
  <c r="AI176" i="1"/>
  <c r="AI175" i="1"/>
  <c r="U137" i="1"/>
  <c r="S137" i="1" s="1"/>
  <c r="AI174" i="1"/>
  <c r="AI173" i="1"/>
  <c r="AI172" i="1"/>
  <c r="AI171" i="1"/>
  <c r="U130" i="1"/>
  <c r="S130" i="1" s="1"/>
  <c r="AI170" i="1"/>
  <c r="AI169" i="1"/>
  <c r="U128" i="1"/>
  <c r="S128" i="1" s="1"/>
  <c r="AI168" i="1"/>
  <c r="AI167" i="1"/>
  <c r="U126" i="1"/>
  <c r="S126" i="1" s="1"/>
  <c r="AI166" i="1"/>
  <c r="AI165" i="1"/>
  <c r="U124" i="1"/>
  <c r="S124" i="1" s="1"/>
  <c r="AI164" i="1"/>
  <c r="AI163" i="1"/>
  <c r="U122" i="1"/>
  <c r="S122" i="1" s="1"/>
  <c r="AI162" i="1"/>
  <c r="AI161" i="1"/>
  <c r="AI160" i="1"/>
  <c r="AI159" i="1"/>
  <c r="AI158" i="1"/>
  <c r="AI157" i="1"/>
  <c r="AI156" i="1"/>
  <c r="AI155" i="1"/>
  <c r="AI154" i="1"/>
  <c r="AI153" i="1"/>
  <c r="W113" i="1"/>
  <c r="AI152" i="1"/>
  <c r="W112" i="1"/>
  <c r="AI151" i="1"/>
  <c r="W111" i="1"/>
  <c r="AI147" i="1"/>
  <c r="W110" i="1"/>
  <c r="AI146" i="1"/>
  <c r="W109" i="1"/>
  <c r="AI145" i="1"/>
  <c r="W108" i="1"/>
  <c r="AI144" i="1"/>
  <c r="W107" i="1"/>
  <c r="AI143" i="1"/>
  <c r="AI142" i="1"/>
  <c r="AI141" i="1"/>
  <c r="AI140" i="1"/>
  <c r="AI139" i="1"/>
  <c r="AI138" i="1"/>
  <c r="AI137" i="1"/>
  <c r="AI136" i="1"/>
  <c r="AI135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U96" i="1"/>
  <c r="S96" i="1" s="1"/>
  <c r="AI115" i="1"/>
  <c r="U180" i="1"/>
  <c r="S180" i="1" s="1"/>
  <c r="AI114" i="1"/>
  <c r="U179" i="1"/>
  <c r="S179" i="1" s="1"/>
  <c r="AI113" i="1"/>
  <c r="U178" i="1"/>
  <c r="S178" i="1" s="1"/>
  <c r="AI112" i="1"/>
  <c r="U176" i="1"/>
  <c r="S176" i="1" s="1"/>
  <c r="AI111" i="1"/>
  <c r="U175" i="1"/>
  <c r="S175" i="1" s="1"/>
  <c r="AI110" i="1"/>
  <c r="U174" i="1"/>
  <c r="AI109" i="1"/>
  <c r="U173" i="1"/>
  <c r="S173" i="1" s="1"/>
  <c r="AI108" i="1"/>
  <c r="U172" i="1"/>
  <c r="S172" i="1" s="1"/>
  <c r="AI107" i="1"/>
  <c r="U171" i="1"/>
  <c r="S171" i="1" s="1"/>
  <c r="AI106" i="1"/>
  <c r="U170" i="1"/>
  <c r="AI105" i="1"/>
  <c r="AI103" i="1"/>
  <c r="AI104" i="1"/>
  <c r="AI102" i="1"/>
  <c r="AI87" i="1"/>
  <c r="AI85" i="1"/>
  <c r="AI83" i="1"/>
  <c r="AI81" i="1"/>
  <c r="AI79" i="1"/>
  <c r="AI77" i="1"/>
  <c r="AI75" i="1"/>
  <c r="AI73" i="1"/>
  <c r="AI71" i="1"/>
  <c r="W71" i="1"/>
  <c r="U69" i="1"/>
  <c r="S69" i="1" s="1"/>
  <c r="AI69" i="1"/>
  <c r="U66" i="1"/>
  <c r="S66" i="1" s="1"/>
  <c r="AI66" i="1"/>
  <c r="W66" i="1"/>
  <c r="AI68" i="1"/>
  <c r="U68" i="1"/>
  <c r="S68" i="1" s="1"/>
  <c r="AI65" i="1"/>
  <c r="U65" i="1"/>
  <c r="S65" i="1" s="1"/>
  <c r="AI63" i="1"/>
  <c r="U63" i="1"/>
  <c r="S63" i="1" s="1"/>
  <c r="AI101" i="1"/>
  <c r="AI100" i="1"/>
  <c r="AI99" i="1"/>
  <c r="AI98" i="1"/>
  <c r="AI97" i="1"/>
  <c r="AI96" i="1"/>
  <c r="AI95" i="1"/>
  <c r="AI94" i="1"/>
  <c r="AI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AI88" i="1"/>
  <c r="AI86" i="1"/>
  <c r="AI84" i="1"/>
  <c r="AI82" i="1"/>
  <c r="AI80" i="1"/>
  <c r="AI78" i="1"/>
  <c r="AI76" i="1"/>
  <c r="AI74" i="1"/>
  <c r="AI72" i="1"/>
  <c r="AI70" i="1"/>
  <c r="U64" i="1"/>
  <c r="S64" i="1" s="1"/>
  <c r="AI64" i="1"/>
  <c r="U67" i="1"/>
  <c r="S67" i="1" s="1"/>
  <c r="AI67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AI16" i="1"/>
  <c r="U16" i="1"/>
  <c r="S16" i="1" s="1"/>
  <c r="AI15" i="1"/>
  <c r="U15" i="1"/>
  <c r="S15" i="1" s="1"/>
  <c r="AI14" i="1"/>
  <c r="U14" i="1"/>
  <c r="S14" i="1" s="1"/>
  <c r="W216" i="1"/>
  <c r="W214" i="1"/>
  <c r="W210" i="1"/>
  <c r="W208" i="1"/>
  <c r="W206" i="1"/>
  <c r="W202" i="1"/>
  <c r="W159" i="1"/>
  <c r="W156" i="1"/>
  <c r="W152" i="1"/>
  <c r="W138" i="1"/>
  <c r="W136" i="1"/>
  <c r="W135" i="1"/>
  <c r="W130" i="1"/>
  <c r="W117" i="1"/>
  <c r="W218" i="1"/>
  <c r="W219" i="1"/>
  <c r="W217" i="1"/>
  <c r="W215" i="1"/>
  <c r="W213" i="1"/>
  <c r="W209" i="1"/>
  <c r="W207" i="1"/>
  <c r="W205" i="1"/>
  <c r="W203" i="1"/>
  <c r="W200" i="1"/>
  <c r="W157" i="1"/>
  <c r="W154" i="1"/>
  <c r="W142" i="1"/>
  <c r="W140" i="1"/>
  <c r="W139" i="1"/>
  <c r="W137" i="1"/>
  <c r="W123" i="1"/>
  <c r="W121" i="1"/>
  <c r="W120" i="1"/>
  <c r="W116" i="1"/>
  <c r="W201" i="1"/>
  <c r="W198" i="1"/>
  <c r="W155" i="1"/>
  <c r="W146" i="1"/>
  <c r="W144" i="1"/>
  <c r="W143" i="1"/>
  <c r="W141" i="1"/>
  <c r="W127" i="1"/>
  <c r="W125" i="1"/>
  <c r="W124" i="1"/>
  <c r="W122" i="1"/>
  <c r="W119" i="1"/>
  <c r="W115" i="1"/>
  <c r="W204" i="1"/>
  <c r="W199" i="1"/>
  <c r="W158" i="1"/>
  <c r="W153" i="1"/>
  <c r="W151" i="1"/>
  <c r="W147" i="1"/>
  <c r="W145" i="1"/>
  <c r="W131" i="1"/>
  <c r="W129" i="1"/>
  <c r="W128" i="1"/>
  <c r="W126" i="1"/>
  <c r="W118" i="1"/>
  <c r="W114" i="1"/>
  <c r="T153" i="1"/>
  <c r="U153" i="1" s="1"/>
  <c r="S153" i="1" s="1"/>
  <c r="T142" i="1"/>
  <c r="U142" i="1" s="1"/>
  <c r="S142" i="1" s="1"/>
  <c r="T131" i="1"/>
  <c r="U131" i="1" s="1"/>
  <c r="S131" i="1" s="1"/>
  <c r="T123" i="1"/>
  <c r="U123" i="1" s="1"/>
  <c r="S123" i="1" s="1"/>
  <c r="T151" i="1"/>
  <c r="U151" i="1" s="1"/>
  <c r="S151" i="1" s="1"/>
  <c r="T129" i="1"/>
  <c r="U129" i="1" s="1"/>
  <c r="S129" i="1" s="1"/>
  <c r="T121" i="1"/>
  <c r="U121" i="1" s="1"/>
  <c r="S121" i="1" s="1"/>
  <c r="T140" i="1"/>
  <c r="U140" i="1" s="1"/>
  <c r="S140" i="1" s="1"/>
  <c r="T146" i="1"/>
  <c r="U146" i="1" s="1"/>
  <c r="S146" i="1" s="1"/>
  <c r="T138" i="1"/>
  <c r="U138" i="1" s="1"/>
  <c r="S138" i="1" s="1"/>
  <c r="T127" i="1"/>
  <c r="U127" i="1" s="1"/>
  <c r="S127" i="1" s="1"/>
  <c r="T144" i="1"/>
  <c r="U144" i="1" s="1"/>
  <c r="S144" i="1" s="1"/>
  <c r="T136" i="1"/>
  <c r="U136" i="1" s="1"/>
  <c r="S136" i="1" s="1"/>
  <c r="T125" i="1"/>
  <c r="U125" i="1" s="1"/>
  <c r="S125" i="1" s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212" i="1"/>
  <c r="U212" i="1" s="1"/>
  <c r="S212" i="1" s="1"/>
  <c r="X212" i="1"/>
  <c r="T211" i="1"/>
  <c r="U211" i="1" s="1"/>
  <c r="S211" i="1" s="1"/>
  <c r="X211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T192" i="1"/>
  <c r="U192" i="1" s="1"/>
  <c r="S192" i="1" s="1"/>
  <c r="X192" i="1"/>
  <c r="T97" i="1"/>
  <c r="U97" i="1" s="1"/>
  <c r="S97" i="1" s="1"/>
  <c r="X97" i="1"/>
  <c r="T191" i="1"/>
  <c r="U191" i="1" s="1"/>
  <c r="S191" i="1" s="1"/>
  <c r="T190" i="1"/>
  <c r="U190" i="1" s="1"/>
  <c r="S190" i="1" s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W165" i="1"/>
  <c r="W161" i="1"/>
  <c r="W164" i="1"/>
  <c r="W160" i="1"/>
  <c r="W163" i="1"/>
  <c r="W106" i="1"/>
  <c r="W105" i="1"/>
  <c r="W212" i="1"/>
  <c r="W211" i="1"/>
  <c r="W104" i="1"/>
  <c r="W103" i="1"/>
  <c r="W102" i="1"/>
  <c r="W101" i="1"/>
  <c r="W100" i="1"/>
  <c r="W99" i="1"/>
  <c r="W98" i="1"/>
  <c r="W196" i="1"/>
  <c r="W195" i="1"/>
  <c r="W194" i="1"/>
  <c r="W192" i="1"/>
  <c r="W97" i="1"/>
  <c r="W191" i="1"/>
  <c r="W190" i="1"/>
  <c r="W188" i="1"/>
  <c r="W187" i="1"/>
  <c r="W186" i="1"/>
  <c r="W184" i="1"/>
  <c r="W183" i="1"/>
  <c r="W182" i="1"/>
  <c r="W96" i="1"/>
  <c r="W180" i="1"/>
  <c r="W179" i="1"/>
  <c r="W178" i="1"/>
  <c r="W176" i="1"/>
  <c r="W175" i="1"/>
  <c r="W174" i="1"/>
  <c r="W173" i="1"/>
  <c r="W172" i="1"/>
  <c r="W171" i="1"/>
  <c r="W170" i="1"/>
  <c r="W95" i="1"/>
  <c r="W169" i="1"/>
  <c r="W168" i="1"/>
  <c r="W167" i="1"/>
  <c r="W166" i="1"/>
  <c r="W162" i="1"/>
  <c r="T95" i="1"/>
  <c r="U95" i="1" s="1"/>
  <c r="S95" i="1" s="1"/>
  <c r="X95" i="1"/>
  <c r="T168" i="1"/>
  <c r="U168" i="1" s="1"/>
  <c r="S168" i="1" s="1"/>
  <c r="X168" i="1"/>
  <c r="W87" i="1"/>
  <c r="W84" i="1"/>
  <c r="W79" i="1"/>
  <c r="W76" i="1"/>
  <c r="W67" i="1"/>
  <c r="W64" i="1"/>
  <c r="W86" i="1"/>
  <c r="W81" i="1"/>
  <c r="W78" i="1"/>
  <c r="W72" i="1"/>
  <c r="W63" i="1"/>
  <c r="X96" i="1"/>
  <c r="X180" i="1"/>
  <c r="X179" i="1"/>
  <c r="X176" i="1"/>
  <c r="X175" i="1"/>
  <c r="X174" i="1"/>
  <c r="X173" i="1"/>
  <c r="X172" i="1"/>
  <c r="X171" i="1"/>
  <c r="X170" i="1"/>
  <c r="T169" i="1"/>
  <c r="U169" i="1" s="1"/>
  <c r="S169" i="1" s="1"/>
  <c r="X169" i="1"/>
  <c r="T167" i="1"/>
  <c r="U167" i="1" s="1"/>
  <c r="S167" i="1" s="1"/>
  <c r="X167" i="1"/>
  <c r="W94" i="1"/>
  <c r="W93" i="1"/>
  <c r="W92" i="1"/>
  <c r="W91" i="1"/>
  <c r="W90" i="1"/>
  <c r="W88" i="1"/>
  <c r="W83" i="1"/>
  <c r="W80" i="1"/>
  <c r="W70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94" i="1"/>
  <c r="U94" i="1" s="1"/>
  <c r="S94" i="1" s="1"/>
  <c r="X94" i="1"/>
  <c r="T93" i="1"/>
  <c r="U93" i="1" s="1"/>
  <c r="S93" i="1" s="1"/>
  <c r="X93" i="1"/>
  <c r="W89" i="1"/>
  <c r="W85" i="1"/>
  <c r="W82" i="1"/>
  <c r="W77" i="1"/>
  <c r="W68" i="1"/>
  <c r="X60" i="1"/>
  <c r="W58" i="1"/>
  <c r="W50" i="1"/>
  <c r="W46" i="1"/>
  <c r="W42" i="1"/>
  <c r="W38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2" i="1"/>
  <c r="U62" i="1" s="1"/>
  <c r="S62" i="1" s="1"/>
  <c r="X63" i="1"/>
  <c r="W53" i="1"/>
  <c r="W45" i="1"/>
  <c r="W41" i="1"/>
  <c r="W37" i="1"/>
  <c r="X62" i="1"/>
  <c r="W60" i="1"/>
  <c r="X58" i="1"/>
  <c r="W56" i="1"/>
  <c r="W48" i="1"/>
  <c r="W44" i="1"/>
  <c r="W40" i="1"/>
  <c r="W36" i="1"/>
  <c r="X92" i="1"/>
  <c r="X91" i="1"/>
  <c r="X90" i="1"/>
  <c r="X89" i="1"/>
  <c r="T87" i="1"/>
  <c r="U87" i="1" s="1"/>
  <c r="S87" i="1" s="1"/>
  <c r="X87" i="1"/>
  <c r="T85" i="1"/>
  <c r="U85" i="1" s="1"/>
  <c r="S85" i="1" s="1"/>
  <c r="X85" i="1"/>
  <c r="T83" i="1"/>
  <c r="U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W61" i="1"/>
  <c r="X59" i="1"/>
  <c r="W51" i="1"/>
  <c r="W43" i="1"/>
  <c r="W39" i="1"/>
  <c r="X69" i="1"/>
  <c r="X65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11" i="3"/>
  <c r="AE12" i="3"/>
  <c r="AE18" i="3"/>
  <c r="AD12" i="3"/>
  <c r="AC13" i="3"/>
  <c r="AD9" i="3"/>
  <c r="AE15" i="3"/>
  <c r="AD8" i="3"/>
  <c r="AD15" i="3"/>
  <c r="T12" i="3"/>
  <c r="AC19" i="3"/>
  <c r="T8" i="3"/>
  <c r="AC15" i="3"/>
  <c r="AC14" i="3"/>
  <c r="Y14" i="3"/>
  <c r="Y13" i="3"/>
  <c r="Y8" i="3"/>
  <c r="Y12" i="3"/>
  <c r="Y11" i="3"/>
  <c r="Y17" i="3"/>
  <c r="Y18" i="3"/>
  <c r="Y9" i="3"/>
  <c r="Y10" i="3"/>
  <c r="Y7" i="3"/>
  <c r="Y15" i="3"/>
  <c r="Y16" i="3"/>
  <c r="Y19" i="3"/>
  <c r="AE17" i="3"/>
  <c r="AE10" i="3"/>
  <c r="T7" i="3"/>
  <c r="T9" i="3"/>
  <c r="AE14" i="3"/>
  <c r="T10" i="3"/>
  <c r="T15" i="3"/>
  <c r="AD17" i="3"/>
  <c r="AE16" i="3"/>
  <c r="T16" i="3"/>
  <c r="AD14" i="3"/>
  <c r="AE13" i="3"/>
  <c r="T19" i="3"/>
  <c r="AD10" i="3"/>
  <c r="AE9" i="3"/>
  <c r="T18" i="3"/>
  <c r="AE8" i="3"/>
  <c r="S20" i="3"/>
  <c r="R20" i="3"/>
  <c r="M20" i="3"/>
  <c r="U20" i="3"/>
  <c r="AC20" i="3" s="1"/>
  <c r="V20" i="3"/>
  <c r="X20" i="3"/>
  <c r="W20" i="3"/>
  <c r="S82" i="1" l="1"/>
  <c r="AE20" i="3"/>
  <c r="AD20" i="3"/>
  <c r="Y20" i="3"/>
  <c r="T20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7" i="3" s="1"/>
  <c r="G50" i="4"/>
  <c r="G51" i="4"/>
  <c r="G52" i="4"/>
  <c r="G53" i="4"/>
  <c r="G54" i="4"/>
  <c r="N20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N13" i="3" s="1"/>
  <c r="G76" i="4"/>
  <c r="G77" i="4"/>
  <c r="N11" i="3" s="1"/>
  <c r="G78" i="4"/>
  <c r="G79" i="4"/>
  <c r="G80" i="4"/>
  <c r="G81" i="4"/>
  <c r="G82" i="4"/>
  <c r="G83" i="4"/>
  <c r="G84" i="4"/>
  <c r="G85" i="4"/>
  <c r="G86" i="4"/>
  <c r="G87" i="4"/>
  <c r="N19" i="3" s="1"/>
  <c r="G88" i="4"/>
  <c r="G89" i="4"/>
  <c r="G90" i="4"/>
  <c r="G91" i="4"/>
  <c r="N10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16" i="3" s="1"/>
  <c r="G132" i="4"/>
  <c r="G133" i="4"/>
  <c r="N9" i="3" s="1"/>
  <c r="G134" i="4"/>
  <c r="G135" i="4"/>
  <c r="G136" i="4"/>
  <c r="G137" i="4"/>
  <c r="G138" i="4"/>
  <c r="N17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5" i="3" s="1"/>
  <c r="G200" i="4"/>
  <c r="G201" i="4"/>
  <c r="G202" i="4"/>
  <c r="G203" i="4"/>
  <c r="N18" i="3" s="1"/>
  <c r="G204" i="4"/>
  <c r="G205" i="4"/>
  <c r="G206" i="4"/>
  <c r="G207" i="4"/>
  <c r="G208" i="4"/>
  <c r="G209" i="4"/>
  <c r="G210" i="4"/>
  <c r="N8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4" i="3" l="1"/>
  <c r="N1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<sst xmlns="http://schemas.openxmlformats.org/spreadsheetml/2006/main" count="2642" uniqueCount="1088">
  <si>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</si>
  <si>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</si>
  <si>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</si>
  <si>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</si>
  <si>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</si>
  <si>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</si>
  <si>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</si>
  <si>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</si>
  <si>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</si>
  <si>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</si>
  <si>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</si>
  <si>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</si>
  <si>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</si>
  <si>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</si>
  <si>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</si>
  <si>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</si>
  <si>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</si>
  <si>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</si>
  <si>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</si>
  <si>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</si>
  <si>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</si>
  <si>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</si>
  <si>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</si>
  <si>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</si>
  <si>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</si>
  <si>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</si>
  <si>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</si>
  <si>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</si>
  <si>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</si>
  <si>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</si>
  <si>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</si>
  <si>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</si>
  <si>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</si>
  <si>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</si>
  <si>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</si>
  <si>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</si>
  <si>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</si>
  <si>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</si>
  <si>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</si>
  <si>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</si>
  <si>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</si>
  <si>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</si>
  <si>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</si>
  <si>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</si>
  <si>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</si>
  <si>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</si>
  <si>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</si>
  <si>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</si>
  <si>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</si>
  <si>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</si>
  <si>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</si>
  <si>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</si>
  <si>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</si>
  <si>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</si>
  <si>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</si>
  <si>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</si>
  <si>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</si>
  <si>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</si>
  <si>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</si>
  <si>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</si>
  <si>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</si>
  <si>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</si>
  <si>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</si>
  <si>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</si>
  <si>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</si>
  <si>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</si>
  <si>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</si>
  <si>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</si>
  <si>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</si>
  <si>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</si>
  <si>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</si>
  <si>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</si>
  <si>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</si>
  <si>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</si>
  <si>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</si>
  <si>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</si>
  <si>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</si>
  <si>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</si>
  <si>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</si>
  <si>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</si>
  <si>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</si>
  <si>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</si>
  <si>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</si>
  <si>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</si>
  <si>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</si>
  <si>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</si>
  <si>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</si>
  <si>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</si>
  <si>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</si>
  <si>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</si>
  <si>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</si>
  <si>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</si>
  <si>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</si>
  <si>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</si>
  <si>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</si>
  <si>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</si>
  <si>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</si>
  <si>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</si>
  <si>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</si>
  <si>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</si>
  <si>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</si>
  <si>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</si>
  <si>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</si>
  <si>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</si>
  <si>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</si>
  <si>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</si>
  <si>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</si>
  <si>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</si>
  <si>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</si>
  <si>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</si>
  <si>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</si>
  <si>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</si>
  <si>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</si>
  <si>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</si>
  <si>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</si>
  <si>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</si>
  <si>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</si>
  <si>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</si>
  <si>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</si>
  <si>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</si>
  <si>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</si>
  <si>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</si>
  <si>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</si>
  <si>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</si>
  <si>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</si>
  <si>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</si>
  <si>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</si>
  <si>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</si>
  <si>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</si>
  <si>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</si>
  <si>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</si>
  <si>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</si>
  <si>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</si>
  <si>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</si>
  <si>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</si>
  <si>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</si>
  <si>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</si>
  <si>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</si>
  <si>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</si>
  <si>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</si>
  <si>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</si>
  <si>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</si>
  <si>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</si>
  <si>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</si>
  <si>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</si>
  <si>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</si>
  <si>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</si>
  <si>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</si>
  <si>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</si>
  <si>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</si>
  <si>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</si>
  <si>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</si>
  <si>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</si>
  <si>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</si>
  <si>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</si>
  <si>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</si>
  <si>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</si>
  <si>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</si>
  <si>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</si>
  <si>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</si>
  <si>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</si>
  <si>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</si>
  <si>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</si>
  <si>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</si>
  <si>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</si>
  <si>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</si>
  <si>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</si>
  <si>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</si>
  <si>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</si>
  <si>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</si>
  <si>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</si>
  <si>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</si>
  <si>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</si>
  <si>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</si>
  <si>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</si>
  <si>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</si>
  <si>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</si>
  <si>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</si>
  <si>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</si>
  <si>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</si>
  <si>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</si>
  <si>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</si>
  <si>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</si>
  <si>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</si>
  <si>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</si>
  <si>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</si>
  <si>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</si>
  <si>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</si>
  <si>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</si>
  <si>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</si>
  <si>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</si>
  <si>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</si>
  <si>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</si>
  <si>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</si>
  <si>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</si>
  <si>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</si>
  <si>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</si>
  <si>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</si>
  <si>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</si>
  <si>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</si>
  <si>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</si>
  <si>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</si>
  <si>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</si>
  <si>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</si>
  <si>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</si>
  <si>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</si>
  <si>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</si>
  <si>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</si>
  <si>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</si>
  <si>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</si>
  <si>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</si>
  <si>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</si>
  <si>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</si>
  <si>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</si>
  <si>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</si>
  <si>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</si>
  <si>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</si>
  <si>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</si>
  <si>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</si>
  <si>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</si>
  <si>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</si>
  <si>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</si>
  <si>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</si>
  <si>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</si>
  <si>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</si>
  <si>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</si>
  <si>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</si>
  <si>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</si>
  <si>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</si>
  <si>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</si>
  <si>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</si>
  <si>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</si>
  <si>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</si>
  <si>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</si>
  <si>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</si>
  <si>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</si>
  <si>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</si>
  <si>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</si>
  <si>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</si>
  <si>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</si>
  <si>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</si>
  <si>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</si>
  <si>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</si>
  <si>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</si>
  <si>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</si>
  <si>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</si>
  <si>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</si>
  <si>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</si>
  <si>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</si>
  <si>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</si>
  <si>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</si>
  <si>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</si>
  <si>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</si>
  <si>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</si>
  <si>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</si>
  <si>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</si>
  <si>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</si>
  <si>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</si>
  <si>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</si>
  <si>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</si>
  <si>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</si>
  <si>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</si>
  <si>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</si>
  <si>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</si>
  <si>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</si>
  <si>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</si>
  <si>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</si>
  <si>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</si>
  <si>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</si>
  <si>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</si>
  <si>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</si>
  <si>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</si>
  <si>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</si>
  <si>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</si>
  <si>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</si>
  <si>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</si>
  <si>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</si>
  <si>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</si>
  <si>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</si>
  <si>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</si>
  <si>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</si>
  <si>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</si>
  <si>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</si>
  <si>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</si>
  <si>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</si>
  <si>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</si>
  <si>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</si>
  <si>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</si>
  <si>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</si>
  <si>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</si>
  <si>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</si>
  <si>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</si>
  <si>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</si>
  <si>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</si>
  <si>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</si>
  <si>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</si>
  <si>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</si>
  <si>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</si>
  <si>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</si>
  <si>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</si>
  <si>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</si>
  <si>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</si>
  <si>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</si>
  <si>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</si>
  <si>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</si>
  <si>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</si>
  <si>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</si>
  <si>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</si>
  <si>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</si>
  <si>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</si>
  <si>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</si>
  <si>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</si>
  <si>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</si>
  <si>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</si>
  <si>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</si>
  <si>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</si>
  <si>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</si>
  <si>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</si>
  <si>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</si>
  <si>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</si>
  <si>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</si>
  <si>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</si>
  <si>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</si>
  <si>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</si>
  <si>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</si>
  <si>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</si>
  <si>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</si>
  <si>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</si>
  <si>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</si>
  <si>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</si>
  <si>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</si>
  <si>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</si>
  <si>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</si>
  <si>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</si>
  <si>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</si>
  <si>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</si>
  <si>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</si>
  <si>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</si>
  <si>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</si>
  <si>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</si>
  <si>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</si>
  <si>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</si>
  <si>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</si>
  <si>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</si>
  <si>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</si>
  <si>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</si>
  <si>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</si>
  <si>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</si>
  <si>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</si>
  <si>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</si>
  <si>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</si>
  <si>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</si>
  <si>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</si>
  <si>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</si>
  <si>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</si>
  <si>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</si>
  <si>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</si>
  <si>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</si>
  <si>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</si>
  <si>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</si>
  <si>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</si>
  <si>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</si>
  <si>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</si>
  <si>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</si>
  <si>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</si>
  <si>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</si>
  <si>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</si>
  <si>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</si>
  <si>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</si>
  <si>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</si>
  <si>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</si>
  <si>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</si>
  <si>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</si>
  <si>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</si>
  <si>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</si>
  <si>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</si>
  <si>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</si>
  <si>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</si>
  <si>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</si>
  <si>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</si>
  <si>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</si>
  <si>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</si>
  <si>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</si>
  <si>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</si>
  <si>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</si>
  <si>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</si>
  <si>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</si>
  <si>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</si>
  <si>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</si>
  <si>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</si>
  <si>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</si>
  <si>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</si>
  <si>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</si>
  <si>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</si>
  <si>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</si>
  <si>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</si>
  <si>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</si>
  <si>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</si>
  <si>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</si>
  <si>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</si>
  <si>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</si>
  <si>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</si>
  <si>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</si>
  <si>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</si>
  <si>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</si>
  <si>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</si>
  <si>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</si>
  <si>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</si>
  <si>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</si>
  <si>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</si>
  <si>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</si>
  <si>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</si>
  <si>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</si>
  <si>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</si>
  <si>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</si>
  <si>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</si>
  <si>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</si>
  <si>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</si>
  <si>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</si>
  <si>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</si>
  <si>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</si>
  <si>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</si>
  <si>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</si>
  <si>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</si>
  <si>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</si>
  <si>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</si>
  <si>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</si>
  <si>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</si>
  <si>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</si>
  <si>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</si>
  <si>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</si>
  <si>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</si>
  <si>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</si>
  <si>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</si>
  <si>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</si>
  <si>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</si>
  <si>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</si>
  <si>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</si>
  <si>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</si>
  <si>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</si>
  <si>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</si>
  <si>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</si>
  <si>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</si>
  <si>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</si>
  <si>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</si>
  <si>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</si>
  <si>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rtdc.l.rtdc.4009:itc</t>
  </si>
  <si>
    <t>rtdc.l.rtdc.4010:itc</t>
  </si>
  <si>
    <t>204:519</t>
  </si>
  <si>
    <t>rtdc.l.rtdc.4049:itc</t>
  </si>
  <si>
    <t>rtdc.l.rtdc.4050:itc</t>
  </si>
  <si>
    <t>AUSTIN</t>
  </si>
  <si>
    <t>204:528</t>
  </si>
  <si>
    <t>rtdc.l.rtdc.4042:itc</t>
  </si>
  <si>
    <t>204:227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</si>
  <si>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</si>
  <si>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</si>
  <si>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</si>
  <si>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</si>
  <si>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</si>
  <si>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</si>
  <si>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</si>
  <si>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</si>
  <si>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</si>
  <si>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</si>
  <si>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</si>
  <si>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</si>
  <si>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</si>
  <si>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</si>
  <si>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</si>
  <si>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</si>
  <si>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</si>
  <si>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</si>
  <si>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</si>
  <si>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204:233270</t>
  </si>
  <si>
    <t>204:232981</t>
  </si>
  <si>
    <t>204:524</t>
  </si>
  <si>
    <t>204:233266</t>
  </si>
  <si>
    <t>ELBAUM</t>
  </si>
  <si>
    <t>MIKE</t>
  </si>
  <si>
    <t>MACDONALD</t>
  </si>
  <si>
    <t>THOMAS</t>
  </si>
  <si>
    <t>DAVID</t>
  </si>
  <si>
    <t>204:502</t>
  </si>
  <si>
    <t>204:522</t>
  </si>
  <si>
    <t>204:232959</t>
  </si>
  <si>
    <t>204:497</t>
  </si>
  <si>
    <t>204:233291</t>
  </si>
  <si>
    <t>204:232970</t>
  </si>
  <si>
    <t>204:220</t>
  </si>
  <si>
    <t>204:232979</t>
  </si>
  <si>
    <t>204:211</t>
  </si>
  <si>
    <t>204:520</t>
  </si>
  <si>
    <t>204:233295</t>
  </si>
  <si>
    <t>204:196</t>
  </si>
  <si>
    <t>204:526</t>
  </si>
  <si>
    <t>204:238</t>
  </si>
  <si>
    <t>204:269</t>
  </si>
  <si>
    <t>204:234</t>
  </si>
  <si>
    <t>204:256</t>
  </si>
  <si>
    <t>204:232943</t>
  </si>
  <si>
    <t>204:212</t>
  </si>
  <si>
    <t>300:58604</t>
  </si>
  <si>
    <t>rtdc.l.rtdc.4041:itc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</si>
  <si>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</si>
  <si>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</si>
  <si>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</si>
  <si>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</si>
  <si>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</si>
  <si>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</si>
  <si>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</si>
  <si>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</si>
  <si>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204:232934</t>
  </si>
  <si>
    <t>204:232974</t>
  </si>
  <si>
    <t>204:203</t>
  </si>
  <si>
    <t>204:216</t>
  </si>
  <si>
    <t>204:557</t>
  </si>
  <si>
    <t>204:233247</t>
  </si>
  <si>
    <t>204:515</t>
  </si>
  <si>
    <t>204:233315</t>
  </si>
  <si>
    <t>204:240</t>
  </si>
  <si>
    <t>204:535</t>
  </si>
  <si>
    <t>204:233241</t>
  </si>
  <si>
    <t>204:185</t>
  </si>
  <si>
    <t>204:449</t>
  </si>
  <si>
    <t>300:23302</t>
  </si>
  <si>
    <t>300:58924</t>
  </si>
  <si>
    <t>rtdc.l.rtdc.4056:itc</t>
  </si>
  <si>
    <t>rtdc.l.rtdc.4054:itc</t>
  </si>
  <si>
    <t>rtdc.l.rtdc.4053:itc</t>
  </si>
  <si>
    <t>LESTER</t>
  </si>
  <si>
    <t>STEWART</t>
  </si>
  <si>
    <t>DAVIS</t>
  </si>
  <si>
    <t>204:480</t>
  </si>
  <si>
    <t>204:232961</t>
  </si>
  <si>
    <t>204:161</t>
  </si>
  <si>
    <t>204:233317</t>
  </si>
  <si>
    <t>204:232996</t>
  </si>
  <si>
    <t>204:209</t>
  </si>
  <si>
    <t>204:178</t>
  </si>
  <si>
    <t>204:233236</t>
  </si>
  <si>
    <t>204:504</t>
  </si>
  <si>
    <t>204:232936</t>
  </si>
  <si>
    <t>204:473</t>
  </si>
  <si>
    <t>204:508</t>
  </si>
  <si>
    <t>204:233297</t>
  </si>
  <si>
    <t>204:232993</t>
  </si>
  <si>
    <t>204:233282</t>
  </si>
  <si>
    <t>204:486</t>
  </si>
  <si>
    <t>204:233308</t>
  </si>
  <si>
    <t>204:232913</t>
  </si>
  <si>
    <t>204:493</t>
  </si>
  <si>
    <t>204:838</t>
  </si>
  <si>
    <t>204:1156</t>
  </si>
  <si>
    <t>300:58933</t>
  </si>
  <si>
    <t>204:232942</t>
  </si>
  <si>
    <t>204:232890</t>
  </si>
  <si>
    <t>204:548</t>
  </si>
  <si>
    <t>204:165</t>
  </si>
  <si>
    <t>204:511</t>
  </si>
  <si>
    <t>204:183</t>
  </si>
  <si>
    <t>300:23304</t>
  </si>
  <si>
    <t>rtdc.l.rtdc.4040:itc</t>
  </si>
  <si>
    <t>rtdc.l.rtdc.4039:itc</t>
  </si>
  <si>
    <t>rtdc.l.rtdc.4014:itc</t>
  </si>
  <si>
    <t>237-21</t>
  </si>
  <si>
    <t>rtdc.l.rtdc.4013:itc</t>
  </si>
  <si>
    <t>236-21</t>
  </si>
  <si>
    <t>311-21</t>
  </si>
  <si>
    <t>ZEWDU</t>
  </si>
  <si>
    <t>DEREJE</t>
  </si>
  <si>
    <t>845-21</t>
  </si>
  <si>
    <t>231-21</t>
  </si>
  <si>
    <t>844-21</t>
  </si>
  <si>
    <t>228-21</t>
  </si>
  <si>
    <t>233-21</t>
  </si>
  <si>
    <t>230-21</t>
  </si>
  <si>
    <t>847-21</t>
  </si>
  <si>
    <t>232-21</t>
  </si>
  <si>
    <t>846-21</t>
  </si>
  <si>
    <t>235-21</t>
  </si>
  <si>
    <t>234-21</t>
  </si>
  <si>
    <t>849-21</t>
  </si>
  <si>
    <t>239-21</t>
  </si>
  <si>
    <t>908-21</t>
  </si>
  <si>
    <t>241-21</t>
  </si>
  <si>
    <t>238-21</t>
  </si>
  <si>
    <t>243-21</t>
  </si>
  <si>
    <t>240-21</t>
  </si>
  <si>
    <t>313-21</t>
  </si>
  <si>
    <t>242-21</t>
  </si>
  <si>
    <t>307-21</t>
  </si>
  <si>
    <t>244-21</t>
  </si>
  <si>
    <t>309-21</t>
  </si>
  <si>
    <t>204:232965</t>
  </si>
  <si>
    <t>204:145</t>
  </si>
  <si>
    <t>204:233300</t>
  </si>
  <si>
    <t>204:141</t>
  </si>
  <si>
    <t>204:469</t>
  </si>
  <si>
    <t>204:549</t>
  </si>
  <si>
    <t>204:229</t>
  </si>
  <si>
    <t>204:458</t>
  </si>
  <si>
    <t>204:482</t>
  </si>
  <si>
    <t>204:233312</t>
  </si>
  <si>
    <t>204:174</t>
  </si>
  <si>
    <t>204:163</t>
  </si>
  <si>
    <t>204:542</t>
  </si>
  <si>
    <t>204:232991</t>
  </si>
  <si>
    <t>204:488</t>
  </si>
  <si>
    <t>204:475</t>
  </si>
  <si>
    <t>204:218</t>
  </si>
  <si>
    <t>204:233325</t>
  </si>
  <si>
    <t>204:546</t>
  </si>
  <si>
    <t>204:464</t>
  </si>
  <si>
    <t>204:232879</t>
  </si>
  <si>
    <t>204:233215</t>
  </si>
  <si>
    <t>204:232904</t>
  </si>
  <si>
    <t>204:221</t>
  </si>
  <si>
    <t>204:233203</t>
  </si>
  <si>
    <t>204:233278</t>
  </si>
  <si>
    <t>204:233261</t>
  </si>
  <si>
    <t>204:232932</t>
  </si>
  <si>
    <t>204:201</t>
  </si>
  <si>
    <t>204:232952</t>
  </si>
  <si>
    <t>204:233287</t>
  </si>
  <si>
    <t>204:232</t>
  </si>
  <si>
    <t>204:233264</t>
  </si>
  <si>
    <t>204:531</t>
  </si>
  <si>
    <t>204:233225</t>
  </si>
  <si>
    <t>204:232887</t>
  </si>
  <si>
    <t>204:232955</t>
  </si>
  <si>
    <t>204:232925</t>
  </si>
  <si>
    <t>204:232947</t>
  </si>
  <si>
    <t>204:233280</t>
  </si>
  <si>
    <t>204:540</t>
  </si>
  <si>
    <t>204:232966</t>
  </si>
  <si>
    <t>204:232938</t>
  </si>
  <si>
    <t>204:149</t>
  </si>
  <si>
    <t>204:236</t>
  </si>
  <si>
    <t>300:58653</t>
  </si>
  <si>
    <t>300:58664</t>
  </si>
  <si>
    <t>300:58958</t>
  </si>
  <si>
    <t>204:453</t>
  </si>
  <si>
    <t>300:58611</t>
  </si>
  <si>
    <t>300:58645</t>
  </si>
  <si>
    <t>204:1128</t>
  </si>
  <si>
    <t>300:58931</t>
  </si>
  <si>
    <t>204:701</t>
  </si>
  <si>
    <t>204:796</t>
  </si>
  <si>
    <t>204:1111</t>
  </si>
  <si>
    <t>300:58971</t>
  </si>
  <si>
    <t>306-26</t>
  </si>
  <si>
    <t>125-26</t>
  </si>
  <si>
    <t>140-26</t>
  </si>
  <si>
    <t>147-26</t>
  </si>
  <si>
    <t>rtdc.l.rtdc.4025:itc</t>
  </si>
  <si>
    <t>1810-26</t>
  </si>
  <si>
    <t>rtdc.l.rtdc.4016:itc</t>
  </si>
  <si>
    <t>157-26</t>
  </si>
  <si>
    <t>rtdc.l.rtdc.4006:itc</t>
  </si>
  <si>
    <t>169-26</t>
  </si>
  <si>
    <t>1818-26</t>
  </si>
  <si>
    <t>189-26</t>
  </si>
  <si>
    <t>rtdc.l.rtdc.4026:itc</t>
  </si>
  <si>
    <t>1819-26</t>
  </si>
  <si>
    <t>rtdc.l.rtdc.4015:itc</t>
  </si>
  <si>
    <t>186-26</t>
  </si>
  <si>
    <t>228-26</t>
  </si>
  <si>
    <t>1833-26</t>
  </si>
  <si>
    <t>239-26</t>
  </si>
  <si>
    <t>244-25</t>
  </si>
  <si>
    <t>DELGADO</t>
  </si>
  <si>
    <t>DIANAH</t>
  </si>
  <si>
    <t>rtdc.l.rtdc.4032:itc</t>
  </si>
  <si>
    <t>307-25</t>
  </si>
  <si>
    <t>rtdc.l.rtdc.4024:itc</t>
  </si>
  <si>
    <t>309-25</t>
  </si>
  <si>
    <t>246-25</t>
  </si>
  <si>
    <t>ANDERS</t>
  </si>
  <si>
    <t>STEVEN</t>
  </si>
  <si>
    <t>311-25</t>
  </si>
  <si>
    <t>313-25</t>
  </si>
  <si>
    <t>300-26</t>
  </si>
  <si>
    <t>51-26</t>
  </si>
  <si>
    <t>HUFFSMITH</t>
  </si>
  <si>
    <t>MONTY</t>
  </si>
  <si>
    <t>101-26</t>
  </si>
  <si>
    <t>52-26</t>
  </si>
  <si>
    <t>302-26</t>
  </si>
  <si>
    <t>MAELZER</t>
  </si>
  <si>
    <t>KURT</t>
  </si>
  <si>
    <t>103-26</t>
  </si>
  <si>
    <t>304-26</t>
  </si>
  <si>
    <t>105-26</t>
  </si>
  <si>
    <t>PAGE</t>
  </si>
  <si>
    <t>MARCUS</t>
  </si>
  <si>
    <t>102-26</t>
  </si>
  <si>
    <t>308-26</t>
  </si>
  <si>
    <t>GEBRETEKLE</t>
  </si>
  <si>
    <t>DAGNEW</t>
  </si>
  <si>
    <t>107-26</t>
  </si>
  <si>
    <t>109-26</t>
  </si>
  <si>
    <t>104-26</t>
  </si>
  <si>
    <t>rtdc.l.rtdc.4005:itc</t>
  </si>
  <si>
    <t>310-26</t>
  </si>
  <si>
    <t>DONTE</t>
  </si>
  <si>
    <t>111-26</t>
  </si>
  <si>
    <t>106-26</t>
  </si>
  <si>
    <t>113-26</t>
  </si>
  <si>
    <t>1901-26</t>
  </si>
  <si>
    <t>108-26</t>
  </si>
  <si>
    <t>312-26</t>
  </si>
  <si>
    <t>LAMAR</t>
  </si>
  <si>
    <t>NEKESHA</t>
  </si>
  <si>
    <t>115-26</t>
  </si>
  <si>
    <t>110-26</t>
  </si>
  <si>
    <t>1800-26</t>
  </si>
  <si>
    <t>117-26</t>
  </si>
  <si>
    <t>119-26</t>
  </si>
  <si>
    <t>112-26</t>
  </si>
  <si>
    <t>114-26</t>
  </si>
  <si>
    <t>121-26</t>
  </si>
  <si>
    <t>1801-26</t>
  </si>
  <si>
    <t>116-26</t>
  </si>
  <si>
    <t>1802-26</t>
  </si>
  <si>
    <t>123-26</t>
  </si>
  <si>
    <t>118-26</t>
  </si>
  <si>
    <t>120-26</t>
  </si>
  <si>
    <t>127-26</t>
  </si>
  <si>
    <t>122-26</t>
  </si>
  <si>
    <t>1803-26</t>
  </si>
  <si>
    <t>124-26</t>
  </si>
  <si>
    <t>129-26</t>
  </si>
  <si>
    <t>1804-26</t>
  </si>
  <si>
    <t>131-26</t>
  </si>
  <si>
    <t>126-26</t>
  </si>
  <si>
    <t>133-26</t>
  </si>
  <si>
    <t>128-26</t>
  </si>
  <si>
    <t>135-26</t>
  </si>
  <si>
    <t>1805-26</t>
  </si>
  <si>
    <t>130-26</t>
  </si>
  <si>
    <t>137-26</t>
  </si>
  <si>
    <t>132-26</t>
  </si>
  <si>
    <t>1806-26</t>
  </si>
  <si>
    <t>139-26</t>
  </si>
  <si>
    <t>134-26</t>
  </si>
  <si>
    <t>141-26</t>
  </si>
  <si>
    <t>136-26</t>
  </si>
  <si>
    <t>138-26</t>
  </si>
  <si>
    <t>143-26</t>
  </si>
  <si>
    <t>1807-26</t>
  </si>
  <si>
    <t>145-26</t>
  </si>
  <si>
    <t>1808-26</t>
  </si>
  <si>
    <t>142-26</t>
  </si>
  <si>
    <t>149-26</t>
  </si>
  <si>
    <t>144-26</t>
  </si>
  <si>
    <t>151-26</t>
  </si>
  <si>
    <t>1809-26</t>
  </si>
  <si>
    <t>146-26</t>
  </si>
  <si>
    <t>153-26</t>
  </si>
  <si>
    <t>BADERTSCHER</t>
  </si>
  <si>
    <t>DIANE</t>
  </si>
  <si>
    <t>148-26</t>
  </si>
  <si>
    <t>155-26</t>
  </si>
  <si>
    <t>150-26</t>
  </si>
  <si>
    <t>152-26</t>
  </si>
  <si>
    <t>159-26</t>
  </si>
  <si>
    <t>154-26</t>
  </si>
  <si>
    <t>1811-26</t>
  </si>
  <si>
    <t>161-26</t>
  </si>
  <si>
    <t>156-26</t>
  </si>
  <si>
    <t>163-26</t>
  </si>
  <si>
    <t>1812-26</t>
  </si>
  <si>
    <t>158-26</t>
  </si>
  <si>
    <t>165-26</t>
  </si>
  <si>
    <t>160-26</t>
  </si>
  <si>
    <t>167-26</t>
  </si>
  <si>
    <t>1813-26</t>
  </si>
  <si>
    <t>GONZALEZ</t>
  </si>
  <si>
    <t>ARMANDO</t>
  </si>
  <si>
    <t>162-26</t>
  </si>
  <si>
    <t>164-26</t>
  </si>
  <si>
    <t>166-26</t>
  </si>
  <si>
    <t>171-26</t>
  </si>
  <si>
    <t>1814-26</t>
  </si>
  <si>
    <t>173-26</t>
  </si>
  <si>
    <t>168-26</t>
  </si>
  <si>
    <t>175-26</t>
  </si>
  <si>
    <t>1815-26</t>
  </si>
  <si>
    <t>170-26</t>
  </si>
  <si>
    <t>177-26</t>
  </si>
  <si>
    <t>172-26</t>
  </si>
  <si>
    <t>179-26</t>
  </si>
  <si>
    <t>174-26</t>
  </si>
  <si>
    <t>1816-26</t>
  </si>
  <si>
    <t>181-26</t>
  </si>
  <si>
    <t>183-26</t>
  </si>
  <si>
    <t>176-26</t>
  </si>
  <si>
    <t>178-26</t>
  </si>
  <si>
    <t>1817-26</t>
  </si>
  <si>
    <t>HOLCOMB</t>
  </si>
  <si>
    <t>KAMDEN</t>
  </si>
  <si>
    <t>185-26</t>
  </si>
  <si>
    <t>180-26</t>
  </si>
  <si>
    <t>187-26</t>
  </si>
  <si>
    <t>182-26</t>
  </si>
  <si>
    <t>75-26</t>
  </si>
  <si>
    <t>BIRENBAUM</t>
  </si>
  <si>
    <t>184-26</t>
  </si>
  <si>
    <t>191-26</t>
  </si>
  <si>
    <t>193-26</t>
  </si>
  <si>
    <t>188-26</t>
  </si>
  <si>
    <t>195-26</t>
  </si>
  <si>
    <t>1820-26</t>
  </si>
  <si>
    <t>88-26</t>
  </si>
  <si>
    <t>ROMERO</t>
  </si>
  <si>
    <t>CHAD</t>
  </si>
  <si>
    <t>197-26</t>
  </si>
  <si>
    <t>190-26</t>
  </si>
  <si>
    <t>192-26</t>
  </si>
  <si>
    <t>199-26</t>
  </si>
  <si>
    <t>194-26</t>
  </si>
  <si>
    <t>1821-26</t>
  </si>
  <si>
    <t>201-26</t>
  </si>
  <si>
    <t>196-26</t>
  </si>
  <si>
    <t>1822-26</t>
  </si>
  <si>
    <t>203-26</t>
  </si>
  <si>
    <t>198-26</t>
  </si>
  <si>
    <t>205-26</t>
  </si>
  <si>
    <t>200-26</t>
  </si>
  <si>
    <t>207-26</t>
  </si>
  <si>
    <t>202-26</t>
  </si>
  <si>
    <t>1823-26</t>
  </si>
  <si>
    <t>rtdc.l.rtdc.4002:itc</t>
  </si>
  <si>
    <t>77-26</t>
  </si>
  <si>
    <t>209-26</t>
  </si>
  <si>
    <t>211-26</t>
  </si>
  <si>
    <t>1824-26</t>
  </si>
  <si>
    <t>204-26</t>
  </si>
  <si>
    <t>70-26</t>
  </si>
  <si>
    <t>206-26</t>
  </si>
  <si>
    <t>208-26</t>
  </si>
  <si>
    <t>213-26</t>
  </si>
  <si>
    <t>215-26</t>
  </si>
  <si>
    <t>1825-26</t>
  </si>
  <si>
    <t>210-26</t>
  </si>
  <si>
    <t>217-26</t>
  </si>
  <si>
    <t>212-26</t>
  </si>
  <si>
    <t>1826-26</t>
  </si>
  <si>
    <t>219-26</t>
  </si>
  <si>
    <t>301-26</t>
  </si>
  <si>
    <t>214-26</t>
  </si>
  <si>
    <t>216-26</t>
  </si>
  <si>
    <t>221-26</t>
  </si>
  <si>
    <t>KILLION</t>
  </si>
  <si>
    <t>218-26</t>
  </si>
  <si>
    <t>303-26</t>
  </si>
  <si>
    <t>1827-26</t>
  </si>
  <si>
    <t>223-26</t>
  </si>
  <si>
    <t>220-26</t>
  </si>
  <si>
    <t>1828-26</t>
  </si>
  <si>
    <t>305-26</t>
  </si>
  <si>
    <t>222-26</t>
  </si>
  <si>
    <t>225-26</t>
  </si>
  <si>
    <t>1829-26</t>
  </si>
  <si>
    <t>224-26</t>
  </si>
  <si>
    <t>1830-26</t>
  </si>
  <si>
    <t>227-26</t>
  </si>
  <si>
    <t>226-26</t>
  </si>
  <si>
    <t>229-26</t>
  </si>
  <si>
    <t>1831-26</t>
  </si>
  <si>
    <t>231-26</t>
  </si>
  <si>
    <t>1832-26</t>
  </si>
  <si>
    <t>233-26</t>
  </si>
  <si>
    <t>230-26</t>
  </si>
  <si>
    <t>232-26</t>
  </si>
  <si>
    <t>235-26</t>
  </si>
  <si>
    <t>1834-26</t>
  </si>
  <si>
    <t>237-26</t>
  </si>
  <si>
    <t>234-26</t>
  </si>
  <si>
    <t>1835-26</t>
  </si>
  <si>
    <t>236-26</t>
  </si>
  <si>
    <t>1902-26</t>
  </si>
  <si>
    <t>241-26</t>
  </si>
  <si>
    <t>238-26</t>
  </si>
  <si>
    <t>240-26</t>
  </si>
  <si>
    <t>243-26</t>
  </si>
  <si>
    <t>313-26</t>
  </si>
  <si>
    <t>242-26</t>
  </si>
  <si>
    <t>307-26</t>
  </si>
  <si>
    <t>244-26</t>
  </si>
  <si>
    <t>309-26</t>
  </si>
  <si>
    <t>311-26</t>
  </si>
  <si>
    <t>clear-day</t>
  </si>
  <si>
    <t>204:233284</t>
  </si>
  <si>
    <t>204:18774</t>
  </si>
  <si>
    <t>204:194</t>
  </si>
  <si>
    <t>204:233174</t>
  </si>
  <si>
    <t>204:232856</t>
  </si>
  <si>
    <t>204:495</t>
  </si>
  <si>
    <t>204:233200</t>
  </si>
  <si>
    <t>204:435</t>
  </si>
  <si>
    <t>204:232969</t>
  </si>
  <si>
    <t>204:156</t>
  </si>
  <si>
    <t>204:460</t>
  </si>
  <si>
    <t>204:233184</t>
  </si>
  <si>
    <t>204:232987</t>
  </si>
  <si>
    <t>204:233301</t>
  </si>
  <si>
    <t>204:232881</t>
  </si>
  <si>
    <t>204:233263</t>
  </si>
  <si>
    <t>204:457</t>
  </si>
  <si>
    <t>204:232957</t>
  </si>
  <si>
    <t>204:181</t>
  </si>
  <si>
    <t>204:233198</t>
  </si>
  <si>
    <t>204:233293</t>
  </si>
  <si>
    <t>204:232984</t>
  </si>
  <si>
    <t>204:500</t>
  </si>
  <si>
    <t>204:233188</t>
  </si>
  <si>
    <t>204:232875</t>
  </si>
  <si>
    <t>204:233255</t>
  </si>
  <si>
    <t>204:205</t>
  </si>
  <si>
    <t>204:513</t>
  </si>
  <si>
    <t>204:232885</t>
  </si>
  <si>
    <t>204:517</t>
  </si>
  <si>
    <t>204:233190</t>
  </si>
  <si>
    <t>204:232869</t>
  </si>
  <si>
    <t>204:223</t>
  </si>
  <si>
    <t>204:172</t>
  </si>
  <si>
    <t>204:489</t>
  </si>
  <si>
    <t>204:233213</t>
  </si>
  <si>
    <t>204:232919</t>
  </si>
  <si>
    <t>204:200</t>
  </si>
  <si>
    <t>204:232962</t>
  </si>
  <si>
    <t>204:180</t>
  </si>
  <si>
    <t>204:233288</t>
  </si>
  <si>
    <t>204:233229</t>
  </si>
  <si>
    <t>204:232900</t>
  </si>
  <si>
    <t>204:233232</t>
  </si>
  <si>
    <t>204:232911</t>
  </si>
  <si>
    <t>204:233299</t>
  </si>
  <si>
    <t>204:233257</t>
  </si>
  <si>
    <t>204:233211</t>
  </si>
  <si>
    <t>204:232902</t>
  </si>
  <si>
    <t>204:154815</t>
  </si>
  <si>
    <t>204:139275</t>
  </si>
  <si>
    <t>204:167</t>
  </si>
  <si>
    <t>204:233259</t>
  </si>
  <si>
    <t>204:187</t>
  </si>
  <si>
    <t>204:176</t>
  </si>
  <si>
    <t>204:233253</t>
  </si>
  <si>
    <t>204:936</t>
  </si>
  <si>
    <t>204:233251</t>
  </si>
  <si>
    <t>204:804</t>
  </si>
  <si>
    <t>204:1086</t>
  </si>
  <si>
    <t>300:58918</t>
  </si>
  <si>
    <t>204:813</t>
  </si>
  <si>
    <t>204:1100</t>
  </si>
  <si>
    <t>300:58911</t>
  </si>
  <si>
    <t>300:58602</t>
  </si>
  <si>
    <t>204:806</t>
  </si>
  <si>
    <t>204:1112</t>
  </si>
  <si>
    <t>300:58909</t>
  </si>
  <si>
    <t>300:58608</t>
  </si>
  <si>
    <t>204:1081</t>
  </si>
  <si>
    <t>300:58926</t>
  </si>
  <si>
    <t>300:58606</t>
  </si>
  <si>
    <t>204:845</t>
  </si>
  <si>
    <t>300:57732</t>
  </si>
  <si>
    <t>300:57246</t>
  </si>
  <si>
    <t>204:831</t>
  </si>
  <si>
    <t>204:859</t>
  </si>
  <si>
    <t>204:1153</t>
  </si>
  <si>
    <t>204:1154</t>
  </si>
  <si>
    <t>204:1146</t>
  </si>
  <si>
    <t>204:899</t>
  </si>
  <si>
    <t>300:58619</t>
  </si>
  <si>
    <t>204:857</t>
  </si>
  <si>
    <t>204:1147</t>
  </si>
  <si>
    <t>204:769</t>
  </si>
  <si>
    <t>204:860</t>
  </si>
  <si>
    <t>300:58976</t>
  </si>
  <si>
    <t>300:58662</t>
  </si>
  <si>
    <t>300:58666</t>
  </si>
  <si>
    <t>204:880</t>
  </si>
  <si>
    <t>204:1125</t>
  </si>
  <si>
    <t>300:58658</t>
  </si>
  <si>
    <t>300:58673</t>
  </si>
  <si>
    <t>300:58982</t>
  </si>
  <si>
    <t>204:233281</t>
  </si>
  <si>
    <t>204:778</t>
  </si>
  <si>
    <t>204:976</t>
  </si>
  <si>
    <t>204:1913</t>
  </si>
  <si>
    <t>204:799</t>
  </si>
  <si>
    <t>204:233285</t>
  </si>
  <si>
    <t>300:25434</t>
  </si>
  <si>
    <t>300:27524</t>
  </si>
  <si>
    <t>204:232928</t>
  </si>
  <si>
    <t>204:233209</t>
  </si>
  <si>
    <t>204:555</t>
  </si>
  <si>
    <t>204:233195</t>
  </si>
  <si>
    <t>204:285</t>
  </si>
  <si>
    <t>204:233228</t>
  </si>
  <si>
    <t>204:233006</t>
  </si>
  <si>
    <t>204:232946</t>
  </si>
  <si>
    <t>204:593</t>
  </si>
  <si>
    <t>204:247</t>
  </si>
  <si>
    <t>204:233274</t>
  </si>
  <si>
    <t>204:232949</t>
  </si>
  <si>
    <t>204:580</t>
  </si>
  <si>
    <t>204:262</t>
  </si>
  <si>
    <t>204:539</t>
  </si>
  <si>
    <t>204:233028</t>
  </si>
  <si>
    <t>204:242</t>
  </si>
  <si>
    <t>204:233276</t>
  </si>
  <si>
    <t>204:232980</t>
  </si>
  <si>
    <t>204:245</t>
  </si>
  <si>
    <t>204:232923</t>
  </si>
  <si>
    <t>204:562</t>
  </si>
  <si>
    <t>204:127863</t>
  </si>
  <si>
    <t>204:260</t>
  </si>
  <si>
    <t>204:588</t>
  </si>
  <si>
    <t>204:232888</t>
  </si>
  <si>
    <t>300:23572</t>
  </si>
  <si>
    <t>300:22930</t>
  </si>
  <si>
    <t>204:606</t>
  </si>
  <si>
    <t>300:23312</t>
  </si>
  <si>
    <t>300:19592</t>
  </si>
  <si>
    <t>204:191</t>
  </si>
  <si>
    <t>300:23286</t>
  </si>
  <si>
    <t>204:2610</t>
  </si>
  <si>
    <t>300:23480</t>
  </si>
  <si>
    <t>204:4526</t>
  </si>
  <si>
    <t>300:23301</t>
  </si>
  <si>
    <t>300:23703</t>
  </si>
  <si>
    <t>204:130</t>
  </si>
  <si>
    <t>300:23521</t>
  </si>
  <si>
    <t>300:22276</t>
  </si>
  <si>
    <t>204:570</t>
  </si>
  <si>
    <t>204:3431</t>
  </si>
  <si>
    <t>204:3074</t>
  </si>
  <si>
    <t>204:1160</t>
  </si>
  <si>
    <t>300:23815</t>
  </si>
  <si>
    <t>204:1256</t>
  </si>
  <si>
    <t>204:1473</t>
  </si>
  <si>
    <t>204:3501</t>
  </si>
  <si>
    <t>204:3177</t>
  </si>
  <si>
    <t>300:23346</t>
  </si>
  <si>
    <t>204:1253</t>
  </si>
  <si>
    <t>start /low /b %USERPROFILE%\Documents\GitHub\eaglep3\Utilities\DownloadLogsFromS3.py --loco 4015 --day 2017-11-26</t>
  </si>
  <si>
    <t>start /low /b %USERPROFILE%\Documents\GitHub\eaglep3\Utilities\DownloadLogsFromS3.py --loco 4041 --day 2017-11-26</t>
  </si>
  <si>
    <t>start /low /b %USERPROFILE%\Documents\GitHub\eaglep3\Utilities\DownloadLogsFromS3.py --loco 4006 --day 2017-11-26</t>
  </si>
  <si>
    <t>start /low /b %USERPROFILE%\Documents\GitHub\eaglep3\Utilities\DownloadLogsFromS3.py --loco 4007 --day 2017-11-27</t>
  </si>
  <si>
    <t>start /low /b %USERPROFILE%\Documents\GitHub\eaglep3\Utilities\DownloadLogsFromS3.py --loco 4025 --day 2017-11-26</t>
  </si>
  <si>
    <t>start /low /b %USERPROFILE%\Documents\GitHub\eaglep3\Utilities\DownloadLogsFromS3.py --loco 4026 --day 2017-11-26</t>
  </si>
  <si>
    <t>start /low /b %USERPROFILE%\Documents\GitHub\eaglep3\Utilities\DownloadLogsFromS3.py --loco 4042 --day 2017-11-26</t>
  </si>
  <si>
    <t>start /low /b %USERPROFILE%\Documents\GitHub\eaglep3\Utilities\DownloadLogsFromS3.py --loco 4016 --day 2017-11-27</t>
  </si>
  <si>
    <t>start /low /b %USERPROFILE%\Documents\GitHub\eaglep3\Utilities\DownloadLogsFromS3.py --loco 4008 --day 2017-11-26</t>
  </si>
  <si>
    <t>start /low /b %USERPROFILE%\Documents\GitHub\eaglep3\Utilities\DownloadLogsFromS3.py --loco 4016 --day 2017-11-26</t>
  </si>
  <si>
    <t>start /low /b %USERPROFILE%\Documents\GitHub\eaglep3\Utilities\DownloadLogsFromS3.py --loco 4059 --day 2017-11-27</t>
  </si>
  <si>
    <t>start /low /b %USERPROFILE%\Documents\GitHub\eaglep3\Utilities\DownloadLogsFromS3.py --loco 4026 --day 2017-11-27</t>
  </si>
  <si>
    <t>Onboard in-route failure</t>
  </si>
  <si>
    <t>Wi-MAX data drop</t>
  </si>
  <si>
    <t>204:232953</t>
  </si>
  <si>
    <t>204:233223</t>
  </si>
  <si>
    <t>204:232908</t>
  </si>
  <si>
    <t>204:254</t>
  </si>
  <si>
    <t>204:232929</t>
  </si>
  <si>
    <t>204:271</t>
  </si>
  <si>
    <t>204:553</t>
  </si>
  <si>
    <t>204:233240</t>
  </si>
  <si>
    <t>204:232921</t>
  </si>
  <si>
    <t>Poor GPS at DIA</t>
  </si>
  <si>
    <t>204:1196</t>
  </si>
  <si>
    <t>204:1079</t>
  </si>
  <si>
    <t>300:58963</t>
  </si>
  <si>
    <t>204:1149</t>
  </si>
  <si>
    <t>204:1109</t>
  </si>
  <si>
    <t>300:58978</t>
  </si>
  <si>
    <t>204:1042</t>
  </si>
  <si>
    <t>300:58986</t>
  </si>
  <si>
    <t>204:1083</t>
  </si>
  <si>
    <t>300:58984</t>
  </si>
  <si>
    <t>Onboard in-route failure delayed departure</t>
  </si>
  <si>
    <t>Poor GPS at DUS</t>
  </si>
  <si>
    <t>Chambers 2N STOP</t>
  </si>
  <si>
    <t>Poor GPS @ Wewatta</t>
  </si>
  <si>
    <t>Poor GPS @ DUS</t>
  </si>
  <si>
    <t>Brief Wi-MAX data drop caused unhealthy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</si>
</sst>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43065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43065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COUNTIFS($N$13:$N$9550,"&gt;0",$AG$13:$AG$9550,I1)</f>
        <v>141</v>
      </c>
      <c r="K5" s="39"/>
      <c r="L5" s="171"/>
      <c r="M5" s="40">
        <f>AVERAGEIFS($N$13:$N$9550,$AG$13:$AG$9550,I1)</f>
        <v>37.43167848663127</v>
      </c>
      <c r="N5" s="38">
        <f t="array" ref="N5">MIN(IF($AG$13:$AG$9550=I1,IF(ISNUMBER($N$13:$N$9550),IF($N$13:$N$9550&gt;0,$N$13:$N$9550))))</f>
        <v>33.900000003632158</v>
      </c>
      <c r="O5" s="3">
        <f t="array" ref="O5">MAX(IF($AG$13:$AG$9550=I1,IF(ISNUMBER($N$13:$N$9550),IF($N$13:$N$9550&gt;0,$N$13:$N$9550))))</f>
        <v>47.683333331951872</v>
      </c>
      <c r="P5" s="2"/>
      <c r="R5" s="162" t="s">
        <v>17</v>
      </c>
      <c r="S5" s="206">
        <f>COUNTIFS($N$13:$N$9550,"&gt;0",$AG$13:$AG$9550,R1)</f>
        <v>34</v>
      </c>
      <c r="T5" s="171"/>
      <c r="U5" s="194"/>
      <c r="V5" s="210">
        <f>AVERAGEIFS($N$13:$N$9550,$AG$13:$AG$9550,R1)</f>
        <v>13.747058822670677</v>
      </c>
      <c r="W5" s="211">
        <f t="array" ref="W5">MIN(IF($AG$13:$AG$9550=R1,IF(ISNUMBER($N$13:$N$9550),IF($N$13:$N$9550&gt;0,$N$13:$N$9550))))</f>
        <v>12.133333330275491</v>
      </c>
      <c r="X5" s="199">
        <f t="array" ref="X5">MAX(IF($AG$13:$AG$9550=R1,IF(ISNUMBER($N$13:$N$9550),IF($N$13:$N$9550&gt;0,$N$13:$N$9550))))</f>
        <v>16.066666671540588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COUNT($O$13:$O$308)</f>
        <v>0</v>
      </c>
      <c r="K6" s="39"/>
      <c r="L6" s="171"/>
      <c r="M6" s="40">
        <f>IFERROR(AVERAGE($O$13:$O$308),0)</f>
        <v>0</v>
      </c>
      <c r="N6" s="38">
        <f>MIN($O$13:$O$308)</f>
        <v>0</v>
      </c>
      <c r="O6" s="3">
        <f>MAX($O$13:$O$308)</f>
        <v>0</v>
      </c>
      <c r="P6" s="2"/>
      <c r="R6" s="163" t="s">
        <v>43</v>
      </c>
      <c r="S6" s="206">
        <f>COUNT($O$13:$O$308)</f>
        <v>0</v>
      </c>
      <c r="T6" s="171"/>
      <c r="U6" s="194"/>
      <c r="V6" s="210">
        <f>IFERROR(AVERAGE($O$13:$O$308),0)</f>
        <v>0</v>
      </c>
      <c r="W6" s="211">
        <f>MIN($O$13:$O$308)</f>
        <v>0</v>
      </c>
      <c r="X6" s="199">
        <f>MAX($O$13:$O$308)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COUNTIFS($P$13:$P$9550,"&gt;0",$AG$13:$AG$9550,I1)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COUNTIFS($P$13:$P$9550,"&gt;0",$AG$13:$AG$9550,R1)</f>
        <v>2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37.43167848663127</v>
      </c>
      <c r="N8" s="38">
        <f>N5</f>
        <v>33.900000003632158</v>
      </c>
      <c r="O8" s="3">
        <f>O5</f>
        <v>47.683333331951872</v>
      </c>
      <c r="P8" s="2"/>
      <c r="R8" s="162" t="s">
        <v>16</v>
      </c>
      <c r="S8" s="206">
        <f>S5</f>
        <v>34</v>
      </c>
      <c r="T8" s="171"/>
      <c r="U8" s="194"/>
      <c r="V8" s="210">
        <f>V5</f>
        <v>13.747058822670677</v>
      </c>
      <c r="W8" s="211">
        <f>W5</f>
        <v>12.133333330275491</v>
      </c>
      <c r="X8" s="199">
        <f>X5</f>
        <v>16.066666671540588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0.94444444444444442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- 2017-11-26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AVERAGE(S13:S125)</f>
        <v>0.99099099099099097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686</v>
      </c>
      <c r="B13" s="7">
        <v>4042</v>
      </c>
      <c r="C13" s="21" t="s">
        <v>192</v>
      </c>
      <c r="D13" s="21" t="s">
        <v>649</v>
      </c>
      <c r="E13" s="13">
        <v>43065.132824074077</v>
      </c>
      <c r="F13" s="13">
        <v>43065.136342592596</v>
      </c>
      <c r="G13" s="7">
        <v>62</v>
      </c>
      <c r="H13" s="21" t="s">
        <v>487</v>
      </c>
      <c r="I13" s="13">
        <v>43065.16097222222</v>
      </c>
      <c r="J13" s="7">
        <v>0</v>
      </c>
      <c r="K13" s="89" t="str">
        <f t="shared" ref="K13:K44" si="0">IF(ISEVEN(B13),(B13-1)&amp;"/"&amp;B13,B13&amp;"/"&amp;(B13+1))</f>
        <v>4041/4042</v>
      </c>
      <c r="L13" s="184" t="str">
        <f>VLOOKUP(A13,'Trips&amp;Operators'!$C$1:$G$99911,5,FALSE)</f>
        <v>THOMPSON LESTER</v>
      </c>
      <c r="M13" s="6">
        <f t="shared" ref="M13:M44" si="1">I13-F13</f>
        <v>2.4629629624541849E-2</v>
      </c>
      <c r="N13" s="7">
        <f t="shared" ref="N13:P44" si="2">24*60*SUM($M13:$M13)</f>
        <v>35.466666659340262</v>
      </c>
      <c r="O13" s="7"/>
      <c r="P13" s="7"/>
      <c r="Q13" s="22"/>
      <c r="R13" s="166"/>
      <c r="S13" s="250">
        <f t="shared" ref="S13:S44" si="3">1/IF(AG13="EC",12,1)*SUM(U13:U13)</f>
        <v>1</v>
      </c>
      <c r="T13" s="173" t="str">
        <f t="shared" ref="T13:T44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4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-26T02:11:16-0700',mode:absolute,to:'2017-11-26T04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0.1111</v>
      </c>
      <c r="Z13" s="203">
        <f t="shared" ref="Z13:Z44" si="8">RIGHT(H13,LEN(H13)-4)/10000</f>
        <v>23.3291</v>
      </c>
      <c r="AA13" s="203">
        <f t="shared" ref="AA13:AA44" si="9">ABS(Z13-Y13)</f>
        <v>23.218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44" si="10">VALUE(LEFT(A13,LEN(A13)-3))</f>
        <v>101</v>
      </c>
      <c r="AE13" s="77" t="str">
        <f t="shared" ref="AE13:AE44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13" s="74" t="str">
        <f t="shared" ref="AF13:AF44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/stypes="app*4042*20171126*" /stext=" 10:.+((SYSTEM_STATE.+slice.+state.+changed )|(ment ac)|(multiple cpu faults)|(system.+state.+changed )|(\[timeout)|(PRM\|1\|D)|(kpr)|(kdp)|(train st.+moving)|(\|lc)|(penalty))"</v>
      </c>
      <c r="AG13" s="181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4042 --swversion DE.1.0.9.0 --startMP 204:1111 --initTime 2017-11-26T03:11:16 --startdatetime 2017-11-26T03:16:20 --delay 62 --endMP 204:233291 --enddatetime 2017-11-26T03:51:48 --enforcementcount 0 &gt;&gt;%USERPROFILE%\Documents\GitHub\eaglep3-reporting\EC\2017-11-26-refined-times.txt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{"issue":{"subject":"","project_id":79,"tracker_id":40,"status_id":1,"priority_id":2,"assigned_to_id":338,"start_date":"2017-11-26","description":"","custom_fields":[{"id":1,"name":"Subdivision","value":"EC"},{"id":4,"name":"Milepost","value":"23.3291"},{"id":17,"name":"Train ID","value":"101-26"},{"id":16,"name":"Locomotive ID","value":"4042"},{"id":130,"name":"Impact","value":""},{"id":150,"name":"Time of Event (Mountain Time)","value":"03:51:48"},{"id":151,"name":"Denver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4042 --day 2017-11-26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-26T02:11:16-0700',mode:absolute,to:'2017-11-26T04:51:48-0700'))&amp;_a=(columns:!('Message%20ID',Summary),filters:!(),index:'emp_*',interval:auto,query:(query_string:(analyze_wildcard:!t,query:'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696</v>
      </c>
      <c r="B14" s="226">
        <v>4041</v>
      </c>
      <c r="C14" s="228" t="s">
        <v>192</v>
      </c>
      <c r="D14" s="228" t="s">
        <v>594</v>
      </c>
      <c r="E14" s="227">
        <v>43065.173506944448</v>
      </c>
      <c r="F14" s="227">
        <v>43065.175185185188</v>
      </c>
      <c r="G14" s="226">
        <v>71</v>
      </c>
      <c r="H14" s="228" t="s">
        <v>597</v>
      </c>
      <c r="I14" s="227">
        <v>43065.20208333333</v>
      </c>
      <c r="J14" s="226">
        <v>0</v>
      </c>
      <c r="K14" s="238" t="str">
        <f t="shared" si="0"/>
        <v>4041/4042</v>
      </c>
      <c r="L14" s="246" t="str">
        <f>VLOOKUP(A14,'Trips&amp;Operators'!$C$1:$G$99911,5,FALSE)</f>
        <v>THOMPSON LESTER</v>
      </c>
      <c r="M14" s="225">
        <f t="shared" si="1"/>
        <v>2.6898148142208811E-2</v>
      </c>
      <c r="N14" s="226">
        <f t="shared" si="2"/>
        <v>38.733333324780688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-26T03:09:51-0700',mode:absolute,to:'2017-11-26T05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23.296500000000002</v>
      </c>
      <c r="Z14" s="248">
        <f t="shared" si="8"/>
        <v>1.41E-2</v>
      </c>
      <c r="AA14" s="248">
        <f t="shared" si="9"/>
        <v>23.282400000000003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14" s="235" t="str">
        <f t="shared" si="12"/>
        <v>"C:\Program Files (x86)\AstroGrep\AstroGrep.exe" /e /r /s /spath="%USERPROFILE%\AppData\Local\Temp\OnboardLogs" /stypes="app*4041*20171126*"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4041 --swversion DE.1.0.9.0 --startMP 204:232965 --initTime 2017-11-26T04:09:51 --startdatetime 2017-11-26T04:12:16 --delay 71 --endMP 204:141 --enddatetime 2017-11-26T04:51:00 --enforcementcount 0 &gt;&gt;%USERPROFILE%\Documents\GitHub\eaglep3-reporting\EC\2017-11-26-refined-times.txt</v>
      </c>
      <c r="AI14" s="23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{"issue":{"subject":"","project_id":79,"tracker_id":40,"status_id":1,"priority_id":2,"assigned_to_id":338,"start_date":"2017-11-26","description":"","custom_fields":[{"id":1,"name":"Subdivision","value":"EC"},{"id":4,"name":"Milepost","value":"0.0141"},{"id":17,"name":"Train ID","value":"102-26"},{"id":16,"name":"Locomotive ID","value":"4041"},{"id":130,"name":"Impact","value":""},{"id":150,"name":"Time of Event (Mountain Time)","value":"04:51:00"},{"id":151,"name":"Denver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6" si="21">"start /low /b "&amp;dls3logs&amp;" --loco "&amp;B14&amp;" --day "&amp;TEXT(F14,"YYYY-MM-DD")</f>
        <v>start /low /b %USERPROFILE%\Documents\GitHub\eaglep3\Utilities\DownloadLogsFromS3.py --loco 4041 --day 2017-11-26</v>
      </c>
      <c r="AN14" s="242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-26T03:09:51-0700',mode:absolute,to:'2017-11-26T05:51:00-0700'))&amp;_a=(columns:!('Message%20ID',Summary),filters:!(),index:'emp_*',interval:auto,query:(query_string:(analyze_wildcard:!t,query:'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691</v>
      </c>
      <c r="B15" s="226">
        <v>4016</v>
      </c>
      <c r="C15" s="228" t="s">
        <v>192</v>
      </c>
      <c r="D15" s="228" t="s">
        <v>551</v>
      </c>
      <c r="E15" s="227">
        <v>43065.154108796298</v>
      </c>
      <c r="F15" s="227">
        <v>43065.156435185185</v>
      </c>
      <c r="G15" s="226">
        <v>57</v>
      </c>
      <c r="H15" s="228" t="s">
        <v>894</v>
      </c>
      <c r="I15" s="227">
        <v>43065.180972222224</v>
      </c>
      <c r="J15" s="226">
        <v>0</v>
      </c>
      <c r="K15" s="238" t="str">
        <f t="shared" si="0"/>
        <v>4015/4016</v>
      </c>
      <c r="L15" s="246" t="str">
        <f>VLOOKUP(A15,'Trips&amp;Operators'!$C$1:$G$99911,5,FALSE)</f>
        <v>MAELZER KURT</v>
      </c>
      <c r="M15" s="225">
        <f t="shared" si="1"/>
        <v>2.453703703940846E-2</v>
      </c>
      <c r="N15" s="226">
        <f t="shared" si="2"/>
        <v>35.333333336748183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-26T02:41:55-0700',mode:absolute,to:'2017-11-26T05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4.9299999999999997E-2</v>
      </c>
      <c r="Z15" s="248">
        <f t="shared" si="8"/>
        <v>23.328399999999998</v>
      </c>
      <c r="AA15" s="248">
        <f t="shared" si="9"/>
        <v>23.2791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15" s="235" t="str">
        <f t="shared" si="12"/>
        <v>"C:\Program Files (x86)\AstroGrep\AstroGrep.exe" /e /r /s /spath="%USERPROFILE%\AppData\Local\Temp\OnboardLogs" /stypes="app*4016*20171126*"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103-26 --locoid 4016 --swversion DE.1.0.9.0 --startMP 204:493 --initTime 2017-11-26T03:41:55 --startdatetime 2017-11-26T03:45:16 --delay 57 --endMP 204:233284 --enddatetime 2017-11-26T04:20:36 --enforcementcount 0 &gt;&gt;%USERPROFILE%\Documents\GitHub\eaglep3-reporting\EC\2017-11-26-refined-times.txt</v>
      </c>
      <c r="AI1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{"issue":{"subject":"","project_id":79,"tracker_id":40,"status_id":1,"priority_id":2,"assigned_to_id":338,"start_date":"2017-11-26","description":"","custom_fields":[{"id":1,"name":"Subdivision","value":"EC"},{"id":4,"name":"Milepost","value":"23.3284"},{"id":17,"name":"Train ID","value":"103-26"},{"id":16,"name":"Locomotive ID","value":"4016"},{"id":130,"name":"Impact","value":""},{"id":150,"name":"Time of Event (Mountain Time)","value":"04:20:36"},{"id":151,"name":"Denver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4016 --day 2017-11-26</v>
      </c>
      <c r="AN1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11:20:36"},{"id":29,"name":"Sharepoint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-26T02:41:55-0700',mode:absolute,to:'2017-11-26T05:20:36-0700'))&amp;_a=(columns:!('Message%20ID',Summary),filters:!(),index:'emp_*',interval:auto,query:(query_string:(analyze_wildcard:!t,query:'%22rtdc.l.rtdc.4016%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702</v>
      </c>
      <c r="B16" s="226">
        <v>4015</v>
      </c>
      <c r="C16" s="228" t="s">
        <v>192</v>
      </c>
      <c r="D16" s="228" t="s">
        <v>895</v>
      </c>
      <c r="E16" s="227">
        <v>43065.193344907406</v>
      </c>
      <c r="F16" s="227">
        <v>43065.220289351855</v>
      </c>
      <c r="G16" s="226">
        <v>55</v>
      </c>
      <c r="H16" s="228" t="s">
        <v>896</v>
      </c>
      <c r="I16" s="227">
        <v>43065.224166666667</v>
      </c>
      <c r="J16" s="226">
        <v>0</v>
      </c>
      <c r="K16" s="238" t="str">
        <f t="shared" si="0"/>
        <v>4015/4016</v>
      </c>
      <c r="L16" s="246" t="str">
        <f>VLOOKUP(A16,'Trips&amp;Operators'!$C$1:$G$99911,5,FALSE)</f>
        <v>MAELZER KURT</v>
      </c>
      <c r="M16" s="225">
        <f t="shared" si="1"/>
        <v>3.8773148116888478E-3</v>
      </c>
      <c r="N16" s="226"/>
      <c r="O16" s="226"/>
      <c r="P16" s="226">
        <f t="shared" si="2"/>
        <v>5.5833333288319409</v>
      </c>
      <c r="Q16" s="229"/>
      <c r="R16" s="243" t="s">
        <v>1060</v>
      </c>
      <c r="S16" s="250">
        <f t="shared" si="3"/>
        <v>0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-26T03:38:25-0700',mode:absolute,to:'2017-11-26T06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48" t="str">
        <f>IF(AA16&lt;VLOOKUP(AG16,Variables!$AC$3:$AD$8,2,FALSE),"Y","N")</f>
        <v>Y</v>
      </c>
      <c r="X16" s="248">
        <f t="shared" si="6"/>
        <v>1</v>
      </c>
      <c r="Y16" s="248">
        <f t="shared" si="7"/>
        <v>1.8774</v>
      </c>
      <c r="Z16" s="248">
        <f t="shared" si="8"/>
        <v>1.9400000000000001E-2</v>
      </c>
      <c r="AA16" s="248">
        <f t="shared" si="9"/>
        <v>1.8579999999999999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6" s="235" t="str">
        <f t="shared" si="12"/>
        <v>"C:\Program Files (x86)\AstroGrep\AstroGrep.exe" /e /r /s /spath="%USERPROFILE%\AppData\Local\Temp\OnboardLogs" /stypes="app*4015*20171126*"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104-26 --locoid 4015 --swversion DE.1.0.9.0 --startMP 204:18774 --initTime 2017-11-26T04:38:25 --startdatetime 2017-11-26T05:17:13 --delay 55 --endMP 204:194 --enddatetime 2017-11-26T05:22:48 --enforcementcount 0 &gt;&gt;%USERPROFILE%\Documents\GitHub\eaglep3-reporting\EC\2017-11-26-refined-times.txt</v>
      </c>
      <c r="AI16" s="239" t="str">
        <f t="shared" si="20"/>
        <v>echo {"issue":{"subject":"Onboard in-route failure","project_id":79,"tracker_id":40,"status_id":1,"priority_id":2,"assigned_to_id":338,"start_date":"2017-11-26","description":"","custom_fields":[{"id":1,"name":"Subdivision","value":"EC"},{"id":4,"name":"Milepost","value":"0.0194"},{"id":17,"name":"Train ID","value":"104-26"},{"id":16,"name":"Locomotive ID","value":"4015"},{"id":130,"name":"Impact","value":""},{"id":150,"name":"Time of Event (Mountain Time)","value":"05:22:48"},{"id":151,"name":"Denver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4015 --day 2017-11-26</v>
      </c>
      <c r="AN16" s="242" t="str">
        <f t="shared" si="22"/>
        <v>echo {"issue":{"subject":"Onboard in-route failure","project_id":30,"tracker_id":4,"status_id":1,"priority_id":1,"assigned_to_id":10,"start_date":"2017-11-26","description":"","custom_fields":[{"id":30,"name":"Category","value":"Issue"},{"id":3,"name":"Functional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-26T03:38:25-0700',mode:absolute,to:'2017-11-26T06:22:48-0700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702</v>
      </c>
      <c r="B17" s="226">
        <v>4015</v>
      </c>
      <c r="C17" s="228" t="s">
        <v>192</v>
      </c>
      <c r="D17" s="228" t="s">
        <v>895</v>
      </c>
      <c r="E17" s="227">
        <v>43065.219155092593</v>
      </c>
      <c r="F17" s="227">
        <v>43065.220289351855</v>
      </c>
      <c r="G17" s="226">
        <v>54</v>
      </c>
      <c r="H17" s="228" t="s">
        <v>896</v>
      </c>
      <c r="I17" s="227">
        <v>43065.224166666667</v>
      </c>
      <c r="J17" s="226">
        <v>0</v>
      </c>
      <c r="K17" s="238" t="str">
        <f t="shared" si="0"/>
        <v>4015/4016</v>
      </c>
      <c r="L17" s="246" t="str">
        <f>VLOOKUP(A17,'Trips&amp;Operators'!$C$1:$G$99911,5,FALSE)</f>
        <v>MAELZER KURT</v>
      </c>
      <c r="M17" s="225">
        <f t="shared" si="1"/>
        <v>3.8773148116888478E-3</v>
      </c>
      <c r="N17" s="226"/>
      <c r="O17" s="226"/>
      <c r="P17" s="226"/>
      <c r="Q17" s="229"/>
      <c r="R17" s="243"/>
      <c r="S17" s="250"/>
      <c r="T17" s="243" t="str">
        <f t="shared" si="4"/>
        <v>Southbound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-26T04:15:35-0700',mode:absolute,to:'2017-11-26T06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" s="248" t="str">
        <f>IF(AA17&lt;VLOOKUP(AG17,Variables!$AC$3:$AD$8,2,FALSE),"Y","N")</f>
        <v>Y</v>
      </c>
      <c r="X17" s="248">
        <f t="shared" si="6"/>
        <v>0</v>
      </c>
      <c r="Y17" s="248">
        <f t="shared" si="7"/>
        <v>1.8774</v>
      </c>
      <c r="Z17" s="248">
        <f t="shared" si="8"/>
        <v>1.9400000000000001E-2</v>
      </c>
      <c r="AA17" s="248">
        <f t="shared" si="9"/>
        <v>1.8579999999999999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104</v>
      </c>
      <c r="AE17" s="236" t="str">
        <f t="shared" si="11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7" s="235" t="str">
        <f t="shared" si="12"/>
        <v>"C:\Program Files (x86)\AstroGrep\AstroGrep.exe" /e /r /s /spath="%USERPROFILE%\AppData\Local\Temp\OnboardLogs" /stypes="app*4015*20171126*" /stext=" 12:.+((SYSTEM_STATE.+slice.+state.+changed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104-26 --locoid 4015 --swversion DE.1.0.9.0 --startMP 204:18774 --initTime 2017-11-26T05:15:35 --startdatetime 2017-11-26T05:17:13 --delay 54 --endMP 204:194 --enddatetime 2017-11-26T05:22:48 --enforcementcount 0 &gt;&gt;%USERPROFILE%\Documents\GitHub\eaglep3-reporting\EC\2017-11-26-refined-times.txt</v>
      </c>
      <c r="AI17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{"issue":{"subject":"","project_id":79,"tracker_id":40,"status_id":1,"priority_id":2,"assigned_to_id":338,"start_date":"2017-11-26","description":"","custom_fields":[{"id":1,"name":"Subdivision","value":"EC"},{"id":4,"name":"Milepost","value":"0.0194"},{"id":17,"name":"Train ID","value":"104-26"},{"id":16,"name":"Locomotive ID","value":"4015"},{"id":130,"name":"Impact","value":""},{"id":150,"name":"Time of Event (Mountain Time)","value":"05:22:48"},{"id":151,"name":"Denver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4015 --day 2017-11-26</v>
      </c>
      <c r="AN17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-26T04:15:35-0700',mode:absolute,to:'2017-11-26T06:22:48-0700'))&amp;_a=(columns:!('Message%20ID',Summary),filters:!(),index:'emp_*',interval:auto,query:(query_string:(analyze_wildcard:!t,query:'%22rtdc.l.rtdc.4015%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693</v>
      </c>
      <c r="B18" s="226">
        <v>4008</v>
      </c>
      <c r="C18" s="228" t="s">
        <v>192</v>
      </c>
      <c r="D18" s="228" t="s">
        <v>599</v>
      </c>
      <c r="E18" s="227">
        <v>43065.165532407409</v>
      </c>
      <c r="F18" s="227">
        <v>43065.177256944444</v>
      </c>
      <c r="G18" s="226">
        <v>94</v>
      </c>
      <c r="H18" s="228" t="s">
        <v>897</v>
      </c>
      <c r="I18" s="227">
        <v>43065.20107638889</v>
      </c>
      <c r="J18" s="226">
        <v>0</v>
      </c>
      <c r="K18" s="238" t="str">
        <f t="shared" si="0"/>
        <v>4007/4008</v>
      </c>
      <c r="L18" s="246" t="str">
        <f>VLOOKUP(A18,'Trips&amp;Operators'!$C$1:$G$99911,5,FALSE)</f>
        <v>LOPES KIMBERLY</v>
      </c>
      <c r="M18" s="225">
        <f t="shared" si="1"/>
        <v>2.3819444446417037E-2</v>
      </c>
      <c r="N18" s="226">
        <f t="shared" si="2"/>
        <v>34.300000002840534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NorthBound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-26T02:58:22-0700',mode:absolute,to:'2017-11-26T05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5.4899999999999997E-2</v>
      </c>
      <c r="Z18" s="248">
        <f t="shared" si="8"/>
        <v>23.317399999999999</v>
      </c>
      <c r="AA18" s="248">
        <f t="shared" si="9"/>
        <v>23.262499999999999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105</v>
      </c>
      <c r="AE18" s="236" t="str">
        <f t="shared" si="11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18" s="235" t="str">
        <f t="shared" si="12"/>
        <v>"C:\Program Files (x86)\AstroGrep\AstroGrep.exe" /e /r /s /spath="%USERPROFILE%\AppData\Local\Temp\OnboardLogs" /stypes="app*4008*20171126*" /stext=" 11:.+((SYSTEM_STATE.+slice.+state.+changed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105-26 --locoid 4008 --swversion DE.1.0.9.0 --startMP 204:549 --initTime 2017-11-26T03:58:22 --startdatetime 2017-11-26T04:15:15 --delay 94 --endMP 204:233174 --enddatetime 2017-11-26T04:49:33 --enforcementcount 0 &gt;&gt;%USERPROFILE%\Documents\GitHub\eaglep3-reporting\EC\2017-11-26-refined-times.txt</v>
      </c>
      <c r="AI18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{"issue":{"subject":"","project_id":79,"tracker_id":40,"status_id":1,"priority_id":2,"assigned_to_id":338,"start_date":"2017-11-26","description":"","custom_fields":[{"id":1,"name":"Subdivision","value":"EC"},{"id":4,"name":"Milepost","value":"23.3174"},{"id":17,"name":"Train ID","value":"105-26"},{"id":16,"name":"Locomotive ID","value":"4008"},{"id":130,"name":"Impact","value":""},{"id":150,"name":"Time of Event (Mountain Time)","value":"04:49:33"},{"id":151,"name":"Denver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4008 --day 2017-11-26</v>
      </c>
      <c r="AN18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11:49:33"},{"id":29,"name":"Sharepoint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-26T02:58:22-0700',mode:absolute,to:'2017-11-26T05:49:33-0700'))&amp;_a=(columns:!('Message%20ID',Summary),filters:!(),index:'emp_*',interval:auto,query:(query_string:(analyze_wildcard:!t,query:'%22rtdc.l.rtdc.4008%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707</v>
      </c>
      <c r="B19" s="226">
        <v>4007</v>
      </c>
      <c r="C19" s="228" t="s">
        <v>192</v>
      </c>
      <c r="D19" s="228" t="s">
        <v>898</v>
      </c>
      <c r="E19" s="227">
        <v>43065.206793981481</v>
      </c>
      <c r="F19" s="227">
        <v>43065.216840277775</v>
      </c>
      <c r="G19" s="226">
        <v>56</v>
      </c>
      <c r="H19" s="228" t="s">
        <v>445</v>
      </c>
      <c r="I19" s="227">
        <v>43065.242488425924</v>
      </c>
      <c r="J19" s="226">
        <v>0</v>
      </c>
      <c r="K19" s="238" t="str">
        <f t="shared" si="0"/>
        <v>4007/4008</v>
      </c>
      <c r="L19" s="246" t="str">
        <f>VLOOKUP(A19,'Trips&amp;Operators'!$C$1:$G$99911,5,FALSE)</f>
        <v>LOPES KIMBERLY</v>
      </c>
      <c r="M19" s="225">
        <f t="shared" si="1"/>
        <v>2.5648148148320615E-2</v>
      </c>
      <c r="N19" s="226">
        <f t="shared" si="2"/>
        <v>36.933333333581686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Southbound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-26T03:57:47-0700',mode:absolute,to:'2017-11-26T06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23.285599999999999</v>
      </c>
      <c r="Z19" s="248">
        <f t="shared" si="8"/>
        <v>2.07E-2</v>
      </c>
      <c r="AA19" s="248">
        <f t="shared" si="9"/>
        <v>23.264899999999997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106</v>
      </c>
      <c r="AE19" s="236" t="str">
        <f t="shared" si="11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19" s="235" t="str">
        <f t="shared" si="12"/>
        <v>"C:\Program Files (x86)\AstroGrep\AstroGrep.exe" /e /r /s /spath="%USERPROFILE%\AppData\Local\Temp\OnboardLogs" /stypes="app*4007*20171126*"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106-26 --locoid 4007 --swversion DE.1.0.9.0 --startMP 204:232856 --initTime 2017-11-26T04:57:47 --startdatetime 2017-11-26T05:12:15 --delay 56 --endMP 204:207 --enddatetime 2017-11-26T05:49:11 --enforcementcount 0 &gt;&gt;%USERPROFILE%\Documents\GitHub\eaglep3-reporting\EC\2017-11-26-refined-times.txt</v>
      </c>
      <c r="AI19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{"issue":{"subject":"","project_id":79,"tracker_id":40,"status_id":1,"priority_id":2,"assigned_to_id":338,"start_date":"2017-11-26","description":"","custom_fields":[{"id":1,"name":"Subdivision","value":"EC"},{"id":4,"name":"Milepost","value":"0.0207"},{"id":17,"name":"Train ID","value":"106-26"},{"id":16,"name":"Locomotive ID","value":"4007"},{"id":130,"name":"Impact","value":""},{"id":150,"name":"Time of Event (Mountain Time)","value":"05:49:11"},{"id":151,"name":"Denver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4007 --day 2017-11-26</v>
      </c>
      <c r="AN19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-26T03:57:47-0700',mode:absolute,to:'2017-11-26T06:49:11-0700'))&amp;_a=(columns:!('Message%20ID',Summary),filters:!(),index:'emp_*',interval:auto,query:(query_string:(analyze_wildcard:!t,query:'%22rtdc.l.rtdc.4007%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700</v>
      </c>
      <c r="B20" s="226">
        <v>4010</v>
      </c>
      <c r="C20" s="228" t="s">
        <v>192</v>
      </c>
      <c r="D20" s="228" t="s">
        <v>899</v>
      </c>
      <c r="E20" s="227">
        <v>43065.184050925927</v>
      </c>
      <c r="F20" s="227">
        <v>43065.187662037039</v>
      </c>
      <c r="G20" s="226">
        <v>63</v>
      </c>
      <c r="H20" s="228" t="s">
        <v>900</v>
      </c>
      <c r="I20" s="227">
        <v>43065.211840277778</v>
      </c>
      <c r="J20" s="226">
        <v>0</v>
      </c>
      <c r="K20" s="238" t="str">
        <f t="shared" si="0"/>
        <v>4009/4010</v>
      </c>
      <c r="L20" s="246" t="str">
        <f>VLOOKUP(A20,'Trips&amp;Operators'!$C$1:$G$99911,5,FALSE)</f>
        <v>PAGE MARCUS</v>
      </c>
      <c r="M20" s="225">
        <f t="shared" si="1"/>
        <v>2.417824073927477E-2</v>
      </c>
      <c r="N20" s="226">
        <f t="shared" si="2"/>
        <v>34.816666664555669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NorthBound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-26T03:25:02-0700',mode:absolute,to:'2017-11-26T06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4.9500000000000002E-2</v>
      </c>
      <c r="Z20" s="248">
        <f t="shared" si="8"/>
        <v>23.32</v>
      </c>
      <c r="AA20" s="248">
        <f t="shared" si="9"/>
        <v>23.270500000000002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107</v>
      </c>
      <c r="AE20" s="236" t="str">
        <f t="shared" si="11"/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20" s="235" t="str">
        <f t="shared" si="12"/>
        <v>"C:\Program Files (x86)\AstroGrep\AstroGrep.exe" /e /r /s /spath="%USERPROFILE%\AppData\Local\Temp\OnboardLogs" /stypes="app*4010*20171126*" /stext=" 12:.+((SYSTEM_STATE.+slice.+state.+changed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107-26 --locoid 4010 --swversion DE.1.0.9.0 --startMP 204:495 --initTime 2017-11-26T04:25:02 --startdatetime 2017-11-26T04:30:14 --delay 63 --endMP 204:233200 --enddatetime 2017-11-26T05:05:03 --enforcementcount 0 &gt;&gt;%USERPROFILE%\Documents\GitHub\eaglep3-reporting\EC\2017-11-26-refined-times.txt</v>
      </c>
      <c r="AI20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{"issue":{"subject":"","project_id":79,"tracker_id":40,"status_id":1,"priority_id":2,"assigned_to_id":338,"start_date":"2017-11-26","description":"","custom_fields":[{"id":1,"name":"Subdivision","value":"EC"},{"id":4,"name":"Milepost","value":"23.32"},{"id":17,"name":"Train ID","value":"107-26"},{"id":16,"name":"Locomotive ID","value":"4010"},{"id":130,"name":"Impact","value":""},{"id":150,"name":"Time of Event (Mountain Time)","value":"05:05:03"},{"id":151,"name":"Denver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4010 --day 2017-11-26</v>
      </c>
      <c r="AN20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-26T03:25:02-0700',mode:absolute,to:'2017-11-26T06:05:03-0700'))&amp;_a=(columns:!('Message%20ID',Summary),filters:!(),index:'emp_*',interval:auto,query:(query_string:(analyze_wildcard:!t,query:'%22rtdc.l.rtdc.4010%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710</v>
      </c>
      <c r="B21" s="226">
        <v>4009</v>
      </c>
      <c r="C21" s="228" t="s">
        <v>192</v>
      </c>
      <c r="D21" s="228" t="s">
        <v>614</v>
      </c>
      <c r="E21" s="227">
        <v>43065.223541666666</v>
      </c>
      <c r="F21" s="227">
        <v>43065.22724537037</v>
      </c>
      <c r="G21" s="226">
        <v>54</v>
      </c>
      <c r="H21" s="228" t="s">
        <v>610</v>
      </c>
      <c r="I21" s="227">
        <v>43065.252951388888</v>
      </c>
      <c r="J21" s="226">
        <v>0</v>
      </c>
      <c r="K21" s="238" t="str">
        <f t="shared" si="0"/>
        <v>4009/4010</v>
      </c>
      <c r="L21" s="246" t="str">
        <f>VLOOKUP(A21,'Trips&amp;Operators'!$C$1:$G$99911,5,FALSE)</f>
        <v>PAGE MARCUS</v>
      </c>
      <c r="M21" s="225">
        <f t="shared" si="1"/>
        <v>2.5706018517666962E-2</v>
      </c>
      <c r="N21" s="226">
        <f t="shared" si="2"/>
        <v>37.016666665440425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Southbound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-26T04:21:54-0700',mode:absolute,to:'2017-11-26T07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23.2879</v>
      </c>
      <c r="Z21" s="248">
        <f t="shared" si="8"/>
        <v>2.18E-2</v>
      </c>
      <c r="AA21" s="248">
        <f t="shared" si="9"/>
        <v>23.266100000000002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108</v>
      </c>
      <c r="AE21" s="236" t="str">
        <f t="shared" si="11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21" s="235" t="str">
        <f t="shared" si="12"/>
        <v>"C:\Program Files (x86)\AstroGrep\AstroGrep.exe" /e /r /s /spath="%USERPROFILE%\AppData\Local\Temp\OnboardLogs" /stypes="app*4009*20171126*" /stext=" 13:.+((SYSTEM_STATE.+slice.+state.+changed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108-26 --locoid 4009 --swversion DE.1.0.9.0 --startMP 204:232879 --initTime 2017-11-26T05:21:54 --startdatetime 2017-11-26T05:27:14 --delay 54 --endMP 204:218 --enddatetime 2017-11-26T06:04:15 --enforcementcount 0 &gt;&gt;%USERPROFILE%\Documents\GitHub\eaglep3-reporting\EC\2017-11-26-refined-times.txt</v>
      </c>
      <c r="AI21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{"issue":{"subject":"","project_id":79,"tracker_id":40,"status_id":1,"priority_id":2,"assigned_to_id":338,"start_date":"2017-11-26","description":"","custom_fields":[{"id":1,"name":"Subdivision","value":"EC"},{"id":4,"name":"Milepost","value":"0.0218"},{"id":17,"name":"Train ID","value":"108-26"},{"id":16,"name":"Locomotive ID","value":"4009"},{"id":130,"name":"Impact","value":""},{"id":150,"name":"Time of Event (Mountain Time)","value":"06:04:15"},{"id":151,"name":"Denver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4009 --day 2017-11-26</v>
      </c>
      <c r="AN21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-26T04:21:54-0700',mode:absolute,to:'2017-11-26T07:04:15-0700'))&amp;_a=(columns:!('Message%20ID',Summary),filters:!(),index:'emp_*',interval:auto,query:(query_string:(analyze_wildcard:!t,query:'%22rtdc.l.rtdc.4009%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701</v>
      </c>
      <c r="B22" s="226">
        <v>4050</v>
      </c>
      <c r="C22" s="228" t="s">
        <v>192</v>
      </c>
      <c r="D22" s="228" t="s">
        <v>901</v>
      </c>
      <c r="E22" s="227">
        <v>43065.190625000003</v>
      </c>
      <c r="F22" s="227">
        <v>43065.198333333334</v>
      </c>
      <c r="G22" s="226">
        <v>93</v>
      </c>
      <c r="H22" s="228" t="s">
        <v>545</v>
      </c>
      <c r="I22" s="227">
        <v>43065.22420138889</v>
      </c>
      <c r="J22" s="226">
        <v>0</v>
      </c>
      <c r="K22" s="238" t="str">
        <f t="shared" si="0"/>
        <v>4049/4050</v>
      </c>
      <c r="L22" s="246" t="str">
        <f>VLOOKUP(A22,'Trips&amp;Operators'!$C$1:$G$99911,5,FALSE)</f>
        <v>GEBRETEKLE DAGNEW</v>
      </c>
      <c r="M22" s="225">
        <f t="shared" si="1"/>
        <v>2.5868055556202307E-2</v>
      </c>
      <c r="N22" s="226">
        <f t="shared" si="2"/>
        <v>37.250000000931323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NorthBound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-26T03:34:30-0700',mode:absolute,to:'2017-11-26T06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4.3499999999999997E-2</v>
      </c>
      <c r="Z22" s="248">
        <f t="shared" si="8"/>
        <v>23.329699999999999</v>
      </c>
      <c r="AA22" s="248">
        <f t="shared" si="9"/>
        <v>23.286199999999997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109</v>
      </c>
      <c r="AE22" s="236" t="str">
        <f t="shared" si="11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22" s="235" t="str">
        <f t="shared" si="12"/>
        <v>"C:\Program Files (x86)\AstroGrep\AstroGrep.exe" /e /r /s /spath="%USERPROFILE%\AppData\Local\Temp\OnboardLogs" /stypes="app*4050*20171126*" /stext=" 12:.+((SYSTEM_STATE.+slice.+state.+changed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109-26 --locoid 4050 --swversion DE.1.0.9.0 --startMP 204:435 --initTime 2017-11-26T04:34:30 --startdatetime 2017-11-26T04:45:36 --delay 93 --endMP 204:233297 --enddatetime 2017-11-26T05:22:51 --enforcementcount 0 &gt;&gt;%USERPROFILE%\Documents\GitHub\eaglep3-reporting\EC\2017-11-26-refined-times.txt</v>
      </c>
      <c r="AI22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{"issue":{"subject":"","project_id":79,"tracker_id":40,"status_id":1,"priority_id":2,"assigned_to_id":338,"start_date":"2017-11-26","description":"","custom_fields":[{"id":1,"name":"Subdivision","value":"EC"},{"id":4,"name":"Milepost","value":"23.3297"},{"id":17,"name":"Train ID","value":"109-26"},{"id":16,"name":"Locomotive ID","value":"4050"},{"id":130,"name":"Impact","value":""},{"id":150,"name":"Time of Event (Mountain Time)","value":"05:22:51"},{"id":151,"name":"Denver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4050 --day 2017-11-26</v>
      </c>
      <c r="AN22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-26T03:34:30-0700',mode:absolute,to:'2017-11-26T06:22:51-0700'))&amp;_a=(columns:!('Message%20ID',Summary),filters:!(),index:'emp_*',interval:auto,query:(query_string:(analyze_wildcard:!t,query:'%22rtdc.l.rtdc.4050%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715</v>
      </c>
      <c r="B23" s="226">
        <v>4049</v>
      </c>
      <c r="C23" s="228" t="s">
        <v>192</v>
      </c>
      <c r="D23" s="228" t="s">
        <v>902</v>
      </c>
      <c r="E23" s="227">
        <v>43065.226898148147</v>
      </c>
      <c r="F23" s="227">
        <v>43065.237662037034</v>
      </c>
      <c r="G23" s="226">
        <v>50</v>
      </c>
      <c r="H23" s="228" t="s">
        <v>903</v>
      </c>
      <c r="I23" s="227">
        <v>43065.267928240741</v>
      </c>
      <c r="J23" s="226">
        <v>0</v>
      </c>
      <c r="K23" s="238" t="str">
        <f t="shared" si="0"/>
        <v>4049/4050</v>
      </c>
      <c r="L23" s="246" t="str">
        <f>VLOOKUP(A23,'Trips&amp;Operators'!$C$1:$G$99911,5,FALSE)</f>
        <v>GEBRETEKLE DAGNEW</v>
      </c>
      <c r="M23" s="225">
        <f t="shared" si="1"/>
        <v>3.0266203706560191E-2</v>
      </c>
      <c r="N23" s="226">
        <f t="shared" si="2"/>
        <v>43.583333337446675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Southbound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-26T04:26:44-0700',mode:absolute,to:'2017-11-26T07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23.296900000000001</v>
      </c>
      <c r="Z23" s="248">
        <f t="shared" si="8"/>
        <v>1.5599999999999999E-2</v>
      </c>
      <c r="AA23" s="248">
        <f t="shared" si="9"/>
        <v>23.281300000000002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110</v>
      </c>
      <c r="AE23" s="236" t="str">
        <f t="shared" si="11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23" s="235" t="str">
        <f t="shared" si="12"/>
        <v>"C:\Program Files (x86)\AstroGrep\AstroGrep.exe" /e /r /s /spath="%USERPROFILE%\AppData\Local\Temp\OnboardLogs" /stypes="app*4049*20171126*" /stext=" 13:.+((SYSTEM_STATE.+slice.+state.+changed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110-26 --locoid 4049 --swversion DE.1.0.9.0 --startMP 204:232969 --initTime 2017-11-26T05:26:44 --startdatetime 2017-11-26T05:42:14 --delay 50 --endMP 204:156 --enddatetime 2017-11-26T06:25:49 --enforcementcount 0 &gt;&gt;%USERPROFILE%\Documents\GitHub\eaglep3-reporting\EC\2017-11-26-refined-times.txt</v>
      </c>
      <c r="AI23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{"issue":{"subject":"","project_id":79,"tracker_id":40,"status_id":1,"priority_id":2,"assigned_to_id":338,"start_date":"2017-11-26","description":"","custom_fields":[{"id":1,"name":"Subdivision","value":"EC"},{"id":4,"name":"Milepost","value":"0.0156"},{"id":17,"name":"Train ID","value":"110-26"},{"id":16,"name":"Locomotive ID","value":"4049"},{"id":130,"name":"Impact","value":""},{"id":150,"name":"Time of Event (Mountain Time)","value":"06:25:49"},{"id":151,"name":"Denver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4049 --day 2017-11-26</v>
      </c>
      <c r="AN23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-26T04:26:44-0700',mode:absolute,to:'2017-11-26T07:25:49-0700'))&amp;_a=(columns:!('Message%20ID',Summary),filters:!(),index:'emp_*',interval:auto,query:(query_string:(analyze_wildcard:!t,query:'%22rtdc.l.rtdc.4049%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706</v>
      </c>
      <c r="B24" s="226">
        <v>4042</v>
      </c>
      <c r="C24" s="228" t="s">
        <v>192</v>
      </c>
      <c r="D24" s="228" t="s">
        <v>904</v>
      </c>
      <c r="E24" s="227">
        <v>43065.206770833334</v>
      </c>
      <c r="F24" s="227">
        <v>43065.208599537036</v>
      </c>
      <c r="G24" s="226">
        <v>56</v>
      </c>
      <c r="H24" s="228" t="s">
        <v>493</v>
      </c>
      <c r="I24" s="227">
        <v>43065.234594907408</v>
      </c>
      <c r="J24" s="226">
        <v>0</v>
      </c>
      <c r="K24" s="238" t="str">
        <f t="shared" si="0"/>
        <v>4041/4042</v>
      </c>
      <c r="L24" s="246" t="str">
        <f>VLOOKUP(A24,'Trips&amp;Operators'!$C$1:$G$99911,5,FALSE)</f>
        <v>THOMPSON LESTER</v>
      </c>
      <c r="M24" s="225">
        <f t="shared" si="1"/>
        <v>2.5995370371674653E-2</v>
      </c>
      <c r="N24" s="226">
        <f t="shared" si="2"/>
        <v>37.433333335211501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NorthBound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-26T03:57:45-0700',mode:absolute,to:'2017-11-26T06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4.5999999999999999E-2</v>
      </c>
      <c r="Z24" s="248">
        <f t="shared" si="8"/>
        <v>23.329499999999999</v>
      </c>
      <c r="AA24" s="248">
        <f t="shared" si="9"/>
        <v>23.2835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111</v>
      </c>
      <c r="AE24" s="236" t="str">
        <f t="shared" si="11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24" s="235" t="str">
        <f t="shared" si="12"/>
        <v>"C:\Program Files (x86)\AstroGrep\AstroGrep.exe" /e /r /s /spath="%USERPROFILE%\AppData\Local\Temp\OnboardLogs" /stypes="app*4042*20171126*" /stext=" 12:.+((SYSTEM_STATE.+slice.+state.+changed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111-26 --locoid 4042 --swversion DE.1.0.9.0 --startMP 204:460 --initTime 2017-11-26T04:57:45 --startdatetime 2017-11-26T05:00:23 --delay 56 --endMP 204:233295 --enddatetime 2017-11-26T05:37:49 --enforcementcount 0 &gt;&gt;%USERPROFILE%\Documents\GitHub\eaglep3-reporting\EC\2017-11-26-refined-times.txt</v>
      </c>
      <c r="AI24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{"issue":{"subject":"","project_id":79,"tracker_id":40,"status_id":1,"priority_id":2,"assigned_to_id":338,"start_date":"2017-11-26","description":"","custom_fields":[{"id":1,"name":"Subdivision","value":"EC"},{"id":4,"name":"Milepost","value":"23.3295"},{"id":17,"name":"Train ID","value":"111-26"},{"id":16,"name":"Locomotive ID","value":"4042"},{"id":130,"name":"Impact","value":""},{"id":150,"name":"Time of Event (Mountain Time)","value":"05:37:49"},{"id":151,"name":"Denver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4042 --day 2017-11-26</v>
      </c>
      <c r="AN24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-26T03:57:45-0700',mode:absolute,to:'2017-11-26T06:37:49-0700'))&amp;_a=(columns:!('Message%20ID',Summary),filters:!(),index:'emp_*',interval:auto,query:(query_string:(analyze_wildcard:!t,query:'%22rtdc.l.rtdc.4042%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719</v>
      </c>
      <c r="B25" s="226">
        <v>4041</v>
      </c>
      <c r="C25" s="228" t="s">
        <v>192</v>
      </c>
      <c r="D25" s="228" t="s">
        <v>443</v>
      </c>
      <c r="E25" s="227">
        <v>43065.245648148149</v>
      </c>
      <c r="F25" s="227">
        <v>43065.248194444444</v>
      </c>
      <c r="G25" s="226">
        <v>52</v>
      </c>
      <c r="H25" s="228" t="s">
        <v>595</v>
      </c>
      <c r="I25" s="227">
        <v>43065.278807870367</v>
      </c>
      <c r="J25" s="226">
        <v>0</v>
      </c>
      <c r="K25" s="238" t="str">
        <f t="shared" si="0"/>
        <v>4041/4042</v>
      </c>
      <c r="L25" s="246" t="str">
        <f>VLOOKUP(A25,'Trips&amp;Operators'!$C$1:$G$99911,5,FALSE)</f>
        <v>THOMPSON LESTER</v>
      </c>
      <c r="M25" s="225">
        <f t="shared" si="1"/>
        <v>3.0613425922638271E-2</v>
      </c>
      <c r="N25" s="226">
        <f t="shared" si="2"/>
        <v>44.08333332859911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Southbound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-26T04:53:44-0700',mode:absolute,to:'2017-11-26T07:41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23.297699999999999</v>
      </c>
      <c r="Z25" s="248">
        <f t="shared" si="8"/>
        <v>1.4500000000000001E-2</v>
      </c>
      <c r="AA25" s="248">
        <f t="shared" si="9"/>
        <v>23.283199999999997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112</v>
      </c>
      <c r="AE25" s="236" t="str">
        <f t="shared" si="11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25" s="235" t="str">
        <f t="shared" si="12"/>
        <v>"C:\Program Files (x86)\AstroGrep\AstroGrep.exe" /e /r /s /spath="%USERPROFILE%\AppData\Local\Temp\OnboardLogs" /stypes="app*4041*20171126*" /stext=" 13:.+((SYSTEM_STATE.+slice.+state.+changed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112-26 --locoid 4041 --swversion DE.1.0.9.0 --startMP 204:232977 --initTime 2017-11-26T05:53:44 --startdatetime 2017-11-26T05:57:24 --delay 52 --endMP 204:145 --enddatetime 2017-11-26T06:41:29 --enforcementcount 0 &gt;&gt;%USERPROFILE%\Documents\GitHub\eaglep3-reporting\EC\2017-11-26-refined-times.txt</v>
      </c>
      <c r="AI2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{"issue":{"subject":"","project_id":79,"tracker_id":40,"status_id":1,"priority_id":2,"assigned_to_id":338,"start_date":"2017-11-26","description":"","custom_fields":[{"id":1,"name":"Subdivision","value":"EC"},{"id":4,"name":"Milepost","value":"0.0145"},{"id":17,"name":"Train ID","value":"112-26"},{"id":16,"name":"Locomotive ID","value":"4041"},{"id":130,"name":"Impact","value":""},{"id":150,"name":"Time of Event (Mountain Time)","value":"06:41:29"},{"id":151,"name":"Denver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4041 --day 2017-11-26</v>
      </c>
      <c r="AN2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13:41:29"},{"id":29,"name":"Sharepoint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-26T04:53:44-0700',mode:absolute,to:'2017-11-26T07:41:29-0700'))&amp;_a=(columns:!('Message%20ID',Summary),filters:!(),index:'emp_*',interval:auto,query:(query_string:(analyze_wildcard:!t,query:'%22rtdc.l.rtdc.4041%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708</v>
      </c>
      <c r="B26" s="226">
        <v>4006</v>
      </c>
      <c r="C26" s="228" t="s">
        <v>192</v>
      </c>
      <c r="D26" s="228" t="s">
        <v>518</v>
      </c>
      <c r="E26" s="227">
        <v>43065.213622685187</v>
      </c>
      <c r="F26" s="227">
        <v>43065.218935185185</v>
      </c>
      <c r="G26" s="226">
        <v>162</v>
      </c>
      <c r="H26" s="228" t="s">
        <v>905</v>
      </c>
      <c r="I26" s="227">
        <v>43065.243773148148</v>
      </c>
      <c r="J26" s="226">
        <v>0</v>
      </c>
      <c r="K26" s="238" t="str">
        <f t="shared" si="0"/>
        <v>4005/4006</v>
      </c>
      <c r="L26" s="246" t="str">
        <f>VLOOKUP(A26,'Trips&amp;Operators'!$C$1:$G$99911,5,FALSE)</f>
        <v>WILLIAMS DONTE</v>
      </c>
      <c r="M26" s="225">
        <f t="shared" si="1"/>
        <v>2.4837962962919846E-2</v>
      </c>
      <c r="N26" s="226">
        <f t="shared" si="2"/>
        <v>35.766666666604578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NorthBound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-26T04:07:37-0700',mode:absolute,to:'2017-11-26T06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5.1499999999999997E-2</v>
      </c>
      <c r="Z26" s="248">
        <f t="shared" si="8"/>
        <v>23.3184</v>
      </c>
      <c r="AA26" s="248">
        <f t="shared" si="9"/>
        <v>23.2669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113</v>
      </c>
      <c r="AE26" s="236" t="str">
        <f t="shared" si="11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26" s="235" t="str">
        <f t="shared" si="12"/>
        <v>"C:\Program Files (x86)\AstroGrep\AstroGrep.exe" /e /r /s /spath="%USERPROFILE%\AppData\Local\Temp\OnboardLogs" /stypes="app*4006*20171126*" /stext=" 12:.+((SYSTEM_STATE.+slice.+state.+changed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113-26 --locoid 4006 --swversion DE.1.0.9.0 --startMP 204:515 --initTime 2017-11-26T05:07:37 --startdatetime 2017-11-26T05:15:16 --delay 162 --endMP 204:233184 --enddatetime 2017-11-26T05:51:02 --enforcementcount 0 &gt;&gt;%USERPROFILE%\Documents\GitHub\eaglep3-reporting\EC\2017-11-26-refined-times.txt</v>
      </c>
      <c r="AI26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{"issue":{"subject":"","project_id":79,"tracker_id":40,"status_id":1,"priority_id":2,"assigned_to_id":338,"start_date":"2017-11-26","description":"","custom_fields":[{"id":1,"name":"Subdivision","value":"EC"},{"id":4,"name":"Milepost","value":"23.3184"},{"id":17,"name":"Train ID","value":"113-26"},{"id":16,"name":"Locomotive ID","value":"4006"},{"id":130,"name":"Impact","value":""},{"id":150,"name":"Time of Event (Mountain Time)","value":"05:51:02"},{"id":151,"name":"Denver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4006 --day 2017-11-26</v>
      </c>
      <c r="AN26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-26T04:07:37-0700',mode:absolute,to:'2017-11-26T06:51:02-0700'))&amp;_a=(columns:!('Message%20ID',Summary),filters:!(),index:'emp_*',interval:auto,query:(query_string:(analyze_wildcard:!t,query:'%22rtdc.l.rtdc.4006%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720</v>
      </c>
      <c r="B27" s="226">
        <v>4005</v>
      </c>
      <c r="C27" s="228" t="s">
        <v>192</v>
      </c>
      <c r="D27" s="228" t="s">
        <v>614</v>
      </c>
      <c r="E27" s="227">
        <v>43065.254212962966</v>
      </c>
      <c r="F27" s="227">
        <v>43065.258518518516</v>
      </c>
      <c r="G27" s="226">
        <v>83</v>
      </c>
      <c r="H27" s="228" t="s">
        <v>494</v>
      </c>
      <c r="I27" s="227">
        <v>43065.291631944441</v>
      </c>
      <c r="J27" s="226">
        <v>0</v>
      </c>
      <c r="K27" s="238" t="str">
        <f t="shared" si="0"/>
        <v>4005/4006</v>
      </c>
      <c r="L27" s="246" t="str">
        <f>VLOOKUP(A27,'Trips&amp;Operators'!$C$1:$G$99911,5,FALSE)</f>
        <v>WILLIAMS DONTE</v>
      </c>
      <c r="M27" s="225">
        <f t="shared" si="1"/>
        <v>3.3113425924966577E-2</v>
      </c>
      <c r="N27" s="226">
        <f t="shared" si="2"/>
        <v>47.683333331951872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Southbound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-26T05:06:04-0700',mode:absolute,to:'2017-11-26T07:59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23.2879</v>
      </c>
      <c r="Z27" s="248">
        <f t="shared" si="8"/>
        <v>1.9599999999999999E-2</v>
      </c>
      <c r="AA27" s="248">
        <f t="shared" si="9"/>
        <v>23.2683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114</v>
      </c>
      <c r="AE27" s="236" t="str">
        <f t="shared" si="11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27" s="235" t="str">
        <f t="shared" si="12"/>
        <v>"C:\Program Files (x86)\AstroGrep\AstroGrep.exe" /e /r /s /spath="%USERPROFILE%\AppData\Local\Temp\OnboardLogs" /stypes="app*4005*20171126*"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114-26 --locoid 4005 --swversion DE.1.0.9.0 --startMP 204:232879 --initTime 2017-11-26T06:06:04 --startdatetime 2017-11-26T06:12:16 --delay 83 --endMP 204:196 --enddatetime 2017-11-26T06:59:57 --enforcementcount 0 &gt;&gt;%USERPROFILE%\Documents\GitHub\eaglep3-reporting\EC\2017-11-26-refined-times.txt</v>
      </c>
      <c r="AI27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{"issue":{"subject":"","project_id":79,"tracker_id":40,"status_id":1,"priority_id":2,"assigned_to_id":338,"start_date":"2017-11-26","description":"","custom_fields":[{"id":1,"name":"Subdivision","value":"EC"},{"id":4,"name":"Milepost","value":"0.0196"},{"id":17,"name":"Train ID","value":"114-26"},{"id":16,"name":"Locomotive ID","value":"4005"},{"id":130,"name":"Impact","value":""},{"id":150,"name":"Time of Event (Mountain Time)","value":"06:59:57"},{"id":151,"name":"Denver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4005 --day 2017-11-26</v>
      </c>
      <c r="AN27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-26T05:06:04-0700',mode:absolute,to:'2017-11-26T07:59:57-0700'))&amp;_a=(columns:!('Message%20ID',Summary),filters:!(),index:'emp_*',interval:auto,query:(query_string:(analyze_wildcard:!t,query:'%22rtdc.l.rtdc.4005%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714</v>
      </c>
      <c r="B28" s="226">
        <v>4016</v>
      </c>
      <c r="C28" s="228" t="s">
        <v>192</v>
      </c>
      <c r="D28" s="228" t="s">
        <v>533</v>
      </c>
      <c r="E28" s="227">
        <v>43065.225844907407</v>
      </c>
      <c r="F28" s="227">
        <v>43065.229363425926</v>
      </c>
      <c r="G28" s="226">
        <v>60</v>
      </c>
      <c r="H28" s="228" t="s">
        <v>536</v>
      </c>
      <c r="I28" s="227">
        <v>43065.254282407404</v>
      </c>
      <c r="J28" s="226">
        <v>0</v>
      </c>
      <c r="K28" s="238" t="str">
        <f t="shared" si="0"/>
        <v>4015/4016</v>
      </c>
      <c r="L28" s="246" t="str">
        <f>VLOOKUP(A28,'Trips&amp;Operators'!$C$1:$G$99911,5,FALSE)</f>
        <v>MAELZER KURT</v>
      </c>
      <c r="M28" s="225">
        <f t="shared" si="1"/>
        <v>2.491898147854954E-2</v>
      </c>
      <c r="N28" s="226">
        <f t="shared" si="2"/>
        <v>35.883333329111338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NorthBound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-26T04:25:13-0700',mode:absolute,to:'2017-11-26T07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4.8000000000000001E-2</v>
      </c>
      <c r="Z28" s="248">
        <f t="shared" si="8"/>
        <v>23.331700000000001</v>
      </c>
      <c r="AA28" s="248">
        <f t="shared" si="9"/>
        <v>23.283700000000003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115</v>
      </c>
      <c r="AE28" s="236" t="str">
        <f t="shared" si="11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28" s="235" t="str">
        <f t="shared" si="12"/>
        <v>"C:\Program Files (x86)\AstroGrep\AstroGrep.exe" /e /r /s /spath="%USERPROFILE%\AppData\Local\Temp\OnboardLogs" /stypes="app*4016*20171126*" /stext=" 13:.+((SYSTEM_STATE.+slice.+state.+changed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115-26 --locoid 4016 --swversion DE.1.0.9.0 --startMP 204:480 --initTime 2017-11-26T05:25:13 --startdatetime 2017-11-26T05:30:17 --delay 60 --endMP 204:233317 --enddatetime 2017-11-26T06:06:10 --enforcementcount 0 &gt;&gt;%USERPROFILE%\Documents\GitHub\eaglep3-reporting\EC\2017-11-26-refined-times.txt</v>
      </c>
      <c r="AI28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{"issue":{"subject":"","project_id":79,"tracker_id":40,"status_id":1,"priority_id":2,"assigned_to_id":338,"start_date":"2017-11-26","description":"","custom_fields":[{"id":1,"name":"Subdivision","value":"EC"},{"id":4,"name":"Milepost","value":"23.3317"},{"id":17,"name":"Train ID","value":"115-26"},{"id":16,"name":"Locomotive ID","value":"4016"},{"id":130,"name":"Impact","value":""},{"id":150,"name":"Time of Event (Mountain Time)","value":"06:06:10"},{"id":151,"name":"Denver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4016 --day 2017-11-26</v>
      </c>
      <c r="AN28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-26T04:25:13-0700',mode:absolute,to:'2017-11-26T07:06:10-0700'))&amp;_a=(columns:!('Message%20ID',Summary),filters:!(),index:'emp_*',interval:auto,query:(query_string:(analyze_wildcard:!t,query:'%22rtdc.l.rtdc.4016%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723</v>
      </c>
      <c r="B29" s="226">
        <v>4015</v>
      </c>
      <c r="C29" s="228" t="s">
        <v>192</v>
      </c>
      <c r="D29" s="228" t="s">
        <v>906</v>
      </c>
      <c r="E29" s="227">
        <v>43065.264560185184</v>
      </c>
      <c r="F29" s="227">
        <v>43065.268969907411</v>
      </c>
      <c r="G29" s="226">
        <v>55</v>
      </c>
      <c r="H29" s="228" t="s">
        <v>896</v>
      </c>
      <c r="I29" s="227">
        <v>43065.298229166663</v>
      </c>
      <c r="J29" s="226">
        <v>0</v>
      </c>
      <c r="K29" s="238" t="str">
        <f t="shared" si="0"/>
        <v>4015/4016</v>
      </c>
      <c r="L29" s="246" t="str">
        <f>VLOOKUP(A29,'Trips&amp;Operators'!$C$1:$G$99911,5,FALSE)</f>
        <v>MAELZER KURT</v>
      </c>
      <c r="M29" s="225">
        <f t="shared" si="1"/>
        <v>2.9259259252285119E-2</v>
      </c>
      <c r="N29" s="226">
        <f t="shared" si="2"/>
        <v>42.133333323290572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Southbound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-26T05:20:58-0700',mode:absolute,to:'2017-11-26T08:09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23.2987</v>
      </c>
      <c r="Z29" s="248">
        <f t="shared" si="8"/>
        <v>1.9400000000000001E-2</v>
      </c>
      <c r="AA29" s="248">
        <f t="shared" si="9"/>
        <v>23.279299999999999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116</v>
      </c>
      <c r="AE29" s="236" t="str">
        <f t="shared" si="11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29" s="235" t="str">
        <f t="shared" si="12"/>
        <v>"C:\Program Files (x86)\AstroGrep\AstroGrep.exe" /e /r /s /spath="%USERPROFILE%\AppData\Local\Temp\OnboardLogs" /stypes="app*4015*20171126*" /stext=" 14:.+((SYSTEM_STATE.+slice.+state.+changed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116-26 --locoid 4015 --swversion DE.1.0.9.0 --startMP 204:232987 --initTime 2017-11-26T06:20:58 --startdatetime 2017-11-26T06:27:19 --delay 55 --endMP 204:194 --enddatetime 2017-11-26T07:09:27 --enforcementcount 0 &gt;&gt;%USERPROFILE%\Documents\GitHub\eaglep3-reporting\EC\2017-11-26-refined-times.txt</v>
      </c>
      <c r="AI29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{"issue":{"subject":"","project_id":79,"tracker_id":40,"status_id":1,"priority_id":2,"assigned_to_id":338,"start_date":"2017-11-26","description":"","custom_fields":[{"id":1,"name":"Subdivision","value":"EC"},{"id":4,"name":"Milepost","value":"0.0194"},{"id":17,"name":"Train ID","value":"116-26"},{"id":16,"name":"Locomotive ID","value":"4015"},{"id":130,"name":"Impact","value":""},{"id":150,"name":"Time of Event (Mountain Time)","value":"07:09:27"},{"id":151,"name":"Denver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4015 --day 2017-11-26</v>
      </c>
      <c r="AN29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14:09:27"},{"id":29,"name":"Sharepoint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-26T05:20:58-0700',mode:absolute,to:'2017-11-26T08:09:27-0700'))&amp;_a=(columns:!('Message%20ID',Summary),filters:!(),index:'emp_*',interval:auto,query:(query_string:(analyze_wildcard:!t,query:'%22rtdc.l.rtdc.4015%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717</v>
      </c>
      <c r="B30" s="226">
        <v>4040</v>
      </c>
      <c r="C30" s="228" t="s">
        <v>192</v>
      </c>
      <c r="D30" s="228" t="s">
        <v>598</v>
      </c>
      <c r="E30" s="227">
        <v>43065.235358796293</v>
      </c>
      <c r="F30" s="227">
        <v>43065.239930555559</v>
      </c>
      <c r="G30" s="226">
        <v>67</v>
      </c>
      <c r="H30" s="228" t="s">
        <v>907</v>
      </c>
      <c r="I30" s="227">
        <v>43065.263969907406</v>
      </c>
      <c r="J30" s="226">
        <v>0</v>
      </c>
      <c r="K30" s="238" t="str">
        <f t="shared" si="0"/>
        <v>4039/4040</v>
      </c>
      <c r="L30" s="246" t="str">
        <f>VLOOKUP(A30,'Trips&amp;Operators'!$C$1:$G$99911,5,FALSE)</f>
        <v>LAMAR NEKESHA</v>
      </c>
      <c r="M30" s="225">
        <f t="shared" si="1"/>
        <v>2.4039351847022772E-2</v>
      </c>
      <c r="N30" s="226">
        <f t="shared" si="2"/>
        <v>34.616666659712791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NorthBound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-26T04:38:55-0700',mode:absolute,to:'2017-11-26T07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4.6899999999999997E-2</v>
      </c>
      <c r="Z30" s="248">
        <f t="shared" si="8"/>
        <v>23.330100000000002</v>
      </c>
      <c r="AA30" s="248">
        <f t="shared" si="9"/>
        <v>23.283200000000001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117</v>
      </c>
      <c r="AE30" s="236" t="str">
        <f t="shared" si="11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30" s="235" t="str">
        <f t="shared" si="12"/>
        <v>"C:\Program Files (x86)\AstroGrep\AstroGrep.exe" /e /r /s /spath="%USERPROFILE%\AppData\Local\Temp\OnboardLogs" /stypes="app*4040*20171126*" /stext=" 13:.+((SYSTEM_STATE.+slice.+state.+changed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117-26 --locoid 4040 --swversion DE.1.0.9.0 --startMP 204:469 --initTime 2017-11-26T05:38:55 --startdatetime 2017-11-26T05:45:30 --delay 67 --endMP 204:233301 --enddatetime 2017-11-26T06:20:07 --enforcementcount 0 &gt;&gt;%USERPROFILE%\Documents\GitHub\eaglep3-reporting\EC\2017-11-26-refined-times.txt</v>
      </c>
      <c r="AI30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{"issue":{"subject":"","project_id":79,"tracker_id":40,"status_id":1,"priority_id":2,"assigned_to_id":338,"start_date":"2017-11-26","description":"","custom_fields":[{"id":1,"name":"Subdivision","value":"EC"},{"id":4,"name":"Milepost","value":"23.3301"},{"id":17,"name":"Train ID","value":"117-26"},{"id":16,"name":"Locomotive ID","value":"4040"},{"id":130,"name":"Impact","value":""},{"id":150,"name":"Time of Event (Mountain Time)","value":"06:20:07"},{"id":151,"name":"Denver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4040 --day 2017-11-26</v>
      </c>
      <c r="AN30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-26T04:38:55-0700',mode:absolute,to:'2017-11-26T07:20:07-0700'))&amp;_a=(columns:!('Message%20ID',Summary),filters:!(),index:'emp_*',interval:auto,query:(query_string:(analyze_wildcard:!t,query:'%22rtdc.l.rtdc.4040%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726</v>
      </c>
      <c r="B31" s="226">
        <v>4039</v>
      </c>
      <c r="C31" s="228" t="s">
        <v>192</v>
      </c>
      <c r="D31" s="228" t="s">
        <v>443</v>
      </c>
      <c r="E31" s="227">
        <v>43065.277442129627</v>
      </c>
      <c r="F31" s="227">
        <v>43065.279398148145</v>
      </c>
      <c r="G31" s="226">
        <v>66</v>
      </c>
      <c r="H31" s="228" t="s">
        <v>523</v>
      </c>
      <c r="I31" s="227">
        <v>43065.307245370372</v>
      </c>
      <c r="J31" s="226">
        <v>0</v>
      </c>
      <c r="K31" s="238" t="str">
        <f t="shared" si="0"/>
        <v>4039/4040</v>
      </c>
      <c r="L31" s="246" t="str">
        <f>VLOOKUP(A31,'Trips&amp;Operators'!$C$1:$G$99911,5,FALSE)</f>
        <v>LAMAR NEKESHA</v>
      </c>
      <c r="M31" s="225">
        <f t="shared" si="1"/>
        <v>2.7847222227137536E-2</v>
      </c>
      <c r="N31" s="226">
        <f t="shared" si="2"/>
        <v>40.100000007078052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Southbound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-26T05:39:31-0700',mode:absolute,to:'2017-11-26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23.297699999999999</v>
      </c>
      <c r="Z31" s="248">
        <f t="shared" si="8"/>
        <v>1.8499999999999999E-2</v>
      </c>
      <c r="AA31" s="248">
        <f t="shared" si="9"/>
        <v>23.279199999999999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118</v>
      </c>
      <c r="AE31" s="236" t="str">
        <f t="shared" si="11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31" s="235" t="str">
        <f t="shared" si="12"/>
        <v>"C:\Program Files (x86)\AstroGrep\AstroGrep.exe" /e /r /s /spath="%USERPROFILE%\AppData\Local\Temp\OnboardLogs" /stypes="app*4039*20171126*" /stext=" 14:.+((SYSTEM_STATE.+slice.+state.+changed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118-26 --locoid 4039 --swversion DE.1.0.9.0 --startMP 204:232977 --initTime 2017-11-26T06:39:31 --startdatetime 2017-11-26T06:42:20 --delay 66 --endMP 204:185 --enddatetime 2017-11-26T07:22:26 --enforcementcount 0 &gt;&gt;%USERPROFILE%\Documents\GitHub\eaglep3-reporting\EC\2017-11-26-refined-times.txt</v>
      </c>
      <c r="AI31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{"issue":{"subject":"","project_id":79,"tracker_id":40,"status_id":1,"priority_id":2,"assigned_to_id":338,"start_date":"2017-11-26","description":"","custom_fields":[{"id":1,"name":"Subdivision","value":"EC"},{"id":4,"name":"Milepost","value":"0.0185"},{"id":17,"name":"Train ID","value":"118-26"},{"id":16,"name":"Locomotive ID","value":"4039"},{"id":130,"name":"Impact","value":""},{"id":150,"name":"Time of Event (Mountain Time)","value":"07:22:26"},{"id":151,"name":"Denver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4039 --day 2017-11-26</v>
      </c>
      <c r="AN31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-26T05:39:31-0700',mode:absolute,to:'2017-11-26T08:22:26-0700'))&amp;_a=(columns:!('Message%20ID',Summary),filters:!(),index:'emp_*',interval:auto,query:(query_string:(analyze_wildcard:!t,query:'%22rtdc.l.rtdc.4039%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718</v>
      </c>
      <c r="B32" s="226">
        <v>4008</v>
      </c>
      <c r="C32" s="228" t="s">
        <v>192</v>
      </c>
      <c r="D32" s="228" t="s">
        <v>476</v>
      </c>
      <c r="E32" s="227">
        <v>43065.244641203702</v>
      </c>
      <c r="F32" s="227">
        <v>43065.250173611108</v>
      </c>
      <c r="G32" s="226">
        <v>53</v>
      </c>
      <c r="H32" s="228" t="s">
        <v>900</v>
      </c>
      <c r="I32" s="227">
        <v>43065.277789351851</v>
      </c>
      <c r="J32" s="226">
        <v>0</v>
      </c>
      <c r="K32" s="238" t="str">
        <f t="shared" si="0"/>
        <v>4007/4008</v>
      </c>
      <c r="L32" s="246" t="str">
        <f>VLOOKUP(A32,'Trips&amp;Operators'!$C$1:$G$99911,5,FALSE)</f>
        <v>LOPES KIMBERLY</v>
      </c>
      <c r="M32" s="225">
        <f t="shared" si="1"/>
        <v>2.7615740742476191E-2</v>
      </c>
      <c r="N32" s="226">
        <f t="shared" si="2"/>
        <v>39.766666669165716</v>
      </c>
      <c r="O32" s="226"/>
      <c r="P32" s="226"/>
      <c r="Q32" s="229"/>
      <c r="R32" s="243"/>
      <c r="S32" s="250">
        <f t="shared" si="3"/>
        <v>1</v>
      </c>
      <c r="T32" s="243" t="str">
        <f t="shared" si="4"/>
        <v>NorthBound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-26T04:52:17-0700',mode:absolute,to:'2017-11-26T07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5.2400000000000002E-2</v>
      </c>
      <c r="Z32" s="248">
        <f t="shared" si="8"/>
        <v>23.32</v>
      </c>
      <c r="AA32" s="248">
        <f t="shared" si="9"/>
        <v>23.267600000000002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119</v>
      </c>
      <c r="AE32" s="236" t="str">
        <f t="shared" si="11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32" s="235" t="str">
        <f t="shared" si="12"/>
        <v>"C:\Program Files (x86)\AstroGrep\AstroGrep.exe" /e /r /s /spath="%USERPROFILE%\AppData\Local\Temp\OnboardLogs" /stypes="app*4008*20171126*" /stext=" 13:.+((SYSTEM_STATE.+slice.+state.+changed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119-26 --locoid 4008 --swversion DE.1.0.9.0 --startMP 204:524 --initTime 2017-11-26T05:52:17 --startdatetime 2017-11-26T06:00:15 --delay 53 --endMP 204:233200 --enddatetime 2017-11-26T06:40:01 --enforcementcount 0 &gt;&gt;%USERPROFILE%\Documents\GitHub\eaglep3-reporting\EC\2017-11-26-refined-times.txt</v>
      </c>
      <c r="AI32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{"issue":{"subject":"","project_id":79,"tracker_id":40,"status_id":1,"priority_id":2,"assigned_to_id":338,"start_date":"2017-11-26","description":"","custom_fields":[{"id":1,"name":"Subdivision","value":"EC"},{"id":4,"name":"Milepost","value":"23.32"},{"id":17,"name":"Train ID","value":"119-26"},{"id":16,"name":"Locomotive ID","value":"4008"},{"id":130,"name":"Impact","value":""},{"id":150,"name":"Time of Event (Mountain Time)","value":"06:40:01"},{"id":151,"name":"Denver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4008 --day 2017-11-26</v>
      </c>
      <c r="AN32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-26T04:52:17-0700',mode:absolute,to:'2017-11-26T07:40:01-0700'))&amp;_a=(columns:!('Message%20ID',Summary),filters:!(),index:'emp_*',interval:auto,query:(query_string:(analyze_wildcard:!t,query:'%22rtdc.l.rtdc.4008%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727</v>
      </c>
      <c r="B33" s="226">
        <v>4007</v>
      </c>
      <c r="C33" s="228" t="s">
        <v>192</v>
      </c>
      <c r="D33" s="228" t="s">
        <v>908</v>
      </c>
      <c r="E33" s="227">
        <v>43065.284675925926</v>
      </c>
      <c r="F33" s="227">
        <v>43065.289768518516</v>
      </c>
      <c r="G33" s="226">
        <v>48</v>
      </c>
      <c r="H33" s="228" t="s">
        <v>538</v>
      </c>
      <c r="I33" s="227">
        <v>43065.317939814813</v>
      </c>
      <c r="J33" s="226">
        <v>0</v>
      </c>
      <c r="K33" s="238" t="str">
        <f t="shared" si="0"/>
        <v>4007/4008</v>
      </c>
      <c r="L33" s="246" t="str">
        <f>VLOOKUP(A33,'Trips&amp;Operators'!$C$1:$G$99911,5,FALSE)</f>
        <v>LOPES KIMBERLY</v>
      </c>
      <c r="M33" s="225">
        <f t="shared" si="1"/>
        <v>2.8171296296932269E-2</v>
      </c>
      <c r="N33" s="226">
        <f t="shared" si="2"/>
        <v>40.566666667582467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Southbound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-26T05:49:56-0700',mode:absolute,to:'2017-11-26T08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23.2881</v>
      </c>
      <c r="Z33" s="248">
        <f t="shared" si="8"/>
        <v>2.0899999999999998E-2</v>
      </c>
      <c r="AA33" s="248">
        <f t="shared" si="9"/>
        <v>23.267199999999999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120</v>
      </c>
      <c r="AE33" s="236" t="str">
        <f t="shared" si="11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33" s="235" t="str">
        <f t="shared" si="12"/>
        <v>"C:\Program Files (x86)\AstroGrep\AstroGrep.exe" /e /r /s /spath="%USERPROFILE%\AppData\Local\Temp\OnboardLogs" /stypes="app*4007*20171126*" /stext=" 14:.+((SYSTEM_STATE.+slice.+state.+changed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120-26 --locoid 4007 --swversion DE.1.0.9.0 --startMP 204:232881 --initTime 2017-11-26T06:49:56 --startdatetime 2017-11-26T06:57:16 --delay 48 --endMP 204:209 --enddatetime 2017-11-26T07:37:50 --enforcementcount 0 &gt;&gt;%USERPROFILE%\Documents\GitHub\eaglep3-reporting\EC\2017-11-26-refined-times.txt</v>
      </c>
      <c r="AI33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{"issue":{"subject":"","project_id":79,"tracker_id":40,"status_id":1,"priority_id":2,"assigned_to_id":338,"start_date":"2017-11-26","description":"","custom_fields":[{"id":1,"name":"Subdivision","value":"EC"},{"id":4,"name":"Milepost","value":"0.0209"},{"id":17,"name":"Train ID","value":"120-26"},{"id":16,"name":"Locomotive ID","value":"4007"},{"id":130,"name":"Impact","value":""},{"id":150,"name":"Time of Event (Mountain Time)","value":"07:37:50"},{"id":151,"name":"Denver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4007 --day 2017-11-26</v>
      </c>
      <c r="AN33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-26T05:49:56-0700',mode:absolute,to:'2017-11-26T08:37:50-0700'))&amp;_a=(columns:!('Message%20ID',Summary),filters:!(),index:'emp_*',interval:auto,query:(query_string:(analyze_wildcard:!t,query:'%22rtdc.l.rtdc.4007%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721</v>
      </c>
      <c r="B34" s="226">
        <v>4010</v>
      </c>
      <c r="C34" s="228" t="s">
        <v>192</v>
      </c>
      <c r="D34" s="228" t="s">
        <v>448</v>
      </c>
      <c r="E34" s="227">
        <v>43065.254502314812</v>
      </c>
      <c r="F34" s="227">
        <v>43065.260636574072</v>
      </c>
      <c r="G34" s="226">
        <v>89</v>
      </c>
      <c r="H34" s="228" t="s">
        <v>909</v>
      </c>
      <c r="I34" s="227">
        <v>43065.286493055559</v>
      </c>
      <c r="J34" s="226">
        <v>0</v>
      </c>
      <c r="K34" s="238" t="str">
        <f t="shared" si="0"/>
        <v>4009/4010</v>
      </c>
      <c r="L34" s="246" t="str">
        <f>VLOOKUP(A34,'Trips&amp;Operators'!$C$1:$G$99911,5,FALSE)</f>
        <v>PAGE MARCUS</v>
      </c>
      <c r="M34" s="225">
        <f t="shared" si="1"/>
        <v>2.5856481486698613E-2</v>
      </c>
      <c r="N34" s="226">
        <f t="shared" si="2"/>
        <v>37.233333340846002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NorthBound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-26T05:06:29-0700',mode:absolute,to:'2017-11-26T07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5.1900000000000002E-2</v>
      </c>
      <c r="Z34" s="248">
        <f t="shared" si="8"/>
        <v>23.3263</v>
      </c>
      <c r="AA34" s="248">
        <f t="shared" si="9"/>
        <v>23.2744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121</v>
      </c>
      <c r="AE34" s="236" t="str">
        <f t="shared" si="11"/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34" s="235" t="str">
        <f t="shared" si="12"/>
        <v>"C:\Program Files (x86)\AstroGrep\AstroGrep.exe" /e /r /s /spath="%USERPROFILE%\AppData\Local\Temp\OnboardLogs" /stypes="app*4010*20171126*" /stext=" 13:.+((SYSTEM_STATE.+slice.+state.+changed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121-26 --locoid 4010 --swversion DE.1.0.9.0 --startMP 204:519 --initTime 2017-11-26T06:06:29 --startdatetime 2017-11-26T06:15:19 --delay 89 --endMP 204:233263 --enddatetime 2017-11-26T06:52:33 --enforcementcount 0 &gt;&gt;%USERPROFILE%\Documents\GitHub\eaglep3-reporting\EC\2017-11-26-refined-times.txt</v>
      </c>
      <c r="AI34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{"issue":{"subject":"","project_id":79,"tracker_id":40,"status_id":1,"priority_id":2,"assigned_to_id":338,"start_date":"2017-11-26","description":"","custom_fields":[{"id":1,"name":"Subdivision","value":"EC"},{"id":4,"name":"Milepost","value":"23.3263"},{"id":17,"name":"Train ID","value":"121-26"},{"id":16,"name":"Locomotive ID","value":"4010"},{"id":130,"name":"Impact","value":""},{"id":150,"name":"Time of Event (Mountain Time)","value":"06:52:33"},{"id":151,"name":"Denver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4010 --day 2017-11-26</v>
      </c>
      <c r="AN34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-26T05:06:29-0700',mode:absolute,to:'2017-11-26T07:52:33-0700'))&amp;_a=(columns:!('Message%20ID',Summary),filters:!(),index:'emp_*',interval:auto,query:(query_string:(analyze_wildcard:!t,query:'%22rtdc.l.rtdc.4010%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729</v>
      </c>
      <c r="B35" s="226">
        <v>4009</v>
      </c>
      <c r="C35" s="228" t="s">
        <v>192</v>
      </c>
      <c r="D35" s="228" t="s">
        <v>542</v>
      </c>
      <c r="E35" s="227">
        <v>43065.293356481481</v>
      </c>
      <c r="F35" s="227">
        <v>43065.300150462965</v>
      </c>
      <c r="G35" s="226">
        <v>72</v>
      </c>
      <c r="H35" s="228" t="s">
        <v>491</v>
      </c>
      <c r="I35" s="227">
        <v>43065.331122685187</v>
      </c>
      <c r="J35" s="226">
        <v>0</v>
      </c>
      <c r="K35" s="238" t="str">
        <f t="shared" si="0"/>
        <v>4009/4010</v>
      </c>
      <c r="L35" s="246" t="str">
        <f>VLOOKUP(A35,'Trips&amp;Operators'!$C$1:$G$99911,5,FALSE)</f>
        <v>PAGE MARCUS</v>
      </c>
      <c r="M35" s="225">
        <f t="shared" si="1"/>
        <v>3.0972222222771961E-2</v>
      </c>
      <c r="N35" s="226">
        <f t="shared" si="2"/>
        <v>44.600000000791624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Southbound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-26T06:02:26-0700',mode:absolute,to:'2017-11-26T08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23.293600000000001</v>
      </c>
      <c r="Z35" s="248">
        <f t="shared" si="8"/>
        <v>2.1100000000000001E-2</v>
      </c>
      <c r="AA35" s="248">
        <f t="shared" si="9"/>
        <v>23.272500000000001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122</v>
      </c>
      <c r="AE35" s="236" t="str">
        <f t="shared" si="11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35" s="235" t="str">
        <f t="shared" si="12"/>
        <v>"C:\Program Files (x86)\AstroGrep\AstroGrep.exe" /e /r /s /spath="%USERPROFILE%\AppData\Local\Temp\OnboardLogs" /stypes="app*4009*20171126*"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122-26 --locoid 4009 --swversion DE.1.0.9.0 --startMP 204:232936 --initTime 2017-11-26T07:02:26 --startdatetime 2017-11-26T07:12:13 --delay 72 --endMP 204:211 --enddatetime 2017-11-26T07:56:49 --enforcementcount 0 &gt;&gt;%USERPROFILE%\Documents\GitHub\eaglep3-reporting\EC\2017-11-26-refined-times.txt</v>
      </c>
      <c r="AI3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{"issue":{"subject":"","project_id":79,"tracker_id":40,"status_id":1,"priority_id":2,"assigned_to_id":338,"start_date":"2017-11-26","description":"","custom_fields":[{"id":1,"name":"Subdivision","value":"EC"},{"id":4,"name":"Milepost","value":"0.0211"},{"id":17,"name":"Train ID","value":"122-26"},{"id":16,"name":"Locomotive ID","value":"4009"},{"id":130,"name":"Impact","value":""},{"id":150,"name":"Time of Event (Mountain Time)","value":"07:56:49"},{"id":151,"name":"Denver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4009 --day 2017-11-26</v>
      </c>
      <c r="AN3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-26T06:02:26-0700',mode:absolute,to:'2017-11-26T08:56:49-0700'))&amp;_a=(columns:!('Message%20ID',Summary),filters:!(),index:'emp_*',interval:auto,query:(query_string:(analyze_wildcard:!t,query:'%22rtdc.l.rtdc.4009%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725</v>
      </c>
      <c r="B36" s="226">
        <v>4050</v>
      </c>
      <c r="C36" s="228" t="s">
        <v>192</v>
      </c>
      <c r="D36" s="228" t="s">
        <v>910</v>
      </c>
      <c r="E36" s="227">
        <v>43065.269560185188</v>
      </c>
      <c r="F36" s="227">
        <v>43065.271041666667</v>
      </c>
      <c r="G36" s="226">
        <v>47</v>
      </c>
      <c r="H36" s="228" t="s">
        <v>633</v>
      </c>
      <c r="I36" s="227">
        <v>43065.296712962961</v>
      </c>
      <c r="J36" s="226">
        <v>0</v>
      </c>
      <c r="K36" s="238" t="str">
        <f t="shared" si="0"/>
        <v>4049/4050</v>
      </c>
      <c r="L36" s="246" t="str">
        <f>VLOOKUP(A36,'Trips&amp;Operators'!$C$1:$G$99911,5,FALSE)</f>
        <v>GEBRETEKLE DAGNEW</v>
      </c>
      <c r="M36" s="225">
        <f t="shared" si="1"/>
        <v>2.5671296294603962E-2</v>
      </c>
      <c r="N36" s="226">
        <f t="shared" si="2"/>
        <v>36.966666664229706</v>
      </c>
      <c r="O36" s="226"/>
      <c r="P36" s="226"/>
      <c r="Q36" s="229"/>
      <c r="R36" s="243"/>
      <c r="S36" s="250">
        <f t="shared" si="3"/>
        <v>1</v>
      </c>
      <c r="T36" s="243" t="str">
        <f t="shared" si="4"/>
        <v>NorthBound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-26T05:28:10-0700',mode:absolute,to:'2017-11-26T08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4.5699999999999998E-2</v>
      </c>
      <c r="Z36" s="248">
        <f t="shared" si="8"/>
        <v>23.327999999999999</v>
      </c>
      <c r="AA36" s="248">
        <f t="shared" si="9"/>
        <v>23.282299999999999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123</v>
      </c>
      <c r="AE36" s="236" t="str">
        <f t="shared" si="11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36" s="235" t="str">
        <f t="shared" si="12"/>
        <v>"C:\Program Files (x86)\AstroGrep\AstroGrep.exe" /e /r /s /spath="%USERPROFILE%\AppData\Local\Temp\OnboardLogs" /stypes="app*4050*20171126*" /stext=" 14:.+((SYSTEM_STATE.+slice.+state.+changed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123-26 --locoid 4050 --swversion DE.1.0.9.0 --startMP 204:457 --initTime 2017-11-26T06:28:10 --startdatetime 2017-11-26T06:30:18 --delay 47 --endMP 204:233280 --enddatetime 2017-11-26T07:07:16 --enforcementcount 0 &gt;&gt;%USERPROFILE%\Documents\GitHub\eaglep3-reporting\EC\2017-11-26-refined-times.txt</v>
      </c>
      <c r="AI36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{"issue":{"subject":"","project_id":79,"tracker_id":40,"status_id":1,"priority_id":2,"assigned_to_id":338,"start_date":"2017-11-26","description":"","custom_fields":[{"id":1,"name":"Subdivision","value":"EC"},{"id":4,"name":"Milepost","value":"23.328"},{"id":17,"name":"Train ID","value":"123-26"},{"id":16,"name":"Locomotive ID","value":"4050"},{"id":130,"name":"Impact","value":""},{"id":150,"name":"Time of Event (Mountain Time)","value":"07:07:16"},{"id":151,"name":"Denver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4050 --day 2017-11-26</v>
      </c>
      <c r="AN36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-26T05:28:10-0700',mode:absolute,to:'2017-11-26T08:07:16-0700'))&amp;_a=(columns:!('Message%20ID',Summary),filters:!(),index:'emp_*',interval:auto,query:(query_string:(analyze_wildcard:!t,query:'%22rtdc.l.rtdc.4050%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731</v>
      </c>
      <c r="B37" s="226">
        <v>4049</v>
      </c>
      <c r="C37" s="228" t="s">
        <v>192</v>
      </c>
      <c r="D37" s="228" t="s">
        <v>911</v>
      </c>
      <c r="E37" s="227">
        <v>43065.298009259262</v>
      </c>
      <c r="F37" s="227">
        <v>43065.310740740744</v>
      </c>
      <c r="G37" s="226">
        <v>61</v>
      </c>
      <c r="H37" s="228" t="s">
        <v>912</v>
      </c>
      <c r="I37" s="227">
        <v>43065.338043981479</v>
      </c>
      <c r="J37" s="226">
        <v>0</v>
      </c>
      <c r="K37" s="238" t="str">
        <f t="shared" si="0"/>
        <v>4049/4050</v>
      </c>
      <c r="L37" s="246" t="str">
        <f>VLOOKUP(A37,'Trips&amp;Operators'!$C$1:$G$99911,5,FALSE)</f>
        <v>GEBRETEKLE DAGNEW</v>
      </c>
      <c r="M37" s="225">
        <f t="shared" si="1"/>
        <v>2.7303240734909195E-2</v>
      </c>
      <c r="N37" s="226">
        <f t="shared" si="2"/>
        <v>39.316666658269241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Southbound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-26T06:09:08-0700',mode:absolute,to:'2017-11-26T09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23.2957</v>
      </c>
      <c r="Z37" s="248">
        <f t="shared" si="8"/>
        <v>1.8100000000000002E-2</v>
      </c>
      <c r="AA37" s="248">
        <f t="shared" si="9"/>
        <v>23.2776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124</v>
      </c>
      <c r="AE37" s="236" t="str">
        <f t="shared" si="11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37" s="235" t="str">
        <f t="shared" si="12"/>
        <v>"C:\Program Files (x86)\AstroGrep\AstroGrep.exe" /e /r /s /spath="%USERPROFILE%\AppData\Local\Temp\OnboardLogs" /stypes="app*4049*20171126*" /stext=" 15:.+((SYSTEM_STATE.+slice.+state.+changed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124-26 --locoid 4049 --swversion DE.1.0.9.0 --startMP 204:232957 --initTime 2017-11-26T07:09:08 --startdatetime 2017-11-26T07:27:28 --delay 61 --endMP 204:181 --enddatetime 2017-11-26T08:06:47 --enforcementcount 0 &gt;&gt;%USERPROFILE%\Documents\GitHub\eaglep3-reporting\EC\2017-11-26-refined-times.txt</v>
      </c>
      <c r="AI37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{"issue":{"subject":"","project_id":79,"tracker_id":40,"status_id":1,"priority_id":2,"assigned_to_id":338,"start_date":"2017-11-26","description":"","custom_fields":[{"id":1,"name":"Subdivision","value":"EC"},{"id":4,"name":"Milepost","value":"0.0181"},{"id":17,"name":"Train ID","value":"124-26"},{"id":16,"name":"Locomotive ID","value":"4049"},{"id":130,"name":"Impact","value":""},{"id":150,"name":"Time of Event (Mountain Time)","value":"08:06:47"},{"id":151,"name":"Denver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4049 --day 2017-11-26</v>
      </c>
      <c r="AN37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-26T06:09:08-0700',mode:absolute,to:'2017-11-26T09:06:47-0700'))&amp;_a=(columns:!('Message%20ID',Summary),filters:!(),index:'emp_*',interval:auto,query:(query_string:(analyze_wildcard:!t,query:'%22rtdc.l.rtdc.4049%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652</v>
      </c>
      <c r="B38" s="226">
        <v>4042</v>
      </c>
      <c r="C38" s="228" t="s">
        <v>192</v>
      </c>
      <c r="D38" s="228" t="s">
        <v>524</v>
      </c>
      <c r="E38" s="227">
        <v>43065.280312499999</v>
      </c>
      <c r="F38" s="227">
        <v>43065.281782407408</v>
      </c>
      <c r="G38" s="226">
        <v>62</v>
      </c>
      <c r="H38" s="228" t="s">
        <v>619</v>
      </c>
      <c r="I38" s="227">
        <v>43065.307789351849</v>
      </c>
      <c r="J38" s="226">
        <v>0</v>
      </c>
      <c r="K38" s="238" t="str">
        <f t="shared" si="0"/>
        <v>4041/4042</v>
      </c>
      <c r="L38" s="246" t="str">
        <f>VLOOKUP(A38,'Trips&amp;Operators'!$C$1:$G$99911,5,FALSE)</f>
        <v>THOMPSON LESTER</v>
      </c>
      <c r="M38" s="225">
        <f t="shared" si="1"/>
        <v>2.6006944441178348E-2</v>
      </c>
      <c r="N38" s="226">
        <f t="shared" si="2"/>
        <v>37.449999995296821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NorthBound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-26T05:43:39-0700',mode:absolute,to:'2017-11-26T08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4.4900000000000002E-2</v>
      </c>
      <c r="Z38" s="248">
        <f t="shared" si="8"/>
        <v>23.3278</v>
      </c>
      <c r="AA38" s="248">
        <f t="shared" si="9"/>
        <v>23.282900000000001</v>
      </c>
      <c r="AB38" s="234" t="str">
        <f>VLOOKUP(A38,Enforcements!$C$7:$K$9,8,0)</f>
        <v>Bulletin (2)</v>
      </c>
      <c r="AC38" s="233" t="str">
        <f>VLOOKUP(A38,Enforcements!$C$7:$E$9,3,0)</f>
        <v>GRADE CROSSING</v>
      </c>
      <c r="AD38" s="244">
        <f t="shared" si="10"/>
        <v>125</v>
      </c>
      <c r="AE38" s="236" t="str">
        <f t="shared" si="11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38" s="235" t="str">
        <f t="shared" si="12"/>
        <v>"C:\Program Files (x86)\AstroGrep\AstroGrep.exe" /e /r /s /spath="%USERPROFILE%\AppData\Local\Temp\OnboardLogs" /stypes="app*4042*20171126*" /stext=" 14:.+((SYSTEM_STATE.+slice.+state.+changed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125-26 --locoid 4042 --swversion DE.1.0.9.0 --startMP 204:449 --initTime 2017-11-26T06:43:39 --startdatetime 2017-11-26T06:45:46 --delay 62 --endMP 204:233278 --enddatetime 2017-11-26T07:23:13 --enforcementcount 0 &gt;&gt;%USERPROFILE%\Documents\GitHub\eaglep3-reporting\EC\2017-11-26-refined-times.txt</v>
      </c>
      <c r="AI38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{"issue":{"subject":"","project_id":79,"tracker_id":40,"status_id":1,"priority_id":2,"assigned_to_id":338,"start_date":"2017-11-26","description":"","custom_fields":[{"id":1,"name":"Subdivision","value":"EC"},{"id":4,"name":"Milepost","value":"23.3278"},{"id":17,"name":"Train ID","value":"125-26"},{"id":16,"name":"Locomotive ID","value":"4042"},{"id":130,"name":"Impact","value":""},{"id":150,"name":"Time of Event (Mountain Time)","value":"07:23:13"},{"id":151,"name":"Denver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4042 --day 2017-11-26</v>
      </c>
      <c r="AN38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-11-26T05:43:39-0700',mode:absolute,to:'2017-11-26T08:23:13-0700'))&amp;_a=(columns:!('Message%20ID',Summary),filters:!(),index:'emp_*',interval:auto,query:(query_string:(analyze_wildcard:!t,query:'%22rtdc.l.rtdc.4042%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735</v>
      </c>
      <c r="B39" s="226">
        <v>4041</v>
      </c>
      <c r="C39" s="228" t="s">
        <v>192</v>
      </c>
      <c r="D39" s="228" t="s">
        <v>623</v>
      </c>
      <c r="E39" s="227">
        <v>43065.31858796296</v>
      </c>
      <c r="F39" s="227">
        <v>43065.321157407408</v>
      </c>
      <c r="G39" s="226">
        <v>48</v>
      </c>
      <c r="H39" s="228" t="s">
        <v>637</v>
      </c>
      <c r="I39" s="227">
        <v>43065.350347222222</v>
      </c>
      <c r="J39" s="226">
        <v>0</v>
      </c>
      <c r="K39" s="238" t="str">
        <f t="shared" si="0"/>
        <v>4041/4042</v>
      </c>
      <c r="L39" s="246" t="str">
        <f>VLOOKUP(A39,'Trips&amp;Operators'!$C$1:$G$99911,5,FALSE)</f>
        <v>THOMPSON LESTER</v>
      </c>
      <c r="M39" s="225">
        <f t="shared" si="1"/>
        <v>2.9189814813435078E-2</v>
      </c>
      <c r="N39" s="226">
        <f t="shared" si="2"/>
        <v>42.033333331346512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Southbound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-26T06:38:46-0700',mode:absolute,to:'2017-11-26T09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si="7"/>
        <v>23.295200000000001</v>
      </c>
      <c r="Z39" s="248">
        <f t="shared" si="8"/>
        <v>1.49E-2</v>
      </c>
      <c r="AA39" s="248">
        <f t="shared" si="9"/>
        <v>23.2803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126</v>
      </c>
      <c r="AE39" s="236" t="str">
        <f t="shared" si="11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39" s="235" t="str">
        <f t="shared" si="12"/>
        <v>"C:\Program Files (x86)\AstroGrep\AstroGrep.exe" /e /r /s /spath="%USERPROFILE%\AppData\Local\Temp\OnboardLogs" /stypes="app*4041*20171126*" /stext=" 15:.+((SYSTEM_STATE.+slice.+state.+changed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126-26 --locoid 4041 --swversion DE.1.0.9.0 --startMP 204:232952 --initTime 2017-11-26T07:38:46 --startdatetime 2017-11-26T07:42:28 --delay 48 --endMP 204:149 --enddatetime 2017-11-26T08:24:30 --enforcementcount 0 &gt;&gt;%USERPROFILE%\Documents\GitHub\eaglep3-reporting\EC\2017-11-26-refined-times.txt</v>
      </c>
      <c r="AI39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{"issue":{"subject":"","project_id":79,"tracker_id":40,"status_id":1,"priority_id":2,"assigned_to_id":338,"start_date":"2017-11-26","description":"","custom_fields":[{"id":1,"name":"Subdivision","value":"EC"},{"id":4,"name":"Milepost","value":"0.0149"},{"id":17,"name":"Train ID","value":"126-26"},{"id":16,"name":"Locomotive ID","value":"4041"},{"id":130,"name":"Impact","value":""},{"id":150,"name":"Time of Event (Mountain Time)","value":"08:24:30"},{"id":151,"name":"Denver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4041 --day 2017-11-26</v>
      </c>
      <c r="AN39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-26T06:38:46-0700',mode:absolute,to:'2017-11-26T09:24:30-0700'))&amp;_a=(columns:!('Message%20ID',Summary),filters:!(),index:'emp_*',interval:auto,query:(query_string:(analyze_wildcard:!t,query:'%22rtdc.l.rtdc.4041%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728</v>
      </c>
      <c r="B40" s="226">
        <v>4006</v>
      </c>
      <c r="C40" s="228" t="s">
        <v>192</v>
      </c>
      <c r="D40" s="228" t="s">
        <v>448</v>
      </c>
      <c r="E40" s="227">
        <v>43065.292731481481</v>
      </c>
      <c r="F40" s="227">
        <v>43065.294050925928</v>
      </c>
      <c r="G40" s="226">
        <v>49</v>
      </c>
      <c r="H40" s="228" t="s">
        <v>913</v>
      </c>
      <c r="I40" s="227">
        <v>43065.324097222219</v>
      </c>
      <c r="J40" s="226">
        <v>0</v>
      </c>
      <c r="K40" s="238" t="str">
        <f t="shared" si="0"/>
        <v>4005/4006</v>
      </c>
      <c r="L40" s="246" t="str">
        <f>VLOOKUP(A40,'Trips&amp;Operators'!$C$1:$G$99911,5,FALSE)</f>
        <v>WILLIAMS DONTE</v>
      </c>
      <c r="M40" s="225">
        <f t="shared" si="1"/>
        <v>3.0046296291402541E-2</v>
      </c>
      <c r="N40" s="226">
        <f t="shared" si="2"/>
        <v>43.266666659619659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NorthBound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-26T06:01:32-0700',mode:absolute,to:'2017-11-26T08:46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7"/>
        <v>5.1900000000000002E-2</v>
      </c>
      <c r="Z40" s="248">
        <f t="shared" si="8"/>
        <v>23.319800000000001</v>
      </c>
      <c r="AA40" s="248">
        <f t="shared" si="9"/>
        <v>23.267900000000001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127</v>
      </c>
      <c r="AE40" s="236" t="str">
        <f t="shared" si="11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40" s="235" t="str">
        <f t="shared" si="12"/>
        <v>"C:\Program Files (x86)\AstroGrep\AstroGrep.exe" /e /r /s /spath="%USERPROFILE%\AppData\Local\Temp\OnboardLogs" /stypes="app*4006*20171126*" /stext=" 14:.+((SYSTEM_STATE.+slice.+state.+changed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127-26 --locoid 4006 --swversion DE.1.0.9.0 --startMP 204:519 --initTime 2017-11-26T07:01:32 --startdatetime 2017-11-26T07:03:26 --delay 49 --endMP 204:233198 --enddatetime 2017-11-26T07:46:42 --enforcementcount 0 &gt;&gt;%USERPROFILE%\Documents\GitHub\eaglep3-reporting\EC\2017-11-26-refined-times.txt</v>
      </c>
      <c r="AI40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{"issue":{"subject":"","project_id":79,"tracker_id":40,"status_id":1,"priority_id":2,"assigned_to_id":338,"start_date":"2017-11-26","description":"","custom_fields":[{"id":1,"name":"Subdivision","value":"EC"},{"id":4,"name":"Milepost","value":"23.3198"},{"id":17,"name":"Train ID","value":"127-26"},{"id":16,"name":"Locomotive ID","value":"4006"},{"id":130,"name":"Impact","value":""},{"id":150,"name":"Time of Event (Mountain Time)","value":"07:46:42"},{"id":151,"name":"Denver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4006 --day 2017-11-26</v>
      </c>
      <c r="AN40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14:46:42"},{"id":29,"name":"Sharepoint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-26T06:01:32-0700',mode:absolute,to:'2017-11-26T08:46:42-0700'))&amp;_a=(columns:!('Message%20ID',Summary),filters:!(),index:'emp_*',interval:auto,query:(query_string:(analyze_wildcard:!t,query:'%22rtdc.l.rtdc.4006%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737</v>
      </c>
      <c r="B41" s="226">
        <v>4005</v>
      </c>
      <c r="C41" s="228" t="s">
        <v>192</v>
      </c>
      <c r="D41" s="228" t="s">
        <v>614</v>
      </c>
      <c r="E41" s="227">
        <v>43065.328321759262</v>
      </c>
      <c r="F41" s="227">
        <v>43065.331446759257</v>
      </c>
      <c r="G41" s="226">
        <v>66</v>
      </c>
      <c r="H41" s="228" t="s">
        <v>444</v>
      </c>
      <c r="I41" s="227">
        <v>43065.361273148148</v>
      </c>
      <c r="J41" s="226">
        <v>0</v>
      </c>
      <c r="K41" s="238" t="str">
        <f t="shared" si="0"/>
        <v>4005/4006</v>
      </c>
      <c r="L41" s="246" t="str">
        <f>VLOOKUP(A41,'Trips&amp;Operators'!$C$1:$G$99911,5,FALSE)</f>
        <v>WILLIAMS DONTE</v>
      </c>
      <c r="M41" s="225">
        <f t="shared" si="1"/>
        <v>2.9826388890796807E-2</v>
      </c>
      <c r="N41" s="226">
        <f t="shared" si="2"/>
        <v>42.950000002747402</v>
      </c>
      <c r="O41" s="226"/>
      <c r="P41" s="226"/>
      <c r="Q41" s="229"/>
      <c r="R41" s="243"/>
      <c r="S41" s="250">
        <f t="shared" si="3"/>
        <v>1</v>
      </c>
      <c r="T41" s="243" t="str">
        <f t="shared" si="4"/>
        <v>Southbound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-26T06:52:47-0700',mode:absolute,to:'2017-11-26T09:40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248" t="str">
        <f>IF(AA41&lt;VLOOKUP(AG41,Variables!$AC$3:$AD$8,2,FALSE),"Y","N")</f>
        <v>N</v>
      </c>
      <c r="X41" s="248">
        <f t="shared" si="6"/>
        <v>1</v>
      </c>
      <c r="Y41" s="248">
        <f t="shared" si="7"/>
        <v>23.2879</v>
      </c>
      <c r="Z41" s="248">
        <f t="shared" si="8"/>
        <v>2.1399999999999999E-2</v>
      </c>
      <c r="AA41" s="248">
        <f t="shared" si="9"/>
        <v>23.266500000000001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128</v>
      </c>
      <c r="AE41" s="236" t="str">
        <f t="shared" si="11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41" s="235" t="str">
        <f t="shared" si="12"/>
        <v>"C:\Program Files (x86)\AstroGrep\AstroGrep.exe" /e /r /s /spath="%USERPROFILE%\AppData\Local\Temp\OnboardLogs" /stypes="app*4005*20171126*" /stext=" 15:.+((SYSTEM_STATE.+slice.+state.+changed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128-26 --locoid 4005 --swversion DE.1.0.9.0 --startMP 204:232879 --initTime 2017-11-26T07:52:47 --startdatetime 2017-11-26T07:57:17 --delay 66 --endMP 204:214 --enddatetime 2017-11-26T08:40:14 --enforcementcount 0 &gt;&gt;%USERPROFILE%\Documents\GitHub\eaglep3-reporting\EC\2017-11-26-refined-times.txt</v>
      </c>
      <c r="AI41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{"issue":{"subject":"","project_id":79,"tracker_id":40,"status_id":1,"priority_id":2,"assigned_to_id":338,"start_date":"2017-11-26","description":"","custom_fields":[{"id":1,"name":"Subdivision","value":"EC"},{"id":4,"name":"Milepost","value":"0.0214"},{"id":17,"name":"Train ID","value":"128-26"},{"id":16,"name":"Locomotive ID","value":"4005"},{"id":130,"name":"Impact","value":""},{"id":150,"name":"Time of Event (Mountain Time)","value":"08:40:14"},{"id":151,"name":"Denver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4005 --day 2017-11-26</v>
      </c>
      <c r="AN41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-11-26T06:52:47-0700',mode:absolute,to:'2017-11-26T09:40:14-0700'))&amp;_a=(columns:!('Message%20ID',Summary),filters:!(),index:'emp_*',interval:auto,query:(query_string:(analyze_wildcard:!t,query:'%22rtdc.l.rtdc.4005%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732</v>
      </c>
      <c r="B42" s="226">
        <v>4016</v>
      </c>
      <c r="C42" s="228" t="s">
        <v>192</v>
      </c>
      <c r="D42" s="228" t="s">
        <v>899</v>
      </c>
      <c r="E42" s="227">
        <v>43065.299884259257</v>
      </c>
      <c r="F42" s="227">
        <v>43065.302256944444</v>
      </c>
      <c r="G42" s="226">
        <v>56</v>
      </c>
      <c r="H42" s="228" t="s">
        <v>914</v>
      </c>
      <c r="I42" s="227">
        <v>43065.328692129631</v>
      </c>
      <c r="J42" s="226">
        <v>0</v>
      </c>
      <c r="K42" s="238" t="str">
        <f t="shared" si="0"/>
        <v>4015/4016</v>
      </c>
      <c r="L42" s="246" t="str">
        <f>VLOOKUP(A42,'Trips&amp;Operators'!$C$1:$G$99911,5,FALSE)</f>
        <v>MAELZER KURT</v>
      </c>
      <c r="M42" s="225">
        <f t="shared" si="1"/>
        <v>2.6435185187438037E-2</v>
      </c>
      <c r="N42" s="226">
        <f t="shared" si="2"/>
        <v>38.066666669910774</v>
      </c>
      <c r="O42" s="226"/>
      <c r="P42" s="226"/>
      <c r="Q42" s="229"/>
      <c r="R42" s="243"/>
      <c r="S42" s="250">
        <f t="shared" si="3"/>
        <v>1</v>
      </c>
      <c r="T42" s="243" t="str">
        <f t="shared" si="4"/>
        <v>NorthBound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-26T06:11:50-0700',mode:absolute,to:'2017-11-26T08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248" t="str">
        <f>IF(AA42&lt;VLOOKUP(AG42,Variables!$AC$3:$AD$8,2,FALSE),"Y","N")</f>
        <v>N</v>
      </c>
      <c r="X42" s="248">
        <f t="shared" si="6"/>
        <v>1</v>
      </c>
      <c r="Y42" s="248">
        <f t="shared" si="7"/>
        <v>4.9500000000000002E-2</v>
      </c>
      <c r="Z42" s="248">
        <f t="shared" si="8"/>
        <v>23.3293</v>
      </c>
      <c r="AA42" s="248">
        <f t="shared" si="9"/>
        <v>23.279800000000002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129</v>
      </c>
      <c r="AE42" s="236" t="str">
        <f t="shared" si="11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42" s="235" t="str">
        <f t="shared" si="12"/>
        <v>"C:\Program Files (x86)\AstroGrep\AstroGrep.exe" /e /r /s /spath="%USERPROFILE%\AppData\Local\Temp\OnboardLogs" /stypes="app*4016*20171126*" /stext=" 14:.+((SYSTEM_STATE.+slice.+state.+changed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129-26 --locoid 4016 --swversion DE.1.0.9.0 --startMP 204:495 --initTime 2017-11-26T07:11:50 --startdatetime 2017-11-26T07:15:15 --delay 56 --endMP 204:233293 --enddatetime 2017-11-26T07:53:19 --enforcementcount 0 &gt;&gt;%USERPROFILE%\Documents\GitHub\eaglep3-reporting\EC\2017-11-26-refined-times.txt</v>
      </c>
      <c r="AI42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{"issue":{"subject":"","project_id":79,"tracker_id":40,"status_id":1,"priority_id":2,"assigned_to_id":338,"start_date":"2017-11-26","description":"","custom_fields":[{"id":1,"name":"Subdivision","value":"EC"},{"id":4,"name":"Milepost","value":"23.3293"},{"id":17,"name":"Train ID","value":"129-26"},{"id":16,"name":"Locomotive ID","value":"4016"},{"id":130,"name":"Impact","value":""},{"id":150,"name":"Time of Event (Mountain Time)","value":"07:53:19"},{"id":151,"name":"Denver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4016 --day 2017-11-26</v>
      </c>
      <c r="AN42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-26T06:11:50-0700',mode:absolute,to:'2017-11-26T08:53:19-0700'))&amp;_a=(columns:!('Message%20ID',Summary),filters:!(),index:'emp_*',interval:auto,query:(query_string:(analyze_wildcard:!t,query:'%22rtdc.l.rtdc.4016%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740</v>
      </c>
      <c r="B43" s="226">
        <v>4015</v>
      </c>
      <c r="C43" s="228" t="s">
        <v>192</v>
      </c>
      <c r="D43" s="228" t="s">
        <v>915</v>
      </c>
      <c r="E43" s="227">
        <v>43065.336840277778</v>
      </c>
      <c r="F43" s="227">
        <v>43065.341840277775</v>
      </c>
      <c r="G43" s="226">
        <v>52</v>
      </c>
      <c r="H43" s="228" t="s">
        <v>896</v>
      </c>
      <c r="I43" s="227">
        <v>43065.36990740741</v>
      </c>
      <c r="J43" s="226">
        <v>0</v>
      </c>
      <c r="K43" s="238" t="str">
        <f t="shared" si="0"/>
        <v>4015/4016</v>
      </c>
      <c r="L43" s="246" t="str">
        <f>VLOOKUP(A43,'Trips&amp;Operators'!$C$1:$G$99911,5,FALSE)</f>
        <v>MAELZER KURT</v>
      </c>
      <c r="M43" s="225">
        <f t="shared" si="1"/>
        <v>2.8067129635019228E-2</v>
      </c>
      <c r="N43" s="226">
        <f t="shared" si="2"/>
        <v>40.416666674427688</v>
      </c>
      <c r="O43" s="226"/>
      <c r="P43" s="226"/>
      <c r="Q43" s="229"/>
      <c r="R43" s="243"/>
      <c r="S43" s="250">
        <f t="shared" si="3"/>
        <v>1</v>
      </c>
      <c r="T43" s="243" t="str">
        <f t="shared" si="4"/>
        <v>Southbound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-26T07:05:03-0700',mode:absolute,to:'2017-11-26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248" t="str">
        <f>IF(AA43&lt;VLOOKUP(AG43,Variables!$AC$3:$AD$8,2,FALSE),"Y","N")</f>
        <v>N</v>
      </c>
      <c r="X43" s="248">
        <f t="shared" si="6"/>
        <v>1</v>
      </c>
      <c r="Y43" s="248">
        <f t="shared" si="7"/>
        <v>23.298400000000001</v>
      </c>
      <c r="Z43" s="248">
        <f t="shared" si="8"/>
        <v>1.9400000000000001E-2</v>
      </c>
      <c r="AA43" s="248">
        <f t="shared" si="9"/>
        <v>23.279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130</v>
      </c>
      <c r="AE43" s="236" t="str">
        <f t="shared" si="11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43" s="235" t="str">
        <f t="shared" si="12"/>
        <v>"C:\Program Files (x86)\AstroGrep\AstroGrep.exe" /e /r /s /spath="%USERPROFILE%\AppData\Local\Temp\OnboardLogs" /stypes="app*4015*20171126*"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130-26 --locoid 4015 --swversion DE.1.0.9.0 --startMP 204:232984 --initTime 2017-11-26T08:05:03 --startdatetime 2017-11-26T08:12:15 --delay 52 --endMP 204:194 --enddatetime 2017-11-26T08:52:40 --enforcementcount 0 &gt;&gt;%USERPROFILE%\Documents\GitHub\eaglep3-reporting\EC\2017-11-26-refined-times.txt</v>
      </c>
      <c r="AI43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{"issue":{"subject":"","project_id":79,"tracker_id":40,"status_id":1,"priority_id":2,"assigned_to_id":338,"start_date":"2017-11-26","description":"","custom_fields":[{"id":1,"name":"Subdivision","value":"EC"},{"id":4,"name":"Milepost","value":"0.0194"},{"id":17,"name":"Train ID","value":"130-26"},{"id":16,"name":"Locomotive ID","value":"4015"},{"id":130,"name":"Impact","value":""},{"id":150,"name":"Time of Event (Mountain Time)","value":"08:52:40"},{"id":151,"name":"Denver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4015 --day 2017-11-26</v>
      </c>
      <c r="AN43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-26T07:05:03-0700',mode:absolute,to:'2017-11-26T09:52:40-0700'))&amp;_a=(columns:!('Message%20ID',Summary),filters:!(),index:'emp_*',interval:auto,query:(query_string:(analyze_wildcard:!t,query:'%22rtdc.l.rtdc.4015%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734</v>
      </c>
      <c r="B44" s="226">
        <v>4040</v>
      </c>
      <c r="C44" s="228" t="s">
        <v>192</v>
      </c>
      <c r="D44" s="228" t="s">
        <v>551</v>
      </c>
      <c r="E44" s="227">
        <v>43065.309756944444</v>
      </c>
      <c r="F44" s="227">
        <v>43065.313321759262</v>
      </c>
      <c r="G44" s="226">
        <v>77</v>
      </c>
      <c r="H44" s="228" t="s">
        <v>596</v>
      </c>
      <c r="I44" s="227">
        <v>43065.339189814818</v>
      </c>
      <c r="J44" s="226">
        <v>0</v>
      </c>
      <c r="K44" s="238" t="str">
        <f t="shared" si="0"/>
        <v>4039/4040</v>
      </c>
      <c r="L44" s="246" t="str">
        <f>VLOOKUP(A44,'Trips&amp;Operators'!$C$1:$G$99911,5,FALSE)</f>
        <v>LAMAR NEKESHA</v>
      </c>
      <c r="M44" s="225">
        <f t="shared" si="1"/>
        <v>2.5868055556202307E-2</v>
      </c>
      <c r="N44" s="226">
        <f t="shared" si="2"/>
        <v>37.250000000931323</v>
      </c>
      <c r="O44" s="226"/>
      <c r="P44" s="226"/>
      <c r="Q44" s="229"/>
      <c r="R44" s="243"/>
      <c r="S44" s="250">
        <f t="shared" si="3"/>
        <v>1</v>
      </c>
      <c r="T44" s="243" t="str">
        <f t="shared" si="4"/>
        <v>NorthBound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-26T06:26:03-0700',mode:absolute,to:'2017-11-26T09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4" s="248" t="str">
        <f>IF(AA44&lt;VLOOKUP(AG44,Variables!$AC$3:$AD$8,2,FALSE),"Y","N")</f>
        <v>N</v>
      </c>
      <c r="X44" s="248">
        <f t="shared" si="6"/>
        <v>1</v>
      </c>
      <c r="Y44" s="248">
        <f t="shared" si="7"/>
        <v>4.9299999999999997E-2</v>
      </c>
      <c r="Z44" s="248">
        <f t="shared" si="8"/>
        <v>23.33</v>
      </c>
      <c r="AA44" s="248">
        <f t="shared" si="9"/>
        <v>23.2807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131</v>
      </c>
      <c r="AE44" s="236" t="str">
        <f t="shared" si="11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44" s="235" t="str">
        <f t="shared" si="12"/>
        <v>"C:\Program Files (x86)\AstroGrep\AstroGrep.exe" /e /r /s /spath="%USERPROFILE%\AppData\Local\Temp\OnboardLogs" /stypes="app*4040*20171126*" /stext=" 15:.+((SYSTEM_STATE.+slice.+state.+changed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131-26 --locoid 4040 --swversion DE.1.0.9.0 --startMP 204:493 --initTime 2017-11-26T07:26:03 --startdatetime 2017-11-26T07:31:11 --delay 77 --endMP 204:233300 --enddatetime 2017-11-26T08:08:26 --enforcementcount 0 &gt;&gt;%USERPROFILE%\Documents\GitHub\eaglep3-reporting\EC\2017-11-26-refined-times.txt</v>
      </c>
      <c r="AI44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{"issue":{"subject":"","project_id":79,"tracker_id":40,"status_id":1,"priority_id":2,"assigned_to_id":338,"start_date":"2017-11-26","description":"","custom_fields":[{"id":1,"name":"Subdivision","value":"EC"},{"id":4,"name":"Milepost","value":"23.33"},{"id":17,"name":"Train ID","value":"131-26"},{"id":16,"name":"Locomotive ID","value":"4040"},{"id":130,"name":"Impact","value":""},{"id":150,"name":"Time of Event (Mountain Time)","value":"08:08:26"},{"id":151,"name":"Denver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4040 --day 2017-11-26</v>
      </c>
      <c r="AN44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-26T06:26:03-0700',mode:absolute,to:'2017-11-26T09:08:26-0700'))&amp;_a=(columns:!('Message%20ID',Summary),filters:!(),index:'emp_*',interval:auto,query:(query_string:(analyze_wildcard:!t,query:'%22rtdc.l.rtdc.4040%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742</v>
      </c>
      <c r="B45" s="226">
        <v>4039</v>
      </c>
      <c r="C45" s="228" t="s">
        <v>192</v>
      </c>
      <c r="D45" s="228" t="s">
        <v>488</v>
      </c>
      <c r="E45" s="227">
        <v>43065.350046296298</v>
      </c>
      <c r="F45" s="227">
        <v>43065.352314814816</v>
      </c>
      <c r="G45" s="226">
        <v>73</v>
      </c>
      <c r="H45" s="228" t="s">
        <v>473</v>
      </c>
      <c r="I45" s="227">
        <v>43065.379606481481</v>
      </c>
      <c r="J45" s="226">
        <v>0</v>
      </c>
      <c r="K45" s="238" t="str">
        <f t="shared" ref="K45:K75" si="24">IF(ISEVEN(B45),(B45-1)&amp;"/"&amp;B45,B45&amp;"/"&amp;(B45+1))</f>
        <v>4039/4040</v>
      </c>
      <c r="L45" s="246" t="str">
        <f>VLOOKUP(A45,'Trips&amp;Operators'!$C$1:$G$99911,5,FALSE)</f>
        <v>LAMAR NEKESHA</v>
      </c>
      <c r="M45" s="225">
        <f t="shared" ref="M45:M75" si="25">I45-F45</f>
        <v>2.7291666665405501E-2</v>
      </c>
      <c r="N45" s="226">
        <f t="shared" ref="N45:N75" si="26">24*60*SUM($M45:$M45)</f>
        <v>39.299999998183921</v>
      </c>
      <c r="O45" s="226"/>
      <c r="P45" s="226"/>
      <c r="Q45" s="229"/>
      <c r="R45" s="243"/>
      <c r="S45" s="250">
        <f t="shared" ref="S45:S75" si="27">1/IF(AG45="EC",12,1)*SUM(U45:U45)</f>
        <v>1</v>
      </c>
      <c r="T45" s="243" t="str">
        <f t="shared" ref="T45:T75" si="28">IF(ISEVEN(LEFT(AD45,4)),"Southbound","NorthBound")</f>
        <v>Southbound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ref="V45:V75" si="29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-26T07:24:04-0700',mode:absolute,to:'2017-11-26T10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5" s="248" t="str">
        <f>IF(AA45&lt;VLOOKUP(AG45,Variables!$AC$3:$AD$8,2,FALSE),"Y","N")</f>
        <v>N</v>
      </c>
      <c r="X45" s="248">
        <f t="shared" ref="X45:X75" si="30">VALUE(LEFT(AD45,4))-VALUE(LEFT(AD44,4))</f>
        <v>1</v>
      </c>
      <c r="Y45" s="248">
        <f t="shared" ref="Y45:Y75" si="31">RIGHT(D45,LEN(D45)-4)/10000</f>
        <v>23.297000000000001</v>
      </c>
      <c r="Z45" s="248">
        <f t="shared" ref="Z45:Z75" si="32">RIGHT(H45,LEN(H45)-4)/10000</f>
        <v>1.9800000000000002E-2</v>
      </c>
      <c r="AA45" s="248">
        <f t="shared" ref="AA45:AA75" si="33">ABS(Z45-Y45)</f>
        <v>23.277200000000001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ref="AD45:AD75" si="34">VALUE(LEFT(A45,LEN(A45)-3))</f>
        <v>132</v>
      </c>
      <c r="AE45" s="236" t="str">
        <f t="shared" ref="AE45:AE75" si="35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45" s="235" t="str">
        <f t="shared" ref="AF45:AF75" si="36"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/stypes="app*4039*20171126*" /stext=" 16:.+((SYSTEM_STATE.+slice.+state.+changed )|(ment ac)|(multiple cpu faults)|(system.+state.+changed )|(\[timeout)|(PRM\|1\|D)|(kpr)|(kdp)|(train st.+moving)|(\|lc)|(penalty))"</v>
      </c>
      <c r="AG45" s="245" t="str">
        <f t="shared" ref="AG45:AG75" si="37">DetSubdiv(A45)</f>
        <v>EC</v>
      </c>
      <c r="AH45" s="237" t="str">
        <f t="shared" si="19"/>
        <v>"%USERPROFILE%\Documents\GitHub\eaglep3\Utilities\RefineRTDCRunTimes.py" --tripid 132-26 --locoid 4039 --swversion DE.1.0.9.0 --startMP 204:232970 --initTime 2017-11-26T08:24:04 --startdatetime 2017-11-26T08:27:20 --delay 73 --endMP 204:198 --enddatetime 2017-11-26T09:06:38 --enforcementcount 0 &gt;&gt;%USERPROFILE%\Documents\GitHub\eaglep3-reporting\EC\2017-11-26-refined-times.txt</v>
      </c>
      <c r="AI4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{"issue":{"subject":"","project_id":79,"tracker_id":40,"status_id":1,"priority_id":2,"assigned_to_id":338,"start_date":"2017-11-26","description":"","custom_fields":[{"id":1,"name":"Subdivision","value":"EC"},{"id":4,"name":"Milepost","value":"0.0198"},{"id":17,"name":"Train ID","value":"132-26"},{"id":16,"name":"Locomotive ID","value":"4039"},{"id":130,"name":"Impact","value":""},{"id":150,"name":"Time of Event (Mountain Time)","value":"09:06:38"},{"id":151,"name":"Denver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4039 --day 2017-11-26</v>
      </c>
      <c r="AN4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-26T07:24:04-0700',mode:absolute,to:'2017-11-26T10:06:38-0700'))&amp;_a=(columns:!('Message%20ID',Summary),filters:!(),index:'emp_*',interval:auto,query:(query_string:(analyze_wildcard:!t,query:'%22rtdc.l.rtdc.4039%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736</v>
      </c>
      <c r="B46" s="226">
        <v>4008</v>
      </c>
      <c r="C46" s="228" t="s">
        <v>192</v>
      </c>
      <c r="D46" s="228" t="s">
        <v>916</v>
      </c>
      <c r="E46" s="227">
        <v>43065.319641203707</v>
      </c>
      <c r="F46" s="227">
        <v>43065.323194444441</v>
      </c>
      <c r="G46" s="226">
        <v>59</v>
      </c>
      <c r="H46" s="228" t="s">
        <v>917</v>
      </c>
      <c r="I46" s="227">
        <v>43065.348634259259</v>
      </c>
      <c r="J46" s="226">
        <v>0</v>
      </c>
      <c r="K46" s="238" t="str">
        <f t="shared" si="24"/>
        <v>4007/4008</v>
      </c>
      <c r="L46" s="246" t="str">
        <f>VLOOKUP(A46,'Trips&amp;Operators'!$C$1:$G$99911,5,FALSE)</f>
        <v>LOPES KIMBERLY</v>
      </c>
      <c r="M46" s="225">
        <f t="shared" si="25"/>
        <v>2.5439814817218576E-2</v>
      </c>
      <c r="N46" s="226">
        <f t="shared" si="26"/>
        <v>36.633333336794749</v>
      </c>
      <c r="O46" s="226"/>
      <c r="P46" s="226"/>
      <c r="Q46" s="229"/>
      <c r="R46" s="243"/>
      <c r="S46" s="250">
        <f t="shared" si="27"/>
        <v>1</v>
      </c>
      <c r="T46" s="243" t="str">
        <f t="shared" si="28"/>
        <v>NorthBound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29"/>
        <v>https://d0f6bd738d7f1b3e5a7ca70fe4ff75f0.us-east-1.aws.found.io/app/kibana#/discover/Steve-Slow-Train-Analysis-(2080s-and-2083s)?_g=(refreshInterval:(display:Off,pause:!f,section:0,value:0),time:(from:'2017-11-26T06:40:17-0700',mode:absolute,to:'2017-11-26T09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248" t="str">
        <f>IF(AA46&lt;VLOOKUP(AG46,Variables!$AC$3:$AD$8,2,FALSE),"Y","N")</f>
        <v>N</v>
      </c>
      <c r="X46" s="248">
        <f t="shared" si="30"/>
        <v>1</v>
      </c>
      <c r="Y46" s="248">
        <f t="shared" si="31"/>
        <v>0.05</v>
      </c>
      <c r="Z46" s="248">
        <f t="shared" si="32"/>
        <v>23.3188</v>
      </c>
      <c r="AA46" s="248">
        <f t="shared" si="33"/>
        <v>23.268799999999999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34"/>
        <v>133</v>
      </c>
      <c r="AE46" s="236" t="str">
        <f t="shared" si="35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46" s="235" t="str">
        <f t="shared" si="36"/>
        <v>"C:\Program Files (x86)\AstroGrep\AstroGrep.exe" /e /r /s /spath="%USERPROFILE%\AppData\Local\Temp\OnboardLogs" /stypes="app*4008*20171126*" /stext=" 15:.+((SYSTEM_STATE.+slice.+state.+changed )|(ment ac)|(multiple cpu faults)|(system.+state.+changed )|(\[timeout)|(PRM\|1\|D)|(kpr)|(kdp)|(train st.+moving)|(\|lc)|(penalty))"</v>
      </c>
      <c r="AG46" s="245" t="str">
        <f t="shared" si="37"/>
        <v>EC</v>
      </c>
      <c r="AH46" s="237" t="str">
        <f t="shared" si="19"/>
        <v>"%USERPROFILE%\Documents\GitHub\eaglep3\Utilities\RefineRTDCRunTimes.py" --tripid 133-26 --locoid 4008 --swversion DE.1.0.9.0 --startMP 204:500 --initTime 2017-11-26T07:40:17 --startdatetime 2017-11-26T07:45:24 --delay 59 --endMP 204:233188 --enddatetime 2017-11-26T08:22:02 --enforcementcount 0 &gt;&gt;%USERPROFILE%\Documents\GitHub\eaglep3-reporting\EC\2017-11-26-refined-times.txt</v>
      </c>
      <c r="AI46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{"issue":{"subject":"","project_id":79,"tracker_id":40,"status_id":1,"priority_id":2,"assigned_to_id":338,"start_date":"2017-11-26","description":"","custom_fields":[{"id":1,"name":"Subdivision","value":"EC"},{"id":4,"name":"Milepost","value":"23.3188"},{"id":17,"name":"Train ID","value":"133-26"},{"id":16,"name":"Locomotive ID","value":"4008"},{"id":130,"name":"Impact","value":""},{"id":150,"name":"Time of Event (Mountain Time)","value":"08:22:02"},{"id":151,"name":"Denver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4008 --day 2017-11-26</v>
      </c>
      <c r="AN46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-26T06:40:17-0700',mode:absolute,to:'2017-11-26T09:22:02-0700'))&amp;_a=(columns:!('Message%20ID',Summary),filters:!(),index:'emp_*',interval:auto,query:(query_string:(analyze_wildcard:!t,query:'%22rtdc.l.rtdc.4008%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745</v>
      </c>
      <c r="B47" s="226">
        <v>4007</v>
      </c>
      <c r="C47" s="228" t="s">
        <v>192</v>
      </c>
      <c r="D47" s="228" t="s">
        <v>918</v>
      </c>
      <c r="E47" s="227">
        <v>43065.35564814815</v>
      </c>
      <c r="F47" s="227">
        <v>43065.362835648149</v>
      </c>
      <c r="G47" s="226">
        <v>55</v>
      </c>
      <c r="H47" s="228" t="s">
        <v>445</v>
      </c>
      <c r="I47" s="227">
        <v>43065.391203703701</v>
      </c>
      <c r="J47" s="226">
        <v>0</v>
      </c>
      <c r="K47" s="238" t="str">
        <f t="shared" si="24"/>
        <v>4007/4008</v>
      </c>
      <c r="L47" s="246" t="str">
        <f>VLOOKUP(A47,'Trips&amp;Operators'!$C$1:$G$99911,5,FALSE)</f>
        <v>LOPES KIMBERLY</v>
      </c>
      <c r="M47" s="225">
        <f t="shared" si="25"/>
        <v>2.8368055551254656E-2</v>
      </c>
      <c r="N47" s="226">
        <f t="shared" si="26"/>
        <v>40.849999993806705</v>
      </c>
      <c r="O47" s="226"/>
      <c r="P47" s="226"/>
      <c r="Q47" s="229"/>
      <c r="R47" s="243"/>
      <c r="S47" s="250">
        <f t="shared" si="27"/>
        <v>1</v>
      </c>
      <c r="T47" s="243" t="str">
        <f t="shared" si="28"/>
        <v>Southbound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29"/>
        <v>https://d0f6bd738d7f1b3e5a7ca70fe4ff75f0.us-east-1.aws.found.io/app/kibana#/discover/Steve-Slow-Train-Analysis-(2080s-and-2083s)?_g=(refreshInterval:(display:Off,pause:!f,section:0,value:0),time:(from:'2017-11-26T07:32:08-0700',mode:absolute,to:'2017-11-26T10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248" t="str">
        <f>IF(AA47&lt;VLOOKUP(AG47,Variables!$AC$3:$AD$8,2,FALSE),"Y","N")</f>
        <v>N</v>
      </c>
      <c r="X47" s="248">
        <f t="shared" si="30"/>
        <v>1</v>
      </c>
      <c r="Y47" s="248">
        <f t="shared" si="31"/>
        <v>23.287500000000001</v>
      </c>
      <c r="Z47" s="248">
        <f t="shared" si="32"/>
        <v>2.07E-2</v>
      </c>
      <c r="AA47" s="248">
        <f t="shared" si="33"/>
        <v>23.2668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34"/>
        <v>134</v>
      </c>
      <c r="AE47" s="236" t="str">
        <f t="shared" si="35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47" s="235" t="str">
        <f t="shared" si="36"/>
        <v>"C:\Program Files (x86)\AstroGrep\AstroGrep.exe" /e /r /s /spath="%USERPROFILE%\AppData\Local\Temp\OnboardLogs" /stypes="app*4007*20171126*" /stext=" 16:.+((SYSTEM_STATE.+slice.+state.+changed )|(ment ac)|(multiple cpu faults)|(system.+state.+changed )|(\[timeout)|(PRM\|1\|D)|(kpr)|(kdp)|(train st.+moving)|(\|lc)|(penalty))"</v>
      </c>
      <c r="AG47" s="245" t="str">
        <f t="shared" si="37"/>
        <v>EC</v>
      </c>
      <c r="AH47" s="237" t="str">
        <f t="shared" si="19"/>
        <v>"%USERPROFILE%\Documents\GitHub\eaglep3\Utilities\RefineRTDCRunTimes.py" --tripid 134-26 --locoid 4007 --swversion DE.1.0.9.0 --startMP 204:232875 --initTime 2017-11-26T08:32:08 --startdatetime 2017-11-26T08:42:29 --delay 55 --endMP 204:207 --enddatetime 2017-11-26T09:23:20 --enforcementcount 0 &gt;&gt;%USERPROFILE%\Documents\GitHub\eaglep3-reporting\EC\2017-11-26-refined-times.txt</v>
      </c>
      <c r="AI47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{"issue":{"subject":"","project_id":79,"tracker_id":40,"status_id":1,"priority_id":2,"assigned_to_id":338,"start_date":"2017-11-26","description":"","custom_fields":[{"id":1,"name":"Subdivision","value":"EC"},{"id":4,"name":"Milepost","value":"0.0207"},{"id":17,"name":"Train ID","value":"134-26"},{"id":16,"name":"Locomotive ID","value":"4007"},{"id":130,"name":"Impact","value":""},{"id":150,"name":"Time of Event (Mountain Time)","value":"09:23:20"},{"id":151,"name":"Denver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4007 --day 2017-11-26</v>
      </c>
      <c r="AN47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-26T07:32:08-0700',mode:absolute,to:'2017-11-26T10:23:20-0700'))&amp;_a=(columns:!('Message%20ID',Summary),filters:!(),index:'emp_*',interval:auto,query:(query_string:(analyze_wildcard:!t,query:'%22rtdc.l.rtdc.4007%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738</v>
      </c>
      <c r="B48" s="226">
        <v>4010</v>
      </c>
      <c r="C48" s="228" t="s">
        <v>192</v>
      </c>
      <c r="D48" s="228" t="s">
        <v>559</v>
      </c>
      <c r="E48" s="227">
        <v>43065.332129629627</v>
      </c>
      <c r="F48" s="227">
        <v>43065.333703703705</v>
      </c>
      <c r="G48" s="226">
        <v>51</v>
      </c>
      <c r="H48" s="228" t="s">
        <v>919</v>
      </c>
      <c r="I48" s="227">
        <v>43065.359236111108</v>
      </c>
      <c r="J48" s="226">
        <v>0</v>
      </c>
      <c r="K48" s="238" t="str">
        <f t="shared" si="24"/>
        <v>4009/4010</v>
      </c>
      <c r="L48" s="246" t="str">
        <f>VLOOKUP(A48,'Trips&amp;Operators'!$C$1:$G$99911,5,FALSE)</f>
        <v>PAGE MARCUS</v>
      </c>
      <c r="M48" s="225">
        <f t="shared" si="25"/>
        <v>2.5532407402351964E-2</v>
      </c>
      <c r="N48" s="226">
        <f t="shared" si="26"/>
        <v>36.766666659386829</v>
      </c>
      <c r="O48" s="226"/>
      <c r="P48" s="226"/>
      <c r="Q48" s="229"/>
      <c r="R48" s="243"/>
      <c r="S48" s="250">
        <f t="shared" si="27"/>
        <v>1</v>
      </c>
      <c r="T48" s="243" t="str">
        <f t="shared" si="28"/>
        <v>NorthBound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29"/>
        <v>https://d0f6bd738d7f1b3e5a7ca70fe4ff75f0.us-east-1.aws.found.io/app/kibana#/discover/Steve-Slow-Train-Analysis-(2080s-and-2083s)?_g=(refreshInterval:(display:Off,pause:!f,section:0,value:0),time:(from:'2017-11-26T06:58:16-0700',mode:absolute,to:'2017-11-26T09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248" t="str">
        <f>IF(AA48&lt;VLOOKUP(AG48,Variables!$AC$3:$AD$8,2,FALSE),"Y","N")</f>
        <v>N</v>
      </c>
      <c r="X48" s="248">
        <f t="shared" si="30"/>
        <v>1</v>
      </c>
      <c r="Y48" s="248">
        <f t="shared" si="31"/>
        <v>5.11E-2</v>
      </c>
      <c r="Z48" s="248">
        <f t="shared" si="32"/>
        <v>23.325500000000002</v>
      </c>
      <c r="AA48" s="248">
        <f t="shared" si="33"/>
        <v>23.2744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34"/>
        <v>135</v>
      </c>
      <c r="AE48" s="236" t="str">
        <f t="shared" si="35"/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48" s="235" t="str">
        <f t="shared" si="36"/>
        <v>"C:\Program Files (x86)\AstroGrep\AstroGrep.exe" /e /r /s /spath="%USERPROFILE%\AppData\Local\Temp\OnboardLogs" /stypes="app*4010*20171126*" /stext=" 15:.+((SYSTEM_STATE.+slice.+state.+changed )|(ment ac)|(multiple cpu faults)|(system.+state.+changed )|(\[timeout)|(PRM\|1\|D)|(kpr)|(kdp)|(train st.+moving)|(\|lc)|(penalty))"</v>
      </c>
      <c r="AG48" s="245" t="str">
        <f t="shared" si="37"/>
        <v>EC</v>
      </c>
      <c r="AH48" s="237" t="str">
        <f t="shared" si="19"/>
        <v>"%USERPROFILE%\Documents\GitHub\eaglep3\Utilities\RefineRTDCRunTimes.py" --tripid 135-26 --locoid 4010 --swversion DE.1.0.9.0 --startMP 204:511 --initTime 2017-11-26T07:58:16 --startdatetime 2017-11-26T08:00:32 --delay 51 --endMP 204:233255 --enddatetime 2017-11-26T08:37:18 --enforcementcount 0 &gt;&gt;%USERPROFILE%\Documents\GitHub\eaglep3-reporting\EC\2017-11-26-refined-times.txt</v>
      </c>
      <c r="AI48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{"issue":{"subject":"","project_id":79,"tracker_id":40,"status_id":1,"priority_id":2,"assigned_to_id":338,"start_date":"2017-11-26","description":"","custom_fields":[{"id":1,"name":"Subdivision","value":"EC"},{"id":4,"name":"Milepost","value":"23.3255"},{"id":17,"name":"Train ID","value":"135-26"},{"id":16,"name":"Locomotive ID","value":"4010"},{"id":130,"name":"Impact","value":""},{"id":150,"name":"Time of Event (Mountain Time)","value":"08:37:18"},{"id":151,"name":"Denver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4010 --day 2017-11-26</v>
      </c>
      <c r="AN48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-26T06:58:16-0700',mode:absolute,to:'2017-11-26T09:37:18-0700'))&amp;_a=(columns:!('Message%20ID',Summary),filters:!(),index:'emp_*',interval:auto,query:(query_string:(analyze_wildcard:!t,query:'%22rtdc.l.rtdc.4010%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747</v>
      </c>
      <c r="B49" s="226">
        <v>4009</v>
      </c>
      <c r="C49" s="228" t="s">
        <v>192</v>
      </c>
      <c r="D49" s="228" t="s">
        <v>630</v>
      </c>
      <c r="E49" s="227">
        <v>43065.367696759262</v>
      </c>
      <c r="F49" s="227">
        <v>43065.373217592591</v>
      </c>
      <c r="G49" s="226">
        <v>89</v>
      </c>
      <c r="H49" s="228" t="s">
        <v>920</v>
      </c>
      <c r="I49" s="227">
        <v>43065.401469907411</v>
      </c>
      <c r="J49" s="226">
        <v>0</v>
      </c>
      <c r="K49" s="238" t="str">
        <f t="shared" si="24"/>
        <v>4009/4010</v>
      </c>
      <c r="L49" s="246" t="str">
        <f>VLOOKUP(A49,'Trips&amp;Operators'!$C$1:$G$99911,5,FALSE)</f>
        <v>PAGE MARCUS</v>
      </c>
      <c r="M49" s="225">
        <f t="shared" si="25"/>
        <v>2.825231481983792E-2</v>
      </c>
      <c r="N49" s="226">
        <f t="shared" si="26"/>
        <v>40.683333340566605</v>
      </c>
      <c r="O49" s="226"/>
      <c r="P49" s="226"/>
      <c r="Q49" s="229"/>
      <c r="R49" s="243"/>
      <c r="S49" s="250">
        <f t="shared" si="27"/>
        <v>1</v>
      </c>
      <c r="T49" s="243" t="str">
        <f t="shared" si="28"/>
        <v>Southbound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29"/>
        <v>https://d0f6bd738d7f1b3e5a7ca70fe4ff75f0.us-east-1.aws.found.io/app/kibana#/discover/Steve-Slow-Train-Analysis-(2080s-and-2083s)?_g=(refreshInterval:(display:Off,pause:!f,section:0,value:0),time:(from:'2017-11-26T07:49:29-0700',mode:absolute,to:'2017-11-26T10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248" t="str">
        <f>IF(AA49&lt;VLOOKUP(AG49,Variables!$AC$3:$AD$8,2,FALSE),"Y","N")</f>
        <v>N</v>
      </c>
      <c r="X49" s="248">
        <f t="shared" si="30"/>
        <v>1</v>
      </c>
      <c r="Y49" s="248">
        <f t="shared" si="31"/>
        <v>23.295500000000001</v>
      </c>
      <c r="Z49" s="248">
        <f t="shared" si="32"/>
        <v>2.0500000000000001E-2</v>
      </c>
      <c r="AA49" s="248">
        <f t="shared" si="33"/>
        <v>23.275000000000002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34"/>
        <v>136</v>
      </c>
      <c r="AE49" s="236" t="str">
        <f t="shared" si="35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49" s="235" t="str">
        <f t="shared" si="36"/>
        <v>"C:\Program Files (x86)\AstroGrep\AstroGrep.exe" /e /r /s /spath="%USERPROFILE%\AppData\Local\Temp\OnboardLogs" /stypes="app*4009*20171126*" /stext=" 16:.+((SYSTEM_STATE.+slice.+state.+changed )|(ment ac)|(multiple cpu faults)|(system.+state.+changed )|(\[timeout)|(PRM\|1\|D)|(kpr)|(kdp)|(train st.+moving)|(\|lc)|(penalty))"</v>
      </c>
      <c r="AG49" s="245" t="str">
        <f t="shared" si="37"/>
        <v>EC</v>
      </c>
      <c r="AH49" s="237" t="str">
        <f t="shared" si="19"/>
        <v>"%USERPROFILE%\Documents\GitHub\eaglep3\Utilities\RefineRTDCRunTimes.py" --tripid 136-26 --locoid 4009 --swversion DE.1.0.9.0 --startMP 204:232955 --initTime 2017-11-26T08:49:29 --startdatetime 2017-11-26T08:57:26 --delay 89 --endMP 204:205 --enddatetime 2017-11-26T09:38:07 --enforcementcount 0 &gt;&gt;%USERPROFILE%\Documents\GitHub\eaglep3-reporting\EC\2017-11-26-refined-times.txt</v>
      </c>
      <c r="AI49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{"issue":{"subject":"","project_id":79,"tracker_id":40,"status_id":1,"priority_id":2,"assigned_to_id":338,"start_date":"2017-11-26","description":"","custom_fields":[{"id":1,"name":"Subdivision","value":"EC"},{"id":4,"name":"Milepost","value":"0.0205"},{"id":17,"name":"Train ID","value":"136-26"},{"id":16,"name":"Locomotive ID","value":"4009"},{"id":130,"name":"Impact","value":""},{"id":150,"name":"Time of Event (Mountain Time)","value":"09:38:07"},{"id":151,"name":"Denver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4009 --day 2017-11-26</v>
      </c>
      <c r="AN49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-26T07:49:29-0700',mode:absolute,to:'2017-11-26T10:38:07-0700'))&amp;_a=(columns:!('Message%20ID',Summary),filters:!(),index:'emp_*',interval:auto,query:(query_string:(analyze_wildcard:!t,query:'%22rtdc.l.rtdc.4009%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741</v>
      </c>
      <c r="B50" s="226">
        <v>4050</v>
      </c>
      <c r="C50" s="228" t="s">
        <v>192</v>
      </c>
      <c r="D50" s="228" t="s">
        <v>921</v>
      </c>
      <c r="E50" s="227">
        <v>43065.340497685182</v>
      </c>
      <c r="F50" s="227">
        <v>43065.343923611108</v>
      </c>
      <c r="G50" s="226">
        <v>53</v>
      </c>
      <c r="H50" s="228" t="s">
        <v>615</v>
      </c>
      <c r="I50" s="227">
        <v>43065.369212962964</v>
      </c>
      <c r="J50" s="226">
        <v>0</v>
      </c>
      <c r="K50" s="238" t="str">
        <f t="shared" si="24"/>
        <v>4049/4050</v>
      </c>
      <c r="L50" s="246" t="str">
        <f>VLOOKUP(A50,'Trips&amp;Operators'!$C$1:$G$99911,5,FALSE)</f>
        <v>GEBRETEKLE DAGNEW</v>
      </c>
      <c r="M50" s="225">
        <f t="shared" si="25"/>
        <v>2.5289351855462883E-2</v>
      </c>
      <c r="N50" s="226">
        <f t="shared" si="26"/>
        <v>36.416666671866551</v>
      </c>
      <c r="O50" s="226"/>
      <c r="P50" s="226"/>
      <c r="Q50" s="229"/>
      <c r="R50" s="243"/>
      <c r="S50" s="250">
        <f t="shared" si="27"/>
        <v>1</v>
      </c>
      <c r="T50" s="243" t="str">
        <f t="shared" si="28"/>
        <v>NorthBound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29"/>
        <v>https://d0f6bd738d7f1b3e5a7ca70fe4ff75f0.us-east-1.aws.found.io/app/kibana#/discover/Steve-Slow-Train-Analysis-(2080s-and-2083s)?_g=(refreshInterval:(display:Off,pause:!f,section:0,value:0),time:(from:'2017-11-26T07:10:19-0700',mode:absolute,to:'2017-11-26T09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0" s="248" t="str">
        <f>IF(AA50&lt;VLOOKUP(AG50,Variables!$AC$3:$AD$8,2,FALSE),"Y","N")</f>
        <v>N</v>
      </c>
      <c r="X50" s="248">
        <f t="shared" si="30"/>
        <v>1</v>
      </c>
      <c r="Y50" s="248">
        <f t="shared" si="31"/>
        <v>5.1299999999999998E-2</v>
      </c>
      <c r="Z50" s="248">
        <f t="shared" si="32"/>
        <v>23.3215</v>
      </c>
      <c r="AA50" s="248">
        <f t="shared" si="33"/>
        <v>23.270199999999999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34"/>
        <v>137</v>
      </c>
      <c r="AE50" s="236" t="str">
        <f t="shared" si="35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50" s="235" t="str">
        <f t="shared" si="36"/>
        <v>"C:\Program Files (x86)\AstroGrep\AstroGrep.exe" /e /r /s /spath="%USERPROFILE%\AppData\Local\Temp\OnboardLogs" /stypes="app*4050*20171126*" /stext=" 15:.+((SYSTEM_STATE.+slice.+state.+changed )|(ment ac)|(multiple cpu faults)|(system.+state.+changed )|(\[timeout)|(PRM\|1\|D)|(kpr)|(kdp)|(train st.+moving)|(\|lc)|(penalty))"</v>
      </c>
      <c r="AG50" s="245" t="str">
        <f t="shared" si="37"/>
        <v>EC</v>
      </c>
      <c r="AH50" s="237" t="str">
        <f t="shared" si="19"/>
        <v>"%USERPROFILE%\Documents\GitHub\eaglep3\Utilities\RefineRTDCRunTimes.py" --tripid 137-26 --locoid 4050 --swversion DE.1.0.9.0 --startMP 204:513 --initTime 2017-11-26T08:10:19 --startdatetime 2017-11-26T08:15:15 --delay 53 --endMP 204:233215 --enddatetime 2017-11-26T08:51:40 --enforcementcount 0 &gt;&gt;%USERPROFILE%\Documents\GitHub\eaglep3-reporting\EC\2017-11-26-refined-times.txt</v>
      </c>
      <c r="AI50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{"issue":{"subject":"","project_id":79,"tracker_id":40,"status_id":1,"priority_id":2,"assigned_to_id":338,"start_date":"2017-11-26","description":"","custom_fields":[{"id":1,"name":"Subdivision","value":"EC"},{"id":4,"name":"Milepost","value":"23.3215"},{"id":17,"name":"Train ID","value":"137-26"},{"id":16,"name":"Locomotive ID","value":"4050"},{"id":130,"name":"Impact","value":""},{"id":150,"name":"Time of Event (Mountain Time)","value":"08:51:40"},{"id":151,"name":"Denver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4050 --day 2017-11-26</v>
      </c>
      <c r="AN50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-26T07:10:19-0700',mode:absolute,to:'2017-11-26T09:51:40-0700'))&amp;_a=(columns:!('Message%20ID',Summary),filters:!(),index:'emp_*',interval:auto,query:(query_string:(analyze_wildcard:!t,query:'%22rtdc.l.rtdc.4050%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748</v>
      </c>
      <c r="B51" s="226">
        <v>4049</v>
      </c>
      <c r="C51" s="228" t="s">
        <v>192</v>
      </c>
      <c r="D51" s="228" t="s">
        <v>556</v>
      </c>
      <c r="E51" s="227">
        <v>43065.371608796297</v>
      </c>
      <c r="F51" s="227">
        <v>43065.383518518516</v>
      </c>
      <c r="G51" s="226">
        <v>65</v>
      </c>
      <c r="H51" s="228" t="s">
        <v>604</v>
      </c>
      <c r="I51" s="227">
        <v>43065.411585648151</v>
      </c>
      <c r="J51" s="226">
        <v>0</v>
      </c>
      <c r="K51" s="238" t="str">
        <f t="shared" si="24"/>
        <v>4049/4050</v>
      </c>
      <c r="L51" s="246" t="str">
        <f>VLOOKUP(A51,'Trips&amp;Operators'!$C$1:$G$99911,5,FALSE)</f>
        <v>GEBRETEKLE DAGNEW</v>
      </c>
      <c r="M51" s="225">
        <f t="shared" si="25"/>
        <v>2.8067129635019228E-2</v>
      </c>
      <c r="N51" s="226">
        <f t="shared" si="26"/>
        <v>40.416666674427688</v>
      </c>
      <c r="O51" s="226"/>
      <c r="P51" s="226"/>
      <c r="Q51" s="229"/>
      <c r="R51" s="243"/>
      <c r="S51" s="250">
        <f t="shared" si="27"/>
        <v>1</v>
      </c>
      <c r="T51" s="243" t="str">
        <f t="shared" si="28"/>
        <v>Southbound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29"/>
        <v>https://d0f6bd738d7f1b3e5a7ca70fe4ff75f0.us-east-1.aws.found.io/app/kibana#/discover/Steve-Slow-Train-Analysis-(2080s-and-2083s)?_g=(refreshInterval:(display:Off,pause:!f,section:0,value:0),time:(from:'2017-11-26T07:55:07-0700',mode:absolute,to:'2017-11-26T10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1" s="248" t="str">
        <f>IF(AA51&lt;VLOOKUP(AG51,Variables!$AC$3:$AD$8,2,FALSE),"Y","N")</f>
        <v>N</v>
      </c>
      <c r="X51" s="248">
        <f t="shared" si="30"/>
        <v>1</v>
      </c>
      <c r="Y51" s="248">
        <f t="shared" si="31"/>
        <v>23.289000000000001</v>
      </c>
      <c r="Z51" s="248">
        <f t="shared" si="32"/>
        <v>1.7399999999999999E-2</v>
      </c>
      <c r="AA51" s="248">
        <f t="shared" si="33"/>
        <v>23.271600000000003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34"/>
        <v>138</v>
      </c>
      <c r="AE51" s="236" t="str">
        <f t="shared" si="35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51" s="235" t="str">
        <f t="shared" si="36"/>
        <v>"C:\Program Files (x86)\AstroGrep\AstroGrep.exe" /e /r /s /spath="%USERPROFILE%\AppData\Local\Temp\OnboardLogs" /stypes="app*4049*20171126*" /stext=" 16:.+((SYSTEM_STATE.+slice.+state.+changed )|(ment ac)|(multiple cpu faults)|(system.+state.+changed )|(\[timeout)|(PRM\|1\|D)|(kpr)|(kdp)|(train st.+moving)|(\|lc)|(penalty))"</v>
      </c>
      <c r="AG51" s="245" t="str">
        <f t="shared" si="37"/>
        <v>EC</v>
      </c>
      <c r="AH51" s="237" t="str">
        <f t="shared" si="19"/>
        <v>"%USERPROFILE%\Documents\GitHub\eaglep3\Utilities\RefineRTDCRunTimes.py" --tripid 138-26 --locoid 4049 --swversion DE.1.0.9.0 --startMP 204:232890 --initTime 2017-11-26T08:55:07 --startdatetime 2017-11-26T09:12:16 --delay 65 --endMP 204:174 --enddatetime 2017-11-26T09:52:41 --enforcementcount 0 &gt;&gt;%USERPROFILE%\Documents\GitHub\eaglep3-reporting\EC\2017-11-26-refined-times.txt</v>
      </c>
      <c r="AI51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{"issue":{"subject":"","project_id":79,"tracker_id":40,"status_id":1,"priority_id":2,"assigned_to_id":338,"start_date":"2017-11-26","description":"","custom_fields":[{"id":1,"name":"Subdivision","value":"EC"},{"id":4,"name":"Milepost","value":"0.0174"},{"id":17,"name":"Train ID","value":"138-26"},{"id":16,"name":"Locomotive ID","value":"4049"},{"id":130,"name":"Impact","value":""},{"id":150,"name":"Time of Event (Mountain Time)","value":"09:52:41"},{"id":151,"name":"Denver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4049 --day 2017-11-26</v>
      </c>
      <c r="AN51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-26T07:55:07-0700',mode:absolute,to:'2017-11-26T10:52:41-0700'))&amp;_a=(columns:!('Message%20ID',Summary),filters:!(),index:'emp_*',interval:auto,query:(query_string:(analyze_wildcard:!t,query:'%22rtdc.l.rtdc.4049%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744</v>
      </c>
      <c r="B52" s="226">
        <v>4042</v>
      </c>
      <c r="C52" s="228" t="s">
        <v>192</v>
      </c>
      <c r="D52" s="228" t="s">
        <v>601</v>
      </c>
      <c r="E52" s="227">
        <v>43065.352048611108</v>
      </c>
      <c r="F52" s="227">
        <v>43065.354421296295</v>
      </c>
      <c r="G52" s="226">
        <v>63</v>
      </c>
      <c r="H52" s="228" t="s">
        <v>628</v>
      </c>
      <c r="I52" s="227">
        <v>43065.381180555552</v>
      </c>
      <c r="J52" s="226">
        <v>0</v>
      </c>
      <c r="K52" s="238" t="str">
        <f t="shared" si="24"/>
        <v>4041/4042</v>
      </c>
      <c r="L52" s="246" t="str">
        <f>VLOOKUP(A52,'Trips&amp;Operators'!$C$1:$G$99911,5,FALSE)</f>
        <v>THOMPSON LESTER</v>
      </c>
      <c r="M52" s="225">
        <f t="shared" si="25"/>
        <v>2.675925925723277E-2</v>
      </c>
      <c r="N52" s="226">
        <f t="shared" si="26"/>
        <v>38.533333330415189</v>
      </c>
      <c r="O52" s="226"/>
      <c r="P52" s="226"/>
      <c r="Q52" s="229"/>
      <c r="R52" s="243"/>
      <c r="S52" s="250">
        <f t="shared" si="27"/>
        <v>1</v>
      </c>
      <c r="T52" s="243" t="str">
        <f t="shared" si="28"/>
        <v>NorthBound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29"/>
        <v>https://d0f6bd738d7f1b3e5a7ca70fe4ff75f0.us-east-1.aws.found.io/app/kibana#/discover/Steve-Slow-Train-Analysis-(2080s-and-2083s)?_g=(refreshInterval:(display:Off,pause:!f,section:0,value:0),time:(from:'2017-11-26T07:26:57-0700',mode:absolute,to:'2017-11-26T10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48" t="str">
        <f>IF(AA52&lt;VLOOKUP(AG52,Variables!$AC$3:$AD$8,2,FALSE),"Y","N")</f>
        <v>N</v>
      </c>
      <c r="X52" s="248">
        <f t="shared" si="30"/>
        <v>1</v>
      </c>
      <c r="Y52" s="248">
        <f t="shared" si="31"/>
        <v>4.58E-2</v>
      </c>
      <c r="Z52" s="248">
        <f t="shared" si="32"/>
        <v>23.322500000000002</v>
      </c>
      <c r="AA52" s="248">
        <f t="shared" si="33"/>
        <v>23.276700000000002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34"/>
        <v>139</v>
      </c>
      <c r="AE52" s="236" t="str">
        <f t="shared" si="35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52" s="235" t="str">
        <f t="shared" si="36"/>
        <v>"C:\Program Files (x86)\AstroGrep\AstroGrep.exe" /e /r /s /spath="%USERPROFILE%\AppData\Local\Temp\OnboardLogs" /stypes="app*4042*20171126*" /stext=" 16:.+((SYSTEM_STATE.+slice.+state.+changed )|(ment ac)|(multiple cpu faults)|(system.+state.+changed )|(\[timeout)|(PRM\|1\|D)|(kpr)|(kdp)|(train st.+moving)|(\|lc)|(penalty))"</v>
      </c>
      <c r="AG52" s="245" t="str">
        <f t="shared" si="37"/>
        <v>EC</v>
      </c>
      <c r="AH52" s="237" t="str">
        <f t="shared" si="19"/>
        <v>"%USERPROFILE%\Documents\GitHub\eaglep3\Utilities\RefineRTDCRunTimes.py" --tripid 139-26 --locoid 4042 --swversion DE.1.0.9.0 --startMP 204:458 --initTime 2017-11-26T08:26:57 --startdatetime 2017-11-26T08:30:22 --delay 63 --endMP 204:233225 --enddatetime 2017-11-26T09:08:54 --enforcementcount 0 &gt;&gt;%USERPROFILE%\Documents\GitHub\eaglep3-reporting\EC\2017-11-26-refined-times.txt</v>
      </c>
      <c r="AI52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{"issue":{"subject":"","project_id":79,"tracker_id":40,"status_id":1,"priority_id":2,"assigned_to_id":338,"start_date":"2017-11-26","description":"","custom_fields":[{"id":1,"name":"Subdivision","value":"EC"},{"id":4,"name":"Milepost","value":"23.3225"},{"id":17,"name":"Train ID","value":"139-26"},{"id":16,"name":"Locomotive ID","value":"4042"},{"id":130,"name":"Impact","value":""},{"id":150,"name":"Time of Event (Mountain Time)","value":"09:08:54"},{"id":151,"name":"Denver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4042 --day 2017-11-26</v>
      </c>
      <c r="AN52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-26T07:26:57-0700',mode:absolute,to:'2017-11-26T10:08:54-0700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653</v>
      </c>
      <c r="B53" s="226">
        <v>4041</v>
      </c>
      <c r="C53" s="228" t="s">
        <v>192</v>
      </c>
      <c r="D53" s="228" t="s">
        <v>922</v>
      </c>
      <c r="E53" s="227">
        <v>43065.395520833335</v>
      </c>
      <c r="F53" s="227">
        <v>43065.397210648145</v>
      </c>
      <c r="G53" s="226">
        <v>78</v>
      </c>
      <c r="H53" s="228" t="s">
        <v>558</v>
      </c>
      <c r="I53" s="227">
        <v>43065.424618055556</v>
      </c>
      <c r="J53" s="226">
        <v>0</v>
      </c>
      <c r="K53" s="238" t="str">
        <f t="shared" si="24"/>
        <v>4041/4042</v>
      </c>
      <c r="L53" s="246" t="str">
        <f>VLOOKUP(A53,'Trips&amp;Operators'!$C$1:$G$99911,5,FALSE)</f>
        <v>THOMPSON LESTER</v>
      </c>
      <c r="M53" s="225">
        <f t="shared" si="25"/>
        <v>2.7407407411374152E-2</v>
      </c>
      <c r="N53" s="226">
        <f t="shared" si="26"/>
        <v>39.466666672378778</v>
      </c>
      <c r="O53" s="226"/>
      <c r="P53" s="226"/>
      <c r="Q53" s="229"/>
      <c r="R53" s="243" t="s">
        <v>1087</v>
      </c>
      <c r="S53" s="250">
        <f t="shared" si="27"/>
        <v>1</v>
      </c>
      <c r="T53" s="243" t="str">
        <f t="shared" si="28"/>
        <v>Southbound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29"/>
        <v>https://d0f6bd738d7f1b3e5a7ca70fe4ff75f0.us-east-1.aws.found.io/app/kibana#/discover/Steve-Slow-Train-Analysis-(2080s-and-2083s)?_g=(refreshInterval:(display:Off,pause:!f,section:0,value:0),time:(from:'2017-11-26T08:29:33-0700',mode:absolute,to:'2017-11-26T11:11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48" t="str">
        <f>IF(AA53&lt;VLOOKUP(AG53,Variables!$AC$3:$AD$8,2,FALSE),"Y","N")</f>
        <v>N</v>
      </c>
      <c r="X53" s="248">
        <f t="shared" si="30"/>
        <v>1</v>
      </c>
      <c r="Y53" s="248">
        <f t="shared" si="31"/>
        <v>23.288499999999999</v>
      </c>
      <c r="Z53" s="248">
        <f t="shared" si="32"/>
        <v>1.6500000000000001E-2</v>
      </c>
      <c r="AA53" s="248">
        <f t="shared" si="33"/>
        <v>23.271999999999998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34"/>
        <v>140</v>
      </c>
      <c r="AE53" s="236" t="str">
        <f t="shared" si="35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53" s="235" t="str">
        <f t="shared" si="36"/>
        <v>"C:\Program Files (x86)\AstroGrep\AstroGrep.exe" /e /r /s /spath="%USERPROFILE%\AppData\Local\Temp\OnboardLogs" /stypes="app*4041*20171126*" /stext=" 17:.+((SYSTEM_STATE.+slice.+state.+changed )|(ment ac)|(multiple cpu faults)|(system.+state.+changed )|(\[timeout)|(PRM\|1\|D)|(kpr)|(kdp)|(train st.+moving)|(\|lc)|(penalty))"</v>
      </c>
      <c r="AG53" s="245" t="str">
        <f t="shared" si="37"/>
        <v>EC</v>
      </c>
      <c r="AH53" s="237" t="str">
        <f t="shared" si="19"/>
        <v>"%USERPROFILE%\Documents\GitHub\eaglep3\Utilities\RefineRTDCRunTimes.py" --tripid 140-26 --locoid 4041 --swversion DE.1.0.9.0 --startMP 204:232885 --initTime 2017-11-26T09:29:33 --startdatetime 2017-11-26T09:31:59 --delay 78 --endMP 204:165 --enddatetime 2017-11-26T10:11:27 --enforcementcount 0 &gt;&gt;%USERPROFILE%\Documents\GitHub\eaglep3-reporting\EC\2017-11-26-refined-times.txt</v>
      </c>
      <c r="AI53" s="239" t="str">
        <f t="shared" si="20"/>
        <v>echo {"issue":{"subject":"Brief Wi-MAX data drop caused unhealthy banner","project_id":79,"tracker_id":40,"status_id":1,"priority_id":2,"assigned_to_id":338,"start_date":"2017-11-26","description":"","custom_fields":[{"id":1,"name":"Subdivision","value":"EC"},{"id":4,"name":"Milepost","value":"0.0165"},{"id":17,"name":"Train ID","value":"140-26"},{"id":16,"name":"Locomotive ID","value":"4041"},{"id":130,"name":"Impact","value":""},{"id":150,"name":"Time of Event (Mountain Time)","value":"10:11:27"},{"id":151,"name":"Denver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4041 --day 2017-11-26</v>
      </c>
      <c r="AN53" s="242" t="str">
        <f t="shared" si="22"/>
        <v>echo {"issue":{"subject":"Brief Wi-MAX data drop caused unhealthy banner","project_id":30,"tracker_id":4,"status_id":1,"priority_id":1,"assigned_to_id":10,"start_date":"2017-11-26","description":"","custom_fields":[{"id":30,"name":"Category","value":"Issue"},{"id":3,"name":"Functional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17:11:27"},{"id":29,"name":"Sharepoint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-26T08:29:33-0700',mode:absolute,to:'2017-11-26T11:11:27-0700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746</v>
      </c>
      <c r="B54" s="226">
        <v>4006</v>
      </c>
      <c r="C54" s="228" t="s">
        <v>192</v>
      </c>
      <c r="D54" s="228" t="s">
        <v>923</v>
      </c>
      <c r="E54" s="227">
        <v>43065.363032407404</v>
      </c>
      <c r="F54" s="227">
        <v>43065.364733796298</v>
      </c>
      <c r="G54" s="226">
        <v>62</v>
      </c>
      <c r="H54" s="228" t="s">
        <v>924</v>
      </c>
      <c r="I54" s="227">
        <v>43065.39167824074</v>
      </c>
      <c r="J54" s="226">
        <v>0</v>
      </c>
      <c r="K54" s="238" t="str">
        <f t="shared" si="24"/>
        <v>4005/4006</v>
      </c>
      <c r="L54" s="246" t="str">
        <f>VLOOKUP(A54,'Trips&amp;Operators'!$C$1:$G$99911,5,FALSE)</f>
        <v>WILLIAMS DONTE</v>
      </c>
      <c r="M54" s="225">
        <f t="shared" si="25"/>
        <v>2.6944444442051463E-2</v>
      </c>
      <c r="N54" s="226">
        <f t="shared" si="26"/>
        <v>38.799999996554106</v>
      </c>
      <c r="O54" s="226"/>
      <c r="P54" s="226"/>
      <c r="Q54" s="229"/>
      <c r="R54" s="243"/>
      <c r="S54" s="250">
        <f t="shared" si="27"/>
        <v>1</v>
      </c>
      <c r="T54" s="243" t="str">
        <f t="shared" si="28"/>
        <v>NorthBound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29"/>
        <v>https://d0f6bd738d7f1b3e5a7ca70fe4ff75f0.us-east-1.aws.found.io/app/kibana#/discover/Steve-Slow-Train-Analysis-(2080s-and-2083s)?_g=(refreshInterval:(display:Off,pause:!f,section:0,value:0),time:(from:'2017-11-26T07:42:46-0700',mode:absolute,to:'2017-11-26T10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4" s="248" t="str">
        <f>IF(AA54&lt;VLOOKUP(AG54,Variables!$AC$3:$AD$8,2,FALSE),"Y","N")</f>
        <v>N</v>
      </c>
      <c r="X54" s="248">
        <f t="shared" si="30"/>
        <v>1</v>
      </c>
      <c r="Y54" s="248">
        <f t="shared" si="31"/>
        <v>5.1700000000000003E-2</v>
      </c>
      <c r="Z54" s="248">
        <f t="shared" si="32"/>
        <v>23.318999999999999</v>
      </c>
      <c r="AA54" s="248">
        <f t="shared" si="33"/>
        <v>23.267299999999999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34"/>
        <v>141</v>
      </c>
      <c r="AE54" s="236" t="str">
        <f t="shared" si="35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54" s="235" t="str">
        <f t="shared" si="36"/>
        <v>"C:\Program Files (x86)\AstroGrep\AstroGrep.exe" /e /r /s /spath="%USERPROFILE%\AppData\Local\Temp\OnboardLogs" /stypes="app*4006*20171126*" /stext=" 16:.+((SYSTEM_STATE.+slice.+state.+changed )|(ment ac)|(multiple cpu faults)|(system.+state.+changed )|(\[timeout)|(PRM\|1\|D)|(kpr)|(kdp)|(train st.+moving)|(\|lc)|(penalty))"</v>
      </c>
      <c r="AG54" s="245" t="str">
        <f t="shared" si="37"/>
        <v>EC</v>
      </c>
      <c r="AH54" s="237" t="str">
        <f t="shared" si="19"/>
        <v>"%USERPROFILE%\Documents\GitHub\eaglep3\Utilities\RefineRTDCRunTimes.py" --tripid 141-26 --locoid 4006 --swversion DE.1.0.9.0 --startMP 204:517 --initTime 2017-11-26T08:42:46 --startdatetime 2017-11-26T08:45:13 --delay 62 --endMP 204:233190 --enddatetime 2017-11-26T09:24:01 --enforcementcount 0 &gt;&gt;%USERPROFILE%\Documents\GitHub\eaglep3-reporting\EC\2017-11-26-refined-times.txt</v>
      </c>
      <c r="AI54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{"issue":{"subject":"","project_id":79,"tracker_id":40,"status_id":1,"priority_id":2,"assigned_to_id":338,"start_date":"2017-11-26","description":"","custom_fields":[{"id":1,"name":"Subdivision","value":"EC"},{"id":4,"name":"Milepost","value":"23.319"},{"id":17,"name":"Train ID","value":"141-26"},{"id":16,"name":"Locomotive ID","value":"4006"},{"id":130,"name":"Impact","value":""},{"id":150,"name":"Time of Event (Mountain Time)","value":"09:24:01"},{"id":151,"name":"Denver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4006 --day 2017-11-26</v>
      </c>
      <c r="AN54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-26T07:42:46-0700',mode:absolute,to:'2017-11-26T10:24:01-0700'))&amp;_a=(columns:!('Message%20ID',Summary),filters:!(),index:'emp_*',interval:auto,query:(query_string:(analyze_wildcard:!t,query:'%22rtdc.l.rtdc.4006%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753</v>
      </c>
      <c r="B55" s="226">
        <v>4005</v>
      </c>
      <c r="C55" s="228" t="s">
        <v>192</v>
      </c>
      <c r="D55" s="228" t="s">
        <v>925</v>
      </c>
      <c r="E55" s="227">
        <v>43065.401099537034</v>
      </c>
      <c r="F55" s="227">
        <v>43065.404664351852</v>
      </c>
      <c r="G55" s="226">
        <v>76</v>
      </c>
      <c r="H55" s="228" t="s">
        <v>926</v>
      </c>
      <c r="I55" s="227">
        <v>43065.431087962963</v>
      </c>
      <c r="J55" s="226">
        <v>0</v>
      </c>
      <c r="K55" s="238" t="str">
        <f t="shared" si="24"/>
        <v>4005/4006</v>
      </c>
      <c r="L55" s="246" t="str">
        <f>VLOOKUP(A55,'Trips&amp;Operators'!$C$1:$G$99911,5,FALSE)</f>
        <v>WILLIAMS DONTE</v>
      </c>
      <c r="M55" s="225">
        <f t="shared" si="25"/>
        <v>2.6423611110658385E-2</v>
      </c>
      <c r="N55" s="226">
        <f t="shared" si="26"/>
        <v>38.049999999348074</v>
      </c>
      <c r="O55" s="226"/>
      <c r="P55" s="226"/>
      <c r="Q55" s="229"/>
      <c r="R55" s="243"/>
      <c r="S55" s="250">
        <f t="shared" si="27"/>
        <v>1</v>
      </c>
      <c r="T55" s="243" t="str">
        <f t="shared" si="28"/>
        <v>Southbound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29"/>
        <v>https://d0f6bd738d7f1b3e5a7ca70fe4ff75f0.us-east-1.aws.found.io/app/kibana#/discover/Steve-Slow-Train-Analysis-(2080s-and-2083s)?_g=(refreshInterval:(display:Off,pause:!f,section:0,value:0),time:(from:'2017-11-26T08:37:35-0700',mode:absolute,to:'2017-11-26T11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5" s="248" t="str">
        <f>IF(AA55&lt;VLOOKUP(AG55,Variables!$AC$3:$AD$8,2,FALSE),"Y","N")</f>
        <v>N</v>
      </c>
      <c r="X55" s="248">
        <f t="shared" si="30"/>
        <v>1</v>
      </c>
      <c r="Y55" s="248">
        <f t="shared" si="31"/>
        <v>23.286899999999999</v>
      </c>
      <c r="Z55" s="248">
        <f t="shared" si="32"/>
        <v>2.23E-2</v>
      </c>
      <c r="AA55" s="248">
        <f t="shared" si="33"/>
        <v>23.264599999999998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34"/>
        <v>142</v>
      </c>
      <c r="AE55" s="236" t="str">
        <f t="shared" si="35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55" s="235" t="str">
        <f t="shared" si="36"/>
        <v>"C:\Program Files (x86)\AstroGrep\AstroGrep.exe" /e /r /s /spath="%USERPROFILE%\AppData\Local\Temp\OnboardLogs" /stypes="app*4005*20171126*" /stext=" 17:.+((SYSTEM_STATE.+slice.+state.+changed )|(ment ac)|(multiple cpu faults)|(system.+state.+changed )|(\[timeout)|(PRM\|1\|D)|(kpr)|(kdp)|(train st.+moving)|(\|lc)|(penalty))"</v>
      </c>
      <c r="AG55" s="245" t="str">
        <f t="shared" si="37"/>
        <v>EC</v>
      </c>
      <c r="AH55" s="237" t="str">
        <f t="shared" si="19"/>
        <v>"%USERPROFILE%\Documents\GitHub\eaglep3\Utilities\RefineRTDCRunTimes.py" --tripid 142-26 --locoid 4005 --swversion DE.1.0.9.0 --startMP 204:232869 --initTime 2017-11-26T09:37:35 --startdatetime 2017-11-26T09:42:43 --delay 76 --endMP 204:223 --enddatetime 2017-11-26T10:20:46 --enforcementcount 0 &gt;&gt;%USERPROFILE%\Documents\GitHub\eaglep3-reporting\EC\2017-11-26-refined-times.txt</v>
      </c>
      <c r="AI5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{"issue":{"subject":"","project_id":79,"tracker_id":40,"status_id":1,"priority_id":2,"assigned_to_id":338,"start_date":"2017-11-26","description":"","custom_fields":[{"id":1,"name":"Subdivision","value":"EC"},{"id":4,"name":"Milepost","value":"0.0223"},{"id":17,"name":"Train ID","value":"142-26"},{"id":16,"name":"Locomotive ID","value":"4005"},{"id":130,"name":"Impact","value":""},{"id":150,"name":"Time of Event (Mountain Time)","value":"10:20:46"},{"id":151,"name":"Denver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4005 --day 2017-11-26</v>
      </c>
      <c r="AN5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-26T08:37:35-0700',mode:absolute,to:'2017-11-26T11:20:46-0700'))&amp;_a=(columns:!('Message%20ID',Summary),filters:!(),index:'emp_*',interval:auto,query:(query_string:(analyze_wildcard:!t,query:'%22rtdc.l.rtdc.4005%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749</v>
      </c>
      <c r="B56" s="226">
        <v>4016</v>
      </c>
      <c r="C56" s="228" t="s">
        <v>192</v>
      </c>
      <c r="D56" s="228" t="s">
        <v>541</v>
      </c>
      <c r="E56" s="227">
        <v>43065.372743055559</v>
      </c>
      <c r="F56" s="227">
        <v>43065.375231481485</v>
      </c>
      <c r="G56" s="226">
        <v>44</v>
      </c>
      <c r="H56" s="228" t="s">
        <v>549</v>
      </c>
      <c r="I56" s="227">
        <v>43065.402175925927</v>
      </c>
      <c r="J56" s="226">
        <v>0</v>
      </c>
      <c r="K56" s="238" t="str">
        <f t="shared" si="24"/>
        <v>4015/4016</v>
      </c>
      <c r="L56" s="246" t="str">
        <f>VLOOKUP(A56,'Trips&amp;Operators'!$C$1:$G$99911,5,FALSE)</f>
        <v>MAELZER KURT</v>
      </c>
      <c r="M56" s="225">
        <f t="shared" si="25"/>
        <v>2.6944444442051463E-2</v>
      </c>
      <c r="N56" s="226">
        <f t="shared" si="26"/>
        <v>38.799999996554106</v>
      </c>
      <c r="O56" s="226"/>
      <c r="P56" s="226"/>
      <c r="Q56" s="229"/>
      <c r="R56" s="243"/>
      <c r="S56" s="250">
        <f t="shared" si="27"/>
        <v>1</v>
      </c>
      <c r="T56" s="243" t="str">
        <f t="shared" si="28"/>
        <v>NorthBound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29"/>
        <v>https://d0f6bd738d7f1b3e5a7ca70fe4ff75f0.us-east-1.aws.found.io/app/kibana#/discover/Steve-Slow-Train-Analysis-(2080s-and-2083s)?_g=(refreshInterval:(display:Off,pause:!f,section:0,value:0),time:(from:'2017-11-26T07:56:45-0700',mode:absolute,to:'2017-11-26T10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48" t="str">
        <f>IF(AA56&lt;VLOOKUP(AG56,Variables!$AC$3:$AD$8,2,FALSE),"Y","N")</f>
        <v>N</v>
      </c>
      <c r="X56" s="248">
        <f t="shared" si="30"/>
        <v>1</v>
      </c>
      <c r="Y56" s="248">
        <f t="shared" si="31"/>
        <v>5.04E-2</v>
      </c>
      <c r="Z56" s="248">
        <f t="shared" si="32"/>
        <v>23.3308</v>
      </c>
      <c r="AA56" s="248">
        <f t="shared" si="33"/>
        <v>23.2804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34"/>
        <v>143</v>
      </c>
      <c r="AE56" s="236" t="str">
        <f t="shared" si="35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56" s="235" t="str">
        <f t="shared" si="36"/>
        <v>"C:\Program Files (x86)\AstroGrep\AstroGrep.exe" /e /r /s /spath="%USERPROFILE%\AppData\Local\Temp\OnboardLogs" /stypes="app*4016*20171126*" /stext=" 16:.+((SYSTEM_STATE.+slice.+state.+changed )|(ment ac)|(multiple cpu faults)|(system.+state.+changed )|(\[timeout)|(PRM\|1\|D)|(kpr)|(kdp)|(train st.+moving)|(\|lc)|(penalty))"</v>
      </c>
      <c r="AG56" s="245" t="str">
        <f t="shared" si="37"/>
        <v>EC</v>
      </c>
      <c r="AH56" s="237" t="str">
        <f t="shared" si="19"/>
        <v>"%USERPROFILE%\Documents\GitHub\eaglep3\Utilities\RefineRTDCRunTimes.py" --tripid 143-26 --locoid 4016 --swversion DE.1.0.9.0 --startMP 204:504 --initTime 2017-11-26T08:56:45 --startdatetime 2017-11-26T09:00:20 --delay 44 --endMP 204:233308 --enddatetime 2017-11-26T09:39:08 --enforcementcount 0 &gt;&gt;%USERPROFILE%\Documents\GitHub\eaglep3-reporting\EC\2017-11-26-refined-times.txt</v>
      </c>
      <c r="AI56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{"issue":{"subject":"","project_id":79,"tracker_id":40,"status_id":1,"priority_id":2,"assigned_to_id":338,"start_date":"2017-11-26","description":"","custom_fields":[{"id":1,"name":"Subdivision","value":"EC"},{"id":4,"name":"Milepost","value":"23.3308"},{"id":17,"name":"Train ID","value":"143-26"},{"id":16,"name":"Locomotive ID","value":"4016"},{"id":130,"name":"Impact","value":""},{"id":150,"name":"Time of Event (Mountain Time)","value":"09:39:08"},{"id":151,"name":"Denver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4016 --day 2017-11-26</v>
      </c>
      <c r="AN56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-26T07:56:45-0700',mode:absolute,to:'2017-11-26T10:39:08-0700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755</v>
      </c>
      <c r="B57" s="226">
        <v>4015</v>
      </c>
      <c r="C57" s="228" t="s">
        <v>192</v>
      </c>
      <c r="D57" s="228" t="s">
        <v>537</v>
      </c>
      <c r="E57" s="227">
        <v>43065.411157407405</v>
      </c>
      <c r="F57" s="227">
        <v>43065.414884259262</v>
      </c>
      <c r="G57" s="226">
        <v>68</v>
      </c>
      <c r="H57" s="228" t="s">
        <v>539</v>
      </c>
      <c r="I57" s="227">
        <v>43065.440775462965</v>
      </c>
      <c r="J57" s="226">
        <v>0</v>
      </c>
      <c r="K57" s="238" t="str">
        <f t="shared" si="24"/>
        <v>4015/4016</v>
      </c>
      <c r="L57" s="246" t="str">
        <f>VLOOKUP(A57,'Trips&amp;Operators'!$C$1:$G$99911,5,FALSE)</f>
        <v>MAELZER KURT</v>
      </c>
      <c r="M57" s="225">
        <f t="shared" si="25"/>
        <v>2.5891203702485655E-2</v>
      </c>
      <c r="N57" s="226">
        <f t="shared" si="26"/>
        <v>37.283333331579342</v>
      </c>
      <c r="O57" s="226"/>
      <c r="P57" s="226"/>
      <c r="Q57" s="229"/>
      <c r="R57" s="243"/>
      <c r="S57" s="250">
        <f t="shared" si="27"/>
        <v>1</v>
      </c>
      <c r="T57" s="243" t="str">
        <f t="shared" si="28"/>
        <v>Southbound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29"/>
        <v>https://d0f6bd738d7f1b3e5a7ca70fe4ff75f0.us-east-1.aws.found.io/app/kibana#/discover/Steve-Slow-Train-Analysis-(2080s-and-2083s)?_g=(refreshInterval:(display:Off,pause:!f,section:0,value:0),time:(from:'2017-11-26T08:52:04-0700',mode:absolute,to:'2017-11-26T11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48" t="str">
        <f>IF(AA57&lt;VLOOKUP(AG57,Variables!$AC$3:$AD$8,2,FALSE),"Y","N")</f>
        <v>N</v>
      </c>
      <c r="X57" s="248">
        <f t="shared" si="30"/>
        <v>1</v>
      </c>
      <c r="Y57" s="248">
        <f t="shared" si="31"/>
        <v>23.299600000000002</v>
      </c>
      <c r="Z57" s="248">
        <f t="shared" si="32"/>
        <v>1.78E-2</v>
      </c>
      <c r="AA57" s="248">
        <f t="shared" si="33"/>
        <v>23.2818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34"/>
        <v>144</v>
      </c>
      <c r="AE57" s="236" t="str">
        <f t="shared" si="35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57" s="235" t="str">
        <f t="shared" si="36"/>
        <v>"C:\Program Files (x86)\AstroGrep\AstroGrep.exe" /e /r /s /spath="%USERPROFILE%\AppData\Local\Temp\OnboardLogs" /stypes="app*4015*20171126*" /stext=" 17:.+((SYSTEM_STATE.+slice.+state.+changed )|(ment ac)|(multiple cpu faults)|(system.+state.+changed )|(\[timeout)|(PRM\|1\|D)|(kpr)|(kdp)|(train st.+moving)|(\|lc)|(penalty))"</v>
      </c>
      <c r="AG57" s="245" t="str">
        <f t="shared" si="37"/>
        <v>EC</v>
      </c>
      <c r="AH57" s="237" t="str">
        <f t="shared" si="19"/>
        <v>"%USERPROFILE%\Documents\GitHub\eaglep3\Utilities\RefineRTDCRunTimes.py" --tripid 144-26 --locoid 4015 --swversion DE.1.0.9.0 --startMP 204:232996 --initTime 2017-11-26T09:52:04 --startdatetime 2017-11-26T09:57:26 --delay 68 --endMP 204:178 --enddatetime 2017-11-26T10:34:43 --enforcementcount 0 &gt;&gt;%USERPROFILE%\Documents\GitHub\eaglep3-reporting\EC\2017-11-26-refined-times.txt</v>
      </c>
      <c r="AI57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{"issue":{"subject":"","project_id":79,"tracker_id":40,"status_id":1,"priority_id":2,"assigned_to_id":338,"start_date":"2017-11-26","description":"","custom_fields":[{"id":1,"name":"Subdivision","value":"EC"},{"id":4,"name":"Milepost","value":"0.0178"},{"id":17,"name":"Train ID","value":"144-26"},{"id":16,"name":"Locomotive ID","value":"4015"},{"id":130,"name":"Impact","value":""},{"id":150,"name":"Time of Event (Mountain Time)","value":"10:34:43"},{"id":151,"name":"Denver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4015 --day 2017-11-26</v>
      </c>
      <c r="AN57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-26T08:52:04-0700',mode:absolute,to:'2017-11-26T11:34:43-0700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751</v>
      </c>
      <c r="B58" s="226">
        <v>4040</v>
      </c>
      <c r="C58" s="228" t="s">
        <v>192</v>
      </c>
      <c r="D58" s="228" t="s">
        <v>602</v>
      </c>
      <c r="E58" s="227">
        <v>43065.384166666663</v>
      </c>
      <c r="F58" s="227">
        <v>43065.38559027778</v>
      </c>
      <c r="G58" s="226">
        <v>49</v>
      </c>
      <c r="H58" s="228" t="s">
        <v>493</v>
      </c>
      <c r="I58" s="227">
        <v>43065.411180555559</v>
      </c>
      <c r="J58" s="226">
        <v>0</v>
      </c>
      <c r="K58" s="238" t="str">
        <f t="shared" si="24"/>
        <v>4039/4040</v>
      </c>
      <c r="L58" s="246" t="str">
        <f>VLOOKUP(A58,'Trips&amp;Operators'!$C$1:$G$99911,5,FALSE)</f>
        <v>LAMAR NEKESHA</v>
      </c>
      <c r="M58" s="225">
        <f t="shared" si="25"/>
        <v>2.5590277778974269E-2</v>
      </c>
      <c r="N58" s="226">
        <f t="shared" si="26"/>
        <v>36.850000001722947</v>
      </c>
      <c r="O58" s="226"/>
      <c r="P58" s="226"/>
      <c r="Q58" s="229"/>
      <c r="R58" s="243"/>
      <c r="S58" s="250">
        <f t="shared" si="27"/>
        <v>1</v>
      </c>
      <c r="T58" s="243" t="str">
        <f t="shared" si="28"/>
        <v>NorthBound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29"/>
        <v>https://d0f6bd738d7f1b3e5a7ca70fe4ff75f0.us-east-1.aws.found.io/app/kibana#/discover/Steve-Slow-Train-Analysis-(2080s-and-2083s)?_g=(refreshInterval:(display:Off,pause:!f,section:0,value:0),time:(from:'2017-11-26T08:13:12-0700',mode:absolute,to:'2017-11-26T10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8" s="248" t="str">
        <f>IF(AA58&lt;VLOOKUP(AG58,Variables!$AC$3:$AD$8,2,FALSE),"Y","N")</f>
        <v>N</v>
      </c>
      <c r="X58" s="248">
        <f t="shared" si="30"/>
        <v>1</v>
      </c>
      <c r="Y58" s="248">
        <f t="shared" si="31"/>
        <v>4.82E-2</v>
      </c>
      <c r="Z58" s="248">
        <f t="shared" si="32"/>
        <v>23.329499999999999</v>
      </c>
      <c r="AA58" s="248">
        <f t="shared" si="33"/>
        <v>23.281299999999998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34"/>
        <v>145</v>
      </c>
      <c r="AE58" s="236" t="str">
        <f t="shared" si="35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58" s="235" t="str">
        <f t="shared" si="36"/>
        <v>"C:\Program Files (x86)\AstroGrep\AstroGrep.exe" /e /r /s /spath="%USERPROFILE%\AppData\Local\Temp\OnboardLogs" /stypes="app*4040*20171126*" /stext=" 16:.+((SYSTEM_STATE.+slice.+state.+changed )|(ment ac)|(multiple cpu faults)|(system.+state.+changed )|(\[timeout)|(PRM\|1\|D)|(kpr)|(kdp)|(train st.+moving)|(\|lc)|(penalty))"</v>
      </c>
      <c r="AG58" s="245" t="str">
        <f t="shared" si="37"/>
        <v>EC</v>
      </c>
      <c r="AH58" s="237" t="str">
        <f t="shared" si="19"/>
        <v>"%USERPROFILE%\Documents\GitHub\eaglep3\Utilities\RefineRTDCRunTimes.py" --tripid 145-26 --locoid 4040 --swversion DE.1.0.9.0 --startMP 204:482 --initTime 2017-11-26T09:13:12 --startdatetime 2017-11-26T09:15:15 --delay 49 --endMP 204:233295 --enddatetime 2017-11-26T09:52:06 --enforcementcount 0 &gt;&gt;%USERPROFILE%\Documents\GitHub\eaglep3-reporting\EC\2017-11-26-refined-times.txt</v>
      </c>
      <c r="AI58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{"issue":{"subject":"","project_id":79,"tracker_id":40,"status_id":1,"priority_id":2,"assigned_to_id":338,"start_date":"2017-11-26","description":"","custom_fields":[{"id":1,"name":"Subdivision","value":"EC"},{"id":4,"name":"Milepost","value":"23.3295"},{"id":17,"name":"Train ID","value":"145-26"},{"id":16,"name":"Locomotive ID","value":"4040"},{"id":130,"name":"Impact","value":""},{"id":150,"name":"Time of Event (Mountain Time)","value":"09:52:06"},{"id":151,"name":"Denver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4040 --day 2017-11-26</v>
      </c>
      <c r="AN58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-26T08:13:12-0700',mode:absolute,to:'2017-11-26T10:52:06-0700'))&amp;_a=(columns:!('Message%20ID',Summary),filters:!(),index:'emp_*',interval:auto,query:(query_string:(analyze_wildcard:!t,query:'%22rtdc.l.rtdc.4040%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758</v>
      </c>
      <c r="B59" s="226">
        <v>4039</v>
      </c>
      <c r="C59" s="228" t="s">
        <v>192</v>
      </c>
      <c r="D59" s="228" t="s">
        <v>902</v>
      </c>
      <c r="E59" s="227">
        <v>43065.423101851855</v>
      </c>
      <c r="F59" s="227">
        <v>43065.425266203703</v>
      </c>
      <c r="G59" s="226">
        <v>51</v>
      </c>
      <c r="H59" s="228" t="s">
        <v>927</v>
      </c>
      <c r="I59" s="227">
        <v>43065.451979166668</v>
      </c>
      <c r="J59" s="226">
        <v>0</v>
      </c>
      <c r="K59" s="238" t="str">
        <f t="shared" si="24"/>
        <v>4039/4040</v>
      </c>
      <c r="L59" s="246" t="str">
        <f>VLOOKUP(A59,'Trips&amp;Operators'!$C$1:$G$99911,5,FALSE)</f>
        <v>LAMAR NEKESHA</v>
      </c>
      <c r="M59" s="225">
        <f t="shared" si="25"/>
        <v>2.6712962964666076E-2</v>
      </c>
      <c r="N59" s="226">
        <f t="shared" si="26"/>
        <v>38.466666669119149</v>
      </c>
      <c r="O59" s="226"/>
      <c r="P59" s="226"/>
      <c r="Q59" s="229"/>
      <c r="R59" s="243"/>
      <c r="S59" s="250">
        <f t="shared" si="27"/>
        <v>1</v>
      </c>
      <c r="T59" s="243" t="str">
        <f t="shared" si="28"/>
        <v>Southbound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29"/>
        <v>https://d0f6bd738d7f1b3e5a7ca70fe4ff75f0.us-east-1.aws.found.io/app/kibana#/discover/Steve-Slow-Train-Analysis-(2080s-and-2083s)?_g=(refreshInterval:(display:Off,pause:!f,section:0,value:0),time:(from:'2017-11-26T09:09:16-0700',mode:absolute,to:'2017-11-26T11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9" s="248" t="str">
        <f>IF(AA59&lt;VLOOKUP(AG59,Variables!$AC$3:$AD$8,2,FALSE),"Y","N")</f>
        <v>N</v>
      </c>
      <c r="X59" s="248">
        <f t="shared" si="30"/>
        <v>1</v>
      </c>
      <c r="Y59" s="248">
        <f t="shared" si="31"/>
        <v>23.296900000000001</v>
      </c>
      <c r="Z59" s="248">
        <f t="shared" si="32"/>
        <v>1.72E-2</v>
      </c>
      <c r="AA59" s="248">
        <f t="shared" si="33"/>
        <v>23.279700000000002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34"/>
        <v>146</v>
      </c>
      <c r="AE59" s="236" t="str">
        <f t="shared" si="35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59" s="235" t="str">
        <f t="shared" si="36"/>
        <v>"C:\Program Files (x86)\AstroGrep\AstroGrep.exe" /e /r /s /spath="%USERPROFILE%\AppData\Local\Temp\OnboardLogs" /stypes="app*4039*20171126*" /stext=" 17:.+((SYSTEM_STATE.+slice.+state.+changed )|(ment ac)|(multiple cpu faults)|(system.+state.+changed )|(\[timeout)|(PRM\|1\|D)|(kpr)|(kdp)|(train st.+moving)|(\|lc)|(penalty))"</v>
      </c>
      <c r="AG59" s="245" t="str">
        <f t="shared" si="37"/>
        <v>EC</v>
      </c>
      <c r="AH59" s="237" t="str">
        <f t="shared" si="19"/>
        <v>"%USERPROFILE%\Documents\GitHub\eaglep3\Utilities\RefineRTDCRunTimes.py" --tripid 146-26 --locoid 4039 --swversion DE.1.0.9.0 --startMP 204:232969 --initTime 2017-11-26T10:09:16 --startdatetime 2017-11-26T10:12:23 --delay 51 --endMP 204:172 --enddatetime 2017-11-26T10:50:51 --enforcementcount 0 &gt;&gt;%USERPROFILE%\Documents\GitHub\eaglep3-reporting\EC\2017-11-26-refined-times.txt</v>
      </c>
      <c r="AI59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{"issue":{"subject":"","project_id":79,"tracker_id":40,"status_id":1,"priority_id":2,"assigned_to_id":338,"start_date":"2017-11-26","description":"","custom_fields":[{"id":1,"name":"Subdivision","value":"EC"},{"id":4,"name":"Milepost","value":"0.0172"},{"id":17,"name":"Train ID","value":"146-26"},{"id":16,"name":"Locomotive ID","value":"4039"},{"id":130,"name":"Impact","value":""},{"id":150,"name":"Time of Event (Mountain Time)","value":"10:50:51"},{"id":151,"name":"Denver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4039 --day 2017-11-26</v>
      </c>
      <c r="AN59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-26T09:09:16-0700',mode:absolute,to:'2017-11-26T11:50:51-0700'))&amp;_a=(columns:!('Message%20ID',Summary),filters:!(),index:'emp_*',interval:auto,query:(query_string:(analyze_wildcard:!t,query:'%22rtdc.l.rtdc.4039%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654</v>
      </c>
      <c r="B60" s="226">
        <v>4008</v>
      </c>
      <c r="C60" s="228" t="s">
        <v>192</v>
      </c>
      <c r="D60" s="228" t="s">
        <v>928</v>
      </c>
      <c r="E60" s="227">
        <v>43065.392025462963</v>
      </c>
      <c r="F60" s="227">
        <v>43065.396087962959</v>
      </c>
      <c r="G60" s="226">
        <v>53</v>
      </c>
      <c r="H60" s="228" t="s">
        <v>929</v>
      </c>
      <c r="I60" s="227">
        <v>43065.421423611115</v>
      </c>
      <c r="J60" s="226">
        <v>0</v>
      </c>
      <c r="K60" s="238" t="str">
        <f t="shared" si="24"/>
        <v>4007/4008</v>
      </c>
      <c r="L60" s="246" t="str">
        <f>VLOOKUP(A60,'Trips&amp;Operators'!$C$1:$G$99911,5,FALSE)</f>
        <v>LOPES KIMBERLY</v>
      </c>
      <c r="M60" s="225">
        <f t="shared" si="25"/>
        <v>2.5335648155305535E-2</v>
      </c>
      <c r="N60" s="226">
        <f t="shared" si="26"/>
        <v>36.48333334363997</v>
      </c>
      <c r="O60" s="226"/>
      <c r="P60" s="226"/>
      <c r="Q60" s="229"/>
      <c r="R60" s="243"/>
      <c r="S60" s="250">
        <f t="shared" si="27"/>
        <v>1</v>
      </c>
      <c r="T60" s="243" t="str">
        <f t="shared" si="28"/>
        <v>NorthBound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29"/>
        <v>https://d0f6bd738d7f1b3e5a7ca70fe4ff75f0.us-east-1.aws.found.io/app/kibana#/discover/Steve-Slow-Train-Analysis-(2080s-and-2083s)?_g=(refreshInterval:(display:Off,pause:!f,section:0,value:0),time:(from:'2017-11-26T08:24:31-0700',mode:absolute,to:'2017-11-26T11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248" t="str">
        <f>IF(AA60&lt;VLOOKUP(AG60,Variables!$AC$3:$AD$8,2,FALSE),"Y","N")</f>
        <v>N</v>
      </c>
      <c r="X60" s="248">
        <f t="shared" si="30"/>
        <v>1</v>
      </c>
      <c r="Y60" s="248">
        <f t="shared" si="31"/>
        <v>4.8899999999999999E-2</v>
      </c>
      <c r="Z60" s="248">
        <f t="shared" si="32"/>
        <v>23.321300000000001</v>
      </c>
      <c r="AA60" s="248">
        <f t="shared" si="33"/>
        <v>23.272400000000001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34"/>
        <v>147</v>
      </c>
      <c r="AE60" s="236" t="str">
        <f t="shared" si="35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60" s="235" t="str">
        <f t="shared" si="36"/>
        <v>"C:\Program Files (x86)\AstroGrep\AstroGrep.exe" /e /r /s /spath="%USERPROFILE%\AppData\Local\Temp\OnboardLogs" /stypes="app*4008*20171126*" /stext=" 17:.+((SYSTEM_STATE.+slice.+state.+changed )|(ment ac)|(multiple cpu faults)|(system.+state.+changed )|(\[timeout)|(PRM\|1\|D)|(kpr)|(kdp)|(train st.+moving)|(\|lc)|(penalty))"</v>
      </c>
      <c r="AG60" s="245" t="str">
        <f t="shared" si="37"/>
        <v>EC</v>
      </c>
      <c r="AH60" s="237" t="str">
        <f t="shared" si="19"/>
        <v>"%USERPROFILE%\Documents\GitHub\eaglep3\Utilities\RefineRTDCRunTimes.py" --tripid 147-26 --locoid 4008 --swversion DE.1.0.9.0 --startMP 204:489 --initTime 2017-11-26T09:24:31 --startdatetime 2017-11-26T09:30:22 --delay 53 --endMP 204:233213 --enddatetime 2017-11-26T10:06:51 --enforcementcount 0 &gt;&gt;%USERPROFILE%\Documents\GitHub\eaglep3-reporting\EC\2017-11-26-refined-times.txt</v>
      </c>
      <c r="AI60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{"issue":{"subject":"","project_id":79,"tracker_id":40,"status_id":1,"priority_id":2,"assigned_to_id":338,"start_date":"2017-11-26","description":"","custom_fields":[{"id":1,"name":"Subdivision","value":"EC"},{"id":4,"name":"Milepost","value":"23.3213"},{"id":17,"name":"Train ID","value":"147-26"},{"id":16,"name":"Locomotive ID","value":"4008"},{"id":130,"name":"Impact","value":""},{"id":150,"name":"Time of Event (Mountain Time)","value":"10:06:51"},{"id":151,"name":"Denver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4008 --day 2017-11-26</v>
      </c>
      <c r="AN60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-26T08:24:31-0700',mode:absolute,to:'2017-11-26T11:06:51-0700'))&amp;_a=(columns:!('Message%20ID',Summary),filters:!(),index:'emp_*',interval:auto,query:(query_string:(analyze_wildcard:!t,query:'%22rtdc.l.rtdc.4008%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762</v>
      </c>
      <c r="B61" s="226">
        <v>4007</v>
      </c>
      <c r="C61" s="228" t="s">
        <v>192</v>
      </c>
      <c r="D61" s="228" t="s">
        <v>629</v>
      </c>
      <c r="E61" s="227">
        <v>43065.427534722221</v>
      </c>
      <c r="F61" s="227">
        <v>43065.435613425929</v>
      </c>
      <c r="G61" s="226">
        <v>53</v>
      </c>
      <c r="H61" s="228" t="s">
        <v>494</v>
      </c>
      <c r="I61" s="227">
        <v>43065.461053240739</v>
      </c>
      <c r="J61" s="226">
        <v>0</v>
      </c>
      <c r="K61" s="238" t="str">
        <f t="shared" si="24"/>
        <v>4007/4008</v>
      </c>
      <c r="L61" s="246" t="str">
        <f>VLOOKUP(A61,'Trips&amp;Operators'!$C$1:$G$99911,5,FALSE)</f>
        <v>LOPES KIMBERLY</v>
      </c>
      <c r="M61" s="225">
        <f t="shared" si="25"/>
        <v>2.5439814809942618E-2</v>
      </c>
      <c r="N61" s="226">
        <f t="shared" si="26"/>
        <v>36.63333332631737</v>
      </c>
      <c r="O61" s="226"/>
      <c r="P61" s="226"/>
      <c r="Q61" s="229"/>
      <c r="R61" s="243"/>
      <c r="S61" s="250">
        <f t="shared" si="27"/>
        <v>1</v>
      </c>
      <c r="T61" s="243" t="str">
        <f t="shared" si="28"/>
        <v>Southbound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29"/>
        <v>https://d0f6bd738d7f1b3e5a7ca70fe4ff75f0.us-east-1.aws.found.io/app/kibana#/discover/Steve-Slow-Train-Analysis-(2080s-and-2083s)?_g=(refreshInterval:(display:Off,pause:!f,section:0,value:0),time:(from:'2017-11-26T09:15:39-0700',mode:absolute,to:'2017-11-26T12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248" t="str">
        <f>IF(AA61&lt;VLOOKUP(AG61,Variables!$AC$3:$AD$8,2,FALSE),"Y","N")</f>
        <v>N</v>
      </c>
      <c r="X61" s="248">
        <f t="shared" si="30"/>
        <v>1</v>
      </c>
      <c r="Y61" s="248">
        <f t="shared" si="31"/>
        <v>23.288699999999999</v>
      </c>
      <c r="Z61" s="248">
        <f t="shared" si="32"/>
        <v>1.9599999999999999E-2</v>
      </c>
      <c r="AA61" s="248">
        <f t="shared" si="33"/>
        <v>23.269099999999998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34"/>
        <v>148</v>
      </c>
      <c r="AE61" s="236" t="str">
        <f t="shared" si="35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61" s="235" t="str">
        <f t="shared" si="36"/>
        <v>"C:\Program Files (x86)\AstroGrep\AstroGrep.exe" /e /r /s /spath="%USERPROFILE%\AppData\Local\Temp\OnboardLogs" /stypes="app*4007*20171126*" /stext=" 18:.+((SYSTEM_STATE.+slice.+state.+changed )|(ment ac)|(multiple cpu faults)|(system.+state.+changed )|(\[timeout)|(PRM\|1\|D)|(kpr)|(kdp)|(train st.+moving)|(\|lc)|(penalty))"</v>
      </c>
      <c r="AG61" s="245" t="str">
        <f t="shared" si="37"/>
        <v>EC</v>
      </c>
      <c r="AH61" s="237" t="str">
        <f t="shared" si="19"/>
        <v>"%USERPROFILE%\Documents\GitHub\eaglep3\Utilities\RefineRTDCRunTimes.py" --tripid 148-26 --locoid 4007 --swversion DE.1.0.9.0 --startMP 204:232887 --initTime 2017-11-26T10:15:39 --startdatetime 2017-11-26T10:27:17 --delay 53 --endMP 204:196 --enddatetime 2017-11-26T11:03:55 --enforcementcount 0 &gt;&gt;%USERPROFILE%\Documents\GitHub\eaglep3-reporting\EC\2017-11-26-refined-times.txt</v>
      </c>
      <c r="AI61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{"issue":{"subject":"","project_id":79,"tracker_id":40,"status_id":1,"priority_id":2,"assigned_to_id":338,"start_date":"2017-11-26","description":"","custom_fields":[{"id":1,"name":"Subdivision","value":"EC"},{"id":4,"name":"Milepost","value":"0.0196"},{"id":17,"name":"Train ID","value":"148-26"},{"id":16,"name":"Locomotive ID","value":"4007"},{"id":130,"name":"Impact","value":""},{"id":150,"name":"Time of Event (Mountain Time)","value":"11:03:55"},{"id":151,"name":"Denver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4007 --day 2017-11-26</v>
      </c>
      <c r="AN61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-11-26T09:15:39-0700',mode:absolute,to:'2017-11-26T12:03:55-0700'))&amp;_a=(columns:!('Message%20ID',Summary),filters:!(),index:'emp_*',interval:auto,query:(query_string:(analyze_wildcard:!t,query:'%22rtdc.l.rtdc.4007%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754</v>
      </c>
      <c r="B62" s="226">
        <v>4010</v>
      </c>
      <c r="C62" s="228" t="s">
        <v>192</v>
      </c>
      <c r="D62" s="228" t="s">
        <v>551</v>
      </c>
      <c r="E62" s="227">
        <v>43065.403067129628</v>
      </c>
      <c r="F62" s="227">
        <v>43065.406412037039</v>
      </c>
      <c r="G62" s="226">
        <v>59</v>
      </c>
      <c r="H62" s="228" t="s">
        <v>522</v>
      </c>
      <c r="I62" s="227">
        <v>43065.430092592593</v>
      </c>
      <c r="J62" s="226">
        <v>0</v>
      </c>
      <c r="K62" s="238" t="str">
        <f t="shared" si="24"/>
        <v>4009/4010</v>
      </c>
      <c r="L62" s="246" t="str">
        <f>VLOOKUP(A62,'Trips&amp;Operators'!$C$1:$G$99911,5,FALSE)</f>
        <v>PAGE MARCUS</v>
      </c>
      <c r="M62" s="225">
        <f t="shared" si="25"/>
        <v>2.3680555554165039E-2</v>
      </c>
      <c r="N62" s="226">
        <f t="shared" si="26"/>
        <v>34.099999997997656</v>
      </c>
      <c r="O62" s="226"/>
      <c r="P62" s="226"/>
      <c r="Q62" s="229"/>
      <c r="R62" s="243"/>
      <c r="S62" s="250">
        <f t="shared" si="27"/>
        <v>1</v>
      </c>
      <c r="T62" s="243" t="str">
        <f t="shared" si="28"/>
        <v>NorthBound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29"/>
        <v>https://d0f6bd738d7f1b3e5a7ca70fe4ff75f0.us-east-1.aws.found.io/app/kibana#/discover/Steve-Slow-Train-Analysis-(2080s-and-2083s)?_g=(refreshInterval:(display:Off,pause:!f,section:0,value:0),time:(from:'2017-11-26T08:40:25-0700',mode:absolute,to:'2017-11-26T11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248" t="str">
        <f>IF(AA62&lt;VLOOKUP(AG62,Variables!$AC$3:$AD$8,2,FALSE),"Y","N")</f>
        <v>N</v>
      </c>
      <c r="X62" s="248">
        <f t="shared" si="30"/>
        <v>1</v>
      </c>
      <c r="Y62" s="248">
        <f t="shared" si="31"/>
        <v>4.9299999999999997E-2</v>
      </c>
      <c r="Z62" s="248">
        <f t="shared" si="32"/>
        <v>23.324100000000001</v>
      </c>
      <c r="AA62" s="248">
        <f t="shared" si="33"/>
        <v>23.274800000000003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34"/>
        <v>149</v>
      </c>
      <c r="AE62" s="236" t="str">
        <f t="shared" si="35"/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62" s="235" t="str">
        <f t="shared" si="36"/>
        <v>"C:\Program Files (x86)\AstroGrep\AstroGrep.exe" /e /r /s /spath="%USERPROFILE%\AppData\Local\Temp\OnboardLogs" /stypes="app*4010*20171126*" /stext=" 17:.+((SYSTEM_STATE.+slice.+state.+changed )|(ment ac)|(multiple cpu faults)|(system.+state.+changed )|(\[timeout)|(PRM\|1\|D)|(kpr)|(kdp)|(train st.+moving)|(\|lc)|(penalty))"</v>
      </c>
      <c r="AG62" s="245" t="str">
        <f t="shared" si="37"/>
        <v>EC</v>
      </c>
      <c r="AH62" s="237" t="str">
        <f t="shared" si="19"/>
        <v>"%USERPROFILE%\Documents\GitHub\eaglep3\Utilities\RefineRTDCRunTimes.py" --tripid 149-26 --locoid 4010 --swversion DE.1.0.9.0 --startMP 204:493 --initTime 2017-11-26T09:40:25 --startdatetime 2017-11-26T09:45:14 --delay 59 --endMP 204:233241 --enddatetime 2017-11-26T10:19:20 --enforcementcount 0 &gt;&gt;%USERPROFILE%\Documents\GitHub\eaglep3-reporting\EC\2017-11-26-refined-times.txt</v>
      </c>
      <c r="AI62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{"issue":{"subject":"","project_id":79,"tracker_id":40,"status_id":1,"priority_id":2,"assigned_to_id":338,"start_date":"2017-11-26","description":"","custom_fields":[{"id":1,"name":"Subdivision","value":"EC"},{"id":4,"name":"Milepost","value":"23.3241"},{"id":17,"name":"Train ID","value":"149-26"},{"id":16,"name":"Locomotive ID","value":"4010"},{"id":130,"name":"Impact","value":""},{"id":150,"name":"Time of Event (Mountain Time)","value":"10:19:20"},{"id":151,"name":"Denver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4010 --day 2017-11-26</v>
      </c>
      <c r="AN62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-26T08:40:25-0700',mode:absolute,to:'2017-11-26T11:19:20-0700'))&amp;_a=(columns:!('Message%20ID',Summary),filters:!(),index:'emp_*',interval:auto,query:(query_string:(analyze_wildcard:!t,query:'%22rtdc.l.rtdc.4010%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764</v>
      </c>
      <c r="B63" s="226">
        <v>4009</v>
      </c>
      <c r="C63" s="228" t="s">
        <v>192</v>
      </c>
      <c r="D63" s="228" t="s">
        <v>930</v>
      </c>
      <c r="E63" s="227">
        <v>43065.440057870372</v>
      </c>
      <c r="F63" s="227">
        <v>43065.446087962962</v>
      </c>
      <c r="G63" s="226">
        <v>52</v>
      </c>
      <c r="H63" s="228" t="s">
        <v>931</v>
      </c>
      <c r="I63" s="227">
        <v>43065.472303240742</v>
      </c>
      <c r="J63" s="226">
        <v>0</v>
      </c>
      <c r="K63" s="238" t="str">
        <f t="shared" si="24"/>
        <v>4009/4010</v>
      </c>
      <c r="L63" s="246" t="str">
        <f>VLOOKUP(A63,'Trips&amp;Operators'!$C$1:$G$99911,5,FALSE)</f>
        <v>PAGE MARCUS</v>
      </c>
      <c r="M63" s="225">
        <f t="shared" si="25"/>
        <v>2.6215277779556345E-2</v>
      </c>
      <c r="N63" s="226">
        <f t="shared" si="26"/>
        <v>37.750000002561137</v>
      </c>
      <c r="O63" s="226"/>
      <c r="P63" s="226"/>
      <c r="Q63" s="229"/>
      <c r="R63" s="243"/>
      <c r="S63" s="250">
        <f t="shared" si="27"/>
        <v>1</v>
      </c>
      <c r="T63" s="243" t="str">
        <f t="shared" si="28"/>
        <v>Southbound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29"/>
        <v>https://d0f6bd738d7f1b3e5a7ca70fe4ff75f0.us-east-1.aws.found.io/app/kibana#/discover/Steve-Slow-Train-Analysis-(2080s-and-2083s)?_g=(refreshInterval:(display:Off,pause:!f,section:0,value:0),time:(from:'2017-11-26T09:33:41-0700',mode:absolute,to:'2017-11-26T12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248" t="str">
        <f>IF(AA63&lt;VLOOKUP(AG63,Variables!$AC$3:$AD$8,2,FALSE),"Y","N")</f>
        <v>N</v>
      </c>
      <c r="X63" s="248">
        <f t="shared" si="30"/>
        <v>1</v>
      </c>
      <c r="Y63" s="248">
        <f t="shared" si="31"/>
        <v>23.291899999999998</v>
      </c>
      <c r="Z63" s="248">
        <f t="shared" si="32"/>
        <v>0.02</v>
      </c>
      <c r="AA63" s="248">
        <f t="shared" si="33"/>
        <v>23.271899999999999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34"/>
        <v>150</v>
      </c>
      <c r="AE63" s="236" t="str">
        <f t="shared" si="35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63" s="235" t="str">
        <f t="shared" si="36"/>
        <v>"C:\Program Files (x86)\AstroGrep\AstroGrep.exe" /e /r /s /spath="%USERPROFILE%\AppData\Local\Temp\OnboardLogs" /stypes="app*4009*20171126*" /stext=" 18:.+((SYSTEM_STATE.+slice.+state.+changed )|(ment ac)|(multiple cpu faults)|(system.+state.+changed )|(\[timeout)|(PRM\|1\|D)|(kpr)|(kdp)|(train st.+moving)|(\|lc)|(penalty))"</v>
      </c>
      <c r="AG63" s="245" t="str">
        <f t="shared" si="37"/>
        <v>EC</v>
      </c>
      <c r="AH63" s="237" t="str">
        <f t="shared" si="19"/>
        <v>"%USERPROFILE%\Documents\GitHub\eaglep3\Utilities\RefineRTDCRunTimes.py" --tripid 150-26 --locoid 4009 --swversion DE.1.0.9.0 --startMP 204:232919 --initTime 2017-11-26T10:33:41 --startdatetime 2017-11-26T10:42:22 --delay 52 --endMP 204:200 --enddatetime 2017-11-26T11:20:07 --enforcementcount 0 &gt;&gt;%USERPROFILE%\Documents\GitHub\eaglep3-reporting\EC\2017-11-26-refined-times.txt</v>
      </c>
      <c r="AI63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{"issue":{"subject":"","project_id":79,"tracker_id":40,"status_id":1,"priority_id":2,"assigned_to_id":338,"start_date":"2017-11-26","description":"","custom_fields":[{"id":1,"name":"Subdivision","value":"EC"},{"id":4,"name":"Milepost","value":"0.02"},{"id":17,"name":"Train ID","value":"150-26"},{"id":16,"name":"Locomotive ID","value":"4009"},{"id":130,"name":"Impact","value":""},{"id":150,"name":"Time of Event (Mountain Time)","value":"11:20:07"},{"id":151,"name":"Denver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4009 --day 2017-11-26</v>
      </c>
      <c r="AN63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-26T09:33:41-0700',mode:absolute,to:'2017-11-26T12:20:07-0700'))&amp;_a=(columns:!('Message%20ID',Summary),filters:!(),index:'emp_*',interval:auto,query:(query_string:(analyze_wildcard:!t,query:'%22rtdc.l.rtdc.4009%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756</v>
      </c>
      <c r="B64" s="226">
        <v>4050</v>
      </c>
      <c r="C64" s="228" t="s">
        <v>192</v>
      </c>
      <c r="D64" s="228" t="s">
        <v>548</v>
      </c>
      <c r="E64" s="227">
        <v>43065.414178240739</v>
      </c>
      <c r="F64" s="227">
        <v>43065.41684027778</v>
      </c>
      <c r="G64" s="226">
        <v>48</v>
      </c>
      <c r="H64" s="228" t="s">
        <v>474</v>
      </c>
      <c r="I64" s="227">
        <v>43065.441284722219</v>
      </c>
      <c r="J64" s="226">
        <v>0</v>
      </c>
      <c r="K64" s="238" t="str">
        <f t="shared" si="24"/>
        <v>4049/4050</v>
      </c>
      <c r="L64" s="246" t="str">
        <f>VLOOKUP(A64,'Trips&amp;Operators'!$C$1:$G$99911,5,FALSE)</f>
        <v>GEBRETEKLE DAGNEW</v>
      </c>
      <c r="M64" s="225">
        <f t="shared" si="25"/>
        <v>2.4444444439723156E-2</v>
      </c>
      <c r="N64" s="226">
        <f t="shared" si="26"/>
        <v>35.199999993201345</v>
      </c>
      <c r="O64" s="226"/>
      <c r="P64" s="226"/>
      <c r="Q64" s="229"/>
      <c r="R64" s="243"/>
      <c r="S64" s="250">
        <f t="shared" si="27"/>
        <v>1</v>
      </c>
      <c r="T64" s="243" t="str">
        <f t="shared" si="28"/>
        <v>NorthBound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29"/>
        <v>https://d0f6bd738d7f1b3e5a7ca70fe4ff75f0.us-east-1.aws.found.io/app/kibana#/discover/Steve-Slow-Train-Analysis-(2080s-and-2083s)?_g=(refreshInterval:(display:Off,pause:!f,section:0,value:0),time:(from:'2017-11-26T08:56:25-0700',mode:absolute,to:'2017-11-26T11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4" s="248" t="str">
        <f>IF(AA64&lt;VLOOKUP(AG64,Variables!$AC$3:$AD$8,2,FALSE),"Y","N")</f>
        <v>N</v>
      </c>
      <c r="X64" s="248">
        <f t="shared" si="30"/>
        <v>1</v>
      </c>
      <c r="Y64" s="248">
        <f t="shared" si="31"/>
        <v>4.8599999999999997E-2</v>
      </c>
      <c r="Z64" s="248">
        <f t="shared" si="32"/>
        <v>23.327000000000002</v>
      </c>
      <c r="AA64" s="248">
        <f t="shared" si="33"/>
        <v>23.278400000000001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34"/>
        <v>151</v>
      </c>
      <c r="AE64" s="236" t="str">
        <f t="shared" si="35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64" s="235" t="str">
        <f t="shared" si="36"/>
        <v>"C:\Program Files (x86)\AstroGrep\AstroGrep.exe" /e /r /s /spath="%USERPROFILE%\AppData\Local\Temp\OnboardLogs" /stypes="app*4050*20171126*" /stext=" 17:.+((SYSTEM_STATE.+slice.+state.+changed )|(ment ac)|(multiple cpu faults)|(system.+state.+changed )|(\[timeout)|(PRM\|1\|D)|(kpr)|(kdp)|(train st.+moving)|(\|lc)|(penalty))"</v>
      </c>
      <c r="AG64" s="245" t="str">
        <f t="shared" si="37"/>
        <v>EC</v>
      </c>
      <c r="AH64" s="237" t="str">
        <f t="shared" si="19"/>
        <v>"%USERPROFILE%\Documents\GitHub\eaglep3\Utilities\RefineRTDCRunTimes.py" --tripid 151-26 --locoid 4050 --swversion DE.1.0.9.0 --startMP 204:486 --initTime 2017-11-26T09:56:25 --startdatetime 2017-11-26T10:00:15 --delay 48 --endMP 204:233270 --enddatetime 2017-11-26T10:35:27 --enforcementcount 0 &gt;&gt;%USERPROFILE%\Documents\GitHub\eaglep3-reporting\EC\2017-11-26-refined-times.txt</v>
      </c>
      <c r="AI64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{"issue":{"subject":"","project_id":79,"tracker_id":40,"status_id":1,"priority_id":2,"assigned_to_id":338,"start_date":"2017-11-26","description":"","custom_fields":[{"id":1,"name":"Subdivision","value":"EC"},{"id":4,"name":"Milepost","value":"23.327"},{"id":17,"name":"Train ID","value":"151-26"},{"id":16,"name":"Locomotive ID","value":"4050"},{"id":130,"name":"Impact","value":""},{"id":150,"name":"Time of Event (Mountain Time)","value":"10:35:27"},{"id":151,"name":"Denver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4050 --day 2017-11-26</v>
      </c>
      <c r="AN64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-26T08:56:25-0700',mode:absolute,to:'2017-11-26T11:35:27-0700'))&amp;_a=(columns:!('Message%20ID',Summary),filters:!(),index:'emp_*',interval:auto,query:(query_string:(analyze_wildcard:!t,query:'%22rtdc.l.rtdc.4050%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765</v>
      </c>
      <c r="B65" s="226">
        <v>4049</v>
      </c>
      <c r="C65" s="228" t="s">
        <v>192</v>
      </c>
      <c r="D65" s="228" t="s">
        <v>932</v>
      </c>
      <c r="E65" s="227">
        <v>43065.443101851852</v>
      </c>
      <c r="F65" s="227">
        <v>43065.456493055557</v>
      </c>
      <c r="G65" s="226">
        <v>56</v>
      </c>
      <c r="H65" s="228" t="s">
        <v>933</v>
      </c>
      <c r="I65" s="227">
        <v>43065.482361111113</v>
      </c>
      <c r="J65" s="226">
        <v>0</v>
      </c>
      <c r="K65" s="238" t="str">
        <f t="shared" si="24"/>
        <v>4049/4050</v>
      </c>
      <c r="L65" s="246" t="str">
        <f>VLOOKUP(A65,'Trips&amp;Operators'!$C$1:$G$99911,5,FALSE)</f>
        <v>GEBRETEKLE DAGNEW</v>
      </c>
      <c r="M65" s="225">
        <f t="shared" si="25"/>
        <v>2.5868055556202307E-2</v>
      </c>
      <c r="N65" s="226">
        <f t="shared" si="26"/>
        <v>37.250000000931323</v>
      </c>
      <c r="O65" s="226"/>
      <c r="P65" s="226"/>
      <c r="Q65" s="229"/>
      <c r="R65" s="243"/>
      <c r="S65" s="250">
        <f t="shared" si="27"/>
        <v>1</v>
      </c>
      <c r="T65" s="243" t="str">
        <f t="shared" si="28"/>
        <v>Southbound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29"/>
        <v>https://d0f6bd738d7f1b3e5a7ca70fe4ff75f0.us-east-1.aws.found.io/app/kibana#/discover/Steve-Slow-Train-Analysis-(2080s-and-2083s)?_g=(refreshInterval:(display:Off,pause:!f,section:0,value:0),time:(from:'2017-11-26T09:38:04-0700',mode:absolute,to:'2017-11-26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5" s="248" t="str">
        <f>IF(AA65&lt;VLOOKUP(AG65,Variables!$AC$3:$AD$8,2,FALSE),"Y","N")</f>
        <v>N</v>
      </c>
      <c r="X65" s="248">
        <f t="shared" si="30"/>
        <v>1</v>
      </c>
      <c r="Y65" s="248">
        <f t="shared" si="31"/>
        <v>23.296199999999999</v>
      </c>
      <c r="Z65" s="248">
        <f t="shared" si="32"/>
        <v>1.7999999999999999E-2</v>
      </c>
      <c r="AA65" s="248">
        <f t="shared" si="33"/>
        <v>23.278199999999998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34"/>
        <v>152</v>
      </c>
      <c r="AE65" s="236" t="str">
        <f t="shared" si="35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65" s="235" t="str">
        <f t="shared" si="36"/>
        <v>"C:\Program Files (x86)\AstroGrep\AstroGrep.exe" /e /r /s /spath="%USERPROFILE%\AppData\Local\Temp\OnboardLogs" /stypes="app*4049*20171126*" /stext=" 18:.+((SYSTEM_STATE.+slice.+state.+changed )|(ment ac)|(multiple cpu faults)|(system.+state.+changed )|(\[timeout)|(PRM\|1\|D)|(kpr)|(kdp)|(train st.+moving)|(\|lc)|(penalty))"</v>
      </c>
      <c r="AG65" s="245" t="str">
        <f t="shared" si="37"/>
        <v>EC</v>
      </c>
      <c r="AH65" s="237" t="str">
        <f t="shared" si="19"/>
        <v>"%USERPROFILE%\Documents\GitHub\eaglep3\Utilities\RefineRTDCRunTimes.py" --tripid 152-26 --locoid 4049 --swversion DE.1.0.9.0 --startMP 204:232962 --initTime 2017-11-26T10:38:04 --startdatetime 2017-11-26T10:57:21 --delay 56 --endMP 204:180 --enddatetime 2017-11-26T11:34:36 --enforcementcount 0 &gt;&gt;%USERPROFILE%\Documents\GitHub\eaglep3-reporting\EC\2017-11-26-refined-times.txt</v>
      </c>
      <c r="AI6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{"issue":{"subject":"","project_id":79,"tracker_id":40,"status_id":1,"priority_id":2,"assigned_to_id":338,"start_date":"2017-11-26","description":"","custom_fields":[{"id":1,"name":"Subdivision","value":"EC"},{"id":4,"name":"Milepost","value":"0.018"},{"id":17,"name":"Train ID","value":"152-26"},{"id":16,"name":"Locomotive ID","value":"4049"},{"id":130,"name":"Impact","value":""},{"id":150,"name":"Time of Event (Mountain Time)","value":"11:34:36"},{"id":151,"name":"Denver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4049 --day 2017-11-26</v>
      </c>
      <c r="AN6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-26T09:38:04-0700',mode:absolute,to:'2017-11-26T12:34:36-0700'))&amp;_a=(columns:!('Message%20ID',Summary),filters:!(),index:'emp_*',interval:auto,query:(query_string:(analyze_wildcard:!t,query:'%22rtdc.l.rtdc.4049%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759</v>
      </c>
      <c r="B66" s="226">
        <v>4042</v>
      </c>
      <c r="C66" s="228" t="s">
        <v>192</v>
      </c>
      <c r="D66" s="228" t="s">
        <v>543</v>
      </c>
      <c r="E66" s="227">
        <v>43065.426296296297</v>
      </c>
      <c r="F66" s="227">
        <v>43065.427997685183</v>
      </c>
      <c r="G66" s="226">
        <v>72</v>
      </c>
      <c r="H66" s="228" t="s">
        <v>934</v>
      </c>
      <c r="I66" s="227">
        <v>43065.45244212963</v>
      </c>
      <c r="J66" s="226">
        <v>0</v>
      </c>
      <c r="K66" s="238" t="str">
        <f t="shared" si="24"/>
        <v>4041/4042</v>
      </c>
      <c r="L66" s="246" t="str">
        <f>VLOOKUP(A66,'Trips&amp;Operators'!$C$1:$G$99911,5,FALSE)</f>
        <v>BADERTSCHER DIANE</v>
      </c>
      <c r="M66" s="225">
        <f t="shared" si="25"/>
        <v>2.4444444446999114E-2</v>
      </c>
      <c r="N66" s="226">
        <f t="shared" si="26"/>
        <v>35.200000003678724</v>
      </c>
      <c r="O66" s="226"/>
      <c r="P66" s="226"/>
      <c r="Q66" s="229"/>
      <c r="R66" s="243"/>
      <c r="S66" s="250">
        <f t="shared" si="27"/>
        <v>1</v>
      </c>
      <c r="T66" s="243" t="str">
        <f t="shared" si="28"/>
        <v>NorthBound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29"/>
        <v>https://d0f6bd738d7f1b3e5a7ca70fe4ff75f0.us-east-1.aws.found.io/app/kibana#/discover/Steve-Slow-Train-Analysis-(2080s-and-2083s)?_g=(refreshInterval:(display:Off,pause:!f,section:0,value:0),time:(from:'2017-11-26T09:13:52-0700',mode:absolute,to:'2017-11-26T11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48" t="str">
        <f>IF(AA66&lt;VLOOKUP(AG66,Variables!$AC$3:$AD$8,2,FALSE),"Y","N")</f>
        <v>N</v>
      </c>
      <c r="X66" s="248">
        <f t="shared" si="30"/>
        <v>1</v>
      </c>
      <c r="Y66" s="248">
        <f t="shared" si="31"/>
        <v>4.7300000000000002E-2</v>
      </c>
      <c r="Z66" s="248">
        <f t="shared" si="32"/>
        <v>23.328800000000001</v>
      </c>
      <c r="AA66" s="248">
        <f t="shared" si="33"/>
        <v>23.281500000000001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34"/>
        <v>153</v>
      </c>
      <c r="AE66" s="236" t="str">
        <f t="shared" si="35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66" s="235" t="str">
        <f t="shared" si="36"/>
        <v>"C:\Program Files (x86)\AstroGrep\AstroGrep.exe" /e /r /s /spath="%USERPROFILE%\AppData\Local\Temp\OnboardLogs" /stypes="app*4042*20171126*" /stext=" 17:.+((SYSTEM_STATE.+slice.+state.+changed )|(ment ac)|(multiple cpu faults)|(system.+state.+changed )|(\[timeout)|(PRM\|1\|D)|(kpr)|(kdp)|(train st.+moving)|(\|lc)|(penalty))"</v>
      </c>
      <c r="AG66" s="245" t="str">
        <f t="shared" si="37"/>
        <v>EC</v>
      </c>
      <c r="AH66" s="237" t="str">
        <f t="shared" si="19"/>
        <v>"%USERPROFILE%\Documents\GitHub\eaglep3\Utilities\RefineRTDCRunTimes.py" --tripid 153-26 --locoid 4042 --swversion DE.1.0.9.0 --startMP 204:473 --initTime 2017-11-26T10:13:52 --startdatetime 2017-11-26T10:16:19 --delay 72 --endMP 204:233288 --enddatetime 2017-11-26T10:51:31 --enforcementcount 0 &gt;&gt;%USERPROFILE%\Documents\GitHub\eaglep3-reporting\EC\2017-11-26-refined-times.txt</v>
      </c>
      <c r="AI66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{"issue":{"subject":"","project_id":79,"tracker_id":40,"status_id":1,"priority_id":2,"assigned_to_id":338,"start_date":"2017-11-26","description":"","custom_fields":[{"id":1,"name":"Subdivision","value":"EC"},{"id":4,"name":"Milepost","value":"23.3288"},{"id":17,"name":"Train ID","value":"153-26"},{"id":16,"name":"Locomotive ID","value":"4042"},{"id":130,"name":"Impact","value":""},{"id":150,"name":"Time of Event (Mountain Time)","value":"10:51:31"},{"id":151,"name":"Denver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4042 --day 2017-11-26</v>
      </c>
      <c r="AN66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-26T09:13:52-0700',mode:absolute,to:'2017-11-26T11:51:31-0700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767</v>
      </c>
      <c r="B67" s="226">
        <v>4041</v>
      </c>
      <c r="C67" s="228" t="s">
        <v>192</v>
      </c>
      <c r="D67" s="228" t="s">
        <v>623</v>
      </c>
      <c r="E67" s="227">
        <v>43065.463888888888</v>
      </c>
      <c r="F67" s="227">
        <v>43065.466851851852</v>
      </c>
      <c r="G67" s="226">
        <v>71</v>
      </c>
      <c r="H67" s="228" t="s">
        <v>920</v>
      </c>
      <c r="I67" s="227">
        <v>43065.494513888887</v>
      </c>
      <c r="J67" s="226">
        <v>0</v>
      </c>
      <c r="K67" s="238" t="str">
        <f t="shared" si="24"/>
        <v>4041/4042</v>
      </c>
      <c r="L67" s="246" t="str">
        <f>VLOOKUP(A67,'Trips&amp;Operators'!$C$1:$G$99911,5,FALSE)</f>
        <v>BADERTSCHER DIANE</v>
      </c>
      <c r="M67" s="225">
        <f t="shared" si="25"/>
        <v>2.7662037035042886E-2</v>
      </c>
      <c r="N67" s="226">
        <f t="shared" si="26"/>
        <v>39.833333330461755</v>
      </c>
      <c r="O67" s="226"/>
      <c r="P67" s="226"/>
      <c r="Q67" s="229"/>
      <c r="R67" s="243"/>
      <c r="S67" s="250">
        <f t="shared" si="27"/>
        <v>1</v>
      </c>
      <c r="T67" s="243" t="str">
        <f t="shared" si="28"/>
        <v>Southbound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29"/>
        <v>https://d0f6bd738d7f1b3e5a7ca70fe4ff75f0.us-east-1.aws.found.io/app/kibana#/discover/Steve-Slow-Train-Analysis-(2080s-and-2083s)?_g=(refreshInterval:(display:Off,pause:!f,section:0,value:0),time:(from:'2017-11-26T10:08:00-0700',mode:absolute,to:'2017-11-26T12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48" t="str">
        <f>IF(AA67&lt;VLOOKUP(AG67,Variables!$AC$3:$AD$8,2,FALSE),"Y","N")</f>
        <v>N</v>
      </c>
      <c r="X67" s="248">
        <f t="shared" si="30"/>
        <v>1</v>
      </c>
      <c r="Y67" s="248">
        <f t="shared" si="31"/>
        <v>23.295200000000001</v>
      </c>
      <c r="Z67" s="248">
        <f t="shared" si="32"/>
        <v>2.0500000000000001E-2</v>
      </c>
      <c r="AA67" s="248">
        <f t="shared" si="33"/>
        <v>23.274700000000003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34"/>
        <v>154</v>
      </c>
      <c r="AE67" s="236" t="str">
        <f t="shared" si="35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67" s="235" t="str">
        <f t="shared" si="36"/>
        <v>"C:\Program Files (x86)\AstroGrep\AstroGrep.exe" /e /r /s /spath="%USERPROFILE%\AppData\Local\Temp\OnboardLogs" /stypes="app*4041*20171126*" /stext=" 18:.+((SYSTEM_STATE.+slice.+state.+changed )|(ment ac)|(multiple cpu faults)|(system.+state.+changed )|(\[timeout)|(PRM\|1\|D)|(kpr)|(kdp)|(train st.+moving)|(\|lc)|(penalty))"</v>
      </c>
      <c r="AG67" s="245" t="str">
        <f t="shared" si="37"/>
        <v>EC</v>
      </c>
      <c r="AH67" s="237" t="str">
        <f t="shared" si="19"/>
        <v>"%USERPROFILE%\Documents\GitHub\eaglep3\Utilities\RefineRTDCRunTimes.py" --tripid 154-26 --locoid 4041 --swversion DE.1.0.9.0 --startMP 204:232952 --initTime 2017-11-26T11:08:00 --startdatetime 2017-11-26T11:12:16 --delay 71 --endMP 204:205 --enddatetime 2017-11-26T11:52:06 --enforcementcount 0 &gt;&gt;%USERPROFILE%\Documents\GitHub\eaglep3-reporting\EC\2017-11-26-refined-times.txt</v>
      </c>
      <c r="AI67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{"issue":{"subject":"","project_id":79,"tracker_id":40,"status_id":1,"priority_id":2,"assigned_to_id":338,"start_date":"2017-11-26","description":"","custom_fields":[{"id":1,"name":"Subdivision","value":"EC"},{"id":4,"name":"Milepost","value":"0.0205"},{"id":17,"name":"Train ID","value":"154-26"},{"id":16,"name":"Locomotive ID","value":"4041"},{"id":130,"name":"Impact","value":""},{"id":150,"name":"Time of Event (Mountain Time)","value":"11:52:06"},{"id":151,"name":"Denver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4041 --day 2017-11-26</v>
      </c>
      <c r="AN67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-26T10:08:00-0700',mode:absolute,to:'2017-11-26T12:52:06-0700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763</v>
      </c>
      <c r="B68" s="226">
        <v>4006</v>
      </c>
      <c r="C68" s="228" t="s">
        <v>192</v>
      </c>
      <c r="D68" s="228" t="s">
        <v>476</v>
      </c>
      <c r="E68" s="227">
        <v>43065.432696759257</v>
      </c>
      <c r="F68" s="227">
        <v>43065.437673611108</v>
      </c>
      <c r="G68" s="226">
        <v>69</v>
      </c>
      <c r="H68" s="228" t="s">
        <v>935</v>
      </c>
      <c r="I68" s="227">
        <v>43065.462650462963</v>
      </c>
      <c r="J68" s="226">
        <v>0</v>
      </c>
      <c r="K68" s="238" t="str">
        <f t="shared" si="24"/>
        <v>4005/4006</v>
      </c>
      <c r="L68" s="246" t="str">
        <f>VLOOKUP(A68,'Trips&amp;Operators'!$C$1:$G$99911,5,FALSE)</f>
        <v>WILLIAMS DONTE</v>
      </c>
      <c r="M68" s="225">
        <f t="shared" si="25"/>
        <v>2.4976851855171844E-2</v>
      </c>
      <c r="N68" s="226">
        <f t="shared" si="26"/>
        <v>35.966666671447456</v>
      </c>
      <c r="O68" s="226"/>
      <c r="P68" s="226"/>
      <c r="Q68" s="229"/>
      <c r="R68" s="243"/>
      <c r="S68" s="250">
        <f t="shared" si="27"/>
        <v>1</v>
      </c>
      <c r="T68" s="243" t="str">
        <f t="shared" si="28"/>
        <v>NorthBound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29"/>
        <v>https://d0f6bd738d7f1b3e5a7ca70fe4ff75f0.us-east-1.aws.found.io/app/kibana#/discover/Steve-Slow-Train-Analysis-(2080s-and-2083s)?_g=(refreshInterval:(display:Off,pause:!f,section:0,value:0),time:(from:'2017-11-26T09:23:05-0700',mode:absolute,to:'2017-11-26T12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248" t="str">
        <f>IF(AA68&lt;VLOOKUP(AG68,Variables!$AC$3:$AD$8,2,FALSE),"Y","N")</f>
        <v>N</v>
      </c>
      <c r="X68" s="248">
        <f t="shared" si="30"/>
        <v>1</v>
      </c>
      <c r="Y68" s="248">
        <f t="shared" si="31"/>
        <v>5.2400000000000002E-2</v>
      </c>
      <c r="Z68" s="248">
        <f t="shared" si="32"/>
        <v>23.322900000000001</v>
      </c>
      <c r="AA68" s="248">
        <f t="shared" si="33"/>
        <v>23.270500000000002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34"/>
        <v>155</v>
      </c>
      <c r="AE68" s="236" t="str">
        <f t="shared" si="35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68" s="235" t="str">
        <f t="shared" si="36"/>
        <v>"C:\Program Files (x86)\AstroGrep\AstroGrep.exe" /e /r /s /spath="%USERPROFILE%\AppData\Local\Temp\OnboardLogs" /stypes="app*4006*20171126*" /stext=" 18:.+((SYSTEM_STATE.+slice.+state.+changed )|(ment ac)|(multiple cpu faults)|(system.+state.+changed )|(\[timeout)|(PRM\|1\|D)|(kpr)|(kdp)|(train st.+moving)|(\|lc)|(penalty))"</v>
      </c>
      <c r="AG68" s="245" t="str">
        <f t="shared" si="37"/>
        <v>EC</v>
      </c>
      <c r="AH68" s="237" t="str">
        <f t="shared" si="19"/>
        <v>"%USERPROFILE%\Documents\GitHub\eaglep3\Utilities\RefineRTDCRunTimes.py" --tripid 155-26 --locoid 4006 --swversion DE.1.0.9.0 --startMP 204:524 --initTime 2017-11-26T10:23:05 --startdatetime 2017-11-26T10:30:15 --delay 69 --endMP 204:233229 --enddatetime 2017-11-26T11:06:13 --enforcementcount 0 &gt;&gt;%USERPROFILE%\Documents\GitHub\eaglep3-reporting\EC\2017-11-26-refined-times.txt</v>
      </c>
      <c r="AI68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{"issue":{"subject":"","project_id":79,"tracker_id":40,"status_id":1,"priority_id":2,"assigned_to_id":338,"start_date":"2017-11-26","description":"","custom_fields":[{"id":1,"name":"Subdivision","value":"EC"},{"id":4,"name":"Milepost","value":"23.3229"},{"id":17,"name":"Train ID","value":"155-26"},{"id":16,"name":"Locomotive ID","value":"4006"},{"id":130,"name":"Impact","value":""},{"id":150,"name":"Time of Event (Mountain Time)","value":"11:06:13"},{"id":151,"name":"Denver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4006 --day 2017-11-26</v>
      </c>
      <c r="AN68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-26T09:23:05-0700',mode:absolute,to:'2017-11-26T12:06:13-0700'))&amp;_a=(columns:!('Message%20ID',Summary),filters:!(),index:'emp_*',interval:auto,query:(query_string:(analyze_wildcard:!t,query:'%22rtdc.l.rtdc.4006%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770</v>
      </c>
      <c r="B69" s="226">
        <v>4005</v>
      </c>
      <c r="C69" s="228" t="s">
        <v>192</v>
      </c>
      <c r="D69" s="228" t="s">
        <v>936</v>
      </c>
      <c r="E69" s="227">
        <v>43065.469895833332</v>
      </c>
      <c r="F69" s="227">
        <v>43065.477303240739</v>
      </c>
      <c r="G69" s="226">
        <v>82</v>
      </c>
      <c r="H69" s="228" t="s">
        <v>444</v>
      </c>
      <c r="I69" s="227">
        <v>43065.503101851849</v>
      </c>
      <c r="J69" s="226">
        <v>0</v>
      </c>
      <c r="K69" s="238" t="str">
        <f t="shared" si="24"/>
        <v>4005/4006</v>
      </c>
      <c r="L69" s="246" t="str">
        <f>VLOOKUP(A69,'Trips&amp;Operators'!$C$1:$G$99911,5,FALSE)</f>
        <v>WILLIAMS DONTE</v>
      </c>
      <c r="M69" s="225">
        <f t="shared" si="25"/>
        <v>2.5798611110076308E-2</v>
      </c>
      <c r="N69" s="226">
        <f t="shared" si="26"/>
        <v>37.149999998509884</v>
      </c>
      <c r="O69" s="226"/>
      <c r="P69" s="226"/>
      <c r="Q69" s="229"/>
      <c r="R69" s="243"/>
      <c r="S69" s="250">
        <f t="shared" si="27"/>
        <v>1</v>
      </c>
      <c r="T69" s="243" t="str">
        <f t="shared" si="28"/>
        <v>Southbound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29"/>
        <v>https://d0f6bd738d7f1b3e5a7ca70fe4ff75f0.us-east-1.aws.found.io/app/kibana#/discover/Steve-Slow-Train-Analysis-(2080s-and-2083s)?_g=(refreshInterval:(display:Off,pause:!f,section:0,value:0),time:(from:'2017-11-26T10:16:39-0700',mode:absolute,to:'2017-11-26T13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248" t="str">
        <f>IF(AA69&lt;VLOOKUP(AG69,Variables!$AC$3:$AD$8,2,FALSE),"Y","N")</f>
        <v>N</v>
      </c>
      <c r="X69" s="248">
        <f t="shared" si="30"/>
        <v>1</v>
      </c>
      <c r="Y69" s="248">
        <f t="shared" si="31"/>
        <v>23.29</v>
      </c>
      <c r="Z69" s="248">
        <f t="shared" si="32"/>
        <v>2.1399999999999999E-2</v>
      </c>
      <c r="AA69" s="248">
        <f t="shared" si="33"/>
        <v>23.268599999999999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34"/>
        <v>156</v>
      </c>
      <c r="AE69" s="236" t="str">
        <f t="shared" si="35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69" s="235" t="str">
        <f t="shared" si="36"/>
        <v>"C:\Program Files (x86)\AstroGrep\AstroGrep.exe" /e /r /s /spath="%USERPROFILE%\AppData\Local\Temp\OnboardLogs" /stypes="app*4005*20171126*" /stext=" 19:.+((SYSTEM_STATE.+slice.+state.+changed )|(ment ac)|(multiple cpu faults)|(system.+state.+changed )|(\[timeout)|(PRM\|1\|D)|(kpr)|(kdp)|(train st.+moving)|(\|lc)|(penalty))"</v>
      </c>
      <c r="AG69" s="245" t="str">
        <f t="shared" si="37"/>
        <v>EC</v>
      </c>
      <c r="AH69" s="237" t="str">
        <f t="shared" si="19"/>
        <v>"%USERPROFILE%\Documents\GitHub\eaglep3\Utilities\RefineRTDCRunTimes.py" --tripid 156-26 --locoid 4005 --swversion DE.1.0.9.0 --startMP 204:232900 --initTime 2017-11-26T11:16:39 --startdatetime 2017-11-26T11:27:19 --delay 82 --endMP 204:214 --enddatetime 2017-11-26T12:04:28 --enforcementcount 0 &gt;&gt;%USERPROFILE%\Documents\GitHub\eaglep3-reporting\EC\2017-11-26-refined-times.txt</v>
      </c>
      <c r="AI69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{"issue":{"subject":"","project_id":79,"tracker_id":40,"status_id":1,"priority_id":2,"assigned_to_id":338,"start_date":"2017-11-26","description":"","custom_fields":[{"id":1,"name":"Subdivision","value":"EC"},{"id":4,"name":"Milepost","value":"0.0214"},{"id":17,"name":"Train ID","value":"156-26"},{"id":16,"name":"Locomotive ID","value":"4005"},{"id":130,"name":"Impact","value":""},{"id":150,"name":"Time of Event (Mountain Time)","value":"12:04:28"},{"id":151,"name":"Denver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4005 --day 2017-11-26</v>
      </c>
      <c r="AN69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-26T10:16:39-0700',mode:absolute,to:'2017-11-26T13:04:28-0700'))&amp;_a=(columns:!('Message%20ID',Summary),filters:!(),index:'emp_*',interval:auto,query:(query_string:(analyze_wildcard:!t,query:'%22rtdc.l.rtdc.4005%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658</v>
      </c>
      <c r="B70" s="226">
        <v>4016</v>
      </c>
      <c r="C70" s="228" t="s">
        <v>192</v>
      </c>
      <c r="D70" s="228" t="s">
        <v>602</v>
      </c>
      <c r="E70" s="227">
        <v>43065.442662037036</v>
      </c>
      <c r="F70" s="227">
        <v>43065.448125000003</v>
      </c>
      <c r="G70" s="226">
        <v>102</v>
      </c>
      <c r="H70" s="228" t="s">
        <v>618</v>
      </c>
      <c r="I70" s="227">
        <v>43065.472696759258</v>
      </c>
      <c r="J70" s="226">
        <v>0</v>
      </c>
      <c r="K70" s="238" t="str">
        <f t="shared" si="24"/>
        <v>4015/4016</v>
      </c>
      <c r="L70" s="246" t="str">
        <f>VLOOKUP(A70,'Trips&amp;Operators'!$C$1:$G$99911,5,FALSE)</f>
        <v>STEWART MICHAEL</v>
      </c>
      <c r="M70" s="225">
        <f t="shared" si="25"/>
        <v>2.4571759255195502E-2</v>
      </c>
      <c r="N70" s="226">
        <f t="shared" si="26"/>
        <v>35.383333327481523</v>
      </c>
      <c r="O70" s="226"/>
      <c r="P70" s="226"/>
      <c r="Q70" s="229"/>
      <c r="R70" s="243"/>
      <c r="S70" s="250">
        <f t="shared" si="27"/>
        <v>1</v>
      </c>
      <c r="T70" s="243" t="str">
        <f t="shared" si="28"/>
        <v>NorthBound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29"/>
        <v>https://d0f6bd738d7f1b3e5a7ca70fe4ff75f0.us-east-1.aws.found.io/app/kibana#/discover/Steve-Slow-Train-Analysis-(2080s-and-2083s)?_g=(refreshInterval:(display:Off,pause:!f,section:0,value:0),time:(from:'2017-11-26T09:37:26-0700',mode:absolute,to:'2017-11-26T12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248" t="str">
        <f>IF(AA70&lt;VLOOKUP(AG70,Variables!$AC$3:$AD$8,2,FALSE),"Y","N")</f>
        <v>N</v>
      </c>
      <c r="X70" s="248">
        <f t="shared" si="30"/>
        <v>1</v>
      </c>
      <c r="Y70" s="248">
        <f t="shared" si="31"/>
        <v>4.82E-2</v>
      </c>
      <c r="Z70" s="248">
        <f t="shared" si="32"/>
        <v>23.3203</v>
      </c>
      <c r="AA70" s="248">
        <f t="shared" si="33"/>
        <v>23.272099999999998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34"/>
        <v>157</v>
      </c>
      <c r="AE70" s="236" t="str">
        <f t="shared" si="35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70" s="235" t="str">
        <f t="shared" si="36"/>
        <v>"C:\Program Files (x86)\AstroGrep\AstroGrep.exe" /e /r /s /spath="%USERPROFILE%\AppData\Local\Temp\OnboardLogs" /stypes="app*4016*20171126*" /stext=" 18:.+((SYSTEM_STATE.+slice.+state.+changed )|(ment ac)|(multiple cpu faults)|(system.+state.+changed )|(\[timeout)|(PRM\|1\|D)|(kpr)|(kdp)|(train st.+moving)|(\|lc)|(penalty))"</v>
      </c>
      <c r="AG70" s="245" t="str">
        <f t="shared" si="37"/>
        <v>EC</v>
      </c>
      <c r="AH70" s="237" t="str">
        <f t="shared" si="19"/>
        <v>"%USERPROFILE%\Documents\GitHub\eaglep3\Utilities\RefineRTDCRunTimes.py" --tripid 157-26 --locoid 4016 --swversion DE.1.0.9.0 --startMP 204:482 --initTime 2017-11-26T10:37:26 --startdatetime 2017-11-26T10:45:18 --delay 102 --endMP 204:233203 --enddatetime 2017-11-26T11:20:41 --enforcementcount 0 &gt;&gt;%USERPROFILE%\Documents\GitHub\eaglep3-reporting\EC\2017-11-26-refined-times.txt</v>
      </c>
      <c r="AI70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{"issue":{"subject":"","project_id":79,"tracker_id":40,"status_id":1,"priority_id":2,"assigned_to_id":338,"start_date":"2017-11-26","description":"","custom_fields":[{"id":1,"name":"Subdivision","value":"EC"},{"id":4,"name":"Milepost","value":"23.3203"},{"id":17,"name":"Train ID","value":"157-26"},{"id":16,"name":"Locomotive ID","value":"4016"},{"id":130,"name":"Impact","value":""},{"id":150,"name":"Time of Event (Mountain Time)","value":"11:20:41"},{"id":151,"name":"Denver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4016 --day 2017-11-26</v>
      </c>
      <c r="AN70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-26T09:37:26-0700',mode:absolute,to:'2017-11-26T12:20:41-0700'))&amp;_a=(columns:!('Message%20ID',Summary),filters:!(),index:'emp_*',interval:auto,query:(query_string:(analyze_wildcard:!t,query:'%22rtdc.l.rtdc.4016%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773</v>
      </c>
      <c r="B71" s="226">
        <v>4015</v>
      </c>
      <c r="C71" s="228" t="s">
        <v>192</v>
      </c>
      <c r="D71" s="228" t="s">
        <v>616</v>
      </c>
      <c r="E71" s="227">
        <v>43065.483078703706</v>
      </c>
      <c r="F71" s="227">
        <v>43065.487881944442</v>
      </c>
      <c r="G71" s="226">
        <v>90</v>
      </c>
      <c r="H71" s="228" t="s">
        <v>489</v>
      </c>
      <c r="I71" s="227">
        <v>43065.514467592591</v>
      </c>
      <c r="J71" s="226">
        <v>0</v>
      </c>
      <c r="K71" s="238" t="str">
        <f t="shared" si="24"/>
        <v>4015/4016</v>
      </c>
      <c r="L71" s="246" t="str">
        <f>VLOOKUP(A71,'Trips&amp;Operators'!$C$1:$G$99911,5,FALSE)</f>
        <v>STEWART MICHAEL</v>
      </c>
      <c r="M71" s="225">
        <f t="shared" si="25"/>
        <v>2.658564814919373E-2</v>
      </c>
      <c r="N71" s="226">
        <f t="shared" si="26"/>
        <v>38.283333334838971</v>
      </c>
      <c r="O71" s="226"/>
      <c r="P71" s="226"/>
      <c r="Q71" s="229"/>
      <c r="R71" s="243"/>
      <c r="S71" s="250">
        <f t="shared" si="27"/>
        <v>1</v>
      </c>
      <c r="T71" s="243" t="str">
        <f t="shared" si="28"/>
        <v>Southbound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29"/>
        <v>https://d0f6bd738d7f1b3e5a7ca70fe4ff75f0.us-east-1.aws.found.io/app/kibana#/discover/Steve-Slow-Train-Analysis-(2080s-and-2083s)?_g=(refreshInterval:(display:Off,pause:!f,section:0,value:0),time:(from:'2017-11-26T10:35:38-0700',mode:absolute,to:'2017-11-26T13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248" t="str">
        <f>IF(AA71&lt;VLOOKUP(AG71,Variables!$AC$3:$AD$8,2,FALSE),"Y","N")</f>
        <v>N</v>
      </c>
      <c r="X71" s="248">
        <f t="shared" si="30"/>
        <v>1</v>
      </c>
      <c r="Y71" s="248">
        <f t="shared" si="31"/>
        <v>23.290400000000002</v>
      </c>
      <c r="Z71" s="248">
        <f t="shared" si="32"/>
        <v>2.1999999999999999E-2</v>
      </c>
      <c r="AA71" s="248">
        <f t="shared" si="33"/>
        <v>23.268400000000003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34"/>
        <v>158</v>
      </c>
      <c r="AE71" s="236" t="str">
        <f t="shared" si="35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71" s="235" t="str">
        <f t="shared" si="36"/>
        <v>"C:\Program Files (x86)\AstroGrep\AstroGrep.exe" /e /r /s /spath="%USERPROFILE%\AppData\Local\Temp\OnboardLogs" /stypes="app*4015*20171126*" /stext=" 19:.+((SYSTEM_STATE.+slice.+state.+changed )|(ment ac)|(multiple cpu faults)|(system.+state.+changed )|(\[timeout)|(PRM\|1\|D)|(kpr)|(kdp)|(train st.+moving)|(\|lc)|(penalty))"</v>
      </c>
      <c r="AG71" s="245" t="str">
        <f t="shared" si="37"/>
        <v>EC</v>
      </c>
      <c r="AH71" s="237" t="str">
        <f t="shared" si="19"/>
        <v>"%USERPROFILE%\Documents\GitHub\eaglep3\Utilities\RefineRTDCRunTimes.py" --tripid 158-26 --locoid 4015 --swversion DE.1.0.9.0 --startMP 204:232904 --initTime 2017-11-26T11:35:38 --startdatetime 2017-11-26T11:42:33 --delay 90 --endMP 204:220 --enddatetime 2017-11-26T12:20:50 --enforcementcount 0 &gt;&gt;%USERPROFILE%\Documents\GitHub\eaglep3-reporting\EC\2017-11-26-refined-times.txt</v>
      </c>
      <c r="AI71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{"issue":{"subject":"","project_id":79,"tracker_id":40,"status_id":1,"priority_id":2,"assigned_to_id":338,"start_date":"2017-11-26","description":"","custom_fields":[{"id":1,"name":"Subdivision","value":"EC"},{"id":4,"name":"Milepost","value":"0.022"},{"id":17,"name":"Train ID","value":"158-26"},{"id":16,"name":"Locomotive ID","value":"4015"},{"id":130,"name":"Impact","value":""},{"id":150,"name":"Time of Event (Mountain Time)","value":"12:20:50"},{"id":151,"name":"Denver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4015 --day 2017-11-26</v>
      </c>
      <c r="AN71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-26T10:35:38-0700',mode:absolute,to:'2017-11-26T13:20:50-0700'))&amp;_a=(columns:!('Message%20ID',Summary),filters:!(),index:'emp_*',interval:auto,query:(query_string:(analyze_wildcard:!t,query:'%22rtdc.l.rtdc.4015%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766</v>
      </c>
      <c r="B72" s="226">
        <v>4040</v>
      </c>
      <c r="C72" s="228" t="s">
        <v>192</v>
      </c>
      <c r="D72" s="228" t="s">
        <v>533</v>
      </c>
      <c r="E72" s="227">
        <v>43065.455567129633</v>
      </c>
      <c r="F72" s="227">
        <v>43065.458495370367</v>
      </c>
      <c r="G72" s="226">
        <v>72</v>
      </c>
      <c r="H72" s="228" t="s">
        <v>937</v>
      </c>
      <c r="I72" s="227">
        <v>43065.483090277776</v>
      </c>
      <c r="J72" s="226">
        <v>0</v>
      </c>
      <c r="K72" s="238" t="str">
        <f t="shared" si="24"/>
        <v>4039/4040</v>
      </c>
      <c r="L72" s="246" t="str">
        <f>VLOOKUP(A72,'Trips&amp;Operators'!$C$1:$G$99911,5,FALSE)</f>
        <v>LAMAR NEKESHA</v>
      </c>
      <c r="M72" s="225">
        <f t="shared" si="25"/>
        <v>2.4594907408754807E-2</v>
      </c>
      <c r="N72" s="226">
        <f t="shared" si="26"/>
        <v>35.416666668606922</v>
      </c>
      <c r="O72" s="226"/>
      <c r="P72" s="226"/>
      <c r="Q72" s="229"/>
      <c r="R72" s="243"/>
      <c r="S72" s="250">
        <f t="shared" si="27"/>
        <v>1</v>
      </c>
      <c r="T72" s="243" t="str">
        <f t="shared" si="28"/>
        <v>NorthBound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29"/>
        <v>https://d0f6bd738d7f1b3e5a7ca70fe4ff75f0.us-east-1.aws.found.io/app/kibana#/discover/Steve-Slow-Train-Analysis-(2080s-and-2083s)?_g=(refreshInterval:(display:Off,pause:!f,section:0,value:0),time:(from:'2017-11-26T09:56:01-0700',mode:absolute,to:'2017-11-26T12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248" t="str">
        <f>IF(AA72&lt;VLOOKUP(AG72,Variables!$AC$3:$AD$8,2,FALSE),"Y","N")</f>
        <v>N</v>
      </c>
      <c r="X72" s="248">
        <f t="shared" si="30"/>
        <v>1</v>
      </c>
      <c r="Y72" s="248">
        <f t="shared" si="31"/>
        <v>4.8000000000000001E-2</v>
      </c>
      <c r="Z72" s="248">
        <f t="shared" si="32"/>
        <v>23.3232</v>
      </c>
      <c r="AA72" s="248">
        <f t="shared" si="33"/>
        <v>23.275200000000002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34"/>
        <v>159</v>
      </c>
      <c r="AE72" s="236" t="str">
        <f t="shared" si="35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72" s="235" t="str">
        <f t="shared" si="36"/>
        <v>"C:\Program Files (x86)\AstroGrep\AstroGrep.exe" /e /r /s /spath="%USERPROFILE%\AppData\Local\Temp\OnboardLogs" /stypes="app*4040*20171126*" /stext=" 18:.+((SYSTEM_STATE.+slice.+state.+changed )|(ment ac)|(multiple cpu faults)|(system.+state.+changed )|(\[timeout)|(PRM\|1\|D)|(kpr)|(kdp)|(train st.+moving)|(\|lc)|(penalty))"</v>
      </c>
      <c r="AG72" s="245" t="str">
        <f t="shared" si="37"/>
        <v>EC</v>
      </c>
      <c r="AH72" s="237" t="str">
        <f t="shared" si="19"/>
        <v>"%USERPROFILE%\Documents\GitHub\eaglep3\Utilities\RefineRTDCRunTimes.py" --tripid 159-26 --locoid 4040 --swversion DE.1.0.9.0 --startMP 204:480 --initTime 2017-11-26T10:56:01 --startdatetime 2017-11-26T11:00:14 --delay 72 --endMP 204:233232 --enddatetime 2017-11-26T11:35:39 --enforcementcount 0 &gt;&gt;%USERPROFILE%\Documents\GitHub\eaglep3-reporting\EC\2017-11-26-refined-times.txt</v>
      </c>
      <c r="AI72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{"issue":{"subject":"","project_id":79,"tracker_id":40,"status_id":1,"priority_id":2,"assigned_to_id":338,"start_date":"2017-11-26","description":"","custom_fields":[{"id":1,"name":"Subdivision","value":"EC"},{"id":4,"name":"Milepost","value":"23.3232"},{"id":17,"name":"Train ID","value":"159-26"},{"id":16,"name":"Locomotive ID","value":"4040"},{"id":130,"name":"Impact","value":""},{"id":150,"name":"Time of Event (Mountain Time)","value":"11:35:39"},{"id":151,"name":"Denver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4040 --day 2017-11-26</v>
      </c>
      <c r="AN72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-26T09:56:01-0700',mode:absolute,to:'2017-11-26T12:35:39-0700'))&amp;_a=(columns:!('Message%20ID',Summary),filters:!(),index:'emp_*',interval:auto,query:(query_string:(analyze_wildcard:!t,query:'%22rtdc.l.rtdc.4040%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775</v>
      </c>
      <c r="B73" s="226">
        <v>4039</v>
      </c>
      <c r="C73" s="228" t="s">
        <v>192</v>
      </c>
      <c r="D73" s="228" t="s">
        <v>938</v>
      </c>
      <c r="E73" s="227">
        <v>43065.495381944442</v>
      </c>
      <c r="F73" s="227">
        <v>43065.498229166667</v>
      </c>
      <c r="G73" s="226">
        <v>82</v>
      </c>
      <c r="H73" s="228" t="s">
        <v>560</v>
      </c>
      <c r="I73" s="227">
        <v>43065.524305555555</v>
      </c>
      <c r="J73" s="226">
        <v>0</v>
      </c>
      <c r="K73" s="238" t="str">
        <f t="shared" si="24"/>
        <v>4039/4040</v>
      </c>
      <c r="L73" s="246" t="str">
        <f>VLOOKUP(A73,'Trips&amp;Operators'!$C$1:$G$99911,5,FALSE)</f>
        <v>LAMAR NEKESHA</v>
      </c>
      <c r="M73" s="225">
        <f t="shared" si="25"/>
        <v>2.6076388887304347E-2</v>
      </c>
      <c r="N73" s="226">
        <f t="shared" si="26"/>
        <v>37.54999999771826</v>
      </c>
      <c r="O73" s="226"/>
      <c r="P73" s="226"/>
      <c r="Q73" s="229"/>
      <c r="R73" s="243"/>
      <c r="S73" s="250">
        <f t="shared" si="27"/>
        <v>1</v>
      </c>
      <c r="T73" s="243" t="str">
        <f t="shared" si="28"/>
        <v>Southbound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29"/>
        <v>https://d0f6bd738d7f1b3e5a7ca70fe4ff75f0.us-east-1.aws.found.io/app/kibana#/discover/Steve-Slow-Train-Analysis-(2080s-and-2083s)?_g=(refreshInterval:(display:Off,pause:!f,section:0,value:0),time:(from:'2017-11-26T10:53:21-0700',mode:absolute,to:'2017-11-26T13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248" t="str">
        <f>IF(AA73&lt;VLOOKUP(AG73,Variables!$AC$3:$AD$8,2,FALSE),"Y","N")</f>
        <v>N</v>
      </c>
      <c r="X73" s="248">
        <f t="shared" si="30"/>
        <v>1</v>
      </c>
      <c r="Y73" s="248">
        <f t="shared" si="31"/>
        <v>23.2911</v>
      </c>
      <c r="Z73" s="248">
        <f t="shared" si="32"/>
        <v>1.83E-2</v>
      </c>
      <c r="AA73" s="248">
        <f t="shared" si="33"/>
        <v>23.2728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34"/>
        <v>160</v>
      </c>
      <c r="AE73" s="236" t="str">
        <f t="shared" si="35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73" s="235" t="str">
        <f t="shared" si="36"/>
        <v>"C:\Program Files (x86)\AstroGrep\AstroGrep.exe" /e /r /s /spath="%USERPROFILE%\AppData\Local\Temp\OnboardLogs" /stypes="app*4039*20171126*" /stext=" 19:.+((SYSTEM_STATE.+slice.+state.+changed )|(ment ac)|(multiple cpu faults)|(system.+state.+changed )|(\[timeout)|(PRM\|1\|D)|(kpr)|(kdp)|(train st.+moving)|(\|lc)|(penalty))"</v>
      </c>
      <c r="AG73" s="245" t="str">
        <f t="shared" si="37"/>
        <v>EC</v>
      </c>
      <c r="AH73" s="237" t="str">
        <f t="shared" si="19"/>
        <v>"%USERPROFILE%\Documents\GitHub\eaglep3\Utilities\RefineRTDCRunTimes.py" --tripid 160-26 --locoid 4039 --swversion DE.1.0.9.0 --startMP 204:232911 --initTime 2017-11-26T11:53:21 --startdatetime 2017-11-26T11:57:27 --delay 82 --endMP 204:183 --enddatetime 2017-11-26T12:35:00 --enforcementcount 0 &gt;&gt;%USERPROFILE%\Documents\GitHub\eaglep3-reporting\EC\2017-11-26-refined-times.txt</v>
      </c>
      <c r="AI73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{"issue":{"subject":"","project_id":79,"tracker_id":40,"status_id":1,"priority_id":2,"assigned_to_id":338,"start_date":"2017-11-26","description":"","custom_fields":[{"id":1,"name":"Subdivision","value":"EC"},{"id":4,"name":"Milepost","value":"0.0183"},{"id":17,"name":"Train ID","value":"160-26"},{"id":16,"name":"Locomotive ID","value":"4039"},{"id":130,"name":"Impact","value":""},{"id":150,"name":"Time of Event (Mountain Time)","value":"12:35:00"},{"id":151,"name":"Denver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4039 --day 2017-11-26</v>
      </c>
      <c r="AN73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-26T10:53:21-0700',mode:absolute,to:'2017-11-26T13:35:00-0700'))&amp;_a=(columns:!('Message%20ID',Summary),filters:!(),index:'emp_*',interval:auto,query:(query_string:(analyze_wildcard:!t,query:'%22rtdc.l.rtdc.4039%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769</v>
      </c>
      <c r="B74" s="226">
        <v>4008</v>
      </c>
      <c r="C74" s="228" t="s">
        <v>192</v>
      </c>
      <c r="D74" s="228" t="s">
        <v>476</v>
      </c>
      <c r="E74" s="227">
        <v>43065.464733796296</v>
      </c>
      <c r="F74" s="227">
        <v>43065.4690625</v>
      </c>
      <c r="G74" s="226">
        <v>96</v>
      </c>
      <c r="H74" s="228" t="s">
        <v>939</v>
      </c>
      <c r="I74" s="227">
        <v>43065.493657407409</v>
      </c>
      <c r="J74" s="226">
        <v>0</v>
      </c>
      <c r="K74" s="238" t="str">
        <f t="shared" si="24"/>
        <v>4007/4008</v>
      </c>
      <c r="L74" s="246" t="str">
        <f>VLOOKUP(A74,'Trips&amp;Operators'!$C$1:$G$99911,5,FALSE)</f>
        <v>DAVIS MICHAEL</v>
      </c>
      <c r="M74" s="225">
        <f t="shared" si="25"/>
        <v>2.4594907408754807E-2</v>
      </c>
      <c r="N74" s="226">
        <f t="shared" si="26"/>
        <v>35.416666668606922</v>
      </c>
      <c r="O74" s="226"/>
      <c r="P74" s="226"/>
      <c r="Q74" s="229"/>
      <c r="R74" s="243"/>
      <c r="S74" s="250">
        <f t="shared" si="27"/>
        <v>1</v>
      </c>
      <c r="T74" s="243" t="str">
        <f t="shared" si="28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29"/>
        <v>https://d0f6bd738d7f1b3e5a7ca70fe4ff75f0.us-east-1.aws.found.io/app/kibana#/discover/Steve-Slow-Train-Analysis-(2080s-and-2083s)?_g=(refreshInterval:(display:Off,pause:!f,section:0,value:0),time:(from:'2017-11-26T10:09:13-0700',mode:absolute,to:'2017-11-26T12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248" t="str">
        <f>IF(AA74&lt;VLOOKUP(AG74,Variables!$AC$3:$AD$8,2,FALSE),"Y","N")</f>
        <v>N</v>
      </c>
      <c r="X74" s="248">
        <f t="shared" si="30"/>
        <v>1</v>
      </c>
      <c r="Y74" s="248">
        <f t="shared" si="31"/>
        <v>5.2400000000000002E-2</v>
      </c>
      <c r="Z74" s="248">
        <f t="shared" si="32"/>
        <v>23.329899999999999</v>
      </c>
      <c r="AA74" s="248">
        <f t="shared" si="33"/>
        <v>23.2775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34"/>
        <v>161</v>
      </c>
      <c r="AE74" s="236" t="str">
        <f t="shared" si="35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74" s="235" t="str">
        <f t="shared" si="36"/>
        <v>"C:\Program Files (x86)\AstroGrep\AstroGrep.exe" /e /r /s /spath="%USERPROFILE%\AppData\Local\Temp\OnboardLogs" /stypes="app*4008*20171126*" /stext=" 18:.+((SYSTEM_STATE.+slice.+state.+changed )|(ment ac)|(multiple cpu faults)|(system.+state.+changed )|(\[timeout)|(PRM\|1\|D)|(kpr)|(kdp)|(train st.+moving)|(\|lc)|(penalty))"</v>
      </c>
      <c r="AG74" s="245" t="str">
        <f t="shared" si="37"/>
        <v>EC</v>
      </c>
      <c r="AH74" s="237" t="str">
        <f t="shared" si="19"/>
        <v>"%USERPROFILE%\Documents\GitHub\eaglep3\Utilities\RefineRTDCRunTimes.py" --tripid 161-26 --locoid 4008 --swversion DE.1.0.9.0 --startMP 204:524 --initTime 2017-11-26T11:09:13 --startdatetime 2017-11-26T11:15:27 --delay 96 --endMP 204:233299 --enddatetime 2017-11-26T11:50:52 --enforcementcount 0 &gt;&gt;%USERPROFILE%\Documents\GitHub\eaglep3-reporting\EC\2017-11-26-refined-times.txt</v>
      </c>
      <c r="AI74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{"issue":{"subject":"","project_id":79,"tracker_id":40,"status_id":1,"priority_id":2,"assigned_to_id":338,"start_date":"2017-11-26","description":"","custom_fields":[{"id":1,"name":"Subdivision","value":"EC"},{"id":4,"name":"Milepost","value":"23.3299"},{"id":17,"name":"Train ID","value":"161-26"},{"id":16,"name":"Locomotive ID","value":"4008"},{"id":130,"name":"Impact","value":""},{"id":150,"name":"Time of Event (Mountain Time)","value":"11:50:52"},{"id":151,"name":"Denver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4008 --day 2017-11-26</v>
      </c>
      <c r="AN74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-26T10:09:13-0700',mode:absolute,to:'2017-11-26T12:50:52-0700'))&amp;_a=(columns:!('Message%20ID',Summary),filters:!(),index:'emp_*',interval:auto,query:(query_string:(analyze_wildcard:!t,query:'%22rtdc.l.rtdc.4008%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780</v>
      </c>
      <c r="B75" s="226">
        <v>4007</v>
      </c>
      <c r="C75" s="228" t="s">
        <v>192</v>
      </c>
      <c r="D75" s="228" t="s">
        <v>485</v>
      </c>
      <c r="E75" s="227">
        <v>43065.506030092591</v>
      </c>
      <c r="F75" s="227">
        <v>43065.508877314816</v>
      </c>
      <c r="G75" s="226">
        <v>94</v>
      </c>
      <c r="H75" s="228" t="s">
        <v>445</v>
      </c>
      <c r="I75" s="227">
        <v>43065.536076388889</v>
      </c>
      <c r="J75" s="226">
        <v>0</v>
      </c>
      <c r="K75" s="238" t="str">
        <f t="shared" si="24"/>
        <v>4007/4008</v>
      </c>
      <c r="L75" s="246" t="str">
        <f>VLOOKUP(A75,'Trips&amp;Operators'!$C$1:$G$99911,5,FALSE)</f>
        <v>DAVIS MICHAEL</v>
      </c>
      <c r="M75" s="225">
        <f t="shared" si="25"/>
        <v>2.7199074072996154E-2</v>
      </c>
      <c r="N75" s="226">
        <f t="shared" si="26"/>
        <v>39.166666665114462</v>
      </c>
      <c r="O75" s="226"/>
      <c r="P75" s="226"/>
      <c r="Q75" s="229"/>
      <c r="R75" s="243"/>
      <c r="S75" s="250">
        <f t="shared" si="27"/>
        <v>1</v>
      </c>
      <c r="T75" s="243" t="str">
        <f t="shared" si="28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29"/>
        <v>https://d0f6bd738d7f1b3e5a7ca70fe4ff75f0.us-east-1.aws.found.io/app/kibana#/discover/Steve-Slow-Train-Analysis-(2080s-and-2083s)?_g=(refreshInterval:(display:Off,pause:!f,section:0,value:0),time:(from:'2017-11-26T11:08:41-0700',mode:absolute,to:'2017-11-26T13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248" t="str">
        <f>IF(AA75&lt;VLOOKUP(AG75,Variables!$AC$3:$AD$8,2,FALSE),"Y","N")</f>
        <v>N</v>
      </c>
      <c r="X75" s="248">
        <f t="shared" si="30"/>
        <v>1</v>
      </c>
      <c r="Y75" s="248">
        <f t="shared" si="31"/>
        <v>23.2959</v>
      </c>
      <c r="Z75" s="248">
        <f t="shared" si="32"/>
        <v>2.07E-2</v>
      </c>
      <c r="AA75" s="248">
        <f t="shared" si="33"/>
        <v>23.275199999999998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34"/>
        <v>162</v>
      </c>
      <c r="AE75" s="236" t="str">
        <f t="shared" si="35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75" s="235" t="str">
        <f t="shared" si="36"/>
        <v>"C:\Program Files (x86)\AstroGrep\AstroGrep.exe" /e /r /s /spath="%USERPROFILE%\AppData\Local\Temp\OnboardLogs" /stypes="app*4007*20171126*" /stext=" 19:.+((SYSTEM_STATE.+slice.+state.+changed )|(ment ac)|(multiple cpu faults)|(system.+state.+changed )|(\[timeout)|(PRM\|1\|D)|(kpr)|(kdp)|(train st.+moving)|(\|lc)|(penalty))"</v>
      </c>
      <c r="AG75" s="245" t="str">
        <f t="shared" si="37"/>
        <v>EC</v>
      </c>
      <c r="AH75" s="237" t="str">
        <f t="shared" si="19"/>
        <v>"%USERPROFILE%\Documents\GitHub\eaglep3\Utilities\RefineRTDCRunTimes.py" --tripid 162-26 --locoid 4007 --swversion DE.1.0.9.0 --startMP 204:232959 --initTime 2017-11-26T12:08:41 --startdatetime 2017-11-26T12:12:47 --delay 94 --endMP 204:207 --enddatetime 2017-11-26T12:51:57 --enforcementcount 0 &gt;&gt;%USERPROFILE%\Documents\GitHub\eaglep3-reporting\EC\2017-11-26-refined-times.txt</v>
      </c>
      <c r="AI75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{"issue":{"subject":"","project_id":79,"tracker_id":40,"status_id":1,"priority_id":2,"assigned_to_id":338,"start_date":"2017-11-26","description":"","custom_fields":[{"id":1,"name":"Subdivision","value":"EC"},{"id":4,"name":"Milepost","value":"0.0207"},{"id":17,"name":"Train ID","value":"162-26"},{"id":16,"name":"Locomotive ID","value":"4007"},{"id":130,"name":"Impact","value":""},{"id":150,"name":"Time of Event (Mountain Time)","value":"12:51:57"},{"id":151,"name":"Denver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4007 --day 2017-11-26</v>
      </c>
      <c r="AN75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-26T11:08:41-0700',mode:absolute,to:'2017-11-26T13:51:57-0700'))&amp;_a=(columns:!('Message%20ID',Summary),filters:!(),index:'emp_*',interval:auto,query:(query_string:(analyze_wildcard:!t,query:'%22rtdc.l.rtdc.4007%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771</v>
      </c>
      <c r="B76" s="226">
        <v>4010</v>
      </c>
      <c r="C76" s="228" t="s">
        <v>192</v>
      </c>
      <c r="D76" s="228" t="s">
        <v>476</v>
      </c>
      <c r="E76" s="227">
        <v>43065.474965277775</v>
      </c>
      <c r="F76" s="227">
        <v>43065.479363425926</v>
      </c>
      <c r="G76" s="226">
        <v>139</v>
      </c>
      <c r="H76" s="228" t="s">
        <v>940</v>
      </c>
      <c r="I76" s="227">
        <v>43065.503946759258</v>
      </c>
      <c r="J76" s="226">
        <v>0</v>
      </c>
      <c r="K76" s="238" t="str">
        <f t="shared" ref="K76:K107" si="38">IF(ISEVEN(B76),(B76-1)&amp;"/"&amp;B76,B76&amp;"/"&amp;(B76+1))</f>
        <v>4009/4010</v>
      </c>
      <c r="L76" s="246" t="str">
        <f>VLOOKUP(A76,'Trips&amp;Operators'!$C$1:$G$99911,5,FALSE)</f>
        <v>SAFIEF AEIMEN</v>
      </c>
      <c r="M76" s="225">
        <f t="shared" ref="M76:M107" si="39">I76-F76</f>
        <v>2.4583333331975155E-2</v>
      </c>
      <c r="N76" s="226">
        <f t="shared" ref="N76:P107" si="40">24*60*SUM($M76:$M76)</f>
        <v>35.399999998044223</v>
      </c>
      <c r="O76" s="226"/>
      <c r="P76" s="226"/>
      <c r="Q76" s="229"/>
      <c r="R76" s="243"/>
      <c r="S76" s="250">
        <f t="shared" ref="S76:S107" si="41">1/IF(AG76="EC",12,1)*SUM(U76:U76)</f>
        <v>1</v>
      </c>
      <c r="T76" s="243" t="str">
        <f t="shared" ref="T76:T107" si="42">IF(ISEVEN(LEFT(AD76,4)),"Southbound","NorthBound")</f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ref="V76:V107" si="43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-26T10:23:57-0700',mode:absolute,to:'2017-11-26T13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248" t="str">
        <f>IF(AA76&lt;VLOOKUP(AG76,Variables!$AC$3:$AD$8,2,FALSE),"Y","N")</f>
        <v>N</v>
      </c>
      <c r="X76" s="248">
        <f t="shared" ref="X76:X107" si="44">VALUE(LEFT(AD76,4))-VALUE(LEFT(AD75,4))</f>
        <v>1</v>
      </c>
      <c r="Y76" s="248">
        <f t="shared" ref="Y76:Y107" si="45">RIGHT(D76,LEN(D76)-4)/10000</f>
        <v>5.2400000000000002E-2</v>
      </c>
      <c r="Z76" s="248">
        <f t="shared" ref="Z76:Z107" si="46">RIGHT(H76,LEN(H76)-4)/10000</f>
        <v>23.325700000000001</v>
      </c>
      <c r="AA76" s="248">
        <f t="shared" ref="AA76:AA107" si="47">ABS(Z76-Y76)</f>
        <v>23.273300000000003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ref="AD76:AD107" si="48">VALUE(LEFT(A76,LEN(A76)-3))</f>
        <v>163</v>
      </c>
      <c r="AE76" s="236" t="str">
        <f t="shared" ref="AE76:AE107" si="49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76" s="235" t="str">
        <f t="shared" ref="AF76:AF107" si="50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/stypes="app*4010*20171126*" /stext=" 19:.+((SYSTEM_STATE.+slice.+state.+changed )|(ment ac)|(multiple cpu faults)|(system.+state.+changed )|(\[timeout)|(PRM\|1\|D)|(kpr)|(kdp)|(train st.+moving)|(\|lc)|(penalty))"</v>
      </c>
      <c r="AG76" s="245" t="str">
        <f t="shared" ref="AG76:AG107" si="51">DetSubdiv(A76)</f>
        <v>EC</v>
      </c>
      <c r="AH76" s="237" t="str">
        <f t="shared" si="19"/>
        <v>"%USERPROFILE%\Documents\GitHub\eaglep3\Utilities\RefineRTDCRunTimes.py" --tripid 163-26 --locoid 4010 --swversion DE.1.0.9.0 --startMP 204:524 --initTime 2017-11-26T11:23:57 --startdatetime 2017-11-26T11:30:17 --delay 139 --endMP 204:233257 --enddatetime 2017-11-26T12:05:41 --enforcementcount 0 &gt;&gt;%USERPROFILE%\Documents\GitHub\eaglep3-reporting\EC\2017-11-26-refined-times.txt</v>
      </c>
      <c r="AI76" s="239" t="str">
        <f t="shared" si="20"/>
        <v>echo {"issue":{"subject":"","project_id":79,"tracker_id":40,"status_id":1,"priority_id":2,"assigned_to_id":338,"start_date":"2017-11-26","description":"","custom_fields":[{"id":1,"name":"Subdivision","value":"EC"},{"id":4,"name":"Milepost","value":"23.3257"},{"id":17,"name":"Train ID","value":"163-26"},{"id":16,"name":"Locomotive ID","value":"4010"},{"id":130,"name":"Impact","value":""},{"id":150,"name":"Time of Event (Mountain Time)","value":"12:05:41"},{"id":151,"name":"Denver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4010 --day 2017-11-26</v>
      </c>
      <c r="AN76" s="242" t="str">
        <f t="shared" si="22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-11-26T10:23:57-0700',mode:absolute,to:'2017-11-26T13:05:41-0700'))&amp;_a=(columns:!('Message%20ID',Summary),filters:!(),index:'emp_*',interval:auto,query:(query_string:(analyze_wildcard:!t,query:'%22rtdc.l.rtdc.4010%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781</v>
      </c>
      <c r="B77" s="226">
        <v>4009</v>
      </c>
      <c r="C77" s="228" t="s">
        <v>192</v>
      </c>
      <c r="D77" s="228" t="s">
        <v>500</v>
      </c>
      <c r="E77" s="227">
        <v>43065.5075</v>
      </c>
      <c r="F77" s="227">
        <v>43065.519236111111</v>
      </c>
      <c r="G77" s="226">
        <v>104</v>
      </c>
      <c r="H77" s="228" t="s">
        <v>926</v>
      </c>
      <c r="I77" s="227">
        <v>43065.546319444446</v>
      </c>
      <c r="J77" s="226">
        <v>0</v>
      </c>
      <c r="K77" s="238" t="str">
        <f t="shared" si="38"/>
        <v>4009/4010</v>
      </c>
      <c r="L77" s="246" t="str">
        <f>VLOOKUP(A77,'Trips&amp;Operators'!$C$1:$G$99911,5,FALSE)</f>
        <v>SAFIEF AEIMEN</v>
      </c>
      <c r="M77" s="225">
        <f t="shared" si="39"/>
        <v>2.7083333334303461E-2</v>
      </c>
      <c r="N77" s="226">
        <f t="shared" si="40"/>
        <v>39.000000001396984</v>
      </c>
      <c r="O77" s="226"/>
      <c r="P77" s="226"/>
      <c r="Q77" s="229"/>
      <c r="R77" s="243"/>
      <c r="S77" s="250">
        <f t="shared" si="41"/>
        <v>1</v>
      </c>
      <c r="T77" s="243" t="str">
        <f t="shared" si="42"/>
        <v>Southbound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si="43"/>
        <v>https://d0f6bd738d7f1b3e5a7ca70fe4ff75f0.us-east-1.aws.found.io/app/kibana#/discover/Steve-Slow-Train-Analysis-(2080s-and-2083s)?_g=(refreshInterval:(display:Off,pause:!f,section:0,value:0),time:(from:'2017-11-26T11:10:48-0700',mode:absolute,to:'2017-11-26T14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7" s="248" t="str">
        <f>IF(AA77&lt;VLOOKUP(AG77,Variables!$AC$3:$AD$8,2,FALSE),"Y","N")</f>
        <v>N</v>
      </c>
      <c r="X77" s="248">
        <f t="shared" si="44"/>
        <v>1</v>
      </c>
      <c r="Y77" s="248">
        <f t="shared" si="45"/>
        <v>23.2943</v>
      </c>
      <c r="Z77" s="248">
        <f t="shared" si="46"/>
        <v>2.23E-2</v>
      </c>
      <c r="AA77" s="248">
        <f t="shared" si="47"/>
        <v>23.271999999999998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si="48"/>
        <v>164</v>
      </c>
      <c r="AE77" s="236" t="str">
        <f t="shared" si="49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77" s="235" t="str">
        <f t="shared" si="50"/>
        <v>"C:\Program Files (x86)\AstroGrep\AstroGrep.exe" /e /r /s /spath="%USERPROFILE%\AppData\Local\Temp\OnboardLogs" /stypes="app*4009*20171126*" /stext=" 20:.+((SYSTEM_STATE.+slice.+state.+changed )|(ment ac)|(multiple cpu faults)|(system.+state.+changed )|(\[timeout)|(PRM\|1\|D)|(kpr)|(kdp)|(train st.+moving)|(\|lc)|(penalty))"</v>
      </c>
      <c r="AG77" s="245" t="str">
        <f t="shared" si="51"/>
        <v>EC</v>
      </c>
      <c r="AH77" s="237" t="str">
        <f t="shared" ref="AH77:AH143" si="5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164-26 --locoid 4009 --swversion DE.1.0.9.0 --startMP 204:232943 --initTime 2017-11-26T12:10:48 --startdatetime 2017-11-26T12:27:42 --delay 104 --endMP 204:223 --enddatetime 2017-11-26T13:06:42 --enforcementcount 0 &gt;&gt;%USERPROFILE%\Documents\GitHub\eaglep3-reporting\EC\2017-11-26-refined-times.txt</v>
      </c>
      <c r="AI77" s="239" t="str">
        <f t="shared" ref="AI77:AI143" si="5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{"issue":{"subject":"","project_id":79,"tracker_id":40,"status_id":1,"priority_id":2,"assigned_to_id":338,"start_date":"2017-11-26","description":"","custom_fields":[{"id":1,"name":"Subdivision","value":"EC"},{"id":4,"name":"Milepost","value":"0.0223"},{"id":17,"name":"Train ID","value":"164-26"},{"id":16,"name":"Locomotive ID","value":"4009"},{"id":130,"name":"Impact","value":""},{"id":150,"name":"Time of Event (Mountain Time)","value":"13:06:42"},{"id":151,"name":"Denver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ref="AM77:AM143" si="54">"start /low /b "&amp;dls3logs&amp;" --loco "&amp;B77&amp;" --day "&amp;TEXT(F77,"YYYY-MM-DD")</f>
        <v>start /low /b %USERPROFILE%\Documents\GitHub\eaglep3\Utilities\DownloadLogsFromS3.py --loco 4009 --day 2017-11-26</v>
      </c>
      <c r="AN77" s="242" t="str">
        <f t="shared" ref="AN77:AN143" si="5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ref="AO77:AO143" si="5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-26T11:10:48-0700',mode:absolute,to:'2017-11-26T14:06:42-0700'))&amp;_a=(columns:!('Message%20ID',Summary),filters:!(),index:'emp_*',interval:auto,query:(query_string:(analyze_wildcard:!t,query:'%22rtdc.l.rtdc.4009%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774</v>
      </c>
      <c r="B78" s="226">
        <v>4050</v>
      </c>
      <c r="C78" s="228" t="s">
        <v>192</v>
      </c>
      <c r="D78" s="228" t="s">
        <v>899</v>
      </c>
      <c r="E78" s="227">
        <v>43065.484768518516</v>
      </c>
      <c r="F78" s="227">
        <v>43065.489756944444</v>
      </c>
      <c r="G78" s="226">
        <v>87</v>
      </c>
      <c r="H78" s="228" t="s">
        <v>941</v>
      </c>
      <c r="I78" s="227">
        <v>43065.513773148145</v>
      </c>
      <c r="J78" s="226">
        <v>0</v>
      </c>
      <c r="K78" s="238" t="str">
        <f t="shared" si="38"/>
        <v>4049/4050</v>
      </c>
      <c r="L78" s="246" t="str">
        <f>VLOOKUP(A78,'Trips&amp;Operators'!$C$1:$G$99911,5,FALSE)</f>
        <v>GUZMAN DANNY</v>
      </c>
      <c r="M78" s="225">
        <f t="shared" si="39"/>
        <v>2.4016203700739425E-2</v>
      </c>
      <c r="N78" s="226">
        <f t="shared" si="40"/>
        <v>34.583333329064772</v>
      </c>
      <c r="O78" s="226"/>
      <c r="P78" s="226"/>
      <c r="Q78" s="229"/>
      <c r="R78" s="243"/>
      <c r="S78" s="250">
        <f t="shared" si="41"/>
        <v>1</v>
      </c>
      <c r="T78" s="243" t="str">
        <f t="shared" si="42"/>
        <v>NorthBound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43"/>
        <v>https://d0f6bd738d7f1b3e5a7ca70fe4ff75f0.us-east-1.aws.found.io/app/kibana#/discover/Steve-Slow-Train-Analysis-(2080s-and-2083s)?_g=(refreshInterval:(display:Off,pause:!f,section:0,value:0),time:(from:'2017-11-26T10:38:04-0700',mode:absolute,to:'2017-11-26T13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8" s="248" t="str">
        <f>IF(AA78&lt;VLOOKUP(AG78,Variables!$AC$3:$AD$8,2,FALSE),"Y","N")</f>
        <v>N</v>
      </c>
      <c r="X78" s="248">
        <f t="shared" si="44"/>
        <v>1</v>
      </c>
      <c r="Y78" s="248">
        <f t="shared" si="45"/>
        <v>4.9500000000000002E-2</v>
      </c>
      <c r="Z78" s="248">
        <f t="shared" si="46"/>
        <v>23.321100000000001</v>
      </c>
      <c r="AA78" s="248">
        <f t="shared" si="47"/>
        <v>23.271600000000003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48"/>
        <v>165</v>
      </c>
      <c r="AE78" s="236" t="str">
        <f t="shared" si="49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78" s="235" t="str">
        <f t="shared" si="50"/>
        <v>"C:\Program Files (x86)\AstroGrep\AstroGrep.exe" /e /r /s /spath="%USERPROFILE%\AppData\Local\Temp\OnboardLogs" /stypes="app*4050*20171126*" /stext=" 19:.+((SYSTEM_STATE.+slice.+state.+changed )|(ment ac)|(multiple cpu faults)|(system.+state.+changed )|(\[timeout)|(PRM\|1\|D)|(kpr)|(kdp)|(train st.+moving)|(\|lc)|(penalty))"</v>
      </c>
      <c r="AG78" s="245" t="str">
        <f t="shared" si="51"/>
        <v>EC</v>
      </c>
      <c r="AH78" s="237" t="str">
        <f t="shared" si="52"/>
        <v>"%USERPROFILE%\Documents\GitHub\eaglep3\Utilities\RefineRTDCRunTimes.py" --tripid 165-26 --locoid 4050 --swversion DE.1.0.9.0 --startMP 204:495 --initTime 2017-11-26T11:38:04 --startdatetime 2017-11-26T11:45:15 --delay 87 --endMP 204:233211 --enddatetime 2017-11-26T12:19:50 --enforcementcount 0 &gt;&gt;%USERPROFILE%\Documents\GitHub\eaglep3-reporting\EC\2017-11-26-refined-times.txt</v>
      </c>
      <c r="AI7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{"issue":{"subject":"","project_id":79,"tracker_id":40,"status_id":1,"priority_id":2,"assigned_to_id":338,"start_date":"2017-11-26","description":"","custom_fields":[{"id":1,"name":"Subdivision","value":"EC"},{"id":4,"name":"Milepost","value":"23.3211"},{"id":17,"name":"Train ID","value":"165-26"},{"id":16,"name":"Locomotive ID","value":"4050"},{"id":130,"name":"Impact","value":""},{"id":150,"name":"Time of Event (Mountain Time)","value":"12:19:50"},{"id":151,"name":"Denver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54"/>
        <v>start /low /b %USERPROFILE%\Documents\GitHub\eaglep3\Utilities\DownloadLogsFromS3.py --loco 4050 --day 2017-11-26</v>
      </c>
      <c r="AN78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56"/>
        <v>https://d0f6bd738d7f1b3e5a7ca70fe4ff75f0.us-east-1.aws.found.io/app/kibana#/discover/Steve-Slow-Train-Analysis-(2080s-and-2083s)?_g=(refreshInterval:(display:Off,pause:!f,section:0,value:0),time:(from:'2017-11-26T10:38:04-0700',mode:absolute,to:'2017-11-26T13:19:50-0700'))&amp;_a=(columns:!('Message%20ID',Summary),filters:!(),index:'emp_*',interval:auto,query:(query_string:(analyze_wildcard:!t,query:'%22rtdc.l.rtdc.4050%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782</v>
      </c>
      <c r="B79" s="226">
        <v>4049</v>
      </c>
      <c r="C79" s="228" t="s">
        <v>192</v>
      </c>
      <c r="D79" s="228" t="s">
        <v>942</v>
      </c>
      <c r="E79" s="227">
        <v>43065.515567129631</v>
      </c>
      <c r="F79" s="227">
        <v>43065.529340277775</v>
      </c>
      <c r="G79" s="226">
        <v>68</v>
      </c>
      <c r="H79" s="228" t="s">
        <v>520</v>
      </c>
      <c r="I79" s="227">
        <v>43065.556956018518</v>
      </c>
      <c r="J79" s="226">
        <v>0</v>
      </c>
      <c r="K79" s="238" t="str">
        <f t="shared" si="38"/>
        <v>4049/4050</v>
      </c>
      <c r="L79" s="246" t="str">
        <f>VLOOKUP(A79,'Trips&amp;Operators'!$C$1:$G$99911,5,FALSE)</f>
        <v>GUZMAN DANNY</v>
      </c>
      <c r="M79" s="225">
        <f t="shared" si="39"/>
        <v>2.7615740742476191E-2</v>
      </c>
      <c r="N79" s="226">
        <f t="shared" si="40"/>
        <v>39.766666669165716</v>
      </c>
      <c r="O79" s="226"/>
      <c r="P79" s="226"/>
      <c r="Q79" s="229"/>
      <c r="R79" s="243"/>
      <c r="S79" s="250">
        <f t="shared" si="41"/>
        <v>1</v>
      </c>
      <c r="T79" s="243" t="str">
        <f t="shared" si="42"/>
        <v>Southbound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43"/>
        <v>https://d0f6bd738d7f1b3e5a7ca70fe4ff75f0.us-east-1.aws.found.io/app/kibana#/discover/Steve-Slow-Train-Analysis-(2080s-and-2083s)?_g=(refreshInterval:(display:Off,pause:!f,section:0,value:0),time:(from:'2017-11-26T11:22:25-0700',mode:absolute,to:'2017-11-26T14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9" s="248" t="str">
        <f>IF(AA79&lt;VLOOKUP(AG79,Variables!$AC$3:$AD$8,2,FALSE),"Y","N")</f>
        <v>N</v>
      </c>
      <c r="X79" s="248">
        <f t="shared" si="44"/>
        <v>1</v>
      </c>
      <c r="Y79" s="248">
        <f t="shared" si="45"/>
        <v>23.290199999999999</v>
      </c>
      <c r="Z79" s="248">
        <f t="shared" si="46"/>
        <v>2.4E-2</v>
      </c>
      <c r="AA79" s="248">
        <f t="shared" si="47"/>
        <v>23.266199999999998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48"/>
        <v>166</v>
      </c>
      <c r="AE79" s="236" t="str">
        <f t="shared" si="49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79" s="235" t="str">
        <f t="shared" si="50"/>
        <v>"C:\Program Files (x86)\AstroGrep\AstroGrep.exe" /e /r /s /spath="%USERPROFILE%\AppData\Local\Temp\OnboardLogs" /stypes="app*4049*20171126*" /stext=" 20:.+((SYSTEM_STATE.+slice.+state.+changed )|(ment ac)|(multiple cpu faults)|(system.+state.+changed )|(\[timeout)|(PRM\|1\|D)|(kpr)|(kdp)|(train st.+moving)|(\|lc)|(penalty))"</v>
      </c>
      <c r="AG79" s="245" t="str">
        <f t="shared" si="51"/>
        <v>EC</v>
      </c>
      <c r="AH79" s="237" t="str">
        <f t="shared" si="52"/>
        <v>"%USERPROFILE%\Documents\GitHub\eaglep3\Utilities\RefineRTDCRunTimes.py" --tripid 166-26 --locoid 4049 --swversion DE.1.0.9.0 --startMP 204:232902 --initTime 2017-11-26T12:22:25 --startdatetime 2017-11-26T12:42:15 --delay 68 --endMP 204:240 --enddatetime 2017-11-26T13:22:01 --enforcementcount 0 &gt;&gt;%USERPROFILE%\Documents\GitHub\eaglep3-reporting\EC\2017-11-26-refined-times.txt</v>
      </c>
      <c r="AI7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{"issue":{"subject":"","project_id":79,"tracker_id":40,"status_id":1,"priority_id":2,"assigned_to_id":338,"start_date":"2017-11-26","description":"","custom_fields":[{"id":1,"name":"Subdivision","value":"EC"},{"id":4,"name":"Milepost","value":"0.024"},{"id":17,"name":"Train ID","value":"166-26"},{"id":16,"name":"Locomotive ID","value":"4049"},{"id":130,"name":"Impact","value":""},{"id":150,"name":"Time of Event (Mountain Time)","value":"13:22:01"},{"id":151,"name":"Denver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54"/>
        <v>start /low /b %USERPROFILE%\Documents\GitHub\eaglep3\Utilities\DownloadLogsFromS3.py --loco 4049 --day 2017-11-26</v>
      </c>
      <c r="AN79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56"/>
        <v>https://d0f6bd738d7f1b3e5a7ca70fe4ff75f0.us-east-1.aws.found.io/app/kibana#/discover/Steve-Slow-Train-Analysis-(2080s-and-2083s)?_g=(refreshInterval:(display:Off,pause:!f,section:0,value:0),time:(from:'2017-11-26T11:22:25-0700',mode:absolute,to:'2017-11-26T14:22:01-0700'))&amp;_a=(columns:!('Message%20ID',Summary),filters:!(),index:'emp_*',interval:auto,query:(query_string:(analyze_wildcard:!t,query:'%22rtdc.l.rtdc.4049%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776</v>
      </c>
      <c r="B80" s="226">
        <v>4042</v>
      </c>
      <c r="C80" s="228" t="s">
        <v>192</v>
      </c>
      <c r="D80" s="228" t="s">
        <v>486</v>
      </c>
      <c r="E80" s="227">
        <v>43065.496759259258</v>
      </c>
      <c r="F80" s="227">
        <v>43065.500335648147</v>
      </c>
      <c r="G80" s="226">
        <v>51</v>
      </c>
      <c r="H80" s="228" t="s">
        <v>620</v>
      </c>
      <c r="I80" s="227">
        <v>43065.525416666664</v>
      </c>
      <c r="J80" s="226">
        <v>0</v>
      </c>
      <c r="K80" s="238" t="str">
        <f t="shared" si="38"/>
        <v>4041/4042</v>
      </c>
      <c r="L80" s="246" t="str">
        <f>VLOOKUP(A80,'Trips&amp;Operators'!$C$1:$G$99911,5,FALSE)</f>
        <v>BADERTSCHER DIANE</v>
      </c>
      <c r="M80" s="225">
        <f t="shared" si="39"/>
        <v>2.5081018517084885E-2</v>
      </c>
      <c r="N80" s="226">
        <f t="shared" si="40"/>
        <v>36.116666664602235</v>
      </c>
      <c r="O80" s="226"/>
      <c r="P80" s="226"/>
      <c r="Q80" s="229"/>
      <c r="R80" s="243"/>
      <c r="S80" s="250">
        <f t="shared" si="41"/>
        <v>1</v>
      </c>
      <c r="T80" s="243" t="str">
        <f t="shared" si="42"/>
        <v>NorthBound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43"/>
        <v>https://d0f6bd738d7f1b3e5a7ca70fe4ff75f0.us-east-1.aws.found.io/app/kibana#/discover/Steve-Slow-Train-Analysis-(2080s-and-2083s)?_g=(refreshInterval:(display:Off,pause:!f,section:0,value:0),time:(from:'2017-11-26T10:55:20-0700',mode:absolute,to:'2017-11-26T13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48" t="str">
        <f>IF(AA80&lt;VLOOKUP(AG80,Variables!$AC$3:$AD$8,2,FALSE),"Y","N")</f>
        <v>N</v>
      </c>
      <c r="X80" s="248">
        <f t="shared" si="44"/>
        <v>1</v>
      </c>
      <c r="Y80" s="248">
        <f t="shared" si="45"/>
        <v>4.9700000000000001E-2</v>
      </c>
      <c r="Z80" s="248">
        <f t="shared" si="46"/>
        <v>23.3261</v>
      </c>
      <c r="AA80" s="248">
        <f t="shared" si="47"/>
        <v>23.276399999999999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48"/>
        <v>167</v>
      </c>
      <c r="AE80" s="236" t="str">
        <f t="shared" si="49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80" s="235" t="str">
        <f t="shared" si="50"/>
        <v>"C:\Program Files (x86)\AstroGrep\AstroGrep.exe" /e /r /s /spath="%USERPROFILE%\AppData\Local\Temp\OnboardLogs" /stypes="app*4042*20171126*" /stext=" 19:.+((SYSTEM_STATE.+slice.+state.+changed )|(ment ac)|(multiple cpu faults)|(system.+state.+changed )|(\[timeout)|(PRM\|1\|D)|(kpr)|(kdp)|(train st.+moving)|(\|lc)|(penalty))"</v>
      </c>
      <c r="AG80" s="245" t="str">
        <f t="shared" si="51"/>
        <v>EC</v>
      </c>
      <c r="AH80" s="237" t="str">
        <f t="shared" si="52"/>
        <v>"%USERPROFILE%\Documents\GitHub\eaglep3\Utilities\RefineRTDCRunTimes.py" --tripid 167-26 --locoid 4042 --swversion DE.1.0.9.0 --startMP 204:497 --initTime 2017-11-26T11:55:20 --startdatetime 2017-11-26T12:00:29 --delay 51 --endMP 204:233261 --enddatetime 2017-11-26T12:36:36 --enforcementcount 0 &gt;&gt;%USERPROFILE%\Documents\GitHub\eaglep3-reporting\EC\2017-11-26-refined-times.txt</v>
      </c>
      <c r="AI8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{"issue":{"subject":"","project_id":79,"tracker_id":40,"status_id":1,"priority_id":2,"assigned_to_id":338,"start_date":"2017-11-26","description":"","custom_fields":[{"id":1,"name":"Subdivision","value":"EC"},{"id":4,"name":"Milepost","value":"23.3261"},{"id":17,"name":"Train ID","value":"167-26"},{"id":16,"name":"Locomotive ID","value":"4042"},{"id":130,"name":"Impact","value":""},{"id":150,"name":"Time of Event (Mountain Time)","value":"12:36:36"},{"id":151,"name":"Denver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54"/>
        <v>start /low /b %USERPROFILE%\Documents\GitHub\eaglep3\Utilities\DownloadLogsFromS3.py --loco 4042 --day 2017-11-26</v>
      </c>
      <c r="AN80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56"/>
        <v>https://d0f6bd738d7f1b3e5a7ca70fe4ff75f0.us-east-1.aws.found.io/app/kibana#/discover/Steve-Slow-Train-Analysis-(2080s-and-2083s)?_g=(refreshInterval:(display:Off,pause:!f,section:0,value:0),time:(from:'2017-11-26T10:55:20-0700',mode:absolute,to:'2017-11-26T13:36:36-0700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786</v>
      </c>
      <c r="B81" s="226">
        <v>4041</v>
      </c>
      <c r="C81" s="228" t="s">
        <v>192</v>
      </c>
      <c r="D81" s="228" t="s">
        <v>512</v>
      </c>
      <c r="E81" s="227">
        <v>43065.534398148149</v>
      </c>
      <c r="F81" s="227">
        <v>43065.53979166667</v>
      </c>
      <c r="G81" s="226">
        <v>105</v>
      </c>
      <c r="H81" s="228" t="s">
        <v>625</v>
      </c>
      <c r="I81" s="227">
        <v>43065.56690972222</v>
      </c>
      <c r="J81" s="226">
        <v>0</v>
      </c>
      <c r="K81" s="238" t="str">
        <f t="shared" si="38"/>
        <v>4041/4042</v>
      </c>
      <c r="L81" s="246" t="str">
        <f>VLOOKUP(A81,'Trips&amp;Operators'!$C$1:$G$99911,5,FALSE)</f>
        <v>BADERTSCHER DIANE</v>
      </c>
      <c r="M81" s="225">
        <f t="shared" si="39"/>
        <v>2.7118055550090503E-2</v>
      </c>
      <c r="N81" s="226">
        <f t="shared" si="40"/>
        <v>39.049999992130324</v>
      </c>
      <c r="O81" s="226"/>
      <c r="P81" s="226"/>
      <c r="Q81" s="229"/>
      <c r="R81" s="243"/>
      <c r="S81" s="250">
        <f t="shared" si="41"/>
        <v>1</v>
      </c>
      <c r="T81" s="243" t="str">
        <f t="shared" si="42"/>
        <v>Southbound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43"/>
        <v>https://d0f6bd738d7f1b3e5a7ca70fe4ff75f0.us-east-1.aws.found.io/app/kibana#/discover/Steve-Slow-Train-Analysis-(2080s-and-2083s)?_g=(refreshInterval:(display:Off,pause:!f,section:0,value:0),time:(from:'2017-11-26T11:49:32-0700',mode:absolute,to:'2017-11-26T14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248" t="str">
        <f>IF(AA81&lt;VLOOKUP(AG81,Variables!$AC$3:$AD$8,2,FALSE),"Y","N")</f>
        <v>N</v>
      </c>
      <c r="X81" s="248">
        <f t="shared" si="44"/>
        <v>1</v>
      </c>
      <c r="Y81" s="248">
        <f t="shared" si="45"/>
        <v>23.293399999999998</v>
      </c>
      <c r="Z81" s="248">
        <f t="shared" si="46"/>
        <v>2.3199999999999998E-2</v>
      </c>
      <c r="AA81" s="248">
        <f t="shared" si="47"/>
        <v>23.270199999999999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48"/>
        <v>168</v>
      </c>
      <c r="AE81" s="236" t="str">
        <f t="shared" si="49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81" s="235" t="str">
        <f t="shared" si="50"/>
        <v>"C:\Program Files (x86)\AstroGrep\AstroGrep.exe" /e /r /s /spath="%USERPROFILE%\AppData\Local\Temp\OnboardLogs" /stypes="app*4041*20171126*" /stext=" 20:.+((SYSTEM_STATE.+slice.+state.+changed )|(ment ac)|(multiple cpu faults)|(system.+state.+changed )|(\[timeout)|(PRM\|1\|D)|(kpr)|(kdp)|(train st.+moving)|(\|lc)|(penalty))"</v>
      </c>
      <c r="AG81" s="245" t="str">
        <f t="shared" si="51"/>
        <v>EC</v>
      </c>
      <c r="AH81" s="237" t="str">
        <f t="shared" si="52"/>
        <v>"%USERPROFILE%\Documents\GitHub\eaglep3\Utilities\RefineRTDCRunTimes.py" --tripid 168-26 --locoid 4041 --swversion DE.1.0.9.0 --startMP 204:232934 --initTime 2017-11-26T12:49:32 --startdatetime 2017-11-26T12:57:18 --delay 105 --endMP 204:232 --enddatetime 2017-11-26T13:36:21 --enforcementcount 0 &gt;&gt;%USERPROFILE%\Documents\GitHub\eaglep3-reporting\EC\2017-11-26-refined-times.txt</v>
      </c>
      <c r="AI8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{"issue":{"subject":"","project_id":79,"tracker_id":40,"status_id":1,"priority_id":2,"assigned_to_id":338,"start_date":"2017-11-26","description":"","custom_fields":[{"id":1,"name":"Subdivision","value":"EC"},{"id":4,"name":"Milepost","value":"0.0232"},{"id":17,"name":"Train ID","value":"168-26"},{"id":16,"name":"Locomotive ID","value":"4041"},{"id":130,"name":"Impact","value":""},{"id":150,"name":"Time of Event (Mountain Time)","value":"13:36:21"},{"id":151,"name":"Denver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54"/>
        <v>start /low /b %USERPROFILE%\Documents\GitHub\eaglep3\Utilities\DownloadLogsFromS3.py --loco 4041 --day 2017-11-26</v>
      </c>
      <c r="AN81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56"/>
        <v>https://d0f6bd738d7f1b3e5a7ca70fe4ff75f0.us-east-1.aws.found.io/app/kibana#/discover/Steve-Slow-Train-Analysis-(2080s-and-2083s)?_g=(refreshInterval:(display:Off,pause:!f,section:0,value:0),time:(from:'2017-11-26T11:49:32-0700',mode:absolute,to:'2017-11-26T14:36:21-0700'))&amp;_a=(columns:!('Message%20ID',Summary),filters:!(),index:'emp_*',interval:auto,query:(query_string:(analyze_wildcard:!t,query:'%22rtdc.l.rtdc.4041%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660</v>
      </c>
      <c r="B82" s="226">
        <v>4006</v>
      </c>
      <c r="C82" s="228" t="s">
        <v>192</v>
      </c>
      <c r="D82" s="228" t="s">
        <v>943</v>
      </c>
      <c r="E82" s="227">
        <v>43065.530972222223</v>
      </c>
      <c r="F82" s="227">
        <v>43065.531759259262</v>
      </c>
      <c r="G82" s="226">
        <v>40</v>
      </c>
      <c r="H82" s="228" t="s">
        <v>940</v>
      </c>
      <c r="I82" s="227">
        <v>43065.538287037038</v>
      </c>
      <c r="J82" s="226">
        <v>0</v>
      </c>
      <c r="K82" s="238" t="str">
        <f t="shared" si="38"/>
        <v>4005/4006</v>
      </c>
      <c r="L82" s="246" t="str">
        <f>VLOOKUP(A82,'Trips&amp;Operators'!$C$1:$G$99911,5,FALSE)</f>
        <v>GONZALEZ ARMANDO</v>
      </c>
      <c r="M82" s="225">
        <f t="shared" si="39"/>
        <v>6.5277777757728472E-3</v>
      </c>
      <c r="N82" s="226"/>
      <c r="O82" s="226"/>
      <c r="P82" s="226">
        <f t="shared" si="40"/>
        <v>9.3999999971129</v>
      </c>
      <c r="Q82" s="229"/>
      <c r="R82" s="243" t="s">
        <v>1061</v>
      </c>
      <c r="S82" s="250">
        <f>1/IF(AG82="EC",12,1)*SUM(U82:U83)</f>
        <v>1</v>
      </c>
      <c r="T82" s="243" t="str">
        <f t="shared" si="42"/>
        <v>NorthBound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249" t="str">
        <f t="shared" si="43"/>
        <v>https://d0f6bd738d7f1b3e5a7ca70fe4ff75f0.us-east-1.aws.found.io/app/kibana#/discover/Steve-Slow-Train-Analysis-(2080s-and-2083s)?_g=(refreshInterval:(display:Off,pause:!f,section:0,value:0),time:(from:'2017-11-26T11:44:36-0700',mode:absolute,to:'2017-11-26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2" s="248" t="str">
        <f>IF(AA82&lt;VLOOKUP(AG82,Variables!$AC$3:$AD$8,2,FALSE),"Y","N")</f>
        <v>Y</v>
      </c>
      <c r="X82" s="248">
        <f t="shared" si="44"/>
        <v>1</v>
      </c>
      <c r="Y82" s="248">
        <f t="shared" si="45"/>
        <v>15.4815</v>
      </c>
      <c r="Z82" s="248">
        <f t="shared" si="46"/>
        <v>23.325700000000001</v>
      </c>
      <c r="AA82" s="248">
        <f t="shared" si="47"/>
        <v>7.8442000000000007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48"/>
        <v>169</v>
      </c>
      <c r="AE82" s="236" t="str">
        <f t="shared" si="49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82" s="235" t="str">
        <f t="shared" si="50"/>
        <v>"C:\Program Files (x86)\AstroGrep\AstroGrep.exe" /e /r /s /spath="%USERPROFILE%\AppData\Local\Temp\OnboardLogs" /stypes="app*4006*20171126*" /stext=" 19:.+((SYSTEM_STATE.+slice.+state.+changed )|(ment ac)|(multiple cpu faults)|(system.+state.+changed )|(\[timeout)|(PRM\|1\|D)|(kpr)|(kdp)|(train st.+moving)|(\|lc)|(penalty))"</v>
      </c>
      <c r="AG82" s="245" t="str">
        <f t="shared" si="51"/>
        <v>EC</v>
      </c>
      <c r="AH82" s="237" t="str">
        <f t="shared" si="52"/>
        <v>"%USERPROFILE%\Documents\GitHub\eaglep3\Utilities\RefineRTDCRunTimes.py" --tripid 169-26 --locoid 4006 --swversion DE.1.0.9.0 --startMP 204:154815 --initTime 2017-11-26T12:44:36 --startdatetime 2017-11-26T12:45:44 --delay 40 --endMP 204:233257 --enddatetime 2017-11-26T12:55:08 --enforcementcount 0 &gt;&gt;%USERPROFILE%\Documents\GitHub\eaglep3-reporting\EC\2017-11-26-refined-times.txt</v>
      </c>
      <c r="AI82" s="239" t="str">
        <f t="shared" si="53"/>
        <v>echo {"issue":{"subject":"Wi-MAX data drop","project_id":79,"tracker_id":40,"status_id":1,"priority_id":2,"assigned_to_id":338,"start_date":"2017-11-26","description":"","custom_fields":[{"id":1,"name":"Subdivision","value":"EC"},{"id":4,"name":"Milepost","value":"23.3257"},{"id":17,"name":"Train ID","value":"169-26"},{"id":16,"name":"Locomotive ID","value":"4006"},{"id":130,"name":"Impact","value":""},{"id":150,"name":"Time of Event (Mountain Time)","value":"12:55:08"},{"id":151,"name":"Denver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54"/>
        <v>start /low /b %USERPROFILE%\Documents\GitHub\eaglep3\Utilities\DownloadLogsFromS3.py --loco 4006 --day 2017-11-26</v>
      </c>
      <c r="AN82" s="242" t="str">
        <f t="shared" si="55"/>
        <v>echo {"issue":{"subject":"Wi-MAX data drop","project_id":30,"tracker_id":4,"status_id":1,"priority_id":1,"assigned_to_id":10,"start_date":"2017-11-26","description":"","custom_fields":[{"id":30,"name":"Category","value":"Issue"},{"id":3,"name":"Functional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56"/>
        <v>https://d0f6bd738d7f1b3e5a7ca70fe4ff75f0.us-east-1.aws.found.io/app/kibana#/discover/Steve-Slow-Train-Analysis-(2080s-and-2083s)?_g=(refreshInterval:(display:Off,pause:!f,section:0,value:0),time:(from:'2017-11-26T11:44:36-0700',mode:absolute,to:'2017-11-26T13:55:08-0700'))&amp;_a=(columns:!('Message%20ID',Summary),filters:!(),index:'emp_*',interval:auto,query:(query_string:(analyze_wildcard:!t,query:'%22rtdc.l.rtdc.4006%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660</v>
      </c>
      <c r="B83" s="226">
        <v>4006</v>
      </c>
      <c r="C83" s="228" t="s">
        <v>192</v>
      </c>
      <c r="D83" s="228" t="s">
        <v>452</v>
      </c>
      <c r="E83" s="227">
        <v>43065.504837962966</v>
      </c>
      <c r="F83" s="227">
        <v>43065.531759259262</v>
      </c>
      <c r="G83" s="226">
        <v>102</v>
      </c>
      <c r="H83" s="228" t="s">
        <v>944</v>
      </c>
      <c r="I83" s="227">
        <v>43065.538287037038</v>
      </c>
      <c r="J83" s="226">
        <v>0</v>
      </c>
      <c r="K83" s="238" t="str">
        <f t="shared" si="38"/>
        <v>4005/4006</v>
      </c>
      <c r="L83" s="246" t="str">
        <f>VLOOKUP(A83,'Trips&amp;Operators'!$C$1:$G$99911,5,FALSE)</f>
        <v>GONZALEZ ARMANDO</v>
      </c>
      <c r="M83" s="225">
        <f t="shared" si="39"/>
        <v>6.5277777757728472E-3</v>
      </c>
      <c r="N83" s="226"/>
      <c r="O83" s="226"/>
      <c r="P83" s="226"/>
      <c r="Q83" s="229"/>
      <c r="R83" s="243"/>
      <c r="S83" s="250"/>
      <c r="T83" s="243" t="str">
        <f t="shared" si="42"/>
        <v>NorthBound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43"/>
        <v>https://d0f6bd738d7f1b3e5a7ca70fe4ff75f0.us-east-1.aws.found.io/app/kibana#/discover/Steve-Slow-Train-Analysis-(2080s-and-2083s)?_g=(refreshInterval:(display:Off,pause:!f,section:0,value:0),time:(from:'2017-11-26T11:06:58-0700',mode:absolute,to:'2017-11-26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248" t="str">
        <f>IF(AA83&lt;VLOOKUP(AG83,Variables!$AC$3:$AD$8,2,FALSE),"Y","N")</f>
        <v>Y</v>
      </c>
      <c r="X83" s="248">
        <f t="shared" si="44"/>
        <v>0</v>
      </c>
      <c r="Y83" s="248">
        <f t="shared" si="45"/>
        <v>5.28E-2</v>
      </c>
      <c r="Z83" s="248">
        <f t="shared" si="46"/>
        <v>13.9275</v>
      </c>
      <c r="AA83" s="248">
        <f t="shared" si="47"/>
        <v>13.874700000000001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48"/>
        <v>169</v>
      </c>
      <c r="AE83" s="236" t="str">
        <f t="shared" si="49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83" s="235" t="str">
        <f t="shared" si="50"/>
        <v>"C:\Program Files (x86)\AstroGrep\AstroGrep.exe" /e /r /s /spath="%USERPROFILE%\AppData\Local\Temp\OnboardLogs" /stypes="app*4006*20171126*" /stext=" 19:.+((SYSTEM_STATE.+slice.+state.+changed )|(ment ac)|(multiple cpu faults)|(system.+state.+changed )|(\[timeout)|(PRM\|1\|D)|(kpr)|(kdp)|(train st.+moving)|(\|lc)|(penalty))"</v>
      </c>
      <c r="AG83" s="245" t="str">
        <f t="shared" si="51"/>
        <v>EC</v>
      </c>
      <c r="AH83" s="237" t="str">
        <f t="shared" si="52"/>
        <v>"%USERPROFILE%\Documents\GitHub\eaglep3\Utilities\RefineRTDCRunTimes.py" --tripid 169-26 --locoid 4006 --swversion DE.1.0.9.0 --startMP 204:528 --initTime 2017-11-26T12:06:58 --startdatetime 2017-11-26T12:45:44 --delay 102 --endMP 204:139275 --enddatetime 2017-11-26T12:55:08 --enforcementcount 0 &gt;&gt;%USERPROFILE%\Documents\GitHub\eaglep3-reporting\EC\2017-11-26-refined-times.txt</v>
      </c>
      <c r="AI83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{"issue":{"subject":"","project_id":79,"tracker_id":40,"status_id":1,"priority_id":2,"assigned_to_id":338,"start_date":"2017-11-26","description":"","custom_fields":[{"id":1,"name":"Subdivision","value":"EC"},{"id":4,"name":"Milepost","value":"13.9275"},{"id":17,"name":"Train ID","value":"169-26"},{"id":16,"name":"Locomotive ID","value":"4006"},{"id":130,"name":"Impact","value":""},{"id":150,"name":"Time of Event (Mountain Time)","value":"12:55:08"},{"id":151,"name":"Denver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54"/>
        <v>start /low /b %USERPROFILE%\Documents\GitHub\eaglep3\Utilities\DownloadLogsFromS3.py --loco 4006 --day 2017-11-26</v>
      </c>
      <c r="AN83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56"/>
        <v>https://d0f6bd738d7f1b3e5a7ca70fe4ff75f0.us-east-1.aws.found.io/app/kibana#/discover/Steve-Slow-Train-Analysis-(2080s-and-2083s)?_g=(refreshInterval:(display:Off,pause:!f,section:0,value:0),time:(from:'2017-11-26T11:06:58-0700',mode:absolute,to:'2017-11-26T13:55:08-0700'))&amp;_a=(columns:!('Message%20ID',Summary),filters:!(),index:'emp_*',interval:auto,query:(query_string:(analyze_wildcard:!t,query:'%22rtdc.l.rtdc.4006%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789</v>
      </c>
      <c r="B84" s="226">
        <v>4005</v>
      </c>
      <c r="C84" s="228" t="s">
        <v>192</v>
      </c>
      <c r="D84" s="228" t="s">
        <v>512</v>
      </c>
      <c r="E84" s="227">
        <v>43065.545219907406</v>
      </c>
      <c r="F84" s="227">
        <v>43065.550196759257</v>
      </c>
      <c r="G84" s="226">
        <v>62</v>
      </c>
      <c r="H84" s="228" t="s">
        <v>945</v>
      </c>
      <c r="I84" s="227">
        <v>43065.576041666667</v>
      </c>
      <c r="J84" s="226">
        <v>0</v>
      </c>
      <c r="K84" s="238" t="str">
        <f t="shared" si="38"/>
        <v>4005/4006</v>
      </c>
      <c r="L84" s="246" t="str">
        <f>VLOOKUP(A84,'Trips&amp;Operators'!$C$1:$G$99911,5,FALSE)</f>
        <v>GONZALEZ ARMANDO</v>
      </c>
      <c r="M84" s="225">
        <f t="shared" si="39"/>
        <v>2.584490740991896E-2</v>
      </c>
      <c r="N84" s="226">
        <f t="shared" si="40"/>
        <v>37.216666670283303</v>
      </c>
      <c r="O84" s="226"/>
      <c r="P84" s="226"/>
      <c r="Q84" s="229"/>
      <c r="R84" s="243"/>
      <c r="S84" s="250">
        <f t="shared" si="41"/>
        <v>1</v>
      </c>
      <c r="T84" s="243" t="str">
        <f t="shared" si="42"/>
        <v>Southbound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43"/>
        <v>https://d0f6bd738d7f1b3e5a7ca70fe4ff75f0.us-east-1.aws.found.io/app/kibana#/discover/Steve-Slow-Train-Analysis-(2080s-and-2083s)?_g=(refreshInterval:(display:Off,pause:!f,section:0,value:0),time:(from:'2017-11-26T12:05:07-0700',mode:absolute,to:'2017-11-26T14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248" t="str">
        <f>IF(AA84&lt;VLOOKUP(AG84,Variables!$AC$3:$AD$8,2,FALSE),"Y","N")</f>
        <v>N</v>
      </c>
      <c r="X84" s="248">
        <f t="shared" si="44"/>
        <v>1</v>
      </c>
      <c r="Y84" s="248">
        <f t="shared" si="45"/>
        <v>23.293399999999998</v>
      </c>
      <c r="Z84" s="248">
        <f t="shared" si="46"/>
        <v>1.67E-2</v>
      </c>
      <c r="AA84" s="248">
        <f t="shared" si="47"/>
        <v>23.276699999999998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48"/>
        <v>170</v>
      </c>
      <c r="AE84" s="236" t="str">
        <f t="shared" si="49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84" s="235" t="str">
        <f t="shared" si="50"/>
        <v>"C:\Program Files (x86)\AstroGrep\AstroGrep.exe" /e /r /s /spath="%USERPROFILE%\AppData\Local\Temp\OnboardLogs" /stypes="app*4005*20171126*" /stext=" 20:.+((SYSTEM_STATE.+slice.+state.+changed )|(ment ac)|(multiple cpu faults)|(system.+state.+changed )|(\[timeout)|(PRM\|1\|D)|(kpr)|(kdp)|(train st.+moving)|(\|lc)|(penalty))"</v>
      </c>
      <c r="AG84" s="245" t="str">
        <f t="shared" si="51"/>
        <v>EC</v>
      </c>
      <c r="AH84" s="237" t="str">
        <f t="shared" si="52"/>
        <v>"%USERPROFILE%\Documents\GitHub\eaglep3\Utilities\RefineRTDCRunTimes.py" --tripid 170-26 --locoid 4005 --swversion DE.1.0.9.0 --startMP 204:232934 --initTime 2017-11-26T13:05:07 --startdatetime 2017-11-26T13:12:17 --delay 62 --endMP 204:167 --enddatetime 2017-11-26T13:49:30 --enforcementcount 0 &gt;&gt;%USERPROFILE%\Documents\GitHub\eaglep3-reporting\EC\2017-11-26-refined-times.txt</v>
      </c>
      <c r="AI84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{"issue":{"subject":"","project_id":79,"tracker_id":40,"status_id":1,"priority_id":2,"assigned_to_id":338,"start_date":"2017-11-26","description":"","custom_fields":[{"id":1,"name":"Subdivision","value":"EC"},{"id":4,"name":"Milepost","value":"0.0167"},{"id":17,"name":"Train ID","value":"170-26"},{"id":16,"name":"Locomotive ID","value":"4005"},{"id":130,"name":"Impact","value":""},{"id":150,"name":"Time of Event (Mountain Time)","value":"13:49:30"},{"id":151,"name":"Denver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54"/>
        <v>start /low /b %USERPROFILE%\Documents\GitHub\eaglep3\Utilities\DownloadLogsFromS3.py --loco 4005 --day 2017-11-26</v>
      </c>
      <c r="AN84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56"/>
        <v>https://d0f6bd738d7f1b3e5a7ca70fe4ff75f0.us-east-1.aws.found.io/app/kibana#/discover/Steve-Slow-Train-Analysis-(2080s-and-2083s)?_g=(refreshInterval:(display:Off,pause:!f,section:0,value:0),time:(from:'2017-11-26T12:05:07-0700',mode:absolute,to:'2017-11-26T14:49:30-0700'))&amp;_a=(columns:!('Message%20ID',Summary),filters:!(),index:'emp_*',interval:auto,query:(query_string:(analyze_wildcard:!t,query:'%22rtdc.l.rtdc.4005%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783</v>
      </c>
      <c r="B85" s="226">
        <v>4016</v>
      </c>
      <c r="C85" s="228" t="s">
        <v>192</v>
      </c>
      <c r="D85" s="228" t="s">
        <v>921</v>
      </c>
      <c r="E85" s="227">
        <v>43065.516481481478</v>
      </c>
      <c r="F85" s="227">
        <v>43065.52107638889</v>
      </c>
      <c r="G85" s="226">
        <v>62</v>
      </c>
      <c r="H85" s="228" t="s">
        <v>946</v>
      </c>
      <c r="I85" s="227">
        <v>43065.546168981484</v>
      </c>
      <c r="J85" s="226">
        <v>0</v>
      </c>
      <c r="K85" s="238" t="str">
        <f t="shared" si="38"/>
        <v>4015/4016</v>
      </c>
      <c r="L85" s="246" t="str">
        <f>VLOOKUP(A85,'Trips&amp;Operators'!$C$1:$G$99911,5,FALSE)</f>
        <v>STEWART MICHAEL</v>
      </c>
      <c r="M85" s="225">
        <f t="shared" si="39"/>
        <v>2.5092592593864538E-2</v>
      </c>
      <c r="N85" s="226">
        <f t="shared" si="40"/>
        <v>36.133333335164934</v>
      </c>
      <c r="O85" s="226"/>
      <c r="P85" s="226"/>
      <c r="Q85" s="229"/>
      <c r="R85" s="243"/>
      <c r="S85" s="250">
        <f t="shared" si="41"/>
        <v>1</v>
      </c>
      <c r="T85" s="243" t="str">
        <f t="shared" si="42"/>
        <v>NorthBound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43"/>
        <v>https://d0f6bd738d7f1b3e5a7ca70fe4ff75f0.us-east-1.aws.found.io/app/kibana#/discover/Steve-Slow-Train-Analysis-(2080s-and-2083s)?_g=(refreshInterval:(display:Off,pause:!f,section:0,value:0),time:(from:'2017-11-26T11:23:44-0700',mode:absolute,to:'2017-11-26T14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48" t="str">
        <f>IF(AA85&lt;VLOOKUP(AG85,Variables!$AC$3:$AD$8,2,FALSE),"Y","N")</f>
        <v>N</v>
      </c>
      <c r="X85" s="248">
        <f t="shared" si="44"/>
        <v>1</v>
      </c>
      <c r="Y85" s="248">
        <f t="shared" si="45"/>
        <v>5.1299999999999998E-2</v>
      </c>
      <c r="Z85" s="248">
        <f t="shared" si="46"/>
        <v>23.325900000000001</v>
      </c>
      <c r="AA85" s="248">
        <f t="shared" si="47"/>
        <v>23.2746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48"/>
        <v>171</v>
      </c>
      <c r="AE85" s="236" t="str">
        <f t="shared" si="49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85" s="235" t="str">
        <f t="shared" si="50"/>
        <v>"C:\Program Files (x86)\AstroGrep\AstroGrep.exe" /e /r /s /spath="%USERPROFILE%\AppData\Local\Temp\OnboardLogs" /stypes="app*4016*20171126*" /stext=" 20:.+((SYSTEM_STATE.+slice.+state.+changed )|(ment ac)|(multiple cpu faults)|(system.+state.+changed )|(\[timeout)|(PRM\|1\|D)|(kpr)|(kdp)|(train st.+moving)|(\|lc)|(penalty))"</v>
      </c>
      <c r="AG85" s="245" t="str">
        <f t="shared" si="51"/>
        <v>EC</v>
      </c>
      <c r="AH85" s="237" t="str">
        <f t="shared" si="52"/>
        <v>"%USERPROFILE%\Documents\GitHub\eaglep3\Utilities\RefineRTDCRunTimes.py" --tripid 171-26 --locoid 4016 --swversion DE.1.0.9.0 --startMP 204:513 --initTime 2017-11-26T12:23:44 --startdatetime 2017-11-26T12:30:21 --delay 62 --endMP 204:233259 --enddatetime 2017-11-26T13:06:29 --enforcementcount 0 &gt;&gt;%USERPROFILE%\Documents\GitHub\eaglep3-reporting\EC\2017-11-26-refined-times.txt</v>
      </c>
      <c r="AI85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{"issue":{"subject":"","project_id":79,"tracker_id":40,"status_id":1,"priority_id":2,"assigned_to_id":338,"start_date":"2017-11-26","description":"","custom_fields":[{"id":1,"name":"Subdivision","value":"EC"},{"id":4,"name":"Milepost","value":"23.3259"},{"id":17,"name":"Train ID","value":"171-26"},{"id":16,"name":"Locomotive ID","value":"4016"},{"id":130,"name":"Impact","value":""},{"id":150,"name":"Time of Event (Mountain Time)","value":"13:06:29"},{"id":151,"name":"Denver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54"/>
        <v>start /low /b %USERPROFILE%\Documents\GitHub\eaglep3\Utilities\DownloadLogsFromS3.py --loco 4016 --day 2017-11-26</v>
      </c>
      <c r="AN85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56"/>
        <v>https://d0f6bd738d7f1b3e5a7ca70fe4ff75f0.us-east-1.aws.found.io/app/kibana#/discover/Steve-Slow-Train-Analysis-(2080s-and-2083s)?_g=(refreshInterval:(display:Off,pause:!f,section:0,value:0),time:(from:'2017-11-26T11:23:44-0700',mode:absolute,to:'2017-11-26T14:06:29-0700'))&amp;_a=(columns:!('Message%20ID',Summary),filters:!(),index:'emp_*',interval:auto,query:(query_string:(analyze_wildcard:!t,query:'%22rtdc.l.rtdc.4016%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791</v>
      </c>
      <c r="B86" s="226">
        <v>4015</v>
      </c>
      <c r="C86" s="228" t="s">
        <v>192</v>
      </c>
      <c r="D86" s="228" t="s">
        <v>632</v>
      </c>
      <c r="E86" s="227">
        <v>43065.556134259263</v>
      </c>
      <c r="F86" s="227">
        <v>43065.560682870368</v>
      </c>
      <c r="G86" s="226">
        <v>57</v>
      </c>
      <c r="H86" s="228" t="s">
        <v>947</v>
      </c>
      <c r="I86" s="227">
        <v>43065.587210648147</v>
      </c>
      <c r="J86" s="226">
        <v>0</v>
      </c>
      <c r="K86" s="238" t="str">
        <f t="shared" si="38"/>
        <v>4015/4016</v>
      </c>
      <c r="L86" s="246" t="str">
        <f>VLOOKUP(A86,'Trips&amp;Operators'!$C$1:$G$99911,5,FALSE)</f>
        <v>STEWART MICHAEL</v>
      </c>
      <c r="M86" s="225">
        <f t="shared" si="39"/>
        <v>2.6527777779847383E-2</v>
      </c>
      <c r="N86" s="226">
        <f t="shared" si="40"/>
        <v>38.200000002980232</v>
      </c>
      <c r="O86" s="226"/>
      <c r="P86" s="226"/>
      <c r="Q86" s="229"/>
      <c r="R86" s="243"/>
      <c r="S86" s="250">
        <f t="shared" si="41"/>
        <v>1</v>
      </c>
      <c r="T86" s="243" t="str">
        <f t="shared" si="42"/>
        <v>Southbound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43"/>
        <v>https://d0f6bd738d7f1b3e5a7ca70fe4ff75f0.us-east-1.aws.found.io/app/kibana#/discover/Steve-Slow-Train-Analysis-(2080s-and-2083s)?_g=(refreshInterval:(display:Off,pause:!f,section:0,value:0),time:(from:'2017-11-26T12:20:50-0700',mode:absolute,to:'2017-11-26T15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48" t="str">
        <f>IF(AA86&lt;VLOOKUP(AG86,Variables!$AC$3:$AD$8,2,FALSE),"Y","N")</f>
        <v>N</v>
      </c>
      <c r="X86" s="248">
        <f t="shared" si="44"/>
        <v>1</v>
      </c>
      <c r="Y86" s="248">
        <f t="shared" si="45"/>
        <v>23.294699999999999</v>
      </c>
      <c r="Z86" s="248">
        <f t="shared" si="46"/>
        <v>1.8700000000000001E-2</v>
      </c>
      <c r="AA86" s="248">
        <f t="shared" si="47"/>
        <v>23.276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48"/>
        <v>172</v>
      </c>
      <c r="AE86" s="236" t="str">
        <f t="shared" si="49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86" s="235" t="str">
        <f t="shared" si="50"/>
        <v>"C:\Program Files (x86)\AstroGrep\AstroGrep.exe" /e /r /s /spath="%USERPROFILE%\AppData\Local\Temp\OnboardLogs" /stypes="app*4015*20171126*" /stext=" 21:.+((SYSTEM_STATE.+slice.+state.+changed )|(ment ac)|(multiple cpu faults)|(system.+state.+changed )|(\[timeout)|(PRM\|1\|D)|(kpr)|(kdp)|(train st.+moving)|(\|lc)|(penalty))"</v>
      </c>
      <c r="AG86" s="245" t="str">
        <f t="shared" si="51"/>
        <v>EC</v>
      </c>
      <c r="AH86" s="237" t="str">
        <f t="shared" si="52"/>
        <v>"%USERPROFILE%\Documents\GitHub\eaglep3\Utilities\RefineRTDCRunTimes.py" --tripid 172-26 --locoid 4015 --swversion DE.1.0.9.0 --startMP 204:232947 --initTime 2017-11-26T13:20:50 --startdatetime 2017-11-26T13:27:23 --delay 57 --endMP 204:187 --enddatetime 2017-11-26T14:05:35 --enforcementcount 0 &gt;&gt;%USERPROFILE%\Documents\GitHub\eaglep3-reporting\EC\2017-11-26-refined-times.txt</v>
      </c>
      <c r="AI86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{"issue":{"subject":"","project_id":79,"tracker_id":40,"status_id":1,"priority_id":2,"assigned_to_id":338,"start_date":"2017-11-26","description":"","custom_fields":[{"id":1,"name":"Subdivision","value":"EC"},{"id":4,"name":"Milepost","value":"0.0187"},{"id":17,"name":"Train ID","value":"172-26"},{"id":16,"name":"Locomotive ID","value":"4015"},{"id":130,"name":"Impact","value":""},{"id":150,"name":"Time of Event (Mountain Time)","value":"14:05:35"},{"id":151,"name":"Denver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54"/>
        <v>start /low /b %USERPROFILE%\Documents\GitHub\eaglep3\Utilities\DownloadLogsFromS3.py --loco 4015 --day 2017-11-26</v>
      </c>
      <c r="AN86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56"/>
        <v>https://d0f6bd738d7f1b3e5a7ca70fe4ff75f0.us-east-1.aws.found.io/app/kibana#/discover/Steve-Slow-Train-Analysis-(2080s-and-2083s)?_g=(refreshInterval:(display:Off,pause:!f,section:0,value:0),time:(from:'2017-11-26T12:20:50-0700',mode:absolute,to:'2017-11-26T15:05:35-0700'))&amp;_a=(columns:!('Message%20ID',Summary),filters:!(),index:'emp_*',interval:auto,query:(query_string:(analyze_wildcard:!t,query:'%22rtdc.l.rtdc.4015%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785</v>
      </c>
      <c r="B87" s="226">
        <v>4040</v>
      </c>
      <c r="C87" s="228" t="s">
        <v>192</v>
      </c>
      <c r="D87" s="228" t="s">
        <v>486</v>
      </c>
      <c r="E87" s="227">
        <v>43065.52721064815</v>
      </c>
      <c r="F87" s="227">
        <v>43065.531469907408</v>
      </c>
      <c r="G87" s="226">
        <v>69</v>
      </c>
      <c r="H87" s="228" t="s">
        <v>924</v>
      </c>
      <c r="I87" s="227">
        <v>43065.556122685186</v>
      </c>
      <c r="J87" s="226">
        <v>0</v>
      </c>
      <c r="K87" s="238" t="str">
        <f t="shared" si="38"/>
        <v>4039/4040</v>
      </c>
      <c r="L87" s="246" t="str">
        <f>VLOOKUP(A87,'Trips&amp;Operators'!$C$1:$G$99911,5,FALSE)</f>
        <v>SMITH MICHAEL</v>
      </c>
      <c r="M87" s="225">
        <f t="shared" si="39"/>
        <v>2.4652777778101154E-2</v>
      </c>
      <c r="N87" s="226">
        <f t="shared" si="40"/>
        <v>35.500000000465661</v>
      </c>
      <c r="O87" s="226"/>
      <c r="P87" s="226"/>
      <c r="Q87" s="229"/>
      <c r="R87" s="243"/>
      <c r="S87" s="250">
        <f t="shared" si="41"/>
        <v>1</v>
      </c>
      <c r="T87" s="243" t="str">
        <f t="shared" si="42"/>
        <v>NorthBound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43"/>
        <v>https://d0f6bd738d7f1b3e5a7ca70fe4ff75f0.us-east-1.aws.found.io/app/kibana#/discover/Steve-Slow-Train-Analysis-(2080s-and-2083s)?_g=(refreshInterval:(display:Off,pause:!f,section:0,value:0),time:(from:'2017-11-26T11:39:11-0700',mode:absolute,to:'2017-11-26T14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248" t="str">
        <f>IF(AA87&lt;VLOOKUP(AG87,Variables!$AC$3:$AD$8,2,FALSE),"Y","N")</f>
        <v>N</v>
      </c>
      <c r="X87" s="248">
        <f t="shared" si="44"/>
        <v>1</v>
      </c>
      <c r="Y87" s="248">
        <f t="shared" si="45"/>
        <v>4.9700000000000001E-2</v>
      </c>
      <c r="Z87" s="248">
        <f t="shared" si="46"/>
        <v>23.318999999999999</v>
      </c>
      <c r="AA87" s="248">
        <f t="shared" si="47"/>
        <v>23.269299999999998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48"/>
        <v>173</v>
      </c>
      <c r="AE87" s="236" t="str">
        <f t="shared" si="49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87" s="235" t="str">
        <f t="shared" si="50"/>
        <v>"C:\Program Files (x86)\AstroGrep\AstroGrep.exe" /e /r /s /spath="%USERPROFILE%\AppData\Local\Temp\OnboardLogs" /stypes="app*4040*20171126*" /stext=" 20:.+((SYSTEM_STATE.+slice.+state.+changed )|(ment ac)|(multiple cpu faults)|(system.+state.+changed )|(\[timeout)|(PRM\|1\|D)|(kpr)|(kdp)|(train st.+moving)|(\|lc)|(penalty))"</v>
      </c>
      <c r="AG87" s="245" t="str">
        <f t="shared" si="51"/>
        <v>EC</v>
      </c>
      <c r="AH87" s="237" t="str">
        <f t="shared" si="52"/>
        <v>"%USERPROFILE%\Documents\GitHub\eaglep3\Utilities\RefineRTDCRunTimes.py" --tripid 173-26 --locoid 4040 --swversion DE.1.0.9.0 --startMP 204:497 --initTime 2017-11-26T12:39:11 --startdatetime 2017-11-26T12:45:19 --delay 69 --endMP 204:233190 --enddatetime 2017-11-26T13:20:49 --enforcementcount 0 &gt;&gt;%USERPROFILE%\Documents\GitHub\eaglep3-reporting\EC\2017-11-26-refined-times.txt</v>
      </c>
      <c r="AI87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{"issue":{"subject":"","project_id":79,"tracker_id":40,"status_id":1,"priority_id":2,"assigned_to_id":338,"start_date":"2017-11-26","description":"","custom_fields":[{"id":1,"name":"Subdivision","value":"EC"},{"id":4,"name":"Milepost","value":"23.319"},{"id":17,"name":"Train ID","value":"173-26"},{"id":16,"name":"Locomotive ID","value":"4040"},{"id":130,"name":"Impact","value":""},{"id":150,"name":"Time of Event (Mountain Time)","value":"13:20:49"},{"id":151,"name":"Denver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54"/>
        <v>start /low /b %USERPROFILE%\Documents\GitHub\eaglep3\Utilities\DownloadLogsFromS3.py --loco 4040 --day 2017-11-26</v>
      </c>
      <c r="AN87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56"/>
        <v>https://d0f6bd738d7f1b3e5a7ca70fe4ff75f0.us-east-1.aws.found.io/app/kibana#/discover/Steve-Slow-Train-Analysis-(2080s-and-2083s)?_g=(refreshInterval:(display:Off,pause:!f,section:0,value:0),time:(from:'2017-11-26T11:39:11-0700',mode:absolute,to:'2017-11-26T14:20:49-0700'))&amp;_a=(columns:!('Message%20ID',Summary),filters:!(),index:'emp_*',interval:auto,query:(query_string:(analyze_wildcard:!t,query:'%22rtdc.l.rtdc.4040%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793</v>
      </c>
      <c r="B88" s="226">
        <v>4039</v>
      </c>
      <c r="C88" s="228" t="s">
        <v>192</v>
      </c>
      <c r="D88" s="228" t="s">
        <v>902</v>
      </c>
      <c r="E88" s="227">
        <v>43065.560416666667</v>
      </c>
      <c r="F88" s="227">
        <v>43065.571064814816</v>
      </c>
      <c r="G88" s="226">
        <v>69</v>
      </c>
      <c r="H88" s="228" t="s">
        <v>948</v>
      </c>
      <c r="I88" s="227">
        <v>43065.597349537034</v>
      </c>
      <c r="J88" s="226">
        <v>0</v>
      </c>
      <c r="K88" s="238" t="str">
        <f t="shared" si="38"/>
        <v>4039/4040</v>
      </c>
      <c r="L88" s="246" t="str">
        <f>VLOOKUP(A88,'Trips&amp;Operators'!$C$1:$G$99911,5,FALSE)</f>
        <v>SMITH MICHAEL</v>
      </c>
      <c r="M88" s="225">
        <f t="shared" si="39"/>
        <v>2.6284722218406387E-2</v>
      </c>
      <c r="N88" s="226">
        <f t="shared" si="40"/>
        <v>37.849999994505197</v>
      </c>
      <c r="O88" s="226"/>
      <c r="P88" s="226"/>
      <c r="Q88" s="229"/>
      <c r="R88" s="243"/>
      <c r="S88" s="250">
        <f t="shared" si="41"/>
        <v>1</v>
      </c>
      <c r="T88" s="243" t="str">
        <f t="shared" si="42"/>
        <v>Southbound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43"/>
        <v>https://d0f6bd738d7f1b3e5a7ca70fe4ff75f0.us-east-1.aws.found.io/app/kibana#/discover/Steve-Slow-Train-Analysis-(2080s-and-2083s)?_g=(refreshInterval:(display:Off,pause:!f,section:0,value:0),time:(from:'2017-11-26T12:27:00-0700',mode:absolute,to:'2017-11-26T15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248" t="str">
        <f>IF(AA88&lt;VLOOKUP(AG88,Variables!$AC$3:$AD$8,2,FALSE),"Y","N")</f>
        <v>N</v>
      </c>
      <c r="X88" s="248">
        <f t="shared" si="44"/>
        <v>1</v>
      </c>
      <c r="Y88" s="248">
        <f t="shared" si="45"/>
        <v>23.296900000000001</v>
      </c>
      <c r="Z88" s="248">
        <f t="shared" si="46"/>
        <v>1.7600000000000001E-2</v>
      </c>
      <c r="AA88" s="248">
        <f t="shared" si="47"/>
        <v>23.279299999999999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48"/>
        <v>174</v>
      </c>
      <c r="AE88" s="236" t="str">
        <f t="shared" si="49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88" s="235" t="str">
        <f t="shared" si="50"/>
        <v>"C:\Program Files (x86)\AstroGrep\AstroGrep.exe" /e /r /s /spath="%USERPROFILE%\AppData\Local\Temp\OnboardLogs" /stypes="app*4039*20171126*" /stext=" 21:.+((SYSTEM_STATE.+slice.+state.+changed )|(ment ac)|(multiple cpu faults)|(system.+state.+changed )|(\[timeout)|(PRM\|1\|D)|(kpr)|(kdp)|(train st.+moving)|(\|lc)|(penalty))"</v>
      </c>
      <c r="AG88" s="245" t="str">
        <f t="shared" si="51"/>
        <v>EC</v>
      </c>
      <c r="AH88" s="237" t="str">
        <f t="shared" si="52"/>
        <v>"%USERPROFILE%\Documents\GitHub\eaglep3\Utilities\RefineRTDCRunTimes.py" --tripid 174-26 --locoid 4039 --swversion DE.1.0.9.0 --startMP 204:232969 --initTime 2017-11-26T13:27:00 --startdatetime 2017-11-26T13:42:20 --delay 69 --endMP 204:176 --enddatetime 2017-11-26T14:20:11 --enforcementcount 0 &gt;&gt;%USERPROFILE%\Documents\GitHub\eaglep3-reporting\EC\2017-11-26-refined-times.txt</v>
      </c>
      <c r="AI8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{"issue":{"subject":"","project_id":79,"tracker_id":40,"status_id":1,"priority_id":2,"assigned_to_id":338,"start_date":"2017-11-26","description":"","custom_fields":[{"id":1,"name":"Subdivision","value":"EC"},{"id":4,"name":"Milepost","value":"0.0176"},{"id":17,"name":"Train ID","value":"174-26"},{"id":16,"name":"Locomotive ID","value":"4039"},{"id":130,"name":"Impact","value":""},{"id":150,"name":"Time of Event (Mountain Time)","value":"14:20:11"},{"id":151,"name":"Denver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54"/>
        <v>start /low /b %USERPROFILE%\Documents\GitHub\eaglep3\Utilities\DownloadLogsFromS3.py --loco 4039 --day 2017-11-26</v>
      </c>
      <c r="AN88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56"/>
        <v>https://d0f6bd738d7f1b3e5a7ca70fe4ff75f0.us-east-1.aws.found.io/app/kibana#/discover/Steve-Slow-Train-Analysis-(2080s-and-2083s)?_g=(refreshInterval:(display:Off,pause:!f,section:0,value:0),time:(from:'2017-11-26T12:27:00-0700',mode:absolute,to:'2017-11-26T15:20:11-0700'))&amp;_a=(columns:!('Message%20ID',Summary),filters:!(),index:'emp_*',interval:auto,query:(query_string:(analyze_wildcard:!t,query:'%22rtdc.l.rtdc.4039%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787</v>
      </c>
      <c r="B89" s="226">
        <v>4008</v>
      </c>
      <c r="C89" s="228" t="s">
        <v>192</v>
      </c>
      <c r="D89" s="228" t="s">
        <v>476</v>
      </c>
      <c r="E89" s="227">
        <v>43065.539664351854</v>
      </c>
      <c r="F89" s="227">
        <v>43065.542048611111</v>
      </c>
      <c r="G89" s="226">
        <v>51</v>
      </c>
      <c r="H89" s="228" t="s">
        <v>624</v>
      </c>
      <c r="I89" s="227">
        <v>43065.567662037036</v>
      </c>
      <c r="J89" s="226">
        <v>0</v>
      </c>
      <c r="K89" s="238" t="str">
        <f t="shared" si="38"/>
        <v>4007/4008</v>
      </c>
      <c r="L89" s="246" t="str">
        <f>VLOOKUP(A89,'Trips&amp;Operators'!$C$1:$G$99911,5,FALSE)</f>
        <v>DAVIS MICHAEL</v>
      </c>
      <c r="M89" s="225">
        <f t="shared" si="39"/>
        <v>2.5613425925257616E-2</v>
      </c>
      <c r="N89" s="226">
        <f t="shared" si="40"/>
        <v>36.883333332370967</v>
      </c>
      <c r="O89" s="226"/>
      <c r="P89" s="226"/>
      <c r="Q89" s="229"/>
      <c r="R89" s="243"/>
      <c r="S89" s="250">
        <f t="shared" si="41"/>
        <v>1</v>
      </c>
      <c r="T89" s="243" t="str">
        <f t="shared" si="42"/>
        <v>NorthBound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43"/>
        <v>https://d0f6bd738d7f1b3e5a7ca70fe4ff75f0.us-east-1.aws.found.io/app/kibana#/discover/Steve-Slow-Train-Analysis-(2080s-and-2083s)?_g=(refreshInterval:(display:Off,pause:!f,section:0,value:0),time:(from:'2017-11-26T11:57:07-0700',mode:absolute,to:'2017-11-26T14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48" t="str">
        <f>IF(AA89&lt;VLOOKUP(AG89,Variables!$AC$3:$AD$8,2,FALSE),"Y","N")</f>
        <v>N</v>
      </c>
      <c r="X89" s="248">
        <f t="shared" si="44"/>
        <v>1</v>
      </c>
      <c r="Y89" s="248">
        <f t="shared" si="45"/>
        <v>5.2400000000000002E-2</v>
      </c>
      <c r="Z89" s="248">
        <f t="shared" si="46"/>
        <v>23.328700000000001</v>
      </c>
      <c r="AA89" s="248">
        <f t="shared" si="47"/>
        <v>23.276300000000003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48"/>
        <v>175</v>
      </c>
      <c r="AE89" s="236" t="str">
        <f t="shared" si="49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89" s="235" t="str">
        <f t="shared" si="50"/>
        <v>"C:\Program Files (x86)\AstroGrep\AstroGrep.exe" /e /r /s /spath="%USERPROFILE%\AppData\Local\Temp\OnboardLogs" /stypes="app*4008*20171126*" /stext=" 20:.+((SYSTEM_STATE.+slice.+state.+changed )|(ment ac)|(multiple cpu faults)|(system.+state.+changed )|(\[timeout)|(PRM\|1\|D)|(kpr)|(kdp)|(train st.+moving)|(\|lc)|(penalty))"</v>
      </c>
      <c r="AG89" s="245" t="str">
        <f t="shared" si="51"/>
        <v>EC</v>
      </c>
      <c r="AH89" s="237" t="str">
        <f t="shared" si="52"/>
        <v>"%USERPROFILE%\Documents\GitHub\eaglep3\Utilities\RefineRTDCRunTimes.py" --tripid 175-26 --locoid 4008 --swversion DE.1.0.9.0 --startMP 204:524 --initTime 2017-11-26T12:57:07 --startdatetime 2017-11-26T13:00:33 --delay 51 --endMP 204:233287 --enddatetime 2017-11-26T13:37:26 --enforcementcount 0 &gt;&gt;%USERPROFILE%\Documents\GitHub\eaglep3-reporting\EC\2017-11-26-refined-times.txt</v>
      </c>
      <c r="AI8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{"issue":{"subject":"","project_id":79,"tracker_id":40,"status_id":1,"priority_id":2,"assigned_to_id":338,"start_date":"2017-11-26","description":"","custom_fields":[{"id":1,"name":"Subdivision","value":"EC"},{"id":4,"name":"Milepost","value":"23.3287"},{"id":17,"name":"Train ID","value":"175-26"},{"id":16,"name":"Locomotive ID","value":"4008"},{"id":130,"name":"Impact","value":""},{"id":150,"name":"Time of Event (Mountain Time)","value":"13:37:26"},{"id":151,"name":"Denver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54"/>
        <v>start /low /b %USERPROFILE%\Documents\GitHub\eaglep3\Utilities\DownloadLogsFromS3.py --loco 4008 --day 2017-11-26</v>
      </c>
      <c r="AN89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56"/>
        <v>https://d0f6bd738d7f1b3e5a7ca70fe4ff75f0.us-east-1.aws.found.io/app/kibana#/discover/Steve-Slow-Train-Analysis-(2080s-and-2083s)?_g=(refreshInterval:(display:Off,pause:!f,section:0,value:0),time:(from:'2017-11-26T11:57:07-0700',mode:absolute,to:'2017-11-26T14:37:26-0700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797</v>
      </c>
      <c r="B90" s="226">
        <v>4007</v>
      </c>
      <c r="C90" s="228" t="s">
        <v>192</v>
      </c>
      <c r="D90" s="228" t="s">
        <v>513</v>
      </c>
      <c r="E90" s="227">
        <v>43065.579560185186</v>
      </c>
      <c r="F90" s="227">
        <v>43065.581643518519</v>
      </c>
      <c r="G90" s="226">
        <v>57</v>
      </c>
      <c r="H90" s="228" t="s">
        <v>454</v>
      </c>
      <c r="I90" s="227">
        <v>43065.608877314815</v>
      </c>
      <c r="J90" s="226">
        <v>0</v>
      </c>
      <c r="K90" s="238" t="str">
        <f t="shared" si="38"/>
        <v>4007/4008</v>
      </c>
      <c r="L90" s="246" t="str">
        <f>VLOOKUP(A90,'Trips&amp;Operators'!$C$1:$G$99911,5,FALSE)</f>
        <v>DAVIS MICHAEL</v>
      </c>
      <c r="M90" s="225">
        <f t="shared" si="39"/>
        <v>2.7233796296059154E-2</v>
      </c>
      <c r="N90" s="226">
        <f t="shared" si="40"/>
        <v>39.216666666325182</v>
      </c>
      <c r="O90" s="226"/>
      <c r="P90" s="226"/>
      <c r="Q90" s="229"/>
      <c r="R90" s="243"/>
      <c r="S90" s="250">
        <f t="shared" si="41"/>
        <v>1</v>
      </c>
      <c r="T90" s="243" t="str">
        <f t="shared" si="42"/>
        <v>Southbound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43"/>
        <v>https://d0f6bd738d7f1b3e5a7ca70fe4ff75f0.us-east-1.aws.found.io/app/kibana#/discover/Steve-Slow-Train-Analysis-(2080s-and-2083s)?_g=(refreshInterval:(display:Off,pause:!f,section:0,value:0),time:(from:'2017-11-26T12:54:34-0700',mode:absolute,to:'2017-11-26T15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48" t="str">
        <f>IF(AA90&lt;VLOOKUP(AG90,Variables!$AC$3:$AD$8,2,FALSE),"Y","N")</f>
        <v>N</v>
      </c>
      <c r="X90" s="248">
        <f t="shared" si="44"/>
        <v>1</v>
      </c>
      <c r="Y90" s="248">
        <f t="shared" si="45"/>
        <v>23.2974</v>
      </c>
      <c r="Z90" s="248">
        <f t="shared" si="46"/>
        <v>2.2700000000000001E-2</v>
      </c>
      <c r="AA90" s="248">
        <f t="shared" si="47"/>
        <v>23.274699999999999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48"/>
        <v>176</v>
      </c>
      <c r="AE90" s="236" t="str">
        <f t="shared" si="49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90" s="235" t="str">
        <f t="shared" si="50"/>
        <v>"C:\Program Files (x86)\AstroGrep\AstroGrep.exe" /e /r /s /spath="%USERPROFILE%\AppData\Local\Temp\OnboardLogs" /stypes="app*4007*20171126*" /stext=" 21:.+((SYSTEM_STATE.+slice.+state.+changed )|(ment ac)|(multiple cpu faults)|(system.+state.+changed )|(\[timeout)|(PRM\|1\|D)|(kpr)|(kdp)|(train st.+moving)|(\|lc)|(penalty))"</v>
      </c>
      <c r="AG90" s="245" t="str">
        <f t="shared" si="51"/>
        <v>EC</v>
      </c>
      <c r="AH90" s="237" t="str">
        <f t="shared" si="52"/>
        <v>"%USERPROFILE%\Documents\GitHub\eaglep3\Utilities\RefineRTDCRunTimes.py" --tripid 176-26 --locoid 4007 --swversion DE.1.0.9.0 --startMP 204:232974 --initTime 2017-11-26T13:54:34 --startdatetime 2017-11-26T13:57:34 --delay 57 --endMP 204:227 --enddatetime 2017-11-26T14:36:47 --enforcementcount 0 &gt;&gt;%USERPROFILE%\Documents\GitHub\eaglep3-reporting\EC\2017-11-26-refined-times.txt</v>
      </c>
      <c r="AI9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{"issue":{"subject":"","project_id":79,"tracker_id":40,"status_id":1,"priority_id":2,"assigned_to_id":338,"start_date":"2017-11-26","description":"","custom_fields":[{"id":1,"name":"Subdivision","value":"EC"},{"id":4,"name":"Milepost","value":"0.0227"},{"id":17,"name":"Train ID","value":"176-26"},{"id":16,"name":"Locomotive ID","value":"4007"},{"id":130,"name":"Impact","value":""},{"id":150,"name":"Time of Event (Mountain Time)","value":"14:36:47"},{"id":151,"name":"Denver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54"/>
        <v>start /low /b %USERPROFILE%\Documents\GitHub\eaglep3\Utilities\DownloadLogsFromS3.py --loco 4007 --day 2017-11-26</v>
      </c>
      <c r="AN90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56"/>
        <v>https://d0f6bd738d7f1b3e5a7ca70fe4ff75f0.us-east-1.aws.found.io/app/kibana#/discover/Steve-Slow-Train-Analysis-(2080s-and-2083s)?_g=(refreshInterval:(display:Off,pause:!f,section:0,value:0),time:(from:'2017-11-26T12:54:34-0700',mode:absolute,to:'2017-11-26T15:36:47-0700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790</v>
      </c>
      <c r="B91" s="226">
        <v>4010</v>
      </c>
      <c r="C91" s="228" t="s">
        <v>192</v>
      </c>
      <c r="D91" s="228" t="s">
        <v>923</v>
      </c>
      <c r="E91" s="227">
        <v>43065.549895833334</v>
      </c>
      <c r="F91" s="227">
        <v>43065.553437499999</v>
      </c>
      <c r="G91" s="226">
        <v>76</v>
      </c>
      <c r="H91" s="228" t="s">
        <v>949</v>
      </c>
      <c r="I91" s="227">
        <v>43065.577939814815</v>
      </c>
      <c r="J91" s="226">
        <v>0</v>
      </c>
      <c r="K91" s="238" t="str">
        <f t="shared" si="38"/>
        <v>4009/4010</v>
      </c>
      <c r="L91" s="246" t="str">
        <f>VLOOKUP(A91,'Trips&amp;Operators'!$C$1:$G$99911,5,FALSE)</f>
        <v>SAFIEF AEIMEN</v>
      </c>
      <c r="M91" s="225">
        <f t="shared" si="39"/>
        <v>2.4502314816345461E-2</v>
      </c>
      <c r="N91" s="226">
        <f t="shared" si="40"/>
        <v>35.283333335537463</v>
      </c>
      <c r="O91" s="226"/>
      <c r="P91" s="226"/>
      <c r="Q91" s="229"/>
      <c r="R91" s="243"/>
      <c r="S91" s="250">
        <f t="shared" si="41"/>
        <v>1</v>
      </c>
      <c r="T91" s="243" t="str">
        <f t="shared" si="42"/>
        <v>NorthBound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43"/>
        <v>https://d0f6bd738d7f1b3e5a7ca70fe4ff75f0.us-east-1.aws.found.io/app/kibana#/discover/Steve-Slow-Train-Analysis-(2080s-and-2083s)?_g=(refreshInterval:(display:Off,pause:!f,section:0,value:0),time:(from:'2017-11-26T12:11:51-0700',mode:absolute,to:'2017-11-26T14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48" t="str">
        <f>IF(AA91&lt;VLOOKUP(AG91,Variables!$AC$3:$AD$8,2,FALSE),"Y","N")</f>
        <v>N</v>
      </c>
      <c r="X91" s="248">
        <f t="shared" si="44"/>
        <v>1</v>
      </c>
      <c r="Y91" s="248">
        <f t="shared" si="45"/>
        <v>5.1700000000000003E-2</v>
      </c>
      <c r="Z91" s="248">
        <f t="shared" si="46"/>
        <v>23.325299999999999</v>
      </c>
      <c r="AA91" s="248">
        <f t="shared" si="47"/>
        <v>23.273599999999998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48"/>
        <v>177</v>
      </c>
      <c r="AE91" s="236" t="str">
        <f t="shared" si="49"/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91" s="235" t="str">
        <f t="shared" si="50"/>
        <v>"C:\Program Files (x86)\AstroGrep\AstroGrep.exe" /e /r /s /spath="%USERPROFILE%\AppData\Local\Temp\OnboardLogs" /stypes="app*4010*20171126*" /stext=" 20:.+((SYSTEM_STATE.+slice.+state.+changed )|(ment ac)|(multiple cpu faults)|(system.+state.+changed )|(\[timeout)|(PRM\|1\|D)|(kpr)|(kdp)|(train st.+moving)|(\|lc)|(penalty))"</v>
      </c>
      <c r="AG91" s="245" t="str">
        <f t="shared" si="51"/>
        <v>EC</v>
      </c>
      <c r="AH91" s="237" t="str">
        <f t="shared" si="52"/>
        <v>"%USERPROFILE%\Documents\GitHub\eaglep3\Utilities\RefineRTDCRunTimes.py" --tripid 177-26 --locoid 4010 --swversion DE.1.0.9.0 --startMP 204:517 --initTime 2017-11-26T13:11:51 --startdatetime 2017-11-26T13:16:57 --delay 76 --endMP 204:233253 --enddatetime 2017-11-26T13:52:14 --enforcementcount 0 &gt;&gt;%USERPROFILE%\Documents\GitHub\eaglep3-reporting\EC\2017-11-26-refined-times.txt</v>
      </c>
      <c r="AI9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{"issue":{"subject":"","project_id":79,"tracker_id":40,"status_id":1,"priority_id":2,"assigned_to_id":338,"start_date":"2017-11-26","description":"","custom_fields":[{"id":1,"name":"Subdivision","value":"EC"},{"id":4,"name":"Milepost","value":"23.3253"},{"id":17,"name":"Train ID","value":"177-26"},{"id":16,"name":"Locomotive ID","value":"4010"},{"id":130,"name":"Impact","value":""},{"id":150,"name":"Time of Event (Mountain Time)","value":"13:52:14"},{"id":151,"name":"Denver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54"/>
        <v>start /low /b %USERPROFILE%\Documents\GitHub\eaglep3\Utilities\DownloadLogsFromS3.py --loco 4010 --day 2017-11-26</v>
      </c>
      <c r="AN91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56"/>
        <v>https://d0f6bd738d7f1b3e5a7ca70fe4ff75f0.us-east-1.aws.found.io/app/kibana#/discover/Steve-Slow-Train-Analysis-(2080s-and-2083s)?_g=(refreshInterval:(display:Off,pause:!f,section:0,value:0),time:(from:'2017-11-26T12:11:51-0700',mode:absolute,to:'2017-11-26T14:52:14-0700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798</v>
      </c>
      <c r="B92" s="226">
        <v>4009</v>
      </c>
      <c r="C92" s="228" t="s">
        <v>192</v>
      </c>
      <c r="D92" s="228" t="s">
        <v>621</v>
      </c>
      <c r="E92" s="227">
        <v>43065.585185185184</v>
      </c>
      <c r="F92" s="227">
        <v>43065.591921296298</v>
      </c>
      <c r="G92" s="226">
        <v>84</v>
      </c>
      <c r="H92" s="228" t="s">
        <v>950</v>
      </c>
      <c r="I92" s="227">
        <v>43065.618136574078</v>
      </c>
      <c r="J92" s="226">
        <v>0</v>
      </c>
      <c r="K92" s="238" t="str">
        <f t="shared" si="38"/>
        <v>4009/4010</v>
      </c>
      <c r="L92" s="246" t="str">
        <f>VLOOKUP(A92,'Trips&amp;Operators'!$C$1:$G$99911,5,FALSE)</f>
        <v>SAFIEF AEIMEN</v>
      </c>
      <c r="M92" s="225">
        <f t="shared" si="39"/>
        <v>2.6215277779556345E-2</v>
      </c>
      <c r="N92" s="226">
        <f t="shared" si="40"/>
        <v>37.750000002561137</v>
      </c>
      <c r="O92" s="226"/>
      <c r="P92" s="226"/>
      <c r="Q92" s="229"/>
      <c r="R92" s="243"/>
      <c r="S92" s="250">
        <f t="shared" si="41"/>
        <v>1</v>
      </c>
      <c r="T92" s="243" t="str">
        <f t="shared" si="42"/>
        <v>Southbound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43"/>
        <v>https://d0f6bd738d7f1b3e5a7ca70fe4ff75f0.us-east-1.aws.found.io/app/kibana#/discover/Steve-Slow-Train-Analysis-(2080s-and-2083s)?_g=(refreshInterval:(display:Off,pause:!f,section:0,value:0),time:(from:'2017-11-26T13:02:40-0700',mode:absolute,to:'2017-11-26T15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48" t="str">
        <f>IF(AA92&lt;VLOOKUP(AG92,Variables!$AC$3:$AD$8,2,FALSE),"Y","N")</f>
        <v>N</v>
      </c>
      <c r="X92" s="248">
        <f t="shared" si="44"/>
        <v>1</v>
      </c>
      <c r="Y92" s="248">
        <f t="shared" si="45"/>
        <v>23.293199999999999</v>
      </c>
      <c r="Z92" s="248">
        <f t="shared" si="46"/>
        <v>9.3600000000000003E-2</v>
      </c>
      <c r="AA92" s="248">
        <f t="shared" si="47"/>
        <v>23.1996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48"/>
        <v>178</v>
      </c>
      <c r="AE92" s="236" t="str">
        <f t="shared" si="49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92" s="235" t="str">
        <f t="shared" si="50"/>
        <v>"C:\Program Files (x86)\AstroGrep\AstroGrep.exe" /e /r /s /spath="%USERPROFILE%\AppData\Local\Temp\OnboardLogs" /stypes="app*4009*20171126*" /stext=" 21:.+((SYSTEM_STATE.+slice.+state.+changed )|(ment ac)|(multiple cpu faults)|(system.+state.+changed )|(\[timeout)|(PRM\|1\|D)|(kpr)|(kdp)|(train st.+moving)|(\|lc)|(penalty))"</v>
      </c>
      <c r="AG92" s="245" t="str">
        <f t="shared" si="51"/>
        <v>EC</v>
      </c>
      <c r="AH92" s="237" t="str">
        <f t="shared" si="52"/>
        <v>"%USERPROFILE%\Documents\GitHub\eaglep3\Utilities\RefineRTDCRunTimes.py" --tripid 178-26 --locoid 4009 --swversion DE.1.0.9.0 --startMP 204:232932 --initTime 2017-11-26T14:02:40 --startdatetime 2017-11-26T14:12:22 --delay 84 --endMP 204:936 --enddatetime 2017-11-26T14:50:07 --enforcementcount 0 &gt;&gt;%USERPROFILE%\Documents\GitHub\eaglep3-reporting\EC\2017-11-26-refined-times.txt</v>
      </c>
      <c r="AI92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{"issue":{"subject":"","project_id":79,"tracker_id":40,"status_id":1,"priority_id":2,"assigned_to_id":338,"start_date":"2017-11-26","description":"","custom_fields":[{"id":1,"name":"Subdivision","value":"EC"},{"id":4,"name":"Milepost","value":"0.0936"},{"id":17,"name":"Train ID","value":"178-26"},{"id":16,"name":"Locomotive ID","value":"4009"},{"id":130,"name":"Impact","value":""},{"id":150,"name":"Time of Event (Mountain Time)","value":"14:50:07"},{"id":151,"name":"Denver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54"/>
        <v>start /low /b %USERPROFILE%\Documents\GitHub\eaglep3\Utilities\DownloadLogsFromS3.py --loco 4009 --day 2017-11-26</v>
      </c>
      <c r="AN92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56"/>
        <v>https://d0f6bd738d7f1b3e5a7ca70fe4ff75f0.us-east-1.aws.found.io/app/kibana#/discover/Steve-Slow-Train-Analysis-(2080s-and-2083s)?_g=(refreshInterval:(display:Off,pause:!f,section:0,value:0),time:(from:'2017-11-26T13:02:40-0700',mode:absolute,to:'2017-11-26T15:50:07-0700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792</v>
      </c>
      <c r="B93" s="226">
        <v>4050</v>
      </c>
      <c r="C93" s="228" t="s">
        <v>192</v>
      </c>
      <c r="D93" s="228" t="s">
        <v>516</v>
      </c>
      <c r="E93" s="227">
        <v>43065.558368055557</v>
      </c>
      <c r="F93" s="227">
        <v>43065.562685185185</v>
      </c>
      <c r="G93" s="226">
        <v>50</v>
      </c>
      <c r="H93" s="228" t="s">
        <v>951</v>
      </c>
      <c r="I93" s="227">
        <v>43065.587939814817</v>
      </c>
      <c r="J93" s="226">
        <v>0</v>
      </c>
      <c r="K93" s="238" t="str">
        <f t="shared" si="38"/>
        <v>4049/4050</v>
      </c>
      <c r="L93" s="246" t="str">
        <f>VLOOKUP(A93,'Trips&amp;Operators'!$C$1:$G$99911,5,FALSE)</f>
        <v>GUZMAN DANNY</v>
      </c>
      <c r="M93" s="225">
        <f t="shared" si="39"/>
        <v>2.5254629632399883E-2</v>
      </c>
      <c r="N93" s="226">
        <f t="shared" si="40"/>
        <v>36.366666670655832</v>
      </c>
      <c r="O93" s="226"/>
      <c r="P93" s="226"/>
      <c r="Q93" s="229"/>
      <c r="R93" s="243"/>
      <c r="S93" s="250">
        <f t="shared" si="41"/>
        <v>1</v>
      </c>
      <c r="T93" s="243" t="str">
        <f t="shared" si="42"/>
        <v>NorthBound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43"/>
        <v>https://d0f6bd738d7f1b3e5a7ca70fe4ff75f0.us-east-1.aws.found.io/app/kibana#/discover/Steve-Slow-Train-Analysis-(2080s-and-2083s)?_g=(refreshInterval:(display:Off,pause:!f,section:0,value:0),time:(from:'2017-11-26T12:24:03-0700',mode:absolute,to:'2017-11-26T15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248" t="str">
        <f>IF(AA93&lt;VLOOKUP(AG93,Variables!$AC$3:$AD$8,2,FALSE),"Y","N")</f>
        <v>N</v>
      </c>
      <c r="X93" s="248">
        <f t="shared" si="44"/>
        <v>1</v>
      </c>
      <c r="Y93" s="248">
        <f t="shared" si="45"/>
        <v>5.57E-2</v>
      </c>
      <c r="Z93" s="248">
        <f t="shared" si="46"/>
        <v>23.325099999999999</v>
      </c>
      <c r="AA93" s="248">
        <f t="shared" si="47"/>
        <v>23.269399999999997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48"/>
        <v>179</v>
      </c>
      <c r="AE93" s="236" t="str">
        <f t="shared" si="49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93" s="235" t="str">
        <f t="shared" si="50"/>
        <v>"C:\Program Files (x86)\AstroGrep\AstroGrep.exe" /e /r /s /spath="%USERPROFILE%\AppData\Local\Temp\OnboardLogs" /stypes="app*4050*20171126*" /stext=" 21:.+((SYSTEM_STATE.+slice.+state.+changed )|(ment ac)|(multiple cpu faults)|(system.+state.+changed )|(\[timeout)|(PRM\|1\|D)|(kpr)|(kdp)|(train st.+moving)|(\|lc)|(penalty))"</v>
      </c>
      <c r="AG93" s="245" t="str">
        <f t="shared" si="51"/>
        <v>EC</v>
      </c>
      <c r="AH93" s="237" t="str">
        <f t="shared" si="52"/>
        <v>"%USERPROFILE%\Documents\GitHub\eaglep3\Utilities\RefineRTDCRunTimes.py" --tripid 179-26 --locoid 4050 --swversion DE.1.0.9.0 --startMP 204:557 --initTime 2017-11-26T13:24:03 --startdatetime 2017-11-26T13:30:16 --delay 50 --endMP 204:233251 --enddatetime 2017-11-26T14:06:38 --enforcementcount 0 &gt;&gt;%USERPROFILE%\Documents\GitHub\eaglep3-reporting\EC\2017-11-26-refined-times.txt</v>
      </c>
      <c r="AI93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{"issue":{"subject":"","project_id":79,"tracker_id":40,"status_id":1,"priority_id":2,"assigned_to_id":338,"start_date":"2017-11-26","description":"","custom_fields":[{"id":1,"name":"Subdivision","value":"EC"},{"id":4,"name":"Milepost","value":"23.3251"},{"id":17,"name":"Train ID","value":"179-26"},{"id":16,"name":"Locomotive ID","value":"4050"},{"id":130,"name":"Impact","value":""},{"id":150,"name":"Time of Event (Mountain Time)","value":"14:06:38"},{"id":151,"name":"Denver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54"/>
        <v>start /low /b %USERPROFILE%\Documents\GitHub\eaglep3\Utilities\DownloadLogsFromS3.py --loco 4050 --day 2017-11-26</v>
      </c>
      <c r="AN93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56"/>
        <v>https://d0f6bd738d7f1b3e5a7ca70fe4ff75f0.us-east-1.aws.found.io/app/kibana#/discover/Steve-Slow-Train-Analysis-(2080s-and-2083s)?_g=(refreshInterval:(display:Off,pause:!f,section:0,value:0),time:(from:'2017-11-26T12:24:03-0700',mode:absolute,to:'2017-11-26T15:06:38-0700'))&amp;_a=(columns:!('Message%20ID',Summary),filters:!(),index:'emp_*',interval:auto,query:(query_string:(analyze_wildcard:!t,query:'%22rtdc.l.rtdc.4050%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803</v>
      </c>
      <c r="B94" s="226">
        <v>4049</v>
      </c>
      <c r="C94" s="228" t="s">
        <v>192</v>
      </c>
      <c r="D94" s="228" t="s">
        <v>500</v>
      </c>
      <c r="E94" s="227">
        <v>43065.59275462963</v>
      </c>
      <c r="F94" s="227">
        <v>43065.602256944447</v>
      </c>
      <c r="G94" s="226">
        <v>59</v>
      </c>
      <c r="H94" s="228" t="s">
        <v>638</v>
      </c>
      <c r="I94" s="227">
        <v>43065.628020833334</v>
      </c>
      <c r="J94" s="226">
        <v>0</v>
      </c>
      <c r="K94" s="238" t="str">
        <f t="shared" si="38"/>
        <v>4049/4050</v>
      </c>
      <c r="L94" s="246" t="str">
        <f>VLOOKUP(A94,'Trips&amp;Operators'!$C$1:$G$99911,5,FALSE)</f>
        <v>GUZMAN DANNY</v>
      </c>
      <c r="M94" s="225">
        <f t="shared" si="39"/>
        <v>2.5763888887013309E-2</v>
      </c>
      <c r="N94" s="226">
        <f t="shared" si="40"/>
        <v>37.099999997299165</v>
      </c>
      <c r="O94" s="226"/>
      <c r="P94" s="226"/>
      <c r="Q94" s="229"/>
      <c r="R94" s="243"/>
      <c r="S94" s="250">
        <f t="shared" si="41"/>
        <v>1</v>
      </c>
      <c r="T94" s="243" t="str">
        <f t="shared" si="42"/>
        <v>Southbound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43"/>
        <v>https://d0f6bd738d7f1b3e5a7ca70fe4ff75f0.us-east-1.aws.found.io/app/kibana#/discover/Steve-Slow-Train-Analysis-(2080s-and-2083s)?_g=(refreshInterval:(display:Off,pause:!f,section:0,value:0),time:(from:'2017-11-26T13:13:34-0700',mode:absolute,to:'2017-11-26T16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248" t="str">
        <f>IF(AA94&lt;VLOOKUP(AG94,Variables!$AC$3:$AD$8,2,FALSE),"Y","N")</f>
        <v>N</v>
      </c>
      <c r="X94" s="248">
        <f t="shared" si="44"/>
        <v>1</v>
      </c>
      <c r="Y94" s="248">
        <f t="shared" si="45"/>
        <v>23.2943</v>
      </c>
      <c r="Z94" s="248">
        <f t="shared" si="46"/>
        <v>2.3599999999999999E-2</v>
      </c>
      <c r="AA94" s="248">
        <f t="shared" si="47"/>
        <v>23.270700000000001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48"/>
        <v>180</v>
      </c>
      <c r="AE94" s="236" t="str">
        <f t="shared" si="49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94" s="235" t="str">
        <f t="shared" si="50"/>
        <v>"C:\Program Files (x86)\AstroGrep\AstroGrep.exe" /e /r /s /spath="%USERPROFILE%\AppData\Local\Temp\OnboardLogs" /stypes="app*4049*20171126*" /stext=" 22:.+((SYSTEM_STATE.+slice.+state.+changed )|(ment ac)|(multiple cpu faults)|(system.+state.+changed )|(\[timeout)|(PRM\|1\|D)|(kpr)|(kdp)|(train st.+moving)|(\|lc)|(penalty))"</v>
      </c>
      <c r="AG94" s="245" t="str">
        <f t="shared" si="51"/>
        <v>EC</v>
      </c>
      <c r="AH94" s="237" t="str">
        <f t="shared" si="52"/>
        <v>"%USERPROFILE%\Documents\GitHub\eaglep3\Utilities\RefineRTDCRunTimes.py" --tripid 180-26 --locoid 4049 --swversion DE.1.0.9.0 --startMP 204:232943 --initTime 2017-11-26T14:13:34 --startdatetime 2017-11-26T14:27:15 --delay 59 --endMP 204:236 --enddatetime 2017-11-26T15:04:21 --enforcementcount 0 &gt;&gt;%USERPROFILE%\Documents\GitHub\eaglep3-reporting\EC\2017-11-26-refined-times.txt</v>
      </c>
      <c r="AI94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{"issue":{"subject":"","project_id":79,"tracker_id":40,"status_id":1,"priority_id":2,"assigned_to_id":338,"start_date":"2017-11-26","description":"","custom_fields":[{"id":1,"name":"Subdivision","value":"EC"},{"id":4,"name":"Milepost","value":"0.0236"},{"id":17,"name":"Train ID","value":"180-26"},{"id":16,"name":"Locomotive ID","value":"4049"},{"id":130,"name":"Impact","value":""},{"id":150,"name":"Time of Event (Mountain Time)","value":"15:04:21"},{"id":151,"name":"Denver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54"/>
        <v>start /low /b %USERPROFILE%\Documents\GitHub\eaglep3\Utilities\DownloadLogsFromS3.py --loco 4049 --day 2017-11-26</v>
      </c>
      <c r="AN94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56"/>
        <v>https://d0f6bd738d7f1b3e5a7ca70fe4ff75f0.us-east-1.aws.found.io/app/kibana#/discover/Steve-Slow-Train-Analysis-(2080s-and-2083s)?_g=(refreshInterval:(display:Off,pause:!f,section:0,value:0),time:(from:'2017-11-26T13:13:34-0700',mode:absolute,to:'2017-11-26T16:04:21-0700'))&amp;_a=(columns:!('Message%20ID',Summary),filters:!(),index:'emp_*',interval:auto,query:(query_string:(analyze_wildcard:!t,query:'%22rtdc.l.rtdc.4049%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795</v>
      </c>
      <c r="B95" s="226">
        <v>4042</v>
      </c>
      <c r="C95" s="228" t="s">
        <v>192</v>
      </c>
      <c r="D95" s="228" t="s">
        <v>606</v>
      </c>
      <c r="E95" s="227">
        <v>43065.568877314814</v>
      </c>
      <c r="F95" s="227">
        <v>43065.573148148149</v>
      </c>
      <c r="G95" s="226">
        <v>72</v>
      </c>
      <c r="H95" s="228" t="s">
        <v>517</v>
      </c>
      <c r="I95" s="227">
        <v>43065.598726851851</v>
      </c>
      <c r="J95" s="226">
        <v>0</v>
      </c>
      <c r="K95" s="238" t="str">
        <f t="shared" si="38"/>
        <v>4041/4042</v>
      </c>
      <c r="L95" s="246" t="str">
        <f>VLOOKUP(A95,'Trips&amp;Operators'!$C$1:$G$99911,5,FALSE)</f>
        <v>BADERTSCHER DIANE</v>
      </c>
      <c r="M95" s="225">
        <f t="shared" si="39"/>
        <v>2.5578703702194616E-2</v>
      </c>
      <c r="N95" s="226">
        <f t="shared" si="40"/>
        <v>36.833333331160247</v>
      </c>
      <c r="O95" s="226"/>
      <c r="P95" s="226"/>
      <c r="Q95" s="229"/>
      <c r="R95" s="243"/>
      <c r="S95" s="250">
        <f t="shared" si="41"/>
        <v>1</v>
      </c>
      <c r="T95" s="243" t="str">
        <f t="shared" si="42"/>
        <v>NorthBound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43"/>
        <v>https://d0f6bd738d7f1b3e5a7ca70fe4ff75f0.us-east-1.aws.found.io/app/kibana#/discover/Steve-Slow-Train-Analysis-(2080s-and-2083s)?_g=(refreshInterval:(display:Off,pause:!f,section:0,value:0),time:(from:'2017-11-26T12:39:11-0700',mode:absolute,to:'2017-11-26T15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248" t="str">
        <f>IF(AA95&lt;VLOOKUP(AG95,Variables!$AC$3:$AD$8,2,FALSE),"Y","N")</f>
        <v>N</v>
      </c>
      <c r="X95" s="248">
        <f t="shared" si="44"/>
        <v>1</v>
      </c>
      <c r="Y95" s="248">
        <f t="shared" si="45"/>
        <v>5.4199999999999998E-2</v>
      </c>
      <c r="Z95" s="248">
        <f t="shared" si="46"/>
        <v>23.3247</v>
      </c>
      <c r="AA95" s="248">
        <f t="shared" si="47"/>
        <v>23.270499999999998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48"/>
        <v>181</v>
      </c>
      <c r="AE95" s="236" t="str">
        <f t="shared" si="49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95" s="235" t="str">
        <f t="shared" si="50"/>
        <v>"C:\Program Files (x86)\AstroGrep\AstroGrep.exe" /e /r /s /spath="%USERPROFILE%\AppData\Local\Temp\OnboardLogs" /stypes="app*4042*20171126*" /stext=" 21:.+((SYSTEM_STATE.+slice.+state.+changed )|(ment ac)|(multiple cpu faults)|(system.+state.+changed )|(\[timeout)|(PRM\|1\|D)|(kpr)|(kdp)|(train st.+moving)|(\|lc)|(penalty))"</v>
      </c>
      <c r="AG95" s="245" t="str">
        <f t="shared" si="51"/>
        <v>EC</v>
      </c>
      <c r="AH95" s="237" t="str">
        <f t="shared" si="52"/>
        <v>"%USERPROFILE%\Documents\GitHub\eaglep3\Utilities\RefineRTDCRunTimes.py" --tripid 181-26 --locoid 4042 --swversion DE.1.0.9.0 --startMP 204:542 --initTime 2017-11-26T13:39:11 --startdatetime 2017-11-26T13:45:20 --delay 72 --endMP 204:233247 --enddatetime 2017-11-26T14:22:10 --enforcementcount 0 &gt;&gt;%USERPROFILE%\Documents\GitHub\eaglep3-reporting\EC\2017-11-26-refined-times.txt</v>
      </c>
      <c r="AI95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{"issue":{"subject":"","project_id":79,"tracker_id":40,"status_id":1,"priority_id":2,"assigned_to_id":338,"start_date":"2017-11-26","description":"","custom_fields":[{"id":1,"name":"Subdivision","value":"EC"},{"id":4,"name":"Milepost","value":"23.3247"},{"id":17,"name":"Train ID","value":"181-26"},{"id":16,"name":"Locomotive ID","value":"4042"},{"id":130,"name":"Impact","value":""},{"id":150,"name":"Time of Event (Mountain Time)","value":"14:22:10"},{"id":151,"name":"Denver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54"/>
        <v>start /low /b %USERPROFILE%\Documents\GitHub\eaglep3\Utilities\DownloadLogsFromS3.py --loco 4042 --day 2017-11-26</v>
      </c>
      <c r="AN95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56"/>
        <v>https://d0f6bd738d7f1b3e5a7ca70fe4ff75f0.us-east-1.aws.found.io/app/kibana#/discover/Steve-Slow-Train-Analysis-(2080s-and-2083s)?_g=(refreshInterval:(display:Off,pause:!f,section:0,value:0),time:(from:'2017-11-26T12:39:11-0700',mode:absolute,to:'2017-11-26T15:22:10-0700'))&amp;_a=(columns:!('Message%20ID',Summary),filters:!(),index:'emp_*',interval:auto,query:(query_string:(analyze_wildcard:!t,query:'%22rtdc.l.rtdc.4042%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805</v>
      </c>
      <c r="B96" s="226">
        <v>4041</v>
      </c>
      <c r="C96" s="228" t="s">
        <v>192</v>
      </c>
      <c r="D96" s="228" t="s">
        <v>550</v>
      </c>
      <c r="E96" s="227">
        <v>43065.605995370373</v>
      </c>
      <c r="F96" s="227">
        <v>43065.612673611111</v>
      </c>
      <c r="G96" s="226">
        <v>103</v>
      </c>
      <c r="H96" s="228" t="s">
        <v>622</v>
      </c>
      <c r="I96" s="227">
        <v>43065.639884259261</v>
      </c>
      <c r="J96" s="226">
        <v>0</v>
      </c>
      <c r="K96" s="238" t="str">
        <f t="shared" si="38"/>
        <v>4041/4042</v>
      </c>
      <c r="L96" s="246" t="str">
        <f>VLOOKUP(A96,'Trips&amp;Operators'!$C$1:$G$99911,5,FALSE)</f>
        <v>BADERTSCHER DIANE</v>
      </c>
      <c r="M96" s="225">
        <f t="shared" si="39"/>
        <v>2.7210648149775807E-2</v>
      </c>
      <c r="N96" s="226">
        <f t="shared" si="40"/>
        <v>39.183333335677162</v>
      </c>
      <c r="O96" s="226"/>
      <c r="P96" s="226"/>
      <c r="Q96" s="229"/>
      <c r="R96" s="243"/>
      <c r="S96" s="250">
        <f t="shared" si="41"/>
        <v>1</v>
      </c>
      <c r="T96" s="243" t="str">
        <f t="shared" si="42"/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43"/>
        <v>https://d0f6bd738d7f1b3e5a7ca70fe4ff75f0.us-east-1.aws.found.io/app/kibana#/discover/Steve-Slow-Train-Analysis-(2080s-and-2083s)?_g=(refreshInterval:(display:Off,pause:!f,section:0,value:0),time:(from:'2017-11-26T13:32:38-0700',mode:absolute,to:'2017-11-26T16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248" t="str">
        <f>IF(AA96&lt;VLOOKUP(AG96,Variables!$AC$3:$AD$8,2,FALSE),"Y","N")</f>
        <v>N</v>
      </c>
      <c r="X96" s="248">
        <f t="shared" si="44"/>
        <v>1</v>
      </c>
      <c r="Y96" s="248">
        <f t="shared" si="45"/>
        <v>23.2913</v>
      </c>
      <c r="Z96" s="248">
        <f t="shared" si="46"/>
        <v>2.01E-2</v>
      </c>
      <c r="AA96" s="248">
        <f t="shared" si="47"/>
        <v>23.2712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48"/>
        <v>182</v>
      </c>
      <c r="AE96" s="236" t="str">
        <f t="shared" si="49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96" s="235" t="str">
        <f t="shared" si="50"/>
        <v>"C:\Program Files (x86)\AstroGrep\AstroGrep.exe" /e /r /s /spath="%USERPROFILE%\AppData\Local\Temp\OnboardLogs" /stypes="app*4041*20171126*" /stext=" 22:.+((SYSTEM_STATE.+slice.+state.+changed )|(ment ac)|(multiple cpu faults)|(system.+state.+changed )|(\[timeout)|(PRM\|1\|D)|(kpr)|(kdp)|(train st.+moving)|(\|lc)|(penalty))"</v>
      </c>
      <c r="AG96" s="245" t="str">
        <f t="shared" si="51"/>
        <v>EC</v>
      </c>
      <c r="AH96" s="237" t="str">
        <f t="shared" si="52"/>
        <v>"%USERPROFILE%\Documents\GitHub\eaglep3\Utilities\RefineRTDCRunTimes.py" --tripid 182-26 --locoid 4041 --swversion DE.1.0.9.0 --startMP 204:232913 --initTime 2017-11-26T14:32:38 --startdatetime 2017-11-26T14:42:15 --delay 103 --endMP 204:201 --enddatetime 2017-11-26T15:21:26 --enforcementcount 0 &gt;&gt;%USERPROFILE%\Documents\GitHub\eaglep3-reporting\EC\2017-11-26-refined-times.txt</v>
      </c>
      <c r="AI96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{"issue":{"subject":"","project_id":79,"tracker_id":40,"status_id":1,"priority_id":2,"assigned_to_id":338,"start_date":"2017-11-26","description":"","custom_fields":[{"id":1,"name":"Subdivision","value":"EC"},{"id":4,"name":"Milepost","value":"0.0201"},{"id":17,"name":"Train ID","value":"182-26"},{"id":16,"name":"Locomotive ID","value":"4041"},{"id":130,"name":"Impact","value":""},{"id":150,"name":"Time of Event (Mountain Time)","value":"15:21:26"},{"id":151,"name":"Denver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54"/>
        <v>start /low /b %USERPROFILE%\Documents\GitHub\eaglep3\Utilities\DownloadLogsFromS3.py --loco 4041 --day 2017-11-26</v>
      </c>
      <c r="AN96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56"/>
        <v>https://d0f6bd738d7f1b3e5a7ca70fe4ff75f0.us-east-1.aws.found.io/app/kibana#/discover/Steve-Slow-Train-Analysis-(2080s-and-2083s)?_g=(refreshInterval:(display:Off,pause:!f,section:0,value:0),time:(from:'2017-11-26T13:32:38-0700',mode:absolute,to:'2017-11-26T16:21:26-0700'))&amp;_a=(columns:!('Message%20ID',Summary),filters:!(),index:'emp_*',interval:auto,query:(query_string:(analyze_wildcard:!t,query:'%22rtdc.l.rtdc.4041%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796</v>
      </c>
      <c r="B97" s="226">
        <v>4006</v>
      </c>
      <c r="C97" s="228" t="s">
        <v>192</v>
      </c>
      <c r="D97" s="228" t="s">
        <v>642</v>
      </c>
      <c r="E97" s="227">
        <v>43065.577685185184</v>
      </c>
      <c r="F97" s="227">
        <v>43065.583495370367</v>
      </c>
      <c r="G97" s="226">
        <v>59</v>
      </c>
      <c r="H97" s="228" t="s">
        <v>988</v>
      </c>
      <c r="I97" s="227">
        <v>43065.608159722222</v>
      </c>
      <c r="J97" s="226">
        <v>0</v>
      </c>
      <c r="K97" s="238" t="str">
        <f t="shared" si="38"/>
        <v>4005/4006</v>
      </c>
      <c r="L97" s="246" t="str">
        <f>VLOOKUP(A97,'Trips&amp;Operators'!$C$1:$G$99911,5,FALSE)</f>
        <v>GONZALEZ ARMANDO</v>
      </c>
      <c r="M97" s="225">
        <f t="shared" si="39"/>
        <v>2.4664351854880806E-2</v>
      </c>
      <c r="N97" s="226">
        <f t="shared" si="40"/>
        <v>35.516666671028361</v>
      </c>
      <c r="O97" s="226"/>
      <c r="P97" s="226"/>
      <c r="Q97" s="229"/>
      <c r="R97" s="243"/>
      <c r="S97" s="250">
        <f t="shared" si="41"/>
        <v>1</v>
      </c>
      <c r="T97" s="243" t="str">
        <f t="shared" si="42"/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43"/>
        <v>https://d0f6bd738d7f1b3e5a7ca70fe4ff75f0.us-east-1.aws.found.io/app/kibana#/discover/Steve-Slow-Train-Analysis-(2080s-and-2083s)?_g=(refreshInterval:(display:Off,pause:!f,section:0,value:0),time:(from:'2017-11-26T12:51:52-0700',mode:absolute,to:'2017-11-26T15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248" t="str">
        <f>IF(AA97&lt;VLOOKUP(AG97,Variables!$AC$3:$AD$8,2,FALSE),"Y","N")</f>
        <v>N</v>
      </c>
      <c r="X97" s="248">
        <f t="shared" si="44"/>
        <v>1</v>
      </c>
      <c r="Y97" s="248">
        <f t="shared" si="45"/>
        <v>4.53E-2</v>
      </c>
      <c r="Z97" s="248">
        <f t="shared" si="46"/>
        <v>23.328099999999999</v>
      </c>
      <c r="AA97" s="248">
        <f t="shared" si="47"/>
        <v>23.282799999999998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48"/>
        <v>183</v>
      </c>
      <c r="AE97" s="236" t="str">
        <f t="shared" si="49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97" s="235" t="str">
        <f t="shared" si="50"/>
        <v>"C:\Program Files (x86)\AstroGrep\AstroGrep.exe" /e /r /s /spath="%USERPROFILE%\AppData\Local\Temp\OnboardLogs" /stypes="app*4006*20171126*" /stext=" 21:.+((SYSTEM_STATE.+slice.+state.+changed )|(ment ac)|(multiple cpu faults)|(system.+state.+changed )|(\[timeout)|(PRM\|1\|D)|(kpr)|(kdp)|(train st.+moving)|(\|lc)|(penalty))"</v>
      </c>
      <c r="AG97" s="245" t="str">
        <f t="shared" si="51"/>
        <v>EC</v>
      </c>
      <c r="AH97" s="237" t="str">
        <f t="shared" si="52"/>
        <v>"%USERPROFILE%\Documents\GitHub\eaglep3\Utilities\RefineRTDCRunTimes.py" --tripid 183-26 --locoid 4006 --swversion DE.1.0.9.0 --startMP 204:453 --initTime 2017-11-26T13:51:52 --startdatetime 2017-11-26T14:00:14 --delay 59 --endMP 204:233281 --enddatetime 2017-11-26T14:35:45 --enforcementcount 0 &gt;&gt;%USERPROFILE%\Documents\GitHub\eaglep3-reporting\EC\2017-11-26-refined-times.txt</v>
      </c>
      <c r="AI97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{"issue":{"subject":"","project_id":79,"tracker_id":40,"status_id":1,"priority_id":2,"assigned_to_id":338,"start_date":"2017-11-26","description":"","custom_fields":[{"id":1,"name":"Subdivision","value":"EC"},{"id":4,"name":"Milepost","value":"23.3281"},{"id":17,"name":"Train ID","value":"183-26"},{"id":16,"name":"Locomotive ID","value":"4006"},{"id":130,"name":"Impact","value":""},{"id":150,"name":"Time of Event (Mountain Time)","value":"14:35:45"},{"id":151,"name":"Denver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54"/>
        <v>start /low /b %USERPROFILE%\Documents\GitHub\eaglep3\Utilities\DownloadLogsFromS3.py --loco 4006 --day 2017-11-26</v>
      </c>
      <c r="AN97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56"/>
        <v>https://d0f6bd738d7f1b3e5a7ca70fe4ff75f0.us-east-1.aws.found.io/app/kibana#/discover/Steve-Slow-Train-Analysis-(2080s-and-2083s)?_g=(refreshInterval:(display:Off,pause:!f,section:0,value:0),time:(from:'2017-11-26T12:51:52-0700',mode:absolute,to:'2017-11-26T15:35:45-0700'))&amp;_a=(columns:!('Message%20ID',Summary),filters:!(),index:'emp_*',interval:auto,query:(query_string:(analyze_wildcard:!t,query:'%22rtdc.l.rtdc.4006%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808</v>
      </c>
      <c r="B98" s="226">
        <v>4005</v>
      </c>
      <c r="C98" s="228" t="s">
        <v>192</v>
      </c>
      <c r="D98" s="228" t="s">
        <v>635</v>
      </c>
      <c r="E98" s="227">
        <v>43065.618530092594</v>
      </c>
      <c r="F98" s="227">
        <v>43065.623101851852</v>
      </c>
      <c r="G98" s="226">
        <v>58</v>
      </c>
      <c r="H98" s="228" t="s">
        <v>511</v>
      </c>
      <c r="I98" s="227">
        <v>43065.649224537039</v>
      </c>
      <c r="J98" s="226">
        <v>0</v>
      </c>
      <c r="K98" s="238" t="str">
        <f t="shared" si="38"/>
        <v>4005/4006</v>
      </c>
      <c r="L98" s="246" t="str">
        <f>VLOOKUP(A98,'Trips&amp;Operators'!$C$1:$G$99911,5,FALSE)</f>
        <v>GONZALEZ ARMANDO</v>
      </c>
      <c r="M98" s="225">
        <f t="shared" si="39"/>
        <v>2.6122685187146999E-2</v>
      </c>
      <c r="N98" s="226">
        <f t="shared" si="40"/>
        <v>37.616666669491678</v>
      </c>
      <c r="O98" s="226"/>
      <c r="P98" s="226"/>
      <c r="Q98" s="229"/>
      <c r="R98" s="243"/>
      <c r="S98" s="250">
        <f t="shared" si="41"/>
        <v>1</v>
      </c>
      <c r="T98" s="243" t="str">
        <f t="shared" si="42"/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43"/>
        <v>https://d0f6bd738d7f1b3e5a7ca70fe4ff75f0.us-east-1.aws.found.io/app/kibana#/discover/Steve-Slow-Train-Analysis-(2080s-and-2083s)?_g=(refreshInterval:(display:Off,pause:!f,section:0,value:0),time:(from:'2017-11-26T13:50:41-0700',mode:absolute,to:'2017-11-26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248" t="str">
        <f>IF(AA98&lt;VLOOKUP(AG98,Variables!$AC$3:$AD$8,2,FALSE),"Y","N")</f>
        <v>N</v>
      </c>
      <c r="X98" s="248">
        <f t="shared" si="44"/>
        <v>1</v>
      </c>
      <c r="Y98" s="248">
        <f t="shared" si="45"/>
        <v>23.296600000000002</v>
      </c>
      <c r="Z98" s="248">
        <f t="shared" si="46"/>
        <v>1.54E-2</v>
      </c>
      <c r="AA98" s="248">
        <f t="shared" si="47"/>
        <v>23.281200000000002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48"/>
        <v>184</v>
      </c>
      <c r="AE98" s="236" t="str">
        <f t="shared" si="49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98" s="235" t="str">
        <f t="shared" si="50"/>
        <v>"C:\Program Files (x86)\AstroGrep\AstroGrep.exe" /e /r /s /spath="%USERPROFILE%\AppData\Local\Temp\OnboardLogs" /stypes="app*4005*20171126*" /stext=" 22:.+((SYSTEM_STATE.+slice.+state.+changed )|(ment ac)|(multiple cpu faults)|(system.+state.+changed )|(\[timeout)|(PRM\|1\|D)|(kpr)|(kdp)|(train st.+moving)|(\|lc)|(penalty))"</v>
      </c>
      <c r="AG98" s="245" t="str">
        <f t="shared" si="51"/>
        <v>EC</v>
      </c>
      <c r="AH98" s="237" t="str">
        <f t="shared" si="52"/>
        <v>"%USERPROFILE%\Documents\GitHub\eaglep3\Utilities\RefineRTDCRunTimes.py" --tripid 184-26 --locoid 4005 --swversion DE.1.0.9.0 --startMP 204:232966 --initTime 2017-11-26T14:50:41 --startdatetime 2017-11-26T14:57:16 --delay 58 --endMP 204:154 --enddatetime 2017-11-26T15:34:53 --enforcementcount 0 &gt;&gt;%USERPROFILE%\Documents\GitHub\eaglep3-reporting\EC\2017-11-26-refined-times.txt</v>
      </c>
      <c r="AI9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{"issue":{"subject":"","project_id":79,"tracker_id":40,"status_id":1,"priority_id":2,"assigned_to_id":338,"start_date":"2017-11-26","description":"","custom_fields":[{"id":1,"name":"Subdivision","value":"EC"},{"id":4,"name":"Milepost","value":"0.0154"},{"id":17,"name":"Train ID","value":"184-26"},{"id":16,"name":"Locomotive ID","value":"4005"},{"id":130,"name":"Impact","value":""},{"id":150,"name":"Time of Event (Mountain Time)","value":"15:34:53"},{"id":151,"name":"Denver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54"/>
        <v>start /low /b %USERPROFILE%\Documents\GitHub\eaglep3\Utilities\DownloadLogsFromS3.py --loco 4005 --day 2017-11-26</v>
      </c>
      <c r="AN98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56"/>
        <v>https://d0f6bd738d7f1b3e5a7ca70fe4ff75f0.us-east-1.aws.found.io/app/kibana#/discover/Steve-Slow-Train-Analysis-(2080s-and-2083s)?_g=(refreshInterval:(display:Off,pause:!f,section:0,value:0),time:(from:'2017-11-26T13:50:41-0700',mode:absolute,to:'2017-11-26T16:34:53-0700'))&amp;_a=(columns:!('Message%20ID',Summary),filters:!(),index:'emp_*',interval:auto,query:(query_string:(analyze_wildcard:!t,query:'%22rtdc.l.rtdc.4005%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802</v>
      </c>
      <c r="B99" s="226">
        <v>4016</v>
      </c>
      <c r="C99" s="228" t="s">
        <v>192</v>
      </c>
      <c r="D99" s="228" t="s">
        <v>483</v>
      </c>
      <c r="E99" s="227">
        <v>43065.589525462965</v>
      </c>
      <c r="F99" s="227">
        <v>43065.593958333331</v>
      </c>
      <c r="G99" s="226">
        <v>53</v>
      </c>
      <c r="H99" s="228" t="s">
        <v>619</v>
      </c>
      <c r="I99" s="227">
        <v>43065.619166666664</v>
      </c>
      <c r="J99" s="226">
        <v>0</v>
      </c>
      <c r="K99" s="238" t="str">
        <f t="shared" si="38"/>
        <v>4015/4016</v>
      </c>
      <c r="L99" s="246" t="str">
        <f>VLOOKUP(A99,'Trips&amp;Operators'!$C$1:$G$99911,5,FALSE)</f>
        <v>STEWART MICHAEL</v>
      </c>
      <c r="M99" s="225">
        <f t="shared" si="39"/>
        <v>2.5208333332557231E-2</v>
      </c>
      <c r="N99" s="226">
        <f t="shared" si="40"/>
        <v>36.299999998882413</v>
      </c>
      <c r="O99" s="226"/>
      <c r="P99" s="226"/>
      <c r="Q99" s="229"/>
      <c r="R99" s="243"/>
      <c r="S99" s="250">
        <f t="shared" si="41"/>
        <v>1</v>
      </c>
      <c r="T99" s="243" t="str">
        <f t="shared" si="42"/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43"/>
        <v>https://d0f6bd738d7f1b3e5a7ca70fe4ff75f0.us-east-1.aws.found.io/app/kibana#/discover/Steve-Slow-Train-Analysis-(2080s-and-2083s)?_g=(refreshInterval:(display:Off,pause:!f,section:0,value:0),time:(from:'2017-11-26T13:08:55-0700',mode:absolute,to:'2017-11-26T15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248" t="str">
        <f>IF(AA99&lt;VLOOKUP(AG99,Variables!$AC$3:$AD$8,2,FALSE),"Y","N")</f>
        <v>N</v>
      </c>
      <c r="X99" s="248">
        <f t="shared" si="44"/>
        <v>1</v>
      </c>
      <c r="Y99" s="248">
        <f t="shared" si="45"/>
        <v>5.0200000000000002E-2</v>
      </c>
      <c r="Z99" s="248">
        <f t="shared" si="46"/>
        <v>23.3278</v>
      </c>
      <c r="AA99" s="248">
        <f t="shared" si="47"/>
        <v>23.2776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48"/>
        <v>185</v>
      </c>
      <c r="AE99" s="236" t="str">
        <f t="shared" si="49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99" s="235" t="str">
        <f t="shared" si="50"/>
        <v>"C:\Program Files (x86)\AstroGrep\AstroGrep.exe" /e /r /s /spath="%USERPROFILE%\AppData\Local\Temp\OnboardLogs" /stypes="app*4016*20171126*" /stext=" 21:.+((SYSTEM_STATE.+slice.+state.+changed )|(ment ac)|(multiple cpu faults)|(system.+state.+changed )|(\[timeout)|(PRM\|1\|D)|(kpr)|(kdp)|(train st.+moving)|(\|lc)|(penalty))"</v>
      </c>
      <c r="AG99" s="245" t="str">
        <f t="shared" si="51"/>
        <v>EC</v>
      </c>
      <c r="AH99" s="237" t="str">
        <f t="shared" si="52"/>
        <v>"%USERPROFILE%\Documents\GitHub\eaglep3\Utilities\RefineRTDCRunTimes.py" --tripid 185-26 --locoid 4016 --swversion DE.1.0.9.0 --startMP 204:502 --initTime 2017-11-26T14:08:55 --startdatetime 2017-11-26T14:15:18 --delay 53 --endMP 204:233278 --enddatetime 2017-11-26T14:51:36 --enforcementcount 0 &gt;&gt;%USERPROFILE%\Documents\GitHub\eaglep3-reporting\EC\2017-11-26-refined-times.txt</v>
      </c>
      <c r="AI9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{"issue":{"subject":"","project_id":79,"tracker_id":40,"status_id":1,"priority_id":2,"assigned_to_id":338,"start_date":"2017-11-26","description":"","custom_fields":[{"id":1,"name":"Subdivision","value":"EC"},{"id":4,"name":"Milepost","value":"23.3278"},{"id":17,"name":"Train ID","value":"185-26"},{"id":16,"name":"Locomotive ID","value":"4016"},{"id":130,"name":"Impact","value":""},{"id":150,"name":"Time of Event (Mountain Time)","value":"14:51:36"},{"id":151,"name":"Denver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54"/>
        <v>start /low /b %USERPROFILE%\Documents\GitHub\eaglep3\Utilities\DownloadLogsFromS3.py --loco 4016 --day 2017-11-26</v>
      </c>
      <c r="AN99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56"/>
        <v>https://d0f6bd738d7f1b3e5a7ca70fe4ff75f0.us-east-1.aws.found.io/app/kibana#/discover/Steve-Slow-Train-Analysis-(2080s-and-2083s)?_g=(refreshInterval:(display:Off,pause:!f,section:0,value:0),time:(from:'2017-11-26T13:08:55-0700',mode:absolute,to:'2017-11-26T15:51:36-0700'))&amp;_a=(columns:!('Message%20ID',Summary),filters:!(),index:'emp_*',interval:auto,query:(query_string:(analyze_wildcard:!t,query:'%22rtdc.l.rtdc.4016%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666</v>
      </c>
      <c r="B100" s="226">
        <v>4015</v>
      </c>
      <c r="C100" s="228" t="s">
        <v>192</v>
      </c>
      <c r="D100" s="228" t="s">
        <v>534</v>
      </c>
      <c r="E100" s="227">
        <v>43065.628831018519</v>
      </c>
      <c r="F100" s="227">
        <v>43065.633587962962</v>
      </c>
      <c r="G100" s="226">
        <v>61</v>
      </c>
      <c r="H100" s="228" t="s">
        <v>515</v>
      </c>
      <c r="I100" s="227">
        <v>43065.660983796297</v>
      </c>
      <c r="J100" s="226">
        <v>0</v>
      </c>
      <c r="K100" s="238" t="str">
        <f t="shared" si="38"/>
        <v>4015/4016</v>
      </c>
      <c r="L100" s="246" t="str">
        <f>VLOOKUP(A100,'Trips&amp;Operators'!$C$1:$G$99911,5,FALSE)</f>
        <v>STEWART MICHAEL</v>
      </c>
      <c r="M100" s="225">
        <f t="shared" si="39"/>
        <v>2.7395833334594499E-2</v>
      </c>
      <c r="N100" s="226">
        <f t="shared" si="40"/>
        <v>39.450000001816079</v>
      </c>
      <c r="O100" s="226"/>
      <c r="P100" s="226"/>
      <c r="Q100" s="229"/>
      <c r="R100" s="243"/>
      <c r="S100" s="250">
        <f t="shared" si="41"/>
        <v>1</v>
      </c>
      <c r="T100" s="243" t="str">
        <f t="shared" si="42"/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43"/>
        <v>https://d0f6bd738d7f1b3e5a7ca70fe4ff75f0.us-east-1.aws.found.io/app/kibana#/discover/Steve-Slow-Train-Analysis-(2080s-and-2083s)?_g=(refreshInterval:(display:Off,pause:!f,section:0,value:0),time:(from:'2017-11-26T14:05:31-0700',mode:absolute,to:'2017-11-26T16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248" t="str">
        <f>IF(AA100&lt;VLOOKUP(AG100,Variables!$AC$3:$AD$8,2,FALSE),"Y","N")</f>
        <v>N</v>
      </c>
      <c r="X100" s="248">
        <f t="shared" si="44"/>
        <v>1</v>
      </c>
      <c r="Y100" s="248">
        <f t="shared" si="45"/>
        <v>23.296099999999999</v>
      </c>
      <c r="Z100" s="248">
        <f t="shared" si="46"/>
        <v>2.1600000000000001E-2</v>
      </c>
      <c r="AA100" s="248">
        <f t="shared" si="47"/>
        <v>23.2745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48"/>
        <v>186</v>
      </c>
      <c r="AE100" s="236" t="str">
        <f t="shared" si="49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00" s="235" t="str">
        <f t="shared" si="50"/>
        <v>"C:\Program Files (x86)\AstroGrep\AstroGrep.exe" /e /r /s /spath="%USERPROFILE%\AppData\Local\Temp\OnboardLogs" /stypes="app*4015*20171126*" /stext=" 22:.+((SYSTEM_STATE.+slice.+state.+changed )|(ment ac)|(multiple cpu faults)|(system.+state.+changed )|(\[timeout)|(PRM\|1\|D)|(kpr)|(kdp)|(train st.+moving)|(\|lc)|(penalty))"</v>
      </c>
      <c r="AG100" s="245" t="str">
        <f t="shared" si="51"/>
        <v>EC</v>
      </c>
      <c r="AH100" s="237" t="str">
        <f t="shared" si="52"/>
        <v>"%USERPROFILE%\Documents\GitHub\eaglep3\Utilities\RefineRTDCRunTimes.py" --tripid 186-26 --locoid 4015 --swversion DE.1.0.9.0 --startMP 204:232961 --initTime 2017-11-26T15:05:31 --startdatetime 2017-11-26T15:12:22 --delay 61 --endMP 204:216 --enddatetime 2017-11-26T15:51:49 --enforcementcount 0 &gt;&gt;%USERPROFILE%\Documents\GitHub\eaglep3-reporting\EC\2017-11-26-refined-times.txt</v>
      </c>
      <c r="AI10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{"issue":{"subject":"","project_id":79,"tracker_id":40,"status_id":1,"priority_id":2,"assigned_to_id":338,"start_date":"2017-11-26","description":"","custom_fields":[{"id":1,"name":"Subdivision","value":"EC"},{"id":4,"name":"Milepost","value":"0.0216"},{"id":17,"name":"Train ID","value":"186-26"},{"id":16,"name":"Locomotive ID","value":"4015"},{"id":130,"name":"Impact","value":""},{"id":150,"name":"Time of Event (Mountain Time)","value":"15:51:49"},{"id":151,"name":"Denver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54"/>
        <v>start /low /b %USERPROFILE%\Documents\GitHub\eaglep3\Utilities\DownloadLogsFromS3.py --loco 4015 --day 2017-11-26</v>
      </c>
      <c r="AN100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56"/>
        <v>https://d0f6bd738d7f1b3e5a7ca70fe4ff75f0.us-east-1.aws.found.io/app/kibana#/discover/Steve-Slow-Train-Analysis-(2080s-and-2083s)?_g=(refreshInterval:(display:Off,pause:!f,section:0,value:0),time:(from:'2017-11-26T14:05:31-0700',mode:absolute,to:'2017-11-26T16:51:49-0700'))&amp;_a=(columns:!('Message%20ID',Summary),filters:!(),index:'emp_*',interval:auto,query:(query_string:(analyze_wildcard:!t,query:'%22rtdc.l.rtdc.4015%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804</v>
      </c>
      <c r="B101" s="226">
        <v>4040</v>
      </c>
      <c r="C101" s="228" t="s">
        <v>192</v>
      </c>
      <c r="D101" s="228" t="s">
        <v>544</v>
      </c>
      <c r="E101" s="227">
        <v>43065.59952546296</v>
      </c>
      <c r="F101" s="227">
        <v>43065.604398148149</v>
      </c>
      <c r="G101" s="226">
        <v>90</v>
      </c>
      <c r="H101" s="228" t="s">
        <v>993</v>
      </c>
      <c r="I101" s="227">
        <v>43065.628969907404</v>
      </c>
      <c r="J101" s="226">
        <v>0</v>
      </c>
      <c r="K101" s="238" t="str">
        <f t="shared" si="38"/>
        <v>4039/4040</v>
      </c>
      <c r="L101" s="246" t="str">
        <f>VLOOKUP(A101,'Trips&amp;Operators'!$C$1:$G$99911,5,FALSE)</f>
        <v>SMITH MICHAEL</v>
      </c>
      <c r="M101" s="225">
        <f t="shared" si="39"/>
        <v>2.4571759255195502E-2</v>
      </c>
      <c r="N101" s="226">
        <f t="shared" si="40"/>
        <v>35.383333327481523</v>
      </c>
      <c r="O101" s="226"/>
      <c r="P101" s="226"/>
      <c r="Q101" s="229"/>
      <c r="R101" s="243"/>
      <c r="S101" s="250">
        <f t="shared" si="41"/>
        <v>1</v>
      </c>
      <c r="T101" s="243" t="str">
        <f t="shared" si="42"/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43"/>
        <v>https://d0f6bd738d7f1b3e5a7ca70fe4ff75f0.us-east-1.aws.found.io/app/kibana#/discover/Steve-Slow-Train-Analysis-(2080s-and-2083s)?_g=(refreshInterval:(display:Off,pause:!f,section:0,value:0),time:(from:'2017-11-26T13:23:19-0700',mode:absolute,to:'2017-11-26T16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248" t="str">
        <f>IF(AA101&lt;VLOOKUP(AG101,Variables!$AC$3:$AD$8,2,FALSE),"Y","N")</f>
        <v>N</v>
      </c>
      <c r="X101" s="248">
        <f t="shared" si="44"/>
        <v>1</v>
      </c>
      <c r="Y101" s="248">
        <f t="shared" si="45"/>
        <v>5.0799999999999998E-2</v>
      </c>
      <c r="Z101" s="248">
        <f t="shared" si="46"/>
        <v>23.328499999999998</v>
      </c>
      <c r="AA101" s="248">
        <f t="shared" si="47"/>
        <v>23.277699999999999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48"/>
        <v>187</v>
      </c>
      <c r="AE101" s="236" t="str">
        <f t="shared" si="49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101" s="235" t="str">
        <f t="shared" si="50"/>
        <v>"C:\Program Files (x86)\AstroGrep\AstroGrep.exe" /e /r /s /spath="%USERPROFILE%\AppData\Local\Temp\OnboardLogs" /stypes="app*4040*20171126*" /stext=" 22:.+((SYSTEM_STATE.+slice.+state.+changed )|(ment ac)|(multiple cpu faults)|(system.+state.+changed )|(\[timeout)|(PRM\|1\|D)|(kpr)|(kdp)|(train st.+moving)|(\|lc)|(penalty))"</v>
      </c>
      <c r="AG101" s="245" t="str">
        <f t="shared" si="51"/>
        <v>EC</v>
      </c>
      <c r="AH101" s="237" t="str">
        <f t="shared" si="52"/>
        <v>"%USERPROFILE%\Documents\GitHub\eaglep3\Utilities\RefineRTDCRunTimes.py" --tripid 187-26 --locoid 4040 --swversion DE.1.0.9.0 --startMP 204:508 --initTime 2017-11-26T14:23:19 --startdatetime 2017-11-26T14:30:20 --delay 90 --endMP 204:233285 --enddatetime 2017-11-26T15:05:43 --enforcementcount 0 &gt;&gt;%USERPROFILE%\Documents\GitHub\eaglep3-reporting\EC\2017-11-26-refined-times.txt</v>
      </c>
      <c r="AI10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{"issue":{"subject":"","project_id":79,"tracker_id":40,"status_id":1,"priority_id":2,"assigned_to_id":338,"start_date":"2017-11-26","description":"","custom_fields":[{"id":1,"name":"Subdivision","value":"EC"},{"id":4,"name":"Milepost","value":"23.3285"},{"id":17,"name":"Train ID","value":"187-26"},{"id":16,"name":"Locomotive ID","value":"4040"},{"id":130,"name":"Impact","value":""},{"id":150,"name":"Time of Event (Mountain Time)","value":"15:05:43"},{"id":151,"name":"Denver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54"/>
        <v>start /low /b %USERPROFILE%\Documents\GitHub\eaglep3\Utilities\DownloadLogsFromS3.py --loco 4040 --day 2017-11-26</v>
      </c>
      <c r="AN101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56"/>
        <v>https://d0f6bd738d7f1b3e5a7ca70fe4ff75f0.us-east-1.aws.found.io/app/kibana#/discover/Steve-Slow-Train-Analysis-(2080s-and-2083s)?_g=(refreshInterval:(display:Off,pause:!f,section:0,value:0),time:(from:'2017-11-26T13:23:19-0700',mode:absolute,to:'2017-11-26T16:05:43-0700'))&amp;_a=(columns:!('Message%20ID',Summary),filters:!(),index:'emp_*',interval:auto,query:(query_string:(analyze_wildcard:!t,query:'%22rtdc.l.rtdc.4040%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811</v>
      </c>
      <c r="B102" s="226">
        <v>4039</v>
      </c>
      <c r="C102" s="228" t="s">
        <v>192</v>
      </c>
      <c r="D102" s="228" t="s">
        <v>490</v>
      </c>
      <c r="E102" s="227">
        <v>43065.637245370373</v>
      </c>
      <c r="F102" s="227">
        <v>43065.644016203703</v>
      </c>
      <c r="G102" s="226">
        <v>62</v>
      </c>
      <c r="H102" s="228" t="s">
        <v>933</v>
      </c>
      <c r="I102" s="227">
        <v>43065.66978009259</v>
      </c>
      <c r="J102" s="226">
        <v>0</v>
      </c>
      <c r="K102" s="238" t="str">
        <f t="shared" si="38"/>
        <v>4039/4040</v>
      </c>
      <c r="L102" s="246" t="str">
        <f>VLOOKUP(A102,'Trips&amp;Operators'!$C$1:$G$99911,5,FALSE)</f>
        <v>SMITH MICHAEL</v>
      </c>
      <c r="M102" s="225">
        <f t="shared" si="39"/>
        <v>2.5763888887013309E-2</v>
      </c>
      <c r="N102" s="226">
        <f t="shared" si="40"/>
        <v>37.099999997299165</v>
      </c>
      <c r="O102" s="226"/>
      <c r="P102" s="226"/>
      <c r="Q102" s="229"/>
      <c r="R102" s="243"/>
      <c r="S102" s="250">
        <f t="shared" si="41"/>
        <v>1</v>
      </c>
      <c r="T102" s="243" t="str">
        <f t="shared" si="42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43"/>
        <v>https://d0f6bd738d7f1b3e5a7ca70fe4ff75f0.us-east-1.aws.found.io/app/kibana#/discover/Steve-Slow-Train-Analysis-(2080s-and-2083s)?_g=(refreshInterval:(display:Off,pause:!f,section:0,value:0),time:(from:'2017-11-26T14:17:38-0700',mode:absolute,to:'2017-11-26T17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248" t="str">
        <f>IF(AA102&lt;VLOOKUP(AG102,Variables!$AC$3:$AD$8,2,FALSE),"Y","N")</f>
        <v>N</v>
      </c>
      <c r="X102" s="248">
        <f t="shared" si="44"/>
        <v>1</v>
      </c>
      <c r="Y102" s="248">
        <f t="shared" si="45"/>
        <v>23.297899999999998</v>
      </c>
      <c r="Z102" s="248">
        <f t="shared" si="46"/>
        <v>1.7999999999999999E-2</v>
      </c>
      <c r="AA102" s="248">
        <f t="shared" si="47"/>
        <v>23.279899999999998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48"/>
        <v>188</v>
      </c>
      <c r="AE102" s="236" t="str">
        <f t="shared" si="49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102" s="235" t="str">
        <f t="shared" si="50"/>
        <v>"C:\Program Files (x86)\AstroGrep\AstroGrep.exe" /e /r /s /spath="%USERPROFILE%\AppData\Local\Temp\OnboardLogs" /stypes="app*4039*20171126*" /stext=" 23:.+((SYSTEM_STATE.+slice.+state.+changed )|(ment ac)|(multiple cpu faults)|(system.+state.+changed )|(\[timeout)|(PRM\|1\|D)|(kpr)|(kdp)|(train st.+moving)|(\|lc)|(penalty))"</v>
      </c>
      <c r="AG102" s="245" t="str">
        <f t="shared" si="51"/>
        <v>EC</v>
      </c>
      <c r="AH102" s="237" t="str">
        <f t="shared" si="52"/>
        <v>"%USERPROFILE%\Documents\GitHub\eaglep3\Utilities\RefineRTDCRunTimes.py" --tripid 188-26 --locoid 4039 --swversion DE.1.0.9.0 --startMP 204:232979 --initTime 2017-11-26T15:17:38 --startdatetime 2017-11-26T15:27:23 --delay 62 --endMP 204:180 --enddatetime 2017-11-26T16:04:29 --enforcementcount 0 &gt;&gt;%USERPROFILE%\Documents\GitHub\eaglep3-reporting\EC\2017-11-26-refined-times.txt</v>
      </c>
      <c r="AI102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{"issue":{"subject":"","project_id":79,"tracker_id":40,"status_id":1,"priority_id":2,"assigned_to_id":338,"start_date":"2017-11-26","description":"","custom_fields":[{"id":1,"name":"Subdivision","value":"EC"},{"id":4,"name":"Milepost","value":"0.018"},{"id":17,"name":"Train ID","value":"188-26"},{"id":16,"name":"Locomotive ID","value":"4039"},{"id":130,"name":"Impact","value":""},{"id":150,"name":"Time of Event (Mountain Time)","value":"16:04:29"},{"id":151,"name":"Denver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54"/>
        <v>start /low /b %USERPROFILE%\Documents\GitHub\eaglep3\Utilities\DownloadLogsFromS3.py --loco 4039 --day 2017-11-26</v>
      </c>
      <c r="AN102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56"/>
        <v>https://d0f6bd738d7f1b3e5a7ca70fe4ff75f0.us-east-1.aws.found.io/app/kibana#/discover/Steve-Slow-Train-Analysis-(2080s-and-2083s)?_g=(refreshInterval:(display:Off,pause:!f,section:0,value:0),time:(from:'2017-11-26T14:17:38-0700',mode:absolute,to:'2017-11-26T17:04:29-0700'))&amp;_a=(columns:!('Message%20ID',Summary),filters:!(),index:'emp_*',interval:auto,query:(query_string:(analyze_wildcard:!t,query:'%22rtdc.l.rtdc.4039%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30" t="s">
        <v>662</v>
      </c>
      <c r="B103" s="226">
        <v>4008</v>
      </c>
      <c r="C103" s="228" t="s">
        <v>192</v>
      </c>
      <c r="D103" s="228" t="s">
        <v>521</v>
      </c>
      <c r="E103" s="227">
        <v>43065.612916666665</v>
      </c>
      <c r="F103" s="227">
        <v>43065.615173611113</v>
      </c>
      <c r="G103" s="226">
        <v>71</v>
      </c>
      <c r="H103" s="228" t="s">
        <v>547</v>
      </c>
      <c r="I103" s="227">
        <v>43065.641944444447</v>
      </c>
      <c r="J103" s="226">
        <v>0</v>
      </c>
      <c r="K103" s="238" t="str">
        <f t="shared" si="38"/>
        <v>4007/4008</v>
      </c>
      <c r="L103" s="246" t="str">
        <f>VLOOKUP(A103,'Trips&amp;Operators'!$C$1:$G$99911,5,FALSE)</f>
        <v>DAVIS MICHAEL</v>
      </c>
      <c r="M103" s="225">
        <f t="shared" si="39"/>
        <v>2.6770833334012423E-2</v>
      </c>
      <c r="N103" s="226">
        <f t="shared" si="40"/>
        <v>38.550000000977889</v>
      </c>
      <c r="O103" s="226"/>
      <c r="P103" s="226"/>
      <c r="Q103" s="229"/>
      <c r="R103" s="243"/>
      <c r="S103" s="250">
        <f t="shared" si="41"/>
        <v>1</v>
      </c>
      <c r="T103" s="243" t="str">
        <f t="shared" si="42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43"/>
        <v>https://d0f6bd738d7f1b3e5a7ca70fe4ff75f0.us-east-1.aws.found.io/app/kibana#/discover/Steve-Slow-Train-Analysis-(2080s-and-2083s)?_g=(refreshInterval:(display:Off,pause:!f,section:0,value:0),time:(from:'2017-11-26T13:42:36-0700',mode:absolute,to:'2017-11-26T16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248" t="str">
        <f>IF(AA103&lt;VLOOKUP(AG103,Variables!$AC$3:$AD$8,2,FALSE),"Y","N")</f>
        <v>N</v>
      </c>
      <c r="X103" s="248">
        <f t="shared" si="44"/>
        <v>1</v>
      </c>
      <c r="Y103" s="248">
        <f t="shared" si="45"/>
        <v>5.3499999999999999E-2</v>
      </c>
      <c r="Z103" s="248">
        <f t="shared" si="46"/>
        <v>23.328199999999999</v>
      </c>
      <c r="AA103" s="248">
        <f t="shared" si="47"/>
        <v>23.274699999999999</v>
      </c>
      <c r="AB103" s="234" t="str">
        <f>VLOOKUP(A103,Enforcements!$C$7:$K$9,8,0)</f>
        <v>Bulletin (2)</v>
      </c>
      <c r="AC103" s="233" t="str">
        <f>VLOOKUP(A103,Enforcements!$C$7:$E$9,3,0)</f>
        <v>GRADE CROSSING</v>
      </c>
      <c r="AD103" s="244">
        <f t="shared" si="48"/>
        <v>189</v>
      </c>
      <c r="AE103" s="236" t="str">
        <f t="shared" si="49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103" s="235" t="str">
        <f t="shared" si="50"/>
        <v>"C:\Program Files (x86)\AstroGrep\AstroGrep.exe" /e /r /s /spath="%USERPROFILE%\AppData\Local\Temp\OnboardLogs" /stypes="app*4008*20171126*" /stext=" 22:.+((SYSTEM_STATE.+slice.+state.+changed )|(ment ac)|(multiple cpu faults)|(system.+state.+changed )|(\[timeout)|(PRM\|1\|D)|(kpr)|(kdp)|(train st.+moving)|(\|lc)|(penalty))"</v>
      </c>
      <c r="AG103" s="245" t="str">
        <f t="shared" si="51"/>
        <v>EC</v>
      </c>
      <c r="AH103" s="237" t="str">
        <f t="shared" si="52"/>
        <v>"%USERPROFILE%\Documents\GitHub\eaglep3\Utilities\RefineRTDCRunTimes.py" --tripid 189-26 --locoid 4008 --swversion DE.1.0.9.0 --startMP 204:535 --initTime 2017-11-26T14:42:36 --startdatetime 2017-11-26T14:45:51 --delay 71 --endMP 204:233282 --enddatetime 2017-11-26T15:24:24 --enforcementcount 0 &gt;&gt;%USERPROFILE%\Documents\GitHub\eaglep3-reporting\EC\2017-11-26-refined-times.txt</v>
      </c>
      <c r="AI103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{"issue":{"subject":"","project_id":79,"tracker_id":40,"status_id":1,"priority_id":2,"assigned_to_id":338,"start_date":"2017-11-26","description":"","custom_fields":[{"id":1,"name":"Subdivision","value":"EC"},{"id":4,"name":"Milepost","value":"23.3282"},{"id":17,"name":"Train ID","value":"189-26"},{"id":16,"name":"Locomotive ID","value":"4008"},{"id":130,"name":"Impact","value":""},{"id":150,"name":"Time of Event (Mountain Time)","value":"15:24:24"},{"id":151,"name":"Denver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54"/>
        <v>start /low /b %USERPROFILE%\Documents\GitHub\eaglep3\Utilities\DownloadLogsFromS3.py --loco 4008 --day 2017-11-26</v>
      </c>
      <c r="AN103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56"/>
        <v>https://d0f6bd738d7f1b3e5a7ca70fe4ff75f0.us-east-1.aws.found.io/app/kibana#/discover/Steve-Slow-Train-Analysis-(2080s-and-2083s)?_g=(refreshInterval:(display:Off,pause:!f,section:0,value:0),time:(from:'2017-11-26T13:42:36-0700',mode:absolute,to:'2017-11-26T16:24:24-0700'))&amp;_a=(columns:!('Message%20ID',Summary),filters:!(),index:'emp_*',interval:auto,query:(query_string:(analyze_wildcard:!t,query:'%22rtdc.l.rtdc.4008%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30" t="s">
        <v>818</v>
      </c>
      <c r="B104" s="226">
        <v>4007</v>
      </c>
      <c r="C104" s="228" t="s">
        <v>192</v>
      </c>
      <c r="D104" s="228" t="s">
        <v>902</v>
      </c>
      <c r="E104" s="227">
        <v>43065.652465277781</v>
      </c>
      <c r="F104" s="227">
        <v>43065.654502314814</v>
      </c>
      <c r="G104" s="226">
        <v>55</v>
      </c>
      <c r="H104" s="228" t="s">
        <v>501</v>
      </c>
      <c r="I104" s="227">
        <v>43065.681979166664</v>
      </c>
      <c r="J104" s="226">
        <v>0</v>
      </c>
      <c r="K104" s="238" t="str">
        <f t="shared" si="38"/>
        <v>4007/4008</v>
      </c>
      <c r="L104" s="246" t="str">
        <f>VLOOKUP(A104,'Trips&amp;Operators'!$C$1:$G$99911,5,FALSE)</f>
        <v>DAVIS MICHAEL</v>
      </c>
      <c r="M104" s="225">
        <f t="shared" si="39"/>
        <v>2.7476851850224193E-2</v>
      </c>
      <c r="N104" s="226">
        <f t="shared" si="40"/>
        <v>39.566666664322838</v>
      </c>
      <c r="O104" s="226"/>
      <c r="P104" s="226"/>
      <c r="Q104" s="229"/>
      <c r="R104" s="243"/>
      <c r="S104" s="250">
        <f t="shared" si="41"/>
        <v>1</v>
      </c>
      <c r="T104" s="243" t="str">
        <f t="shared" si="42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43"/>
        <v>https://d0f6bd738d7f1b3e5a7ca70fe4ff75f0.us-east-1.aws.found.io/app/kibana#/discover/Steve-Slow-Train-Analysis-(2080s-and-2083s)?_g=(refreshInterval:(display:Off,pause:!f,section:0,value:0),time:(from:'2017-11-26T14:39:33-0700',mode:absolute,to:'2017-11-26T17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248" t="str">
        <f>IF(AA104&lt;VLOOKUP(AG104,Variables!$AC$3:$AD$8,2,FALSE),"Y","N")</f>
        <v>N</v>
      </c>
      <c r="X104" s="248">
        <f t="shared" si="44"/>
        <v>1</v>
      </c>
      <c r="Y104" s="248">
        <f t="shared" si="45"/>
        <v>23.296900000000001</v>
      </c>
      <c r="Z104" s="248">
        <f t="shared" si="46"/>
        <v>2.12E-2</v>
      </c>
      <c r="AA104" s="248">
        <f t="shared" si="47"/>
        <v>23.275700000000001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48"/>
        <v>190</v>
      </c>
      <c r="AE104" s="236" t="str">
        <f t="shared" si="49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104" s="235" t="str">
        <f t="shared" si="50"/>
        <v>"C:\Program Files (x86)\AstroGrep\AstroGrep.exe" /e /r /s /spath="%USERPROFILE%\AppData\Local\Temp\OnboardLogs" /stypes="app*4007*20171126*" /stext=" 23:.+((SYSTEM_STATE.+slice.+state.+changed )|(ment ac)|(multiple cpu faults)|(system.+state.+changed )|(\[timeout)|(PRM\|1\|D)|(kpr)|(kdp)|(train st.+moving)|(\|lc)|(penalty))"</v>
      </c>
      <c r="AG104" s="245" t="str">
        <f t="shared" si="51"/>
        <v>EC</v>
      </c>
      <c r="AH104" s="237" t="str">
        <f t="shared" si="52"/>
        <v>"%USERPROFILE%\Documents\GitHub\eaglep3\Utilities\RefineRTDCRunTimes.py" --tripid 190-26 --locoid 4007 --swversion DE.1.0.9.0 --startMP 204:232969 --initTime 2017-11-26T15:39:33 --startdatetime 2017-11-26T15:42:29 --delay 55 --endMP 204:212 --enddatetime 2017-11-26T16:22:03 --enforcementcount 0 &gt;&gt;%USERPROFILE%\Documents\GitHub\eaglep3-reporting\EC\2017-11-26-refined-times.txt</v>
      </c>
      <c r="AI104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{"issue":{"subject":"","project_id":79,"tracker_id":40,"status_id":1,"priority_id":2,"assigned_to_id":338,"start_date":"2017-11-26","description":"","custom_fields":[{"id":1,"name":"Subdivision","value":"EC"},{"id":4,"name":"Milepost","value":"0.0212"},{"id":17,"name":"Train ID","value":"190-26"},{"id":16,"name":"Locomotive ID","value":"4007"},{"id":130,"name":"Impact","value":""},{"id":150,"name":"Time of Event (Mountain Time)","value":"16:22:03"},{"id":151,"name":"Denver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54"/>
        <v>start /low /b %USERPROFILE%\Documents\GitHub\eaglep3\Utilities\DownloadLogsFromS3.py --loco 4007 --day 2017-11-26</v>
      </c>
      <c r="AN104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56"/>
        <v>https://d0f6bd738d7f1b3e5a7ca70fe4ff75f0.us-east-1.aws.found.io/app/kibana#/discover/Steve-Slow-Train-Analysis-(2080s-and-2083s)?_g=(refreshInterval:(display:Off,pause:!f,section:0,value:0),time:(from:'2017-11-26T14:39:33-0700',mode:absolute,to:'2017-11-26T17:22:03-0700'))&amp;_a=(columns:!('Message%20ID',Summary),filters:!(),index:'emp_*',interval:auto,query:(query_string:(analyze_wildcard:!t,query:'%22rtdc.l.rtdc.4007%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30" t="s">
        <v>809</v>
      </c>
      <c r="B105" s="226">
        <v>4060</v>
      </c>
      <c r="C105" s="228" t="s">
        <v>192</v>
      </c>
      <c r="D105" s="228" t="s">
        <v>598</v>
      </c>
      <c r="E105" s="227">
        <v>43065.622384259259</v>
      </c>
      <c r="F105" s="227">
        <v>43065.625648148147</v>
      </c>
      <c r="G105" s="226">
        <v>181</v>
      </c>
      <c r="H105" s="228" t="s">
        <v>540</v>
      </c>
      <c r="I105" s="227">
        <v>43065.649976851855</v>
      </c>
      <c r="J105" s="226">
        <v>0</v>
      </c>
      <c r="K105" s="238" t="str">
        <f t="shared" si="38"/>
        <v>4059/4060</v>
      </c>
      <c r="L105" s="246" t="str">
        <f>VLOOKUP(A105,'Trips&amp;Operators'!$C$1:$G$99911,5,FALSE)</f>
        <v>SAFIEF AEIMEN</v>
      </c>
      <c r="M105" s="225">
        <f t="shared" si="39"/>
        <v>2.4328703708306421E-2</v>
      </c>
      <c r="N105" s="226">
        <f t="shared" si="40"/>
        <v>35.033333339961246</v>
      </c>
      <c r="O105" s="226"/>
      <c r="P105" s="226"/>
      <c r="Q105" s="229"/>
      <c r="R105" s="243"/>
      <c r="S105" s="250">
        <f t="shared" si="41"/>
        <v>1</v>
      </c>
      <c r="T105" s="243" t="str">
        <f t="shared" si="42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43"/>
        <v>https://d0f6bd738d7f1b3e5a7ca70fe4ff75f0.us-east-1.aws.found.io/app/kibana#/discover/Steve-Slow-Train-Analysis-(2080s-and-2083s)?_g=(refreshInterval:(display:Off,pause:!f,section:0,value:0),time:(from:'2017-11-26T13:56:14-0700',mode:absolute,to:'2017-11-26T16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5" s="248" t="str">
        <f>IF(AA105&lt;VLOOKUP(AG105,Variables!$AC$3:$AD$8,2,FALSE),"Y","N")</f>
        <v>N</v>
      </c>
      <c r="X105" s="248">
        <f t="shared" si="44"/>
        <v>1</v>
      </c>
      <c r="Y105" s="248">
        <f t="shared" si="45"/>
        <v>4.6899999999999997E-2</v>
      </c>
      <c r="Z105" s="248">
        <f t="shared" si="46"/>
        <v>23.323599999999999</v>
      </c>
      <c r="AA105" s="248">
        <f t="shared" si="47"/>
        <v>23.276699999999998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48"/>
        <v>191</v>
      </c>
      <c r="AE105" s="236" t="str">
        <f t="shared" si="49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105" s="235" t="str">
        <f t="shared" si="50"/>
        <v>"C:\Program Files (x86)\AstroGrep\AstroGrep.exe" /e /r /s /spath="%USERPROFILE%\AppData\Local\Temp\OnboardLogs" /stypes="app*4060*20171126*" /stext=" 22:.+((SYSTEM_STATE.+slice.+state.+changed )|(ment ac)|(multiple cpu faults)|(system.+state.+changed )|(\[timeout)|(PRM\|1\|D)|(kpr)|(kdp)|(train st.+moving)|(\|lc)|(penalty))"</v>
      </c>
      <c r="AG105" s="245" t="str">
        <f t="shared" si="51"/>
        <v>EC</v>
      </c>
      <c r="AH105" s="237" t="str">
        <f t="shared" si="52"/>
        <v>"%USERPROFILE%\Documents\GitHub\eaglep3\Utilities\RefineRTDCRunTimes.py" --tripid 191-26 --locoid 4060 --swversion DE.1.0.9.0 --startMP 204:469 --initTime 2017-11-26T14:56:14 --startdatetime 2017-11-26T15:00:56 --delay 181 --endMP 204:233236 --enddatetime 2017-11-26T15:35:58 --enforcementcount 0 &gt;&gt;%USERPROFILE%\Documents\GitHub\eaglep3-reporting\EC\2017-11-26-refined-times.txt</v>
      </c>
      <c r="AI105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{"issue":{"subject":"","project_id":79,"tracker_id":40,"status_id":1,"priority_id":2,"assigned_to_id":338,"start_date":"2017-11-26","description":"","custom_fields":[{"id":1,"name":"Subdivision","value":"EC"},{"id":4,"name":"Milepost","value":"23.3236"},{"id":17,"name":"Train ID","value":"191-26"},{"id":16,"name":"Locomotive ID","value":"4060"},{"id":130,"name":"Impact","value":""},{"id":150,"name":"Time of Event (Mountain Time)","value":"15:35:58"},{"id":151,"name":"Denver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54"/>
        <v>start /low /b %USERPROFILE%\Documents\GitHub\eaglep3\Utilities\DownloadLogsFromS3.py --loco 4060 --day 2017-11-26</v>
      </c>
      <c r="AN105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56"/>
        <v>https://d0f6bd738d7f1b3e5a7ca70fe4ff75f0.us-east-1.aws.found.io/app/kibana#/discover/Steve-Slow-Train-Analysis-(2080s-and-2083s)?_g=(refreshInterval:(display:Off,pause:!f,section:0,value:0),time:(from:'2017-11-26T13:56:14-0700',mode:absolute,to:'2017-11-26T16:35:58-0700'))&amp;_a=(columns:!('Message%20ID',Summary),filters:!(),index:'emp_*',interval:auto,query:(query_string:(analyze_wildcard:!t,query:'%22rtdc.l.rtdc.4060%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30" t="s">
        <v>819</v>
      </c>
      <c r="B106" s="226">
        <v>4059</v>
      </c>
      <c r="C106" s="228" t="s">
        <v>192</v>
      </c>
      <c r="D106" s="228" t="s">
        <v>996</v>
      </c>
      <c r="E106" s="227">
        <v>43065.652488425927</v>
      </c>
      <c r="F106" s="227">
        <v>43065.664768518516</v>
      </c>
      <c r="G106" s="226">
        <v>123</v>
      </c>
      <c r="H106" s="228" t="s">
        <v>494</v>
      </c>
      <c r="I106" s="227">
        <v>43065.690370370372</v>
      </c>
      <c r="J106" s="226">
        <v>0</v>
      </c>
      <c r="K106" s="238" t="str">
        <f t="shared" si="38"/>
        <v>4059/4060</v>
      </c>
      <c r="L106" s="246" t="str">
        <f>VLOOKUP(A106,'Trips&amp;Operators'!$C$1:$G$99911,5,FALSE)</f>
        <v>SAFIEF AEIMEN</v>
      </c>
      <c r="M106" s="225">
        <f t="shared" si="39"/>
        <v>2.5601851855753921E-2</v>
      </c>
      <c r="N106" s="226">
        <f t="shared" si="40"/>
        <v>36.866666672285646</v>
      </c>
      <c r="O106" s="226"/>
      <c r="P106" s="226"/>
      <c r="Q106" s="229"/>
      <c r="R106" s="243"/>
      <c r="S106" s="250">
        <f t="shared" si="41"/>
        <v>1</v>
      </c>
      <c r="T106" s="243" t="str">
        <f t="shared" si="42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43"/>
        <v>https://d0f6bd738d7f1b3e5a7ca70fe4ff75f0.us-east-1.aws.found.io/app/kibana#/discover/Steve-Slow-Train-Analysis-(2080s-and-2083s)?_g=(refreshInterval:(display:Off,pause:!f,section:0,value:0),time:(from:'2017-11-26T14:39:35-0700',mode:absolute,to:'2017-11-26T17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6" s="248" t="str">
        <f>IF(AA106&lt;VLOOKUP(AG106,Variables!$AC$3:$AD$8,2,FALSE),"Y","N")</f>
        <v>N</v>
      </c>
      <c r="X106" s="248">
        <f t="shared" si="44"/>
        <v>1</v>
      </c>
      <c r="Y106" s="248">
        <f t="shared" si="45"/>
        <v>23.2928</v>
      </c>
      <c r="Z106" s="248">
        <f t="shared" si="46"/>
        <v>1.9599999999999999E-2</v>
      </c>
      <c r="AA106" s="248">
        <f t="shared" si="47"/>
        <v>23.273199999999999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48"/>
        <v>192</v>
      </c>
      <c r="AE106" s="236" t="str">
        <f t="shared" si="49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106" s="235" t="str">
        <f t="shared" si="50"/>
        <v>"C:\Program Files (x86)\AstroGrep\AstroGrep.exe" /e /r /s /spath="%USERPROFILE%\AppData\Local\Temp\OnboardLogs" /stypes="app*4059*20171126*" /stext=" 23:.+((SYSTEM_STATE.+slice.+state.+changed )|(ment ac)|(multiple cpu faults)|(system.+state.+changed )|(\[timeout)|(PRM\|1\|D)|(kpr)|(kdp)|(train st.+moving)|(\|lc)|(penalty))"</v>
      </c>
      <c r="AG106" s="245" t="str">
        <f t="shared" si="51"/>
        <v>EC</v>
      </c>
      <c r="AH106" s="237" t="str">
        <f t="shared" si="52"/>
        <v>"%USERPROFILE%\Documents\GitHub\eaglep3\Utilities\RefineRTDCRunTimes.py" --tripid 192-26 --locoid 4059 --swversion DE.1.0.9.0 --startMP 204:232928 --initTime 2017-11-26T15:39:35 --startdatetime 2017-11-26T15:57:16 --delay 123 --endMP 204:196 --enddatetime 2017-11-26T16:34:08 --enforcementcount 0 &gt;&gt;%USERPROFILE%\Documents\GitHub\eaglep3-reporting\EC\2017-11-26-refined-times.txt</v>
      </c>
      <c r="AI106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{"issue":{"subject":"","project_id":79,"tracker_id":40,"status_id":1,"priority_id":2,"assigned_to_id":338,"start_date":"2017-11-26","description":"","custom_fields":[{"id":1,"name":"Subdivision","value":"EC"},{"id":4,"name":"Milepost","value":"0.0196"},{"id":17,"name":"Train ID","value":"192-26"},{"id":16,"name":"Locomotive ID","value":"4059"},{"id":130,"name":"Impact","value":""},{"id":150,"name":"Time of Event (Mountain Time)","value":"16:34:08"},{"id":151,"name":"Denver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54"/>
        <v>start /low /b %USERPROFILE%\Documents\GitHub\eaglep3\Utilities\DownloadLogsFromS3.py --loco 4059 --day 2017-11-26</v>
      </c>
      <c r="AN106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56"/>
        <v>https://d0f6bd738d7f1b3e5a7ca70fe4ff75f0.us-east-1.aws.found.io/app/kibana#/discover/Steve-Slow-Train-Analysis-(2080s-and-2083s)?_g=(refreshInterval:(display:Off,pause:!f,section:0,value:0),time:(from:'2017-11-26T14:39:35-0700',mode:absolute,to:'2017-11-26T17:34:08-0700'))&amp;_a=(columns:!('Message%20ID',Summary),filters:!(),index:'emp_*',interval:auto,query:(query_string:(analyze_wildcard:!t,query:'%22rtdc.l.rtdc.4059%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0" t="s">
        <v>810</v>
      </c>
      <c r="B107" s="226">
        <v>4050</v>
      </c>
      <c r="C107" s="228" t="s">
        <v>192</v>
      </c>
      <c r="D107" s="228" t="s">
        <v>476</v>
      </c>
      <c r="E107" s="227">
        <v>43065.63082175926</v>
      </c>
      <c r="F107" s="227">
        <v>43065.63559027778</v>
      </c>
      <c r="G107" s="226">
        <v>51</v>
      </c>
      <c r="H107" s="228" t="s">
        <v>997</v>
      </c>
      <c r="I107" s="227">
        <v>43065.660729166666</v>
      </c>
      <c r="J107" s="226">
        <v>0</v>
      </c>
      <c r="K107" s="238" t="str">
        <f t="shared" si="38"/>
        <v>4049/4050</v>
      </c>
      <c r="L107" s="246" t="str">
        <f>VLOOKUP(A107,'Trips&amp;Operators'!$C$1:$G$99911,5,FALSE)</f>
        <v>GUZMAN DANNY</v>
      </c>
      <c r="M107" s="225">
        <f t="shared" si="39"/>
        <v>2.5138888886431232E-2</v>
      </c>
      <c r="N107" s="226">
        <f t="shared" si="40"/>
        <v>36.199999996460974</v>
      </c>
      <c r="O107" s="226"/>
      <c r="P107" s="226"/>
      <c r="Q107" s="229"/>
      <c r="R107" s="243"/>
      <c r="S107" s="250">
        <f t="shared" si="41"/>
        <v>1</v>
      </c>
      <c r="T107" s="243" t="str">
        <f t="shared" si="42"/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43"/>
        <v>https://d0f6bd738d7f1b3e5a7ca70fe4ff75f0.us-east-1.aws.found.io/app/kibana#/discover/Steve-Slow-Train-Analysis-(2080s-and-2083s)?_g=(refreshInterval:(display:Off,pause:!f,section:0,value:0),time:(from:'2017-11-26T14:08:23-0700',mode:absolute,to:'2017-11-26T16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248" t="str">
        <f>IF(AA107&lt;VLOOKUP(AG107,Variables!$AC$3:$AD$8,2,FALSE),"Y","N")</f>
        <v>N</v>
      </c>
      <c r="X107" s="248">
        <f t="shared" si="44"/>
        <v>1</v>
      </c>
      <c r="Y107" s="248">
        <f t="shared" si="45"/>
        <v>5.2400000000000002E-2</v>
      </c>
      <c r="Z107" s="248">
        <f t="shared" si="46"/>
        <v>23.320900000000002</v>
      </c>
      <c r="AA107" s="248">
        <f t="shared" si="47"/>
        <v>23.268500000000003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48"/>
        <v>193</v>
      </c>
      <c r="AE107" s="236" t="str">
        <f t="shared" si="49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107" s="235" t="str">
        <f t="shared" si="50"/>
        <v>"C:\Program Files (x86)\AstroGrep\AstroGrep.exe" /e /r /s /spath="%USERPROFILE%\AppData\Local\Temp\OnboardLogs" /stypes="app*4050*20171126*" /stext=" 22:.+((SYSTEM_STATE.+slice.+state.+changed )|(ment ac)|(multiple cpu faults)|(system.+state.+changed )|(\[timeout)|(PRM\|1\|D)|(kpr)|(kdp)|(train st.+moving)|(\|lc)|(penalty))"</v>
      </c>
      <c r="AG107" s="245" t="str">
        <f t="shared" si="51"/>
        <v>EC</v>
      </c>
      <c r="AH107" s="237" t="str">
        <f t="shared" si="52"/>
        <v>"%USERPROFILE%\Documents\GitHub\eaglep3\Utilities\RefineRTDCRunTimes.py" --tripid 193-26 --locoid 4050 --swversion DE.1.0.9.0 --startMP 204:524 --initTime 2017-11-26T15:08:23 --startdatetime 2017-11-26T15:15:15 --delay 51 --endMP 204:233209 --enddatetime 2017-11-26T15:51:27 --enforcementcount 0 &gt;&gt;%USERPROFILE%\Documents\GitHub\eaglep3-reporting\EC\2017-11-26-refined-times.txt</v>
      </c>
      <c r="AI107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{"issue":{"subject":"","project_id":79,"tracker_id":40,"status_id":1,"priority_id":2,"assigned_to_id":338,"start_date":"2017-11-26","description":"","custom_fields":[{"id":1,"name":"Subdivision","value":"EC"},{"id":4,"name":"Milepost","value":"23.3209"},{"id":17,"name":"Train ID","value":"193-26"},{"id":16,"name":"Locomotive ID","value":"4050"},{"id":130,"name":"Impact","value":""},{"id":150,"name":"Time of Event (Mountain Time)","value":"15:51:27"},{"id":151,"name":"Denver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54"/>
        <v>start /low /b %USERPROFILE%\Documents\GitHub\eaglep3\Utilities\DownloadLogsFromS3.py --loco 4050 --day 2017-11-26</v>
      </c>
      <c r="AN107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56"/>
        <v>https://d0f6bd738d7f1b3e5a7ca70fe4ff75f0.us-east-1.aws.found.io/app/kibana#/discover/Steve-Slow-Train-Analysis-(2080s-and-2083s)?_g=(refreshInterval:(display:Off,pause:!f,section:0,value:0),time:(from:'2017-11-26T14:08:23-0700',mode:absolute,to:'2017-11-26T16:51:27-0700'))&amp;_a=(columns:!('Message%20ID',Summary),filters:!(),index:'emp_*',interval:auto,query:(query_string:(analyze_wildcard:!t,query:'%22rtdc.l.rtdc.4050%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821</v>
      </c>
      <c r="B108" s="226">
        <v>4049</v>
      </c>
      <c r="C108" s="228" t="s">
        <v>192</v>
      </c>
      <c r="D108" s="228" t="s">
        <v>908</v>
      </c>
      <c r="E108" s="227">
        <v>43065.664930555555</v>
      </c>
      <c r="F108" s="227">
        <v>43065.675185185188</v>
      </c>
      <c r="G108" s="226">
        <v>51</v>
      </c>
      <c r="H108" s="228" t="s">
        <v>638</v>
      </c>
      <c r="I108" s="227">
        <v>43065.701238425929</v>
      </c>
      <c r="J108" s="226">
        <v>0</v>
      </c>
      <c r="K108" s="238" t="str">
        <f t="shared" ref="K108:K142" si="57">IF(ISEVEN(B108),(B108-1)&amp;"/"&amp;B108,B108&amp;"/"&amp;(B108+1))</f>
        <v>4049/4050</v>
      </c>
      <c r="L108" s="246" t="str">
        <f>VLOOKUP(A108,'Trips&amp;Operators'!$C$1:$G$99911,5,FALSE)</f>
        <v>GUZMAN DANNY</v>
      </c>
      <c r="M108" s="225">
        <f t="shared" ref="M108:M142" si="58">I108-F108</f>
        <v>2.6053240741021E-2</v>
      </c>
      <c r="N108" s="226">
        <f t="shared" ref="N108:N142" si="59">24*60*SUM($M108:$M108)</f>
        <v>37.51666666707024</v>
      </c>
      <c r="O108" s="226"/>
      <c r="P108" s="226"/>
      <c r="Q108" s="229"/>
      <c r="R108" s="243"/>
      <c r="S108" s="250">
        <f t="shared" ref="S108:S142" si="60">1/IF(AG108="EC",12,1)*SUM(U108:U108)</f>
        <v>1</v>
      </c>
      <c r="T108" s="243" t="str">
        <f t="shared" ref="T108:T142" si="61">IF(ISEVEN(LEFT(AD108,4)),"Southbound","NorthBound")</f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ref="V108:V142" si="62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-26T14:57:30-0700',mode:absolute,to:'2017-11-26T17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248" t="str">
        <f>IF(AA108&lt;VLOOKUP(AG108,Variables!$AC$3:$AD$8,2,FALSE),"Y","N")</f>
        <v>N</v>
      </c>
      <c r="X108" s="248">
        <f t="shared" ref="X108:X142" si="63">VALUE(LEFT(AD108,4))-VALUE(LEFT(AD107,4))</f>
        <v>1</v>
      </c>
      <c r="Y108" s="248">
        <f t="shared" ref="Y108:Y142" si="64">RIGHT(D108,LEN(D108)-4)/10000</f>
        <v>23.2881</v>
      </c>
      <c r="Z108" s="248">
        <f t="shared" ref="Z108:Z142" si="65">RIGHT(H108,LEN(H108)-4)/10000</f>
        <v>2.3599999999999999E-2</v>
      </c>
      <c r="AA108" s="248">
        <f t="shared" ref="AA108:AA142" si="66">ABS(Z108-Y108)</f>
        <v>23.264500000000002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ref="AD108:AD142" si="67">VALUE(LEFT(A108,LEN(A108)-3))</f>
        <v>194</v>
      </c>
      <c r="AE108" s="236" t="str">
        <f t="shared" ref="AE108:AE142" si="68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108" s="235" t="str">
        <f t="shared" ref="AF108:AF142" si="69"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/stypes="app*4049*20171126*" /stext=" 23:.+((SYSTEM_STATE.+slice.+state.+changed )|(ment ac)|(multiple cpu faults)|(system.+state.+changed )|(\[timeout)|(PRM\|1\|D)|(kpr)|(kdp)|(train st.+moving)|(\|lc)|(penalty))"</v>
      </c>
      <c r="AG108" s="245" t="str">
        <f t="shared" ref="AG108:AG142" si="70">DetSubdiv(A108)</f>
        <v>EC</v>
      </c>
      <c r="AH108" s="237" t="str">
        <f t="shared" si="52"/>
        <v>"%USERPROFILE%\Documents\GitHub\eaglep3\Utilities\RefineRTDCRunTimes.py" --tripid 194-26 --locoid 4049 --swversion DE.1.0.9.0 --startMP 204:232881 --initTime 2017-11-26T15:57:30 --startdatetime 2017-11-26T16:12:16 --delay 51 --endMP 204:236 --enddatetime 2017-11-26T16:49:47 --enforcementcount 0 &gt;&gt;%USERPROFILE%\Documents\GitHub\eaglep3-reporting\EC\2017-11-26-refined-times.txt</v>
      </c>
      <c r="AI10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{"issue":{"subject":"","project_id":79,"tracker_id":40,"status_id":1,"priority_id":2,"assigned_to_id":338,"start_date":"2017-11-26","description":"","custom_fields":[{"id":1,"name":"Subdivision","value":"EC"},{"id":4,"name":"Milepost","value":"0.0236"},{"id":17,"name":"Train ID","value":"194-26"},{"id":16,"name":"Locomotive ID","value":"4049"},{"id":130,"name":"Impact","value":""},{"id":150,"name":"Time of Event (Mountain Time)","value":"16:49:47"},{"id":151,"name":"Denver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54"/>
        <v>start /low /b %USERPROFILE%\Documents\GitHub\eaglep3\Utilities\DownloadLogsFromS3.py --loco 4049 --day 2017-11-26</v>
      </c>
      <c r="AN108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56"/>
        <v>https://d0f6bd738d7f1b3e5a7ca70fe4ff75f0.us-east-1.aws.found.io/app/kibana#/discover/Steve-Slow-Train-Analysis-(2080s-and-2083s)?_g=(refreshInterval:(display:Off,pause:!f,section:0,value:0),time:(from:'2017-11-26T14:57:30-0700',mode:absolute,to:'2017-11-26T17:49:47-0700'))&amp;_a=(columns:!('Message%20ID',Summary),filters:!(),index:'emp_*',interval:auto,query:(query_string:(analyze_wildcard:!t,query:'%22rtdc.l.rtdc.4049%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812</v>
      </c>
      <c r="B109" s="226">
        <v>4042</v>
      </c>
      <c r="C109" s="228" t="s">
        <v>192</v>
      </c>
      <c r="D109" s="228" t="s">
        <v>448</v>
      </c>
      <c r="E109" s="227">
        <v>43065.641851851855</v>
      </c>
      <c r="F109" s="227">
        <v>43065.646006944444</v>
      </c>
      <c r="G109" s="226">
        <v>58</v>
      </c>
      <c r="H109" s="228" t="s">
        <v>937</v>
      </c>
      <c r="I109" s="227">
        <v>43065.671076388891</v>
      </c>
      <c r="J109" s="226">
        <v>0</v>
      </c>
      <c r="K109" s="238" t="str">
        <f t="shared" si="57"/>
        <v>4041/4042</v>
      </c>
      <c r="L109" s="246" t="str">
        <f>VLOOKUP(A109,'Trips&amp;Operators'!$C$1:$G$99911,5,FALSE)</f>
        <v>BADERTSCHER DIANE</v>
      </c>
      <c r="M109" s="225">
        <f t="shared" si="58"/>
        <v>2.5069444447581191E-2</v>
      </c>
      <c r="N109" s="226">
        <f t="shared" si="59"/>
        <v>36.100000004516914</v>
      </c>
      <c r="O109" s="226"/>
      <c r="P109" s="226"/>
      <c r="Q109" s="229"/>
      <c r="R109" s="243"/>
      <c r="S109" s="250">
        <f t="shared" si="60"/>
        <v>1</v>
      </c>
      <c r="T109" s="243" t="str">
        <f t="shared" si="61"/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62"/>
        <v>https://d0f6bd738d7f1b3e5a7ca70fe4ff75f0.us-east-1.aws.found.io/app/kibana#/discover/Steve-Slow-Train-Analysis-(2080s-and-2083s)?_g=(refreshInterval:(display:Off,pause:!f,section:0,value:0),time:(from:'2017-11-26T14:24:16-0700',mode:absolute,to:'2017-11-26T17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248" t="str">
        <f>IF(AA109&lt;VLOOKUP(AG109,Variables!$AC$3:$AD$8,2,FALSE),"Y","N")</f>
        <v>N</v>
      </c>
      <c r="X109" s="248">
        <f t="shared" si="63"/>
        <v>1</v>
      </c>
      <c r="Y109" s="248">
        <f t="shared" si="64"/>
        <v>5.1900000000000002E-2</v>
      </c>
      <c r="Z109" s="248">
        <f t="shared" si="65"/>
        <v>23.3232</v>
      </c>
      <c r="AA109" s="248">
        <f t="shared" si="66"/>
        <v>23.2713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67"/>
        <v>195</v>
      </c>
      <c r="AE109" s="236" t="str">
        <f t="shared" si="68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109" s="235" t="str">
        <f t="shared" si="69"/>
        <v>"C:\Program Files (x86)\AstroGrep\AstroGrep.exe" /e /r /s /spath="%USERPROFILE%\AppData\Local\Temp\OnboardLogs" /stypes="app*4042*20171126*" /stext=" 23:.+((SYSTEM_STATE.+slice.+state.+changed )|(ment ac)|(multiple cpu faults)|(system.+state.+changed )|(\[timeout)|(PRM\|1\|D)|(kpr)|(kdp)|(train st.+moving)|(\|lc)|(penalty))"</v>
      </c>
      <c r="AG109" s="245" t="str">
        <f t="shared" si="70"/>
        <v>EC</v>
      </c>
      <c r="AH109" s="237" t="str">
        <f t="shared" si="52"/>
        <v>"%USERPROFILE%\Documents\GitHub\eaglep3\Utilities\RefineRTDCRunTimes.py" --tripid 195-26 --locoid 4042 --swversion DE.1.0.9.0 --startMP 204:519 --initTime 2017-11-26T15:24:16 --startdatetime 2017-11-26T15:30:15 --delay 58 --endMP 204:233232 --enddatetime 2017-11-26T16:06:21 --enforcementcount 0 &gt;&gt;%USERPROFILE%\Documents\GitHub\eaglep3-reporting\EC\2017-11-26-refined-times.txt</v>
      </c>
      <c r="AI10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{"issue":{"subject":"","project_id":79,"tracker_id":40,"status_id":1,"priority_id":2,"assigned_to_id":338,"start_date":"2017-11-26","description":"","custom_fields":[{"id":1,"name":"Subdivision","value":"EC"},{"id":4,"name":"Milepost","value":"23.3232"},{"id":17,"name":"Train ID","value":"195-26"},{"id":16,"name":"Locomotive ID","value":"4042"},{"id":130,"name":"Impact","value":""},{"id":150,"name":"Time of Event (Mountain Time)","value":"16:06:21"},{"id":151,"name":"Denver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54"/>
        <v>start /low /b %USERPROFILE%\Documents\GitHub\eaglep3\Utilities\DownloadLogsFromS3.py --loco 4042 --day 2017-11-26</v>
      </c>
      <c r="AN109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56"/>
        <v>https://d0f6bd738d7f1b3e5a7ca70fe4ff75f0.us-east-1.aws.found.io/app/kibana#/discover/Steve-Slow-Train-Analysis-(2080s-and-2083s)?_g=(refreshInterval:(display:Off,pause:!f,section:0,value:0),time:(from:'2017-11-26T14:24:16-0700',mode:absolute,to:'2017-11-26T17:06:21-0700'))&amp;_a=(columns:!('Message%20ID',Summary),filters:!(),index:'emp_*',interval:auto,query:(query_string:(analyze_wildcard:!t,query:'%22rtdc.l.rtdc.4042%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824</v>
      </c>
      <c r="B110" s="226">
        <v>4041</v>
      </c>
      <c r="C110" s="228" t="s">
        <v>192</v>
      </c>
      <c r="D110" s="228" t="s">
        <v>631</v>
      </c>
      <c r="E110" s="227">
        <v>43065.681469907409</v>
      </c>
      <c r="F110" s="227">
        <v>43065.685601851852</v>
      </c>
      <c r="G110" s="226">
        <v>59</v>
      </c>
      <c r="H110" s="228" t="s">
        <v>514</v>
      </c>
      <c r="I110" s="227">
        <v>43065.713113425925</v>
      </c>
      <c r="J110" s="226">
        <v>0</v>
      </c>
      <c r="K110" s="238" t="str">
        <f t="shared" si="57"/>
        <v>4041/4042</v>
      </c>
      <c r="L110" s="246" t="str">
        <f>VLOOKUP(A110,'Trips&amp;Operators'!$C$1:$G$99911,5,FALSE)</f>
        <v>BADERTSCHER DIANE</v>
      </c>
      <c r="M110" s="225">
        <f t="shared" si="58"/>
        <v>2.7511574073287193E-2</v>
      </c>
      <c r="N110" s="226">
        <f t="shared" si="59"/>
        <v>39.616666665533558</v>
      </c>
      <c r="O110" s="226"/>
      <c r="P110" s="226"/>
      <c r="Q110" s="229"/>
      <c r="R110" s="243"/>
      <c r="S110" s="250">
        <f t="shared" si="60"/>
        <v>1</v>
      </c>
      <c r="T110" s="243" t="str">
        <f t="shared" si="61"/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62"/>
        <v>https://d0f6bd738d7f1b3e5a7ca70fe4ff75f0.us-east-1.aws.found.io/app/kibana#/discover/Steve-Slow-Train-Analysis-(2080s-and-2083s)?_g=(refreshInterval:(display:Off,pause:!f,section:0,value:0),time:(from:'2017-11-26T15:21:19-0700',mode:absolute,to:'2017-11-26T18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248" t="str">
        <f>IF(AA110&lt;VLOOKUP(AG110,Variables!$AC$3:$AD$8,2,FALSE),"Y","N")</f>
        <v>N</v>
      </c>
      <c r="X110" s="248">
        <f t="shared" si="63"/>
        <v>1</v>
      </c>
      <c r="Y110" s="248">
        <f t="shared" si="64"/>
        <v>23.2925</v>
      </c>
      <c r="Z110" s="248">
        <f t="shared" si="65"/>
        <v>2.0299999999999999E-2</v>
      </c>
      <c r="AA110" s="248">
        <f t="shared" si="66"/>
        <v>23.272200000000002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67"/>
        <v>196</v>
      </c>
      <c r="AE110" s="236" t="str">
        <f t="shared" si="68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110" s="235" t="str">
        <f t="shared" si="69"/>
        <v>"C:\Program Files (x86)\AstroGrep\AstroGrep.exe" /e /r /s /spath="%USERPROFILE%\AppData\Local\Temp\OnboardLogs" /stypes="app*4041*20171127*" /stext=" 00:.+((SYSTEM_STATE.+slice.+state.+changed )|(ment ac)|(multiple cpu faults)|(system.+state.+changed )|(\[timeout)|(PRM\|1\|D)|(kpr)|(kdp)|(train st.+moving)|(\|lc)|(penalty))"</v>
      </c>
      <c r="AG110" s="245" t="str">
        <f t="shared" si="70"/>
        <v>EC</v>
      </c>
      <c r="AH110" s="237" t="str">
        <f t="shared" si="52"/>
        <v>"%USERPROFILE%\Documents\GitHub\eaglep3\Utilities\RefineRTDCRunTimes.py" --tripid 196-26 --locoid 4041 --swversion DE.1.0.9.0 --startMP 204:232925 --initTime 2017-11-26T16:21:19 --startdatetime 2017-11-26T16:27:16 --delay 59 --endMP 204:203 --enddatetime 2017-11-26T17:06:53 --enforcementcount 0 &gt;&gt;%USERPROFILE%\Documents\GitHub\eaglep3-reporting\EC\2017-11-26-refined-times.txt</v>
      </c>
      <c r="AI11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{"issue":{"subject":"","project_id":79,"tracker_id":40,"status_id":1,"priority_id":2,"assigned_to_id":338,"start_date":"2017-11-26","description":"","custom_fields":[{"id":1,"name":"Subdivision","value":"EC"},{"id":4,"name":"Milepost","value":"0.0203"},{"id":17,"name":"Train ID","value":"196-26"},{"id":16,"name":"Locomotive ID","value":"4041"},{"id":130,"name":"Impact","value":""},{"id":150,"name":"Time of Event (Mountain Time)","value":"17:06:53"},{"id":151,"name":"Denver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54"/>
        <v>start /low /b %USERPROFILE%\Documents\GitHub\eaglep3\Utilities\DownloadLogsFromS3.py --loco 4041 --day 2017-11-26</v>
      </c>
      <c r="AN110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56"/>
        <v>https://d0f6bd738d7f1b3e5a7ca70fe4ff75f0.us-east-1.aws.found.io/app/kibana#/discover/Steve-Slow-Train-Analysis-(2080s-and-2083s)?_g=(refreshInterval:(display:Off,pause:!f,section:0,value:0),time:(from:'2017-11-26T15:21:19-0700',mode:absolute,to:'2017-11-26T18:06:53-0700'))&amp;_a=(columns:!('Message%20ID',Summary),filters:!(),index:'emp_*',interval:auto,query:(query_string:(analyze_wildcard:!t,query:'%22rtdc.l.rtdc.4041%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817</v>
      </c>
      <c r="B111" s="226">
        <v>4006</v>
      </c>
      <c r="C111" s="228" t="s">
        <v>192</v>
      </c>
      <c r="D111" s="228" t="s">
        <v>608</v>
      </c>
      <c r="E111" s="227">
        <v>43065.651053240741</v>
      </c>
      <c r="F111" s="227">
        <v>43065.65662037037</v>
      </c>
      <c r="G111" s="226">
        <v>52</v>
      </c>
      <c r="H111" s="228" t="s">
        <v>603</v>
      </c>
      <c r="I111" s="227">
        <v>43065.681493055556</v>
      </c>
      <c r="J111" s="226">
        <v>0</v>
      </c>
      <c r="K111" s="238" t="str">
        <f t="shared" si="57"/>
        <v>4005/4006</v>
      </c>
      <c r="L111" s="246" t="str">
        <f>VLOOKUP(A111,'Trips&amp;Operators'!$C$1:$G$99911,5,FALSE)</f>
        <v>GONZALEZ ARMANDO</v>
      </c>
      <c r="M111" s="225">
        <f t="shared" si="58"/>
        <v>2.4872685185982846E-2</v>
      </c>
      <c r="N111" s="226">
        <f t="shared" si="59"/>
        <v>35.816666667815298</v>
      </c>
      <c r="O111" s="226"/>
      <c r="P111" s="226"/>
      <c r="Q111" s="229"/>
      <c r="R111" s="243"/>
      <c r="S111" s="250">
        <f t="shared" si="60"/>
        <v>1</v>
      </c>
      <c r="T111" s="243" t="str">
        <f t="shared" si="61"/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62"/>
        <v>https://d0f6bd738d7f1b3e5a7ca70fe4ff75f0.us-east-1.aws.found.io/app/kibana#/discover/Steve-Slow-Train-Analysis-(2080s-and-2083s)?_g=(refreshInterval:(display:Off,pause:!f,section:0,value:0),time:(from:'2017-11-26T14:37:31-0700',mode:absolute,to:'2017-11-26T17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248" t="str">
        <f>IF(AA111&lt;VLOOKUP(AG111,Variables!$AC$3:$AD$8,2,FALSE),"Y","N")</f>
        <v>N</v>
      </c>
      <c r="X111" s="248">
        <f t="shared" si="63"/>
        <v>1</v>
      </c>
      <c r="Y111" s="248">
        <f t="shared" si="64"/>
        <v>4.8800000000000003E-2</v>
      </c>
      <c r="Z111" s="248">
        <f t="shared" si="65"/>
        <v>23.331199999999999</v>
      </c>
      <c r="AA111" s="248">
        <f t="shared" si="66"/>
        <v>23.282399999999999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67"/>
        <v>197</v>
      </c>
      <c r="AE111" s="236" t="str">
        <f t="shared" si="68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111" s="235" t="str">
        <f t="shared" si="69"/>
        <v>"C:\Program Files (x86)\AstroGrep\AstroGrep.exe" /e /r /s /spath="%USERPROFILE%\AppData\Local\Temp\OnboardLogs" /stypes="app*4006*20171126*" /stext=" 23:.+((SYSTEM_STATE.+slice.+state.+changed )|(ment ac)|(multiple cpu faults)|(system.+state.+changed )|(\[timeout)|(PRM\|1\|D)|(kpr)|(kdp)|(train st.+moving)|(\|lc)|(penalty))"</v>
      </c>
      <c r="AG111" s="245" t="str">
        <f t="shared" si="70"/>
        <v>EC</v>
      </c>
      <c r="AH111" s="237" t="str">
        <f t="shared" si="52"/>
        <v>"%USERPROFILE%\Documents\GitHub\eaglep3\Utilities\RefineRTDCRunTimes.py" --tripid 197-26 --locoid 4006 --swversion DE.1.0.9.0 --startMP 204:488 --initTime 2017-11-26T15:37:31 --startdatetime 2017-11-26T15:45:32 --delay 52 --endMP 204:233312 --enddatetime 2017-11-26T16:21:21 --enforcementcount 0 &gt;&gt;%USERPROFILE%\Documents\GitHub\eaglep3-reporting\EC\2017-11-26-refined-times.txt</v>
      </c>
      <c r="AI11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{"issue":{"subject":"","project_id":79,"tracker_id":40,"status_id":1,"priority_id":2,"assigned_to_id":338,"start_date":"2017-11-26","description":"","custom_fields":[{"id":1,"name":"Subdivision","value":"EC"},{"id":4,"name":"Milepost","value":"23.3312"},{"id":17,"name":"Train ID","value":"197-26"},{"id":16,"name":"Locomotive ID","value":"4006"},{"id":130,"name":"Impact","value":""},{"id":150,"name":"Time of Event (Mountain Time)","value":"16:21:21"},{"id":151,"name":"Denver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54"/>
        <v>start /low /b %USERPROFILE%\Documents\GitHub\eaglep3\Utilities\DownloadLogsFromS3.py --loco 4006 --day 2017-11-26</v>
      </c>
      <c r="AN111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56"/>
        <v>https://d0f6bd738d7f1b3e5a7ca70fe4ff75f0.us-east-1.aws.found.io/app/kibana#/discover/Steve-Slow-Train-Analysis-(2080s-and-2083s)?_g=(refreshInterval:(display:Off,pause:!f,section:0,value:0),time:(from:'2017-11-26T14:37:31-0700',mode:absolute,to:'2017-11-26T17:21:21-0700'))&amp;_a=(columns:!('Message%20ID',Summary),filters:!(),index:'emp_*',interval:auto,query:(query_string:(analyze_wildcard:!t,query:'%22rtdc.l.rtdc.4006%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827</v>
      </c>
      <c r="B112" s="226">
        <v>4005</v>
      </c>
      <c r="C112" s="228" t="s">
        <v>192</v>
      </c>
      <c r="D112" s="228" t="s">
        <v>915</v>
      </c>
      <c r="E112" s="227">
        <v>43065.689872685187</v>
      </c>
      <c r="F112" s="227">
        <v>43065.696018518516</v>
      </c>
      <c r="G112" s="226">
        <v>58</v>
      </c>
      <c r="H112" s="228" t="s">
        <v>558</v>
      </c>
      <c r="I112" s="227">
        <v>43065.721458333333</v>
      </c>
      <c r="J112" s="226">
        <v>0</v>
      </c>
      <c r="K112" s="238" t="str">
        <f t="shared" si="57"/>
        <v>4005/4006</v>
      </c>
      <c r="L112" s="246" t="str">
        <f>VLOOKUP(A112,'Trips&amp;Operators'!$C$1:$G$99911,5,FALSE)</f>
        <v>GONZALEZ ARMANDO</v>
      </c>
      <c r="M112" s="225">
        <f t="shared" si="58"/>
        <v>2.5439814817218576E-2</v>
      </c>
      <c r="N112" s="226">
        <f t="shared" si="59"/>
        <v>36.633333336794749</v>
      </c>
      <c r="O112" s="226"/>
      <c r="P112" s="226"/>
      <c r="Q112" s="229"/>
      <c r="R112" s="243"/>
      <c r="S112" s="250">
        <f t="shared" si="60"/>
        <v>1</v>
      </c>
      <c r="T112" s="243" t="str">
        <f t="shared" si="61"/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62"/>
        <v>https://d0f6bd738d7f1b3e5a7ca70fe4ff75f0.us-east-1.aws.found.io/app/kibana#/discover/Steve-Slow-Train-Analysis-(2080s-and-2083s)?_g=(refreshInterval:(display:Off,pause:!f,section:0,value:0),time:(from:'2017-11-26T15:33:25-0700',mode:absolute,to:'2017-11-26T18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248" t="str">
        <f>IF(AA112&lt;VLOOKUP(AG112,Variables!$AC$3:$AD$8,2,FALSE),"Y","N")</f>
        <v>N</v>
      </c>
      <c r="X112" s="248">
        <f t="shared" si="63"/>
        <v>1</v>
      </c>
      <c r="Y112" s="248">
        <f t="shared" si="64"/>
        <v>23.298400000000001</v>
      </c>
      <c r="Z112" s="248">
        <f t="shared" si="65"/>
        <v>1.6500000000000001E-2</v>
      </c>
      <c r="AA112" s="248">
        <f t="shared" si="66"/>
        <v>23.2819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67"/>
        <v>198</v>
      </c>
      <c r="AE112" s="236" t="str">
        <f t="shared" si="68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112" s="235" t="str">
        <f t="shared" si="69"/>
        <v>"C:\Program Files (x86)\AstroGrep\AstroGrep.exe" /e /r /s /spath="%USERPROFILE%\AppData\Local\Temp\OnboardLogs" /stypes="app*4005*20171127*" /stext=" 00:.+((SYSTEM_STATE.+slice.+state.+changed )|(ment ac)|(multiple cpu faults)|(system.+state.+changed )|(\[timeout)|(PRM\|1\|D)|(kpr)|(kdp)|(train st.+moving)|(\|lc)|(penalty))"</v>
      </c>
      <c r="AG112" s="245" t="str">
        <f t="shared" si="70"/>
        <v>EC</v>
      </c>
      <c r="AH112" s="237" t="str">
        <f t="shared" si="52"/>
        <v>"%USERPROFILE%\Documents\GitHub\eaglep3\Utilities\RefineRTDCRunTimes.py" --tripid 198-26 --locoid 4005 --swversion DE.1.0.9.0 --startMP 204:232984 --initTime 2017-11-26T16:33:25 --startdatetime 2017-11-26T16:42:16 --delay 58 --endMP 204:165 --enddatetime 2017-11-26T17:18:54 --enforcementcount 0 &gt;&gt;%USERPROFILE%\Documents\GitHub\eaglep3-reporting\EC\2017-11-26-refined-times.txt</v>
      </c>
      <c r="AI112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{"issue":{"subject":"","project_id":79,"tracker_id":40,"status_id":1,"priority_id":2,"assigned_to_id":338,"start_date":"2017-11-26","description":"","custom_fields":[{"id":1,"name":"Subdivision","value":"EC"},{"id":4,"name":"Milepost","value":"0.0165"},{"id":17,"name":"Train ID","value":"198-26"},{"id":16,"name":"Locomotive ID","value":"4005"},{"id":130,"name":"Impact","value":""},{"id":150,"name":"Time of Event (Mountain Time)","value":"17:18:54"},{"id":151,"name":"Denver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54"/>
        <v>start /low /b %USERPROFILE%\Documents\GitHub\eaglep3\Utilities\DownloadLogsFromS3.py --loco 4005 --day 2017-11-26</v>
      </c>
      <c r="AN112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56"/>
        <v>https://d0f6bd738d7f1b3e5a7ca70fe4ff75f0.us-east-1.aws.found.io/app/kibana#/discover/Steve-Slow-Train-Analysis-(2080s-and-2083s)?_g=(refreshInterval:(display:Off,pause:!f,section:0,value:0),time:(from:'2017-11-26T15:33:25-0700',mode:absolute,to:'2017-11-26T18:18:54-0700'))&amp;_a=(columns:!('Message%20ID',Summary),filters:!(),index:'emp_*',interval:auto,query:(query_string:(analyze_wildcard:!t,query:'%22rtdc.l.rtdc.4005%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820</v>
      </c>
      <c r="B113" s="226">
        <v>4016</v>
      </c>
      <c r="C113" s="228" t="s">
        <v>192</v>
      </c>
      <c r="D113" s="228" t="s">
        <v>627</v>
      </c>
      <c r="E113" s="227">
        <v>43065.663043981483</v>
      </c>
      <c r="F113" s="227">
        <v>43065.666863425926</v>
      </c>
      <c r="G113" s="226">
        <v>73</v>
      </c>
      <c r="H113" s="228" t="s">
        <v>487</v>
      </c>
      <c r="I113" s="227">
        <v>43065.691782407404</v>
      </c>
      <c r="J113" s="226">
        <v>0</v>
      </c>
      <c r="K113" s="238" t="str">
        <f t="shared" si="57"/>
        <v>4015/4016</v>
      </c>
      <c r="L113" s="246" t="str">
        <f>VLOOKUP(A113,'Trips&amp;Operators'!$C$1:$G$99911,5,FALSE)</f>
        <v>STEWART MICHAEL</v>
      </c>
      <c r="M113" s="225">
        <f t="shared" si="58"/>
        <v>2.491898147854954E-2</v>
      </c>
      <c r="N113" s="226">
        <f t="shared" si="59"/>
        <v>35.883333329111338</v>
      </c>
      <c r="O113" s="226"/>
      <c r="P113" s="226"/>
      <c r="Q113" s="229"/>
      <c r="R113" s="243"/>
      <c r="S113" s="250">
        <f t="shared" si="60"/>
        <v>1</v>
      </c>
      <c r="T113" s="243" t="str">
        <f t="shared" si="61"/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62"/>
        <v>https://d0f6bd738d7f1b3e5a7ca70fe4ff75f0.us-east-1.aws.found.io/app/kibana#/discover/Steve-Slow-Train-Analysis-(2080s-and-2083s)?_g=(refreshInterval:(display:Off,pause:!f,section:0,value:0),time:(from:'2017-11-26T14:54:47-0700',mode:absolute,to:'2017-11-26T17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248" t="str">
        <f>IF(AA113&lt;VLOOKUP(AG113,Variables!$AC$3:$AD$8,2,FALSE),"Y","N")</f>
        <v>N</v>
      </c>
      <c r="X113" s="248">
        <f t="shared" si="63"/>
        <v>1</v>
      </c>
      <c r="Y113" s="248">
        <f t="shared" si="64"/>
        <v>5.3100000000000001E-2</v>
      </c>
      <c r="Z113" s="248">
        <f t="shared" si="65"/>
        <v>23.3291</v>
      </c>
      <c r="AA113" s="248">
        <f t="shared" si="66"/>
        <v>23.276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67"/>
        <v>199</v>
      </c>
      <c r="AE113" s="236" t="str">
        <f t="shared" si="68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113" s="235" t="str">
        <f t="shared" si="69"/>
        <v>"C:\Program Files (x86)\AstroGrep\AstroGrep.exe" /e /r /s /spath="%USERPROFILE%\AppData\Local\Temp\OnboardLogs" /stypes="app*4016*20171126*" /stext=" 23:.+((SYSTEM_STATE.+slice.+state.+changed )|(ment ac)|(multiple cpu faults)|(system.+state.+changed )|(\[timeout)|(PRM\|1\|D)|(kpr)|(kdp)|(train st.+moving)|(\|lc)|(penalty))"</v>
      </c>
      <c r="AG113" s="245" t="str">
        <f t="shared" si="70"/>
        <v>EC</v>
      </c>
      <c r="AH113" s="237" t="str">
        <f t="shared" si="52"/>
        <v>"%USERPROFILE%\Documents\GitHub\eaglep3\Utilities\RefineRTDCRunTimes.py" --tripid 199-26 --locoid 4016 --swversion DE.1.0.9.0 --startMP 204:531 --initTime 2017-11-26T15:54:47 --startdatetime 2017-11-26T16:00:17 --delay 73 --endMP 204:233291 --enddatetime 2017-11-26T16:36:10 --enforcementcount 0 &gt;&gt;%USERPROFILE%\Documents\GitHub\eaglep3-reporting\EC\2017-11-26-refined-times.txt</v>
      </c>
      <c r="AI113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{"issue":{"subject":"","project_id":79,"tracker_id":40,"status_id":1,"priority_id":2,"assigned_to_id":338,"start_date":"2017-11-26","description":"","custom_fields":[{"id":1,"name":"Subdivision","value":"EC"},{"id":4,"name":"Milepost","value":"23.3291"},{"id":17,"name":"Train ID","value":"199-26"},{"id":16,"name":"Locomotive ID","value":"4016"},{"id":130,"name":"Impact","value":""},{"id":150,"name":"Time of Event (Mountain Time)","value":"16:36:10"},{"id":151,"name":"Denver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54"/>
        <v>start /low /b %USERPROFILE%\Documents\GitHub\eaglep3\Utilities\DownloadLogsFromS3.py --loco 4016 --day 2017-11-26</v>
      </c>
      <c r="AN113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56"/>
        <v>https://d0f6bd738d7f1b3e5a7ca70fe4ff75f0.us-east-1.aws.found.io/app/kibana#/discover/Steve-Slow-Train-Analysis-(2080s-and-2083s)?_g=(refreshInterval:(display:Off,pause:!f,section:0,value:0),time:(from:'2017-11-26T14:54:47-0700',mode:absolute,to:'2017-11-26T17:36:10-0700'))&amp;_a=(columns:!('Message%20ID',Summary),filters:!(),index:'emp_*',interval:auto,query:(query_string:(analyze_wildcard:!t,query:'%22rtdc.l.rtdc.4016%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829</v>
      </c>
      <c r="B114" s="226">
        <v>4015</v>
      </c>
      <c r="C114" s="228" t="s">
        <v>192</v>
      </c>
      <c r="D114" s="228" t="s">
        <v>607</v>
      </c>
      <c r="E114" s="227">
        <v>43065.701828703706</v>
      </c>
      <c r="F114" s="227">
        <v>43065.706504629627</v>
      </c>
      <c r="G114" s="226">
        <v>78</v>
      </c>
      <c r="H114" s="228" t="s">
        <v>491</v>
      </c>
      <c r="I114" s="227">
        <v>43065.733506944445</v>
      </c>
      <c r="J114" s="226">
        <v>0</v>
      </c>
      <c r="K114" s="238" t="str">
        <f t="shared" si="57"/>
        <v>4015/4016</v>
      </c>
      <c r="L114" s="246" t="str">
        <f>VLOOKUP(A114,'Trips&amp;Operators'!$C$1:$G$99911,5,FALSE)</f>
        <v>STEWART MICHAEL</v>
      </c>
      <c r="M114" s="225">
        <f t="shared" si="58"/>
        <v>2.7002314818673767E-2</v>
      </c>
      <c r="N114" s="226">
        <f t="shared" si="59"/>
        <v>38.883333338890225</v>
      </c>
      <c r="O114" s="226"/>
      <c r="P114" s="226"/>
      <c r="Q114" s="229"/>
      <c r="R114" s="243"/>
      <c r="S114" s="250">
        <f t="shared" si="60"/>
        <v>1</v>
      </c>
      <c r="T114" s="243" t="str">
        <f t="shared" si="61"/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62"/>
        <v>https://d0f6bd738d7f1b3e5a7ca70fe4ff75f0.us-east-1.aws.found.io/app/kibana#/discover/Steve-Slow-Train-Analysis-(2080s-and-2083s)?_g=(refreshInterval:(display:Off,pause:!f,section:0,value:0),time:(from:'2017-11-26T15:50:38-0700',mode:absolute,to:'2017-11-26T18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248" t="str">
        <f>IF(AA114&lt;VLOOKUP(AG114,Variables!$AC$3:$AD$8,2,FALSE),"Y","N")</f>
        <v>N</v>
      </c>
      <c r="X114" s="248">
        <f t="shared" si="63"/>
        <v>1</v>
      </c>
      <c r="Y114" s="248">
        <f t="shared" si="64"/>
        <v>23.299099999999999</v>
      </c>
      <c r="Z114" s="248">
        <f t="shared" si="65"/>
        <v>2.1100000000000001E-2</v>
      </c>
      <c r="AA114" s="248">
        <f t="shared" si="66"/>
        <v>23.277999999999999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67"/>
        <v>200</v>
      </c>
      <c r="AE114" s="236" t="str">
        <f t="shared" si="68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14" s="235" t="str">
        <f t="shared" si="69"/>
        <v>"C:\Program Files (x86)\AstroGrep\AstroGrep.exe" /e /r /s /spath="%USERPROFILE%\AppData\Local\Temp\OnboardLogs" /stypes="app*4015*20171127*" /stext=" 00:.+((SYSTEM_STATE.+slice.+state.+changed )|(ment ac)|(multiple cpu faults)|(system.+state.+changed )|(\[timeout)|(PRM\|1\|D)|(kpr)|(kdp)|(train st.+moving)|(\|lc)|(penalty))"</v>
      </c>
      <c r="AG114" s="245" t="str">
        <f t="shared" si="70"/>
        <v>EC</v>
      </c>
      <c r="AH114" s="237" t="str">
        <f t="shared" si="52"/>
        <v>"%USERPROFILE%\Documents\GitHub\eaglep3\Utilities\RefineRTDCRunTimes.py" --tripid 200-26 --locoid 4015 --swversion DE.1.0.9.0 --startMP 204:232991 --initTime 2017-11-26T16:50:38 --startdatetime 2017-11-26T16:57:22 --delay 78 --endMP 204:211 --enddatetime 2017-11-26T17:36:15 --enforcementcount 0 &gt;&gt;%USERPROFILE%\Documents\GitHub\eaglep3-reporting\EC\2017-11-26-refined-times.txt</v>
      </c>
      <c r="AI114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{"issue":{"subject":"","project_id":79,"tracker_id":40,"status_id":1,"priority_id":2,"assigned_to_id":338,"start_date":"2017-11-26","description":"","custom_fields":[{"id":1,"name":"Subdivision","value":"EC"},{"id":4,"name":"Milepost","value":"0.0211"},{"id":17,"name":"Train ID","value":"200-26"},{"id":16,"name":"Locomotive ID","value":"4015"},{"id":130,"name":"Impact","value":""},{"id":150,"name":"Time of Event (Mountain Time)","value":"17:36:15"},{"id":151,"name":"Denver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54"/>
        <v>start /low /b %USERPROFILE%\Documents\GitHub\eaglep3\Utilities\DownloadLogsFromS3.py --loco 4015 --day 2017-11-26</v>
      </c>
      <c r="AN114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56"/>
        <v>https://d0f6bd738d7f1b3e5a7ca70fe4ff75f0.us-east-1.aws.found.io/app/kibana#/discover/Steve-Slow-Train-Analysis-(2080s-and-2083s)?_g=(refreshInterval:(display:Off,pause:!f,section:0,value:0),time:(from:'2017-11-26T15:50:38-0700',mode:absolute,to:'2017-11-26T18:36:15-0700'))&amp;_a=(columns:!('Message%20ID',Summary),filters:!(),index:'emp_*',interval:auto,query:(query_string:(analyze_wildcard:!t,query:'%22rtdc.l.rtdc.4015%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823</v>
      </c>
      <c r="B115" s="226">
        <v>4040</v>
      </c>
      <c r="C115" s="228" t="s">
        <v>192</v>
      </c>
      <c r="D115" s="228" t="s">
        <v>609</v>
      </c>
      <c r="E115" s="227">
        <v>43065.672094907408</v>
      </c>
      <c r="F115" s="227">
        <v>43065.677314814813</v>
      </c>
      <c r="G115" s="226">
        <v>57</v>
      </c>
      <c r="H115" s="228" t="s">
        <v>939</v>
      </c>
      <c r="I115" s="227">
        <v>43065.702222222222</v>
      </c>
      <c r="J115" s="226">
        <v>0</v>
      </c>
      <c r="K115" s="238" t="str">
        <f t="shared" si="57"/>
        <v>4039/4040</v>
      </c>
      <c r="L115" s="246" t="str">
        <f>VLOOKUP(A115,'Trips&amp;Operators'!$C$1:$G$99911,5,FALSE)</f>
        <v>SMITH MICHAEL</v>
      </c>
      <c r="M115" s="225">
        <f t="shared" si="58"/>
        <v>2.4907407409045845E-2</v>
      </c>
      <c r="N115" s="226">
        <f t="shared" si="59"/>
        <v>35.866666669026017</v>
      </c>
      <c r="O115" s="226"/>
      <c r="P115" s="226"/>
      <c r="Q115" s="229"/>
      <c r="R115" s="243"/>
      <c r="S115" s="250">
        <f t="shared" si="60"/>
        <v>1</v>
      </c>
      <c r="T115" s="243" t="str">
        <f t="shared" si="61"/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62"/>
        <v>https://d0f6bd738d7f1b3e5a7ca70fe4ff75f0.us-east-1.aws.found.io/app/kibana#/discover/Steve-Slow-Train-Analysis-(2080s-and-2083s)?_g=(refreshInterval:(display:Off,pause:!f,section:0,value:0),time:(from:'2017-11-26T15:07:49-0700',mode:absolute,to:'2017-11-26T17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48" t="str">
        <f>IF(AA115&lt;VLOOKUP(AG115,Variables!$AC$3:$AD$8,2,FALSE),"Y","N")</f>
        <v>N</v>
      </c>
      <c r="X115" s="248">
        <f t="shared" si="63"/>
        <v>1</v>
      </c>
      <c r="Y115" s="248">
        <f t="shared" si="64"/>
        <v>4.7500000000000001E-2</v>
      </c>
      <c r="Z115" s="248">
        <f t="shared" si="65"/>
        <v>23.329899999999999</v>
      </c>
      <c r="AA115" s="248">
        <f t="shared" si="66"/>
        <v>23.282399999999999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67"/>
        <v>201</v>
      </c>
      <c r="AE115" s="236" t="str">
        <f t="shared" si="68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115" s="235" t="str">
        <f t="shared" si="69"/>
        <v>"C:\Program Files (x86)\AstroGrep\AstroGrep.exe" /e /r /s /spath="%USERPROFILE%\AppData\Local\Temp\OnboardLogs" /stypes="app*4040*20171126*" /stext=" 23:.+((SYSTEM_STATE.+slice.+state.+changed )|(ment ac)|(multiple cpu faults)|(system.+state.+changed )|(\[timeout)|(PRM\|1\|D)|(kpr)|(kdp)|(train st.+moving)|(\|lc)|(penalty))"</v>
      </c>
      <c r="AG115" s="245" t="str">
        <f t="shared" si="70"/>
        <v>EC</v>
      </c>
      <c r="AH115" s="237" t="str">
        <f t="shared" si="52"/>
        <v>"%USERPROFILE%\Documents\GitHub\eaglep3\Utilities\RefineRTDCRunTimes.py" --tripid 201-26 --locoid 4040 --swversion DE.1.0.9.0 --startMP 204:475 --initTime 2017-11-26T16:07:49 --startdatetime 2017-11-26T16:15:20 --delay 57 --endMP 204:233299 --enddatetime 2017-11-26T16:51:12 --enforcementcount 0 &gt;&gt;%USERPROFILE%\Documents\GitHub\eaglep3-reporting\EC\2017-11-26-refined-times.txt</v>
      </c>
      <c r="AI115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{"issue":{"subject":"","project_id":79,"tracker_id":40,"status_id":1,"priority_id":2,"assigned_to_id":338,"start_date":"2017-11-26","description":"","custom_fields":[{"id":1,"name":"Subdivision","value":"EC"},{"id":4,"name":"Milepost","value":"23.3299"},{"id":17,"name":"Train ID","value":"201-26"},{"id":16,"name":"Locomotive ID","value":"4040"},{"id":130,"name":"Impact","value":""},{"id":150,"name":"Time of Event (Mountain Time)","value":"16:51:12"},{"id":151,"name":"Denver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54"/>
        <v>start /low /b %USERPROFILE%\Documents\GitHub\eaglep3\Utilities\DownloadLogsFromS3.py --loco 4040 --day 2017-11-26</v>
      </c>
      <c r="AN115" s="242" t="str">
        <f t="shared" si="5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56"/>
        <v>https://d0f6bd738d7f1b3e5a7ca70fe4ff75f0.us-east-1.aws.found.io/app/kibana#/discover/Steve-Slow-Train-Analysis-(2080s-and-2083s)?_g=(refreshInterval:(display:Off,pause:!f,section:0,value:0),time:(from:'2017-11-26T15:07:49-0700',mode:absolute,to:'2017-11-26T17:51:12-0700'))&amp;_a=(columns:!('Message%20ID',Summary),filters:!(),index:'emp_*',interval:auto,query:(query_string:(analyze_wildcard:!t,query:'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4" customFormat="1" x14ac:dyDescent="0.25">
      <c r="A116" s="230" t="s">
        <v>831</v>
      </c>
      <c r="B116" s="226">
        <v>4039</v>
      </c>
      <c r="C116" s="228" t="s">
        <v>192</v>
      </c>
      <c r="D116" s="228" t="s">
        <v>443</v>
      </c>
      <c r="E116" s="227">
        <v>43065.70815972222</v>
      </c>
      <c r="F116" s="227">
        <v>43065.716909722221</v>
      </c>
      <c r="G116" s="226">
        <v>57</v>
      </c>
      <c r="H116" s="228" t="s">
        <v>445</v>
      </c>
      <c r="I116" s="227">
        <v>43065.742847222224</v>
      </c>
      <c r="J116" s="226">
        <v>0</v>
      </c>
      <c r="K116" s="238" t="str">
        <f t="shared" si="57"/>
        <v>4039/4040</v>
      </c>
      <c r="L116" s="246" t="str">
        <f>VLOOKUP(A116,'Trips&amp;Operators'!$C$1:$G$99911,5,FALSE)</f>
        <v>SMITH MICHAEL</v>
      </c>
      <c r="M116" s="225">
        <f t="shared" si="58"/>
        <v>2.5937500002328306E-2</v>
      </c>
      <c r="N116" s="226">
        <f t="shared" si="59"/>
        <v>37.350000003352761</v>
      </c>
      <c r="O116" s="226"/>
      <c r="P116" s="226"/>
      <c r="Q116" s="229"/>
      <c r="R116" s="243"/>
      <c r="S116" s="250">
        <f t="shared" si="60"/>
        <v>1</v>
      </c>
      <c r="T116" s="243" t="str">
        <f t="shared" si="61"/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62"/>
        <v>https://d0f6bd738d7f1b3e5a7ca70fe4ff75f0.us-east-1.aws.found.io/app/kibana#/discover/Steve-Slow-Train-Analysis-(2080s-and-2083s)?_g=(refreshInterval:(display:Off,pause:!f,section:0,value:0),time:(from:'2017-11-26T15:59:45-0700',mode:absolute,to:'2017-11-26T18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48" t="str">
        <f>IF(AA116&lt;VLOOKUP(AG116,Variables!$AC$3:$AD$8,2,FALSE),"Y","N")</f>
        <v>N</v>
      </c>
      <c r="X116" s="248">
        <f t="shared" si="63"/>
        <v>1</v>
      </c>
      <c r="Y116" s="248">
        <f t="shared" si="64"/>
        <v>23.297699999999999</v>
      </c>
      <c r="Z116" s="248">
        <f t="shared" si="65"/>
        <v>2.07E-2</v>
      </c>
      <c r="AA116" s="248">
        <f t="shared" si="66"/>
        <v>23.276999999999997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67"/>
        <v>202</v>
      </c>
      <c r="AE116" s="236" t="str">
        <f t="shared" si="68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116" s="235" t="str">
        <f t="shared" si="69"/>
        <v>"C:\Program Files (x86)\AstroGrep\AstroGrep.exe" /e /r /s /spath="%USERPROFILE%\AppData\Local\Temp\OnboardLogs" /stypes="app*4039*20171127*" /stext=" 00:.+((SYSTEM_STATE.+slice.+state.+changed )|(ment ac)|(multiple cpu faults)|(system.+state.+changed )|(\[timeout)|(PRM\|1\|D)|(kpr)|(kdp)|(train st.+moving)|(\|lc)|(penalty))"</v>
      </c>
      <c r="AG116" s="245" t="str">
        <f t="shared" si="70"/>
        <v>EC</v>
      </c>
      <c r="AH116" s="237" t="str">
        <f t="shared" si="52"/>
        <v>"%USERPROFILE%\Documents\GitHub\eaglep3\Utilities\RefineRTDCRunTimes.py" --tripid 202-26 --locoid 4039 --swversion DE.1.0.9.0 --startMP 204:232977 --initTime 2017-11-26T16:59:45 --startdatetime 2017-11-26T17:12:21 --delay 57 --endMP 204:207 --enddatetime 2017-11-26T17:49:42 --enforcementcount 0 &gt;&gt;%USERPROFILE%\Documents\GitHub\eaglep3-reporting\EC\2017-11-26-refined-times.txt</v>
      </c>
      <c r="AI116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{"issue":{"subject":"","project_id":79,"tracker_id":40,"status_id":1,"priority_id":2,"assigned_to_id":338,"start_date":"2017-11-26","description":"","custom_fields":[{"id":1,"name":"Subdivision","value":"EC"},{"id":4,"name":"Milepost","value":"0.0207"},{"id":17,"name":"Train ID","value":"202-26"},{"id":16,"name":"Locomotive ID","value":"4039"},{"id":130,"name":"Impact","value":""},{"id":150,"name":"Time of Event (Mountain Time)","value":"17:49:42"},{"id":151,"name":"Denver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2"/>
      <c r="AL116" s="232"/>
      <c r="AM116" s="241" t="str">
        <f t="shared" si="54"/>
        <v>start /low /b %USERPROFILE%\Documents\GitHub\eaglep3\Utilities\DownloadLogsFromS3.py --loco 4039 --day 2017-11-26</v>
      </c>
      <c r="AN116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56"/>
        <v>https://d0f6bd738d7f1b3e5a7ca70fe4ff75f0.us-east-1.aws.found.io/app/kibana#/discover/Steve-Slow-Train-Analysis-(2080s-and-2083s)?_g=(refreshInterval:(display:Off,pause:!f,section:0,value:0),time:(from:'2017-11-26T15:59:45-0700',mode:absolute,to:'2017-11-26T18:49:42-0700'))&amp;_a=(columns:!('Message%20ID',Summary),filters:!(),index:'emp_*',interval:auto,query:(query_string:(analyze_wildcard:!t,query:'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30" t="s">
        <v>826</v>
      </c>
      <c r="B117" s="226">
        <v>4008</v>
      </c>
      <c r="C117" s="228" t="s">
        <v>192</v>
      </c>
      <c r="D117" s="228" t="s">
        <v>495</v>
      </c>
      <c r="E117" s="227">
        <v>43065.684953703705</v>
      </c>
      <c r="F117" s="227">
        <v>43065.72861111111</v>
      </c>
      <c r="G117" s="226">
        <v>93</v>
      </c>
      <c r="H117" s="228" t="s">
        <v>477</v>
      </c>
      <c r="I117" s="227">
        <v>43065.75545138889</v>
      </c>
      <c r="J117" s="226">
        <v>0</v>
      </c>
      <c r="K117" s="238" t="str">
        <f t="shared" si="57"/>
        <v>4007/4008</v>
      </c>
      <c r="L117" s="246" t="str">
        <f>VLOOKUP(A117,'Trips&amp;Operators'!$C$1:$G$99911,5,FALSE)</f>
        <v>DAVIS MICHAEL</v>
      </c>
      <c r="M117" s="225">
        <f t="shared" si="58"/>
        <v>2.6840277780138422E-2</v>
      </c>
      <c r="N117" s="226">
        <f t="shared" si="59"/>
        <v>38.650000003399327</v>
      </c>
      <c r="O117" s="226"/>
      <c r="P117" s="226"/>
      <c r="Q117" s="229"/>
      <c r="R117" s="243"/>
      <c r="S117" s="250">
        <f t="shared" si="60"/>
        <v>1</v>
      </c>
      <c r="T117" s="243" t="str">
        <f t="shared" si="61"/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62"/>
        <v>https://d0f6bd738d7f1b3e5a7ca70fe4ff75f0.us-east-1.aws.found.io/app/kibana#/discover/Steve-Slow-Train-Analysis-(2080s-and-2083s)?_g=(refreshInterval:(display:Off,pause:!f,section:0,value:0),time:(from:'2017-11-26T15:26:20-0700',mode:absolute,to:'2017-11-26T19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48" t="str">
        <f>IF(AA117&lt;VLOOKUP(AG117,Variables!$AC$3:$AD$8,2,FALSE),"Y","N")</f>
        <v>N</v>
      </c>
      <c r="X117" s="248">
        <f t="shared" si="63"/>
        <v>1</v>
      </c>
      <c r="Y117" s="248">
        <f t="shared" si="64"/>
        <v>5.2600000000000001E-2</v>
      </c>
      <c r="Z117" s="248">
        <f t="shared" si="65"/>
        <v>23.326599999999999</v>
      </c>
      <c r="AA117" s="248">
        <f t="shared" si="66"/>
        <v>23.273999999999997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67"/>
        <v>203</v>
      </c>
      <c r="AE117" s="236" t="str">
        <f t="shared" si="68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117" s="235" t="str">
        <f t="shared" si="69"/>
        <v>"C:\Program Files (x86)\AstroGrep\AstroGrep.exe" /e /r /s /spath="%USERPROFILE%\AppData\Local\Temp\OnboardLogs" /stypes="app*4008*20171127*" /stext=" 01:.+((SYSTEM_STATE.+slice.+state.+changed )|(ment ac)|(multiple cpu faults)|(system.+state.+changed )|(\[timeout)|(PRM\|1\|D)|(kpr)|(kdp)|(train st.+moving)|(\|lc)|(penalty))"</v>
      </c>
      <c r="AG117" s="245" t="str">
        <f t="shared" si="70"/>
        <v>EC</v>
      </c>
      <c r="AH117" s="237" t="str">
        <f t="shared" si="52"/>
        <v>"%USERPROFILE%\Documents\GitHub\eaglep3\Utilities\RefineRTDCRunTimes.py" --tripid 203-26 --locoid 4008 --swversion DE.1.0.9.0 --startMP 204:526 --initTime 2017-11-26T16:26:20 --startdatetime 2017-11-26T17:29:12 --delay 93 --endMP 204:233266 --enddatetime 2017-11-26T18:07:51 --enforcementcount 0 &gt;&gt;%USERPROFILE%\Documents\GitHub\eaglep3-reporting\EC\2017-11-26-refined-times.txt</v>
      </c>
      <c r="AI117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{"issue":{"subject":"","project_id":79,"tracker_id":40,"status_id":1,"priority_id":2,"assigned_to_id":338,"start_date":"2017-11-26","description":"","custom_fields":[{"id":1,"name":"Subdivision","value":"EC"},{"id":4,"name":"Milepost","value":"23.3266"},{"id":17,"name":"Train ID","value":"203-26"},{"id":16,"name":"Locomotive ID","value":"4008"},{"id":130,"name":"Impact","value":""},{"id":150,"name":"Time of Event (Mountain Time)","value":"18:07:51"},{"id":151,"name":"Denver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4"/>
      <c r="AK117" s="232"/>
      <c r="AL117" s="232"/>
      <c r="AM117" s="241" t="str">
        <f t="shared" si="54"/>
        <v>start /low /b %USERPROFILE%\Documents\GitHub\eaglep3\Utilities\DownloadLogsFromS3.py --loco 4008 --day 2017-11-26</v>
      </c>
      <c r="AN117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56"/>
        <v>https://d0f6bd738d7f1b3e5a7ca70fe4ff75f0.us-east-1.aws.found.io/app/kibana#/discover/Steve-Slow-Train-Analysis-(2080s-and-2083s)?_g=(refreshInterval:(display:Off,pause:!f,section:0,value:0),time:(from:'2017-11-26T15:26:20-0700',mode:absolute,to:'2017-11-26T19:07:51-0700'))&amp;_a=(columns:!('Message%20ID',Summary),filters:!(),index:'emp_*',interval:auto,query:(query_string:(analyze_wildcard:!t,query:'%22rtdc.l.rtdc.4008%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30" t="s">
        <v>838</v>
      </c>
      <c r="B118" s="226">
        <v>4007</v>
      </c>
      <c r="C118" s="228" t="s">
        <v>192</v>
      </c>
      <c r="D118" s="228" t="s">
        <v>475</v>
      </c>
      <c r="E118" s="227">
        <v>43065.727326388886</v>
      </c>
      <c r="F118" s="227">
        <v>43065.72861111111</v>
      </c>
      <c r="G118" s="226">
        <v>53</v>
      </c>
      <c r="H118" s="228" t="s">
        <v>491</v>
      </c>
      <c r="I118" s="227">
        <v>43065.75545138889</v>
      </c>
      <c r="J118" s="226">
        <v>0</v>
      </c>
      <c r="K118" s="238" t="str">
        <f t="shared" si="57"/>
        <v>4007/4008</v>
      </c>
      <c r="L118" s="246" t="str">
        <f>VLOOKUP(A118,'Trips&amp;Operators'!$C$1:$G$99911,5,FALSE)</f>
        <v>DAVIS MICHAEL</v>
      </c>
      <c r="M118" s="225">
        <f t="shared" si="58"/>
        <v>2.6840277780138422E-2</v>
      </c>
      <c r="N118" s="226">
        <f t="shared" si="59"/>
        <v>38.650000003399327</v>
      </c>
      <c r="O118" s="226"/>
      <c r="P118" s="226"/>
      <c r="Q118" s="229"/>
      <c r="R118" s="243"/>
      <c r="S118" s="250">
        <f t="shared" si="60"/>
        <v>1</v>
      </c>
      <c r="T118" s="243" t="str">
        <f t="shared" si="61"/>
        <v>Southbound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62"/>
        <v>https://d0f6bd738d7f1b3e5a7ca70fe4ff75f0.us-east-1.aws.found.io/app/kibana#/discover/Steve-Slow-Train-Analysis-(2080s-and-2083s)?_g=(refreshInterval:(display:Off,pause:!f,section:0,value:0),time:(from:'2017-11-26T16:27:21-0700',mode:absolute,to:'2017-11-26T19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48" t="str">
        <f>IF(AA118&lt;VLOOKUP(AG118,Variables!$AC$3:$AD$8,2,FALSE),"Y","N")</f>
        <v>N</v>
      </c>
      <c r="X118" s="248">
        <f t="shared" si="63"/>
        <v>1</v>
      </c>
      <c r="Y118" s="248">
        <f t="shared" si="64"/>
        <v>23.298100000000002</v>
      </c>
      <c r="Z118" s="248">
        <f t="shared" si="65"/>
        <v>2.1100000000000001E-2</v>
      </c>
      <c r="AA118" s="248">
        <f t="shared" si="66"/>
        <v>23.277000000000001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67"/>
        <v>204</v>
      </c>
      <c r="AE118" s="236" t="str">
        <f t="shared" si="68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118" s="235" t="str">
        <f t="shared" si="69"/>
        <v>"C:\Program Files (x86)\AstroGrep\AstroGrep.exe" /e /r /s /spath="%USERPROFILE%\AppData\Local\Temp\OnboardLogs" /stypes="app*4007*20171127*" /stext=" 01:.+((SYSTEM_STATE.+slice.+state.+changed )|(ment ac)|(multiple cpu faults)|(system.+state.+changed )|(\[timeout)|(PRM\|1\|D)|(kpr)|(kdp)|(train st.+moving)|(\|lc)|(penalty))"</v>
      </c>
      <c r="AG118" s="245" t="str">
        <f t="shared" si="70"/>
        <v>EC</v>
      </c>
      <c r="AH118" s="237" t="str">
        <f t="shared" si="52"/>
        <v>"%USERPROFILE%\Documents\GitHub\eaglep3\Utilities\RefineRTDCRunTimes.py" --tripid 204-26 --locoid 4007 --swversion DE.1.0.9.0 --startMP 204:232981 --initTime 2017-11-26T17:27:21 --startdatetime 2017-11-26T17:29:12 --delay 53 --endMP 204:211 --enddatetime 2017-11-26T18:07:51 --enforcementcount 0 &gt;&gt;%USERPROFILE%\Documents\GitHub\eaglep3-reporting\EC\2017-11-26-refined-times.txt</v>
      </c>
      <c r="AI11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{"issue":{"subject":"","project_id":79,"tracker_id":40,"status_id":1,"priority_id":2,"assigned_to_id":338,"start_date":"2017-11-26","description":"","custom_fields":[{"id":1,"name":"Subdivision","value":"EC"},{"id":4,"name":"Milepost","value":"0.0211"},{"id":17,"name":"Train ID","value":"204-26"},{"id":16,"name":"Locomotive ID","value":"4007"},{"id":130,"name":"Impact","value":""},{"id":150,"name":"Time of Event (Mountain Time)","value":"18:07:51"},{"id":151,"name":"Denver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54"/>
        <v>start /low /b %USERPROFILE%\Documents\GitHub\eaglep3\Utilities\DownloadLogsFromS3.py --loco 4007 --day 2017-11-26</v>
      </c>
      <c r="AN118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56"/>
        <v>https://d0f6bd738d7f1b3e5a7ca70fe4ff75f0.us-east-1.aws.found.io/app/kibana#/discover/Steve-Slow-Train-Analysis-(2080s-and-2083s)?_g=(refreshInterval:(display:Off,pause:!f,section:0,value:0),time:(from:'2017-11-26T16:27:21-0700',mode:absolute,to:'2017-11-26T19:07:51-0700'))&amp;_a=(columns:!('Message%20ID',Summary),filters:!(),index:'emp_*',interval:auto,query:(query_string:(analyze_wildcard:!t,query:'%22rtdc.l.rtdc.4007%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828</v>
      </c>
      <c r="B119" s="226">
        <v>4060</v>
      </c>
      <c r="C119" s="228" t="s">
        <v>192</v>
      </c>
      <c r="D119" s="228" t="s">
        <v>923</v>
      </c>
      <c r="E119" s="227">
        <v>43065.695185185185</v>
      </c>
      <c r="F119" s="227">
        <v>43065.698252314818</v>
      </c>
      <c r="G119" s="226">
        <v>84</v>
      </c>
      <c r="H119" s="228" t="s">
        <v>940</v>
      </c>
      <c r="I119" s="227">
        <v>43065.72314814815</v>
      </c>
      <c r="J119" s="226">
        <v>0</v>
      </c>
      <c r="K119" s="238" t="str">
        <f t="shared" si="57"/>
        <v>4059/4060</v>
      </c>
      <c r="L119" s="246" t="str">
        <f>VLOOKUP(A119,'Trips&amp;Operators'!$C$1:$G$99911,5,FALSE)</f>
        <v>SAFIEF AEIMEN</v>
      </c>
      <c r="M119" s="225">
        <f t="shared" si="58"/>
        <v>2.4895833332266193E-2</v>
      </c>
      <c r="N119" s="226">
        <f t="shared" si="59"/>
        <v>35.849999998463318</v>
      </c>
      <c r="O119" s="226"/>
      <c r="P119" s="226"/>
      <c r="Q119" s="229"/>
      <c r="R119" s="243"/>
      <c r="S119" s="250">
        <f t="shared" si="60"/>
        <v>1</v>
      </c>
      <c r="T119" s="243" t="str">
        <f t="shared" si="61"/>
        <v>NorthBound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62"/>
        <v>https://d0f6bd738d7f1b3e5a7ca70fe4ff75f0.us-east-1.aws.found.io/app/kibana#/discover/Steve-Slow-Train-Analysis-(2080s-and-2083s)?_g=(refreshInterval:(display:Off,pause:!f,section:0,value:0),time:(from:'2017-11-26T15:41:04-0700',mode:absolute,to:'2017-11-26T18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9" s="248" t="str">
        <f>IF(AA119&lt;VLOOKUP(AG119,Variables!$AC$3:$AD$8,2,FALSE),"Y","N")</f>
        <v>N</v>
      </c>
      <c r="X119" s="248">
        <f t="shared" si="63"/>
        <v>1</v>
      </c>
      <c r="Y119" s="248">
        <f t="shared" si="64"/>
        <v>5.1700000000000003E-2</v>
      </c>
      <c r="Z119" s="248">
        <f t="shared" si="65"/>
        <v>23.325700000000001</v>
      </c>
      <c r="AA119" s="248">
        <f t="shared" si="66"/>
        <v>23.274000000000001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67"/>
        <v>205</v>
      </c>
      <c r="AE119" s="236" t="str">
        <f t="shared" si="68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119" s="235" t="str">
        <f t="shared" si="69"/>
        <v>"C:\Program Files (x86)\AstroGrep\AstroGrep.exe" /e /r /s /spath="%USERPROFILE%\AppData\Local\Temp\OnboardLogs" /stypes="app*4060*20171127*" /stext=" 00:.+((SYSTEM_STATE.+slice.+state.+changed )|(ment ac)|(multiple cpu faults)|(system.+state.+changed )|(\[timeout)|(PRM\|1\|D)|(kpr)|(kdp)|(train st.+moving)|(\|lc)|(penalty))"</v>
      </c>
      <c r="AG119" s="245" t="str">
        <f t="shared" si="70"/>
        <v>EC</v>
      </c>
      <c r="AH119" s="237" t="str">
        <f t="shared" si="52"/>
        <v>"%USERPROFILE%\Documents\GitHub\eaglep3\Utilities\RefineRTDCRunTimes.py" --tripid 205-26 --locoid 4060 --swversion DE.1.0.9.0 --startMP 204:517 --initTime 2017-11-26T16:41:04 --startdatetime 2017-11-26T16:45:29 --delay 84 --endMP 204:233257 --enddatetime 2017-11-26T17:21:20 --enforcementcount 0 &gt;&gt;%USERPROFILE%\Documents\GitHub\eaglep3-reporting\EC\2017-11-26-refined-times.txt</v>
      </c>
      <c r="AI11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{"issue":{"subject":"","project_id":79,"tracker_id":40,"status_id":1,"priority_id":2,"assigned_to_id":338,"start_date":"2017-11-26","description":"","custom_fields":[{"id":1,"name":"Subdivision","value":"EC"},{"id":4,"name":"Milepost","value":"23.3257"},{"id":17,"name":"Train ID","value":"205-26"},{"id":16,"name":"Locomotive ID","value":"4060"},{"id":130,"name":"Impact","value":""},{"id":150,"name":"Time of Event (Mountain Time)","value":"17:21:20"},{"id":151,"name":"Denver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54"/>
        <v>start /low /b %USERPROFILE%\Documents\GitHub\eaglep3\Utilities\DownloadLogsFromS3.py --loco 4060 --day 2017-11-26</v>
      </c>
      <c r="AN119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56"/>
        <v>https://d0f6bd738d7f1b3e5a7ca70fe4ff75f0.us-east-1.aws.found.io/app/kibana#/discover/Steve-Slow-Train-Analysis-(2080s-and-2083s)?_g=(refreshInterval:(display:Off,pause:!f,section:0,value:0),time:(from:'2017-11-26T15:41:04-0700',mode:absolute,to:'2017-11-26T18:21:20-0700'))&amp;_a=(columns:!('Message%20ID',Summary),filters:!(),index:'emp_*',interval:auto,query:(query_string:(analyze_wildcard:!t,query:'%22rtdc.l.rtdc.4060%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4" customFormat="1" x14ac:dyDescent="0.25">
      <c r="A120" s="230" t="s">
        <v>840</v>
      </c>
      <c r="B120" s="226">
        <v>4059</v>
      </c>
      <c r="C120" s="228" t="s">
        <v>192</v>
      </c>
      <c r="D120" s="228" t="s">
        <v>512</v>
      </c>
      <c r="E120" s="227">
        <v>43065.733020833337</v>
      </c>
      <c r="F120" s="227">
        <v>43065.737719907411</v>
      </c>
      <c r="G120" s="226">
        <v>79</v>
      </c>
      <c r="H120" s="228" t="s">
        <v>617</v>
      </c>
      <c r="I120" s="227">
        <v>43065.76321759259</v>
      </c>
      <c r="J120" s="226">
        <v>0</v>
      </c>
      <c r="K120" s="238" t="str">
        <f t="shared" si="57"/>
        <v>4059/4060</v>
      </c>
      <c r="L120" s="246" t="str">
        <f>VLOOKUP(A120,'Trips&amp;Operators'!$C$1:$G$99911,5,FALSE)</f>
        <v>SAFIEF AEIMEN</v>
      </c>
      <c r="M120" s="225">
        <f t="shared" si="58"/>
        <v>2.5497685179288965E-2</v>
      </c>
      <c r="N120" s="226">
        <f t="shared" si="59"/>
        <v>36.716666658176109</v>
      </c>
      <c r="O120" s="226"/>
      <c r="P120" s="226"/>
      <c r="Q120" s="229"/>
      <c r="R120" s="243"/>
      <c r="S120" s="250">
        <f t="shared" si="60"/>
        <v>1</v>
      </c>
      <c r="T120" s="243" t="str">
        <f t="shared" si="61"/>
        <v>Southbound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62"/>
        <v>https://d0f6bd738d7f1b3e5a7ca70fe4ff75f0.us-east-1.aws.found.io/app/kibana#/discover/Steve-Slow-Train-Analysis-(2080s-and-2083s)?_g=(refreshInterval:(display:Off,pause:!f,section:0,value:0),time:(from:'2017-11-26T16:35:33-0700',mode:absolute,to:'2017-11-26T19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0" s="248" t="str">
        <f>IF(AA120&lt;VLOOKUP(AG120,Variables!$AC$3:$AD$8,2,FALSE),"Y","N")</f>
        <v>N</v>
      </c>
      <c r="X120" s="248">
        <f t="shared" si="63"/>
        <v>1</v>
      </c>
      <c r="Y120" s="248">
        <f t="shared" si="64"/>
        <v>23.293399999999998</v>
      </c>
      <c r="Z120" s="248">
        <f t="shared" si="65"/>
        <v>2.2100000000000002E-2</v>
      </c>
      <c r="AA120" s="248">
        <f t="shared" si="66"/>
        <v>23.2713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67"/>
        <v>206</v>
      </c>
      <c r="AE120" s="236" t="str">
        <f t="shared" si="68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120" s="235" t="str">
        <f t="shared" si="69"/>
        <v>"C:\Program Files (x86)\AstroGrep\AstroGrep.exe" /e /r /s /spath="%USERPROFILE%\AppData\Local\Temp\OnboardLogs" /stypes="app*4059*20171127*" /stext=" 01:.+((SYSTEM_STATE.+slice.+state.+changed )|(ment ac)|(multiple cpu faults)|(system.+state.+changed )|(\[timeout)|(PRM\|1\|D)|(kpr)|(kdp)|(train st.+moving)|(\|lc)|(penalty))"</v>
      </c>
      <c r="AG120" s="245" t="str">
        <f t="shared" si="70"/>
        <v>EC</v>
      </c>
      <c r="AH120" s="237" t="str">
        <f t="shared" si="52"/>
        <v>"%USERPROFILE%\Documents\GitHub\eaglep3\Utilities\RefineRTDCRunTimes.py" --tripid 206-26 --locoid 4059 --swversion DE.1.0.9.0 --startMP 204:232934 --initTime 2017-11-26T17:35:33 --startdatetime 2017-11-26T17:42:19 --delay 79 --endMP 204:221 --enddatetime 2017-11-26T18:19:02 --enforcementcount 0 &gt;&gt;%USERPROFILE%\Documents\GitHub\eaglep3-reporting\EC\2017-11-26-refined-times.txt</v>
      </c>
      <c r="AI12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{"issue":{"subject":"","project_id":79,"tracker_id":40,"status_id":1,"priority_id":2,"assigned_to_id":338,"start_date":"2017-11-26","description":"","custom_fields":[{"id":1,"name":"Subdivision","value":"EC"},{"id":4,"name":"Milepost","value":"0.0221"},{"id":17,"name":"Train ID","value":"206-26"},{"id":16,"name":"Locomotive ID","value":"4059"},{"id":130,"name":"Impact","value":""},{"id":150,"name":"Time of Event (Mountain Time)","value":"18:19:02"},{"id":151,"name":"Denver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2"/>
      <c r="AL120" s="232"/>
      <c r="AM120" s="241" t="str">
        <f t="shared" si="54"/>
        <v>start /low /b %USERPROFILE%\Documents\GitHub\eaglep3\Utilities\DownloadLogsFromS3.py --loco 4059 --day 2017-11-26</v>
      </c>
      <c r="AN120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56"/>
        <v>https://d0f6bd738d7f1b3e5a7ca70fe4ff75f0.us-east-1.aws.found.io/app/kibana#/discover/Steve-Slow-Train-Analysis-(2080s-and-2083s)?_g=(refreshInterval:(display:Off,pause:!f,section:0,value:0),time:(from:'2017-11-26T16:35:33-0700',mode:absolute,to:'2017-11-26T19:19:02-0700'))&amp;_a=(columns:!('Message%20ID',Summary),filters:!(),index:'emp_*',interval:auto,query:(query_string:(analyze_wildcard:!t,query:'%22rtdc.l.rtdc.4059%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30" t="s">
        <v>830</v>
      </c>
      <c r="B121" s="226">
        <v>4050</v>
      </c>
      <c r="C121" s="228" t="s">
        <v>192</v>
      </c>
      <c r="D121" s="228" t="s">
        <v>998</v>
      </c>
      <c r="E121" s="227">
        <v>43065.704722222225</v>
      </c>
      <c r="F121" s="227">
        <v>43065.708506944444</v>
      </c>
      <c r="G121" s="226">
        <v>55</v>
      </c>
      <c r="H121" s="228" t="s">
        <v>999</v>
      </c>
      <c r="I121" s="227">
        <v>43065.734386574077</v>
      </c>
      <c r="J121" s="226">
        <v>0</v>
      </c>
      <c r="K121" s="238" t="str">
        <f t="shared" si="57"/>
        <v>4049/4050</v>
      </c>
      <c r="L121" s="246" t="str">
        <f>VLOOKUP(A121,'Trips&amp;Operators'!$C$1:$G$99911,5,FALSE)</f>
        <v>GUZMAN DANNY</v>
      </c>
      <c r="M121" s="225">
        <f t="shared" si="58"/>
        <v>2.587962963298196E-2</v>
      </c>
      <c r="N121" s="226">
        <f t="shared" si="59"/>
        <v>37.266666671494022</v>
      </c>
      <c r="O121" s="226"/>
      <c r="P121" s="226"/>
      <c r="Q121" s="229"/>
      <c r="R121" s="243"/>
      <c r="S121" s="250">
        <f t="shared" si="60"/>
        <v>1</v>
      </c>
      <c r="T121" s="243" t="str">
        <f t="shared" si="61"/>
        <v>NorthBound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62"/>
        <v>https://d0f6bd738d7f1b3e5a7ca70fe4ff75f0.us-east-1.aws.found.io/app/kibana#/discover/Steve-Slow-Train-Analysis-(2080s-and-2083s)?_g=(refreshInterval:(display:Off,pause:!f,section:0,value:0),time:(from:'2017-11-26T15:54:48-0700',mode:absolute,to:'2017-11-26T18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248" t="str">
        <f>IF(AA121&lt;VLOOKUP(AG121,Variables!$AC$3:$AD$8,2,FALSE),"Y","N")</f>
        <v>N</v>
      </c>
      <c r="X121" s="248">
        <f t="shared" si="63"/>
        <v>1</v>
      </c>
      <c r="Y121" s="248">
        <f t="shared" si="64"/>
        <v>5.5500000000000001E-2</v>
      </c>
      <c r="Z121" s="248">
        <f t="shared" si="65"/>
        <v>23.319500000000001</v>
      </c>
      <c r="AA121" s="248">
        <f t="shared" si="66"/>
        <v>23.264000000000003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67"/>
        <v>207</v>
      </c>
      <c r="AE121" s="236" t="str">
        <f t="shared" si="68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121" s="235" t="str">
        <f t="shared" si="69"/>
        <v>"C:\Program Files (x86)\AstroGrep\AstroGrep.exe" /e /r /s /spath="%USERPROFILE%\AppData\Local\Temp\OnboardLogs" /stypes="app*4050*20171127*" /stext=" 00:.+((SYSTEM_STATE.+slice.+state.+changed )|(ment ac)|(multiple cpu faults)|(system.+state.+changed )|(\[timeout)|(PRM\|1\|D)|(kpr)|(kdp)|(train st.+moving)|(\|lc)|(penalty))"</v>
      </c>
      <c r="AG121" s="245" t="str">
        <f t="shared" si="70"/>
        <v>EC</v>
      </c>
      <c r="AH121" s="237" t="str">
        <f t="shared" si="52"/>
        <v>"%USERPROFILE%\Documents\GitHub\eaglep3\Utilities\RefineRTDCRunTimes.py" --tripid 207-26 --locoid 4050 --swversion DE.1.0.9.0 --startMP 204:555 --initTime 2017-11-26T16:54:48 --startdatetime 2017-11-26T17:00:15 --delay 55 --endMP 204:233195 --enddatetime 2017-11-26T17:37:31 --enforcementcount 0 &gt;&gt;%USERPROFILE%\Documents\GitHub\eaglep3-reporting\EC\2017-11-26-refined-times.txt</v>
      </c>
      <c r="AI12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{"issue":{"subject":"","project_id":79,"tracker_id":40,"status_id":1,"priority_id":2,"assigned_to_id":338,"start_date":"2017-11-26","description":"","custom_fields":[{"id":1,"name":"Subdivision","value":"EC"},{"id":4,"name":"Milepost","value":"23.3195"},{"id":17,"name":"Train ID","value":"207-26"},{"id":16,"name":"Locomotive ID","value":"4050"},{"id":130,"name":"Impact","value":""},{"id":150,"name":"Time of Event (Mountain Time)","value":"17:37:31"},{"id":151,"name":"Denver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54"/>
        <v>start /low /b %USERPROFILE%\Documents\GitHub\eaglep3\Utilities\DownloadLogsFromS3.py --loco 4050 --day 2017-11-26</v>
      </c>
      <c r="AN121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56"/>
        <v>https://d0f6bd738d7f1b3e5a7ca70fe4ff75f0.us-east-1.aws.found.io/app/kibana#/discover/Steve-Slow-Train-Analysis-(2080s-and-2083s)?_g=(refreshInterval:(display:Off,pause:!f,section:0,value:0),time:(from:'2017-11-26T15:54:48-0700',mode:absolute,to:'2017-11-26T18:37:31-0700'))&amp;_a=(columns:!('Message%20ID',Summary),filters:!(),index:'emp_*',interval:auto,query:(query_string:(analyze_wildcard:!t,query:'%22rtdc.l.rtdc.4050%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0" t="s">
        <v>841</v>
      </c>
      <c r="B122" s="226">
        <v>4049</v>
      </c>
      <c r="C122" s="228" t="s">
        <v>192</v>
      </c>
      <c r="D122" s="228" t="s">
        <v>908</v>
      </c>
      <c r="E122" s="227">
        <v>43065.736377314817</v>
      </c>
      <c r="F122" s="227">
        <v>43065.748159722221</v>
      </c>
      <c r="G122" s="226">
        <v>58</v>
      </c>
      <c r="H122" s="228" t="s">
        <v>1000</v>
      </c>
      <c r="I122" s="227">
        <v>43065.774143518516</v>
      </c>
      <c r="J122" s="226">
        <v>0</v>
      </c>
      <c r="K122" s="238" t="str">
        <f t="shared" si="57"/>
        <v>4049/4050</v>
      </c>
      <c r="L122" s="246" t="str">
        <f>VLOOKUP(A122,'Trips&amp;Operators'!$C$1:$G$99911,5,FALSE)</f>
        <v>GUZMAN DANNY</v>
      </c>
      <c r="M122" s="225">
        <f t="shared" si="58"/>
        <v>2.5983796294895001E-2</v>
      </c>
      <c r="N122" s="226">
        <f t="shared" si="59"/>
        <v>37.416666664648801</v>
      </c>
      <c r="O122" s="226"/>
      <c r="P122" s="226"/>
      <c r="Q122" s="229"/>
      <c r="R122" s="243"/>
      <c r="S122" s="250">
        <f t="shared" si="60"/>
        <v>1</v>
      </c>
      <c r="T122" s="243" t="str">
        <f t="shared" si="61"/>
        <v>Southbound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62"/>
        <v>https://d0f6bd738d7f1b3e5a7ca70fe4ff75f0.us-east-1.aws.found.io/app/kibana#/discover/Steve-Slow-Train-Analysis-(2080s-and-2083s)?_g=(refreshInterval:(display:Off,pause:!f,section:0,value:0),time:(from:'2017-11-26T16:40:23-0700',mode:absolute,to:'2017-11-26T19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248" t="str">
        <f>IF(AA122&lt;VLOOKUP(AG122,Variables!$AC$3:$AD$8,2,FALSE),"Y","N")</f>
        <v>N</v>
      </c>
      <c r="X122" s="248">
        <f t="shared" si="63"/>
        <v>1</v>
      </c>
      <c r="Y122" s="248">
        <f t="shared" si="64"/>
        <v>23.2881</v>
      </c>
      <c r="Z122" s="248">
        <f t="shared" si="65"/>
        <v>2.8500000000000001E-2</v>
      </c>
      <c r="AA122" s="248">
        <f t="shared" si="66"/>
        <v>23.259599999999999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67"/>
        <v>208</v>
      </c>
      <c r="AE122" s="236" t="str">
        <f t="shared" si="68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122" s="235" t="str">
        <f t="shared" si="69"/>
        <v>"C:\Program Files (x86)\AstroGrep\AstroGrep.exe" /e /r /s /spath="%USERPROFILE%\AppData\Local\Temp\OnboardLogs" /stypes="app*4049*20171127*" /stext=" 01:.+((SYSTEM_STATE.+slice.+state.+changed )|(ment ac)|(multiple cpu faults)|(system.+state.+changed )|(\[timeout)|(PRM\|1\|D)|(kpr)|(kdp)|(train st.+moving)|(\|lc)|(penalty))"</v>
      </c>
      <c r="AG122" s="245" t="str">
        <f t="shared" si="70"/>
        <v>EC</v>
      </c>
      <c r="AH122" s="237" t="str">
        <f t="shared" si="52"/>
        <v>"%USERPROFILE%\Documents\GitHub\eaglep3\Utilities\RefineRTDCRunTimes.py" --tripid 208-26 --locoid 4049 --swversion DE.1.0.9.0 --startMP 204:232881 --initTime 2017-11-26T17:40:23 --startdatetime 2017-11-26T17:57:21 --delay 58 --endMP 204:285 --enddatetime 2017-11-26T18:34:46 --enforcementcount 0 &gt;&gt;%USERPROFILE%\Documents\GitHub\eaglep3-reporting\EC\2017-11-26-refined-times.txt</v>
      </c>
      <c r="AI122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{"issue":{"subject":"","project_id":79,"tracker_id":40,"status_id":1,"priority_id":2,"assigned_to_id":338,"start_date":"2017-11-26","description":"","custom_fields":[{"id":1,"name":"Subdivision","value":"EC"},{"id":4,"name":"Milepost","value":"0.0285"},{"id":17,"name":"Train ID","value":"208-26"},{"id":16,"name":"Locomotive ID","value":"4049"},{"id":130,"name":"Impact","value":""},{"id":150,"name":"Time of Event (Mountain Time)","value":"18:34:46"},{"id":151,"name":"Denver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54"/>
        <v>start /low /b %USERPROFILE%\Documents\GitHub\eaglep3\Utilities\DownloadLogsFromS3.py --loco 4049 --day 2017-11-26</v>
      </c>
      <c r="AN122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56"/>
        <v>https://d0f6bd738d7f1b3e5a7ca70fe4ff75f0.us-east-1.aws.found.io/app/kibana#/discover/Steve-Slow-Train-Analysis-(2080s-and-2083s)?_g=(refreshInterval:(display:Off,pause:!f,section:0,value:0),time:(from:'2017-11-26T16:40:23-0700',mode:absolute,to:'2017-11-26T19:34:46-0700'))&amp;_a=(columns:!('Message%20ID',Summary),filters:!(),index:'emp_*',interval:auto,query:(query_string:(analyze_wildcard:!t,query:'%22rtdc.l.rtdc.4049%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835</v>
      </c>
      <c r="B123" s="226">
        <v>4042</v>
      </c>
      <c r="C123" s="228" t="s">
        <v>192</v>
      </c>
      <c r="D123" s="228" t="s">
        <v>492</v>
      </c>
      <c r="E123" s="227">
        <v>43065.714513888888</v>
      </c>
      <c r="F123" s="227">
        <v>43065.719166666669</v>
      </c>
      <c r="G123" s="226">
        <v>117</v>
      </c>
      <c r="H123" s="228" t="s">
        <v>1001</v>
      </c>
      <c r="I123" s="227">
        <v>43065.743784722225</v>
      </c>
      <c r="J123" s="226">
        <v>0</v>
      </c>
      <c r="K123" s="238" t="str">
        <f t="shared" si="57"/>
        <v>4041/4042</v>
      </c>
      <c r="L123" s="246" t="str">
        <f>VLOOKUP(A123,'Trips&amp;Operators'!$C$1:$G$99911,5,FALSE)</f>
        <v>STAMBAUGH JAMES</v>
      </c>
      <c r="M123" s="225">
        <f t="shared" si="58"/>
        <v>2.4618055555038154E-2</v>
      </c>
      <c r="N123" s="226">
        <f t="shared" si="59"/>
        <v>35.449999999254942</v>
      </c>
      <c r="O123" s="226"/>
      <c r="P123" s="226"/>
      <c r="Q123" s="229"/>
      <c r="R123" s="243"/>
      <c r="S123" s="250">
        <f t="shared" si="60"/>
        <v>1</v>
      </c>
      <c r="T123" s="243" t="str">
        <f t="shared" si="61"/>
        <v>NorthBound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62"/>
        <v>https://d0f6bd738d7f1b3e5a7ca70fe4ff75f0.us-east-1.aws.found.io/app/kibana#/discover/Steve-Slow-Train-Analysis-(2080s-and-2083s)?_g=(refreshInterval:(display:Off,pause:!f,section:0,value:0),time:(from:'2017-11-26T16:08:54-0700',mode:absolute,to:'2017-11-26T18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248" t="str">
        <f>IF(AA123&lt;VLOOKUP(AG123,Variables!$AC$3:$AD$8,2,FALSE),"Y","N")</f>
        <v>N</v>
      </c>
      <c r="X123" s="248">
        <f t="shared" si="63"/>
        <v>1</v>
      </c>
      <c r="Y123" s="248">
        <f t="shared" si="64"/>
        <v>5.1999999999999998E-2</v>
      </c>
      <c r="Z123" s="248">
        <f t="shared" si="65"/>
        <v>23.322800000000001</v>
      </c>
      <c r="AA123" s="248">
        <f t="shared" si="66"/>
        <v>23.270800000000001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67"/>
        <v>209</v>
      </c>
      <c r="AE123" s="236" t="str">
        <f t="shared" si="68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123" s="235" t="str">
        <f t="shared" si="69"/>
        <v>"C:\Program Files (x86)\AstroGrep\AstroGrep.exe" /e /r /s /spath="%USERPROFILE%\AppData\Local\Temp\OnboardLogs" /stypes="app*4042*20171127*" /stext=" 00:.+((SYSTEM_STATE.+slice.+state.+changed )|(ment ac)|(multiple cpu faults)|(system.+state.+changed )|(\[timeout)|(PRM\|1\|D)|(kpr)|(kdp)|(train st.+moving)|(\|lc)|(penalty))"</v>
      </c>
      <c r="AG123" s="245" t="str">
        <f t="shared" si="70"/>
        <v>EC</v>
      </c>
      <c r="AH123" s="237" t="str">
        <f t="shared" si="52"/>
        <v>"%USERPROFILE%\Documents\GitHub\eaglep3\Utilities\RefineRTDCRunTimes.py" --tripid 209-26 --locoid 4042 --swversion DE.1.0.9.0 --startMP 204:520 --initTime 2017-11-26T17:08:54 --startdatetime 2017-11-26T17:15:36 --delay 117 --endMP 204:233228 --enddatetime 2017-11-26T17:51:03 --enforcementcount 0 &gt;&gt;%USERPROFILE%\Documents\GitHub\eaglep3-reporting\EC\2017-11-26-refined-times.txt</v>
      </c>
      <c r="AI123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{"issue":{"subject":"","project_id":79,"tracker_id":40,"status_id":1,"priority_id":2,"assigned_to_id":338,"start_date":"2017-11-26","description":"","custom_fields":[{"id":1,"name":"Subdivision","value":"EC"},{"id":4,"name":"Milepost","value":"23.3228"},{"id":17,"name":"Train ID","value":"209-26"},{"id":16,"name":"Locomotive ID","value":"4042"},{"id":130,"name":"Impact","value":""},{"id":150,"name":"Time of Event (Mountain Time)","value":"17:51:03"},{"id":151,"name":"Denver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54"/>
        <v>start /low /b %USERPROFILE%\Documents\GitHub\eaglep3\Utilities\DownloadLogsFromS3.py --loco 4042 --day 2017-11-26</v>
      </c>
      <c r="AN123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56"/>
        <v>https://d0f6bd738d7f1b3e5a7ca70fe4ff75f0.us-east-1.aws.found.io/app/kibana#/discover/Steve-Slow-Train-Analysis-(2080s-and-2083s)?_g=(refreshInterval:(display:Off,pause:!f,section:0,value:0),time:(from:'2017-11-26T16:08:54-0700',mode:absolute,to:'2017-11-26T18:51:03-0700'))&amp;_a=(columns:!('Message%20ID',Summary),filters:!(),index:'emp_*',interval:auto,query:(query_string:(analyze_wildcard:!t,query:'%22rtdc.l.rtdc.4042%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845</v>
      </c>
      <c r="B124" s="226">
        <v>4041</v>
      </c>
      <c r="C124" s="228" t="s">
        <v>192</v>
      </c>
      <c r="D124" s="228" t="s">
        <v>542</v>
      </c>
      <c r="E124" s="227">
        <v>43065.755381944444</v>
      </c>
      <c r="F124" s="227">
        <v>43065.758703703701</v>
      </c>
      <c r="G124" s="226">
        <v>71</v>
      </c>
      <c r="H124" s="228" t="s">
        <v>638</v>
      </c>
      <c r="I124" s="227">
        <v>43065.783645833333</v>
      </c>
      <c r="J124" s="226">
        <v>0</v>
      </c>
      <c r="K124" s="238" t="str">
        <f t="shared" si="57"/>
        <v>4041/4042</v>
      </c>
      <c r="L124" s="246" t="str">
        <f>VLOOKUP(A124,'Trips&amp;Operators'!$C$1:$G$99911,5,FALSE)</f>
        <v>STAMBAUGH JAMES</v>
      </c>
      <c r="M124" s="225">
        <f t="shared" si="58"/>
        <v>2.4942129632108845E-2</v>
      </c>
      <c r="N124" s="226">
        <f t="shared" si="59"/>
        <v>35.916666670236737</v>
      </c>
      <c r="O124" s="226"/>
      <c r="P124" s="226"/>
      <c r="Q124" s="229"/>
      <c r="R124" s="243"/>
      <c r="S124" s="250">
        <f t="shared" si="60"/>
        <v>1</v>
      </c>
      <c r="T124" s="243" t="str">
        <f t="shared" si="61"/>
        <v>Southbound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62"/>
        <v>https://d0f6bd738d7f1b3e5a7ca70fe4ff75f0.us-east-1.aws.found.io/app/kibana#/discover/Steve-Slow-Train-Analysis-(2080s-and-2083s)?_g=(refreshInterval:(display:Off,pause:!f,section:0,value:0),time:(from:'2017-11-26T17:07:45-0700',mode:absolute,to:'2017-11-26T19:48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248" t="str">
        <f>IF(AA124&lt;VLOOKUP(AG124,Variables!$AC$3:$AD$8,2,FALSE),"Y","N")</f>
        <v>N</v>
      </c>
      <c r="X124" s="248">
        <f t="shared" si="63"/>
        <v>1</v>
      </c>
      <c r="Y124" s="248">
        <f t="shared" si="64"/>
        <v>23.293600000000001</v>
      </c>
      <c r="Z124" s="248">
        <f t="shared" si="65"/>
        <v>2.3599999999999999E-2</v>
      </c>
      <c r="AA124" s="248">
        <f t="shared" si="66"/>
        <v>23.270000000000003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67"/>
        <v>210</v>
      </c>
      <c r="AE124" s="236" t="str">
        <f t="shared" si="68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124" s="235" t="str">
        <f t="shared" si="69"/>
        <v>"C:\Program Files (x86)\AstroGrep\AstroGrep.exe" /e /r /s /spath="%USERPROFILE%\AppData\Local\Temp\OnboardLogs" /stypes="app*4041*20171127*" /stext=" 01:.+((SYSTEM_STATE.+slice.+state.+changed )|(ment ac)|(multiple cpu faults)|(system.+state.+changed )|(\[timeout)|(PRM\|1\|D)|(kpr)|(kdp)|(train st.+moving)|(\|lc)|(penalty))"</v>
      </c>
      <c r="AG124" s="245" t="str">
        <f t="shared" si="70"/>
        <v>EC</v>
      </c>
      <c r="AH124" s="237" t="str">
        <f t="shared" si="52"/>
        <v>"%USERPROFILE%\Documents\GitHub\eaglep3\Utilities\RefineRTDCRunTimes.py" --tripid 210-26 --locoid 4041 --swversion DE.1.0.9.0 --startMP 204:232936 --initTime 2017-11-26T18:07:45 --startdatetime 2017-11-26T18:12:32 --delay 71 --endMP 204:236 --enddatetime 2017-11-26T18:48:27 --enforcementcount 0 &gt;&gt;%USERPROFILE%\Documents\GitHub\eaglep3-reporting\EC\2017-11-26-refined-times.txt</v>
      </c>
      <c r="AI124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{"issue":{"subject":"","project_id":79,"tracker_id":40,"status_id":1,"priority_id":2,"assigned_to_id":338,"start_date":"2017-11-26","description":"","custom_fields":[{"id":1,"name":"Subdivision","value":"EC"},{"id":4,"name":"Milepost","value":"0.0236"},{"id":17,"name":"Train ID","value":"210-26"},{"id":16,"name":"Locomotive ID","value":"4041"},{"id":130,"name":"Impact","value":""},{"id":150,"name":"Time of Event (Mountain Time)","value":"18:48:27"},{"id":151,"name":"Denver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54"/>
        <v>start /low /b %USERPROFILE%\Documents\GitHub\eaglep3\Utilities\DownloadLogsFromS3.py --loco 4041 --day 2017-11-26</v>
      </c>
      <c r="AN124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56"/>
        <v>https://d0f6bd738d7f1b3e5a7ca70fe4ff75f0.us-east-1.aws.found.io/app/kibana#/discover/Steve-Slow-Train-Analysis-(2080s-and-2083s)?_g=(refreshInterval:(display:Off,pause:!f,section:0,value:0),time:(from:'2017-11-26T17:07:45-0700',mode:absolute,to:'2017-11-26T19:48:27-0700'))&amp;_a=(columns:!('Message%20ID',Summary),filters:!(),index:'emp_*',interval:auto,query:(query_string:(analyze_wildcard:!t,query:'%22rtdc.l.rtdc.4041%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836</v>
      </c>
      <c r="B125" s="226">
        <v>4006</v>
      </c>
      <c r="C125" s="228" t="s">
        <v>192</v>
      </c>
      <c r="D125" s="228" t="s">
        <v>598</v>
      </c>
      <c r="E125" s="227">
        <v>43065.723321759258</v>
      </c>
      <c r="F125" s="227">
        <v>43065.72934027778</v>
      </c>
      <c r="G125" s="226">
        <v>72</v>
      </c>
      <c r="H125" s="228" t="s">
        <v>611</v>
      </c>
      <c r="I125" s="227">
        <v>43065.753738425927</v>
      </c>
      <c r="J125" s="226">
        <v>0</v>
      </c>
      <c r="K125" s="238" t="str">
        <f t="shared" si="57"/>
        <v>4005/4006</v>
      </c>
      <c r="L125" s="246" t="str">
        <f>VLOOKUP(A125,'Trips&amp;Operators'!$C$1:$G$99911,5,FALSE)</f>
        <v>GONZALEZ ARMANDO</v>
      </c>
      <c r="M125" s="225">
        <f t="shared" si="58"/>
        <v>2.4398148147156462E-2</v>
      </c>
      <c r="N125" s="226">
        <f t="shared" si="59"/>
        <v>35.133333331905305</v>
      </c>
      <c r="O125" s="226"/>
      <c r="P125" s="226"/>
      <c r="Q125" s="229"/>
      <c r="R125" s="243"/>
      <c r="S125" s="250">
        <f t="shared" si="60"/>
        <v>1</v>
      </c>
      <c r="T125" s="243" t="str">
        <f t="shared" si="61"/>
        <v>NorthBound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62"/>
        <v>https://d0f6bd738d7f1b3e5a7ca70fe4ff75f0.us-east-1.aws.found.io/app/kibana#/discover/Steve-Slow-Train-Analysis-(2080s-and-2083s)?_g=(refreshInterval:(display:Off,pause:!f,section:0,value:0),time:(from:'2017-11-26T16:21:35-0700',mode:absolute,to:'2017-11-26T19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5" s="248" t="str">
        <f>IF(AA125&lt;VLOOKUP(AG125,Variables!$AC$3:$AD$8,2,FALSE),"Y","N")</f>
        <v>N</v>
      </c>
      <c r="X125" s="248">
        <f t="shared" si="63"/>
        <v>1</v>
      </c>
      <c r="Y125" s="248">
        <f t="shared" si="64"/>
        <v>4.6899999999999997E-2</v>
      </c>
      <c r="Z125" s="248">
        <f t="shared" si="65"/>
        <v>23.3325</v>
      </c>
      <c r="AA125" s="248">
        <f t="shared" si="66"/>
        <v>23.285599999999999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67"/>
        <v>211</v>
      </c>
      <c r="AE125" s="236" t="str">
        <f t="shared" si="68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125" s="235" t="str">
        <f t="shared" si="69"/>
        <v>"C:\Program Files (x86)\AstroGrep\AstroGrep.exe" /e /r /s /spath="%USERPROFILE%\AppData\Local\Temp\OnboardLogs" /stypes="app*4006*20171127*" /stext=" 01:.+((SYSTEM_STATE.+slice.+state.+changed )|(ment ac)|(multiple cpu faults)|(system.+state.+changed )|(\[timeout)|(PRM\|1\|D)|(kpr)|(kdp)|(train st.+moving)|(\|lc)|(penalty))"</v>
      </c>
      <c r="AG125" s="245" t="str">
        <f t="shared" si="70"/>
        <v>EC</v>
      </c>
      <c r="AH125" s="237" t="str">
        <f t="shared" si="52"/>
        <v>"%USERPROFILE%\Documents\GitHub\eaglep3\Utilities\RefineRTDCRunTimes.py" --tripid 211-26 --locoid 4006 --swversion DE.1.0.9.0 --startMP 204:469 --initTime 2017-11-26T17:21:35 --startdatetime 2017-11-26T17:30:15 --delay 72 --endMP 204:233325 --enddatetime 2017-11-26T18:05:23 --enforcementcount 0 &gt;&gt;%USERPROFILE%\Documents\GitHub\eaglep3-reporting\EC\2017-11-26-refined-times.txt</v>
      </c>
      <c r="AI125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{"issue":{"subject":"","project_id":79,"tracker_id":40,"status_id":1,"priority_id":2,"assigned_to_id":338,"start_date":"2017-11-26","description":"","custom_fields":[{"id":1,"name":"Subdivision","value":"EC"},{"id":4,"name":"Milepost","value":"23.3325"},{"id":17,"name":"Train ID","value":"211-26"},{"id":16,"name":"Locomotive ID","value":"4006"},{"id":130,"name":"Impact","value":""},{"id":150,"name":"Time of Event (Mountain Time)","value":"18:05:23"},{"id":151,"name":"Denver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54"/>
        <v>start /low /b %USERPROFILE%\Documents\GitHub\eaglep3\Utilities\DownloadLogsFromS3.py --loco 4006 --day 2017-11-26</v>
      </c>
      <c r="AN125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56"/>
        <v>https://d0f6bd738d7f1b3e5a7ca70fe4ff75f0.us-east-1.aws.found.io/app/kibana#/discover/Steve-Slow-Train-Analysis-(2080s-and-2083s)?_g=(refreshInterval:(display:Off,pause:!f,section:0,value:0),time:(from:'2017-11-26T16:21:35-0700',mode:absolute,to:'2017-11-26T19:05:23-0700'))&amp;_a=(columns:!('Message%20ID',Summary),filters:!(),index:'emp_*',interval:auto,query:(query_string:(analyze_wildcard:!t,query:'%22rtdc.l.rtdc.4006%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30" t="s">
        <v>847</v>
      </c>
      <c r="B126" s="226">
        <v>4005</v>
      </c>
      <c r="C126" s="228" t="s">
        <v>192</v>
      </c>
      <c r="D126" s="228" t="s">
        <v>1002</v>
      </c>
      <c r="E126" s="227">
        <v>43065.763715277775</v>
      </c>
      <c r="F126" s="227">
        <v>43065.768935185188</v>
      </c>
      <c r="G126" s="226">
        <v>66</v>
      </c>
      <c r="H126" s="228" t="s">
        <v>605</v>
      </c>
      <c r="I126" s="227">
        <v>43065.79415509259</v>
      </c>
      <c r="J126" s="226">
        <v>0</v>
      </c>
      <c r="K126" s="238" t="str">
        <f t="shared" si="57"/>
        <v>4005/4006</v>
      </c>
      <c r="L126" s="246" t="str">
        <f>VLOOKUP(A126,'Trips&amp;Operators'!$C$1:$G$99911,5,FALSE)</f>
        <v>GONZALEZ ARMANDO</v>
      </c>
      <c r="M126" s="225">
        <f t="shared" si="58"/>
        <v>2.5219907402060926E-2</v>
      </c>
      <c r="N126" s="226">
        <f t="shared" si="59"/>
        <v>36.316666658967733</v>
      </c>
      <c r="O126" s="226"/>
      <c r="P126" s="226"/>
      <c r="Q126" s="229"/>
      <c r="R126" s="243"/>
      <c r="S126" s="250">
        <f t="shared" si="60"/>
        <v>1</v>
      </c>
      <c r="T126" s="243" t="str">
        <f t="shared" si="61"/>
        <v>Southbound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62"/>
        <v>https://d0f6bd738d7f1b3e5a7ca70fe4ff75f0.us-east-1.aws.found.io/app/kibana#/discover/Steve-Slow-Train-Analysis-(2080s-and-2083s)?_g=(refreshInterval:(display:Off,pause:!f,section:0,value:0),time:(from:'2017-11-26T17:19:45-0700',mode:absolute,to:'2017-11-26T20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6" s="248" t="str">
        <f>IF(AA126&lt;VLOOKUP(AG126,Variables!$AC$3:$AD$8,2,FALSE),"Y","N")</f>
        <v>N</v>
      </c>
      <c r="X126" s="248">
        <f t="shared" si="63"/>
        <v>1</v>
      </c>
      <c r="Y126" s="248">
        <f t="shared" si="64"/>
        <v>23.300599999999999</v>
      </c>
      <c r="Z126" s="248">
        <f t="shared" si="65"/>
        <v>1.6299999999999999E-2</v>
      </c>
      <c r="AA126" s="248">
        <f t="shared" si="66"/>
        <v>23.284299999999998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67"/>
        <v>212</v>
      </c>
      <c r="AE126" s="236" t="str">
        <f t="shared" si="68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126" s="235" t="str">
        <f t="shared" si="69"/>
        <v>"C:\Program Files (x86)\AstroGrep\AstroGrep.exe" /e /r /s /spath="%USERPROFILE%\AppData\Local\Temp\OnboardLogs" /stypes="app*4005*20171127*" /stext=" 02:.+((SYSTEM_STATE.+slice.+state.+changed )|(ment ac)|(multiple cpu faults)|(system.+state.+changed )|(\[timeout)|(PRM\|1\|D)|(kpr)|(kdp)|(train st.+moving)|(\|lc)|(penalty))"</v>
      </c>
      <c r="AG126" s="245" t="str">
        <f t="shared" si="70"/>
        <v>EC</v>
      </c>
      <c r="AH126" s="237" t="str">
        <f t="shared" si="52"/>
        <v>"%USERPROFILE%\Documents\GitHub\eaglep3\Utilities\RefineRTDCRunTimes.py" --tripid 212-26 --locoid 4005 --swversion DE.1.0.9.0 --startMP 204:233006 --initTime 2017-11-26T18:19:45 --startdatetime 2017-11-26T18:27:16 --delay 66 --endMP 204:163 --enddatetime 2017-11-26T19:03:35 --enforcementcount 0 &gt;&gt;%USERPROFILE%\Documents\GitHub\eaglep3-reporting\EC\2017-11-26-refined-times.txt</v>
      </c>
      <c r="AI126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{"issue":{"subject":"","project_id":79,"tracker_id":40,"status_id":1,"priority_id":2,"assigned_to_id":338,"start_date":"2017-11-26","description":"","custom_fields":[{"id":1,"name":"Subdivision","value":"EC"},{"id":4,"name":"Milepost","value":"0.0163"},{"id":17,"name":"Train ID","value":"212-26"},{"id":16,"name":"Locomotive ID","value":"4005"},{"id":130,"name":"Impact","value":""},{"id":150,"name":"Time of Event (Mountain Time)","value":"19:03:35"},{"id":151,"name":"Denver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54"/>
        <v>start /low /b %USERPROFILE%\Documents\GitHub\eaglep3\Utilities\DownloadLogsFromS3.py --loco 4005 --day 2017-11-26</v>
      </c>
      <c r="AN126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56"/>
        <v>https://d0f6bd738d7f1b3e5a7ca70fe4ff75f0.us-east-1.aws.found.io/app/kibana#/discover/Steve-Slow-Train-Analysis-(2080s-and-2083s)?_g=(refreshInterval:(display:Off,pause:!f,section:0,value:0),time:(from:'2017-11-26T17:19:45-0700',mode:absolute,to:'2017-11-26T20:03:35-0700'))&amp;_a=(columns:!('Message%20ID',Summary),filters:!(),index:'emp_*',interval:auto,query:(query_string:(analyze_wildcard:!t,query:'%22rtdc.l.rtdc.4005%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842</v>
      </c>
      <c r="B127" s="226">
        <v>4016</v>
      </c>
      <c r="C127" s="228" t="s">
        <v>192</v>
      </c>
      <c r="D127" s="228" t="s">
        <v>518</v>
      </c>
      <c r="E127" s="227">
        <v>43065.736388888887</v>
      </c>
      <c r="F127" s="227">
        <v>43065.73978009259</v>
      </c>
      <c r="G127" s="226">
        <v>190</v>
      </c>
      <c r="H127" s="228" t="s">
        <v>626</v>
      </c>
      <c r="I127" s="227">
        <v>43065.764398148145</v>
      </c>
      <c r="J127" s="226">
        <v>0</v>
      </c>
      <c r="K127" s="238" t="str">
        <f t="shared" si="57"/>
        <v>4015/4016</v>
      </c>
      <c r="L127" s="246" t="str">
        <f>VLOOKUP(A127,'Trips&amp;Operators'!$C$1:$G$99911,5,FALSE)</f>
        <v>LOZA FIDEL</v>
      </c>
      <c r="M127" s="225">
        <f t="shared" si="58"/>
        <v>2.4618055555038154E-2</v>
      </c>
      <c r="N127" s="226">
        <f t="shared" si="59"/>
        <v>35.449999999254942</v>
      </c>
      <c r="O127" s="226"/>
      <c r="P127" s="226"/>
      <c r="Q127" s="229"/>
      <c r="R127" s="243"/>
      <c r="S127" s="250">
        <f t="shared" si="60"/>
        <v>1</v>
      </c>
      <c r="T127" s="243" t="str">
        <f t="shared" si="61"/>
        <v>NorthBound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62"/>
        <v>https://d0f6bd738d7f1b3e5a7ca70fe4ff75f0.us-east-1.aws.found.io/app/kibana#/discover/Steve-Slow-Train-Analysis-(2080s-and-2083s)?_g=(refreshInterval:(display:Off,pause:!f,section:0,value:0),time:(from:'2017-11-26T16:40:24-0700',mode:absolute,to:'2017-11-26T19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248" t="str">
        <f>IF(AA127&lt;VLOOKUP(AG127,Variables!$AC$3:$AD$8,2,FALSE),"Y","N")</f>
        <v>N</v>
      </c>
      <c r="X127" s="248">
        <f t="shared" si="63"/>
        <v>1</v>
      </c>
      <c r="Y127" s="248">
        <f t="shared" si="64"/>
        <v>5.1499999999999997E-2</v>
      </c>
      <c r="Z127" s="248">
        <f t="shared" si="65"/>
        <v>23.3264</v>
      </c>
      <c r="AA127" s="248">
        <f t="shared" si="66"/>
        <v>23.274899999999999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67"/>
        <v>213</v>
      </c>
      <c r="AE127" s="236" t="str">
        <f t="shared" si="68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127" s="235" t="str">
        <f t="shared" si="69"/>
        <v>"C:\Program Files (x86)\AstroGrep\AstroGrep.exe" /e /r /s /spath="%USERPROFILE%\AppData\Local\Temp\OnboardLogs" /stypes="app*4016*20171127*" /stext=" 01:.+((SYSTEM_STATE.+slice.+state.+changed )|(ment ac)|(multiple cpu faults)|(system.+state.+changed )|(\[timeout)|(PRM\|1\|D)|(kpr)|(kdp)|(train st.+moving)|(\|lc)|(penalty))"</v>
      </c>
      <c r="AG127" s="245" t="str">
        <f t="shared" si="70"/>
        <v>EC</v>
      </c>
      <c r="AH127" s="237" t="str">
        <f t="shared" si="52"/>
        <v>"%USERPROFILE%\Documents\GitHub\eaglep3\Utilities\RefineRTDCRunTimes.py" --tripid 213-26 --locoid 4016 --swversion DE.1.0.9.0 --startMP 204:515 --initTime 2017-11-26T17:40:24 --startdatetime 2017-11-26T17:45:17 --delay 190 --endMP 204:233264 --enddatetime 2017-11-26T18:20:44 --enforcementcount 0 &gt;&gt;%USERPROFILE%\Documents\GitHub\eaglep3-reporting\EC\2017-11-26-refined-times.txt</v>
      </c>
      <c r="AI127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{"issue":{"subject":"","project_id":79,"tracker_id":40,"status_id":1,"priority_id":2,"assigned_to_id":338,"start_date":"2017-11-26","description":"","custom_fields":[{"id":1,"name":"Subdivision","value":"EC"},{"id":4,"name":"Milepost","value":"23.3264"},{"id":17,"name":"Train ID","value":"213-26"},{"id":16,"name":"Locomotive ID","value":"4016"},{"id":130,"name":"Impact","value":""},{"id":150,"name":"Time of Event (Mountain Time)","value":"18:20:44"},{"id":151,"name":"Denver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54"/>
        <v>start /low /b %USERPROFILE%\Documents\GitHub\eaglep3\Utilities\DownloadLogsFromS3.py --loco 4016 --day 2017-11-26</v>
      </c>
      <c r="AN127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56"/>
        <v>https://d0f6bd738d7f1b3e5a7ca70fe4ff75f0.us-east-1.aws.found.io/app/kibana#/discover/Steve-Slow-Train-Analysis-(2080s-and-2083s)?_g=(refreshInterval:(display:Off,pause:!f,section:0,value:0),time:(from:'2017-11-26T16:40:24-0700',mode:absolute,to:'2017-11-26T19:20:44-0700'))&amp;_a=(columns:!('Message%20ID',Summary),filters:!(),index:'emp_*',interval:auto,query:(query_string:(analyze_wildcard:!t,query:'%22rtdc.l.rtdc.4016%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4" customFormat="1" x14ac:dyDescent="0.25">
      <c r="A128" s="230" t="s">
        <v>851</v>
      </c>
      <c r="B128" s="226">
        <v>4015</v>
      </c>
      <c r="C128" s="228" t="s">
        <v>192</v>
      </c>
      <c r="D128" s="228" t="s">
        <v>1003</v>
      </c>
      <c r="E128" s="227">
        <v>43065.776365740741</v>
      </c>
      <c r="F128" s="227">
        <v>43065.779374999998</v>
      </c>
      <c r="G128" s="226">
        <v>79</v>
      </c>
      <c r="H128" s="228" t="s">
        <v>610</v>
      </c>
      <c r="I128" s="227">
        <v>43065.804664351854</v>
      </c>
      <c r="J128" s="226">
        <v>0</v>
      </c>
      <c r="K128" s="238" t="str">
        <f t="shared" si="57"/>
        <v>4015/4016</v>
      </c>
      <c r="L128" s="246" t="str">
        <f>VLOOKUP(A128,'Trips&amp;Operators'!$C$1:$G$99911,5,FALSE)</f>
        <v>LOZA FIDEL</v>
      </c>
      <c r="M128" s="225">
        <f t="shared" si="58"/>
        <v>2.5289351855462883E-2</v>
      </c>
      <c r="N128" s="226">
        <f t="shared" si="59"/>
        <v>36.416666671866551</v>
      </c>
      <c r="O128" s="226"/>
      <c r="P128" s="226"/>
      <c r="Q128" s="229"/>
      <c r="R128" s="243"/>
      <c r="S128" s="250">
        <f t="shared" si="60"/>
        <v>1</v>
      </c>
      <c r="T128" s="243" t="str">
        <f t="shared" si="61"/>
        <v>Southbound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62"/>
        <v>https://d0f6bd738d7f1b3e5a7ca70fe4ff75f0.us-east-1.aws.found.io/app/kibana#/discover/Steve-Slow-Train-Analysis-(2080s-and-2083s)?_g=(refreshInterval:(display:Off,pause:!f,section:0,value:0),time:(from:'2017-11-26T17:37:58-0700',mode:absolute,to:'2017-11-26T20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248" t="str">
        <f>IF(AA128&lt;VLOOKUP(AG128,Variables!$AC$3:$AD$8,2,FALSE),"Y","N")</f>
        <v>N</v>
      </c>
      <c r="X128" s="248">
        <f t="shared" si="63"/>
        <v>1</v>
      </c>
      <c r="Y128" s="248">
        <f t="shared" si="64"/>
        <v>23.294599999999999</v>
      </c>
      <c r="Z128" s="248">
        <f t="shared" si="65"/>
        <v>2.18E-2</v>
      </c>
      <c r="AA128" s="248">
        <f t="shared" si="66"/>
        <v>23.2728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67"/>
        <v>214</v>
      </c>
      <c r="AE128" s="236" t="str">
        <f t="shared" si="68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28" s="235" t="str">
        <f t="shared" si="69"/>
        <v>"C:\Program Files (x86)\AstroGrep\AstroGrep.exe" /e /r /s /spath="%USERPROFILE%\AppData\Local\Temp\OnboardLogs" /stypes="app*4015*20171127*" /stext=" 02:.+((SYSTEM_STATE.+slice.+state.+changed )|(ment ac)|(multiple cpu faults)|(system.+state.+changed )|(\[timeout)|(PRM\|1\|D)|(kpr)|(kdp)|(train st.+moving)|(\|lc)|(penalty))"</v>
      </c>
      <c r="AG128" s="245" t="str">
        <f t="shared" si="70"/>
        <v>EC</v>
      </c>
      <c r="AH128" s="237" t="str">
        <f t="shared" si="52"/>
        <v>"%USERPROFILE%\Documents\GitHub\eaglep3\Utilities\RefineRTDCRunTimes.py" --tripid 214-26 --locoid 4015 --swversion DE.1.0.9.0 --startMP 204:232946 --initTime 2017-11-26T18:37:58 --startdatetime 2017-11-26T18:42:18 --delay 79 --endMP 204:218 --enddatetime 2017-11-26T19:18:43 --enforcementcount 0 &gt;&gt;%USERPROFILE%\Documents\GitHub\eaglep3-reporting\EC\2017-11-26-refined-times.txt</v>
      </c>
      <c r="AI12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{"issue":{"subject":"","project_id":79,"tracker_id":40,"status_id":1,"priority_id":2,"assigned_to_id":338,"start_date":"2017-11-26","description":"","custom_fields":[{"id":1,"name":"Subdivision","value":"EC"},{"id":4,"name":"Milepost","value":"0.0218"},{"id":17,"name":"Train ID","value":"214-26"},{"id":16,"name":"Locomotive ID","value":"4015"},{"id":130,"name":"Impact","value":""},{"id":150,"name":"Time of Event (Mountain Time)","value":"19:18:43"},{"id":151,"name":"Denver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2"/>
      <c r="AL128" s="232"/>
      <c r="AM128" s="241" t="str">
        <f t="shared" si="54"/>
        <v>start /low /b %USERPROFILE%\Documents\GitHub\eaglep3\Utilities\DownloadLogsFromS3.py --loco 4015 --day 2017-11-26</v>
      </c>
      <c r="AN128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56"/>
        <v>https://d0f6bd738d7f1b3e5a7ca70fe4ff75f0.us-east-1.aws.found.io/app/kibana#/discover/Steve-Slow-Train-Analysis-(2080s-and-2083s)?_g=(refreshInterval:(display:Off,pause:!f,section:0,value:0),time:(from:'2017-11-26T17:37:58-0700',mode:absolute,to:'2017-11-26T20:18:43-0700'))&amp;_a=(columns:!('Message%20ID',Summary),filters:!(),index:'emp_*',interval:auto,query:(query_string:(analyze_wildcard:!t,query:'%22rtdc.l.rtdc.4015%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30" t="s">
        <v>843</v>
      </c>
      <c r="B129" s="226">
        <v>4040</v>
      </c>
      <c r="C129" s="228" t="s">
        <v>192</v>
      </c>
      <c r="D129" s="228" t="s">
        <v>484</v>
      </c>
      <c r="E129" s="227">
        <v>43065.74454861111</v>
      </c>
      <c r="F129" s="227">
        <v>43065.750231481485</v>
      </c>
      <c r="G129" s="226">
        <v>63</v>
      </c>
      <c r="H129" s="228" t="s">
        <v>536</v>
      </c>
      <c r="I129" s="227">
        <v>43065.774525462963</v>
      </c>
      <c r="J129" s="226">
        <v>0</v>
      </c>
      <c r="K129" s="238" t="str">
        <f t="shared" si="57"/>
        <v>4039/4040</v>
      </c>
      <c r="L129" s="246" t="str">
        <f>VLOOKUP(A129,'Trips&amp;Operators'!$C$1:$G$99911,5,FALSE)</f>
        <v>SMITH MICHAEL</v>
      </c>
      <c r="M129" s="225">
        <f t="shared" si="58"/>
        <v>2.4293981477967463E-2</v>
      </c>
      <c r="N129" s="226">
        <f t="shared" si="59"/>
        <v>34.983333328273147</v>
      </c>
      <c r="O129" s="226"/>
      <c r="P129" s="226"/>
      <c r="Q129" s="229"/>
      <c r="R129" s="243"/>
      <c r="S129" s="250">
        <f t="shared" si="60"/>
        <v>1</v>
      </c>
      <c r="T129" s="243" t="str">
        <f t="shared" si="61"/>
        <v>NorthBound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62"/>
        <v>https://d0f6bd738d7f1b3e5a7ca70fe4ff75f0.us-east-1.aws.found.io/app/kibana#/discover/Steve-Slow-Train-Analysis-(2080s-and-2083s)?_g=(refreshInterval:(display:Off,pause:!f,section:0,value:0),time:(from:'2017-11-26T16:52:09-0700',mode:absolute,to:'2017-11-26T19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48" t="str">
        <f>IF(AA129&lt;VLOOKUP(AG129,Variables!$AC$3:$AD$8,2,FALSE),"Y","N")</f>
        <v>N</v>
      </c>
      <c r="X129" s="248">
        <f t="shared" si="63"/>
        <v>1</v>
      </c>
      <c r="Y129" s="248">
        <f t="shared" si="64"/>
        <v>5.2200000000000003E-2</v>
      </c>
      <c r="Z129" s="248">
        <f t="shared" si="65"/>
        <v>23.331700000000001</v>
      </c>
      <c r="AA129" s="248">
        <f t="shared" si="66"/>
        <v>23.279500000000002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67"/>
        <v>215</v>
      </c>
      <c r="AE129" s="236" t="str">
        <f t="shared" si="68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129" s="235" t="str">
        <f t="shared" si="69"/>
        <v>"C:\Program Files (x86)\AstroGrep\AstroGrep.exe" /e /r /s /spath="%USERPROFILE%\AppData\Local\Temp\OnboardLogs" /stypes="app*4040*20171127*" /stext=" 01:.+((SYSTEM_STATE.+slice.+state.+changed )|(ment ac)|(multiple cpu faults)|(system.+state.+changed )|(\[timeout)|(PRM\|1\|D)|(kpr)|(kdp)|(train st.+moving)|(\|lc)|(penalty))"</v>
      </c>
      <c r="AG129" s="245" t="str">
        <f t="shared" si="70"/>
        <v>EC</v>
      </c>
      <c r="AH129" s="237" t="str">
        <f t="shared" si="52"/>
        <v>"%USERPROFILE%\Documents\GitHub\eaglep3\Utilities\RefineRTDCRunTimes.py" --tripid 215-26 --locoid 4040 --swversion DE.1.0.9.0 --startMP 204:522 --initTime 2017-11-26T17:52:09 --startdatetime 2017-11-26T18:00:20 --delay 63 --endMP 204:233317 --enddatetime 2017-11-26T18:35:19 --enforcementcount 0 &gt;&gt;%USERPROFILE%\Documents\GitHub\eaglep3-reporting\EC\2017-11-26-refined-times.txt</v>
      </c>
      <c r="AI12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{"issue":{"subject":"","project_id":79,"tracker_id":40,"status_id":1,"priority_id":2,"assigned_to_id":338,"start_date":"2017-11-26","description":"","custom_fields":[{"id":1,"name":"Subdivision","value":"EC"},{"id":4,"name":"Milepost","value":"23.3317"},{"id":17,"name":"Train ID","value":"215-26"},{"id":16,"name":"Locomotive ID","value":"4040"},{"id":130,"name":"Impact","value":""},{"id":150,"name":"Time of Event (Mountain Time)","value":"18:35:19"},{"id":151,"name":"Denver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54"/>
        <v>start /low /b %USERPROFILE%\Documents\GitHub\eaglep3\Utilities\DownloadLogsFromS3.py --loco 4040 --day 2017-11-26</v>
      </c>
      <c r="AN129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56"/>
        <v>https://d0f6bd738d7f1b3e5a7ca70fe4ff75f0.us-east-1.aws.found.io/app/kibana#/discover/Steve-Slow-Train-Analysis-(2080s-and-2083s)?_g=(refreshInterval:(display:Off,pause:!f,section:0,value:0),time:(from:'2017-11-26T16:52:09-0700',mode:absolute,to:'2017-11-26T19:35:19-0700'))&amp;_a=(columns:!('Message%20ID',Summary),filters:!(),index:'emp_*',interval:auto,query:(query_string:(analyze_wildcard:!t,query:'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0" t="s">
        <v>852</v>
      </c>
      <c r="B130" s="226">
        <v>4039</v>
      </c>
      <c r="C130" s="228" t="s">
        <v>192</v>
      </c>
      <c r="D130" s="228" t="s">
        <v>546</v>
      </c>
      <c r="E130" s="227">
        <v>43065.782048611109</v>
      </c>
      <c r="F130" s="227">
        <v>43065.790011574078</v>
      </c>
      <c r="G130" s="226">
        <v>63</v>
      </c>
      <c r="H130" s="228" t="s">
        <v>496</v>
      </c>
      <c r="I130" s="227">
        <v>43065.815694444442</v>
      </c>
      <c r="J130" s="226">
        <v>0</v>
      </c>
      <c r="K130" s="238" t="str">
        <f t="shared" si="57"/>
        <v>4039/4040</v>
      </c>
      <c r="L130" s="246" t="str">
        <f>VLOOKUP(A130,'Trips&amp;Operators'!$C$1:$G$99911,5,FALSE)</f>
        <v>SMITH MICHAEL</v>
      </c>
      <c r="M130" s="225">
        <f t="shared" si="58"/>
        <v>2.5682870364107657E-2</v>
      </c>
      <c r="N130" s="226">
        <f t="shared" si="59"/>
        <v>36.983333324315026</v>
      </c>
      <c r="O130" s="226"/>
      <c r="P130" s="226"/>
      <c r="Q130" s="229"/>
      <c r="R130" s="243"/>
      <c r="S130" s="250">
        <f t="shared" si="60"/>
        <v>1</v>
      </c>
      <c r="T130" s="243" t="str">
        <f t="shared" si="61"/>
        <v>Southbound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62"/>
        <v>https://d0f6bd738d7f1b3e5a7ca70fe4ff75f0.us-east-1.aws.found.io/app/kibana#/discover/Steve-Slow-Train-Analysis-(2080s-and-2083s)?_g=(refreshInterval:(display:Off,pause:!f,section:0,value:0),time:(from:'2017-11-26T17:46:09-0700',mode:absolute,to:'2017-11-26T20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48" t="str">
        <f>IF(AA130&lt;VLOOKUP(AG130,Variables!$AC$3:$AD$8,2,FALSE),"Y","N")</f>
        <v>N</v>
      </c>
      <c r="X130" s="248">
        <f t="shared" si="63"/>
        <v>1</v>
      </c>
      <c r="Y130" s="248">
        <f t="shared" si="64"/>
        <v>23.299299999999999</v>
      </c>
      <c r="Z130" s="248">
        <f t="shared" si="65"/>
        <v>2.3800000000000002E-2</v>
      </c>
      <c r="AA130" s="248">
        <f t="shared" si="66"/>
        <v>23.275499999999997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67"/>
        <v>216</v>
      </c>
      <c r="AE130" s="236" t="str">
        <f t="shared" si="68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130" s="235" t="str">
        <f t="shared" si="69"/>
        <v>"C:\Program Files (x86)\AstroGrep\AstroGrep.exe" /e /r /s /spath="%USERPROFILE%\AppData\Local\Temp\OnboardLogs" /stypes="app*4039*20171127*" /stext=" 02:.+((SYSTEM_STATE.+slice.+state.+changed )|(ment ac)|(multiple cpu faults)|(system.+state.+changed )|(\[timeout)|(PRM\|1\|D)|(kpr)|(kdp)|(train st.+moving)|(\|lc)|(penalty))"</v>
      </c>
      <c r="AG130" s="245" t="str">
        <f t="shared" si="70"/>
        <v>EC</v>
      </c>
      <c r="AH130" s="237" t="str">
        <f t="shared" si="52"/>
        <v>"%USERPROFILE%\Documents\GitHub\eaglep3\Utilities\RefineRTDCRunTimes.py" --tripid 216-26 --locoid 4039 --swversion DE.1.0.9.0 --startMP 204:232993 --initTime 2017-11-26T18:46:09 --startdatetime 2017-11-26T18:57:37 --delay 63 --endMP 204:238 --enddatetime 2017-11-26T19:34:36 --enforcementcount 0 &gt;&gt;%USERPROFILE%\Documents\GitHub\eaglep3-reporting\EC\2017-11-26-refined-times.txt</v>
      </c>
      <c r="AI13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{"issue":{"subject":"","project_id":79,"tracker_id":40,"status_id":1,"priority_id":2,"assigned_to_id":338,"start_date":"2017-11-26","description":"","custom_fields":[{"id":1,"name":"Subdivision","value":"EC"},{"id":4,"name":"Milepost","value":"0.0238"},{"id":17,"name":"Train ID","value":"216-26"},{"id":16,"name":"Locomotive ID","value":"4039"},{"id":130,"name":"Impact","value":""},{"id":150,"name":"Time of Event (Mountain Time)","value":"19:34:36"},{"id":151,"name":"Denver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54"/>
        <v>start /low /b %USERPROFILE%\Documents\GitHub\eaglep3\Utilities\DownloadLogsFromS3.py --loco 4039 --day 2017-11-26</v>
      </c>
      <c r="AN130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56"/>
        <v>https://d0f6bd738d7f1b3e5a7ca70fe4ff75f0.us-east-1.aws.found.io/app/kibana#/discover/Steve-Slow-Train-Analysis-(2080s-and-2083s)?_g=(refreshInterval:(display:Off,pause:!f,section:0,value:0),time:(from:'2017-11-26T17:46:09-0700',mode:absolute,to:'2017-11-26T20:34:36-0700'))&amp;_a=(columns:!('Message%20ID',Summary),filters:!(),index:'emp_*',interval:auto,query:(query_string:(analyze_wildcard:!t,query:'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846</v>
      </c>
      <c r="B131" s="226">
        <v>4008</v>
      </c>
      <c r="C131" s="228" t="s">
        <v>192</v>
      </c>
      <c r="D131" s="228" t="s">
        <v>452</v>
      </c>
      <c r="E131" s="227">
        <v>43065.756493055553</v>
      </c>
      <c r="F131" s="227">
        <v>43065.760659722226</v>
      </c>
      <c r="G131" s="226">
        <v>89</v>
      </c>
      <c r="H131" s="228" t="s">
        <v>477</v>
      </c>
      <c r="I131" s="227">
        <v>43065.785069444442</v>
      </c>
      <c r="J131" s="226">
        <v>0</v>
      </c>
      <c r="K131" s="238" t="str">
        <f t="shared" si="57"/>
        <v>4007/4008</v>
      </c>
      <c r="L131" s="246" t="str">
        <f>VLOOKUP(A131,'Trips&amp;Operators'!$C$1:$G$99911,5,FALSE)</f>
        <v>ELBAUM MIKE</v>
      </c>
      <c r="M131" s="225">
        <f t="shared" si="58"/>
        <v>2.4409722216660157E-2</v>
      </c>
      <c r="N131" s="226">
        <f t="shared" si="59"/>
        <v>35.149999991990626</v>
      </c>
      <c r="O131" s="226"/>
      <c r="P131" s="226"/>
      <c r="Q131" s="229"/>
      <c r="R131" s="243"/>
      <c r="S131" s="250">
        <f t="shared" si="60"/>
        <v>1</v>
      </c>
      <c r="T131" s="243" t="str">
        <f t="shared" si="61"/>
        <v>NorthBound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62"/>
        <v>https://d0f6bd738d7f1b3e5a7ca70fe4ff75f0.us-east-1.aws.found.io/app/kibana#/discover/Steve-Slow-Train-Analysis-(2080s-and-2083s)?_g=(refreshInterval:(display:Off,pause:!f,section:0,value:0),time:(from:'2017-11-26T17:09:21-0700',mode:absolute,to:'2017-11-26T19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248" t="str">
        <f>IF(AA131&lt;VLOOKUP(AG131,Variables!$AC$3:$AD$8,2,FALSE),"Y","N")</f>
        <v>N</v>
      </c>
      <c r="X131" s="248">
        <f t="shared" si="63"/>
        <v>1</v>
      </c>
      <c r="Y131" s="248">
        <f t="shared" si="64"/>
        <v>5.28E-2</v>
      </c>
      <c r="Z131" s="248">
        <f t="shared" si="65"/>
        <v>23.326599999999999</v>
      </c>
      <c r="AA131" s="248">
        <f t="shared" si="66"/>
        <v>23.273799999999998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67"/>
        <v>217</v>
      </c>
      <c r="AE131" s="236" t="str">
        <f t="shared" si="68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131" s="235" t="str">
        <f t="shared" si="69"/>
        <v>"C:\Program Files (x86)\AstroGrep\AstroGrep.exe" /e /r /s /spath="%USERPROFILE%\AppData\Local\Temp\OnboardLogs" /stypes="app*4008*20171127*" /stext=" 01:.+((SYSTEM_STATE.+slice.+state.+changed )|(ment ac)|(multiple cpu faults)|(system.+state.+changed )|(\[timeout)|(PRM\|1\|D)|(kpr)|(kdp)|(train st.+moving)|(\|lc)|(penalty))"</v>
      </c>
      <c r="AG131" s="245" t="str">
        <f t="shared" si="70"/>
        <v>EC</v>
      </c>
      <c r="AH131" s="237" t="str">
        <f t="shared" si="52"/>
        <v>"%USERPROFILE%\Documents\GitHub\eaglep3\Utilities\RefineRTDCRunTimes.py" --tripid 217-26 --locoid 4008 --swversion DE.1.0.9.0 --startMP 204:528 --initTime 2017-11-26T18:09:21 --startdatetime 2017-11-26T18:15:21 --delay 89 --endMP 204:233266 --enddatetime 2017-11-26T18:50:30 --enforcementcount 0 &gt;&gt;%USERPROFILE%\Documents\GitHub\eaglep3-reporting\EC\2017-11-26-refined-times.txt</v>
      </c>
      <c r="AI13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{"issue":{"subject":"","project_id":79,"tracker_id":40,"status_id":1,"priority_id":2,"assigned_to_id":338,"start_date":"2017-11-26","description":"","custom_fields":[{"id":1,"name":"Subdivision","value":"EC"},{"id":4,"name":"Milepost","value":"23.3266"},{"id":17,"name":"Train ID","value":"217-26"},{"id":16,"name":"Locomotive ID","value":"4008"},{"id":130,"name":"Impact","value":""},{"id":150,"name":"Time of Event (Mountain Time)","value":"18:50:30"},{"id":151,"name":"Denver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54"/>
        <v>start /low /b %USERPROFILE%\Documents\GitHub\eaglep3\Utilities\DownloadLogsFromS3.py --loco 4008 --day 2017-11-26</v>
      </c>
      <c r="AN131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56"/>
        <v>https://d0f6bd738d7f1b3e5a7ca70fe4ff75f0.us-east-1.aws.found.io/app/kibana#/discover/Steve-Slow-Train-Analysis-(2080s-and-2083s)?_g=(refreshInterval:(display:Off,pause:!f,section:0,value:0),time:(from:'2017-11-26T17:09:21-0700',mode:absolute,to:'2017-11-26T19:50:30-0700'))&amp;_a=(columns:!('Message%20ID',Summary),filters:!(),index:'emp_*',interval:auto,query:(query_string:(analyze_wildcard:!t,query:'%22rtdc.l.rtdc.4008%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4" customFormat="1" x14ac:dyDescent="0.25">
      <c r="A132" s="230" t="s">
        <v>855</v>
      </c>
      <c r="B132" s="226">
        <v>4007</v>
      </c>
      <c r="C132" s="228" t="s">
        <v>192</v>
      </c>
      <c r="D132" s="228" t="s">
        <v>1062</v>
      </c>
      <c r="E132" s="227">
        <v>43065.786793981482</v>
      </c>
      <c r="F132" s="227">
        <v>43065.800162037034</v>
      </c>
      <c r="G132" s="226">
        <v>69</v>
      </c>
      <c r="H132" s="228" t="s">
        <v>497</v>
      </c>
      <c r="I132" s="227">
        <v>43065.825277777774</v>
      </c>
      <c r="J132" s="226">
        <v>0</v>
      </c>
      <c r="K132" s="238" t="str">
        <f t="shared" ref="K132:K134" si="71">IF(ISEVEN(B132),(B132-1)&amp;"/"&amp;B132,B132&amp;"/"&amp;(B132+1))</f>
        <v>4007/4008</v>
      </c>
      <c r="L132" s="246" t="str">
        <f>VLOOKUP(A132,'Trips&amp;Operators'!$C$1:$G$99911,5,FALSE)</f>
        <v>ELBAUM MIKE</v>
      </c>
      <c r="M132" s="225">
        <f t="shared" ref="M132:M134" si="72">I132-F132</f>
        <v>2.5115740740147885E-2</v>
      </c>
      <c r="N132" s="226">
        <f t="shared" si="59"/>
        <v>36.166666665812954</v>
      </c>
      <c r="O132" s="226"/>
      <c r="P132" s="226"/>
      <c r="Q132" s="229"/>
      <c r="R132" s="243"/>
      <c r="S132" s="250">
        <f t="shared" ref="S132:S134" si="73">1/IF(AG132="EC",12,1)*SUM(U132:U132)</f>
        <v>1</v>
      </c>
      <c r="T132" s="243" t="str">
        <f t="shared" ref="T132:T134" si="74">IF(ISEVEN(LEFT(AD132,4)),"Southbound","NorthBound")</f>
        <v>Southbound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ref="V132:V134" si="75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-26T17:52:59-0700',mode:absolute,to:'2017-11-26T20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248" t="str">
        <f>IF(AA132&lt;VLOOKUP(AG132,Variables!$AC$3:$AD$8,2,FALSE),"Y","N")</f>
        <v>N</v>
      </c>
      <c r="X132" s="248">
        <f t="shared" si="63"/>
        <v>1</v>
      </c>
      <c r="Y132" s="248">
        <f t="shared" ref="Y132:Y134" si="76">RIGHT(D132,LEN(D132)-4)/10000</f>
        <v>23.295300000000001</v>
      </c>
      <c r="Z132" s="248">
        <f t="shared" ref="Z132:Z134" si="77">RIGHT(H132,LEN(H132)-4)/10000</f>
        <v>2.69E-2</v>
      </c>
      <c r="AA132" s="248">
        <f t="shared" ref="AA132:AA134" si="78">ABS(Z132-Y132)</f>
        <v>23.2684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ref="AD132:AD134" si="79">VALUE(LEFT(A132,LEN(A132)-3))</f>
        <v>218</v>
      </c>
      <c r="AE132" s="236" t="str">
        <f t="shared" ref="AE132:AE134" si="80"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132" s="235" t="str">
        <f t="shared" ref="AF132:AF134" si="81"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/stypes="app*4007*20171127*" /stext=" 02:.+((SYSTEM_STATE.+slice.+state.+changed )|(ment ac)|(multiple cpu faults)|(system.+state.+changed )|(\[timeout)|(PRM\|1\|D)|(kpr)|(kdp)|(train st.+moving)|(\|lc)|(penalty))"</v>
      </c>
      <c r="AG132" s="245" t="str">
        <f t="shared" ref="AG132:AG134" si="82">DetSubdiv(A132)</f>
        <v>EC</v>
      </c>
      <c r="AH132" s="237" t="str">
        <f t="shared" ref="AH132:AH134" si="83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218-26 --locoid 4007 --swversion DE.1.0.9.0 --startMP 204:232953 --initTime 2017-11-26T18:52:59 --startdatetime 2017-11-26T19:12:14 --delay 69 --endMP 204:269 --enddatetime 2017-11-26T19:48:24 --enforcementcount 0 &gt;&gt;%USERPROFILE%\Documents\GitHub\eaglep3-reporting\EC\2017-11-26-refined-times.txt</v>
      </c>
      <c r="AI132" s="239" t="str">
        <f t="shared" ref="AI132:AI134" si="84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{"issue":{"subject":"","project_id":79,"tracker_id":40,"status_id":1,"priority_id":2,"assigned_to_id":338,"start_date":"2017-11-26","description":"","custom_fields":[{"id":1,"name":"Subdivision","value":"EC"},{"id":4,"name":"Milepost","value":"0.0269"},{"id":17,"name":"Train ID","value":"218-26"},{"id":16,"name":"Locomotive ID","value":"4007"},{"id":130,"name":"Impact","value":""},{"id":150,"name":"Time of Event (Mountain Time)","value":"19:48:24"},{"id":151,"name":"Denver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2"/>
      <c r="AL132" s="232"/>
      <c r="AM132" s="241" t="str">
        <f t="shared" ref="AM132:AM134" si="85">"start /low /b "&amp;dls3logs&amp;" --loco "&amp;B132&amp;" --day "&amp;TEXT(F132,"YYYY-MM-DD")</f>
        <v>start /low /b %USERPROFILE%\Documents\GitHub\eaglep3\Utilities\DownloadLogsFromS3.py --loco 4007 --day 2017-11-26</v>
      </c>
      <c r="AN132" s="242" t="str">
        <f t="shared" ref="AN132:AN134" si="86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ref="AO132:AO134" si="87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-26T17:52:59-0700',mode:absolute,to:'2017-11-26T20:48:24-0700'))&amp;_a=(columns:!('Message%20ID',Summary),filters:!(),index:'emp_*',interval:auto,query:(query_string:(analyze_wildcard:!t,query:'%22rtdc.l.rtdc.4007%22')),sort:!(Time.ISO8601,asc))</v>
      </c>
    </row>
    <row r="133" spans="1:91" s="224" customFormat="1" x14ac:dyDescent="0.25">
      <c r="A133" s="230" t="s">
        <v>849</v>
      </c>
      <c r="B133" s="226">
        <v>4060</v>
      </c>
      <c r="C133" s="228" t="s">
        <v>192</v>
      </c>
      <c r="D133" s="228" t="s">
        <v>921</v>
      </c>
      <c r="E133" s="227">
        <v>43065.766134259262</v>
      </c>
      <c r="F133" s="227">
        <v>43065.768449074072</v>
      </c>
      <c r="G133" s="226">
        <v>172</v>
      </c>
      <c r="H133" s="228" t="s">
        <v>1063</v>
      </c>
      <c r="I133" s="227">
        <v>43065.79550925926</v>
      </c>
      <c r="J133" s="226">
        <v>0</v>
      </c>
      <c r="K133" s="238" t="str">
        <f t="shared" si="71"/>
        <v>4059/4060</v>
      </c>
      <c r="L133" s="246" t="str">
        <f>VLOOKUP(A133,'Trips&amp;Operators'!$C$1:$G$99911,5,FALSE)</f>
        <v>RESPASS AARON</v>
      </c>
      <c r="M133" s="225">
        <f t="shared" si="72"/>
        <v>2.7060185188020114E-2</v>
      </c>
      <c r="N133" s="226">
        <f t="shared" si="59"/>
        <v>38.966666670748964</v>
      </c>
      <c r="O133" s="226"/>
      <c r="P133" s="226"/>
      <c r="Q133" s="229"/>
      <c r="R133" s="243"/>
      <c r="S133" s="250">
        <f t="shared" si="73"/>
        <v>1</v>
      </c>
      <c r="T133" s="243" t="str">
        <f t="shared" si="74"/>
        <v>NorthBound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75"/>
        <v>https://d0f6bd738d7f1b3e5a7ca70fe4ff75f0.us-east-1.aws.found.io/app/kibana#/discover/Steve-Slow-Train-Analysis-(2080s-and-2083s)?_g=(refreshInterval:(display:Off,pause:!f,section:0,value:0),time:(from:'2017-11-26T17:23:14-0700',mode:absolute,to:'2017-11-26T20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3" s="248" t="str">
        <f>IF(AA133&lt;VLOOKUP(AG133,Variables!$AC$3:$AD$8,2,FALSE),"Y","N")</f>
        <v>N</v>
      </c>
      <c r="X133" s="248">
        <f t="shared" si="63"/>
        <v>1</v>
      </c>
      <c r="Y133" s="248">
        <f t="shared" si="76"/>
        <v>5.1299999999999998E-2</v>
      </c>
      <c r="Z133" s="248">
        <f t="shared" si="77"/>
        <v>23.322299999999998</v>
      </c>
      <c r="AA133" s="248">
        <f t="shared" si="78"/>
        <v>23.270999999999997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79"/>
        <v>219</v>
      </c>
      <c r="AE133" s="236" t="str">
        <f t="shared" si="80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133" s="235" t="str">
        <f t="shared" si="81"/>
        <v>"C:\Program Files (x86)\AstroGrep\AstroGrep.exe" /e /r /s /spath="%USERPROFILE%\AppData\Local\Temp\OnboardLogs" /stypes="app*4060*20171127*" /stext=" 02:.+((SYSTEM_STATE.+slice.+state.+changed )|(ment ac)|(multiple cpu faults)|(system.+state.+changed )|(\[timeout)|(PRM\|1\|D)|(kpr)|(kdp)|(train st.+moving)|(\|lc)|(penalty))"</v>
      </c>
      <c r="AG133" s="245" t="str">
        <f t="shared" si="82"/>
        <v>EC</v>
      </c>
      <c r="AH133" s="237" t="str">
        <f t="shared" si="83"/>
        <v>"%USERPROFILE%\Documents\GitHub\eaglep3\Utilities\RefineRTDCRunTimes.py" --tripid 219-26 --locoid 4060 --swversion DE.1.0.9.0 --startMP 204:513 --initTime 2017-11-26T18:23:14 --startdatetime 2017-11-26T18:26:34 --delay 172 --endMP 204:233223 --enddatetime 2017-11-26T19:05:32 --enforcementcount 0 &gt;&gt;%USERPROFILE%\Documents\GitHub\eaglep3-reporting\EC\2017-11-26-refined-times.txt</v>
      </c>
      <c r="AI133" s="239" t="str">
        <f t="shared" si="84"/>
        <v>echo {"issue":{"subject":"","project_id":79,"tracker_id":40,"status_id":1,"priority_id":2,"assigned_to_id":338,"start_date":"2017-11-26","description":"","custom_fields":[{"id":1,"name":"Subdivision","value":"EC"},{"id":4,"name":"Milepost","value":"23.3223"},{"id":17,"name":"Train ID","value":"219-26"},{"id":16,"name":"Locomotive ID","value":"4060"},{"id":130,"name":"Impact","value":""},{"id":150,"name":"Time of Event (Mountain Time)","value":"19:05:32"},{"id":151,"name":"Denver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2"/>
      <c r="AL133" s="232"/>
      <c r="AM133" s="241" t="str">
        <f t="shared" si="85"/>
        <v>start /low /b %USERPROFILE%\Documents\GitHub\eaglep3\Utilities\DownloadLogsFromS3.py --loco 4060 --day 2017-11-26</v>
      </c>
      <c r="AN133" s="242" t="str">
        <f t="shared" si="86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87"/>
        <v>https://d0f6bd738d7f1b3e5a7ca70fe4ff75f0.us-east-1.aws.found.io/app/kibana#/discover/Steve-Slow-Train-Analysis-(2080s-and-2083s)?_g=(refreshInterval:(display:Off,pause:!f,section:0,value:0),time:(from:'2017-11-26T17:23:14-0700',mode:absolute,to:'2017-11-26T20:05:32-0700'))&amp;_a=(columns:!('Message%20ID',Summary),filters:!(),index:'emp_*',interval:auto,query:(query_string:(analyze_wildcard:!t,query:'%22rtdc.l.rtdc.4060%22')),sort:!(Time.ISO8601,asc))</v>
      </c>
    </row>
    <row r="134" spans="1:91" s="224" customFormat="1" x14ac:dyDescent="0.25">
      <c r="A134" s="230" t="s">
        <v>859</v>
      </c>
      <c r="B134" s="226">
        <v>4059</v>
      </c>
      <c r="C134" s="228" t="s">
        <v>192</v>
      </c>
      <c r="D134" s="228" t="s">
        <v>1064</v>
      </c>
      <c r="E134" s="227">
        <v>43065.807268518518</v>
      </c>
      <c r="F134" s="227">
        <v>43065.808530092596</v>
      </c>
      <c r="G134" s="226">
        <v>98</v>
      </c>
      <c r="H134" s="228" t="s">
        <v>1065</v>
      </c>
      <c r="I134" s="227">
        <v>43065.836458333331</v>
      </c>
      <c r="J134" s="226">
        <v>0</v>
      </c>
      <c r="K134" s="238" t="str">
        <f t="shared" si="71"/>
        <v>4059/4060</v>
      </c>
      <c r="L134" s="246" t="str">
        <f>VLOOKUP(A134,'Trips&amp;Operators'!$C$1:$G$99911,5,FALSE)</f>
        <v>RESPASS AARON</v>
      </c>
      <c r="M134" s="225">
        <f t="shared" si="72"/>
        <v>2.7928240735491272E-2</v>
      </c>
      <c r="N134" s="226">
        <f t="shared" si="59"/>
        <v>40.216666659107432</v>
      </c>
      <c r="O134" s="226"/>
      <c r="P134" s="226"/>
      <c r="Q134" s="229"/>
      <c r="R134" s="243"/>
      <c r="S134" s="250">
        <f t="shared" si="73"/>
        <v>1</v>
      </c>
      <c r="T134" s="243" t="str">
        <f t="shared" si="74"/>
        <v>Southbound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75"/>
        <v>https://d0f6bd738d7f1b3e5a7ca70fe4ff75f0.us-east-1.aws.found.io/app/kibana#/discover/Steve-Slow-Train-Analysis-(2080s-and-2083s)?_g=(refreshInterval:(display:Off,pause:!f,section:0,value:0),time:(from:'2017-11-26T18:22:28-0700',mode:absolute,to:'2017-11-26T21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4" s="248" t="str">
        <f>IF(AA134&lt;VLOOKUP(AG134,Variables!$AC$3:$AD$8,2,FALSE),"Y","N")</f>
        <v>N</v>
      </c>
      <c r="X134" s="248">
        <f t="shared" si="63"/>
        <v>1</v>
      </c>
      <c r="Y134" s="248">
        <f t="shared" si="76"/>
        <v>23.290800000000001</v>
      </c>
      <c r="Z134" s="248">
        <f t="shared" si="77"/>
        <v>2.5399999999999999E-2</v>
      </c>
      <c r="AA134" s="248">
        <f t="shared" si="78"/>
        <v>23.2654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79"/>
        <v>220</v>
      </c>
      <c r="AE134" s="236" t="str">
        <f t="shared" si="80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134" s="235" t="str">
        <f t="shared" si="81"/>
        <v>"C:\Program Files (x86)\AstroGrep\AstroGrep.exe" /e /r /s /spath="%USERPROFILE%\AppData\Local\Temp\OnboardLogs" /stypes="app*4059*20171127*" /stext=" 03:.+((SYSTEM_STATE.+slice.+state.+changed )|(ment ac)|(multiple cpu faults)|(system.+state.+changed )|(\[timeout)|(PRM\|1\|D)|(kpr)|(kdp)|(train st.+moving)|(\|lc)|(penalty))"</v>
      </c>
      <c r="AG134" s="245" t="str">
        <f t="shared" si="82"/>
        <v>EC</v>
      </c>
      <c r="AH134" s="237" t="str">
        <f t="shared" si="83"/>
        <v>"%USERPROFILE%\Documents\GitHub\eaglep3\Utilities\RefineRTDCRunTimes.py" --tripid 220-26 --locoid 4059 --swversion DE.1.0.9.0 --startMP 204:232908 --initTime 2017-11-26T19:22:28 --startdatetime 2017-11-26T19:24:17 --delay 98 --endMP 204:254 --enddatetime 2017-11-26T20:04:30 --enforcementcount 0 &gt;&gt;%USERPROFILE%\Documents\GitHub\eaglep3-reporting\EC\2017-11-26-refined-times.txt</v>
      </c>
      <c r="AI134" s="239" t="str">
        <f t="shared" si="84"/>
        <v>echo {"issue":{"subject":"","project_id":79,"tracker_id":40,"status_id":1,"priority_id":2,"assigned_to_id":338,"start_date":"2017-11-26","description":"","custom_fields":[{"id":1,"name":"Subdivision","value":"EC"},{"id":4,"name":"Milepost","value":"0.0254"},{"id":17,"name":"Train ID","value":"220-26"},{"id":16,"name":"Locomotive ID","value":"4059"},{"id":130,"name":"Impact","value":""},{"id":150,"name":"Time of Event (Mountain Time)","value":"20:04:30"},{"id":151,"name":"Denver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2"/>
      <c r="AL134" s="232"/>
      <c r="AM134" s="241" t="str">
        <f t="shared" si="85"/>
        <v>start /low /b %USERPROFILE%\Documents\GitHub\eaglep3\Utilities\DownloadLogsFromS3.py --loco 4059 --day 2017-11-26</v>
      </c>
      <c r="AN134" s="242" t="str">
        <f t="shared" si="86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03:04:30"},{"id":29,"name":"Sharepoint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87"/>
        <v>https://d0f6bd738d7f1b3e5a7ca70fe4ff75f0.us-east-1.aws.found.io/app/kibana#/discover/Steve-Slow-Train-Analysis-(2080s-and-2083s)?_g=(refreshInterval:(display:Off,pause:!f,section:0,value:0),time:(from:'2017-11-26T18:22:28-0700',mode:absolute,to:'2017-11-26T21:04:30-0700'))&amp;_a=(columns:!('Message%20ID',Summary),filters:!(),index:'emp_*',interval:auto,query:(query_string:(analyze_wildcard:!t,query:'%22rtdc.l.rtdc.4059%22')),sort:!(Time.ISO8601,asc))</v>
      </c>
    </row>
    <row r="135" spans="1:91" s="20" customFormat="1" x14ac:dyDescent="0.25">
      <c r="A135" s="230" t="s">
        <v>853</v>
      </c>
      <c r="B135" s="226">
        <v>4042</v>
      </c>
      <c r="C135" s="228" t="s">
        <v>192</v>
      </c>
      <c r="D135" s="228" t="s">
        <v>1004</v>
      </c>
      <c r="E135" s="227">
        <v>43065.785925925928</v>
      </c>
      <c r="F135" s="227">
        <v>43065.792511574073</v>
      </c>
      <c r="G135" s="226">
        <v>96</v>
      </c>
      <c r="H135" s="228" t="s">
        <v>951</v>
      </c>
      <c r="I135" s="227">
        <v>43065.817291666666</v>
      </c>
      <c r="J135" s="226">
        <v>0</v>
      </c>
      <c r="K135" s="238" t="str">
        <f t="shared" si="57"/>
        <v>4041/4042</v>
      </c>
      <c r="L135" s="246" t="str">
        <f>VLOOKUP(A135,'Trips&amp;Operators'!$C$1:$G$99911,5,FALSE)</f>
        <v>KILLION DAVID</v>
      </c>
      <c r="M135" s="225">
        <f t="shared" si="58"/>
        <v>2.4780092593573499E-2</v>
      </c>
      <c r="N135" s="226">
        <f t="shared" si="59"/>
        <v>35.683333334745839</v>
      </c>
      <c r="O135" s="226"/>
      <c r="P135" s="226"/>
      <c r="Q135" s="229"/>
      <c r="R135" s="243"/>
      <c r="S135" s="250">
        <f t="shared" si="60"/>
        <v>1</v>
      </c>
      <c r="T135" s="243" t="str">
        <f t="shared" si="61"/>
        <v>NorthBound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62"/>
        <v>https://d0f6bd738d7f1b3e5a7ca70fe4ff75f0.us-east-1.aws.found.io/app/kibana#/discover/Steve-Slow-Train-Analysis-(2080s-and-2083s)?_g=(refreshInterval:(display:Off,pause:!f,section:0,value:0),time:(from:'2017-11-26T17:51:44-0700',mode:absolute,to:'2017-11-26T20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48" t="str">
        <f>IF(AA135&lt;VLOOKUP(AG135,Variables!$AC$3:$AD$8,2,FALSE),"Y","N")</f>
        <v>N</v>
      </c>
      <c r="X135" s="248">
        <f t="shared" si="63"/>
        <v>1</v>
      </c>
      <c r="Y135" s="248">
        <f t="shared" si="64"/>
        <v>5.9299999999999999E-2</v>
      </c>
      <c r="Z135" s="248">
        <f t="shared" si="65"/>
        <v>23.325099999999999</v>
      </c>
      <c r="AA135" s="248">
        <f t="shared" si="66"/>
        <v>23.265799999999999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67"/>
        <v>221</v>
      </c>
      <c r="AE135" s="236" t="str">
        <f t="shared" si="68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135" s="235" t="str">
        <f t="shared" si="69"/>
        <v>"C:\Program Files (x86)\AstroGrep\AstroGrep.exe" /e /r /s /spath="%USERPROFILE%\AppData\Local\Temp\OnboardLogs" /stypes="app*4042*20171127*" /stext=" 02:.+((SYSTEM_STATE.+slice.+state.+changed )|(ment ac)|(multiple cpu faults)|(system.+state.+changed )|(\[timeout)|(PRM\|1\|D)|(kpr)|(kdp)|(train st.+moving)|(\|lc)|(penalty))"</v>
      </c>
      <c r="AG135" s="245" t="str">
        <f t="shared" si="70"/>
        <v>EC</v>
      </c>
      <c r="AH135" s="237" t="str">
        <f t="shared" si="52"/>
        <v>"%USERPROFILE%\Documents\GitHub\eaglep3\Utilities\RefineRTDCRunTimes.py" --tripid 221-26 --locoid 4042 --swversion DE.1.0.9.0 --startMP 204:593 --initTime 2017-11-26T18:51:44 --startdatetime 2017-11-26T19:01:13 --delay 96 --endMP 204:233251 --enddatetime 2017-11-26T19:36:54 --enforcementcount 0 &gt;&gt;%USERPROFILE%\Documents\GitHub\eaglep3-reporting\EC\2017-11-26-refined-times.txt</v>
      </c>
      <c r="AI135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{"issue":{"subject":"","project_id":79,"tracker_id":40,"status_id":1,"priority_id":2,"assigned_to_id":338,"start_date":"2017-11-26","description":"","custom_fields":[{"id":1,"name":"Subdivision","value":"EC"},{"id":4,"name":"Milepost","value":"23.3251"},{"id":17,"name":"Train ID","value":"221-26"},{"id":16,"name":"Locomotive ID","value":"4042"},{"id":130,"name":"Impact","value":""},{"id":150,"name":"Time of Event (Mountain Time)","value":"19:36:54"},{"id":151,"name":"Denver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54"/>
        <v>start /low /b %USERPROFILE%\Documents\GitHub\eaglep3\Utilities\DownloadLogsFromS3.py --loco 4042 --day 2017-11-26</v>
      </c>
      <c r="AN135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56"/>
        <v>https://d0f6bd738d7f1b3e5a7ca70fe4ff75f0.us-east-1.aws.found.io/app/kibana#/discover/Steve-Slow-Train-Analysis-(2080s-and-2083s)?_g=(refreshInterval:(display:Off,pause:!f,section:0,value:0),time:(from:'2017-11-26T17:51:44-0700',mode:absolute,to:'2017-11-26T20:36:54-0700'))&amp;_a=(columns:!('Message%20ID',Summary),filters:!(),index:'emp_*',interval:auto,query:(query_string:(analyze_wildcard:!t,query:'%22rtdc.l.rtdc.4042%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0" t="s">
        <v>862</v>
      </c>
      <c r="B136" s="226">
        <v>4041</v>
      </c>
      <c r="C136" s="228" t="s">
        <v>192</v>
      </c>
      <c r="D136" s="228" t="s">
        <v>555</v>
      </c>
      <c r="E136" s="227">
        <v>43065.819432870368</v>
      </c>
      <c r="F136" s="227">
        <v>43065.831435185188</v>
      </c>
      <c r="G136" s="226">
        <v>65</v>
      </c>
      <c r="H136" s="228" t="s">
        <v>1005</v>
      </c>
      <c r="I136" s="227">
        <v>43065.857557870368</v>
      </c>
      <c r="J136" s="226">
        <v>0</v>
      </c>
      <c r="K136" s="238" t="str">
        <f t="shared" si="57"/>
        <v>4041/4042</v>
      </c>
      <c r="L136" s="246" t="str">
        <f>VLOOKUP(A136,'Trips&amp;Operators'!$C$1:$G$99911,5,FALSE)</f>
        <v>KILLION DAVID</v>
      </c>
      <c r="M136" s="225">
        <f t="shared" si="58"/>
        <v>2.6122685179871041E-2</v>
      </c>
      <c r="N136" s="226">
        <f t="shared" si="59"/>
        <v>37.6166666590143</v>
      </c>
      <c r="O136" s="226"/>
      <c r="P136" s="226"/>
      <c r="Q136" s="229"/>
      <c r="R136" s="243"/>
      <c r="S136" s="250">
        <f t="shared" si="60"/>
        <v>1</v>
      </c>
      <c r="T136" s="243" t="str">
        <f t="shared" si="61"/>
        <v>Southbound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62"/>
        <v>https://d0f6bd738d7f1b3e5a7ca70fe4ff75f0.us-east-1.aws.found.io/app/kibana#/discover/Steve-Slow-Train-Analysis-(2080s-and-2083s)?_g=(refreshInterval:(display:Off,pause:!f,section:0,value:0),time:(from:'2017-11-26T18:39:59-0700',mode:absolute,to:'2017-11-26T21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48" t="str">
        <f>IF(AA136&lt;VLOOKUP(AG136,Variables!$AC$3:$AD$8,2,FALSE),"Y","N")</f>
        <v>N</v>
      </c>
      <c r="X136" s="248">
        <f t="shared" si="63"/>
        <v>1</v>
      </c>
      <c r="Y136" s="248">
        <f t="shared" si="64"/>
        <v>23.2942</v>
      </c>
      <c r="Z136" s="248">
        <f t="shared" si="65"/>
        <v>2.47E-2</v>
      </c>
      <c r="AA136" s="248">
        <f t="shared" si="66"/>
        <v>23.269500000000001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67"/>
        <v>222</v>
      </c>
      <c r="AE136" s="236" t="str">
        <f t="shared" si="68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136" s="235" t="str">
        <f t="shared" si="69"/>
        <v>"C:\Program Files (x86)\AstroGrep\AstroGrep.exe" /e /r /s /spath="%USERPROFILE%\AppData\Local\Temp\OnboardLogs" /stypes="app*4041*20171127*" /stext=" 03:.+((SYSTEM_STATE.+slice.+state.+changed )|(ment ac)|(multiple cpu faults)|(system.+state.+changed )|(\[timeout)|(PRM\|1\|D)|(kpr)|(kdp)|(train st.+moving)|(\|lc)|(penalty))"</v>
      </c>
      <c r="AG136" s="245" t="str">
        <f t="shared" si="70"/>
        <v>EC</v>
      </c>
      <c r="AH136" s="237" t="str">
        <f t="shared" si="52"/>
        <v>"%USERPROFILE%\Documents\GitHub\eaglep3\Utilities\RefineRTDCRunTimes.py" --tripid 222-26 --locoid 4041 --swversion DE.1.0.9.0 --startMP 204:232942 --initTime 2017-11-26T19:39:59 --startdatetime 2017-11-26T19:57:16 --delay 65 --endMP 204:247 --enddatetime 2017-11-26T20:34:53 --enforcementcount 0 &gt;&gt;%USERPROFILE%\Documents\GitHub\eaglep3-reporting\EC\2017-11-26-refined-times.txt</v>
      </c>
      <c r="AI136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{"issue":{"subject":"","project_id":79,"tracker_id":40,"status_id":1,"priority_id":2,"assigned_to_id":338,"start_date":"2017-11-26","description":"","custom_fields":[{"id":1,"name":"Subdivision","value":"EC"},{"id":4,"name":"Milepost","value":"0.0247"},{"id":17,"name":"Train ID","value":"222-26"},{"id":16,"name":"Locomotive ID","value":"4041"},{"id":130,"name":"Impact","value":""},{"id":150,"name":"Time of Event (Mountain Time)","value":"20:34:53"},{"id":151,"name":"Denver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54"/>
        <v>start /low /b %USERPROFILE%\Documents\GitHub\eaglep3\Utilities\DownloadLogsFromS3.py --loco 4041 --day 2017-11-26</v>
      </c>
      <c r="AN136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03:34:53"},{"id":29,"name":"Sharepoint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56"/>
        <v>https://d0f6bd738d7f1b3e5a7ca70fe4ff75f0.us-east-1.aws.found.io/app/kibana#/discover/Steve-Slow-Train-Analysis-(2080s-and-2083s)?_g=(refreshInterval:(display:Off,pause:!f,section:0,value:0),time:(from:'2017-11-26T18:39:59-0700',mode:absolute,to:'2017-11-26T21:34:53-0700'))&amp;_a=(columns:!('Message%20ID',Summary),filters:!(),index:'emp_*',interval:auto,query:(query_string:(analyze_wildcard:!t,query:'%22rtdc.l.rtdc.4041%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0" t="s">
        <v>858</v>
      </c>
      <c r="B137" s="226">
        <v>4016</v>
      </c>
      <c r="C137" s="228" t="s">
        <v>192</v>
      </c>
      <c r="D137" s="228" t="s">
        <v>484</v>
      </c>
      <c r="E137" s="227">
        <v>43065.807129629633</v>
      </c>
      <c r="F137" s="227">
        <v>43065.812789351854</v>
      </c>
      <c r="G137" s="226">
        <v>65</v>
      </c>
      <c r="H137" s="228" t="s">
        <v>1006</v>
      </c>
      <c r="I137" s="227">
        <v>43065.83699074074</v>
      </c>
      <c r="J137" s="226">
        <v>0</v>
      </c>
      <c r="K137" s="238" t="str">
        <f t="shared" si="57"/>
        <v>4015/4016</v>
      </c>
      <c r="L137" s="246" t="str">
        <f>VLOOKUP(A137,'Trips&amp;Operators'!$C$1:$G$99911,5,FALSE)</f>
        <v>LOZA FIDEL</v>
      </c>
      <c r="M137" s="225">
        <f t="shared" si="58"/>
        <v>2.4201388885558117E-2</v>
      </c>
      <c r="N137" s="226">
        <f t="shared" si="59"/>
        <v>34.849999995203689</v>
      </c>
      <c r="O137" s="226"/>
      <c r="P137" s="226"/>
      <c r="Q137" s="229"/>
      <c r="R137" s="243"/>
      <c r="S137" s="250">
        <f t="shared" si="60"/>
        <v>1</v>
      </c>
      <c r="T137" s="243" t="str">
        <f t="shared" si="61"/>
        <v>NorthBound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62"/>
        <v>https://d0f6bd738d7f1b3e5a7ca70fe4ff75f0.us-east-1.aws.found.io/app/kibana#/discover/Steve-Slow-Train-Analysis-(2080s-and-2083s)?_g=(refreshInterval:(display:Off,pause:!f,section:0,value:0),time:(from:'2017-11-26T18:22:16-0700',mode:absolute,to:'2017-11-26T21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7" s="248" t="str">
        <f>IF(AA137&lt;VLOOKUP(AG137,Variables!$AC$3:$AD$8,2,FALSE),"Y","N")</f>
        <v>N</v>
      </c>
      <c r="X137" s="248">
        <f t="shared" si="63"/>
        <v>1</v>
      </c>
      <c r="Y137" s="248">
        <f t="shared" si="64"/>
        <v>5.2200000000000003E-2</v>
      </c>
      <c r="Z137" s="248">
        <f t="shared" si="65"/>
        <v>23.327400000000001</v>
      </c>
      <c r="AA137" s="248">
        <f t="shared" si="66"/>
        <v>23.275200000000002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67"/>
        <v>223</v>
      </c>
      <c r="AE137" s="236" t="str">
        <f t="shared" si="68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137" s="235" t="str">
        <f t="shared" si="69"/>
        <v>"C:\Program Files (x86)\AstroGrep\AstroGrep.exe" /e /r /s /spath="%USERPROFILE%\AppData\Local\Temp\OnboardLogs" /stypes="app*4016*20171127*" /stext=" 03:.+((SYSTEM_STATE.+slice.+state.+changed )|(ment ac)|(multiple cpu faults)|(system.+state.+changed )|(\[timeout)|(PRM\|1\|D)|(kpr)|(kdp)|(train st.+moving)|(\|lc)|(penalty))"</v>
      </c>
      <c r="AG137" s="245" t="str">
        <f t="shared" si="70"/>
        <v>EC</v>
      </c>
      <c r="AH137" s="237" t="str">
        <f t="shared" si="52"/>
        <v>"%USERPROFILE%\Documents\GitHub\eaglep3\Utilities\RefineRTDCRunTimes.py" --tripid 223-26 --locoid 4016 --swversion DE.1.0.9.0 --startMP 204:522 --initTime 2017-11-26T19:22:16 --startdatetime 2017-11-26T19:30:25 --delay 65 --endMP 204:233274 --enddatetime 2017-11-26T20:05:16 --enforcementcount 0 &gt;&gt;%USERPROFILE%\Documents\GitHub\eaglep3-reporting\EC\2017-11-26-refined-times.txt</v>
      </c>
      <c r="AI137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{"issue":{"subject":"","project_id":79,"tracker_id":40,"status_id":1,"priority_id":2,"assigned_to_id":338,"start_date":"2017-11-26","description":"","custom_fields":[{"id":1,"name":"Subdivision","value":"EC"},{"id":4,"name":"Milepost","value":"23.3274"},{"id":17,"name":"Train ID","value":"223-26"},{"id":16,"name":"Locomotive ID","value":"4016"},{"id":130,"name":"Impact","value":""},{"id":150,"name":"Time of Event (Mountain Time)","value":"20:05:16"},{"id":151,"name":"Denver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54"/>
        <v>start /low /b %USERPROFILE%\Documents\GitHub\eaglep3\Utilities\DownloadLogsFromS3.py --loco 4016 --day 2017-11-26</v>
      </c>
      <c r="AN137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03:05:16"},{"id":29,"name":"Sharepoint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56"/>
        <v>https://d0f6bd738d7f1b3e5a7ca70fe4ff75f0.us-east-1.aws.found.io/app/kibana#/discover/Steve-Slow-Train-Analysis-(2080s-and-2083s)?_g=(refreshInterval:(display:Off,pause:!f,section:0,value:0),time:(from:'2017-11-26T18:22:16-0700',mode:absolute,to:'2017-11-26T21:05:16-0700'))&amp;_a=(columns:!('Message%20ID',Summary),filters:!(),index:'emp_*',interval:auto,query:(query_string:(analyze_wildcard:!t,query:'%22rtdc.l.rtdc.4016%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0" t="s">
        <v>865</v>
      </c>
      <c r="B138" s="226">
        <v>4015</v>
      </c>
      <c r="C138" s="228" t="s">
        <v>192</v>
      </c>
      <c r="D138" s="228" t="s">
        <v>1007</v>
      </c>
      <c r="E138" s="227">
        <v>43065.848437499997</v>
      </c>
      <c r="F138" s="227">
        <v>43065.85229166667</v>
      </c>
      <c r="G138" s="226">
        <v>79</v>
      </c>
      <c r="H138" s="228" t="s">
        <v>444</v>
      </c>
      <c r="I138" s="227">
        <v>43065.877638888887</v>
      </c>
      <c r="J138" s="226">
        <v>0</v>
      </c>
      <c r="K138" s="238" t="str">
        <f t="shared" si="57"/>
        <v>4015/4016</v>
      </c>
      <c r="L138" s="246" t="str">
        <f>VLOOKUP(A138,'Trips&amp;Operators'!$C$1:$G$99911,5,FALSE)</f>
        <v>LOZA FIDEL</v>
      </c>
      <c r="M138" s="225">
        <f t="shared" si="58"/>
        <v>2.5347222217533272E-2</v>
      </c>
      <c r="N138" s="226">
        <f t="shared" si="59"/>
        <v>36.499999993247911</v>
      </c>
      <c r="O138" s="226"/>
      <c r="P138" s="226"/>
      <c r="Q138" s="229"/>
      <c r="R138" s="243"/>
      <c r="S138" s="250">
        <f t="shared" si="60"/>
        <v>1</v>
      </c>
      <c r="T138" s="243" t="str">
        <f t="shared" si="61"/>
        <v>Southbound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62"/>
        <v>https://d0f6bd738d7f1b3e5a7ca70fe4ff75f0.us-east-1.aws.found.io/app/kibana#/discover/Steve-Slow-Train-Analysis-(2080s-and-2083s)?_g=(refreshInterval:(display:Off,pause:!f,section:0,value:0),time:(from:'2017-11-26T19:21:45-0700',mode:absolute,to:'2017-11-26T22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8" s="248" t="str">
        <f>IF(AA138&lt;VLOOKUP(AG138,Variables!$AC$3:$AD$8,2,FALSE),"Y","N")</f>
        <v>N</v>
      </c>
      <c r="X138" s="248">
        <f t="shared" si="63"/>
        <v>1</v>
      </c>
      <c r="Y138" s="248">
        <f t="shared" si="64"/>
        <v>23.294899999999998</v>
      </c>
      <c r="Z138" s="248">
        <f t="shared" si="65"/>
        <v>2.1399999999999999E-2</v>
      </c>
      <c r="AA138" s="248">
        <f t="shared" si="66"/>
        <v>23.273499999999999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67"/>
        <v>224</v>
      </c>
      <c r="AE138" s="236" t="str">
        <f t="shared" si="68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38" s="235" t="str">
        <f t="shared" si="69"/>
        <v>"C:\Program Files (x86)\AstroGrep\AstroGrep.exe" /e /r /s /spath="%USERPROFILE%\AppData\Local\Temp\OnboardLogs" /stypes="app*4015*20171127*" /stext=" 04:.+((SYSTEM_STATE.+slice.+state.+changed )|(ment ac)|(multiple cpu faults)|(system.+state.+changed )|(\[timeout)|(PRM\|1\|D)|(kpr)|(kdp)|(train st.+moving)|(\|lc)|(penalty))"</v>
      </c>
      <c r="AG138" s="245" t="str">
        <f t="shared" si="70"/>
        <v>EC</v>
      </c>
      <c r="AH138" s="237" t="str">
        <f t="shared" si="52"/>
        <v>"%USERPROFILE%\Documents\GitHub\eaglep3\Utilities\RefineRTDCRunTimes.py" --tripid 224-26 --locoid 4015 --swversion DE.1.0.9.0 --startMP 204:232949 --initTime 2017-11-26T20:21:45 --startdatetime 2017-11-26T20:27:18 --delay 79 --endMP 204:214 --enddatetime 2017-11-26T21:03:48 --enforcementcount 0 &gt;&gt;%USERPROFILE%\Documents\GitHub\eaglep3-reporting\EC\2017-11-26-refined-times.txt</v>
      </c>
      <c r="AI138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{"issue":{"subject":"","project_id":79,"tracker_id":40,"status_id":1,"priority_id":2,"assigned_to_id":338,"start_date":"2017-11-26","description":"","custom_fields":[{"id":1,"name":"Subdivision","value":"EC"},{"id":4,"name":"Milepost","value":"0.0214"},{"id":17,"name":"Train ID","value":"224-26"},{"id":16,"name":"Locomotive ID","value":"4015"},{"id":130,"name":"Impact","value":""},{"id":150,"name":"Time of Event (Mountain Time)","value":"21:03:48"},{"id":151,"name":"Denver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54"/>
        <v>start /low /b %USERPROFILE%\Documents\GitHub\eaglep3\Utilities\DownloadLogsFromS3.py --loco 4015 --day 2017-11-26</v>
      </c>
      <c r="AN138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04:03:48"},{"id":29,"name":"Sharepoint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56"/>
        <v>https://d0f6bd738d7f1b3e5a7ca70fe4ff75f0.us-east-1.aws.found.io/app/kibana#/discover/Steve-Slow-Train-Analysis-(2080s-and-2083s)?_g=(refreshInterval:(display:Off,pause:!f,section:0,value:0),time:(from:'2017-11-26T19:21:45-0700',mode:absolute,to:'2017-11-26T22:03:48-0700'))&amp;_a=(columns:!('Message%20ID',Summary),filters:!(),index:'emp_*',interval:auto,query:(query_string:(analyze_wildcard:!t,query:'%22rtdc.l.rtdc.4015%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863</v>
      </c>
      <c r="B139" s="226">
        <v>4008</v>
      </c>
      <c r="C139" s="228" t="s">
        <v>192</v>
      </c>
      <c r="D139" s="228" t="s">
        <v>1008</v>
      </c>
      <c r="E139" s="227">
        <v>43065.826562499999</v>
      </c>
      <c r="F139" s="227">
        <v>43065.833472222221</v>
      </c>
      <c r="G139" s="226">
        <v>77</v>
      </c>
      <c r="H139" s="228" t="s">
        <v>477</v>
      </c>
      <c r="I139" s="227">
        <v>43065.857800925929</v>
      </c>
      <c r="J139" s="226">
        <v>0</v>
      </c>
      <c r="K139" s="238" t="str">
        <f t="shared" si="57"/>
        <v>4007/4008</v>
      </c>
      <c r="L139" s="246" t="str">
        <f>VLOOKUP(A139,'Trips&amp;Operators'!$C$1:$G$99911,5,FALSE)</f>
        <v>ELBAUM MIKE</v>
      </c>
      <c r="M139" s="225">
        <f t="shared" si="58"/>
        <v>2.4328703708306421E-2</v>
      </c>
      <c r="N139" s="226">
        <f t="shared" si="59"/>
        <v>35.033333339961246</v>
      </c>
      <c r="O139" s="226"/>
      <c r="P139" s="226"/>
      <c r="Q139" s="229"/>
      <c r="R139" s="243"/>
      <c r="S139" s="250">
        <f t="shared" si="60"/>
        <v>1</v>
      </c>
      <c r="T139" s="243" t="str">
        <f t="shared" si="61"/>
        <v>NorthBound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62"/>
        <v>https://d0f6bd738d7f1b3e5a7ca70fe4ff75f0.us-east-1.aws.found.io/app/kibana#/discover/Steve-Slow-Train-Analysis-(2080s-and-2083s)?_g=(refreshInterval:(display:Off,pause:!f,section:0,value:0),time:(from:'2017-11-26T18:50:15-0700',mode:absolute,to:'2017-11-26T21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48" t="str">
        <f>IF(AA139&lt;VLOOKUP(AG139,Variables!$AC$3:$AD$8,2,FALSE),"Y","N")</f>
        <v>N</v>
      </c>
      <c r="X139" s="248">
        <f t="shared" si="63"/>
        <v>1</v>
      </c>
      <c r="Y139" s="248">
        <f t="shared" si="64"/>
        <v>5.8000000000000003E-2</v>
      </c>
      <c r="Z139" s="248">
        <f t="shared" si="65"/>
        <v>23.326599999999999</v>
      </c>
      <c r="AA139" s="248">
        <f t="shared" si="66"/>
        <v>23.268599999999999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67"/>
        <v>225</v>
      </c>
      <c r="AE139" s="236" t="str">
        <f t="shared" si="68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139" s="235" t="str">
        <f t="shared" si="69"/>
        <v>"C:\Program Files (x86)\AstroGrep\AstroGrep.exe" /e /r /s /spath="%USERPROFILE%\AppData\Local\Temp\OnboardLogs" /stypes="app*4008*20171127*" /stext=" 03:.+((SYSTEM_STATE.+slice.+state.+changed )|(ment ac)|(multiple cpu faults)|(system.+state.+changed )|(\[timeout)|(PRM\|1\|D)|(kpr)|(kdp)|(train st.+moving)|(\|lc)|(penalty))"</v>
      </c>
      <c r="AG139" s="245" t="str">
        <f t="shared" si="70"/>
        <v>EC</v>
      </c>
      <c r="AH139" s="237" t="str">
        <f t="shared" si="52"/>
        <v>"%USERPROFILE%\Documents\GitHub\eaglep3\Utilities\RefineRTDCRunTimes.py" --tripid 225-26 --locoid 4008 --swversion DE.1.0.9.0 --startMP 204:580 --initTime 2017-11-26T19:50:15 --startdatetime 2017-11-26T20:00:12 --delay 77 --endMP 204:233266 --enddatetime 2017-11-26T20:35:14 --enforcementcount 0 &gt;&gt;%USERPROFILE%\Documents\GitHub\eaglep3-reporting\EC\2017-11-26-refined-times.txt</v>
      </c>
      <c r="AI139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{"issue":{"subject":"","project_id":79,"tracker_id":40,"status_id":1,"priority_id":2,"assigned_to_id":338,"start_date":"2017-11-26","description":"","custom_fields":[{"id":1,"name":"Subdivision","value":"EC"},{"id":4,"name":"Milepost","value":"23.3266"},{"id":17,"name":"Train ID","value":"225-26"},{"id":16,"name":"Locomotive ID","value":"4008"},{"id":130,"name":"Impact","value":""},{"id":150,"name":"Time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54"/>
        <v>start /low /b %USERPROFILE%\Documents\GitHub\eaglep3\Utilities\DownloadLogsFromS3.py --loco 4008 --day 2017-11-26</v>
      </c>
      <c r="AN139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56"/>
        <v>https://d0f6bd738d7f1b3e5a7ca70fe4ff75f0.us-east-1.aws.found.io/app/kibana#/discover/Steve-Slow-Train-Analysis-(2080s-and-2083s)?_g=(refreshInterval:(display:Off,pause:!f,section:0,value:0),time:(from:'2017-11-26T18:50:15-0700',mode:absolute,to:'2017-11-26T21:35:14-0700'))&amp;_a=(columns:!('Message%20ID',Summary),filters:!(),index:'emp_*',interval:auto,query:(query_string:(analyze_wildcard:!t,query:'%22rtdc.l.rtdc.4008%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868</v>
      </c>
      <c r="B140" s="226">
        <v>4007</v>
      </c>
      <c r="C140" s="228" t="s">
        <v>192</v>
      </c>
      <c r="D140" s="228" t="s">
        <v>500</v>
      </c>
      <c r="E140" s="227">
        <v>43065.8590625</v>
      </c>
      <c r="F140" s="227">
        <v>43065.873067129629</v>
      </c>
      <c r="G140" s="226">
        <v>61</v>
      </c>
      <c r="H140" s="228" t="s">
        <v>499</v>
      </c>
      <c r="I140" s="227">
        <v>43065.898125</v>
      </c>
      <c r="J140" s="226">
        <v>0</v>
      </c>
      <c r="K140" s="238" t="str">
        <f t="shared" si="57"/>
        <v>4007/4008</v>
      </c>
      <c r="L140" s="246" t="str">
        <f>VLOOKUP(A140,'Trips&amp;Operators'!$C$1:$G$99911,5,FALSE)</f>
        <v>ELBAUM MIKE</v>
      </c>
      <c r="M140" s="225">
        <f t="shared" si="58"/>
        <v>2.5057870370801538E-2</v>
      </c>
      <c r="N140" s="226">
        <f t="shared" si="59"/>
        <v>36.083333333954215</v>
      </c>
      <c r="O140" s="226"/>
      <c r="P140" s="226"/>
      <c r="Q140" s="229"/>
      <c r="R140" s="243"/>
      <c r="S140" s="250">
        <f t="shared" si="60"/>
        <v>1</v>
      </c>
      <c r="T140" s="243" t="str">
        <f t="shared" si="61"/>
        <v>Southbound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62"/>
        <v>https://d0f6bd738d7f1b3e5a7ca70fe4ff75f0.us-east-1.aws.found.io/app/kibana#/discover/Steve-Slow-Train-Analysis-(2080s-and-2083s)?_g=(refreshInterval:(display:Off,pause:!f,section:0,value:0),time:(from:'2017-11-26T19:37:03-0700',mode:absolute,to:'2017-11-26T22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48" t="str">
        <f>IF(AA140&lt;VLOOKUP(AG140,Variables!$AC$3:$AD$8,2,FALSE),"Y","N")</f>
        <v>N</v>
      </c>
      <c r="X140" s="248">
        <f t="shared" si="63"/>
        <v>1</v>
      </c>
      <c r="Y140" s="248">
        <f t="shared" si="64"/>
        <v>23.2943</v>
      </c>
      <c r="Z140" s="248">
        <f t="shared" si="65"/>
        <v>2.5600000000000001E-2</v>
      </c>
      <c r="AA140" s="248">
        <f t="shared" si="66"/>
        <v>23.268699999999999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67"/>
        <v>226</v>
      </c>
      <c r="AE140" s="236" t="str">
        <f t="shared" si="68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140" s="235" t="str">
        <f t="shared" si="69"/>
        <v>"C:\Program Files (x86)\AstroGrep\AstroGrep.exe" /e /r /s /spath="%USERPROFILE%\AppData\Local\Temp\OnboardLogs" /stypes="app*4007*20171127*" /stext=" 04:.+((SYSTEM_STATE.+slice.+state.+changed )|(ment ac)|(multiple cpu faults)|(system.+state.+changed )|(\[timeout)|(PRM\|1\|D)|(kpr)|(kdp)|(train st.+moving)|(\|lc)|(penalty))"</v>
      </c>
      <c r="AG140" s="245" t="str">
        <f t="shared" si="70"/>
        <v>EC</v>
      </c>
      <c r="AH140" s="237" t="str">
        <f t="shared" si="52"/>
        <v>"%USERPROFILE%\Documents\GitHub\eaglep3\Utilities\RefineRTDCRunTimes.py" --tripid 226-26 --locoid 4007 --swversion DE.1.0.9.0 --startMP 204:232943 --initTime 2017-11-26T20:37:03 --startdatetime 2017-11-26T20:57:13 --delay 61 --endMP 204:256 --enddatetime 2017-11-26T21:33:18 --enforcementcount 0 &gt;&gt;%USERPROFILE%\Documents\GitHub\eaglep3-reporting\EC\2017-11-26-refined-times.txt</v>
      </c>
      <c r="AI140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{"issue":{"subject":"","project_id":79,"tracker_id":40,"status_id":1,"priority_id":2,"assigned_to_id":338,"start_date":"2017-11-26","description":"","custom_fields":[{"id":1,"name":"Subdivision","value":"EC"},{"id":4,"name":"Milepost","value":"0.0256"},{"id":17,"name":"Train ID","value":"226-26"},{"id":16,"name":"Locomotive ID","value":"4007"},{"id":130,"name":"Impact","value":""},{"id":150,"name":"Time of Event (Mountain Time)","value":"21:33:18"},{"id":151,"name":"Denver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54"/>
        <v>start /low /b %USERPROFILE%\Documents\GitHub\eaglep3\Utilities\DownloadLogsFromS3.py --loco 4007 --day 2017-11-26</v>
      </c>
      <c r="AN140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04:33:18"},{"id":29,"name":"Sharepoint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56"/>
        <v>https://d0f6bd738d7f1b3e5a7ca70fe4ff75f0.us-east-1.aws.found.io/app/kibana#/discover/Steve-Slow-Train-Analysis-(2080s-and-2083s)?_g=(refreshInterval:(display:Off,pause:!f,section:0,value:0),time:(from:'2017-11-26T19:37:03-0700',mode:absolute,to:'2017-11-26T22:33:18-0700'))&amp;_a=(columns:!('Message%20ID',Summary),filters:!(),index:'emp_*',interval:auto,query:(query_string:(analyze_wildcard:!t,query:'%22rtdc.l.rtdc.4007%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867</v>
      </c>
      <c r="B141" s="226">
        <v>4060</v>
      </c>
      <c r="C141" s="228" t="s">
        <v>192</v>
      </c>
      <c r="D141" s="228" t="s">
        <v>612</v>
      </c>
      <c r="E141" s="227">
        <v>43065.851423611108</v>
      </c>
      <c r="F141" s="227">
        <v>43065.854386574072</v>
      </c>
      <c r="G141" s="226">
        <v>71</v>
      </c>
      <c r="H141" s="228" t="s">
        <v>946</v>
      </c>
      <c r="I141" s="227">
        <v>43065.878703703704</v>
      </c>
      <c r="J141" s="226">
        <v>0</v>
      </c>
      <c r="K141" s="238" t="str">
        <f t="shared" si="57"/>
        <v>4059/4060</v>
      </c>
      <c r="L141" s="246" t="str">
        <f>VLOOKUP(A141,'Trips&amp;Operators'!$C$1:$G$99911,5,FALSE)</f>
        <v>RESPASS AARON</v>
      </c>
      <c r="M141" s="225">
        <f t="shared" si="58"/>
        <v>2.4317129631526768E-2</v>
      </c>
      <c r="N141" s="226">
        <f t="shared" si="59"/>
        <v>35.016666669398546</v>
      </c>
      <c r="O141" s="226"/>
      <c r="P141" s="226"/>
      <c r="Q141" s="229"/>
      <c r="R141" s="243"/>
      <c r="S141" s="250">
        <f t="shared" si="60"/>
        <v>1</v>
      </c>
      <c r="T141" s="243" t="str">
        <f t="shared" si="61"/>
        <v>NorthBound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si="62"/>
        <v>https://d0f6bd738d7f1b3e5a7ca70fe4ff75f0.us-east-1.aws.found.io/app/kibana#/discover/Steve-Slow-Train-Analysis-(2080s-and-2083s)?_g=(refreshInterval:(display:Off,pause:!f,section:0,value:0),time:(from:'2017-11-26T19:26:03-0700',mode:absolute,to:'2017-11-26T22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1" s="248" t="str">
        <f>IF(AA141&lt;VLOOKUP(AG141,Variables!$AC$3:$AD$8,2,FALSE),"Y","N")</f>
        <v>N</v>
      </c>
      <c r="X141" s="248">
        <f t="shared" si="63"/>
        <v>1</v>
      </c>
      <c r="Y141" s="248">
        <f t="shared" si="64"/>
        <v>5.4600000000000003E-2</v>
      </c>
      <c r="Z141" s="248">
        <f t="shared" si="65"/>
        <v>23.325900000000001</v>
      </c>
      <c r="AA141" s="248">
        <f t="shared" si="66"/>
        <v>23.2713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si="67"/>
        <v>227</v>
      </c>
      <c r="AE141" s="236" t="str">
        <f t="shared" si="68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141" s="235" t="str">
        <f t="shared" si="69"/>
        <v>"C:\Program Files (x86)\AstroGrep\AstroGrep.exe" /e /r /s /spath="%USERPROFILE%\AppData\Local\Temp\OnboardLogs" /stypes="app*4060*20171127*" /stext=" 04:.+((SYSTEM_STATE.+slice.+state.+changed )|(ment ac)|(multiple cpu faults)|(system.+state.+changed )|(\[timeout)|(PRM\|1\|D)|(kpr)|(kdp)|(train st.+moving)|(\|lc)|(penalty))"</v>
      </c>
      <c r="AG141" s="245" t="str">
        <f t="shared" si="70"/>
        <v>EC</v>
      </c>
      <c r="AH141" s="237" t="str">
        <f t="shared" si="52"/>
        <v>"%USERPROFILE%\Documents\GitHub\eaglep3\Utilities\RefineRTDCRunTimes.py" --tripid 227-26 --locoid 4060 --swversion DE.1.0.9.0 --startMP 204:546 --initTime 2017-11-26T20:26:03 --startdatetime 2017-11-26T20:30:19 --delay 71 --endMP 204:233259 --enddatetime 2017-11-26T21:05:20 --enforcementcount 0 &gt;&gt;%USERPROFILE%\Documents\GitHub\eaglep3-reporting\EC\2017-11-26-refined-times.txt</v>
      </c>
      <c r="AI141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{"issue":{"subject":"","project_id":79,"tracker_id":40,"status_id":1,"priority_id":2,"assigned_to_id":338,"start_date":"2017-11-26","description":"","custom_fields":[{"id":1,"name":"Subdivision","value":"EC"},{"id":4,"name":"Milepost","value":"23.3259"},{"id":17,"name":"Train ID","value":"227-26"},{"id":16,"name":"Locomotive ID","value":"4060"},{"id":130,"name":"Impact","value":""},{"id":150,"name":"Time of Event (Mountain Time)","value":"21:05:20"},{"id":151,"name":"Denver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54"/>
        <v>start /low /b %USERPROFILE%\Documents\GitHub\eaglep3\Utilities\DownloadLogsFromS3.py --loco 4060 --day 2017-11-26</v>
      </c>
      <c r="AN141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04:05:20"},{"id":29,"name":"Sharepoint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56"/>
        <v>https://d0f6bd738d7f1b3e5a7ca70fe4ff75f0.us-east-1.aws.found.io/app/kibana#/discover/Steve-Slow-Train-Analysis-(2080s-and-2083s)?_g=(refreshInterval:(display:Off,pause:!f,section:0,value:0),time:(from:'2017-11-26T19:26:03-0700',mode:absolute,to:'2017-11-26T22:05:20-0700'))&amp;_a=(columns:!('Message%20ID',Summary),filters:!(),index:'emp_*',interval:auto,query:(query_string:(analyze_wildcard:!t,query:'%22rtdc.l.rtdc.4060%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0" t="s">
        <v>667</v>
      </c>
      <c r="B142" s="226">
        <v>4059</v>
      </c>
      <c r="C142" s="228" t="s">
        <v>192</v>
      </c>
      <c r="D142" s="228" t="s">
        <v>555</v>
      </c>
      <c r="E142" s="227">
        <v>43065.887615740743</v>
      </c>
      <c r="F142" s="227">
        <v>43065.893969907411</v>
      </c>
      <c r="G142" s="226">
        <v>63</v>
      </c>
      <c r="H142" s="228" t="s">
        <v>1009</v>
      </c>
      <c r="I142" s="227">
        <v>43065.919849537036</v>
      </c>
      <c r="J142" s="226">
        <v>0</v>
      </c>
      <c r="K142" s="238" t="str">
        <f t="shared" si="57"/>
        <v>4059/4060</v>
      </c>
      <c r="L142" s="246" t="str">
        <f>VLOOKUP(A142,'Trips&amp;Operators'!$C$1:$G$99911,5,FALSE)</f>
        <v>RESPASS AARON</v>
      </c>
      <c r="M142" s="225">
        <f t="shared" si="58"/>
        <v>2.5879629625706002E-2</v>
      </c>
      <c r="N142" s="226">
        <f t="shared" si="59"/>
        <v>37.266666661016643</v>
      </c>
      <c r="O142" s="226"/>
      <c r="P142" s="226"/>
      <c r="Q142" s="229"/>
      <c r="R142" s="243"/>
      <c r="S142" s="250">
        <f t="shared" si="60"/>
        <v>1</v>
      </c>
      <c r="T142" s="243" t="str">
        <f t="shared" si="61"/>
        <v>Southbound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62"/>
        <v>https://d0f6bd738d7f1b3e5a7ca70fe4ff75f0.us-east-1.aws.found.io/app/kibana#/discover/Steve-Slow-Train-Analysis-(2080s-and-2083s)?_g=(refreshInterval:(display:Off,pause:!f,section:0,value:0),time:(from:'2017-11-26T20:18:10-0700',mode:absolute,to:'2017-11-26T23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2" s="248" t="str">
        <f>IF(AA142&lt;VLOOKUP(AG142,Variables!$AC$3:$AD$8,2,FALSE),"Y","N")</f>
        <v>N</v>
      </c>
      <c r="X142" s="248">
        <f t="shared" si="63"/>
        <v>1</v>
      </c>
      <c r="Y142" s="248">
        <f t="shared" si="64"/>
        <v>23.2942</v>
      </c>
      <c r="Z142" s="248">
        <f t="shared" si="65"/>
        <v>2.6200000000000001E-2</v>
      </c>
      <c r="AA142" s="248">
        <f t="shared" si="66"/>
        <v>23.268000000000001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67"/>
        <v>228</v>
      </c>
      <c r="AE142" s="236" t="str">
        <f t="shared" si="68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142" s="235" t="str">
        <f t="shared" si="69"/>
        <v>"C:\Program Files (x86)\AstroGrep\AstroGrep.exe" /e /r /s /spath="%USERPROFILE%\AppData\Local\Temp\OnboardLogs" /stypes="app*4059*20171127*" /stext=" 05:.+((SYSTEM_STATE.+slice.+state.+changed )|(ment ac)|(multiple cpu faults)|(system.+state.+changed )|(\[timeout)|(PRM\|1\|D)|(kpr)|(kdp)|(train st.+moving)|(\|lc)|(penalty))"</v>
      </c>
      <c r="AG142" s="245" t="str">
        <f t="shared" si="70"/>
        <v>EC</v>
      </c>
      <c r="AH142" s="237" t="str">
        <f t="shared" si="52"/>
        <v>"%USERPROFILE%\Documents\GitHub\eaglep3\Utilities\RefineRTDCRunTimes.py" --tripid 228-26 --locoid 4059 --swversion DE.1.0.9.0 --startMP 204:232942 --initTime 2017-11-26T21:18:10 --startdatetime 2017-11-26T21:27:19 --delay 63 --endMP 204:262 --enddatetime 2017-11-26T22:04:35 --enforcementcount 0 &gt;&gt;%USERPROFILE%\Documents\GitHub\eaglep3-reporting\EC\2017-11-26-refined-times.txt</v>
      </c>
      <c r="AI142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{"issue":{"subject":"","project_id":79,"tracker_id":40,"status_id":1,"priority_id":2,"assigned_to_id":338,"start_date":"2017-11-26","description":"","custom_fields":[{"id":1,"name":"Subdivision","value":"EC"},{"id":4,"name":"Milepost","value":"0.0262"},{"id":17,"name":"Train ID","value":"228-26"},{"id":16,"name":"Locomotive ID","value":"4059"},{"id":130,"name":"Impact","value":""},{"id":150,"name":"Time of Event (Mountain Time)","value":"22:04:35"},{"id":151,"name":"Denver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54"/>
        <v>start /low /b %USERPROFILE%\Documents\GitHub\eaglep3\Utilities\DownloadLogsFromS3.py --loco 4059 --day 2017-11-26</v>
      </c>
      <c r="AN142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05:04:35"},{"id":29,"name":"Sharepoint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56"/>
        <v>https://d0f6bd738d7f1b3e5a7ca70fe4ff75f0.us-east-1.aws.found.io/app/kibana#/discover/Steve-Slow-Train-Analysis-(2080s-and-2083s)?_g=(refreshInterval:(display:Off,pause:!f,section:0,value:0),time:(from:'2017-11-26T20:18:10-0700',mode:absolute,to:'2017-11-26T23:04:35-0700'))&amp;_a=(columns:!('Message%20ID',Summary),filters:!(),index:'emp_*',interval:auto,query:(query_string:(analyze_wildcard:!t,query:'%22rtdc.l.rtdc.4059%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30" t="s">
        <v>869</v>
      </c>
      <c r="B143" s="226">
        <v>4042</v>
      </c>
      <c r="C143" s="228" t="s">
        <v>192</v>
      </c>
      <c r="D143" s="228" t="s">
        <v>1010</v>
      </c>
      <c r="E143" s="227">
        <v>43065.866481481484</v>
      </c>
      <c r="F143" s="227">
        <v>43065.875243055554</v>
      </c>
      <c r="G143" s="226">
        <v>60</v>
      </c>
      <c r="H143" s="228" t="s">
        <v>519</v>
      </c>
      <c r="I143" s="227">
        <v>43065.899328703701</v>
      </c>
      <c r="J143" s="226">
        <v>0</v>
      </c>
      <c r="K143" s="238" t="str">
        <f t="shared" ref="K143:K178" si="88">IF(ISEVEN(B143),(B143-1)&amp;"/"&amp;B143,B143&amp;"/"&amp;(B143+1))</f>
        <v>4041/4042</v>
      </c>
      <c r="L143" s="246" t="str">
        <f>VLOOKUP(A143,'Trips&amp;Operators'!$C$1:$G$99911,5,FALSE)</f>
        <v>STAMBAUGH JAMES</v>
      </c>
      <c r="M143" s="225">
        <f t="shared" ref="M143:M178" si="89">I143-F143</f>
        <v>2.4085648146865424E-2</v>
      </c>
      <c r="N143" s="226">
        <f t="shared" ref="N143:P178" si="90">24*60*SUM($M143:$M143)</f>
        <v>34.68333333148621</v>
      </c>
      <c r="O143" s="226"/>
      <c r="P143" s="226"/>
      <c r="Q143" s="229"/>
      <c r="R143" s="243"/>
      <c r="S143" s="250">
        <f t="shared" ref="S143:S178" si="91">1/IF(AG143="EC",12,1)*SUM(U143:U143)</f>
        <v>1</v>
      </c>
      <c r="T143" s="243" t="str">
        <f t="shared" ref="T143:T178" si="92">IF(ISEVEN(LEFT(AD143,4)),"Southbound","NorthBound")</f>
        <v>NorthBound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ref="V143:V178" si="93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-26T19:47:44-0700',mode:absolute,to:'2017-11-26T22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248" t="str">
        <f>IF(AA143&lt;VLOOKUP(AG143,Variables!$AC$3:$AD$8,2,FALSE),"Y","N")</f>
        <v>N</v>
      </c>
      <c r="X143" s="248">
        <f t="shared" ref="X143:X176" si="94">VALUE(LEFT(AD143,4))-VALUE(LEFT(AD142,4))</f>
        <v>1</v>
      </c>
      <c r="Y143" s="248">
        <f t="shared" ref="Y143:Y178" si="95">RIGHT(D143,LEN(D143)-4)/10000</f>
        <v>5.3900000000000003E-2</v>
      </c>
      <c r="Z143" s="248">
        <f t="shared" ref="Z143:Z178" si="96">RIGHT(H143,LEN(H143)-4)/10000</f>
        <v>23.331499999999998</v>
      </c>
      <c r="AA143" s="248">
        <f t="shared" ref="AA143:AA178" si="97">ABS(Z143-Y143)</f>
        <v>23.2776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ref="AD143:AD178" si="98">VALUE(LEFT(A143,LEN(A143)-3))</f>
        <v>229</v>
      </c>
      <c r="AE143" s="236" t="str">
        <f t="shared" ref="AE143:AE178" si="99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143" s="235" t="str">
        <f t="shared" ref="AF143:AF178" si="100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/stypes="app*4042*20171127*" /stext=" 04:.+((SYSTEM_STATE.+slice.+state.+changed )|(ment ac)|(multiple cpu faults)|(system.+state.+changed )|(\[timeout)|(PRM\|1\|D)|(kpr)|(kdp)|(train st.+moving)|(\|lc)|(penalty))"</v>
      </c>
      <c r="AG143" s="245" t="str">
        <f t="shared" ref="AG143:AG178" si="101">DetSubdiv(A143)</f>
        <v>EC</v>
      </c>
      <c r="AH143" s="237" t="str">
        <f t="shared" si="52"/>
        <v>"%USERPROFILE%\Documents\GitHub\eaglep3\Utilities\RefineRTDCRunTimes.py" --tripid 229-26 --locoid 4042 --swversion DE.1.0.9.0 --startMP 204:539 --initTime 2017-11-26T20:47:44 --startdatetime 2017-11-26T21:00:21 --delay 60 --endMP 204:233315 --enddatetime 2017-11-26T21:35:02 --enforcementcount 0 &gt;&gt;%USERPROFILE%\Documents\GitHub\eaglep3-reporting\EC\2017-11-26-refined-times.txt</v>
      </c>
      <c r="AI143" s="239" t="str">
        <f t="shared" si="53"/>
        <v>echo {"issue":{"subject":"","project_id":79,"tracker_id":40,"status_id":1,"priority_id":2,"assigned_to_id":338,"start_date":"2017-11-26","description":"","custom_fields":[{"id":1,"name":"Subdivision","value":"EC"},{"id":4,"name":"Milepost","value":"23.3315"},{"id":17,"name":"Train ID","value":"229-26"},{"id":16,"name":"Locomotive ID","value":"4042"},{"id":130,"name":"Impact","value":""},{"id":150,"name":"Time of Event (Mountain Time)","value":"21:35:02"},{"id":151,"name":"Denver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54"/>
        <v>start /low /b %USERPROFILE%\Documents\GitHub\eaglep3\Utilities\DownloadLogsFromS3.py --loco 4042 --day 2017-11-26</v>
      </c>
      <c r="AN143" s="242" t="str">
        <f t="shared" si="5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04:35:02"},{"id":29,"name":"Sharepoint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56"/>
        <v>https://d0f6bd738d7f1b3e5a7ca70fe4ff75f0.us-east-1.aws.found.io/app/kibana#/discover/Steve-Slow-Train-Analysis-(2080s-and-2083s)?_g=(refreshInterval:(display:Off,pause:!f,section:0,value:0),time:(from:'2017-11-26T19:47:44-0700',mode:absolute,to:'2017-11-26T22:35:02-0700'))&amp;_a=(columns:!('Message%20ID',Summary),filters:!(),index:'emp_*',interval:auto,query:(query_string:(analyze_wildcard:!t,query:'%22rtdc.l.rtdc.4042%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874</v>
      </c>
      <c r="B144" s="226">
        <v>4041</v>
      </c>
      <c r="C144" s="228" t="s">
        <v>192</v>
      </c>
      <c r="D144" s="228" t="s">
        <v>1011</v>
      </c>
      <c r="E144" s="227">
        <v>43065.911238425928</v>
      </c>
      <c r="F144" s="227">
        <v>43065.915081018517</v>
      </c>
      <c r="G144" s="226">
        <v>76</v>
      </c>
      <c r="H144" s="228" t="s">
        <v>1012</v>
      </c>
      <c r="I144" s="227">
        <v>43065.940393518518</v>
      </c>
      <c r="J144" s="226">
        <v>0</v>
      </c>
      <c r="K144" s="238" t="str">
        <f t="shared" si="88"/>
        <v>4041/4042</v>
      </c>
      <c r="L144" s="246" t="str">
        <f>VLOOKUP(A144,'Trips&amp;Operators'!$C$1:$G$99911,5,FALSE)</f>
        <v>STAMBAUGH JAMES</v>
      </c>
      <c r="M144" s="225">
        <f t="shared" si="89"/>
        <v>2.531250000174623E-2</v>
      </c>
      <c r="N144" s="226">
        <f t="shared" si="90"/>
        <v>36.450000002514571</v>
      </c>
      <c r="O144" s="226"/>
      <c r="P144" s="226"/>
      <c r="Q144" s="229"/>
      <c r="R144" s="243"/>
      <c r="S144" s="250">
        <f t="shared" si="91"/>
        <v>1</v>
      </c>
      <c r="T144" s="243" t="str">
        <f t="shared" si="92"/>
        <v>Southbound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93"/>
        <v>https://d0f6bd738d7f1b3e5a7ca70fe4ff75f0.us-east-1.aws.found.io/app/kibana#/discover/Steve-Slow-Train-Analysis-(2080s-and-2083s)?_g=(refreshInterval:(display:Off,pause:!f,section:0,value:0),time:(from:'2017-11-26T20:52:11-0700',mode:absolute,to:'2017-11-26T23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248" t="str">
        <f>IF(AA144&lt;VLOOKUP(AG144,Variables!$AC$3:$AD$8,2,FALSE),"Y","N")</f>
        <v>N</v>
      </c>
      <c r="X144" s="248">
        <f t="shared" si="94"/>
        <v>1</v>
      </c>
      <c r="Y144" s="248">
        <f t="shared" si="95"/>
        <v>23.302800000000001</v>
      </c>
      <c r="Z144" s="248">
        <f t="shared" si="96"/>
        <v>2.4199999999999999E-2</v>
      </c>
      <c r="AA144" s="248">
        <f t="shared" si="97"/>
        <v>23.278600000000001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98"/>
        <v>230</v>
      </c>
      <c r="AE144" s="236" t="str">
        <f t="shared" si="99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144" s="235" t="str">
        <f t="shared" si="100"/>
        <v>"C:\Program Files (x86)\AstroGrep\AstroGrep.exe" /e /r /s /spath="%USERPROFILE%\AppData\Local\Temp\OnboardLogs" /stypes="app*4041*20171127*" /stext=" 05:.+((SYSTEM_STATE.+slice.+state.+changed )|(ment ac)|(multiple cpu faults)|(system.+state.+changed )|(\[timeout)|(PRM\|1\|D)|(kpr)|(kdp)|(train st.+moving)|(\|lc)|(penalty))"</v>
      </c>
      <c r="AG144" s="245" t="str">
        <f t="shared" si="101"/>
        <v>EC</v>
      </c>
      <c r="AH144" s="237" t="str">
        <f t="shared" ref="AH144:AH216" si="10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230-26 --locoid 4041 --swversion DE.1.0.9.0 --startMP 204:233028 --initTime 2017-11-26T21:52:11 --startdatetime 2017-11-26T21:57:43 --delay 76 --endMP 204:242 --enddatetime 2017-11-26T22:34:10 --enforcementcount 0 &gt;&gt;%USERPROFILE%\Documents\GitHub\eaglep3-reporting\EC\2017-11-26-refined-times.txt</v>
      </c>
      <c r="AI144" s="239" t="str">
        <f t="shared" ref="AI144:AI216" si="10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{"issue":{"subject":"","project_id":79,"tracker_id":40,"status_id":1,"priority_id":2,"assigned_to_id":338,"start_date":"2017-11-26","description":"","custom_fields":[{"id":1,"name":"Subdivision","value":"EC"},{"id":4,"name":"Milepost","value":"0.0242"},{"id":17,"name":"Train ID","value":"230-26"},{"id":16,"name":"Locomotive ID","value":"4041"},{"id":130,"name":"Impact","value":""},{"id":150,"name":"Time of Event (Mountain Time)","value":"22:34:10"},{"id":151,"name":"Denver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ref="AM144:AM216" si="104">"start /low /b "&amp;dls3logs&amp;" --loco "&amp;B144&amp;" --day "&amp;TEXT(F144,"YYYY-MM-DD")</f>
        <v>start /low /b %USERPROFILE%\Documents\GitHub\eaglep3\Utilities\DownloadLogsFromS3.py --loco 4041 --day 2017-11-26</v>
      </c>
      <c r="AN144" s="242" t="str">
        <f t="shared" ref="AN144:AN216" si="10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05:34:10"},{"id":29,"name":"Sharepoint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ref="AO144:AO216" si="10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-26T20:52:11-0700',mode:absolute,to:'2017-11-26T23:34:10-0700'))&amp;_a=(columns:!('Message%20ID',Summary),filters:!(),index:'emp_*',interval:auto,query:(query_string:(analyze_wildcard:!t,query:'%22rtdc.l.rtdc.4041%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30" t="s">
        <v>871</v>
      </c>
      <c r="B145" s="226">
        <v>4016</v>
      </c>
      <c r="C145" s="228" t="s">
        <v>192</v>
      </c>
      <c r="D145" s="228" t="s">
        <v>476</v>
      </c>
      <c r="E145" s="227">
        <v>43065.8828125</v>
      </c>
      <c r="F145" s="227">
        <v>43065.896053240744</v>
      </c>
      <c r="G145" s="226">
        <v>66</v>
      </c>
      <c r="H145" s="228" t="s">
        <v>1013</v>
      </c>
      <c r="I145" s="227">
        <v>43065.92046296296</v>
      </c>
      <c r="J145" s="226">
        <v>0</v>
      </c>
      <c r="K145" s="238" t="str">
        <f t="shared" si="88"/>
        <v>4015/4016</v>
      </c>
      <c r="L145" s="246" t="str">
        <f>VLOOKUP(A145,'Trips&amp;Operators'!$C$1:$G$99911,5,FALSE)</f>
        <v>LOZA FIDEL</v>
      </c>
      <c r="M145" s="225">
        <f t="shared" si="89"/>
        <v>2.4409722216660157E-2</v>
      </c>
      <c r="N145" s="226">
        <f t="shared" si="90"/>
        <v>35.149999991990626</v>
      </c>
      <c r="O145" s="226"/>
      <c r="P145" s="226"/>
      <c r="Q145" s="229"/>
      <c r="R145" s="243"/>
      <c r="S145" s="250">
        <f t="shared" si="91"/>
        <v>1</v>
      </c>
      <c r="T145" s="243" t="str">
        <f t="shared" si="92"/>
        <v>NorthBound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93"/>
        <v>https://d0f6bd738d7f1b3e5a7ca70fe4ff75f0.us-east-1.aws.found.io/app/kibana#/discover/Steve-Slow-Train-Analysis-(2080s-and-2083s)?_g=(refreshInterval:(display:Off,pause:!f,section:0,value:0),time:(from:'2017-11-26T20:11:15-0700',mode:absolute,to:'2017-11-26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248" t="str">
        <f>IF(AA145&lt;VLOOKUP(AG145,Variables!$AC$3:$AD$8,2,FALSE),"Y","N")</f>
        <v>N</v>
      </c>
      <c r="X145" s="248">
        <f t="shared" si="94"/>
        <v>1</v>
      </c>
      <c r="Y145" s="248">
        <f t="shared" si="95"/>
        <v>5.2400000000000002E-2</v>
      </c>
      <c r="Z145" s="248">
        <f t="shared" si="96"/>
        <v>23.3276</v>
      </c>
      <c r="AA145" s="248">
        <f t="shared" si="97"/>
        <v>23.275200000000002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98"/>
        <v>231</v>
      </c>
      <c r="AE145" s="236" t="str">
        <f t="shared" si="99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145" s="235" t="str">
        <f t="shared" si="100"/>
        <v>"C:\Program Files (x86)\AstroGrep\AstroGrep.exe" /e /r /s /spath="%USERPROFILE%\AppData\Local\Temp\OnboardLogs" /stypes="app*4016*20171127*" /stext=" 05:.+((SYSTEM_STATE.+slice.+state.+changed )|(ment ac)|(multiple cpu faults)|(system.+state.+changed )|(\[timeout)|(PRM\|1\|D)|(kpr)|(kdp)|(train st.+moving)|(\|lc)|(penalty))"</v>
      </c>
      <c r="AG145" s="245" t="str">
        <f t="shared" si="101"/>
        <v>EC</v>
      </c>
      <c r="AH145" s="237" t="str">
        <f t="shared" si="102"/>
        <v>"%USERPROFILE%\Documents\GitHub\eaglep3\Utilities\RefineRTDCRunTimes.py" --tripid 231-26 --locoid 4016 --swversion DE.1.0.9.0 --startMP 204:524 --initTime 2017-11-26T21:11:15 --startdatetime 2017-11-26T21:30:19 --delay 66 --endMP 204:233276 --enddatetime 2017-11-26T22:05:28 --enforcementcount 0 &gt;&gt;%USERPROFILE%\Documents\GitHub\eaglep3-reporting\EC\2017-11-26-refined-times.txt</v>
      </c>
      <c r="AI145" s="239" t="str">
        <f t="shared" si="103"/>
        <v>echo {"issue":{"subject":"","project_id":79,"tracker_id":40,"status_id":1,"priority_id":2,"assigned_to_id":338,"start_date":"2017-11-26","description":"","custom_fields":[{"id":1,"name":"Subdivision","value":"EC"},{"id":4,"name":"Milepost","value":"23.3276"},{"id":17,"name":"Train ID","value":"231-26"},{"id":16,"name":"Locomotive ID","value":"4016"},{"id":130,"name":"Impact","value":""},{"id":150,"name":"Time of Event (Mountain Time)","value":"22:05:28"},{"id":151,"name":"Denver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4"/>
      <c r="AK145" s="232"/>
      <c r="AL145" s="232"/>
      <c r="AM145" s="241" t="str">
        <f t="shared" si="104"/>
        <v>start /low /b %USERPROFILE%\Documents\GitHub\eaglep3\Utilities\DownloadLogsFromS3.py --loco 4016 --day 2017-11-26</v>
      </c>
      <c r="AN145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106"/>
        <v>https://d0f6bd738d7f1b3e5a7ca70fe4ff75f0.us-east-1.aws.found.io/app/kibana#/discover/Steve-Slow-Train-Analysis-(2080s-and-2083s)?_g=(refreshInterval:(display:Off,pause:!f,section:0,value:0),time:(from:'2017-11-26T20:11:15-0700',mode:absolute,to:'2017-11-26T23:05:28-0700'))&amp;_a=(columns:!('Message%20ID',Summary),filters:!(),index:'emp_*',interval:auto,query:(query_string:(analyze_wildcard:!t,query:'%22rtdc.l.rtdc.4016%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0" t="s">
        <v>875</v>
      </c>
      <c r="B146" s="226">
        <v>4015</v>
      </c>
      <c r="C146" s="228" t="s">
        <v>192</v>
      </c>
      <c r="D146" s="228" t="s">
        <v>632</v>
      </c>
      <c r="E146" s="227">
        <v>43065.932268518518</v>
      </c>
      <c r="F146" s="227">
        <v>43065.935648148145</v>
      </c>
      <c r="G146" s="226">
        <v>62</v>
      </c>
      <c r="H146" s="228" t="s">
        <v>498</v>
      </c>
      <c r="I146" s="227">
        <v>43065.961423611108</v>
      </c>
      <c r="J146" s="226">
        <v>0</v>
      </c>
      <c r="K146" s="238" t="str">
        <f t="shared" si="88"/>
        <v>4015/4016</v>
      </c>
      <c r="L146" s="246" t="str">
        <f>VLOOKUP(A146,'Trips&amp;Operators'!$C$1:$G$99911,5,FALSE)</f>
        <v>LOZA FIDEL</v>
      </c>
      <c r="M146" s="225">
        <f t="shared" si="89"/>
        <v>2.5775462963792961E-2</v>
      </c>
      <c r="N146" s="226">
        <f t="shared" si="90"/>
        <v>37.116666667861864</v>
      </c>
      <c r="O146" s="226"/>
      <c r="P146" s="226"/>
      <c r="Q146" s="229"/>
      <c r="R146" s="243"/>
      <c r="S146" s="250">
        <f t="shared" si="91"/>
        <v>1</v>
      </c>
      <c r="T146" s="243" t="str">
        <f t="shared" si="92"/>
        <v>Southbound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93"/>
        <v>https://d0f6bd738d7f1b3e5a7ca70fe4ff75f0.us-east-1.aws.found.io/app/kibana#/discover/Steve-Slow-Train-Analysis-(2080s-and-2083s)?_g=(refreshInterval:(display:Off,pause:!f,section:0,value:0),time:(from:'2017-11-26T21:22:28-0700',mode:absolute,to:'2017-11-27T00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248" t="str">
        <f>IF(AA146&lt;VLOOKUP(AG146,Variables!$AC$3:$AD$8,2,FALSE),"Y","N")</f>
        <v>N</v>
      </c>
      <c r="X146" s="248">
        <f t="shared" si="94"/>
        <v>1</v>
      </c>
      <c r="Y146" s="248">
        <f t="shared" si="95"/>
        <v>23.294699999999999</v>
      </c>
      <c r="Z146" s="248">
        <f t="shared" si="96"/>
        <v>2.3400000000000001E-2</v>
      </c>
      <c r="AA146" s="248">
        <f t="shared" si="97"/>
        <v>23.2713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98"/>
        <v>232</v>
      </c>
      <c r="AE146" s="236" t="str">
        <f t="shared" si="99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146" s="235" t="str">
        <f t="shared" si="100"/>
        <v>"C:\Program Files (x86)\AstroGrep\AstroGrep.exe" /e /r /s /spath="%USERPROFILE%\AppData\Local\Temp\OnboardLogs" /stypes="app*4015*20171127*" /stext=" 06:.+((SYSTEM_STATE.+slice.+state.+changed )|(ment ac)|(multiple cpu faults)|(system.+state.+changed )|(\[timeout)|(PRM\|1\|D)|(kpr)|(kdp)|(train st.+moving)|(\|lc)|(penalty))"</v>
      </c>
      <c r="AG146" s="245" t="str">
        <f t="shared" si="101"/>
        <v>EC</v>
      </c>
      <c r="AH146" s="237" t="str">
        <f t="shared" si="102"/>
        <v>"%USERPROFILE%\Documents\GitHub\eaglep3\Utilities\RefineRTDCRunTimes.py" --tripid 232-26 --locoid 4015 --swversion DE.1.0.9.0 --startMP 204:232947 --initTime 2017-11-26T22:22:28 --startdatetime 2017-11-26T22:27:20 --delay 62 --endMP 204:234 --enddatetime 2017-11-26T23:04:27 --enforcementcount 0 &gt;&gt;%USERPROFILE%\Documents\GitHub\eaglep3-reporting\EC\2017-11-26-refined-times.txt</v>
      </c>
      <c r="AI146" s="239" t="str">
        <f t="shared" si="103"/>
        <v>echo {"issue":{"subject":"","project_id":79,"tracker_id":40,"status_id":1,"priority_id":2,"assigned_to_id":338,"start_date":"2017-11-26","description":"","custom_fields":[{"id":1,"name":"Subdivision","value":"EC"},{"id":4,"name":"Milepost","value":"0.0234"},{"id":17,"name":"Train ID","value":"232-26"},{"id":16,"name":"Locomotive ID","value":"4015"},{"id":130,"name":"Impact","value":""},{"id":150,"name":"Time of Event (Mountain Time)","value":"23:04:27"},{"id":151,"name":"Denver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104"/>
        <v>start /low /b %USERPROFILE%\Documents\GitHub\eaglep3\Utilities\DownloadLogsFromS3.py --loco 4015 --day 2017-11-26</v>
      </c>
      <c r="AN146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06:04:27"},{"id":29,"name":"Sharepoint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106"/>
        <v>https://d0f6bd738d7f1b3e5a7ca70fe4ff75f0.us-east-1.aws.found.io/app/kibana#/discover/Steve-Slow-Train-Analysis-(2080s-and-2083s)?_g=(refreshInterval:(display:Off,pause:!f,section:0,value:0),time:(from:'2017-11-26T21:22:28-0700',mode:absolute,to:'2017-11-27T00:04:27-0700'))&amp;_a=(columns:!('Message%20ID',Summary),filters:!(),index:'emp_*',interval:auto,query:(query_string:(analyze_wildcard:!t,query:'%22rtdc.l.rtdc.4015%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4" customFormat="1" x14ac:dyDescent="0.25">
      <c r="A147" s="230" t="s">
        <v>873</v>
      </c>
      <c r="B147" s="226">
        <v>4008</v>
      </c>
      <c r="C147" s="228" t="s">
        <v>192</v>
      </c>
      <c r="D147" s="228" t="s">
        <v>557</v>
      </c>
      <c r="E147" s="227">
        <v>43065.899178240739</v>
      </c>
      <c r="F147" s="227">
        <v>43065.916817129626</v>
      </c>
      <c r="G147" s="226">
        <v>54</v>
      </c>
      <c r="H147" s="228" t="s">
        <v>946</v>
      </c>
      <c r="I147" s="227">
        <v>43065.940439814818</v>
      </c>
      <c r="J147" s="226">
        <v>0</v>
      </c>
      <c r="K147" s="238" t="str">
        <f t="shared" si="88"/>
        <v>4007/4008</v>
      </c>
      <c r="L147" s="246" t="str">
        <f>VLOOKUP(A147,'Trips&amp;Operators'!$C$1:$G$99911,5,FALSE)</f>
        <v>ELBAUM MIKE</v>
      </c>
      <c r="M147" s="225">
        <f t="shared" si="89"/>
        <v>2.362268519209465E-2</v>
      </c>
      <c r="N147" s="226">
        <f t="shared" si="90"/>
        <v>34.016666676616296</v>
      </c>
      <c r="O147" s="226"/>
      <c r="P147" s="226"/>
      <c r="Q147" s="229"/>
      <c r="R147" s="243"/>
      <c r="S147" s="250">
        <f t="shared" si="91"/>
        <v>1</v>
      </c>
      <c r="T147" s="243" t="str">
        <f t="shared" si="92"/>
        <v>NorthBound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93"/>
        <v>https://d0f6bd738d7f1b3e5a7ca70fe4ff75f0.us-east-1.aws.found.io/app/kibana#/discover/Steve-Slow-Train-Analysis-(2080s-and-2083s)?_g=(refreshInterval:(display:Off,pause:!f,section:0,value:0),time:(from:'2017-11-26T20:34:49-0700',mode:absolute,to:'2017-11-26T23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248" t="str">
        <f>IF(AA147&lt;VLOOKUP(AG147,Variables!$AC$3:$AD$8,2,FALSE),"Y","N")</f>
        <v>N</v>
      </c>
      <c r="X147" s="248">
        <f t="shared" si="94"/>
        <v>1</v>
      </c>
      <c r="Y147" s="248">
        <f t="shared" si="95"/>
        <v>5.4800000000000001E-2</v>
      </c>
      <c r="Z147" s="248">
        <f t="shared" si="96"/>
        <v>23.325900000000001</v>
      </c>
      <c r="AA147" s="248">
        <f t="shared" si="97"/>
        <v>23.271100000000001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98"/>
        <v>233</v>
      </c>
      <c r="AE147" s="236" t="str">
        <f t="shared" si="99"/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AF147" s="235" t="str">
        <f t="shared" si="100"/>
        <v>"C:\Program Files (x86)\AstroGrep\AstroGrep.exe" /e /r /s /spath="%USERPROFILE%\AppData\Local\Temp\OnboardLogs" /stypes="app*4008*20171127*" /stext=" 05:.+((SYSTEM_STATE.+slice.+state.+changed )|(ment ac)|(multiple cpu faults)|(system.+state.+changed )|(\[timeout)|(PRM\|1\|D)|(kpr)|(kdp)|(train st.+moving)|(\|lc)|(penalty))"</v>
      </c>
      <c r="AG147" s="245" t="str">
        <f t="shared" si="101"/>
        <v>EC</v>
      </c>
      <c r="AH147" s="237" t="str">
        <f t="shared" si="102"/>
        <v>"%USERPROFILE%\Documents\GitHub\eaglep3\Utilities\RefineRTDCRunTimes.py" --tripid 233-26 --locoid 4008 --swversion DE.1.0.9.0 --startMP 204:548 --initTime 2017-11-26T21:34:49 --startdatetime 2017-11-26T22:00:13 --delay 54 --endMP 204:233259 --enddatetime 2017-11-26T22:34:14 --enforcementcount 0 &gt;&gt;%USERPROFILE%\Documents\GitHub\eaglep3-reporting\EC\2017-11-26-refined-times.txt</v>
      </c>
      <c r="AI147" s="239" t="str">
        <f t="shared" si="103"/>
        <v>echo {"issue":{"subject":"","project_id":79,"tracker_id":40,"status_id":1,"priority_id":2,"assigned_to_id":338,"start_date":"2017-11-26","description":"","custom_fields":[{"id":1,"name":"Subdivision","value":"EC"},{"id":4,"name":"Milepost","value":"23.3259"},{"id":17,"name":"Train ID","value":"233-26"},{"id":16,"name":"Locomotive ID","value":"4008"},{"id":130,"name":"Impact","value":""},{"id":150,"name":"Time of Event (Mountain Time)","value":"22:34:14"},{"id":151,"name":"Denver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2"/>
      <c r="AL147" s="232"/>
      <c r="AM147" s="241" t="str">
        <f t="shared" si="104"/>
        <v>start /low /b %USERPROFILE%\Documents\GitHub\eaglep3\Utilities\DownloadLogsFromS3.py --loco 4008 --day 2017-11-26</v>
      </c>
      <c r="AN147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05:34:14"},{"id":29,"name":"Sharepoint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106"/>
        <v>https://d0f6bd738d7f1b3e5a7ca70fe4ff75f0.us-east-1.aws.found.io/app/kibana#/discover/Steve-Slow-Train-Analysis-(2080s-and-2083s)?_g=(refreshInterval:(display:Off,pause:!f,section:0,value:0),time:(from:'2017-11-26T20:34:49-0700',mode:absolute,to:'2017-11-26T23:34:14-0700'))&amp;_a=(columns:!('Message%20ID',Summary),filters:!(),index:'emp_*',interval:auto,query:(query_string:(analyze_wildcard:!t,query:'%22rtdc.l.rtdc.4008%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4" customFormat="1" x14ac:dyDescent="0.25">
      <c r="A148" s="230" t="s">
        <v>879</v>
      </c>
      <c r="B148" s="226">
        <v>4007</v>
      </c>
      <c r="C148" s="228" t="s">
        <v>192</v>
      </c>
      <c r="D148" s="228" t="s">
        <v>1066</v>
      </c>
      <c r="E148" s="227">
        <v>43065.944166666668</v>
      </c>
      <c r="F148" s="227">
        <v>43065.956400462965</v>
      </c>
      <c r="G148" s="226">
        <v>59</v>
      </c>
      <c r="H148" s="228" t="s">
        <v>1067</v>
      </c>
      <c r="I148" s="227">
        <v>43065.982442129629</v>
      </c>
      <c r="J148" s="226">
        <v>0</v>
      </c>
      <c r="K148" s="238" t="str">
        <f t="shared" ref="K148:K150" si="107">IF(ISEVEN(B148),(B148-1)&amp;"/"&amp;B148,B148&amp;"/"&amp;(B148+1))</f>
        <v>4007/4008</v>
      </c>
      <c r="L148" s="246" t="str">
        <f>VLOOKUP(A148,'Trips&amp;Operators'!$C$1:$G$99911,5,FALSE)</f>
        <v>ELBAUM MIKE</v>
      </c>
      <c r="M148" s="225">
        <f t="shared" ref="M148:M150" si="108">I148-F148</f>
        <v>2.6041666664241347E-2</v>
      </c>
      <c r="N148" s="226">
        <f t="shared" si="90"/>
        <v>37.49999999650754</v>
      </c>
      <c r="O148" s="226"/>
      <c r="P148" s="226"/>
      <c r="Q148" s="229"/>
      <c r="R148" s="243"/>
      <c r="S148" s="250">
        <f t="shared" ref="S148:S150" si="109">1/IF(AG148="EC",12,1)*SUM(U148:U148)</f>
        <v>1</v>
      </c>
      <c r="T148" s="243" t="str">
        <f t="shared" ref="T148:T150" si="110">IF(ISEVEN(LEFT(AD148,4)),"Southbound","NorthBound")</f>
        <v>Southbound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ref="V148:V150" si="111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-26T21:39:36-0700',mode:absolute,to:'2017-11-27T00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248" t="str">
        <f>IF(AA148&lt;VLOOKUP(AG148,Variables!$AC$3:$AD$8,2,FALSE),"Y","N")</f>
        <v>N</v>
      </c>
      <c r="X148" s="248">
        <f t="shared" ref="X148:X152" si="112">VALUE(LEFT(AD148,4))-VALUE(LEFT(AD147,4))</f>
        <v>1</v>
      </c>
      <c r="Y148" s="248">
        <f t="shared" ref="Y148:Y150" si="113">RIGHT(D148,LEN(D148)-4)/10000</f>
        <v>23.292899999999999</v>
      </c>
      <c r="Z148" s="248">
        <f t="shared" ref="Z148:Z150" si="114">RIGHT(H148,LEN(H148)-4)/10000</f>
        <v>2.7099999999999999E-2</v>
      </c>
      <c r="AA148" s="248">
        <f t="shared" ref="AA148:AA150" si="115">ABS(Z148-Y148)</f>
        <v>23.265799999999999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ref="AD148:AD150" si="116">VALUE(LEFT(A148,LEN(A148)-3))</f>
        <v>234</v>
      </c>
      <c r="AE148" s="236" t="str">
        <f t="shared" ref="AE148:AE150" si="117"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148" s="235" t="str">
        <f t="shared" ref="AF148:AF150" si="118"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/stypes="app*4007*20171127*" /stext=" 06:.+((SYSTEM_STATE.+slice.+state.+changed )|(ment ac)|(multiple cpu faults)|(system.+state.+changed )|(\[timeout)|(PRM\|1\|D)|(kpr)|(kdp)|(train st.+moving)|(\|lc)|(penalty))"</v>
      </c>
      <c r="AG148" s="245" t="str">
        <f t="shared" ref="AG148:AG150" si="119">DetSubdiv(A148)</f>
        <v>EC</v>
      </c>
      <c r="AH148" s="237" t="str">
        <f t="shared" ref="AH148:AH150" si="120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234-26 --locoid 4007 --swversion DE.1.0.9.0 --startMP 204:232929 --initTime 2017-11-26T22:39:36 --startdatetime 2017-11-26T22:57:13 --delay 59 --endMP 204:271 --enddatetime 2017-11-26T23:34:43 --enforcementcount 0 &gt;&gt;%USERPROFILE%\Documents\GitHub\eaglep3-reporting\EC\2017-11-26-refined-times.txt</v>
      </c>
      <c r="AI148" s="239" t="str">
        <f t="shared" ref="AI148:AI150" si="121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{"issue":{"subject":"","project_id":79,"tracker_id":40,"status_id":1,"priority_id":2,"assigned_to_id":338,"start_date":"2017-11-26","description":"","custom_fields":[{"id":1,"name":"Subdivision","value":"EC"},{"id":4,"name":"Milepost","value":"0.0271"},{"id":17,"name":"Train ID","value":"234-26"},{"id":16,"name":"Locomotive ID","value":"4007"},{"id":130,"name":"Impact","value":""},{"id":150,"name":"Time of Event (Mountain Time)","value":"23:34:43"},{"id":151,"name":"Denver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2"/>
      <c r="AL148" s="232"/>
      <c r="AM148" s="241" t="str">
        <f t="shared" ref="AM148:AM150" si="122">"start /low /b "&amp;dls3logs&amp;" --loco "&amp;B148&amp;" --day "&amp;TEXT(F148,"YYYY-MM-DD")</f>
        <v>start /low /b %USERPROFILE%\Documents\GitHub\eaglep3\Utilities\DownloadLogsFromS3.py --loco 4007 --day 2017-11-26</v>
      </c>
      <c r="AN148" s="242" t="str">
        <f t="shared" ref="AN148:AN150" si="123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06:34:43"},{"id":29,"name":"Sharepoint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ref="AO148:AO150" si="124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-26T21:39:36-0700',mode:absolute,to:'2017-11-27T00:34:43-0700'))&amp;_a=(columns:!('Message%20ID',Summary),filters:!(),index:'emp_*',interval:auto,query:(query_string:(analyze_wildcard:!t,query:'%22rtdc.l.rtdc.4007%22')),sort:!(Time.ISO8601,asc))</v>
      </c>
    </row>
    <row r="149" spans="1:91" s="224" customFormat="1" x14ac:dyDescent="0.25">
      <c r="A149" s="230" t="s">
        <v>876</v>
      </c>
      <c r="B149" s="226">
        <v>4060</v>
      </c>
      <c r="C149" s="228" t="s">
        <v>192</v>
      </c>
      <c r="D149" s="228" t="s">
        <v>1068</v>
      </c>
      <c r="E149" s="227">
        <v>43065.93472222222</v>
      </c>
      <c r="F149" s="227">
        <v>43065.935763888891</v>
      </c>
      <c r="G149" s="226">
        <v>55</v>
      </c>
      <c r="H149" s="228" t="s">
        <v>1069</v>
      </c>
      <c r="I149" s="227">
        <v>43065.961400462962</v>
      </c>
      <c r="J149" s="226">
        <v>0</v>
      </c>
      <c r="K149" s="238" t="str">
        <f t="shared" si="107"/>
        <v>4059/4060</v>
      </c>
      <c r="L149" s="246" t="str">
        <f>VLOOKUP(A149,'Trips&amp;Operators'!$C$1:$G$99911,5,FALSE)</f>
        <v>RESPASS AARON</v>
      </c>
      <c r="M149" s="225">
        <f t="shared" si="108"/>
        <v>2.5636574071540963E-2</v>
      </c>
      <c r="N149" s="226">
        <f t="shared" si="90"/>
        <v>36.916666663018987</v>
      </c>
      <c r="O149" s="226"/>
      <c r="P149" s="226"/>
      <c r="Q149" s="229"/>
      <c r="R149" s="243"/>
      <c r="S149" s="250">
        <f t="shared" si="109"/>
        <v>1</v>
      </c>
      <c r="T149" s="243" t="str">
        <f t="shared" si="110"/>
        <v>NorthBound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111"/>
        <v>https://d0f6bd738d7f1b3e5a7ca70fe4ff75f0.us-east-1.aws.found.io/app/kibana#/discover/Steve-Slow-Train-Analysis-(2080s-and-2083s)?_g=(refreshInterval:(display:Off,pause:!f,section:0,value:0),time:(from:'2017-11-26T21:26:00-0700',mode:absolute,to:'2017-11-27T00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248" t="str">
        <f>IF(AA149&lt;VLOOKUP(AG149,Variables!$AC$3:$AD$8,2,FALSE),"Y","N")</f>
        <v>N</v>
      </c>
      <c r="X149" s="248">
        <f t="shared" si="112"/>
        <v>1</v>
      </c>
      <c r="Y149" s="248">
        <f t="shared" si="113"/>
        <v>5.5300000000000002E-2</v>
      </c>
      <c r="Z149" s="248">
        <f t="shared" si="114"/>
        <v>23.324000000000002</v>
      </c>
      <c r="AA149" s="248">
        <f t="shared" si="115"/>
        <v>23.268700000000003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116"/>
        <v>235</v>
      </c>
      <c r="AE149" s="236" t="str">
        <f t="shared" si="117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149" s="235" t="str">
        <f t="shared" si="118"/>
        <v>"C:\Program Files (x86)\AstroGrep\AstroGrep.exe" /e /r /s /spath="%USERPROFILE%\AppData\Local\Temp\OnboardLogs" /stypes="app*4060*20171127*" /stext=" 06:.+((SYSTEM_STATE.+slice.+state.+changed )|(ment ac)|(multiple cpu faults)|(system.+state.+changed )|(\[timeout)|(PRM\|1\|D)|(kpr)|(kdp)|(train st.+moving)|(\|lc)|(penalty))"</v>
      </c>
      <c r="AG149" s="245" t="str">
        <f t="shared" si="119"/>
        <v>EC</v>
      </c>
      <c r="AH149" s="237" t="str">
        <f t="shared" si="120"/>
        <v>"%USERPROFILE%\Documents\GitHub\eaglep3\Utilities\RefineRTDCRunTimes.py" --tripid 235-26 --locoid 4060 --swversion DE.1.0.9.0 --startMP 204:553 --initTime 2017-11-26T22:26:00 --startdatetime 2017-11-26T22:27:30 --delay 55 --endMP 204:233240 --enddatetime 2017-11-26T23:04:25 --enforcementcount 0 &gt;&gt;%USERPROFILE%\Documents\GitHub\eaglep3-reporting\EC\2017-11-26-refined-times.txt</v>
      </c>
      <c r="AI149" s="239" t="str">
        <f t="shared" si="121"/>
        <v>echo {"issue":{"subject":"","project_id":79,"tracker_id":40,"status_id":1,"priority_id":2,"assigned_to_id":338,"start_date":"2017-11-26","description":"","custom_fields":[{"id":1,"name":"Subdivision","value":"EC"},{"id":4,"name":"Milepost","value":"23.324"},{"id":17,"name":"Train ID","value":"235-26"},{"id":16,"name":"Locomotive ID","value":"4060"},{"id":130,"name":"Impact","value":""},{"id":150,"name":"Time of Event (Mountain Time)","value":"23:04:25"},{"id":151,"name":"Denver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2"/>
      <c r="AL149" s="232"/>
      <c r="AM149" s="241" t="str">
        <f t="shared" si="122"/>
        <v>start /low /b %USERPROFILE%\Documents\GitHub\eaglep3\Utilities\DownloadLogsFromS3.py --loco 4060 --day 2017-11-26</v>
      </c>
      <c r="AN149" s="242" t="str">
        <f t="shared" si="12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06:04:25"},{"id":29,"name":"Sharepoint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124"/>
        <v>https://d0f6bd738d7f1b3e5a7ca70fe4ff75f0.us-east-1.aws.found.io/app/kibana#/discover/Steve-Slow-Train-Analysis-(2080s-and-2083s)?_g=(refreshInterval:(display:Off,pause:!f,section:0,value:0),time:(from:'2017-11-26T21:26:00-0700',mode:absolute,to:'2017-11-27T00:04:25-0700'))&amp;_a=(columns:!('Message%20ID',Summary),filters:!(),index:'emp_*',interval:auto,query:(query_string:(analyze_wildcard:!t,query:'%22rtdc.l.rtdc.4060%22')),sort:!(Time.ISO8601,asc))</v>
      </c>
    </row>
    <row r="150" spans="1:91" s="224" customFormat="1" x14ac:dyDescent="0.25">
      <c r="A150" s="230" t="s">
        <v>881</v>
      </c>
      <c r="B150" s="226">
        <v>4059</v>
      </c>
      <c r="C150" s="228" t="s">
        <v>192</v>
      </c>
      <c r="D150" s="228" t="s">
        <v>1070</v>
      </c>
      <c r="E150" s="227">
        <v>43065.971215277779</v>
      </c>
      <c r="F150" s="227">
        <v>43065.972129629627</v>
      </c>
      <c r="G150" s="226">
        <v>67</v>
      </c>
      <c r="H150" s="228" t="s">
        <v>1067</v>
      </c>
      <c r="I150" s="227">
        <v>43066.004108796296</v>
      </c>
      <c r="J150" s="226">
        <v>0</v>
      </c>
      <c r="K150" s="238" t="str">
        <f t="shared" si="107"/>
        <v>4059/4060</v>
      </c>
      <c r="L150" s="246" t="str">
        <f>VLOOKUP(A150,'Trips&amp;Operators'!$C$1:$G$99911,5,FALSE)</f>
        <v>RESPASS AARON</v>
      </c>
      <c r="M150" s="225">
        <f t="shared" si="108"/>
        <v>3.1979166669771075E-2</v>
      </c>
      <c r="N150" s="226">
        <f t="shared" si="90"/>
        <v>46.050000004470348</v>
      </c>
      <c r="O150" s="226"/>
      <c r="P150" s="226"/>
      <c r="Q150" s="229"/>
      <c r="R150" s="243"/>
      <c r="S150" s="250">
        <f t="shared" si="109"/>
        <v>1</v>
      </c>
      <c r="T150" s="243" t="str">
        <f t="shared" si="110"/>
        <v>Southbound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111"/>
        <v>https://d0f6bd738d7f1b3e5a7ca70fe4ff75f0.us-east-1.aws.found.io/app/kibana#/discover/Steve-Slow-Train-Analysis-(2080s-and-2083s)?_g=(refreshInterval:(display:Off,pause:!f,section:0,value:0),time:(from:'2017-11-26T22:18:33-0700',mode:absolute,to:'2017-11-27T01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0" s="248" t="str">
        <f>IF(AA150&lt;VLOOKUP(AG150,Variables!$AC$3:$AD$8,2,FALSE),"Y","N")</f>
        <v>N</v>
      </c>
      <c r="X150" s="248">
        <f t="shared" si="112"/>
        <v>1</v>
      </c>
      <c r="Y150" s="248">
        <f t="shared" si="113"/>
        <v>23.292100000000001</v>
      </c>
      <c r="Z150" s="248">
        <f t="shared" si="114"/>
        <v>2.7099999999999999E-2</v>
      </c>
      <c r="AA150" s="248">
        <f t="shared" si="115"/>
        <v>23.265000000000001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si="116"/>
        <v>236</v>
      </c>
      <c r="AE150" s="236" t="str">
        <f t="shared" si="117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150" s="235" t="str">
        <f t="shared" si="118"/>
        <v>"C:\Program Files (x86)\AstroGrep\AstroGrep.exe" /e /r /s /spath="%USERPROFILE%\AppData\Local\Temp\OnboardLogs" /stypes="app*4059*20171127*" /stext=" 07:.+((SYSTEM_STATE.+slice.+state.+changed )|(ment ac)|(multiple cpu faults)|(system.+state.+changed )|(\[timeout)|(PRM\|1\|D)|(kpr)|(kdp)|(train st.+moving)|(\|lc)|(penalty))"</v>
      </c>
      <c r="AG150" s="245" t="str">
        <f t="shared" si="119"/>
        <v>EC</v>
      </c>
      <c r="AH150" s="237" t="str">
        <f t="shared" si="120"/>
        <v>"%USERPROFILE%\Documents\GitHub\eaglep3\Utilities\RefineRTDCRunTimes.py" --tripid 236-26 --locoid 4059 --swversion DE.1.0.9.0 --startMP 204:232921 --initTime 2017-11-26T23:18:33 --startdatetime 2017-11-26T23:19:52 --delay 67 --endMP 204:271 --enddatetime 2017-11-27T00:05:55 --enforcementcount 0 &gt;&gt;%USERPROFILE%\Documents\GitHub\eaglep3-reporting\EC\2017-11-26-refined-times.txt</v>
      </c>
      <c r="AI150" s="239" t="str">
        <f t="shared" si="121"/>
        <v>echo {"issue":{"subject":"","project_id":79,"tracker_id":40,"status_id":1,"priority_id":2,"assigned_to_id":338,"start_date":"2017-11-27","description":"","custom_fields":[{"id":1,"name":"Subdivision","value":"EC"},{"id":4,"name":"Milepost","value":"0.0271"},{"id":17,"name":"Train ID","value":"236-26"},{"id":16,"name":"Locomotive ID","value":"4059"},{"id":130,"name":"Impact","value":""},{"id":150,"name":"Time of Event (Mountain Time)","value":"00:05:55"},{"id":151,"name":"Denver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2"/>
      <c r="AL150" s="232"/>
      <c r="AM150" s="241" t="str">
        <f t="shared" si="122"/>
        <v>start /low /b %USERPROFILE%\Documents\GitHub\eaglep3\Utilities\DownloadLogsFromS3.py --loco 4059 --day 2017-11-26</v>
      </c>
      <c r="AN150" s="242" t="str">
        <f t="shared" si="123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124"/>
        <v>https://d0f6bd738d7f1b3e5a7ca70fe4ff75f0.us-east-1.aws.found.io/app/kibana#/discover/Steve-Slow-Train-Analysis-(2080s-and-2083s)?_g=(refreshInterval:(display:Off,pause:!f,section:0,value:0),time:(from:'2017-11-26T22:18:33-0700',mode:absolute,to:'2017-11-27T01:05:55-0700'))&amp;_a=(columns:!('Message%20ID',Summary),filters:!(),index:'emp_*',interval:auto,query:(query_string:(analyze_wildcard:!t,query:'%22rtdc.l.rtdc.4059%22')),sort:!(Time.ISO8601,asc))</v>
      </c>
    </row>
    <row r="151" spans="1:91" s="20" customFormat="1" x14ac:dyDescent="0.25">
      <c r="A151" s="230" t="s">
        <v>878</v>
      </c>
      <c r="B151" s="226">
        <v>4042</v>
      </c>
      <c r="C151" s="228" t="s">
        <v>192</v>
      </c>
      <c r="D151" s="228" t="s">
        <v>452</v>
      </c>
      <c r="E151" s="227">
        <v>43065.942685185182</v>
      </c>
      <c r="F151" s="227">
        <v>43065.95857638889</v>
      </c>
      <c r="G151" s="226">
        <v>58</v>
      </c>
      <c r="H151" s="228" t="s">
        <v>907</v>
      </c>
      <c r="I151" s="227">
        <v>43065.982199074075</v>
      </c>
      <c r="J151" s="226">
        <v>0</v>
      </c>
      <c r="K151" s="238" t="str">
        <f t="shared" si="88"/>
        <v>4041/4042</v>
      </c>
      <c r="L151" s="246" t="str">
        <f>VLOOKUP(A151,'Trips&amp;Operators'!$C$1:$G$99911,5,FALSE)</f>
        <v>STAMBAUGH JAMES</v>
      </c>
      <c r="M151" s="225">
        <f t="shared" si="89"/>
        <v>2.3622685184818693E-2</v>
      </c>
      <c r="N151" s="226">
        <f t="shared" si="90"/>
        <v>34.016666666138917</v>
      </c>
      <c r="O151" s="226"/>
      <c r="P151" s="226"/>
      <c r="Q151" s="229"/>
      <c r="R151" s="243"/>
      <c r="S151" s="250">
        <f t="shared" si="91"/>
        <v>1</v>
      </c>
      <c r="T151" s="243" t="str">
        <f t="shared" si="92"/>
        <v>NorthBound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93"/>
        <v>https://d0f6bd738d7f1b3e5a7ca70fe4ff75f0.us-east-1.aws.found.io/app/kibana#/discover/Steve-Slow-Train-Analysis-(2080s-and-2083s)?_g=(refreshInterval:(display:Off,pause:!f,section:0,value:0),time:(from:'2017-11-26T21:37:28-0700',mode:absolute,to:'2017-11-27T00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248" t="str">
        <f>IF(AA151&lt;VLOOKUP(AG151,Variables!$AC$3:$AD$8,2,FALSE),"Y","N")</f>
        <v>N</v>
      </c>
      <c r="X151" s="248">
        <f t="shared" si="112"/>
        <v>1</v>
      </c>
      <c r="Y151" s="248">
        <f t="shared" si="95"/>
        <v>5.28E-2</v>
      </c>
      <c r="Z151" s="248">
        <f t="shared" si="96"/>
        <v>23.330100000000002</v>
      </c>
      <c r="AA151" s="248">
        <f t="shared" si="97"/>
        <v>23.2773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98"/>
        <v>237</v>
      </c>
      <c r="AE151" s="236" t="str">
        <f t="shared" si="99"/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AF151" s="235" t="str">
        <f t="shared" si="100"/>
        <v>"C:\Program Files (x86)\AstroGrep\AstroGrep.exe" /e /r /s /spath="%USERPROFILE%\AppData\Local\Temp\OnboardLogs" /stypes="app*4042*20171127*" /stext=" 06:.+((SYSTEM_STATE.+slice.+state.+changed )|(ment ac)|(multiple cpu faults)|(system.+state.+changed )|(\[timeout)|(PRM\|1\|D)|(kpr)|(kdp)|(train st.+moving)|(\|lc)|(penalty))"</v>
      </c>
      <c r="AG151" s="245" t="str">
        <f t="shared" si="101"/>
        <v>EC</v>
      </c>
      <c r="AH151" s="237" t="str">
        <f t="shared" si="102"/>
        <v>"%USERPROFILE%\Documents\GitHub\eaglep3\Utilities\RefineRTDCRunTimes.py" --tripid 237-26 --locoid 4042 --swversion DE.1.0.9.0 --startMP 204:528 --initTime 2017-11-26T22:37:28 --startdatetime 2017-11-26T23:00:21 --delay 58 --endMP 204:233301 --enddatetime 2017-11-26T23:34:22 --enforcementcount 0 &gt;&gt;%USERPROFILE%\Documents\GitHub\eaglep3-reporting\EC\2017-11-26-refined-times.txt</v>
      </c>
      <c r="AI151" s="239" t="str">
        <f t="shared" si="103"/>
        <v>echo {"issue":{"subject":"","project_id":79,"tracker_id":40,"status_id":1,"priority_id":2,"assigned_to_id":338,"start_date":"2017-11-26","description":"","custom_fields":[{"id":1,"name":"Subdivision","value":"EC"},{"id":4,"name":"Milepost","value":"23.3301"},{"id":17,"name":"Train ID","value":"237-26"},{"id":16,"name":"Locomotive ID","value":"4042"},{"id":130,"name":"Impact","value":""},{"id":150,"name":"Time of Event (Mountain Time)","value":"23:34:22"},{"id":151,"name":"Denver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104"/>
        <v>start /low /b %USERPROFILE%\Documents\GitHub\eaglep3\Utilities\DownloadLogsFromS3.py --loco 4042 --day 2017-11-26</v>
      </c>
      <c r="AN151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06:34:22"},{"id":29,"name":"Sharepoint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106"/>
        <v>https://d0f6bd738d7f1b3e5a7ca70fe4ff75f0.us-east-1.aws.found.io/app/kibana#/discover/Steve-Slow-Train-Analysis-(2080s-and-2083s)?_g=(refreshInterval:(display:Off,pause:!f,section:0,value:0),time:(from:'2017-11-26T21:37:28-0700',mode:absolute,to:'2017-11-27T00:34:22-0700'))&amp;_a=(columns:!('Message%20ID',Summary),filters:!(),index:'emp_*',interval:auto,query:(query_string:(analyze_wildcard:!t,query:'%22rtdc.l.rtdc.4042%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0" t="s">
        <v>884</v>
      </c>
      <c r="B152" s="226">
        <v>4041</v>
      </c>
      <c r="C152" s="228" t="s">
        <v>192</v>
      </c>
      <c r="D152" s="228" t="s">
        <v>1014</v>
      </c>
      <c r="E152" s="227">
        <v>43065.99454861111</v>
      </c>
      <c r="F152" s="227">
        <v>43065.998263888891</v>
      </c>
      <c r="G152" s="226">
        <v>55</v>
      </c>
      <c r="H152" s="228" t="s">
        <v>1015</v>
      </c>
      <c r="I152" s="227">
        <v>43066.023773148147</v>
      </c>
      <c r="J152" s="226">
        <v>0</v>
      </c>
      <c r="K152" s="238" t="str">
        <f t="shared" si="88"/>
        <v>4041/4042</v>
      </c>
      <c r="L152" s="246" t="str">
        <f>VLOOKUP(A152,'Trips&amp;Operators'!$C$1:$G$99911,5,FALSE)</f>
        <v>STAMBAUGH JAMES</v>
      </c>
      <c r="M152" s="225">
        <f t="shared" si="89"/>
        <v>2.5509259256068617E-2</v>
      </c>
      <c r="N152" s="226">
        <f t="shared" si="90"/>
        <v>36.733333328738809</v>
      </c>
      <c r="O152" s="226"/>
      <c r="P152" s="226"/>
      <c r="Q152" s="229"/>
      <c r="R152" s="243"/>
      <c r="S152" s="250">
        <f t="shared" si="91"/>
        <v>1</v>
      </c>
      <c r="T152" s="243" t="str">
        <f t="shared" si="92"/>
        <v>Southbound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93"/>
        <v>https://d0f6bd738d7f1b3e5a7ca70fe4ff75f0.us-east-1.aws.found.io/app/kibana#/discover/Steve-Slow-Train-Analysis-(2080s-and-2083s)?_g=(refreshInterval:(display:Off,pause:!f,section:0,value:0),time:(from:'2017-11-26T22:52:09-0700',mode:absolute,to:'2017-11-27T01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248" t="str">
        <f>IF(AA152&lt;VLOOKUP(AG152,Variables!$AC$3:$AD$8,2,FALSE),"Y","N")</f>
        <v>N</v>
      </c>
      <c r="X152" s="248">
        <f t="shared" si="112"/>
        <v>1</v>
      </c>
      <c r="Y152" s="248">
        <f t="shared" si="95"/>
        <v>23.297999999999998</v>
      </c>
      <c r="Z152" s="248">
        <f t="shared" si="96"/>
        <v>2.4500000000000001E-2</v>
      </c>
      <c r="AA152" s="248">
        <f t="shared" si="97"/>
        <v>23.273499999999999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98"/>
        <v>238</v>
      </c>
      <c r="AE152" s="236" t="str">
        <f t="shared" si="99"/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AF152" s="235" t="str">
        <f t="shared" si="100"/>
        <v>"C:\Program Files (x86)\AstroGrep\AstroGrep.exe" /e /r /s /spath="%USERPROFILE%\AppData\Local\Temp\OnboardLogs" /stypes="app*4041*20171127*" /stext=" 07:.+((SYSTEM_STATE.+slice.+state.+changed )|(ment ac)|(multiple cpu faults)|(system.+state.+changed )|(\[timeout)|(PRM\|1\|D)|(kpr)|(kdp)|(train st.+moving)|(\|lc)|(penalty))"</v>
      </c>
      <c r="AG152" s="245" t="str">
        <f t="shared" si="101"/>
        <v>EC</v>
      </c>
      <c r="AH152" s="237" t="str">
        <f t="shared" si="102"/>
        <v>"%USERPROFILE%\Documents\GitHub\eaglep3\Utilities\RefineRTDCRunTimes.py" --tripid 238-26 --locoid 4041 --swversion DE.1.0.9.0 --startMP 204:232980 --initTime 2017-11-26T23:52:09 --startdatetime 2017-11-26T23:57:30 --delay 55 --endMP 204:245 --enddatetime 2017-11-27T00:34:14 --enforcementcount 0 &gt;&gt;%USERPROFILE%\Documents\GitHub\eaglep3-reporting\EC\2017-11-26-refined-times.txt</v>
      </c>
      <c r="AI152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{"issue":{"subject":"","project_id":79,"tracker_id":40,"status_id":1,"priority_id":2,"assigned_to_id":338,"start_date":"2017-11-27","description":"","custom_fields":[{"id":1,"name":"Subdivision","value":"EC"},{"id":4,"name":"Milepost","value":"0.0245"},{"id":17,"name":"Train ID","value":"238-26"},{"id":16,"name":"Locomotive ID","value":"4041"},{"id":130,"name":"Impact","value":""},{"id":150,"name":"Time of Event (Mountain Time)","value":"00:34:14"},{"id":151,"name":"Denver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104"/>
        <v>start /low /b %USERPROFILE%\Documents\GitHub\eaglep3\Utilities\DownloadLogsFromS3.py --loco 4041 --day 2017-11-26</v>
      </c>
      <c r="AN152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07:34:14"},{"id":29,"name":"Sharepoint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106"/>
        <v>https://d0f6bd738d7f1b3e5a7ca70fe4ff75f0.us-east-1.aws.found.io/app/kibana#/discover/Steve-Slow-Train-Analysis-(2080s-and-2083s)?_g=(refreshInterval:(display:Off,pause:!f,section:0,value:0),time:(from:'2017-11-26T22:52:09-0700',mode:absolute,to:'2017-11-27T01:34:14-0700'))&amp;_a=(columns:!('Message%20ID',Summary),filters:!(),index:'emp_*',interval:auto,query:(query_string:(analyze_wildcard:!t,query:'%22rtdc.l.rtdc.4041%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669</v>
      </c>
      <c r="B153" s="226">
        <v>4016</v>
      </c>
      <c r="C153" s="228" t="s">
        <v>192</v>
      </c>
      <c r="D153" s="228" t="s">
        <v>541</v>
      </c>
      <c r="E153" s="227">
        <v>43065.963009259256</v>
      </c>
      <c r="F153" s="227">
        <v>43065.979375000003</v>
      </c>
      <c r="G153" s="226">
        <v>74</v>
      </c>
      <c r="H153" s="228" t="s">
        <v>620</v>
      </c>
      <c r="I153" s="227">
        <v>43066.003703703704</v>
      </c>
      <c r="J153" s="226">
        <v>0</v>
      </c>
      <c r="K153" s="238" t="str">
        <f t="shared" si="88"/>
        <v>4015/4016</v>
      </c>
      <c r="L153" s="246" t="str">
        <f>VLOOKUP(A153,'Trips&amp;Operators'!$C$1:$G$99911,5,FALSE)</f>
        <v>LOZA FIDEL</v>
      </c>
      <c r="M153" s="225">
        <f t="shared" si="89"/>
        <v>2.4328703701030463E-2</v>
      </c>
      <c r="N153" s="226">
        <f t="shared" si="90"/>
        <v>35.033333329483867</v>
      </c>
      <c r="O153" s="226"/>
      <c r="P153" s="226"/>
      <c r="Q153" s="229"/>
      <c r="R153" s="243"/>
      <c r="S153" s="250">
        <f t="shared" si="91"/>
        <v>1</v>
      </c>
      <c r="T153" s="243" t="str">
        <f t="shared" si="92"/>
        <v>NorthBound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93"/>
        <v>https://d0f6bd738d7f1b3e5a7ca70fe4ff75f0.us-east-1.aws.found.io/app/kibana#/discover/Steve-Slow-Train-Analysis-(2080s-and-2083s)?_g=(refreshInterval:(display:Off,pause:!f,section:0,value:0),time:(from:'2017-11-26T22:06:44-0700',mode:absolute,to:'2017-11-27T01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3" s="248" t="str">
        <f>IF(AA153&lt;VLOOKUP(AG153,Variables!$AC$3:$AD$8,2,FALSE),"Y","N")</f>
        <v>N</v>
      </c>
      <c r="X153" s="248">
        <f t="shared" si="94"/>
        <v>1</v>
      </c>
      <c r="Y153" s="248">
        <f t="shared" si="95"/>
        <v>5.04E-2</v>
      </c>
      <c r="Z153" s="248">
        <f t="shared" si="96"/>
        <v>23.3261</v>
      </c>
      <c r="AA153" s="248">
        <f t="shared" si="97"/>
        <v>23.275700000000001</v>
      </c>
      <c r="AB153" s="234" t="str">
        <f>VLOOKUP(A153,Enforcements!$C$7:$K$9,8,0)</f>
        <v>Bulletin (2)</v>
      </c>
      <c r="AC153" s="233" t="str">
        <f>VLOOKUP(A153,Enforcements!$C$7:$E$9,3,0)</f>
        <v>GRADE CROSSING</v>
      </c>
      <c r="AD153" s="244">
        <f t="shared" si="98"/>
        <v>239</v>
      </c>
      <c r="AE153" s="236" t="str">
        <f t="shared" si="99"/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AF153" s="235" t="str">
        <f t="shared" si="100"/>
        <v>"C:\Program Files (x86)\AstroGrep\AstroGrep.exe" /e /r /s /spath="%USERPROFILE%\AppData\Local\Temp\OnboardLogs" /stypes="app*4016*20171127*" /stext=" 07:.+((SYSTEM_STATE.+slice.+state.+changed )|(ment ac)|(multiple cpu faults)|(system.+state.+changed )|(\[timeout)|(PRM\|1\|D)|(kpr)|(kdp)|(train st.+moving)|(\|lc)|(penalty))"</v>
      </c>
      <c r="AG153" s="245" t="str">
        <f t="shared" si="101"/>
        <v>EC</v>
      </c>
      <c r="AH153" s="237" t="str">
        <f t="shared" si="102"/>
        <v>"%USERPROFILE%\Documents\GitHub\eaglep3\Utilities\RefineRTDCRunTimes.py" --tripid 239-26 --locoid 4016 --swversion DE.1.0.9.0 --startMP 204:504 --initTime 2017-11-26T23:06:44 --startdatetime 2017-11-26T23:30:18 --delay 74 --endMP 204:233261 --enddatetime 2017-11-27T00:05:20 --enforcementcount 0 &gt;&gt;%USERPROFILE%\Documents\GitHub\eaglep3-reporting\EC\2017-11-26-refined-times.txt</v>
      </c>
      <c r="AI153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{"issue":{"subject":"","project_id":79,"tracker_id":40,"status_id":1,"priority_id":2,"assigned_to_id":338,"start_date":"2017-11-27","description":"","custom_fields":[{"id":1,"name":"Subdivision","value":"EC"},{"id":4,"name":"Milepost","value":"23.3261"},{"id":17,"name":"Train ID","value":"239-26"},{"id":16,"name":"Locomotive ID","value":"4016"},{"id":130,"name":"Impact","value":""},{"id":150,"name":"Time of Event (Mountain Time)","value":"00:05:20"},{"id":151,"name":"Denver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104"/>
        <v>start /low /b %USERPROFILE%\Documents\GitHub\eaglep3\Utilities\DownloadLogsFromS3.py --loco 4016 --day 2017-11-26</v>
      </c>
      <c r="AN153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106"/>
        <v>https://d0f6bd738d7f1b3e5a7ca70fe4ff75f0.us-east-1.aws.found.io/app/kibana#/discover/Steve-Slow-Train-Analysis-(2080s-and-2083s)?_g=(refreshInterval:(display:Off,pause:!f,section:0,value:0),time:(from:'2017-11-26T22:06:44-0700',mode:absolute,to:'2017-11-27T01:05:20-0700'))&amp;_a=(columns:!('Message%20ID',Summary),filters:!(),index:'emp_*',interval:auto,query:(query_string:(analyze_wildcard:!t,query:'%22rtdc.l.rtdc.4016%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4" customFormat="1" x14ac:dyDescent="0.25">
      <c r="A154" s="230" t="s">
        <v>885</v>
      </c>
      <c r="B154" s="226">
        <v>4015</v>
      </c>
      <c r="C154" s="228" t="s">
        <v>192</v>
      </c>
      <c r="D154" s="228" t="s">
        <v>1016</v>
      </c>
      <c r="E154" s="227">
        <v>43066.016944444447</v>
      </c>
      <c r="F154" s="227">
        <v>43066.018946759257</v>
      </c>
      <c r="G154" s="226">
        <v>53</v>
      </c>
      <c r="H154" s="228" t="s">
        <v>600</v>
      </c>
      <c r="I154" s="227">
        <v>43066.044537037036</v>
      </c>
      <c r="J154" s="226">
        <v>0</v>
      </c>
      <c r="K154" s="238" t="str">
        <f t="shared" si="88"/>
        <v>4015/4016</v>
      </c>
      <c r="L154" s="246" t="str">
        <f>VLOOKUP(A154,'Trips&amp;Operators'!$C$1:$G$99911,5,FALSE)</f>
        <v>LOZA FIDEL</v>
      </c>
      <c r="M154" s="225">
        <f t="shared" si="89"/>
        <v>2.5590277778974269E-2</v>
      </c>
      <c r="N154" s="226">
        <f t="shared" si="90"/>
        <v>36.850000001722947</v>
      </c>
      <c r="O154" s="226"/>
      <c r="P154" s="226"/>
      <c r="Q154" s="229"/>
      <c r="R154" s="243"/>
      <c r="S154" s="250">
        <f t="shared" si="91"/>
        <v>1</v>
      </c>
      <c r="T154" s="243" t="str">
        <f t="shared" si="92"/>
        <v>Southbound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93"/>
        <v>https://d0f6bd738d7f1b3e5a7ca70fe4ff75f0.us-east-1.aws.found.io/app/kibana#/discover/Steve-Slow-Train-Analysis-(2080s-and-2083s)?_g=(refreshInterval:(display:Off,pause:!f,section:0,value:0),time:(from:'2017-11-26T23:24:24-0700',mode:absolute,to:'2017-11-27T02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4" s="248" t="str">
        <f>IF(AA154&lt;VLOOKUP(AG154,Variables!$AC$3:$AD$8,2,FALSE),"Y","N")</f>
        <v>N</v>
      </c>
      <c r="X154" s="248">
        <f t="shared" si="94"/>
        <v>1</v>
      </c>
      <c r="Y154" s="248">
        <f t="shared" si="95"/>
        <v>23.292300000000001</v>
      </c>
      <c r="Z154" s="248">
        <f t="shared" si="96"/>
        <v>2.29E-2</v>
      </c>
      <c r="AA154" s="248">
        <f t="shared" si="97"/>
        <v>23.269400000000001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98"/>
        <v>240</v>
      </c>
      <c r="AE154" s="236" t="str">
        <f t="shared" si="99"/>
        <v>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 &amp; aws s3 cp s3://rtdc.mdm.uploadarchive.raw/RTDC4015/ "%USERPROFILE%\AppData\Local\Temp\OnboardLogs"\RTDC4015\2017-11-28 --exclude "*" --recursive --include "*20171128*" &amp; "%USERPROFILE%\Documents\GitHub\mrs-test-scripts\Headless Mode &amp; Sideloading\WalkAndUnGZ.bat" "%USERPROFILE%\AppData\Local\Temp\OnboardLogs"\RTDC4015\2017-11-28</v>
      </c>
      <c r="AF154" s="235" t="str">
        <f t="shared" si="100"/>
        <v>"C:\Program Files (x86)\AstroGrep\AstroGrep.exe" /e /r /s /spath="%USERPROFILE%\AppData\Local\Temp\OnboardLogs" /stypes="app*4015*20171127*" /stext=" 08:.+((SYSTEM_STATE.+slice.+state.+changed )|(ment ac)|(multiple cpu faults)|(system.+state.+changed )|(\[timeout)|(PRM\|1\|D)|(kpr)|(kdp)|(train st.+moving)|(\|lc)|(penalty))"</v>
      </c>
      <c r="AG154" s="245" t="str">
        <f t="shared" si="101"/>
        <v>EC</v>
      </c>
      <c r="AH154" s="237" t="str">
        <f t="shared" si="102"/>
        <v>"%USERPROFILE%\Documents\GitHub\eaglep3\Utilities\RefineRTDCRunTimes.py" --tripid 240-26 --locoid 4015 --swversion DE.1.0.9.0 --startMP 204:232923 --initTime 2017-11-27T00:24:24 --startdatetime 2017-11-27T00:27:17 --delay 53 --endMP 204:229 --enddatetime 2017-11-27T01:04:08 --enforcementcount 0 &gt;&gt;%USERPROFILE%\Documents\GitHub\eaglep3-reporting\EC\2017-11-26-refined-times.txt</v>
      </c>
      <c r="AI154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{"issue":{"subject":"","project_id":79,"tracker_id":40,"status_id":1,"priority_id":2,"assigned_to_id":338,"start_date":"2017-11-27","description":"","custom_fields":[{"id":1,"name":"Subdivision","value":"EC"},{"id":4,"name":"Milepost","value":"0.0229"},{"id":17,"name":"Train ID","value":"240-26"},{"id":16,"name":"Locomotive ID","value":"4015"},{"id":130,"name":"Impact","value":""},{"id":150,"name":"Time of Event (Mountain Time)","value":"01:04:08"},{"id":151,"name":"Denver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2"/>
      <c r="AL154" s="232"/>
      <c r="AM154" s="241" t="str">
        <f t="shared" si="104"/>
        <v>start /low /b %USERPROFILE%\Documents\GitHub\eaglep3\Utilities\DownloadLogsFromS3.py --loco 4015 --day 2017-11-27</v>
      </c>
      <c r="AN154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08:04:08"},{"id":29,"name":"Sharepoint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106"/>
        <v>https://d0f6bd738d7f1b3e5a7ca70fe4ff75f0.us-east-1.aws.found.io/app/kibana#/discover/Steve-Slow-Train-Analysis-(2080s-and-2083s)?_g=(refreshInterval:(display:Off,pause:!f,section:0,value:0),time:(from:'2017-11-26T23:24:24-0700',mode:absolute,to:'2017-11-27T02:04:08-0700'))&amp;_a=(columns:!('Message%20ID',Summary),filters:!(),index:'emp_*',interval:auto,query:(query_string:(analyze_wildcard:!t,query:'%22rtdc.l.rtdc.4015%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883</v>
      </c>
      <c r="B155" s="226">
        <v>4008</v>
      </c>
      <c r="C155" s="228" t="s">
        <v>192</v>
      </c>
      <c r="D155" s="228" t="s">
        <v>1017</v>
      </c>
      <c r="E155" s="227">
        <v>43065.986122685186</v>
      </c>
      <c r="F155" s="227">
        <v>43066.000138888892</v>
      </c>
      <c r="G155" s="226">
        <v>52</v>
      </c>
      <c r="H155" s="228" t="s">
        <v>477</v>
      </c>
      <c r="I155" s="227">
        <v>43066.023784722223</v>
      </c>
      <c r="J155" s="226">
        <v>0</v>
      </c>
      <c r="K155" s="238" t="str">
        <f t="shared" si="88"/>
        <v>4007/4008</v>
      </c>
      <c r="L155" s="246" t="str">
        <f>VLOOKUP(A155,'Trips&amp;Operators'!$C$1:$G$99911,5,FALSE)</f>
        <v>ELBAUM MIKE</v>
      </c>
      <c r="M155" s="225">
        <f t="shared" si="89"/>
        <v>2.364583333110204E-2</v>
      </c>
      <c r="N155" s="226">
        <f t="shared" si="90"/>
        <v>34.049999996786937</v>
      </c>
      <c r="O155" s="226"/>
      <c r="P155" s="226"/>
      <c r="Q155" s="229"/>
      <c r="R155" s="243"/>
      <c r="S155" s="250">
        <f t="shared" si="91"/>
        <v>1</v>
      </c>
      <c r="T155" s="243" t="str">
        <f t="shared" si="92"/>
        <v>NorthBound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93"/>
        <v>https://d0f6bd738d7f1b3e5a7ca70fe4ff75f0.us-east-1.aws.found.io/app/kibana#/discover/Steve-Slow-Train-Analysis-(2080s-and-2083s)?_g=(refreshInterval:(display:Off,pause:!f,section:0,value:0),time:(from:'2017-11-26T22:40:01-0700',mode:absolute,to:'2017-11-27T01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248" t="str">
        <f>IF(AA155&lt;VLOOKUP(AG155,Variables!$AC$3:$AD$8,2,FALSE),"Y","N")</f>
        <v>N</v>
      </c>
      <c r="X155" s="248">
        <f t="shared" si="94"/>
        <v>1</v>
      </c>
      <c r="Y155" s="248">
        <f t="shared" si="95"/>
        <v>5.62E-2</v>
      </c>
      <c r="Z155" s="248">
        <f t="shared" si="96"/>
        <v>23.326599999999999</v>
      </c>
      <c r="AA155" s="248">
        <f t="shared" si="97"/>
        <v>23.270399999999999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98"/>
        <v>241</v>
      </c>
      <c r="AE155" s="236" t="str">
        <f t="shared" si="99"/>
        <v>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 &amp; 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</v>
      </c>
      <c r="AF155" s="235" t="str">
        <f t="shared" si="100"/>
        <v>"C:\Program Files (x86)\AstroGrep\AstroGrep.exe" /e /r /s /spath="%USERPROFILE%\AppData\Local\Temp\OnboardLogs" /stypes="app*4008*20171127*" /stext=" 07:.+((SYSTEM_STATE.+slice.+state.+changed )|(ment ac)|(multiple cpu faults)|(system.+state.+changed )|(\[timeout)|(PRM\|1\|D)|(kpr)|(kdp)|(train st.+moving)|(\|lc)|(penalty))"</v>
      </c>
      <c r="AG155" s="245" t="str">
        <f t="shared" si="101"/>
        <v>EC</v>
      </c>
      <c r="AH155" s="237" t="str">
        <f t="shared" si="102"/>
        <v>"%USERPROFILE%\Documents\GitHub\eaglep3\Utilities\RefineRTDCRunTimes.py" --tripid 241-26 --locoid 4008 --swversion DE.1.0.9.0 --startMP 204:562 --initTime 2017-11-26T23:40:01 --startdatetime 2017-11-27T00:00:12 --delay 52 --endMP 204:233266 --enddatetime 2017-11-27T00:34:15 --enforcementcount 0 &gt;&gt;%USERPROFILE%\Documents\GitHub\eaglep3-reporting\EC\2017-11-26-refined-times.txt</v>
      </c>
      <c r="AI155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{"issue":{"subject":"","project_id":79,"tracker_id":40,"status_id":1,"priority_id":2,"assigned_to_id":338,"start_date":"2017-11-27","description":"","custom_fields":[{"id":1,"name":"Subdivision","value":"EC"},{"id":4,"name":"Milepost","value":"23.3266"},{"id":17,"name":"Train ID","value":"241-26"},{"id":16,"name":"Locomotive ID","value":"4008"},{"id":130,"name":"Impact","value":""},{"id":150,"name":"Time of Event (Mountain Time)","value":"00:34:15"},{"id":151,"name":"Denver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104"/>
        <v>start /low /b %USERPROFILE%\Documents\GitHub\eaglep3\Utilities\DownloadLogsFromS3.py --loco 4008 --day 2017-11-27</v>
      </c>
      <c r="AN155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07:34:15"},{"id":29,"name":"Sharepoint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106"/>
        <v>https://d0f6bd738d7f1b3e5a7ca70fe4ff75f0.us-east-1.aws.found.io/app/kibana#/discover/Steve-Slow-Train-Analysis-(2080s-and-2083s)?_g=(refreshInterval:(display:Off,pause:!f,section:0,value:0),time:(from:'2017-11-26T22:40:01-0700',mode:absolute,to:'2017-11-27T01:34:15-0700'))&amp;_a=(columns:!('Message%20ID',Summary),filters:!(),index:'emp_*',interval:auto,query:(query_string:(analyze_wildcard:!t,query:'%22rtdc.l.rtdc.4008%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30" t="s">
        <v>888</v>
      </c>
      <c r="B156" s="226">
        <v>4007</v>
      </c>
      <c r="C156" s="228" t="s">
        <v>192</v>
      </c>
      <c r="D156" s="228" t="s">
        <v>636</v>
      </c>
      <c r="E156" s="227">
        <v>43066.025416666664</v>
      </c>
      <c r="F156" s="227">
        <v>43066.050324074073</v>
      </c>
      <c r="G156" s="226">
        <v>57</v>
      </c>
      <c r="H156" s="228" t="s">
        <v>636</v>
      </c>
      <c r="I156" s="227">
        <v>43066.066018518519</v>
      </c>
      <c r="J156" s="226">
        <v>0</v>
      </c>
      <c r="K156" s="238" t="str">
        <f t="shared" si="88"/>
        <v>4007/4008</v>
      </c>
      <c r="L156" s="246" t="str">
        <f>VLOOKUP(A156,'Trips&amp;Operators'!$C$1:$G$99911,5,FALSE)</f>
        <v>ELBAUM MIKE</v>
      </c>
      <c r="M156" s="225">
        <f t="shared" si="89"/>
        <v>1.5694444446125999E-2</v>
      </c>
      <c r="N156" s="226"/>
      <c r="O156" s="226"/>
      <c r="P156" s="226"/>
      <c r="Q156" s="229"/>
      <c r="R156" s="243"/>
      <c r="S156" s="250"/>
      <c r="T156" s="243" t="str">
        <f t="shared" si="92"/>
        <v>Southbound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49" t="str">
        <f t="shared" si="93"/>
        <v>https://d0f6bd738d7f1b3e5a7ca70fe4ff75f0.us-east-1.aws.found.io/app/kibana#/discover/Steve-Slow-Train-Analysis-(2080s-and-2083s)?_g=(refreshInterval:(display:Off,pause:!f,section:0,value:0),time:(from:'2017-11-26T23:36:36-0700',mode:absolute,to:'2017-11-27T02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248" t="str">
        <f>IF(AA156&lt;VLOOKUP(AG156,Variables!$AC$3:$AD$8,2,FALSE),"Y","N")</f>
        <v>Y</v>
      </c>
      <c r="X156" s="248">
        <f t="shared" si="94"/>
        <v>1</v>
      </c>
      <c r="Y156" s="248">
        <f t="shared" si="95"/>
        <v>23.293800000000001</v>
      </c>
      <c r="Z156" s="248">
        <f t="shared" si="96"/>
        <v>23.293800000000001</v>
      </c>
      <c r="AA156" s="248">
        <f t="shared" si="97"/>
        <v>0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98"/>
        <v>242</v>
      </c>
      <c r="AE156" s="236" t="str">
        <f t="shared" si="99"/>
        <v>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 &amp; 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</v>
      </c>
      <c r="AF156" s="235" t="str">
        <f t="shared" si="100"/>
        <v>"C:\Program Files (x86)\AstroGrep\AstroGrep.exe" /e /r /s /spath="%USERPROFILE%\AppData\Local\Temp\OnboardLogs" /stypes="app*4007*20171127*" /stext=" 08:.+((SYSTEM_STATE.+slice.+state.+changed )|(ment ac)|(multiple cpu faults)|(system.+state.+changed )|(\[timeout)|(PRM\|1\|D)|(kpr)|(kdp)|(train st.+moving)|(\|lc)|(penalty))"</v>
      </c>
      <c r="AG156" s="245" t="str">
        <f t="shared" si="101"/>
        <v>EC</v>
      </c>
      <c r="AH156" s="237" t="str">
        <f t="shared" si="102"/>
        <v>"%USERPROFILE%\Documents\GitHub\eaglep3\Utilities\RefineRTDCRunTimes.py" --tripid 242-26 --locoid 4007 --swversion DE.1.0.9.0 --startMP 204:232938 --initTime 2017-11-27T00:36:36 --startdatetime 2017-11-27T01:12:28 --delay 57 --endMP 204:232938 --enddatetime 2017-11-27T01:35:04 --enforcementcount 0 &gt;&gt;%USERPROFILE%\Documents\GitHub\eaglep3-reporting\EC\2017-11-26-refined-times.txt</v>
      </c>
      <c r="AI156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{"issue":{"subject":"","project_id":79,"tracker_id":40,"status_id":1,"priority_id":2,"assigned_to_id":338,"start_date":"2017-11-27","description":"","custom_fields":[{"id":1,"name":"Subdivision","value":"EC"},{"id":4,"name":"Milepost","value":"23.2938"},{"id":17,"name":"Train ID","value":"242-26"},{"id":16,"name":"Locomotive ID","value":"4007"},{"id":130,"name":"Impact","value":""},{"id":150,"name":"Time of Event (Mountain Time)","value":"01:35:04"},{"id":151,"name":"Denver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104"/>
        <v>start /low /b %USERPROFILE%\Documents\GitHub\eaglep3\Utilities\DownloadLogsFromS3.py --loco 4007 --day 2017-11-27</v>
      </c>
      <c r="AN156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106"/>
        <v>https://d0f6bd738d7f1b3e5a7ca70fe4ff75f0.us-east-1.aws.found.io/app/kibana#/discover/Steve-Slow-Train-Analysis-(2080s-and-2083s)?_g=(refreshInterval:(display:Off,pause:!f,section:0,value:0),time:(from:'2017-11-26T23:36:36-0700',mode:absolute,to:'2017-11-27T02:35:04-0700'))&amp;_a=(columns:!('Message%20ID',Summary),filters:!(),index:'emp_*',interval:auto,query:(query_string:(analyze_wildcard:!t,query:'%22rtdc.l.rtdc.4007%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30" t="s">
        <v>888</v>
      </c>
      <c r="B157" s="226">
        <v>4007</v>
      </c>
      <c r="C157" s="228" t="s">
        <v>192</v>
      </c>
      <c r="D157" s="228" t="s">
        <v>1018</v>
      </c>
      <c r="E157" s="227">
        <v>43066.036932870367</v>
      </c>
      <c r="F157" s="227">
        <v>43066.050324074073</v>
      </c>
      <c r="G157" s="226">
        <v>72</v>
      </c>
      <c r="H157" s="228" t="s">
        <v>1019</v>
      </c>
      <c r="I157" s="227">
        <v>43066.066018518519</v>
      </c>
      <c r="J157" s="226">
        <v>0</v>
      </c>
      <c r="K157" s="238" t="str">
        <f t="shared" si="88"/>
        <v>4007/4008</v>
      </c>
      <c r="L157" s="246" t="str">
        <f>VLOOKUP(A157,'Trips&amp;Operators'!$C$1:$G$99911,5,FALSE)</f>
        <v>ELBAUM MIKE</v>
      </c>
      <c r="M157" s="225">
        <f t="shared" si="89"/>
        <v>1.5694444446125999E-2</v>
      </c>
      <c r="N157" s="226"/>
      <c r="O157" s="226"/>
      <c r="P157" s="226">
        <f t="shared" si="90"/>
        <v>22.600000002421439</v>
      </c>
      <c r="Q157" s="229"/>
      <c r="R157" s="243" t="s">
        <v>1071</v>
      </c>
      <c r="S157" s="250">
        <f t="shared" si="91"/>
        <v>1</v>
      </c>
      <c r="T157" s="243" t="str">
        <f t="shared" si="92"/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93"/>
        <v>https://d0f6bd738d7f1b3e5a7ca70fe4ff75f0.us-east-1.aws.found.io/app/kibana#/discover/Steve-Slow-Train-Analysis-(2080s-and-2083s)?_g=(refreshInterval:(display:Off,pause:!f,section:0,value:0),time:(from:'2017-11-26T23:53:11-0700',mode:absolute,to:'2017-11-27T02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248" t="str">
        <f>IF(AA157&lt;VLOOKUP(AG157,Variables!$AC$3:$AD$8,2,FALSE),"Y","N")</f>
        <v>Y</v>
      </c>
      <c r="X157" s="248">
        <f t="shared" si="94"/>
        <v>0</v>
      </c>
      <c r="Y157" s="248">
        <f t="shared" si="95"/>
        <v>12.786300000000001</v>
      </c>
      <c r="Z157" s="248">
        <f t="shared" si="96"/>
        <v>2.5999999999999999E-2</v>
      </c>
      <c r="AA157" s="248">
        <f t="shared" si="97"/>
        <v>12.760300000000001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98"/>
        <v>242</v>
      </c>
      <c r="AE157" s="236" t="str">
        <f t="shared" si="99"/>
        <v>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 &amp; aws s3 cp s3://rtdc.mdm.uploadarchive.raw/RTDC4007/ "%USERPROFILE%\AppData\Local\Temp\OnboardLogs"\RTDC4007\2017-11-28 --exclude "*" --recursive --include "*20171128*" &amp; "%USERPROFILE%\Documents\GitHub\mrs-test-scripts\Headless Mode &amp; Sideloading\WalkAndUnGZ.bat" "%USERPROFILE%\AppData\Local\Temp\OnboardLogs"\RTDC4007\2017-11-28</v>
      </c>
      <c r="AF157" s="235" t="str">
        <f t="shared" si="100"/>
        <v>"C:\Program Files (x86)\AstroGrep\AstroGrep.exe" /e /r /s /spath="%USERPROFILE%\AppData\Local\Temp\OnboardLogs" /stypes="app*4007*20171127*" /stext=" 08:.+((SYSTEM_STATE.+slice.+state.+changed )|(ment ac)|(multiple cpu faults)|(system.+state.+changed )|(\[timeout)|(PRM\|1\|D)|(kpr)|(kdp)|(train st.+moving)|(\|lc)|(penalty))"</v>
      </c>
      <c r="AG157" s="245" t="str">
        <f t="shared" si="101"/>
        <v>EC</v>
      </c>
      <c r="AH157" s="237" t="str">
        <f t="shared" si="102"/>
        <v>"%USERPROFILE%\Documents\GitHub\eaglep3\Utilities\RefineRTDCRunTimes.py" --tripid 242-26 --locoid 4007 --swversion DE.1.0.9.0 --startMP 204:127863 --initTime 2017-11-27T00:53:11 --startdatetime 2017-11-27T01:12:28 --delay 72 --endMP 204:260 --enddatetime 2017-11-27T01:35:04 --enforcementcount 0 &gt;&gt;%USERPROFILE%\Documents\GitHub\eaglep3-reporting\EC\2017-11-26-refined-times.txt</v>
      </c>
      <c r="AI157" s="239" t="str">
        <f t="shared" si="103"/>
        <v>echo {"issue":{"subject":"Poor GPS at DIA","project_id":79,"tracker_id":40,"status_id":1,"priority_id":2,"assigned_to_id":338,"start_date":"2017-11-27","description":"","custom_fields":[{"id":1,"name":"Subdivision","value":"EC"},{"id":4,"name":"Milepost","value":"0.026"},{"id":17,"name":"Train ID","value":"242-26"},{"id":16,"name":"Locomotive ID","value":"4007"},{"id":130,"name":"Impact","value":""},{"id":150,"name":"Time of Event (Mountain Time)","value":"01:35:04"},{"id":151,"name":"Denver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4"/>
      <c r="AK157" s="232"/>
      <c r="AL157" s="232"/>
      <c r="AM157" s="241" t="str">
        <f t="shared" si="104"/>
        <v>start /low /b %USERPROFILE%\Documents\GitHub\eaglep3\Utilities\DownloadLogsFromS3.py --loco 4007 --day 2017-11-27</v>
      </c>
      <c r="AN157" s="242" t="str">
        <f t="shared" si="105"/>
        <v>echo {"issue":{"subject":"Poor GPS at DIA","project_id":30,"tracker_id":4,"status_id":1,"priority_id":1,"assigned_to_id":10,"start_date":"2017-11-27","description":"","custom_fields":[{"id":30,"name":"Category","value":"Issue"},{"id":3,"name":"Functional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106"/>
        <v>https://d0f6bd738d7f1b3e5a7ca70fe4ff75f0.us-east-1.aws.found.io/app/kibana#/discover/Steve-Slow-Train-Analysis-(2080s-and-2083s)?_g=(refreshInterval:(display:Off,pause:!f,section:0,value:0),time:(from:'2017-11-26T23:53:11-0700',mode:absolute,to:'2017-11-27T02:35:04-0700'))&amp;_a=(columns:!('Message%20ID',Summary),filters:!(),index:'emp_*',interval:auto,query:(query_string:(analyze_wildcard:!t,query:'%22rtdc.l.rtdc.4007%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30" t="s">
        <v>886</v>
      </c>
      <c r="B158" s="226">
        <v>4060</v>
      </c>
      <c r="C158" s="228" t="s">
        <v>192</v>
      </c>
      <c r="D158" s="228" t="s">
        <v>1020</v>
      </c>
      <c r="E158" s="227">
        <v>43066.017916666664</v>
      </c>
      <c r="F158" s="227">
        <v>43066.021354166667</v>
      </c>
      <c r="G158" s="226">
        <v>83</v>
      </c>
      <c r="H158" s="228" t="s">
        <v>615</v>
      </c>
      <c r="I158" s="227">
        <v>43066.044895833336</v>
      </c>
      <c r="J158" s="226">
        <v>0</v>
      </c>
      <c r="K158" s="238" t="str">
        <f t="shared" si="88"/>
        <v>4059/4060</v>
      </c>
      <c r="L158" s="246" t="str">
        <f>VLOOKUP(A158,'Trips&amp;Operators'!$C$1:$G$99911,5,FALSE)</f>
        <v>RESPASS AARON</v>
      </c>
      <c r="M158" s="225">
        <f t="shared" si="89"/>
        <v>2.3541666669188999E-2</v>
      </c>
      <c r="N158" s="226">
        <f t="shared" si="90"/>
        <v>33.900000003632158</v>
      </c>
      <c r="O158" s="226"/>
      <c r="P158" s="226"/>
      <c r="Q158" s="229"/>
      <c r="R158" s="243"/>
      <c r="S158" s="250">
        <f t="shared" si="91"/>
        <v>1</v>
      </c>
      <c r="T158" s="243" t="str">
        <f t="shared" si="92"/>
        <v>NorthBound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93"/>
        <v>https://d0f6bd738d7f1b3e5a7ca70fe4ff75f0.us-east-1.aws.found.io/app/kibana#/discover/Steve-Slow-Train-Analysis-(2080s-and-2083s)?_g=(refreshInterval:(display:Off,pause:!f,section:0,value:0),time:(from:'2017-11-26T23:25:48-0700',mode:absolute,to:'2017-11-27T02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248" t="str">
        <f>IF(AA158&lt;VLOOKUP(AG158,Variables!$AC$3:$AD$8,2,FALSE),"Y","N")</f>
        <v>N</v>
      </c>
      <c r="X158" s="248">
        <f t="shared" si="94"/>
        <v>1</v>
      </c>
      <c r="Y158" s="248">
        <f t="shared" si="95"/>
        <v>5.8799999999999998E-2</v>
      </c>
      <c r="Z158" s="248">
        <f t="shared" si="96"/>
        <v>23.3215</v>
      </c>
      <c r="AA158" s="248">
        <f t="shared" si="97"/>
        <v>23.262699999999999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98"/>
        <v>243</v>
      </c>
      <c r="AE158" s="236" t="str">
        <f t="shared" si="99"/>
        <v>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 &amp; aws s3 cp s3://rtdc.mdm.uploadarchive.raw/RTDC4060/ "%USERPROFILE%\AppData\Local\Temp\OnboardLogs"\RTDC4060\2017-11-28 --exclude "*" --recursive --include "*20171128*" &amp; "%USERPROFILE%\Documents\GitHub\mrs-test-scripts\Headless Mode &amp; Sideloading\WalkAndUnGZ.bat" "%USERPROFILE%\AppData\Local\Temp\OnboardLogs"\RTDC4060\2017-11-28</v>
      </c>
      <c r="AF158" s="235" t="str">
        <f t="shared" si="100"/>
        <v>"C:\Program Files (x86)\AstroGrep\AstroGrep.exe" /e /r /s /spath="%USERPROFILE%\AppData\Local\Temp\OnboardLogs" /stypes="app*4060*20171127*" /stext=" 08:.+((SYSTEM_STATE.+slice.+state.+changed )|(ment ac)|(multiple cpu faults)|(system.+state.+changed )|(\[timeout)|(PRM\|1\|D)|(kpr)|(kdp)|(train st.+moving)|(\|lc)|(penalty))"</v>
      </c>
      <c r="AG158" s="245" t="str">
        <f t="shared" si="101"/>
        <v>EC</v>
      </c>
      <c r="AH158" s="237" t="str">
        <f t="shared" si="102"/>
        <v>"%USERPROFILE%\Documents\GitHub\eaglep3\Utilities\RefineRTDCRunTimes.py" --tripid 243-26 --locoid 4060 --swversion DE.1.0.9.0 --startMP 204:588 --initTime 2017-11-27T00:25:48 --startdatetime 2017-11-27T00:30:45 --delay 83 --endMP 204:233215 --enddatetime 2017-11-27T01:04:39 --enforcementcount 0 &gt;&gt;%USERPROFILE%\Documents\GitHub\eaglep3-reporting\EC\2017-11-26-refined-times.txt</v>
      </c>
      <c r="AI158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{"issue":{"subject":"","project_id":79,"tracker_id":40,"status_id":1,"priority_id":2,"assigned_to_id":338,"start_date":"2017-11-27","description":"","custom_fields":[{"id":1,"name":"Subdivision","value":"EC"},{"id":4,"name":"Milepost","value":"23.3215"},{"id":17,"name":"Train ID","value":"243-26"},{"id":16,"name":"Locomotive ID","value":"4060"},{"id":130,"name":"Impact","value":""},{"id":150,"name":"Time of Event (Mountain Time)","value":"01:04:39"},{"id":151,"name":"Denver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104"/>
        <v>start /low /b %USERPROFILE%\Documents\GitHub\eaglep3\Utilities\DownloadLogsFromS3.py --loco 4060 --day 2017-11-27</v>
      </c>
      <c r="AN158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106"/>
        <v>https://d0f6bd738d7f1b3e5a7ca70fe4ff75f0.us-east-1.aws.found.io/app/kibana#/discover/Steve-Slow-Train-Analysis-(2080s-and-2083s)?_g=(refreshInterval:(display:Off,pause:!f,section:0,value:0),time:(from:'2017-11-26T23:25:48-0700',mode:absolute,to:'2017-11-27T02:04:39-0700'))&amp;_a=(columns:!('Message%20ID',Summary),filters:!(),index:'emp_*',interval:auto,query:(query_string:(analyze_wildcard:!t,query:'%22rtdc.l.rtdc.4060%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30" t="s">
        <v>890</v>
      </c>
      <c r="B159" s="226">
        <v>4059</v>
      </c>
      <c r="C159" s="228" t="s">
        <v>192</v>
      </c>
      <c r="D159" s="228" t="s">
        <v>1021</v>
      </c>
      <c r="E159" s="227">
        <v>43066.056562500002</v>
      </c>
      <c r="F159" s="227">
        <v>43066.060937499999</v>
      </c>
      <c r="G159" s="226">
        <v>53</v>
      </c>
      <c r="H159" s="228" t="s">
        <v>497</v>
      </c>
      <c r="I159" s="227">
        <v>43066.085833333331</v>
      </c>
      <c r="J159" s="226">
        <v>0</v>
      </c>
      <c r="K159" s="238" t="str">
        <f t="shared" si="88"/>
        <v>4059/4060</v>
      </c>
      <c r="L159" s="246" t="str">
        <f>VLOOKUP(A159,'Trips&amp;Operators'!$C$1:$G$99911,5,FALSE)</f>
        <v>RESPASS AARON</v>
      </c>
      <c r="M159" s="225">
        <f t="shared" si="89"/>
        <v>2.4895833332266193E-2</v>
      </c>
      <c r="N159" s="226">
        <f t="shared" si="90"/>
        <v>35.849999998463318</v>
      </c>
      <c r="O159" s="226"/>
      <c r="P159" s="226"/>
      <c r="Q159" s="229"/>
      <c r="R159" s="243"/>
      <c r="S159" s="250">
        <f t="shared" si="91"/>
        <v>1</v>
      </c>
      <c r="T159" s="243" t="str">
        <f t="shared" si="92"/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9" t="str">
        <f t="shared" si="93"/>
        <v>https://d0f6bd738d7f1b3e5a7ca70fe4ff75f0.us-east-1.aws.found.io/app/kibana#/discover/Steve-Slow-Train-Analysis-(2080s-and-2083s)?_g=(refreshInterval:(display:Off,pause:!f,section:0,value:0),time:(from:'2017-11-27T00:21:27-0700',mode:absolute,to:'2017-11-27T03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248" t="str">
        <f>IF(AA159&lt;VLOOKUP(AG159,Variables!$AC$3:$AD$8,2,FALSE),"Y","N")</f>
        <v>N</v>
      </c>
      <c r="X159" s="248">
        <f t="shared" si="94"/>
        <v>1</v>
      </c>
      <c r="Y159" s="248">
        <f t="shared" si="95"/>
        <v>23.288799999999998</v>
      </c>
      <c r="Z159" s="248">
        <f t="shared" si="96"/>
        <v>2.69E-2</v>
      </c>
      <c r="AA159" s="248">
        <f t="shared" si="97"/>
        <v>23.261899999999997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98"/>
        <v>244</v>
      </c>
      <c r="AE159" s="236" t="str">
        <f t="shared" si="99"/>
        <v>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 &amp; aws s3 cp s3://rtdc.mdm.uploadarchive.raw/RTDC4059/ "%USERPROFILE%\AppData\Local\Temp\OnboardLogs"\RTDC4059\2017-11-28 --exclude "*" --recursive --include "*20171128*" &amp; "%USERPROFILE%\Documents\GitHub\mrs-test-scripts\Headless Mode &amp; Sideloading\WalkAndUnGZ.bat" "%USERPROFILE%\AppData\Local\Temp\OnboardLogs"\RTDC4059\2017-11-28</v>
      </c>
      <c r="AF159" s="235" t="str">
        <f t="shared" si="100"/>
        <v>"C:\Program Files (x86)\AstroGrep\AstroGrep.exe" /e /r /s /spath="%USERPROFILE%\AppData\Local\Temp\OnboardLogs" /stypes="app*4059*20171127*" /stext=" 09:.+((SYSTEM_STATE.+slice.+state.+changed )|(ment ac)|(multiple cpu faults)|(system.+state.+changed )|(\[timeout)|(PRM\|1\|D)|(kpr)|(kdp)|(train st.+moving)|(\|lc)|(penalty))"</v>
      </c>
      <c r="AG159" s="245" t="str">
        <f t="shared" si="101"/>
        <v>EC</v>
      </c>
      <c r="AH159" s="237" t="str">
        <f t="shared" si="102"/>
        <v>"%USERPROFILE%\Documents\GitHub\eaglep3\Utilities\RefineRTDCRunTimes.py" --tripid 244-26 --locoid 4059 --swversion DE.1.0.9.0 --startMP 204:232888 --initTime 2017-11-27T01:21:27 --startdatetime 2017-11-27T01:27:45 --delay 53 --endMP 204:269 --enddatetime 2017-11-27T02:03:36 --enforcementcount 0 &gt;&gt;%USERPROFILE%\Documents\GitHub\eaglep3-reporting\EC\2017-11-26-refined-times.txt</v>
      </c>
      <c r="AI159" s="239" t="str">
        <f t="shared" si="103"/>
        <v>echo {"issue":{"subject":"","project_id":79,"tracker_id":40,"status_id":1,"priority_id":2,"assigned_to_id":338,"start_date":"2017-11-27","description":"","custom_fields":[{"id":1,"name":"Subdivision","value":"EC"},{"id":4,"name":"Milepost","value":"0.0269"},{"id":17,"name":"Train ID","value":"244-26"},{"id":16,"name":"Locomotive ID","value":"4059"},{"id":130,"name":"Impact","value":""},{"id":150,"name":"Time of Event (Mountain Time)","value":"02:03:36"},{"id":151,"name":"Denver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4"/>
      <c r="AK159" s="232"/>
      <c r="AL159" s="232"/>
      <c r="AM159" s="241" t="str">
        <f t="shared" si="104"/>
        <v>start /low /b %USERPROFILE%\Documents\GitHub\eaglep3\Utilities\DownloadLogsFromS3.py --loco 4059 --day 2017-11-27</v>
      </c>
      <c r="AN159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09:03:36"},{"id":29,"name":"Sharepoint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106"/>
        <v>https://d0f6bd738d7f1b3e5a7ca70fe4ff75f0.us-east-1.aws.found.io/app/kibana#/discover/Steve-Slow-Train-Analysis-(2080s-and-2083s)?_g=(refreshInterval:(display:Off,pause:!f,section:0,value:0),time:(from:'2017-11-27T00:21:27-0700',mode:absolute,to:'2017-11-27T03:03:36-0700'))&amp;_a=(columns:!('Message%20ID',Summary),filters:!(),index:'emp_*',interval:auto,query:(query_string:(analyze_wildcard:!t,query:'%22rtdc.l.rtdc.4059%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30" t="s">
        <v>716</v>
      </c>
      <c r="B160" s="226">
        <v>4025</v>
      </c>
      <c r="C160" s="228" t="s">
        <v>192</v>
      </c>
      <c r="D160" s="228" t="s">
        <v>643</v>
      </c>
      <c r="E160" s="227">
        <v>43065.233101851853</v>
      </c>
      <c r="F160" s="227">
        <v>43065.235405092593</v>
      </c>
      <c r="G160" s="226">
        <v>151</v>
      </c>
      <c r="H160" s="228" t="s">
        <v>952</v>
      </c>
      <c r="I160" s="227">
        <v>43065.246527777781</v>
      </c>
      <c r="J160" s="226">
        <v>0</v>
      </c>
      <c r="K160" s="238" t="str">
        <f t="shared" si="88"/>
        <v>4025/4026</v>
      </c>
      <c r="L160" s="246" t="str">
        <f>VLOOKUP(A160,'Trips&amp;Operators'!$C$1:$G$99911,5,FALSE)</f>
        <v>MACDONALD THOMAS</v>
      </c>
      <c r="M160" s="225">
        <f t="shared" si="89"/>
        <v>1.1122685187729076E-2</v>
      </c>
      <c r="N160" s="226">
        <f t="shared" si="90"/>
        <v>16.016666670329869</v>
      </c>
      <c r="O160" s="226"/>
      <c r="P160" s="226"/>
      <c r="Q160" s="229"/>
      <c r="R160" s="243"/>
      <c r="S160" s="250">
        <f t="shared" si="91"/>
        <v>1</v>
      </c>
      <c r="T160" s="243" t="str">
        <f t="shared" si="92"/>
        <v>Southbound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 t="shared" si="93"/>
        <v>https://d0f6bd738d7f1b3e5a7ca70fe4ff75f0.us-east-1.aws.found.io/app/kibana#/discover/Steve-Slow-Train-Analysis-(2080s-and-2083s)?_g=(refreshInterval:(display:Off,pause:!f,section:0,value:0),time:(from:'2017-11-26T04:35:40-0700',mode:absolute,to:'2017-11-26T06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0" s="248" t="str">
        <f>IF(AA160&lt;VLOOKUP(AG160,Variables!$AC$3:$AD$8,2,FALSE),"Y","N")</f>
        <v>N</v>
      </c>
      <c r="X160" s="248">
        <f t="shared" si="94"/>
        <v>1556</v>
      </c>
      <c r="Y160" s="248">
        <f t="shared" si="95"/>
        <v>5.8611000000000004</v>
      </c>
      <c r="Z160" s="248">
        <f t="shared" si="96"/>
        <v>8.0399999999999999E-2</v>
      </c>
      <c r="AA160" s="248">
        <f t="shared" si="97"/>
        <v>5.7807000000000004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98"/>
        <v>1800</v>
      </c>
      <c r="AE160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60" s="235" t="str">
        <f t="shared" si="100"/>
        <v>"C:\Program Files (x86)\AstroGrep\AstroGrep.exe" /e /r /s /spath="%USERPROFILE%\AppData\Local\Temp\OnboardLogs" /stypes="app*4025*20171126*" /stext=" 12:.+((SYSTEM_STATE.+slice.+state.+changed )|(ment ac)|(multiple cpu faults)|(system.+state.+changed )|(\[timeout)|(PRM\|1\|D)|(kpr)|(kdp)|(train st.+moving)|(\|lc)|(penalty))"</v>
      </c>
      <c r="AG160" s="245" t="str">
        <f t="shared" si="101"/>
        <v>NW</v>
      </c>
      <c r="AH160" s="237" t="str">
        <f t="shared" si="102"/>
        <v>"%USERPROFILE%\Documents\GitHub\eaglep3\Utilities\RefineRTDCRunTimes.py" --tripid 1800-26 --locoid 4025 --swversion DE.1.0.9.0 --startMP 300:58611 --initTime 2017-11-26T05:35:40 --startdatetime 2017-11-26T05:38:59 --delay 151 --endMP 204:804 --enddatetime 2017-11-26T05:55:00 --enforcementcount 0 &gt;&gt;%USERPROFILE%\Documents\GitHub\eaglep3-reporting\EC\2017-11-26-refined-times.txt</v>
      </c>
      <c r="AI160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{"issue":{"subject":"","project_id":79,"tracker_id":40,"status_id":1,"priority_id":2,"assigned_to_id":338,"start_date":"2017-11-26","description":"","custom_fields":[{"id":1,"name":"Subdivision","value":"NW"},{"id":4,"name":"Milepost","value":"0.0804"},{"id":17,"name":"Train ID","value":"1800-26"},{"id":16,"name":"Locomotive ID","value":"4025"},{"id":130,"name":"Impact","value":""},{"id":150,"name":"Time of Event (Mountain Time)","value":"05:55:00"},{"id":151,"name":"Denver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104"/>
        <v>start /low /b %USERPROFILE%\Documents\GitHub\eaglep3\Utilities\DownloadLogsFromS3.py --loco 4025 --day 2017-11-26</v>
      </c>
      <c r="AN160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106"/>
        <v>https://d0f6bd738d7f1b3e5a7ca70fe4ff75f0.us-east-1.aws.found.io/app/kibana#/discover/Steve-Slow-Train-Analysis-(2080s-and-2083s)?_g=(refreshInterval:(display:Off,pause:!f,section:0,value:0),time:(from:'2017-11-26T04:35:40-0700',mode:absolute,to:'2017-11-26T06:55:00-0700'))&amp;_a=(columns:!('Message%20ID',Summary),filters:!(),index:'emp_*',interval:auto,query:(query_string:(analyze_wildcard:!t,query:'%22rtdc.l.rtdc.4025%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4" customFormat="1" x14ac:dyDescent="0.25">
      <c r="A161" s="230" t="s">
        <v>722</v>
      </c>
      <c r="B161" s="226">
        <v>4026</v>
      </c>
      <c r="C161" s="228" t="s">
        <v>192</v>
      </c>
      <c r="D161" s="228" t="s">
        <v>953</v>
      </c>
      <c r="E161" s="227">
        <v>43065.255358796298</v>
      </c>
      <c r="F161" s="227">
        <v>43065.256550925929</v>
      </c>
      <c r="G161" s="226">
        <v>52</v>
      </c>
      <c r="H161" s="228" t="s">
        <v>954</v>
      </c>
      <c r="I161" s="227">
        <v>43065.265798611108</v>
      </c>
      <c r="J161" s="226">
        <v>0</v>
      </c>
      <c r="K161" s="238" t="str">
        <f t="shared" si="88"/>
        <v>4025/4026</v>
      </c>
      <c r="L161" s="246" t="str">
        <f>VLOOKUP(A161,'Trips&amp;Operators'!$C$1:$G$99911,5,FALSE)</f>
        <v>MACDONALD THOMAS</v>
      </c>
      <c r="M161" s="225">
        <f t="shared" si="89"/>
        <v>9.2476851787068881E-3</v>
      </c>
      <c r="N161" s="226">
        <f t="shared" si="90"/>
        <v>13.316666657337919</v>
      </c>
      <c r="O161" s="226"/>
      <c r="P161" s="226"/>
      <c r="Q161" s="229"/>
      <c r="R161" s="243"/>
      <c r="S161" s="250">
        <f t="shared" si="91"/>
        <v>1</v>
      </c>
      <c r="T161" s="243" t="str">
        <f t="shared" si="92"/>
        <v>NorthBound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 t="shared" si="93"/>
        <v>https://d0f6bd738d7f1b3e5a7ca70fe4ff75f0.us-east-1.aws.found.io/app/kibana#/discover/Steve-Slow-Train-Analysis-(2080s-and-2083s)?_g=(refreshInterval:(display:Off,pause:!f,section:0,value:0),time:(from:'2017-11-26T05:07:43-0700',mode:absolute,to:'2017-11-26T07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248" t="str">
        <f>IF(AA161&lt;VLOOKUP(AG161,Variables!$AC$3:$AD$8,2,FALSE),"Y","N")</f>
        <v>N</v>
      </c>
      <c r="X161" s="248">
        <f t="shared" si="94"/>
        <v>1</v>
      </c>
      <c r="Y161" s="248">
        <f t="shared" si="95"/>
        <v>0.1086</v>
      </c>
      <c r="Z161" s="248">
        <f t="shared" si="96"/>
        <v>5.8917999999999999</v>
      </c>
      <c r="AA161" s="248">
        <f t="shared" si="97"/>
        <v>5.7831999999999999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98"/>
        <v>1801</v>
      </c>
      <c r="AE161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61" s="235" t="str">
        <f t="shared" si="100"/>
        <v>"C:\Program Files (x86)\AstroGrep\AstroGrep.exe" /e /r /s /spath="%USERPROFILE%\AppData\Local\Temp\OnboardLogs" /stypes="app*4026*20171126*" /stext=" 13:.+((SYSTEM_STATE.+slice.+state.+changed )|(ment ac)|(multiple cpu faults)|(system.+state.+changed )|(\[timeout)|(PRM\|1\|D)|(kpr)|(kdp)|(train st.+moving)|(\|lc)|(penalty))"</v>
      </c>
      <c r="AG161" s="245" t="str">
        <f t="shared" si="101"/>
        <v>NW</v>
      </c>
      <c r="AH161" s="237" t="str">
        <f t="shared" si="102"/>
        <v>"%USERPROFILE%\Documents\GitHub\eaglep3\Utilities\RefineRTDCRunTimes.py" --tripid 1801-26 --locoid 4026 --swversion DE.1.0.9.0 --startMP 204:1086 --initTime 2017-11-26T06:07:43 --startdatetime 2017-11-26T06:09:26 --delay 52 --endMP 300:58918 --enddatetime 2017-11-26T06:22:45 --enforcementcount 0 &gt;&gt;%USERPROFILE%\Documents\GitHub\eaglep3-reporting\EC\2017-11-26-refined-times.txt</v>
      </c>
      <c r="AI161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{"issue":{"subject":"","project_id":79,"tracker_id":40,"status_id":1,"priority_id":2,"assigned_to_id":338,"start_date":"2017-11-26","description":"","custom_fields":[{"id":1,"name":"Subdivision","value":"NW"},{"id":4,"name":"Milepost","value":"5.8918"},{"id":17,"name":"Train ID","value":"1801-26"},{"id":16,"name":"Locomotive ID","value":"4026"},{"id":130,"name":"Impact","value":""},{"id":150,"name":"Time of Event (Mountain Time)","value":"06:22:45"},{"id":151,"name":"Denver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2"/>
      <c r="AL161" s="232"/>
      <c r="AM161" s="241" t="str">
        <f t="shared" si="104"/>
        <v>start /low /b %USERPROFILE%\Documents\GitHub\eaglep3\Utilities\DownloadLogsFromS3.py --loco 4026 --day 2017-11-26</v>
      </c>
      <c r="AN161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106"/>
        <v>https://d0f6bd738d7f1b3e5a7ca70fe4ff75f0.us-east-1.aws.found.io/app/kibana#/discover/Steve-Slow-Train-Analysis-(2080s-and-2083s)?_g=(refreshInterval:(display:Off,pause:!f,section:0,value:0),time:(from:'2017-11-26T05:07:43-0700',mode:absolute,to:'2017-11-26T07:22:45-0700'))&amp;_a=(columns:!('Message%20ID',Summary),filters:!(),index:'emp_*',interval:auto,query:(query_string:(analyze_wildcard:!t,query:'%22rtdc.l.rtdc.4026%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30" t="s">
        <v>724</v>
      </c>
      <c r="B162" s="226">
        <v>4025</v>
      </c>
      <c r="C162" s="228" t="s">
        <v>192</v>
      </c>
      <c r="D162" s="228" t="s">
        <v>502</v>
      </c>
      <c r="E162" s="227">
        <v>43065.266412037039</v>
      </c>
      <c r="F162" s="227">
        <v>43065.279166666667</v>
      </c>
      <c r="G162" s="226">
        <v>47</v>
      </c>
      <c r="H162" s="228" t="s">
        <v>955</v>
      </c>
      <c r="I162" s="227">
        <v>43065.288182870368</v>
      </c>
      <c r="J162" s="226">
        <v>0</v>
      </c>
      <c r="K162" s="238" t="str">
        <f t="shared" si="88"/>
        <v>4025/4026</v>
      </c>
      <c r="L162" s="246" t="str">
        <f>VLOOKUP(A162,'Trips&amp;Operators'!$C$1:$G$99911,5,FALSE)</f>
        <v>MACDONALD THOMAS</v>
      </c>
      <c r="M162" s="225">
        <f t="shared" si="89"/>
        <v>9.0162037013215013E-3</v>
      </c>
      <c r="N162" s="226">
        <f t="shared" si="90"/>
        <v>12.983333329902962</v>
      </c>
      <c r="O162" s="226"/>
      <c r="P162" s="226"/>
      <c r="Q162" s="229"/>
      <c r="R162" s="243"/>
      <c r="S162" s="250">
        <f t="shared" si="91"/>
        <v>1</v>
      </c>
      <c r="T162" s="243" t="str">
        <f t="shared" si="92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93"/>
        <v>https://d0f6bd738d7f1b3e5a7ca70fe4ff75f0.us-east-1.aws.found.io/app/kibana#/discover/Steve-Slow-Train-Analysis-(2080s-and-2083s)?_g=(refreshInterval:(display:Off,pause:!f,section:0,value:0),time:(from:'2017-11-26T05:23:38-0700',mode:absolute,to:'2017-11-26T07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248" t="str">
        <f>IF(AA162&lt;VLOOKUP(AG162,Variables!$AC$3:$AD$8,2,FALSE),"Y","N")</f>
        <v>N</v>
      </c>
      <c r="X162" s="248">
        <f t="shared" si="94"/>
        <v>1</v>
      </c>
      <c r="Y162" s="248">
        <f t="shared" si="95"/>
        <v>5.8604000000000003</v>
      </c>
      <c r="Z162" s="248">
        <f t="shared" si="96"/>
        <v>8.1299999999999997E-2</v>
      </c>
      <c r="AA162" s="248">
        <f t="shared" si="97"/>
        <v>5.7791000000000006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98"/>
        <v>1802</v>
      </c>
      <c r="AE162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62" s="235" t="str">
        <f t="shared" si="100"/>
        <v>"C:\Program Files (x86)\AstroGrep\AstroGrep.exe" /e /r /s /spath="%USERPROFILE%\AppData\Local\Temp\OnboardLogs" /stypes="app*4025*20171126*" /stext=" 13:.+((SYSTEM_STATE.+slice.+state.+changed )|(ment ac)|(multiple cpu faults)|(system.+state.+changed )|(\[timeout)|(PRM\|1\|D)|(kpr)|(kdp)|(train st.+moving)|(\|lc)|(penalty))"</v>
      </c>
      <c r="AG162" s="245" t="str">
        <f t="shared" si="101"/>
        <v>NW</v>
      </c>
      <c r="AH162" s="237" t="str">
        <f t="shared" si="102"/>
        <v>"%USERPROFILE%\Documents\GitHub\eaglep3\Utilities\RefineRTDCRunTimes.py" --tripid 1802-26 --locoid 4025 --swversion DE.1.0.9.0 --startMP 300:58604 --initTime 2017-11-26T06:23:38 --startdatetime 2017-11-26T06:42:00 --delay 47 --endMP 204:813 --enddatetime 2017-11-26T06:54:59 --enforcementcount 0 &gt;&gt;%USERPROFILE%\Documents\GitHub\eaglep3-reporting\EC\2017-11-26-refined-times.txt</v>
      </c>
      <c r="AI162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{"issue":{"subject":"","project_id":79,"tracker_id":40,"status_id":1,"priority_id":2,"assigned_to_id":338,"start_date":"2017-11-26","description":"","custom_fields":[{"id":1,"name":"Subdivision","value":"NW"},{"id":4,"name":"Milepost","value":"0.0813"},{"id":17,"name":"Train ID","value":"1802-26"},{"id":16,"name":"Locomotive ID","value":"4025"},{"id":130,"name":"Impact","value":""},{"id":150,"name":"Time of Event (Mountain Time)","value":"06:54:59"},{"id":151,"name":"Denver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104"/>
        <v>start /low /b %USERPROFILE%\Documents\GitHub\eaglep3\Utilities\DownloadLogsFromS3.py --loco 4025 --day 2017-11-26</v>
      </c>
      <c r="AN162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106"/>
        <v>https://d0f6bd738d7f1b3e5a7ca70fe4ff75f0.us-east-1.aws.found.io/app/kibana#/discover/Steve-Slow-Train-Analysis-(2080s-and-2083s)?_g=(refreshInterval:(display:Off,pause:!f,section:0,value:0),time:(from:'2017-11-26T05:23:38-0700',mode:absolute,to:'2017-11-26T07:54:59-0700'))&amp;_a=(columns:!('Message%20ID',Summary),filters:!(),index:'emp_*',interval:auto,query:(query_string:(analyze_wildcard:!t,query:'%22rtdc.l.rtdc.4025%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30" t="s">
        <v>730</v>
      </c>
      <c r="B163" s="226">
        <v>4026</v>
      </c>
      <c r="C163" s="228" t="s">
        <v>192</v>
      </c>
      <c r="D163" s="228" t="s">
        <v>956</v>
      </c>
      <c r="E163" s="227">
        <v>43065.297546296293</v>
      </c>
      <c r="F163" s="227">
        <v>43065.298587962963</v>
      </c>
      <c r="G163" s="226">
        <v>46</v>
      </c>
      <c r="H163" s="228" t="s">
        <v>957</v>
      </c>
      <c r="I163" s="227">
        <v>43065.308425925927</v>
      </c>
      <c r="J163" s="226">
        <v>0</v>
      </c>
      <c r="K163" s="238" t="str">
        <f t="shared" si="88"/>
        <v>4025/4026</v>
      </c>
      <c r="L163" s="246" t="str">
        <f>VLOOKUP(A163,'Trips&amp;Operators'!$C$1:$G$99911,5,FALSE)</f>
        <v>MACDONALD THOMAS</v>
      </c>
      <c r="M163" s="225">
        <f t="shared" si="89"/>
        <v>9.8379629635019228E-3</v>
      </c>
      <c r="N163" s="226">
        <f t="shared" si="90"/>
        <v>14.166666667442769</v>
      </c>
      <c r="O163" s="226"/>
      <c r="P163" s="226"/>
      <c r="Q163" s="229"/>
      <c r="R163" s="243"/>
      <c r="S163" s="250">
        <f t="shared" si="91"/>
        <v>1</v>
      </c>
      <c r="T163" s="243" t="str">
        <f t="shared" si="92"/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93"/>
        <v>https://d0f6bd738d7f1b3e5a7ca70fe4ff75f0.us-east-1.aws.found.io/app/kibana#/discover/Steve-Slow-Train-Analysis-(2080s-and-2083s)?_g=(refreshInterval:(display:Off,pause:!f,section:0,value:0),time:(from:'2017-11-26T06:08:28-0700',mode:absolute,to:'2017-11-26T08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3" s="248" t="str">
        <f>IF(AA163&lt;VLOOKUP(AG163,Variables!$AC$3:$AD$8,2,FALSE),"Y","N")</f>
        <v>N</v>
      </c>
      <c r="X163" s="248">
        <f t="shared" si="94"/>
        <v>1</v>
      </c>
      <c r="Y163" s="248">
        <f t="shared" si="95"/>
        <v>0.11</v>
      </c>
      <c r="Z163" s="248">
        <f t="shared" si="96"/>
        <v>5.8910999999999998</v>
      </c>
      <c r="AA163" s="248">
        <f t="shared" si="97"/>
        <v>5.7810999999999995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98"/>
        <v>1803</v>
      </c>
      <c r="AE163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63" s="235" t="str">
        <f t="shared" si="100"/>
        <v>"C:\Program Files (x86)\AstroGrep\AstroGrep.exe" /e /r /s /spath="%USERPROFILE%\AppData\Local\Temp\OnboardLogs" /stypes="app*4026*20171126*" /stext=" 14:.+((SYSTEM_STATE.+slice.+state.+changed )|(ment ac)|(multiple cpu faults)|(system.+state.+changed )|(\[timeout)|(PRM\|1\|D)|(kpr)|(kdp)|(train st.+moving)|(\|lc)|(penalty))"</v>
      </c>
      <c r="AG163" s="245" t="str">
        <f t="shared" si="101"/>
        <v>NW</v>
      </c>
      <c r="AH163" s="237" t="str">
        <f t="shared" si="102"/>
        <v>"%USERPROFILE%\Documents\GitHub\eaglep3\Utilities\RefineRTDCRunTimes.py" --tripid 1803-26 --locoid 4026 --swversion DE.1.0.9.0 --startMP 204:1100 --initTime 2017-11-26T07:08:28 --startdatetime 2017-11-26T07:09:58 --delay 46 --endMP 300:58911 --enddatetime 2017-11-26T07:24:08 --enforcementcount 0 &gt;&gt;%USERPROFILE%\Documents\GitHub\eaglep3-reporting\EC\2017-11-26-refined-times.txt</v>
      </c>
      <c r="AI163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{"issue":{"subject":"","project_id":79,"tracker_id":40,"status_id":1,"priority_id":2,"assigned_to_id":338,"start_date":"2017-11-26","description":"","custom_fields":[{"id":1,"name":"Subdivision","value":"NW"},{"id":4,"name":"Milepost","value":"5.8911"},{"id":17,"name":"Train ID","value":"1803-26"},{"id":16,"name":"Locomotive ID","value":"4026"},{"id":130,"name":"Impact","value":""},{"id":150,"name":"Time of Event (Mountain Time)","value":"07:24:08"},{"id":151,"name":"Denver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104"/>
        <v>start /low /b %USERPROFILE%\Documents\GitHub\eaglep3\Utilities\DownloadLogsFromS3.py --loco 4026 --day 2017-11-26</v>
      </c>
      <c r="AN163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106"/>
        <v>https://d0f6bd738d7f1b3e5a7ca70fe4ff75f0.us-east-1.aws.found.io/app/kibana#/discover/Steve-Slow-Train-Analysis-(2080s-and-2083s)?_g=(refreshInterval:(display:Off,pause:!f,section:0,value:0),time:(from:'2017-11-26T06:08:28-0700',mode:absolute,to:'2017-11-26T08:24:08-0700'))&amp;_a=(columns:!('Message%20ID',Summary),filters:!(),index:'emp_*',interval:auto,query:(query_string:(analyze_wildcard:!t,query:'%22rtdc.l.rtdc.4026%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0" t="s">
        <v>733</v>
      </c>
      <c r="B164" s="226">
        <v>4025</v>
      </c>
      <c r="C164" s="228" t="s">
        <v>192</v>
      </c>
      <c r="D164" s="228" t="s">
        <v>958</v>
      </c>
      <c r="E164" s="227">
        <v>43065.309560185182</v>
      </c>
      <c r="F164" s="227">
        <v>43065.320833333331</v>
      </c>
      <c r="G164" s="226">
        <v>47</v>
      </c>
      <c r="H164" s="228" t="s">
        <v>959</v>
      </c>
      <c r="I164" s="227">
        <v>43065.329976851855</v>
      </c>
      <c r="J164" s="226">
        <v>0</v>
      </c>
      <c r="K164" s="238" t="str">
        <f t="shared" si="88"/>
        <v>4025/4026</v>
      </c>
      <c r="L164" s="246" t="str">
        <f>VLOOKUP(A164,'Trips&amp;Operators'!$C$1:$G$99911,5,FALSE)</f>
        <v>MACDONALD THOMAS</v>
      </c>
      <c r="M164" s="225">
        <f t="shared" si="89"/>
        <v>9.1435185240698047E-3</v>
      </c>
      <c r="N164" s="226">
        <f t="shared" si="90"/>
        <v>13.166666674660519</v>
      </c>
      <c r="O164" s="226"/>
      <c r="P164" s="226"/>
      <c r="Q164" s="229"/>
      <c r="R164" s="243"/>
      <c r="S164" s="250">
        <f t="shared" si="91"/>
        <v>1</v>
      </c>
      <c r="T164" s="243" t="str">
        <f t="shared" si="92"/>
        <v>Southbound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93"/>
        <v>https://d0f6bd738d7f1b3e5a7ca70fe4ff75f0.us-east-1.aws.found.io/app/kibana#/discover/Steve-Slow-Train-Analysis-(2080s-and-2083s)?_g=(refreshInterval:(display:Off,pause:!f,section:0,value:0),time:(from:'2017-11-26T06:25:46-0700',mode:absolute,to:'2017-11-26T08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4" s="248" t="str">
        <f>IF(AA164&lt;VLOOKUP(AG164,Variables!$AC$3:$AD$8,2,FALSE),"Y","N")</f>
        <v>N</v>
      </c>
      <c r="X164" s="248">
        <f t="shared" si="94"/>
        <v>1</v>
      </c>
      <c r="Y164" s="248">
        <f t="shared" si="95"/>
        <v>5.8601999999999999</v>
      </c>
      <c r="Z164" s="248">
        <f t="shared" si="96"/>
        <v>8.0600000000000005E-2</v>
      </c>
      <c r="AA164" s="248">
        <f t="shared" si="97"/>
        <v>5.7796000000000003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98"/>
        <v>1804</v>
      </c>
      <c r="AE164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64" s="235" t="str">
        <f t="shared" si="100"/>
        <v>"C:\Program Files (x86)\AstroGrep\AstroGrep.exe" /e /r /s /spath="%USERPROFILE%\AppData\Local\Temp\OnboardLogs" /stypes="app*4025*20171126*" /stext=" 14:.+((SYSTEM_STATE.+slice.+state.+changed )|(ment ac)|(multiple cpu faults)|(system.+state.+changed )|(\[timeout)|(PRM\|1\|D)|(kpr)|(kdp)|(train st.+moving)|(\|lc)|(penalty))"</v>
      </c>
      <c r="AG164" s="245" t="str">
        <f t="shared" si="101"/>
        <v>NW</v>
      </c>
      <c r="AH164" s="237" t="str">
        <f t="shared" si="102"/>
        <v>"%USERPROFILE%\Documents\GitHub\eaglep3\Utilities\RefineRTDCRunTimes.py" --tripid 1804-26 --locoid 4025 --swversion DE.1.0.9.0 --startMP 300:58602 --initTime 2017-11-26T07:25:46 --startdatetime 2017-11-26T07:42:00 --delay 47 --endMP 204:806 --enddatetime 2017-11-26T07:55:10 --enforcementcount 0 &gt;&gt;%USERPROFILE%\Documents\GitHub\eaglep3-reporting\EC\2017-11-26-refined-times.txt</v>
      </c>
      <c r="AI164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{"issue":{"subject":"","project_id":79,"tracker_id":40,"status_id":1,"priority_id":2,"assigned_to_id":338,"start_date":"2017-11-26","description":"","custom_fields":[{"id":1,"name":"Subdivision","value":"NW"},{"id":4,"name":"Milepost","value":"0.0806"},{"id":17,"name":"Train ID","value":"1804-26"},{"id":16,"name":"Locomotive ID","value":"4025"},{"id":130,"name":"Impact","value":""},{"id":150,"name":"Time of Event (Mountain Time)","value":"07:55:10"},{"id":151,"name":"Denver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104"/>
        <v>start /low /b %USERPROFILE%\Documents\GitHub\eaglep3\Utilities\DownloadLogsFromS3.py --loco 4025 --day 2017-11-26</v>
      </c>
      <c r="AN164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14:55:10"},{"id":29,"name":"Sharepoint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106"/>
        <v>https://d0f6bd738d7f1b3e5a7ca70fe4ff75f0.us-east-1.aws.found.io/app/kibana#/discover/Steve-Slow-Train-Analysis-(2080s-and-2083s)?_g=(refreshInterval:(display:Off,pause:!f,section:0,value:0),time:(from:'2017-11-26T06:25:46-0700',mode:absolute,to:'2017-11-26T08:55:10-0700'))&amp;_a=(columns:!('Message%20ID',Summary),filters:!(),index:'emp_*',interval:auto,query:(query_string:(analyze_wildcard:!t,query:'%22rtdc.l.rtdc.4025%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0" t="s">
        <v>739</v>
      </c>
      <c r="B165" s="226">
        <v>4026</v>
      </c>
      <c r="C165" s="228" t="s">
        <v>192</v>
      </c>
      <c r="D165" s="228" t="s">
        <v>960</v>
      </c>
      <c r="E165" s="227">
        <v>43065.336296296293</v>
      </c>
      <c r="F165" s="227">
        <v>43065.340092592596</v>
      </c>
      <c r="G165" s="226">
        <v>152</v>
      </c>
      <c r="H165" s="228" t="s">
        <v>961</v>
      </c>
      <c r="I165" s="227">
        <v>43065.35015046296</v>
      </c>
      <c r="J165" s="226">
        <v>0</v>
      </c>
      <c r="K165" s="238" t="str">
        <f t="shared" si="88"/>
        <v>4025/4026</v>
      </c>
      <c r="L165" s="246" t="str">
        <f>VLOOKUP(A165,'Trips&amp;Operators'!$C$1:$G$99911,5,FALSE)</f>
        <v>MACDONALD THOMAS</v>
      </c>
      <c r="M165" s="225">
        <f t="shared" si="89"/>
        <v>1.0057870364107657E-2</v>
      </c>
      <c r="N165" s="226">
        <f t="shared" si="90"/>
        <v>14.483333324315026</v>
      </c>
      <c r="O165" s="226"/>
      <c r="P165" s="226"/>
      <c r="Q165" s="229"/>
      <c r="R165" s="243"/>
      <c r="S165" s="250">
        <f t="shared" si="91"/>
        <v>1</v>
      </c>
      <c r="T165" s="243" t="str">
        <f t="shared" si="92"/>
        <v>NorthBound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93"/>
        <v>https://d0f6bd738d7f1b3e5a7ca70fe4ff75f0.us-east-1.aws.found.io/app/kibana#/discover/Steve-Slow-Train-Analysis-(2080s-and-2083s)?_g=(refreshInterval:(display:Off,pause:!f,section:0,value:0),time:(from:'2017-11-26T07:04:16-0700',mode:absolute,to:'2017-11-26T09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248" t="str">
        <f>IF(AA165&lt;VLOOKUP(AG165,Variables!$AC$3:$AD$8,2,FALSE),"Y","N")</f>
        <v>N</v>
      </c>
      <c r="X165" s="248">
        <f t="shared" si="94"/>
        <v>1</v>
      </c>
      <c r="Y165" s="248">
        <f t="shared" si="95"/>
        <v>0.11119999999999999</v>
      </c>
      <c r="Z165" s="248">
        <f t="shared" si="96"/>
        <v>5.8909000000000002</v>
      </c>
      <c r="AA165" s="248">
        <f t="shared" si="97"/>
        <v>5.7797000000000001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98"/>
        <v>1805</v>
      </c>
      <c r="AE165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65" s="235" t="str">
        <f t="shared" si="100"/>
        <v>"C:\Program Files (x86)\AstroGrep\AstroGrep.exe" /e /r /s /spath="%USERPROFILE%\AppData\Local\Temp\OnboardLogs" /stypes="app*4026*20171126*" /stext=" 15:.+((SYSTEM_STATE.+slice.+state.+changed )|(ment ac)|(multiple cpu faults)|(system.+state.+changed )|(\[timeout)|(PRM\|1\|D)|(kpr)|(kdp)|(train st.+moving)|(\|lc)|(penalty))"</v>
      </c>
      <c r="AG165" s="245" t="str">
        <f t="shared" si="101"/>
        <v>NW</v>
      </c>
      <c r="AH165" s="237" t="str">
        <f t="shared" si="102"/>
        <v>"%USERPROFILE%\Documents\GitHub\eaglep3\Utilities\RefineRTDCRunTimes.py" --tripid 1805-26 --locoid 4026 --swversion DE.1.0.9.0 --startMP 204:1112 --initTime 2017-11-26T08:04:16 --startdatetime 2017-11-26T08:09:44 --delay 152 --endMP 300:58909 --enddatetime 2017-11-26T08:24:13 --enforcementcount 0 &gt;&gt;%USERPROFILE%\Documents\GitHub\eaglep3-reporting\EC\2017-11-26-refined-times.txt</v>
      </c>
      <c r="AI165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{"issue":{"subject":"","project_id":79,"tracker_id":40,"status_id":1,"priority_id":2,"assigned_to_id":338,"start_date":"2017-11-26","description":"","custom_fields":[{"id":1,"name":"Subdivision","value":"NW"},{"id":4,"name":"Milepost","value":"5.8909"},{"id":17,"name":"Train ID","value":"1805-26"},{"id":16,"name":"Locomotive ID","value":"4026"},{"id":130,"name":"Impact","value":""},{"id":150,"name":"Time of Event (Mountain Time)","value":"08:24:13"},{"id":151,"name":"Denver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4"/>
      <c r="AK165" s="232"/>
      <c r="AL165" s="232"/>
      <c r="AM165" s="241" t="str">
        <f t="shared" si="104"/>
        <v>start /low /b %USERPROFILE%\Documents\GitHub\eaglep3\Utilities\DownloadLogsFromS3.py --loco 4026 --day 2017-11-26</v>
      </c>
      <c r="AN165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106"/>
        <v>https://d0f6bd738d7f1b3e5a7ca70fe4ff75f0.us-east-1.aws.found.io/app/kibana#/discover/Steve-Slow-Train-Analysis-(2080s-and-2083s)?_g=(refreshInterval:(display:Off,pause:!f,section:0,value:0),time:(from:'2017-11-26T07:04:16-0700',mode:absolute,to:'2017-11-26T09:24:13-0700'))&amp;_a=(columns:!('Message%20ID',Summary),filters:!(),index:'emp_*',interval:auto,query:(query_string:(analyze_wildcard:!t,query:'%22rtdc.l.rtdc.4026%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4" customFormat="1" x14ac:dyDescent="0.25">
      <c r="A166" s="230" t="s">
        <v>743</v>
      </c>
      <c r="B166" s="226">
        <v>4025</v>
      </c>
      <c r="C166" s="228" t="s">
        <v>192</v>
      </c>
      <c r="D166" s="228" t="s">
        <v>962</v>
      </c>
      <c r="E166" s="227">
        <v>43065.350949074076</v>
      </c>
      <c r="F166" s="227">
        <v>43065.362500000003</v>
      </c>
      <c r="G166" s="226">
        <v>68</v>
      </c>
      <c r="H166" s="228" t="s">
        <v>648</v>
      </c>
      <c r="I166" s="227">
        <v>43065.371458333335</v>
      </c>
      <c r="J166" s="226">
        <v>0</v>
      </c>
      <c r="K166" s="238" t="str">
        <f t="shared" si="88"/>
        <v>4025/4026</v>
      </c>
      <c r="L166" s="246" t="str">
        <f>VLOOKUP(A166,'Trips&amp;Operators'!$C$1:$G$99911,5,FALSE)</f>
        <v>MACDONALD THOMAS</v>
      </c>
      <c r="M166" s="225">
        <f t="shared" si="89"/>
        <v>8.9583333319751546E-3</v>
      </c>
      <c r="N166" s="226">
        <f t="shared" si="90"/>
        <v>12.899999998044223</v>
      </c>
      <c r="O166" s="226"/>
      <c r="P166" s="226"/>
      <c r="Q166" s="229"/>
      <c r="R166" s="243"/>
      <c r="S166" s="250">
        <f t="shared" si="91"/>
        <v>1</v>
      </c>
      <c r="T166" s="243" t="str">
        <f t="shared" si="92"/>
        <v>Southbound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93"/>
        <v>https://d0f6bd738d7f1b3e5a7ca70fe4ff75f0.us-east-1.aws.found.io/app/kibana#/discover/Steve-Slow-Train-Analysis-(2080s-and-2083s)?_g=(refreshInterval:(display:Off,pause:!f,section:0,value:0),time:(from:'2017-11-26T07:25:22-0700',mode:absolute,to:'2017-11-26T09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248" t="str">
        <f>IF(AA166&lt;VLOOKUP(AG166,Variables!$AC$3:$AD$8,2,FALSE),"Y","N")</f>
        <v>N</v>
      </c>
      <c r="X166" s="248">
        <f t="shared" si="94"/>
        <v>1</v>
      </c>
      <c r="Y166" s="248">
        <f t="shared" si="95"/>
        <v>5.8608000000000002</v>
      </c>
      <c r="Z166" s="248">
        <f t="shared" si="96"/>
        <v>7.9600000000000004E-2</v>
      </c>
      <c r="AA166" s="248">
        <f t="shared" si="97"/>
        <v>5.7812000000000001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98"/>
        <v>1806</v>
      </c>
      <c r="AE166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66" s="235" t="str">
        <f t="shared" si="100"/>
        <v>"C:\Program Files (x86)\AstroGrep\AstroGrep.exe" /e /r /s /spath="%USERPROFILE%\AppData\Local\Temp\OnboardLogs" /stypes="app*4025*20171126*" /stext=" 15:.+((SYSTEM_STATE.+slice.+state.+changed )|(ment ac)|(multiple cpu faults)|(system.+state.+changed )|(\[timeout)|(PRM\|1\|D)|(kpr)|(kdp)|(train st.+moving)|(\|lc)|(penalty))"</v>
      </c>
      <c r="AG166" s="245" t="str">
        <f t="shared" si="101"/>
        <v>NW</v>
      </c>
      <c r="AH166" s="237" t="str">
        <f t="shared" si="102"/>
        <v>"%USERPROFILE%\Documents\GitHub\eaglep3\Utilities\RefineRTDCRunTimes.py" --tripid 1806-26 --locoid 4025 --swversion DE.1.0.9.0 --startMP 300:58608 --initTime 2017-11-26T08:25:22 --startdatetime 2017-11-26T08:42:00 --delay 68 --endMP 204:796 --enddatetime 2017-11-26T08:54:54 --enforcementcount 0 &gt;&gt;%USERPROFILE%\Documents\GitHub\eaglep3-reporting\EC\2017-11-26-refined-times.txt</v>
      </c>
      <c r="AI166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{"issue":{"subject":"","project_id":79,"tracker_id":40,"status_id":1,"priority_id":2,"assigned_to_id":338,"start_date":"2017-11-26","description":"","custom_fields":[{"id":1,"name":"Subdivision","value":"NW"},{"id":4,"name":"Milepost","value":"0.0796"},{"id":17,"name":"Train ID","value":"1806-26"},{"id":16,"name":"Locomotive ID","value":"4025"},{"id":130,"name":"Impact","value":""},{"id":150,"name":"Time of Event (Mountain Time)","value":"08:54:54"},{"id":151,"name":"Denver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2"/>
      <c r="AL166" s="232"/>
      <c r="AM166" s="241" t="str">
        <f t="shared" si="104"/>
        <v>start /low /b %USERPROFILE%\Documents\GitHub\eaglep3\Utilities\DownloadLogsFromS3.py --loco 4025 --day 2017-11-26</v>
      </c>
      <c r="AN166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106"/>
        <v>https://d0f6bd738d7f1b3e5a7ca70fe4ff75f0.us-east-1.aws.found.io/app/kibana#/discover/Steve-Slow-Train-Analysis-(2080s-and-2083s)?_g=(refreshInterval:(display:Off,pause:!f,section:0,value:0),time:(from:'2017-11-26T07:25:22-0700',mode:absolute,to:'2017-11-26T09:54:54-0700'))&amp;_a=(columns:!('Message%20ID',Summary),filters:!(),index:'emp_*',interval:auto,query:(query_string:(analyze_wildcard:!t,query:'%22rtdc.l.rtdc.4025%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4" customFormat="1" x14ac:dyDescent="0.25">
      <c r="A167" s="230" t="s">
        <v>750</v>
      </c>
      <c r="B167" s="226">
        <v>4026</v>
      </c>
      <c r="C167" s="228" t="s">
        <v>192</v>
      </c>
      <c r="D167" s="228" t="s">
        <v>963</v>
      </c>
      <c r="E167" s="227">
        <v>43065.379525462966</v>
      </c>
      <c r="F167" s="227">
        <v>43065.381979166668</v>
      </c>
      <c r="G167" s="226">
        <v>79</v>
      </c>
      <c r="H167" s="228" t="s">
        <v>964</v>
      </c>
      <c r="I167" s="227">
        <v>43065.392002314817</v>
      </c>
      <c r="J167" s="226">
        <v>0</v>
      </c>
      <c r="K167" s="238" t="str">
        <f t="shared" si="88"/>
        <v>4025/4026</v>
      </c>
      <c r="L167" s="246" t="str">
        <f>VLOOKUP(A167,'Trips&amp;Operators'!$C$1:$G$99911,5,FALSE)</f>
        <v>MACDONALD THOMAS</v>
      </c>
      <c r="M167" s="225">
        <f t="shared" si="89"/>
        <v>1.0023148148320615E-2</v>
      </c>
      <c r="N167" s="226">
        <f t="shared" si="90"/>
        <v>14.433333333581686</v>
      </c>
      <c r="O167" s="226"/>
      <c r="P167" s="226"/>
      <c r="Q167" s="229"/>
      <c r="R167" s="243"/>
      <c r="S167" s="250">
        <f t="shared" si="91"/>
        <v>1</v>
      </c>
      <c r="T167" s="243" t="str">
        <f t="shared" si="92"/>
        <v>NorthBound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93"/>
        <v>https://d0f6bd738d7f1b3e5a7ca70fe4ff75f0.us-east-1.aws.found.io/app/kibana#/discover/Steve-Slow-Train-Analysis-(2080s-and-2083s)?_g=(refreshInterval:(display:Off,pause:!f,section:0,value:0),time:(from:'2017-11-26T08:06:31-0700',mode:absolute,to:'2017-11-26T10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248" t="str">
        <f>IF(AA167&lt;VLOOKUP(AG167,Variables!$AC$3:$AD$8,2,FALSE),"Y","N")</f>
        <v>N</v>
      </c>
      <c r="X167" s="248">
        <f t="shared" si="94"/>
        <v>1</v>
      </c>
      <c r="Y167" s="248">
        <f t="shared" si="95"/>
        <v>0.1081</v>
      </c>
      <c r="Z167" s="248">
        <f t="shared" si="96"/>
        <v>5.8925999999999998</v>
      </c>
      <c r="AA167" s="248">
        <f t="shared" si="97"/>
        <v>5.7844999999999995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98"/>
        <v>1807</v>
      </c>
      <c r="AE167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67" s="235" t="str">
        <f t="shared" si="100"/>
        <v>"C:\Program Files (x86)\AstroGrep\AstroGrep.exe" /e /r /s /spath="%USERPROFILE%\AppData\Local\Temp\OnboardLogs" /stypes="app*4026*20171126*" /stext=" 16:.+((SYSTEM_STATE.+slice.+state.+changed )|(ment ac)|(multiple cpu faults)|(system.+state.+changed )|(\[timeout)|(PRM\|1\|D)|(kpr)|(kdp)|(train st.+moving)|(\|lc)|(penalty))"</v>
      </c>
      <c r="AG167" s="245" t="str">
        <f t="shared" si="101"/>
        <v>NW</v>
      </c>
      <c r="AH167" s="237" t="str">
        <f t="shared" si="102"/>
        <v>"%USERPROFILE%\Documents\GitHub\eaglep3\Utilities\RefineRTDCRunTimes.py" --tripid 1807-26 --locoid 4026 --swversion DE.1.0.9.0 --startMP 204:1081 --initTime 2017-11-26T09:06:31 --startdatetime 2017-11-26T09:10:03 --delay 79 --endMP 300:58926 --enddatetime 2017-11-26T09:24:29 --enforcementcount 0 &gt;&gt;%USERPROFILE%\Documents\GitHub\eaglep3-reporting\EC\2017-11-26-refined-times.txt</v>
      </c>
      <c r="AI167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{"issue":{"subject":"","project_id":79,"tracker_id":40,"status_id":1,"priority_id":2,"assigned_to_id":338,"start_date":"2017-11-26","description":"","custom_fields":[{"id":1,"name":"Subdivision","value":"NW"},{"id":4,"name":"Milepost","value":"5.8926"},{"id":17,"name":"Train ID","value":"1807-26"},{"id":16,"name":"Locomotive ID","value":"4026"},{"id":130,"name":"Impact","value":""},{"id":150,"name":"Time of Event (Mountain Time)","value":"09:24:29"},{"id":151,"name":"Denver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2"/>
      <c r="AL167" s="232"/>
      <c r="AM167" s="241" t="str">
        <f t="shared" si="104"/>
        <v>start /low /b %USERPROFILE%\Documents\GitHub\eaglep3\Utilities\DownloadLogsFromS3.py --loco 4026 --day 2017-11-26</v>
      </c>
      <c r="AN167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106"/>
        <v>https://d0f6bd738d7f1b3e5a7ca70fe4ff75f0.us-east-1.aws.found.io/app/kibana#/discover/Steve-Slow-Train-Analysis-(2080s-and-2083s)?_g=(refreshInterval:(display:Off,pause:!f,section:0,value:0),time:(from:'2017-11-26T08:06:31-0700',mode:absolute,to:'2017-11-26T10:24:29-0700'))&amp;_a=(columns:!('Message%20ID',Summary),filters:!(),index:'emp_*',interval:auto,query:(query_string:(analyze_wildcard:!t,query:'%22rtdc.l.rtdc.4026%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752</v>
      </c>
      <c r="B168" s="226">
        <v>4025</v>
      </c>
      <c r="C168" s="228" t="s">
        <v>192</v>
      </c>
      <c r="D168" s="228" t="s">
        <v>965</v>
      </c>
      <c r="E168" s="227">
        <v>43065.392858796295</v>
      </c>
      <c r="F168" s="227">
        <v>43065.404166666667</v>
      </c>
      <c r="G168" s="226">
        <v>60</v>
      </c>
      <c r="H168" s="228" t="s">
        <v>966</v>
      </c>
      <c r="I168" s="227">
        <v>43065.413784722223</v>
      </c>
      <c r="J168" s="226">
        <v>0</v>
      </c>
      <c r="K168" s="238" t="str">
        <f t="shared" si="88"/>
        <v>4025/4026</v>
      </c>
      <c r="L168" s="246" t="str">
        <f>VLOOKUP(A168,'Trips&amp;Operators'!$C$1:$G$99911,5,FALSE)</f>
        <v>MACDONALD THOMAS</v>
      </c>
      <c r="M168" s="225">
        <f t="shared" si="89"/>
        <v>9.6180555556202307E-3</v>
      </c>
      <c r="N168" s="226">
        <f t="shared" si="90"/>
        <v>13.850000000093132</v>
      </c>
      <c r="O168" s="226"/>
      <c r="P168" s="226"/>
      <c r="Q168" s="229"/>
      <c r="R168" s="243"/>
      <c r="S168" s="250">
        <f t="shared" si="91"/>
        <v>1</v>
      </c>
      <c r="T168" s="243" t="str">
        <f t="shared" si="92"/>
        <v>Southbound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93"/>
        <v>https://d0f6bd738d7f1b3e5a7ca70fe4ff75f0.us-east-1.aws.found.io/app/kibana#/discover/Steve-Slow-Train-Analysis-(2080s-and-2083s)?_g=(refreshInterval:(display:Off,pause:!f,section:0,value:0),time:(from:'2017-11-26T08:25:43-0700',mode:absolute,to:'2017-11-26T10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248" t="str">
        <f>IF(AA168&lt;VLOOKUP(AG168,Variables!$AC$3:$AD$8,2,FALSE),"Y","N")</f>
        <v>N</v>
      </c>
      <c r="X168" s="248">
        <f t="shared" si="94"/>
        <v>1</v>
      </c>
      <c r="Y168" s="248">
        <f t="shared" si="95"/>
        <v>5.8605999999999998</v>
      </c>
      <c r="Z168" s="248">
        <f t="shared" si="96"/>
        <v>8.4500000000000006E-2</v>
      </c>
      <c r="AA168" s="248">
        <f t="shared" si="97"/>
        <v>5.7760999999999996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98"/>
        <v>1808</v>
      </c>
      <c r="AE168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68" s="235" t="str">
        <f t="shared" si="100"/>
        <v>"C:\Program Files (x86)\AstroGrep\AstroGrep.exe" /e /r /s /spath="%USERPROFILE%\AppData\Local\Temp\OnboardLogs" /stypes="app*4025*20171126*" /stext=" 16:.+((SYSTEM_STATE.+slice.+state.+changed )|(ment ac)|(multiple cpu faults)|(system.+state.+changed )|(\[timeout)|(PRM\|1\|D)|(kpr)|(kdp)|(train st.+moving)|(\|lc)|(penalty))"</v>
      </c>
      <c r="AG168" s="245" t="str">
        <f t="shared" si="101"/>
        <v>NW</v>
      </c>
      <c r="AH168" s="237" t="str">
        <f t="shared" si="102"/>
        <v>"%USERPROFILE%\Documents\GitHub\eaglep3\Utilities\RefineRTDCRunTimes.py" --tripid 1808-26 --locoid 4025 --swversion DE.1.0.9.0 --startMP 300:58606 --initTime 2017-11-26T09:25:43 --startdatetime 2017-11-26T09:42:00 --delay 60 --endMP 204:845 --enddatetime 2017-11-26T09:55:51 --enforcementcount 0 &gt;&gt;%USERPROFILE%\Documents\GitHub\eaglep3-reporting\EC\2017-11-26-refined-times.txt</v>
      </c>
      <c r="AI168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{"issue":{"subject":"","project_id":79,"tracker_id":40,"status_id":1,"priority_id":2,"assigned_to_id":338,"start_date":"2017-11-26","description":"","custom_fields":[{"id":1,"name":"Subdivision","value":"NW"},{"id":4,"name":"Milepost","value":"0.0845"},{"id":17,"name":"Train ID","value":"1808-26"},{"id":16,"name":"Locomotive ID","value":"4025"},{"id":130,"name":"Impact","value":""},{"id":150,"name":"Time of Event (Mountain Time)","value":"09:55:51"},{"id":151,"name":"Denver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104"/>
        <v>start /low /b %USERPROFILE%\Documents\GitHub\eaglep3\Utilities\DownloadLogsFromS3.py --loco 4025 --day 2017-11-26</v>
      </c>
      <c r="AN168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16:55:51"},{"id":29,"name":"Sharepoint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106"/>
        <v>https://d0f6bd738d7f1b3e5a7ca70fe4ff75f0.us-east-1.aws.found.io/app/kibana#/discover/Steve-Slow-Train-Analysis-(2080s-and-2083s)?_g=(refreshInterval:(display:Off,pause:!f,section:0,value:0),time:(from:'2017-11-26T08:25:43-0700',mode:absolute,to:'2017-11-26T10:55:51-0700'))&amp;_a=(columns:!('Message%20ID',Summary),filters:!(),index:'emp_*',interval:auto,query:(query_string:(analyze_wildcard:!t,query:'%22rtdc.l.rtdc.4025%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757</v>
      </c>
      <c r="B169" s="226">
        <v>4026</v>
      </c>
      <c r="C169" s="228" t="s">
        <v>192</v>
      </c>
      <c r="D169" s="228" t="s">
        <v>645</v>
      </c>
      <c r="E169" s="227">
        <v>43065.421076388891</v>
      </c>
      <c r="F169" s="227">
        <v>43065.423437500001</v>
      </c>
      <c r="G169" s="226">
        <v>104</v>
      </c>
      <c r="H169" s="228" t="s">
        <v>526</v>
      </c>
      <c r="I169" s="227">
        <v>43065.433125000003</v>
      </c>
      <c r="J169" s="226">
        <v>0</v>
      </c>
      <c r="K169" s="238" t="str">
        <f t="shared" si="88"/>
        <v>4025/4026</v>
      </c>
      <c r="L169" s="246" t="str">
        <f>VLOOKUP(A169,'Trips&amp;Operators'!$C$1:$G$99911,5,FALSE)</f>
        <v>MACDONALD THOMAS</v>
      </c>
      <c r="M169" s="225">
        <f t="shared" si="89"/>
        <v>9.6875000017462298E-3</v>
      </c>
      <c r="N169" s="226">
        <f t="shared" si="90"/>
        <v>13.950000002514571</v>
      </c>
      <c r="O169" s="226"/>
      <c r="P169" s="226"/>
      <c r="Q169" s="229"/>
      <c r="R169" s="243"/>
      <c r="S169" s="250">
        <f t="shared" si="91"/>
        <v>1</v>
      </c>
      <c r="T169" s="243" t="str">
        <f t="shared" si="92"/>
        <v>NorthBound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93"/>
        <v>https://d0f6bd738d7f1b3e5a7ca70fe4ff75f0.us-east-1.aws.found.io/app/kibana#/discover/Steve-Slow-Train-Analysis-(2080s-and-2083s)?_g=(refreshInterval:(display:Off,pause:!f,section:0,value:0),time:(from:'2017-11-26T09:06:21-0700',mode:absolute,to:'2017-11-26T11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248" t="str">
        <f>IF(AA169&lt;VLOOKUP(AG169,Variables!$AC$3:$AD$8,2,FALSE),"Y","N")</f>
        <v>N</v>
      </c>
      <c r="X169" s="248">
        <f t="shared" si="94"/>
        <v>1</v>
      </c>
      <c r="Y169" s="248">
        <f t="shared" si="95"/>
        <v>0.1128</v>
      </c>
      <c r="Z169" s="248">
        <f t="shared" si="96"/>
        <v>5.8924000000000003</v>
      </c>
      <c r="AA169" s="248">
        <f t="shared" si="97"/>
        <v>5.7796000000000003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98"/>
        <v>1809</v>
      </c>
      <c r="AE169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69" s="235" t="str">
        <f t="shared" si="100"/>
        <v>"C:\Program Files (x86)\AstroGrep\AstroGrep.exe" /e /r /s /spath="%USERPROFILE%\AppData\Local\Temp\OnboardLogs" /stypes="app*4026*20171126*" /stext=" 17:.+((SYSTEM_STATE.+slice.+state.+changed )|(ment ac)|(multiple cpu faults)|(system.+state.+changed )|(\[timeout)|(PRM\|1\|D)|(kpr)|(kdp)|(train st.+moving)|(\|lc)|(penalty))"</v>
      </c>
      <c r="AG169" s="245" t="str">
        <f t="shared" si="101"/>
        <v>NW</v>
      </c>
      <c r="AH169" s="237" t="str">
        <f t="shared" si="102"/>
        <v>"%USERPROFILE%\Documents\GitHub\eaglep3\Utilities\RefineRTDCRunTimes.py" --tripid 1809-26 --locoid 4026 --swversion DE.1.0.9.0 --startMP 204:1128 --initTime 2017-11-26T10:06:21 --startdatetime 2017-11-26T10:09:45 --delay 104 --endMP 300:58924 --enddatetime 2017-11-26T10:23:42 --enforcementcount 0 &gt;&gt;%USERPROFILE%\Documents\GitHub\eaglep3-reporting\EC\2017-11-26-refined-times.txt</v>
      </c>
      <c r="AI169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{"issue":{"subject":"","project_id":79,"tracker_id":40,"status_id":1,"priority_id":2,"assigned_to_id":338,"start_date":"2017-11-26","description":"","custom_fields":[{"id":1,"name":"Subdivision","value":"NW"},{"id":4,"name":"Milepost","value":"5.8924"},{"id":17,"name":"Train ID","value":"1809-26"},{"id":16,"name":"Locomotive ID","value":"4026"},{"id":130,"name":"Impact","value":""},{"id":150,"name":"Time of Event (Mountain Time)","value":"10:23:42"},{"id":151,"name":"Denver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104"/>
        <v>start /low /b %USERPROFILE%\Documents\GitHub\eaglep3\Utilities\DownloadLogsFromS3.py --loco 4026 --day 2017-11-26</v>
      </c>
      <c r="AN169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106"/>
        <v>https://d0f6bd738d7f1b3e5a7ca70fe4ff75f0.us-east-1.aws.found.io/app/kibana#/discover/Steve-Slow-Train-Analysis-(2080s-and-2083s)?_g=(refreshInterval:(display:Off,pause:!f,section:0,value:0),time:(from:'2017-11-26T09:06:21-0700',mode:absolute,to:'2017-11-26T11:23:42-0700'))&amp;_a=(columns:!('Message%20ID',Summary),filters:!(),index:'emp_*',interval:auto,query:(query_string:(analyze_wildcard:!t,query:'%22rtdc.l.rtdc.4026%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656</v>
      </c>
      <c r="B170" s="226">
        <v>4025</v>
      </c>
      <c r="C170" s="228" t="s">
        <v>192</v>
      </c>
      <c r="D170" s="228" t="s">
        <v>958</v>
      </c>
      <c r="E170" s="227">
        <v>43065.433749999997</v>
      </c>
      <c r="F170" s="227">
        <v>43065.446909722225</v>
      </c>
      <c r="G170" s="226">
        <v>57</v>
      </c>
      <c r="H170" s="228" t="s">
        <v>967</v>
      </c>
      <c r="I170" s="227">
        <v>43065.456192129626</v>
      </c>
      <c r="J170" s="226">
        <v>0</v>
      </c>
      <c r="K170" s="238" t="str">
        <f t="shared" si="88"/>
        <v>4025/4026</v>
      </c>
      <c r="L170" s="246" t="str">
        <f>VLOOKUP(A170,'Trips&amp;Operators'!$C$1:$G$99911,5,FALSE)</f>
        <v>MACDONALD THOMAS</v>
      </c>
      <c r="M170" s="225">
        <f t="shared" si="89"/>
        <v>9.2824074017698877E-3</v>
      </c>
      <c r="N170" s="226"/>
      <c r="O170" s="226"/>
      <c r="P170" s="226"/>
      <c r="Q170" s="229"/>
      <c r="R170" s="243"/>
      <c r="S170" s="250"/>
      <c r="T170" s="243" t="str">
        <f t="shared" si="92"/>
        <v>Southbound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249" t="str">
        <f t="shared" si="93"/>
        <v>https://d0f6bd738d7f1b3e5a7ca70fe4ff75f0.us-east-1.aws.found.io/app/kibana#/discover/Steve-Slow-Train-Analysis-(2080s-and-2083s)?_g=(refreshInterval:(display:Off,pause:!f,section:0,value:0),time:(from:'2017-11-26T09:24:36-0700',mode:absolute,to:'2017-11-26T11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248" t="str">
        <f>IF(AA170&lt;VLOOKUP(AG170,Variables!$AC$3:$AD$8,2,FALSE),"Y","N")</f>
        <v>Y</v>
      </c>
      <c r="X170" s="248">
        <f t="shared" si="94"/>
        <v>1</v>
      </c>
      <c r="Y170" s="248">
        <f t="shared" si="95"/>
        <v>5.8601999999999999</v>
      </c>
      <c r="Z170" s="248">
        <f t="shared" si="96"/>
        <v>5.7732000000000001</v>
      </c>
      <c r="AA170" s="248">
        <f t="shared" si="97"/>
        <v>8.6999999999999744E-2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98"/>
        <v>1810</v>
      </c>
      <c r="AE170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70" s="235" t="str">
        <f t="shared" si="100"/>
        <v>"C:\Program Files (x86)\AstroGrep\AstroGrep.exe" /e /r /s /spath="%USERPROFILE%\AppData\Local\Temp\OnboardLogs" /stypes="app*4025*20171126*" /stext=" 17:.+((SYSTEM_STATE.+slice.+state.+changed )|(ment ac)|(multiple cpu faults)|(system.+state.+changed )|(\[timeout)|(PRM\|1\|D)|(kpr)|(kdp)|(train st.+moving)|(\|lc)|(penalty))"</v>
      </c>
      <c r="AG170" s="245" t="str">
        <f t="shared" si="101"/>
        <v>NW</v>
      </c>
      <c r="AH170" s="237" t="str">
        <f t="shared" si="102"/>
        <v>"%USERPROFILE%\Documents\GitHub\eaglep3\Utilities\RefineRTDCRunTimes.py" --tripid 1810-26 --locoid 4025 --swversion DE.1.0.9.0 --startMP 300:58602 --initTime 2017-11-26T10:24:36 --startdatetime 2017-11-26T10:43:33 --delay 57 --endMP 300:57732 --enddatetime 2017-11-26T10:56:55 --enforcementcount 0 &gt;&gt;%USERPROFILE%\Documents\GitHub\eaglep3-reporting\EC\2017-11-26-refined-times.txt</v>
      </c>
      <c r="AI170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{"issue":{"subject":"","project_id":79,"tracker_id":40,"status_id":1,"priority_id":2,"assigned_to_id":338,"start_date":"2017-11-26","description":"","custom_fields":[{"id":1,"name":"Subdivision","value":"NW"},{"id":4,"name":"Milepost","value":"5.7732"},{"id":17,"name":"Train ID","value":"1810-26"},{"id":16,"name":"Locomotive ID","value":"4025"},{"id":130,"name":"Impact","value":""},{"id":150,"name":"Time of Event (Mountain Time)","value":"10:56:55"},{"id":151,"name":"Denver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104"/>
        <v>start /low /b %USERPROFILE%\Documents\GitHub\eaglep3\Utilities\DownloadLogsFromS3.py --loco 4025 --day 2017-11-26</v>
      </c>
      <c r="AN170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106"/>
        <v>https://d0f6bd738d7f1b3e5a7ca70fe4ff75f0.us-east-1.aws.found.io/app/kibana#/discover/Steve-Slow-Train-Analysis-(2080s-and-2083s)?_g=(refreshInterval:(display:Off,pause:!f,section:0,value:0),time:(from:'2017-11-26T09:24:36-0700',mode:absolute,to:'2017-11-26T11:56:55-0700'))&amp;_a=(columns:!('Message%20ID',Summary),filters:!(),index:'emp_*',interval:auto,query:(query_string:(analyze_wildcard:!t,query:'%22rtdc.l.rtdc.4025%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656</v>
      </c>
      <c r="B171" s="226">
        <v>4025</v>
      </c>
      <c r="C171" s="228" t="s">
        <v>192</v>
      </c>
      <c r="D171" s="228" t="s">
        <v>968</v>
      </c>
      <c r="E171" s="227">
        <v>43065.436516203707</v>
      </c>
      <c r="F171" s="227">
        <v>43065.446909722225</v>
      </c>
      <c r="G171" s="226">
        <v>39</v>
      </c>
      <c r="H171" s="228" t="s">
        <v>969</v>
      </c>
      <c r="I171" s="227">
        <v>43065.456192129626</v>
      </c>
      <c r="J171" s="226">
        <v>0</v>
      </c>
      <c r="K171" s="238" t="str">
        <f t="shared" si="88"/>
        <v>4025/4026</v>
      </c>
      <c r="L171" s="246" t="str">
        <f>VLOOKUP(A171,'Trips&amp;Operators'!$C$1:$G$99911,5,FALSE)</f>
        <v>MACDONALD THOMAS</v>
      </c>
      <c r="M171" s="225">
        <f t="shared" si="89"/>
        <v>9.2824074017698877E-3</v>
      </c>
      <c r="N171" s="226">
        <f t="shared" si="90"/>
        <v>13.366666658548638</v>
      </c>
      <c r="O171" s="226"/>
      <c r="P171" s="226"/>
      <c r="Q171" s="229"/>
      <c r="R171" s="243" t="s">
        <v>1082</v>
      </c>
      <c r="S171" s="250">
        <f t="shared" si="91"/>
        <v>1</v>
      </c>
      <c r="T171" s="243" t="str">
        <f t="shared" si="92"/>
        <v>Southbound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93"/>
        <v>https://d0f6bd738d7f1b3e5a7ca70fe4ff75f0.us-east-1.aws.found.io/app/kibana#/discover/Steve-Slow-Train-Analysis-(2080s-and-2083s)?_g=(refreshInterval:(display:Off,pause:!f,section:0,value:0),time:(from:'2017-11-26T09:28:35-0700',mode:absolute,to:'2017-11-26T11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248" t="str">
        <f>IF(AA171&lt;VLOOKUP(AG171,Variables!$AC$3:$AD$8,2,FALSE),"Y","N")</f>
        <v>Y</v>
      </c>
      <c r="X171" s="248">
        <f t="shared" si="94"/>
        <v>0</v>
      </c>
      <c r="Y171" s="248">
        <f t="shared" si="95"/>
        <v>5.7245999999999997</v>
      </c>
      <c r="Z171" s="248">
        <f t="shared" si="96"/>
        <v>8.3099999999999993E-2</v>
      </c>
      <c r="AA171" s="248">
        <f t="shared" si="97"/>
        <v>5.6414999999999997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98"/>
        <v>1810</v>
      </c>
      <c r="AE171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71" s="235" t="str">
        <f t="shared" si="100"/>
        <v>"C:\Program Files (x86)\AstroGrep\AstroGrep.exe" /e /r /s /spath="%USERPROFILE%\AppData\Local\Temp\OnboardLogs" /stypes="app*4025*20171126*" /stext=" 17:.+((SYSTEM_STATE.+slice.+state.+changed )|(ment ac)|(multiple cpu faults)|(system.+state.+changed )|(\[timeout)|(PRM\|1\|D)|(kpr)|(kdp)|(train st.+moving)|(\|lc)|(penalty))"</v>
      </c>
      <c r="AG171" s="245" t="str">
        <f t="shared" si="101"/>
        <v>NW</v>
      </c>
      <c r="AH171" s="237" t="str">
        <f t="shared" si="102"/>
        <v>"%USERPROFILE%\Documents\GitHub\eaglep3\Utilities\RefineRTDCRunTimes.py" --tripid 1810-26 --locoid 4025 --swversion DE.1.0.9.0 --startMP 300:57246 --initTime 2017-11-26T10:28:35 --startdatetime 2017-11-26T10:43:33 --delay 39 --endMP 204:831 --enddatetime 2017-11-26T10:56:55 --enforcementcount 0 &gt;&gt;%USERPROFILE%\Documents\GitHub\eaglep3-reporting\EC\2017-11-26-refined-times.txt</v>
      </c>
      <c r="AI171" s="239" t="str">
        <f t="shared" si="103"/>
        <v>echo {"issue":{"subject":"Onboard in-route failure delayed departure","project_id":79,"tracker_id":40,"status_id":1,"priority_id":2,"assigned_to_id":338,"start_date":"2017-11-26","description":"","custom_fields":[{"id":1,"name":"Subdivision","value":"NW"},{"id":4,"name":"Milepost","value":"0.0831"},{"id":17,"name":"Train ID","value":"1810-26"},{"id":16,"name":"Locomotive ID","value":"4025"},{"id":130,"name":"Impact","value":""},{"id":150,"name":"Time of Event (Mountain Time)","value":"10:56:55"},{"id":151,"name":"Denver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104"/>
        <v>start /low /b %USERPROFILE%\Documents\GitHub\eaglep3\Utilities\DownloadLogsFromS3.py --loco 4025 --day 2017-11-26</v>
      </c>
      <c r="AN171" s="242" t="str">
        <f t="shared" si="105"/>
        <v>echo {"issue":{"subject":"Onboard in-route failure delayed departure","project_id":30,"tracker_id":4,"status_id":1,"priority_id":1,"assigned_to_id":10,"start_date":"2017-11-26","description":"","custom_fields":[{"id":30,"name":"Category","value":"Issue"},{"id":3,"name":"Functional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17:56:55"},{"id":29,"name":"Sharepoint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106"/>
        <v>https://d0f6bd738d7f1b3e5a7ca70fe4ff75f0.us-east-1.aws.found.io/app/kibana#/discover/Steve-Slow-Train-Analysis-(2080s-and-2083s)?_g=(refreshInterval:(display:Off,pause:!f,section:0,value:0),time:(from:'2017-11-26T09:28:35-0700',mode:absolute,to:'2017-11-26T11:56:55-0700'))&amp;_a=(columns:!('Message%20ID',Summary),filters:!(),index:'emp_*',interval:auto,query:(query_string:(analyze_wildcard:!t,query:'%22rtdc.l.rtdc.4025%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0" t="s">
        <v>768</v>
      </c>
      <c r="B172" s="226">
        <v>4026</v>
      </c>
      <c r="C172" s="228" t="s">
        <v>192</v>
      </c>
      <c r="D172" s="228" t="s">
        <v>649</v>
      </c>
      <c r="E172" s="227">
        <v>43065.463576388887</v>
      </c>
      <c r="F172" s="227">
        <v>43065.465381944443</v>
      </c>
      <c r="G172" s="226">
        <v>68</v>
      </c>
      <c r="H172" s="228" t="s">
        <v>554</v>
      </c>
      <c r="I172" s="227">
        <v>43065.475439814814</v>
      </c>
      <c r="J172" s="226">
        <v>0</v>
      </c>
      <c r="K172" s="238" t="str">
        <f t="shared" si="88"/>
        <v>4025/4026</v>
      </c>
      <c r="L172" s="246" t="str">
        <f>VLOOKUP(A172,'Trips&amp;Operators'!$C$1:$G$99911,5,FALSE)</f>
        <v>MACDONALD THOMAS</v>
      </c>
      <c r="M172" s="225">
        <f t="shared" si="89"/>
        <v>1.0057870371383615E-2</v>
      </c>
      <c r="N172" s="226">
        <f t="shared" si="90"/>
        <v>14.483333334792405</v>
      </c>
      <c r="O172" s="226"/>
      <c r="P172" s="226"/>
      <c r="Q172" s="229"/>
      <c r="R172" s="243"/>
      <c r="S172" s="250">
        <f t="shared" si="91"/>
        <v>1</v>
      </c>
      <c r="T172" s="243" t="str">
        <f t="shared" si="92"/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93"/>
        <v>https://d0f6bd738d7f1b3e5a7ca70fe4ff75f0.us-east-1.aws.found.io/app/kibana#/discover/Steve-Slow-Train-Analysis-(2080s-and-2083s)?_g=(refreshInterval:(display:Off,pause:!f,section:0,value:0),time:(from:'2017-11-26T10:07:33-0700',mode:absolute,to:'2017-11-26T12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248" t="str">
        <f>IF(AA172&lt;VLOOKUP(AG172,Variables!$AC$3:$AD$8,2,FALSE),"Y","N")</f>
        <v>N</v>
      </c>
      <c r="X172" s="248">
        <f t="shared" si="94"/>
        <v>1</v>
      </c>
      <c r="Y172" s="248">
        <f t="shared" si="95"/>
        <v>0.1111</v>
      </c>
      <c r="Z172" s="248">
        <f t="shared" si="96"/>
        <v>5.8933</v>
      </c>
      <c r="AA172" s="248">
        <f t="shared" si="97"/>
        <v>5.7821999999999996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98"/>
        <v>1811</v>
      </c>
      <c r="AE172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72" s="235" t="str">
        <f t="shared" si="100"/>
        <v>"C:\Program Files (x86)\AstroGrep\AstroGrep.exe" /e /r /s /spath="%USERPROFILE%\AppData\Local\Temp\OnboardLogs" /stypes="app*4026*20171126*" /stext=" 18:.+((SYSTEM_STATE.+slice.+state.+changed )|(ment ac)|(multiple cpu faults)|(system.+state.+changed )|(\[timeout)|(PRM\|1\|D)|(kpr)|(kdp)|(train st.+moving)|(\|lc)|(penalty))"</v>
      </c>
      <c r="AG172" s="245" t="str">
        <f t="shared" si="101"/>
        <v>NW</v>
      </c>
      <c r="AH172" s="237" t="str">
        <f t="shared" si="102"/>
        <v>"%USERPROFILE%\Documents\GitHub\eaglep3\Utilities\RefineRTDCRunTimes.py" --tripid 1811-26 --locoid 4026 --swversion DE.1.0.9.0 --startMP 204:1111 --initTime 2017-11-26T11:07:33 --startdatetime 2017-11-26T11:10:09 --delay 68 --endMP 300:58933 --enddatetime 2017-11-26T11:24:38 --enforcementcount 0 &gt;&gt;%USERPROFILE%\Documents\GitHub\eaglep3-reporting\EC\2017-11-26-refined-times.txt</v>
      </c>
      <c r="AI172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{"issue":{"subject":"","project_id":79,"tracker_id":40,"status_id":1,"priority_id":2,"assigned_to_id":338,"start_date":"2017-11-26","description":"","custom_fields":[{"id":1,"name":"Subdivision","value":"NW"},{"id":4,"name":"Milepost","value":"5.8933"},{"id":17,"name":"Train ID","value":"1811-26"},{"id":16,"name":"Locomotive ID","value":"4026"},{"id":130,"name":"Impact","value":""},{"id":150,"name":"Time of Event (Mountain Time)","value":"11:24:38"},{"id":151,"name":"Denver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104"/>
        <v>start /low /b %USERPROFILE%\Documents\GitHub\eaglep3\Utilities\DownloadLogsFromS3.py --loco 4026 --day 2017-11-26</v>
      </c>
      <c r="AN172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106"/>
        <v>https://d0f6bd738d7f1b3e5a7ca70fe4ff75f0.us-east-1.aws.found.io/app/kibana#/discover/Steve-Slow-Train-Analysis-(2080s-and-2083s)?_g=(refreshInterval:(display:Off,pause:!f,section:0,value:0),time:(from:'2017-11-26T10:07:33-0700',mode:absolute,to:'2017-11-26T12:24:38-0700'))&amp;_a=(columns:!('Message%20ID',Summary),filters:!(),index:'emp_*',interval:auto,query:(query_string:(analyze_wildcard:!t,query:'%22rtdc.l.rtdc.4026%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772</v>
      </c>
      <c r="B173" s="226">
        <v>4025</v>
      </c>
      <c r="C173" s="228" t="s">
        <v>192</v>
      </c>
      <c r="D173" s="228" t="s">
        <v>965</v>
      </c>
      <c r="E173" s="227">
        <v>43065.476238425923</v>
      </c>
      <c r="F173" s="227">
        <v>43065.487500000003</v>
      </c>
      <c r="G173" s="226">
        <v>42</v>
      </c>
      <c r="H173" s="228" t="s">
        <v>970</v>
      </c>
      <c r="I173" s="227">
        <v>43065.496527777781</v>
      </c>
      <c r="J173" s="226">
        <v>0</v>
      </c>
      <c r="K173" s="238" t="str">
        <f t="shared" si="88"/>
        <v>4025/4026</v>
      </c>
      <c r="L173" s="246" t="str">
        <f>VLOOKUP(A173,'Trips&amp;Operators'!$C$1:$G$99911,5,FALSE)</f>
        <v>MACDONALD THOMAS</v>
      </c>
      <c r="M173" s="225">
        <f t="shared" si="89"/>
        <v>9.0277777781011537E-3</v>
      </c>
      <c r="N173" s="226">
        <f t="shared" si="90"/>
        <v>13.000000000465661</v>
      </c>
      <c r="O173" s="226"/>
      <c r="P173" s="226"/>
      <c r="Q173" s="229"/>
      <c r="R173" s="243"/>
      <c r="S173" s="250">
        <f t="shared" si="91"/>
        <v>1</v>
      </c>
      <c r="T173" s="243" t="str">
        <f t="shared" si="92"/>
        <v>Southbound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93"/>
        <v>https://d0f6bd738d7f1b3e5a7ca70fe4ff75f0.us-east-1.aws.found.io/app/kibana#/discover/Steve-Slow-Train-Analysis-(2080s-and-2083s)?_g=(refreshInterval:(display:Off,pause:!f,section:0,value:0),time:(from:'2017-11-26T10:25:47-0700',mode:absolute,to:'2017-11-26T12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248" t="str">
        <f>IF(AA173&lt;VLOOKUP(AG173,Variables!$AC$3:$AD$8,2,FALSE),"Y","N")</f>
        <v>N</v>
      </c>
      <c r="X173" s="248">
        <f t="shared" si="94"/>
        <v>1</v>
      </c>
      <c r="Y173" s="248">
        <f t="shared" si="95"/>
        <v>5.8605999999999998</v>
      </c>
      <c r="Z173" s="248">
        <f t="shared" si="96"/>
        <v>8.5900000000000004E-2</v>
      </c>
      <c r="AA173" s="248">
        <f t="shared" si="97"/>
        <v>5.7747000000000002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98"/>
        <v>1812</v>
      </c>
      <c r="AE173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73" s="235" t="str">
        <f t="shared" si="100"/>
        <v>"C:\Program Files (x86)\AstroGrep\AstroGrep.exe" /e /r /s /spath="%USERPROFILE%\AppData\Local\Temp\OnboardLogs" /stypes="app*4025*20171126*" /stext=" 18:.+((SYSTEM_STATE.+slice.+state.+changed )|(ment ac)|(multiple cpu faults)|(system.+state.+changed )|(\[timeout)|(PRM\|1\|D)|(kpr)|(kdp)|(train st.+moving)|(\|lc)|(penalty))"</v>
      </c>
      <c r="AG173" s="245" t="str">
        <f t="shared" si="101"/>
        <v>NW</v>
      </c>
      <c r="AH173" s="237" t="str">
        <f t="shared" si="102"/>
        <v>"%USERPROFILE%\Documents\GitHub\eaglep3\Utilities\RefineRTDCRunTimes.py" --tripid 1812-26 --locoid 4025 --swversion DE.1.0.9.0 --startMP 300:58606 --initTime 2017-11-26T11:25:47 --startdatetime 2017-11-26T11:42:00 --delay 42 --endMP 204:859 --enddatetime 2017-11-26T11:55:00 --enforcementcount 0 &gt;&gt;%USERPROFILE%\Documents\GitHub\eaglep3-reporting\EC\2017-11-26-refined-times.txt</v>
      </c>
      <c r="AI173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{"issue":{"subject":"","project_id":79,"tracker_id":40,"status_id":1,"priority_id":2,"assigned_to_id":338,"start_date":"2017-11-26","description":"","custom_fields":[{"id":1,"name":"Subdivision","value":"NW"},{"id":4,"name":"Milepost","value":"0.0859"},{"id":17,"name":"Train ID","value":"1812-26"},{"id":16,"name":"Locomotive ID","value":"4025"},{"id":130,"name":"Impact","value":""},{"id":150,"name":"Time of Event (Mountain Time)","value":"11:55:00"},{"id":151,"name":"Denver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104"/>
        <v>start /low /b %USERPROFILE%\Documents\GitHub\eaglep3\Utilities\DownloadLogsFromS3.py --loco 4025 --day 2017-11-26</v>
      </c>
      <c r="AN173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106"/>
        <v>https://d0f6bd738d7f1b3e5a7ca70fe4ff75f0.us-east-1.aws.found.io/app/kibana#/discover/Steve-Slow-Train-Analysis-(2080s-and-2083s)?_g=(refreshInterval:(display:Off,pause:!f,section:0,value:0),time:(from:'2017-11-26T10:25:47-0700',mode:absolute,to:'2017-11-26T12:55:00-0700'))&amp;_a=(columns:!('Message%20ID',Summary),filters:!(),index:'emp_*',interval:auto,query:(query_string:(analyze_wildcard:!t,query:'%22rtdc.l.rtdc.4025%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777</v>
      </c>
      <c r="B174" s="226">
        <v>4026</v>
      </c>
      <c r="C174" s="228" t="s">
        <v>192</v>
      </c>
      <c r="D174" s="228" t="s">
        <v>971</v>
      </c>
      <c r="E174" s="227">
        <v>43065.50445601852</v>
      </c>
      <c r="F174" s="227">
        <v>43065.511296296296</v>
      </c>
      <c r="G174" s="226">
        <v>51</v>
      </c>
      <c r="H174" s="228" t="s">
        <v>972</v>
      </c>
      <c r="I174" s="227">
        <v>43065.521064814813</v>
      </c>
      <c r="J174" s="226">
        <v>0</v>
      </c>
      <c r="K174" s="238" t="str">
        <f t="shared" si="88"/>
        <v>4025/4026</v>
      </c>
      <c r="L174" s="246" t="str">
        <f>VLOOKUP(A174,'Trips&amp;Operators'!$C$1:$G$99911,5,FALSE)</f>
        <v>MACDONALD THOMAS</v>
      </c>
      <c r="M174" s="225">
        <f t="shared" si="89"/>
        <v>9.7685185173759237E-3</v>
      </c>
      <c r="N174" s="226"/>
      <c r="O174" s="226"/>
      <c r="P174" s="226"/>
      <c r="Q174" s="229"/>
      <c r="R174" s="243"/>
      <c r="S174" s="250"/>
      <c r="T174" s="243" t="str">
        <f t="shared" si="92"/>
        <v>NorthBound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249" t="str">
        <f t="shared" si="93"/>
        <v>https://d0f6bd738d7f1b3e5a7ca70fe4ff75f0.us-east-1.aws.found.io/app/kibana#/discover/Steve-Slow-Train-Analysis-(2080s-and-2083s)?_g=(refreshInterval:(display:Off,pause:!f,section:0,value:0),time:(from:'2017-11-26T11:06:25-0700',mode:absolute,to:'2017-11-26T13:30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248" t="str">
        <f>IF(AA174&lt;VLOOKUP(AG174,Variables!$AC$3:$AD$8,2,FALSE),"Y","N")</f>
        <v>Y</v>
      </c>
      <c r="X174" s="248">
        <f t="shared" si="94"/>
        <v>1</v>
      </c>
      <c r="Y174" s="248">
        <f t="shared" si="95"/>
        <v>0.1153</v>
      </c>
      <c r="Z174" s="248">
        <f t="shared" si="96"/>
        <v>0.1154</v>
      </c>
      <c r="AA174" s="248">
        <f t="shared" si="97"/>
        <v>1.0000000000000286E-4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98"/>
        <v>1813</v>
      </c>
      <c r="AE174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74" s="235" t="str">
        <f t="shared" si="100"/>
        <v>"C:\Program Files (x86)\AstroGrep\AstroGrep.exe" /e /r /s /spath="%USERPROFILE%\AppData\Local\Temp\OnboardLogs" /stypes="app*4026*20171126*" /stext=" 19:.+((SYSTEM_STATE.+slice.+state.+changed )|(ment ac)|(multiple cpu faults)|(system.+state.+changed )|(\[timeout)|(PRM\|1\|D)|(kpr)|(kdp)|(train st.+moving)|(\|lc)|(penalty))"</v>
      </c>
      <c r="AG174" s="245" t="str">
        <f t="shared" si="101"/>
        <v>NW</v>
      </c>
      <c r="AH174" s="237" t="str">
        <f t="shared" si="102"/>
        <v>"%USERPROFILE%\Documents\GitHub\eaglep3\Utilities\RefineRTDCRunTimes.py" --tripid 1813-26 --locoid 4026 --swversion DE.1.0.9.0 --startMP 204:1153 --initTime 2017-11-26T12:06:25 --startdatetime 2017-11-26T12:16:16 --delay 51 --endMP 204:1154 --enddatetime 2017-11-26T12:30:20 --enforcementcount 0 &gt;&gt;%USERPROFILE%\Documents\GitHub\eaglep3-reporting\EC\2017-11-26-refined-times.txt</v>
      </c>
      <c r="AI174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{"issue":{"subject":"","project_id":79,"tracker_id":40,"status_id":1,"priority_id":2,"assigned_to_id":338,"start_date":"2017-11-26","description":"","custom_fields":[{"id":1,"name":"Subdivision","value":"NW"},{"id":4,"name":"Milepost","value":"0.1154"},{"id":17,"name":"Train ID","value":"1813-26"},{"id":16,"name":"Locomotive ID","value":"4026"},{"id":130,"name":"Impact","value":""},{"id":150,"name":"Time of Event (Mountain Time)","value":"12:30:20"},{"id":151,"name":"Denver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104"/>
        <v>start /low /b %USERPROFILE%\Documents\GitHub\eaglep3\Utilities\DownloadLogsFromS3.py --loco 4026 --day 2017-11-26</v>
      </c>
      <c r="AN174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19:30:20"},{"id":29,"name":"Sharepoint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106"/>
        <v>https://d0f6bd738d7f1b3e5a7ca70fe4ff75f0.us-east-1.aws.found.io/app/kibana#/discover/Steve-Slow-Train-Analysis-(2080s-and-2083s)?_g=(refreshInterval:(display:Off,pause:!f,section:0,value:0),time:(from:'2017-11-26T11:06:25-0700',mode:absolute,to:'2017-11-26T13:30:20-0700'))&amp;_a=(columns:!('Message%20ID',Summary),filters:!(),index:'emp_*',interval:auto,query:(query_string:(analyze_wildcard:!t,query:'%22rtdc.l.rtdc.4026%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777</v>
      </c>
      <c r="B175" s="226">
        <v>4026</v>
      </c>
      <c r="C175" s="228" t="s">
        <v>192</v>
      </c>
      <c r="D175" s="228" t="s">
        <v>973</v>
      </c>
      <c r="E175" s="227">
        <v>43065.506469907406</v>
      </c>
      <c r="F175" s="227">
        <v>43065.511296296296</v>
      </c>
      <c r="G175" s="226">
        <v>39</v>
      </c>
      <c r="H175" s="228" t="s">
        <v>526</v>
      </c>
      <c r="I175" s="227">
        <v>43065.521064814813</v>
      </c>
      <c r="J175" s="226">
        <v>0</v>
      </c>
      <c r="K175" s="238" t="str">
        <f t="shared" si="88"/>
        <v>4025/4026</v>
      </c>
      <c r="L175" s="246" t="str">
        <f>VLOOKUP(A175,'Trips&amp;Operators'!$C$1:$G$99911,5,FALSE)</f>
        <v>MACDONALD THOMAS</v>
      </c>
      <c r="M175" s="225">
        <f t="shared" si="89"/>
        <v>9.7685185173759237E-3</v>
      </c>
      <c r="N175" s="226">
        <f t="shared" si="90"/>
        <v>14.06666666502133</v>
      </c>
      <c r="O175" s="226"/>
      <c r="P175" s="226"/>
      <c r="Q175" s="229"/>
      <c r="R175" s="243"/>
      <c r="S175" s="250">
        <f t="shared" si="91"/>
        <v>1</v>
      </c>
      <c r="T175" s="243" t="str">
        <f t="shared" si="92"/>
        <v>NorthBound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93"/>
        <v>https://d0f6bd738d7f1b3e5a7ca70fe4ff75f0.us-east-1.aws.found.io/app/kibana#/discover/Steve-Slow-Train-Analysis-(2080s-and-2083s)?_g=(refreshInterval:(display:Off,pause:!f,section:0,value:0),time:(from:'2017-11-26T11:09:19-0700',mode:absolute,to:'2017-11-26T13:30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248" t="str">
        <f>IF(AA175&lt;VLOOKUP(AG175,Variables!$AC$3:$AD$8,2,FALSE),"Y","N")</f>
        <v>N</v>
      </c>
      <c r="X175" s="248">
        <f t="shared" si="94"/>
        <v>0</v>
      </c>
      <c r="Y175" s="248">
        <f t="shared" si="95"/>
        <v>0.11459999999999999</v>
      </c>
      <c r="Z175" s="248">
        <f t="shared" si="96"/>
        <v>5.8924000000000003</v>
      </c>
      <c r="AA175" s="248">
        <f t="shared" si="97"/>
        <v>5.7778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98"/>
        <v>1813</v>
      </c>
      <c r="AE175" s="236" t="str">
        <f t="shared" si="99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75" s="235" t="str">
        <f t="shared" si="100"/>
        <v>"C:\Program Files (x86)\AstroGrep\AstroGrep.exe" /e /r /s /spath="%USERPROFILE%\AppData\Local\Temp\OnboardLogs" /stypes="app*4026*20171126*" /stext=" 19:.+((SYSTEM_STATE.+slice.+state.+changed )|(ment ac)|(multiple cpu faults)|(system.+state.+changed )|(\[timeout)|(PRM\|1\|D)|(kpr)|(kdp)|(train st.+moving)|(\|lc)|(penalty))"</v>
      </c>
      <c r="AG175" s="245" t="str">
        <f t="shared" si="101"/>
        <v>NW</v>
      </c>
      <c r="AH175" s="237" t="str">
        <f t="shared" si="102"/>
        <v>"%USERPROFILE%\Documents\GitHub\eaglep3\Utilities\RefineRTDCRunTimes.py" --tripid 1813-26 --locoid 4026 --swversion DE.1.0.9.0 --startMP 204:1146 --initTime 2017-11-26T12:09:19 --startdatetime 2017-11-26T12:16:16 --delay 39 --endMP 300:58924 --enddatetime 2017-11-26T12:30:20 --enforcementcount 0 &gt;&gt;%USERPROFILE%\Documents\GitHub\eaglep3-reporting\EC\2017-11-26-refined-times.txt</v>
      </c>
      <c r="AI175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{"issue":{"subject":"","project_id":79,"tracker_id":40,"status_id":1,"priority_id":2,"assigned_to_id":338,"start_date":"2017-11-26","description":"","custom_fields":[{"id":1,"name":"Subdivision","value":"NW"},{"id":4,"name":"Milepost","value":"5.8924"},{"id":17,"name":"Train ID","value":"1813-26"},{"id":16,"name":"Locomotive ID","value":"4026"},{"id":130,"name":"Impact","value":""},{"id":150,"name":"Time of Event (Mountain Time)","value":"12:30:20"},{"id":151,"name":"Denver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104"/>
        <v>start /low /b %USERPROFILE%\Documents\GitHub\eaglep3\Utilities\DownloadLogsFromS3.py --loco 4026 --day 2017-11-26</v>
      </c>
      <c r="AN175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19:30:20"},{"id":29,"name":"Sharepoint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106"/>
        <v>https://d0f6bd738d7f1b3e5a7ca70fe4ff75f0.us-east-1.aws.found.io/app/kibana#/discover/Steve-Slow-Train-Analysis-(2080s-and-2083s)?_g=(refreshInterval:(display:Off,pause:!f,section:0,value:0),time:(from:'2017-11-26T11:09:19-0700',mode:absolute,to:'2017-11-26T13:30:20-0700'))&amp;_a=(columns:!('Message%20ID',Summary),filters:!(),index:'emp_*',interval:auto,query:(query_string:(analyze_wildcard:!t,query:'%22rtdc.l.rtdc.4026%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784</v>
      </c>
      <c r="B176" s="226">
        <v>4025</v>
      </c>
      <c r="C176" s="228" t="s">
        <v>192</v>
      </c>
      <c r="D176" s="228" t="s">
        <v>962</v>
      </c>
      <c r="E176" s="227">
        <v>43065.522233796299</v>
      </c>
      <c r="F176" s="227">
        <v>43065.529166666667</v>
      </c>
      <c r="G176" s="226">
        <v>47</v>
      </c>
      <c r="H176" s="228" t="s">
        <v>974</v>
      </c>
      <c r="I176" s="227">
        <v>43065.538518518515</v>
      </c>
      <c r="J176" s="226">
        <v>0</v>
      </c>
      <c r="K176" s="238" t="str">
        <f t="shared" si="88"/>
        <v>4025/4026</v>
      </c>
      <c r="L176" s="246" t="str">
        <f>VLOOKUP(A176,'Trips&amp;Operators'!$C$1:$G$99911,5,FALSE)</f>
        <v>MACDONALD THOMAS</v>
      </c>
      <c r="M176" s="225">
        <f t="shared" si="89"/>
        <v>9.3518518478958867E-3</v>
      </c>
      <c r="N176" s="226">
        <f t="shared" si="90"/>
        <v>13.466666660970077</v>
      </c>
      <c r="O176" s="226"/>
      <c r="P176" s="226"/>
      <c r="Q176" s="229"/>
      <c r="R176" s="243"/>
      <c r="S176" s="250">
        <f t="shared" si="91"/>
        <v>1</v>
      </c>
      <c r="T176" s="243" t="str">
        <f t="shared" si="92"/>
        <v>Southbound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93"/>
        <v>https://d0f6bd738d7f1b3e5a7ca70fe4ff75f0.us-east-1.aws.found.io/app/kibana#/discover/Steve-Slow-Train-Analysis-(2080s-and-2083s)?_g=(refreshInterval:(display:Off,pause:!f,section:0,value:0),time:(from:'2017-11-26T11:32:01-0700',mode:absolute,to:'2017-11-26T13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248" t="str">
        <f>IF(AA176&lt;VLOOKUP(AG176,Variables!$AC$3:$AD$8,2,FALSE),"Y","N")</f>
        <v>N</v>
      </c>
      <c r="X176" s="248">
        <f t="shared" si="94"/>
        <v>1</v>
      </c>
      <c r="Y176" s="248">
        <f t="shared" si="95"/>
        <v>5.8608000000000002</v>
      </c>
      <c r="Z176" s="248">
        <f t="shared" si="96"/>
        <v>8.9899999999999994E-2</v>
      </c>
      <c r="AA176" s="248">
        <f t="shared" si="97"/>
        <v>5.7709000000000001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98"/>
        <v>1814</v>
      </c>
      <c r="AE176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76" s="235" t="str">
        <f t="shared" si="100"/>
        <v>"C:\Program Files (x86)\AstroGrep\AstroGrep.exe" /e /r /s /spath="%USERPROFILE%\AppData\Local\Temp\OnboardLogs" /stypes="app*4025*20171126*" /stext=" 19:.+((SYSTEM_STATE.+slice.+state.+changed )|(ment ac)|(multiple cpu faults)|(system.+state.+changed )|(\[timeout)|(PRM\|1\|D)|(kpr)|(kdp)|(train st.+moving)|(\|lc)|(penalty))"</v>
      </c>
      <c r="AG176" s="245" t="str">
        <f t="shared" si="101"/>
        <v>NW</v>
      </c>
      <c r="AH176" s="237" t="str">
        <f t="shared" si="102"/>
        <v>"%USERPROFILE%\Documents\GitHub\eaglep3\Utilities\RefineRTDCRunTimes.py" --tripid 1814-26 --locoid 4025 --swversion DE.1.0.9.0 --startMP 300:58608 --initTime 2017-11-26T12:32:01 --startdatetime 2017-11-26T12:42:00 --delay 47 --endMP 204:899 --enddatetime 2017-11-26T12:55:28 --enforcementcount 0 &gt;&gt;%USERPROFILE%\Documents\GitHub\eaglep3-reporting\EC\2017-11-26-refined-times.txt</v>
      </c>
      <c r="AI176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{"issue":{"subject":"","project_id":79,"tracker_id":40,"status_id":1,"priority_id":2,"assigned_to_id":338,"start_date":"2017-11-26","description":"","custom_fields":[{"id":1,"name":"Subdivision","value":"NW"},{"id":4,"name":"Milepost","value":"0.0899"},{"id":17,"name":"Train ID","value":"1814-26"},{"id":16,"name":"Locomotive ID","value":"4025"},{"id":130,"name":"Impact","value":""},{"id":150,"name":"Time of Event (Mountain Time)","value":"12:55:28"},{"id":151,"name":"Denver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104"/>
        <v>start /low /b %USERPROFILE%\Documents\GitHub\eaglep3\Utilities\DownloadLogsFromS3.py --loco 4025 --day 2017-11-26</v>
      </c>
      <c r="AN176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106"/>
        <v>https://d0f6bd738d7f1b3e5a7ca70fe4ff75f0.us-east-1.aws.found.io/app/kibana#/discover/Steve-Slow-Train-Analysis-(2080s-and-2083s)?_g=(refreshInterval:(display:Off,pause:!f,section:0,value:0),time:(from:'2017-11-26T11:32:01-0700',mode:absolute,to:'2017-11-26T13:55:28-0700'))&amp;_a=(columns:!('Message%20ID',Summary),filters:!(),index:'emp_*',interval:auto,query:(query_string:(analyze_wildcard:!t,query:'%22rtdc.l.rtdc.4025%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4" customFormat="1" x14ac:dyDescent="0.25">
      <c r="A177" s="230" t="s">
        <v>788</v>
      </c>
      <c r="B177" s="226">
        <v>4026</v>
      </c>
      <c r="C177" s="228" t="s">
        <v>192</v>
      </c>
      <c r="D177" s="228" t="s">
        <v>1072</v>
      </c>
      <c r="E177" s="227">
        <v>43065.540775462963</v>
      </c>
      <c r="F177" s="227">
        <v>43065.544629629629</v>
      </c>
      <c r="G177" s="226">
        <v>330</v>
      </c>
      <c r="H177" s="228" t="s">
        <v>1072</v>
      </c>
      <c r="I177" s="227">
        <v>43065.544652777775</v>
      </c>
      <c r="J177" s="226">
        <v>0</v>
      </c>
      <c r="K177" s="238" t="str">
        <f t="shared" ref="K177" si="125">IF(ISEVEN(B177),(B177-1)&amp;"/"&amp;B177,B177&amp;"/"&amp;(B177+1))</f>
        <v>4025/4026</v>
      </c>
      <c r="L177" s="246" t="str">
        <f>VLOOKUP(A177,'Trips&amp;Operators'!$C$1:$G$99911,5,FALSE)</f>
        <v>MACDONALD THOMAS</v>
      </c>
      <c r="M177" s="225">
        <f t="shared" ref="M177" si="126">I177-F177</f>
        <v>2.314814628334716E-5</v>
      </c>
      <c r="N177" s="226"/>
      <c r="O177" s="226"/>
      <c r="P177" s="226">
        <f t="shared" si="90"/>
        <v>3.333333064801991E-2</v>
      </c>
      <c r="Q177" s="229"/>
      <c r="R177" s="243" t="s">
        <v>1060</v>
      </c>
      <c r="S177" s="250">
        <f t="shared" ref="S177" si="127">1/IF(AG177="EC",12,1)*SUM(U177:U177)</f>
        <v>0</v>
      </c>
      <c r="T177" s="243" t="str">
        <f t="shared" ref="T177" si="128">IF(ISEVEN(LEFT(AD177,4)),"Southbound","NorthBound")</f>
        <v>NorthBound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249" t="str">
        <f t="shared" ref="V177" si="129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-26T11:58:43-0700',mode:absolute,to:'2017-11-26T14:04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248" t="str">
        <f>IF(AA177&lt;VLOOKUP(AG177,Variables!$AC$3:$AD$8,2,FALSE),"Y","N")</f>
        <v>Y</v>
      </c>
      <c r="X177" s="248">
        <f t="shared" ref="X177:X178" si="130">VALUE(LEFT(AD177,4))-VALUE(LEFT(AD176,4))</f>
        <v>1</v>
      </c>
      <c r="Y177" s="248">
        <f t="shared" ref="Y177" si="131">RIGHT(D177,LEN(D177)-4)/10000</f>
        <v>0.1196</v>
      </c>
      <c r="Z177" s="248">
        <f t="shared" ref="Z177" si="132">RIGHT(H177,LEN(H177)-4)/10000</f>
        <v>0.1196</v>
      </c>
      <c r="AA177" s="248">
        <f t="shared" ref="AA177" si="133">ABS(Z177-Y177)</f>
        <v>0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ref="AD177" si="134">VALUE(LEFT(A177,LEN(A177)-3))</f>
        <v>1815</v>
      </c>
      <c r="AE177" s="236" t="str">
        <f t="shared" ref="AE177" si="135"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77" s="235" t="str">
        <f t="shared" ref="AF177" si="136"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/stypes="app*4026*20171126*" /stext=" 20:.+((SYSTEM_STATE.+slice.+state.+changed )|(ment ac)|(multiple cpu faults)|(system.+state.+changed )|(\[timeout)|(PRM\|1\|D)|(kpr)|(kdp)|(train st.+moving)|(\|lc)|(penalty))"</v>
      </c>
      <c r="AG177" s="245" t="str">
        <f t="shared" ref="AG177" si="137">DetSubdiv(A177)</f>
        <v>NW</v>
      </c>
      <c r="AH177" s="237" t="str">
        <f t="shared" ref="AH177" si="138"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1815-26 --locoid 4026 --swversion DE.1.0.9.0 --startMP 204:1196 --initTime 2017-11-26T12:58:43 --startdatetime 2017-11-26T13:04:16 --delay 330 --endMP 204:1196 --enddatetime 2017-11-26T13:04:18 --enforcementcount 0 &gt;&gt;%USERPROFILE%\Documents\GitHub\eaglep3-reporting\EC\2017-11-26-refined-times.txt</v>
      </c>
      <c r="AI177" s="239" t="str">
        <f t="shared" ref="AI177" si="139"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failure","project_id":79,"tracker_id":40,"status_id":1,"priority_id":2,"assigned_to_id":338,"start_date":"2017-11-26","description":"","custom_fields":[{"id":1,"name":"Subdivision","value":"NW"},{"id":4,"name":"Milepost","value":"0.1196"},{"id":17,"name":"Train ID","value":"1815-26"},{"id":16,"name":"Locomotive ID","value":"4026"},{"id":130,"name":"Impact","value":""},{"id":150,"name":"Time of Event (Mountain Time)","value":"13:04:18"},{"id":151,"name":"Denver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2"/>
      <c r="AL177" s="232"/>
      <c r="AM177" s="241" t="str">
        <f t="shared" ref="AM177" si="140">"start /low /b "&amp;dls3logs&amp;" --loco "&amp;B177&amp;" --day "&amp;TEXT(F177,"YYYY-MM-DD")</f>
        <v>start /low /b %USERPROFILE%\Documents\GitHub\eaglep3\Utilities\DownloadLogsFromS3.py --loco 4026 --day 2017-11-26</v>
      </c>
      <c r="AN177" s="242" t="str">
        <f t="shared" ref="AN177" si="141"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ref="AO177" si="142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-26T11:58:43-0700',mode:absolute,to:'2017-11-26T14:04:18-0700'))&amp;_a=(columns:!('Message%20ID',Summary),filters:!(),index:'emp_*',interval:auto,query:(query_string:(analyze_wildcard:!t,query:'%22rtdc.l.rtdc.4026%22')),sort:!(Time.ISO8601,asc))</v>
      </c>
    </row>
    <row r="178" spans="1:91" s="20" customFormat="1" x14ac:dyDescent="0.25">
      <c r="A178" s="230" t="s">
        <v>794</v>
      </c>
      <c r="B178" s="226">
        <v>4025</v>
      </c>
      <c r="C178" s="228" t="s">
        <v>192</v>
      </c>
      <c r="D178" s="228" t="s">
        <v>975</v>
      </c>
      <c r="E178" s="227">
        <v>43065.563414351855</v>
      </c>
      <c r="F178" s="227">
        <v>43065.570833333331</v>
      </c>
      <c r="G178" s="226">
        <v>49</v>
      </c>
      <c r="H178" s="228" t="s">
        <v>976</v>
      </c>
      <c r="I178" s="227">
        <v>43065.58021990741</v>
      </c>
      <c r="J178" s="226">
        <v>0</v>
      </c>
      <c r="K178" s="238" t="str">
        <f t="shared" si="88"/>
        <v>4025/4026</v>
      </c>
      <c r="L178" s="246" t="str">
        <f>VLOOKUP(A178,'Trips&amp;Operators'!$C$1:$G$99911,5,FALSE)</f>
        <v>MACDONALD THOMAS</v>
      </c>
      <c r="M178" s="225">
        <f t="shared" si="89"/>
        <v>9.3865740782348439E-3</v>
      </c>
      <c r="N178" s="226">
        <f t="shared" si="90"/>
        <v>13.516666672658175</v>
      </c>
      <c r="O178" s="226"/>
      <c r="P178" s="226"/>
      <c r="Q178" s="229"/>
      <c r="R178" s="243"/>
      <c r="S178" s="250">
        <f t="shared" si="91"/>
        <v>1</v>
      </c>
      <c r="T178" s="243" t="str">
        <f t="shared" si="92"/>
        <v>Southbound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93"/>
        <v>https://d0f6bd738d7f1b3e5a7ca70fe4ff75f0.us-east-1.aws.found.io/app/kibana#/discover/Steve-Slow-Train-Analysis-(2080s-and-2083s)?_g=(refreshInterval:(display:Off,pause:!f,section:0,value:0),time:(from:'2017-11-26T12:31:19-0700',mode:absolute,to:'2017-11-26T14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248" t="str">
        <f>IF(AA178&lt;VLOOKUP(AG178,Variables!$AC$3:$AD$8,2,FALSE),"Y","N")</f>
        <v>N</v>
      </c>
      <c r="X178" s="248">
        <f t="shared" si="130"/>
        <v>1</v>
      </c>
      <c r="Y178" s="248">
        <f t="shared" si="95"/>
        <v>5.8619000000000003</v>
      </c>
      <c r="Z178" s="248">
        <f t="shared" si="96"/>
        <v>8.5699999999999998E-2</v>
      </c>
      <c r="AA178" s="248">
        <f t="shared" si="97"/>
        <v>5.7762000000000002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98"/>
        <v>1816</v>
      </c>
      <c r="AE178" s="236" t="str">
        <f t="shared" si="99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78" s="235" t="str">
        <f t="shared" si="100"/>
        <v>"C:\Program Files (x86)\AstroGrep\AstroGrep.exe" /e /r /s /spath="%USERPROFILE%\AppData\Local\Temp\OnboardLogs" /stypes="app*4025*20171126*" /stext=" 20:.+((SYSTEM_STATE.+slice.+state.+changed )|(ment ac)|(multiple cpu faults)|(system.+state.+changed )|(\[timeout)|(PRM\|1\|D)|(kpr)|(kdp)|(train st.+moving)|(\|lc)|(penalty))"</v>
      </c>
      <c r="AG178" s="245" t="str">
        <f t="shared" si="101"/>
        <v>NW</v>
      </c>
      <c r="AH178" s="237" t="str">
        <f t="shared" si="102"/>
        <v>"%USERPROFILE%\Documents\GitHub\eaglep3\Utilities\RefineRTDCRunTimes.py" --tripid 1816-26 --locoid 4025 --swversion DE.1.0.9.0 --startMP 300:58619 --initTime 2017-11-26T13:31:19 --startdatetime 2017-11-26T13:42:00 --delay 49 --endMP 204:857 --enddatetime 2017-11-26T13:55:31 --enforcementcount 0 &gt;&gt;%USERPROFILE%\Documents\GitHub\eaglep3-reporting\EC\2017-11-26-refined-times.txt</v>
      </c>
      <c r="AI178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{"issue":{"subject":"","project_id":79,"tracker_id":40,"status_id":1,"priority_id":2,"assigned_to_id":338,"start_date":"2017-11-26","description":"","custom_fields":[{"id":1,"name":"Subdivision","value":"NW"},{"id":4,"name":"Milepost","value":"0.0857"},{"id":17,"name":"Train ID","value":"1816-26"},{"id":16,"name":"Locomotive ID","value":"4025"},{"id":130,"name":"Impact","value":""},{"id":150,"name":"Time of Event (Mountain Time)","value":"13:55:31"},{"id":151,"name":"Denver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104"/>
        <v>start /low /b %USERPROFILE%\Documents\GitHub\eaglep3\Utilities\DownloadLogsFromS3.py --loco 4025 --day 2017-11-26</v>
      </c>
      <c r="AN178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20:55:31"},{"id":29,"name":"Sharepoint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106"/>
        <v>https://d0f6bd738d7f1b3e5a7ca70fe4ff75f0.us-east-1.aws.found.io/app/kibana#/discover/Steve-Slow-Train-Analysis-(2080s-and-2083s)?_g=(refreshInterval:(display:Off,pause:!f,section:0,value:0),time:(from:'2017-11-26T12:31:19-0700',mode:absolute,to:'2017-11-26T14:55:31-0700'))&amp;_a=(columns:!('Message%20ID',Summary),filters:!(),index:'emp_*',interval:auto,query:(query_string:(analyze_wildcard:!t,query:'%22rtdc.l.rtdc.4025%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0" t="s">
        <v>799</v>
      </c>
      <c r="B179" s="226">
        <v>4026</v>
      </c>
      <c r="C179" s="228" t="s">
        <v>192</v>
      </c>
      <c r="D179" s="228" t="s">
        <v>977</v>
      </c>
      <c r="E179" s="227">
        <v>43065.585810185185</v>
      </c>
      <c r="F179" s="227">
        <v>43065.589837962965</v>
      </c>
      <c r="G179" s="226">
        <v>76</v>
      </c>
      <c r="H179" s="228" t="s">
        <v>641</v>
      </c>
      <c r="I179" s="227">
        <v>43065.599293981482</v>
      </c>
      <c r="J179" s="226">
        <v>0</v>
      </c>
      <c r="K179" s="238" t="str">
        <f t="shared" ref="K179:K219" si="143">IF(ISEVEN(B179),(B179-1)&amp;"/"&amp;B179,B179&amp;"/"&amp;(B179+1))</f>
        <v>4025/4026</v>
      </c>
      <c r="L179" s="246" t="str">
        <f>VLOOKUP(A179,'Trips&amp;Operators'!$C$1:$G$99911,5,FALSE)</f>
        <v>HOLCOMB KAMDEN</v>
      </c>
      <c r="M179" s="225">
        <f t="shared" ref="M179:M219" si="144">I179-F179</f>
        <v>9.4560185170848854E-3</v>
      </c>
      <c r="N179" s="226">
        <f t="shared" ref="N179:P219" si="145">24*60*SUM($M179:$M179)</f>
        <v>13.616666664602235</v>
      </c>
      <c r="O179" s="226"/>
      <c r="P179" s="226"/>
      <c r="Q179" s="229"/>
      <c r="R179" s="243"/>
      <c r="S179" s="250">
        <f t="shared" ref="S179:S219" si="146">1/IF(AG179="EC",12,1)*SUM(U179:U179)</f>
        <v>1</v>
      </c>
      <c r="T179" s="243" t="str">
        <f t="shared" ref="T179:T219" si="147">IF(ISEVEN(LEFT(AD179,4)),"Southbound","NorthBound")</f>
        <v>NorthBound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ref="V179:V219" si="148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-26T13:03:34-0700',mode:absolute,to:'2017-11-26T15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248" t="str">
        <f>IF(AA179&lt;VLOOKUP(AG179,Variables!$AC$3:$AD$8,2,FALSE),"Y","N")</f>
        <v>N</v>
      </c>
      <c r="X179" s="248">
        <f t="shared" ref="X179:X219" si="149">VALUE(LEFT(AD179,4))-VALUE(LEFT(AD178,4))</f>
        <v>1</v>
      </c>
      <c r="Y179" s="248">
        <f t="shared" ref="Y179:Y219" si="150">RIGHT(D179,LEN(D179)-4)/10000</f>
        <v>0.1147</v>
      </c>
      <c r="Z179" s="248">
        <f t="shared" ref="Z179:Z219" si="151">RIGHT(H179,LEN(H179)-4)/10000</f>
        <v>5.8958000000000004</v>
      </c>
      <c r="AA179" s="248">
        <f t="shared" ref="AA179:AA215" si="152">ABS(Z179-Y179)</f>
        <v>5.7811000000000003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ref="AD179:AD219" si="153">VALUE(LEFT(A179,LEN(A179)-3))</f>
        <v>1817</v>
      </c>
      <c r="AE179" s="236" t="str">
        <f t="shared" ref="AE179:AE219" si="154"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79" s="235" t="str">
        <f t="shared" ref="AF179:AF219" si="155"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/stypes="app*4026*20171126*" /stext=" 21:.+((SYSTEM_STATE.+slice.+state.+changed )|(ment ac)|(multiple cpu faults)|(system.+state.+changed )|(\[timeout)|(PRM\|1\|D)|(kpr)|(kdp)|(train st.+moving)|(\|lc)|(penalty))"</v>
      </c>
      <c r="AG179" s="245" t="str">
        <f t="shared" ref="AG179:AG219" si="156">DetSubdiv(A179)</f>
        <v>NW</v>
      </c>
      <c r="AH179" s="237" t="str">
        <f t="shared" si="102"/>
        <v>"%USERPROFILE%\Documents\GitHub\eaglep3\Utilities\RefineRTDCRunTimes.py" --tripid 1817-26 --locoid 4026 --swversion DE.1.0.9.0 --startMP 204:1147 --initTime 2017-11-26T14:03:34 --startdatetime 2017-11-26T14:09:22 --delay 76 --endMP 300:58958 --enddatetime 2017-11-26T14:22:59 --enforcementcount 0 &gt;&gt;%USERPROFILE%\Documents\GitHub\eaglep3-reporting\EC\2017-11-26-refined-times.txt</v>
      </c>
      <c r="AI179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{"issue":{"subject":"","project_id":79,"tracker_id":40,"status_id":1,"priority_id":2,"assigned_to_id":338,"start_date":"2017-11-26","description":"","custom_fields":[{"id":1,"name":"Subdivision","value":"NW"},{"id":4,"name":"Milepost","value":"5.8958"},{"id":17,"name":"Train ID","value":"1817-26"},{"id":16,"name":"Locomotive ID","value":"4026"},{"id":130,"name":"Impact","value":""},{"id":150,"name":"Time of Event (Mountain Time)","value":"14:22:59"},{"id":151,"name":"Denver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104"/>
        <v>start /low /b %USERPROFILE%\Documents\GitHub\eaglep3\Utilities\DownloadLogsFromS3.py --loco 4026 --day 2017-11-26</v>
      </c>
      <c r="AN179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106"/>
        <v>https://d0f6bd738d7f1b3e5a7ca70fe4ff75f0.us-east-1.aws.found.io/app/kibana#/discover/Steve-Slow-Train-Analysis-(2080s-and-2083s)?_g=(refreshInterval:(display:Off,pause:!f,section:0,value:0),time:(from:'2017-11-26T13:03:34-0700',mode:absolute,to:'2017-11-26T15:22:59-0700'))&amp;_a=(columns:!('Message%20ID',Summary),filters:!(),index:'emp_*',interval:auto,query:(query_string:(analyze_wildcard:!t,query:'%22rtdc.l.rtdc.4026%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30" t="s">
        <v>661</v>
      </c>
      <c r="B180" s="226">
        <v>4025</v>
      </c>
      <c r="C180" s="228" t="s">
        <v>192</v>
      </c>
      <c r="D180" s="228" t="s">
        <v>644</v>
      </c>
      <c r="E180" s="227">
        <v>43065.600983796299</v>
      </c>
      <c r="F180" s="227">
        <v>43065.612500000003</v>
      </c>
      <c r="G180" s="226">
        <v>54</v>
      </c>
      <c r="H180" s="228" t="s">
        <v>978</v>
      </c>
      <c r="I180" s="227">
        <v>43065.622719907406</v>
      </c>
      <c r="J180" s="226">
        <v>0</v>
      </c>
      <c r="K180" s="238" t="str">
        <f t="shared" si="143"/>
        <v>4025/4026</v>
      </c>
      <c r="L180" s="246" t="str">
        <f>VLOOKUP(A180,'Trips&amp;Operators'!$C$1:$G$99911,5,FALSE)</f>
        <v>HOLCOMB KAMDEN</v>
      </c>
      <c r="M180" s="225">
        <f t="shared" si="144"/>
        <v>1.0219907402643003E-2</v>
      </c>
      <c r="N180" s="226">
        <f t="shared" si="145"/>
        <v>14.716666659805924</v>
      </c>
      <c r="O180" s="226"/>
      <c r="P180" s="226"/>
      <c r="Q180" s="229"/>
      <c r="R180" s="243"/>
      <c r="S180" s="250">
        <f t="shared" si="146"/>
        <v>1</v>
      </c>
      <c r="T180" s="243" t="str">
        <f t="shared" si="147"/>
        <v>Southbound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148"/>
        <v>https://d0f6bd738d7f1b3e5a7ca70fe4ff75f0.us-east-1.aws.found.io/app/kibana#/discover/Steve-Slow-Train-Analysis-(2080s-and-2083s)?_g=(refreshInterval:(display:Off,pause:!f,section:0,value:0),time:(from:'2017-11-26T13:25:25-0700',mode:absolute,to:'2017-11-26T15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248" t="str">
        <f>IF(AA180&lt;VLOOKUP(AG180,Variables!$AC$3:$AD$8,2,FALSE),"Y","N")</f>
        <v>N</v>
      </c>
      <c r="X180" s="248">
        <f t="shared" si="149"/>
        <v>1</v>
      </c>
      <c r="Y180" s="248">
        <f t="shared" si="150"/>
        <v>5.8644999999999996</v>
      </c>
      <c r="Z180" s="248">
        <f t="shared" si="151"/>
        <v>7.6899999999999996E-2</v>
      </c>
      <c r="AA180" s="248">
        <f t="shared" si="152"/>
        <v>5.7875999999999994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153"/>
        <v>1818</v>
      </c>
      <c r="AE180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80" s="235" t="str">
        <f t="shared" si="155"/>
        <v>"C:\Program Files (x86)\AstroGrep\AstroGrep.exe" /e /r /s /spath="%USERPROFILE%\AppData\Local\Temp\OnboardLogs" /stypes="app*4025*20171126*" /stext=" 21:.+((SYSTEM_STATE.+slice.+state.+changed )|(ment ac)|(multiple cpu faults)|(system.+state.+changed )|(\[timeout)|(PRM\|1\|D)|(kpr)|(kdp)|(train st.+moving)|(\|lc)|(penalty))"</v>
      </c>
      <c r="AG180" s="245" t="str">
        <f t="shared" si="156"/>
        <v>NW</v>
      </c>
      <c r="AH180" s="237" t="str">
        <f t="shared" si="102"/>
        <v>"%USERPROFILE%\Documents\GitHub\eaglep3\Utilities\RefineRTDCRunTimes.py" --tripid 1818-26 --locoid 4025 --swversion DE.1.0.9.0 --startMP 300:58645 --initTime 2017-11-26T14:25:25 --startdatetime 2017-11-26T14:42:00 --delay 54 --endMP 204:769 --enddatetime 2017-11-26T14:56:43 --enforcementcount 0 &gt;&gt;%USERPROFILE%\Documents\GitHub\eaglep3-reporting\EC\2017-11-26-refined-times.txt</v>
      </c>
      <c r="AI180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{"issue":{"subject":"","project_id":79,"tracker_id":40,"status_id":1,"priority_id":2,"assigned_to_id":338,"start_date":"2017-11-26","description":"","custom_fields":[{"id":1,"name":"Subdivision","value":"NW"},{"id":4,"name":"Milepost","value":"0.0769"},{"id":17,"name":"Train ID","value":"1818-26"},{"id":16,"name":"Locomotive ID","value":"4025"},{"id":130,"name":"Impact","value":""},{"id":150,"name":"Time of Event (Mountain Time)","value":"14:56:43"},{"id":151,"name":"Denver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104"/>
        <v>start /low /b %USERPROFILE%\Documents\GitHub\eaglep3\Utilities\DownloadLogsFromS3.py --loco 4025 --day 2017-11-26</v>
      </c>
      <c r="AN180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106"/>
        <v>https://d0f6bd738d7f1b3e5a7ca70fe4ff75f0.us-east-1.aws.found.io/app/kibana#/discover/Steve-Slow-Train-Analysis-(2080s-and-2083s)?_g=(refreshInterval:(display:Off,pause:!f,section:0,value:0),time:(from:'2017-11-26T13:25:25-0700',mode:absolute,to:'2017-11-26T15:56:43-0700'))&amp;_a=(columns:!('Message%20ID',Summary),filters:!(),index:'emp_*',interval:auto,query:(query_string:(analyze_wildcard:!t,query:'%22rtdc.l.rtdc.4025%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4" customFormat="1" x14ac:dyDescent="0.25">
      <c r="A181" s="230" t="s">
        <v>664</v>
      </c>
      <c r="B181" s="226">
        <v>4026</v>
      </c>
      <c r="C181" s="228" t="s">
        <v>192</v>
      </c>
      <c r="D181" s="228" t="s">
        <v>1073</v>
      </c>
      <c r="E181" s="227">
        <v>43065.624594907407</v>
      </c>
      <c r="F181" s="227">
        <v>43065.631944444445</v>
      </c>
      <c r="G181" s="226">
        <v>51</v>
      </c>
      <c r="H181" s="228" t="s">
        <v>1074</v>
      </c>
      <c r="I181" s="227">
        <v>43065.641631944447</v>
      </c>
      <c r="J181" s="226">
        <v>0</v>
      </c>
      <c r="K181" s="238" t="str">
        <f t="shared" ref="K181" si="157">IF(ISEVEN(B181),(B181-1)&amp;"/"&amp;B181,B181&amp;"/"&amp;(B181+1))</f>
        <v>4025/4026</v>
      </c>
      <c r="L181" s="246" t="str">
        <f>VLOOKUP(A181,'Trips&amp;Operators'!$C$1:$G$99911,5,FALSE)</f>
        <v>HOLCOMB KAMDEN</v>
      </c>
      <c r="M181" s="225">
        <f t="shared" ref="M181" si="158">I181-F181</f>
        <v>9.6875000017462298E-3</v>
      </c>
      <c r="N181" s="226">
        <f t="shared" si="145"/>
        <v>13.950000002514571</v>
      </c>
      <c r="O181" s="226"/>
      <c r="P181" s="226"/>
      <c r="Q181" s="229"/>
      <c r="R181" s="243"/>
      <c r="S181" s="250">
        <f t="shared" ref="S181" si="159">1/IF(AG181="EC",12,1)*SUM(U181:U181)</f>
        <v>1</v>
      </c>
      <c r="T181" s="243" t="str">
        <f t="shared" ref="T181" si="160">IF(ISEVEN(LEFT(AD181,4)),"Southbound","NorthBound")</f>
        <v>NorthBound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ref="V181" si="161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-26T13:59:25-0700',mode:absolute,to:'2017-11-26T16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248" t="str">
        <f>IF(AA181&lt;VLOOKUP(AG181,Variables!$AC$3:$AD$8,2,FALSE),"Y","N")</f>
        <v>N</v>
      </c>
      <c r="X181" s="248">
        <f t="shared" ref="X181:X182" si="162">VALUE(LEFT(AD181,4))-VALUE(LEFT(AD180,4))</f>
        <v>1</v>
      </c>
      <c r="Y181" s="248">
        <f t="shared" ref="Y181" si="163">RIGHT(D181,LEN(D181)-4)/10000</f>
        <v>0.1079</v>
      </c>
      <c r="Z181" s="248">
        <f t="shared" ref="Z181" si="164">RIGHT(H181,LEN(H181)-4)/10000</f>
        <v>5.8963000000000001</v>
      </c>
      <c r="AA181" s="248">
        <f t="shared" ref="AA181" si="165">ABS(Z181-Y181)</f>
        <v>5.7884000000000002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ref="AD181" si="166">VALUE(LEFT(A181,LEN(A181)-3))</f>
        <v>1819</v>
      </c>
      <c r="AE181" s="236" t="str">
        <f t="shared" ref="AE181" si="167"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81" s="235" t="str">
        <f t="shared" ref="AF181" si="168"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/stypes="app*4026*20171126*" /stext=" 22:.+((SYSTEM_STATE.+slice.+state.+changed )|(ment ac)|(multiple cpu faults)|(system.+state.+changed )|(\[timeout)|(PRM\|1\|D)|(kpr)|(kdp)|(train st.+moving)|(\|lc)|(penalty))"</v>
      </c>
      <c r="AG181" s="245" t="str">
        <f t="shared" ref="AG181" si="169">DetSubdiv(A181)</f>
        <v>NW</v>
      </c>
      <c r="AH181" s="237" t="str">
        <f t="shared" ref="AH181" si="170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1819-26 --locoid 4026 --swversion DE.1.0.9.0 --startMP 204:1079 --initTime 2017-11-26T14:59:25 --startdatetime 2017-11-26T15:10:00 --delay 51 --endMP 300:58963 --enddatetime 2017-11-26T15:23:57 --enforcementcount 0 &gt;&gt;%USERPROFILE%\Documents\GitHub\eaglep3-reporting\EC\2017-11-26-refined-times.txt</v>
      </c>
      <c r="AI181" s="239" t="str">
        <f t="shared" ref="AI181" si="171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{"issue":{"subject":"","project_id":79,"tracker_id":40,"status_id":1,"priority_id":2,"assigned_to_id":338,"start_date":"2017-11-26","description":"","custom_fields":[{"id":1,"name":"Subdivision","value":"NW"},{"id":4,"name":"Milepost","value":"5.8963"},{"id":17,"name":"Train ID","value":"1819-26"},{"id":16,"name":"Locomotive ID","value":"4026"},{"id":130,"name":"Impact","value":""},{"id":150,"name":"Time of Event (Mountain Time)","value":"15:23:57"},{"id":151,"name":"Denver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2"/>
      <c r="AL181" s="232"/>
      <c r="AM181" s="241" t="str">
        <f t="shared" ref="AM181" si="172">"start /low /b "&amp;dls3logs&amp;" --loco "&amp;B181&amp;" --day "&amp;TEXT(F181,"YYYY-MM-DD")</f>
        <v>start /low /b %USERPROFILE%\Documents\GitHub\eaglep3\Utilities\DownloadLogsFromS3.py --loco 4026 --day 2017-11-26</v>
      </c>
      <c r="AN181" s="242" t="str">
        <f t="shared" ref="AN181" si="173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ref="AO181" si="174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-26T13:59:25-0700',mode:absolute,to:'2017-11-26T16:23:57-0700'))&amp;_a=(columns:!('Message%20ID',Summary),filters:!(),index:'emp_*',interval:auto,query:(query_string:(analyze_wildcard:!t,query:'%22rtdc.l.rtdc.4026%22')),sort:!(Time.ISO8601,asc))</v>
      </c>
    </row>
    <row r="182" spans="1:91" s="20" customFormat="1" x14ac:dyDescent="0.25">
      <c r="A182" s="230" t="s">
        <v>813</v>
      </c>
      <c r="B182" s="226">
        <v>4025</v>
      </c>
      <c r="C182" s="228" t="s">
        <v>192</v>
      </c>
      <c r="D182" s="228" t="s">
        <v>639</v>
      </c>
      <c r="E182" s="227">
        <v>43065.642488425925</v>
      </c>
      <c r="F182" s="227">
        <v>43065.654166666667</v>
      </c>
      <c r="G182" s="226">
        <v>48</v>
      </c>
      <c r="H182" s="228" t="s">
        <v>979</v>
      </c>
      <c r="I182" s="227">
        <v>43065.663680555554</v>
      </c>
      <c r="J182" s="226">
        <v>0</v>
      </c>
      <c r="K182" s="238" t="str">
        <f t="shared" si="143"/>
        <v>4025/4026</v>
      </c>
      <c r="L182" s="246" t="str">
        <f>VLOOKUP(A182,'Trips&amp;Operators'!$C$1:$G$99911,5,FALSE)</f>
        <v>HOLCOMB KAMDEN</v>
      </c>
      <c r="M182" s="225">
        <f t="shared" si="144"/>
        <v>9.5138888864312321E-3</v>
      </c>
      <c r="N182" s="226">
        <f t="shared" si="145"/>
        <v>13.699999996460974</v>
      </c>
      <c r="O182" s="226"/>
      <c r="P182" s="226"/>
      <c r="Q182" s="229"/>
      <c r="R182" s="243"/>
      <c r="S182" s="250">
        <f t="shared" si="146"/>
        <v>1</v>
      </c>
      <c r="T182" s="243" t="str">
        <f t="shared" si="147"/>
        <v>Southbound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148"/>
        <v>https://d0f6bd738d7f1b3e5a7ca70fe4ff75f0.us-east-1.aws.found.io/app/kibana#/discover/Steve-Slow-Train-Analysis-(2080s-and-2083s)?_g=(refreshInterval:(display:Off,pause:!f,section:0,value:0),time:(from:'2017-11-26T14:25:11-0700',mode:absolute,to:'2017-11-26T16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2" s="248" t="str">
        <f>IF(AA182&lt;VLOOKUP(AG182,Variables!$AC$3:$AD$8,2,FALSE),"Y","N")</f>
        <v>N</v>
      </c>
      <c r="X182" s="248">
        <f t="shared" si="162"/>
        <v>1</v>
      </c>
      <c r="Y182" s="248">
        <f t="shared" si="150"/>
        <v>5.8653000000000004</v>
      </c>
      <c r="Z182" s="248">
        <f t="shared" si="151"/>
        <v>8.5999999999999993E-2</v>
      </c>
      <c r="AA182" s="248">
        <f t="shared" si="152"/>
        <v>5.7793000000000001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153"/>
        <v>1820</v>
      </c>
      <c r="AE182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82" s="235" t="str">
        <f t="shared" si="155"/>
        <v>"C:\Program Files (x86)\AstroGrep\AstroGrep.exe" /e /r /s /spath="%USERPROFILE%\AppData\Local\Temp\OnboardLogs" /stypes="app*4025*20171126*" /stext=" 22:.+((SYSTEM_STATE.+slice.+state.+changed )|(ment ac)|(multiple cpu faults)|(system.+state.+changed )|(\[timeout)|(PRM\|1\|D)|(kpr)|(kdp)|(train st.+moving)|(\|lc)|(penalty))"</v>
      </c>
      <c r="AG182" s="245" t="str">
        <f t="shared" si="156"/>
        <v>NW</v>
      </c>
      <c r="AH182" s="237" t="str">
        <f t="shared" si="102"/>
        <v>"%USERPROFILE%\Documents\GitHub\eaglep3\Utilities\RefineRTDCRunTimes.py" --tripid 1820-26 --locoid 4025 --swversion DE.1.0.9.0 --startMP 300:58653 --initTime 2017-11-26T15:25:11 --startdatetime 2017-11-26T15:42:00 --delay 48 --endMP 204:860 --enddatetime 2017-11-26T15:55:42 --enforcementcount 0 &gt;&gt;%USERPROFILE%\Documents\GitHub\eaglep3-reporting\EC\2017-11-26-refined-times.txt</v>
      </c>
      <c r="AI182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{"issue":{"subject":"","project_id":79,"tracker_id":40,"status_id":1,"priority_id":2,"assigned_to_id":338,"start_date":"2017-11-26","description":"","custom_fields":[{"id":1,"name":"Subdivision","value":"NW"},{"id":4,"name":"Milepost","value":"0.086"},{"id":17,"name":"Train ID","value":"1820-26"},{"id":16,"name":"Locomotive ID","value":"4025"},{"id":130,"name":"Impact","value":""},{"id":150,"name":"Time of Event (Mountain Time)","value":"15:55:42"},{"id":151,"name":"Denver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104"/>
        <v>start /low /b %USERPROFILE%\Documents\GitHub\eaglep3\Utilities\DownloadLogsFromS3.py --loco 4025 --day 2017-11-26</v>
      </c>
      <c r="AN182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106"/>
        <v>https://d0f6bd738d7f1b3e5a7ca70fe4ff75f0.us-east-1.aws.found.io/app/kibana#/discover/Steve-Slow-Train-Analysis-(2080s-and-2083s)?_g=(refreshInterval:(display:Off,pause:!f,section:0,value:0),time:(from:'2017-11-26T14:25:11-0700',mode:absolute,to:'2017-11-26T16:55:42-0700'))&amp;_a=(columns:!('Message%20ID',Summary),filters:!(),index:'emp_*',interval:auto,query:(query_string:(analyze_wildcard:!t,query:'%22rtdc.l.rtdc.4025%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822</v>
      </c>
      <c r="B183" s="226">
        <v>4026</v>
      </c>
      <c r="C183" s="228" t="s">
        <v>192</v>
      </c>
      <c r="D183" s="228" t="s">
        <v>553</v>
      </c>
      <c r="E183" s="227">
        <v>43065.669062499997</v>
      </c>
      <c r="F183" s="227">
        <v>43065.673252314817</v>
      </c>
      <c r="G183" s="226">
        <v>57</v>
      </c>
      <c r="H183" s="228" t="s">
        <v>980</v>
      </c>
      <c r="I183" s="227">
        <v>43065.682615740741</v>
      </c>
      <c r="J183" s="226">
        <v>0</v>
      </c>
      <c r="K183" s="238" t="str">
        <f t="shared" si="143"/>
        <v>4025/4026</v>
      </c>
      <c r="L183" s="246" t="str">
        <f>VLOOKUP(A183,'Trips&amp;Operators'!$C$1:$G$99911,5,FALSE)</f>
        <v>HOLCOMB KAMDEN</v>
      </c>
      <c r="M183" s="225">
        <f t="shared" si="144"/>
        <v>9.3634259246755391E-3</v>
      </c>
      <c r="N183" s="226">
        <f t="shared" si="145"/>
        <v>13.483333331532776</v>
      </c>
      <c r="O183" s="226"/>
      <c r="P183" s="226"/>
      <c r="Q183" s="229"/>
      <c r="R183" s="243"/>
      <c r="S183" s="250">
        <f t="shared" si="146"/>
        <v>1</v>
      </c>
      <c r="T183" s="243" t="str">
        <f t="shared" si="147"/>
        <v>NorthBound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148"/>
        <v>https://d0f6bd738d7f1b3e5a7ca70fe4ff75f0.us-east-1.aws.found.io/app/kibana#/discover/Steve-Slow-Train-Analysis-(2080s-and-2083s)?_g=(refreshInterval:(display:Off,pause:!f,section:0,value:0),time:(from:'2017-11-26T15:03:27-0700',mode:absolute,to:'2017-11-26T17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3" s="248" t="str">
        <f>IF(AA183&lt;VLOOKUP(AG183,Variables!$AC$3:$AD$8,2,FALSE),"Y","N")</f>
        <v>N</v>
      </c>
      <c r="X183" s="248">
        <f t="shared" si="149"/>
        <v>1</v>
      </c>
      <c r="Y183" s="248">
        <f t="shared" si="150"/>
        <v>0.11559999999999999</v>
      </c>
      <c r="Z183" s="248">
        <f t="shared" si="151"/>
        <v>5.8975999999999997</v>
      </c>
      <c r="AA183" s="248">
        <f t="shared" si="152"/>
        <v>5.782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153"/>
        <v>1821</v>
      </c>
      <c r="AE183" s="236" t="str">
        <f t="shared" si="154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83" s="235" t="str">
        <f t="shared" si="155"/>
        <v>"C:\Program Files (x86)\AstroGrep\AstroGrep.exe" /e /r /s /spath="%USERPROFILE%\AppData\Local\Temp\OnboardLogs" /stypes="app*4026*20171126*" /stext=" 23:.+((SYSTEM_STATE.+slice.+state.+changed )|(ment ac)|(multiple cpu faults)|(system.+state.+changed )|(\[timeout)|(PRM\|1\|D)|(kpr)|(kdp)|(train st.+moving)|(\|lc)|(penalty))"</v>
      </c>
      <c r="AG183" s="245" t="str">
        <f t="shared" si="156"/>
        <v>NW</v>
      </c>
      <c r="AH183" s="237" t="str">
        <f t="shared" si="102"/>
        <v>"%USERPROFILE%\Documents\GitHub\eaglep3\Utilities\RefineRTDCRunTimes.py" --tripid 1821-26 --locoid 4026 --swversion DE.1.0.9.0 --startMP 204:1156 --initTime 2017-11-26T16:03:27 --startdatetime 2017-11-26T16:09:29 --delay 57 --endMP 300:58976 --enddatetime 2017-11-26T16:22:58 --enforcementcount 0 &gt;&gt;%USERPROFILE%\Documents\GitHub\eaglep3-reporting\EC\2017-11-26-refined-times.txt</v>
      </c>
      <c r="AI183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{"issue":{"subject":"","project_id":79,"tracker_id":40,"status_id":1,"priority_id":2,"assigned_to_id":338,"start_date":"2017-11-26","description":"","custom_fields":[{"id":1,"name":"Subdivision","value":"NW"},{"id":4,"name":"Milepost","value":"5.8976"},{"id":17,"name":"Train ID","value":"1821-26"},{"id":16,"name":"Locomotive ID","value":"4026"},{"id":130,"name":"Impact","value":""},{"id":150,"name":"Time of Event (Mountain Time)","value":"16:22:58"},{"id":151,"name":"Denver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104"/>
        <v>start /low /b %USERPROFILE%\Documents\GitHub\eaglep3\Utilities\DownloadLogsFromS3.py --loco 4026 --day 2017-11-26</v>
      </c>
      <c r="AN183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106"/>
        <v>https://d0f6bd738d7f1b3e5a7ca70fe4ff75f0.us-east-1.aws.found.io/app/kibana#/discover/Steve-Slow-Train-Analysis-(2080s-and-2083s)?_g=(refreshInterval:(display:Off,pause:!f,section:0,value:0),time:(from:'2017-11-26T15:03:27-0700',mode:absolute,to:'2017-11-26T17:22:58-0700'))&amp;_a=(columns:!('Message%20ID',Summary),filters:!(),index:'emp_*',interval:auto,query:(query_string:(analyze_wildcard:!t,query:'%22rtdc.l.rtdc.4026%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825</v>
      </c>
      <c r="B184" s="226">
        <v>4025</v>
      </c>
      <c r="C184" s="228" t="s">
        <v>192</v>
      </c>
      <c r="D184" s="228" t="s">
        <v>981</v>
      </c>
      <c r="E184" s="227">
        <v>43065.683472222219</v>
      </c>
      <c r="F184" s="227">
        <v>43065.695833333331</v>
      </c>
      <c r="G184" s="226">
        <v>55</v>
      </c>
      <c r="H184" s="228" t="s">
        <v>974</v>
      </c>
      <c r="I184" s="227">
        <v>43065.70484953704</v>
      </c>
      <c r="J184" s="226">
        <v>0</v>
      </c>
      <c r="K184" s="238" t="str">
        <f t="shared" si="143"/>
        <v>4025/4026</v>
      </c>
      <c r="L184" s="246" t="str">
        <f>VLOOKUP(A184,'Trips&amp;Operators'!$C$1:$G$99911,5,FALSE)</f>
        <v>HOLCOMB KAMDEN</v>
      </c>
      <c r="M184" s="225">
        <f t="shared" si="144"/>
        <v>9.0162037085974589E-3</v>
      </c>
      <c r="N184" s="226">
        <f t="shared" si="145"/>
        <v>12.983333340380341</v>
      </c>
      <c r="O184" s="226"/>
      <c r="P184" s="226"/>
      <c r="Q184" s="229"/>
      <c r="R184" s="243"/>
      <c r="S184" s="250">
        <f t="shared" si="146"/>
        <v>1</v>
      </c>
      <c r="T184" s="243" t="str">
        <f t="shared" si="147"/>
        <v>Southbound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148"/>
        <v>https://d0f6bd738d7f1b3e5a7ca70fe4ff75f0.us-east-1.aws.found.io/app/kibana#/discover/Steve-Slow-Train-Analysis-(2080s-and-2083s)?_g=(refreshInterval:(display:Off,pause:!f,section:0,value:0),time:(from:'2017-11-26T15:24:12-0700',mode:absolute,to:'2017-11-26T17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248" t="str">
        <f>IF(AA184&lt;VLOOKUP(AG184,Variables!$AC$3:$AD$8,2,FALSE),"Y","N")</f>
        <v>N</v>
      </c>
      <c r="X184" s="248">
        <f t="shared" si="149"/>
        <v>1</v>
      </c>
      <c r="Y184" s="248">
        <f t="shared" si="150"/>
        <v>5.8662000000000001</v>
      </c>
      <c r="Z184" s="248">
        <f t="shared" si="151"/>
        <v>8.9899999999999994E-2</v>
      </c>
      <c r="AA184" s="248">
        <f t="shared" si="152"/>
        <v>5.7763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153"/>
        <v>1822</v>
      </c>
      <c r="AE184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84" s="235" t="str">
        <f t="shared" si="155"/>
        <v>"C:\Program Files (x86)\AstroGrep\AstroGrep.exe" /e /r /s /spath="%USERPROFILE%\AppData\Local\Temp\OnboardLogs" /stypes="app*4025*20171126*" /stext=" 23:.+((SYSTEM_STATE.+slice.+state.+changed )|(ment ac)|(multiple cpu faults)|(system.+state.+changed )|(\[timeout)|(PRM\|1\|D)|(kpr)|(kdp)|(train st.+moving)|(\|lc)|(penalty))"</v>
      </c>
      <c r="AG184" s="245" t="str">
        <f t="shared" si="156"/>
        <v>NW</v>
      </c>
      <c r="AH184" s="237" t="str">
        <f t="shared" si="102"/>
        <v>"%USERPROFILE%\Documents\GitHub\eaglep3\Utilities\RefineRTDCRunTimes.py" --tripid 1822-26 --locoid 4025 --swversion DE.1.0.9.0 --startMP 300:58662 --initTime 2017-11-26T16:24:12 --startdatetime 2017-11-26T16:42:00 --delay 55 --endMP 204:899 --enddatetime 2017-11-26T16:54:59 --enforcementcount 0 &gt;&gt;%USERPROFILE%\Documents\GitHub\eaglep3-reporting\EC\2017-11-26-refined-times.txt</v>
      </c>
      <c r="AI184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{"issue":{"subject":"","project_id":79,"tracker_id":40,"status_id":1,"priority_id":2,"assigned_to_id":338,"start_date":"2017-11-26","description":"","custom_fields":[{"id":1,"name":"Subdivision","value":"NW"},{"id":4,"name":"Milepost","value":"0.0899"},{"id":17,"name":"Train ID","value":"1822-26"},{"id":16,"name":"Locomotive ID","value":"4025"},{"id":130,"name":"Impact","value":""},{"id":150,"name":"Time of Event (Mountain Time)","value":"16:54:59"},{"id":151,"name":"Denver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104"/>
        <v>start /low /b %USERPROFILE%\Documents\GitHub\eaglep3\Utilities\DownloadLogsFromS3.py --loco 4025 --day 2017-11-26</v>
      </c>
      <c r="AN184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106"/>
        <v>https://d0f6bd738d7f1b3e5a7ca70fe4ff75f0.us-east-1.aws.found.io/app/kibana#/discover/Steve-Slow-Train-Analysis-(2080s-and-2083s)?_g=(refreshInterval:(display:Off,pause:!f,section:0,value:0),time:(from:'2017-11-26T15:24:12-0700',mode:absolute,to:'2017-11-26T17:54:59-0700'))&amp;_a=(columns:!('Message%20ID',Summary),filters:!(),index:'emp_*',interval:auto,query:(query_string:(analyze_wildcard:!t,query:'%22rtdc.l.rtdc.4025%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4" customFormat="1" x14ac:dyDescent="0.25">
      <c r="A185" s="230" t="s">
        <v>832</v>
      </c>
      <c r="B185" s="226">
        <v>4026</v>
      </c>
      <c r="C185" s="228" t="s">
        <v>192</v>
      </c>
      <c r="D185" s="228" t="s">
        <v>1075</v>
      </c>
      <c r="E185" s="227">
        <v>43065.712453703702</v>
      </c>
      <c r="F185" s="227">
        <v>43065.713229166664</v>
      </c>
      <c r="G185" s="226">
        <v>53</v>
      </c>
      <c r="H185" s="228" t="s">
        <v>980</v>
      </c>
      <c r="I185" s="227">
        <v>43065.724386574075</v>
      </c>
      <c r="J185" s="226">
        <v>0</v>
      </c>
      <c r="K185" s="238" t="str">
        <f t="shared" ref="K185" si="175">IF(ISEVEN(B185),(B185-1)&amp;"/"&amp;B185,B185&amp;"/"&amp;(B185+1))</f>
        <v>4025/4026</v>
      </c>
      <c r="L185" s="246" t="str">
        <f>VLOOKUP(A185,'Trips&amp;Operators'!$C$1:$G$99911,5,FALSE)</f>
        <v>HOLCOMB KAMDEN</v>
      </c>
      <c r="M185" s="225">
        <f t="shared" ref="M185" si="176">I185-F185</f>
        <v>1.1157407410792075E-2</v>
      </c>
      <c r="N185" s="226">
        <f t="shared" si="145"/>
        <v>16.066666671540588</v>
      </c>
      <c r="O185" s="226"/>
      <c r="P185" s="226"/>
      <c r="Q185" s="229"/>
      <c r="R185" s="243"/>
      <c r="S185" s="250">
        <f t="shared" ref="S185" si="177">1/IF(AG185="EC",12,1)*SUM(U185:U185)</f>
        <v>1</v>
      </c>
      <c r="T185" s="243" t="str">
        <f t="shared" ref="T185" si="178">IF(ISEVEN(LEFT(AD185,4)),"Southbound","NorthBound")</f>
        <v>NorthBound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ref="V185" si="179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-26T16:05:56-0700',mode:absolute,to:'2017-11-26T18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248" t="str">
        <f>IF(AA185&lt;VLOOKUP(AG185,Variables!$AC$3:$AD$8,2,FALSE),"Y","N")</f>
        <v>N</v>
      </c>
      <c r="X185" s="248">
        <f t="shared" si="149"/>
        <v>1</v>
      </c>
      <c r="Y185" s="248">
        <f t="shared" ref="Y185" si="180">RIGHT(D185,LEN(D185)-4)/10000</f>
        <v>0.1149</v>
      </c>
      <c r="Z185" s="248">
        <f t="shared" ref="Z185" si="181">RIGHT(H185,LEN(H185)-4)/10000</f>
        <v>5.8975999999999997</v>
      </c>
      <c r="AA185" s="248">
        <f t="shared" ref="AA185" si="182">ABS(Z185-Y185)</f>
        <v>5.7827000000000002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ref="AD185" si="183">VALUE(LEFT(A185,LEN(A185)-3))</f>
        <v>1823</v>
      </c>
      <c r="AE185" s="236" t="str">
        <f t="shared" ref="AE185" si="184"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85" s="235" t="str">
        <f t="shared" ref="AF185" si="185"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/stypes="app*4026*20171127*" /stext=" 00:.+((SYSTEM_STATE.+slice.+state.+changed )|(ment ac)|(multiple cpu faults)|(system.+state.+changed )|(\[timeout)|(PRM\|1\|D)|(kpr)|(kdp)|(train st.+moving)|(\|lc)|(penalty))"</v>
      </c>
      <c r="AG185" s="245" t="str">
        <f t="shared" ref="AG185" si="186">DetSubdiv(A185)</f>
        <v>NW</v>
      </c>
      <c r="AH185" s="237" t="str">
        <f t="shared" ref="AH185" si="187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1823-26 --locoid 4026 --swversion DE.1.0.9.0 --startMP 204:1149 --initTime 2017-11-26T17:05:56 --startdatetime 2017-11-26T17:07:03 --delay 53 --endMP 300:58976 --enddatetime 2017-11-26T17:23:07 --enforcementcount 0 &gt;&gt;%USERPROFILE%\Documents\GitHub\eaglep3-reporting\EC\2017-11-26-refined-times.txt</v>
      </c>
      <c r="AI185" s="239" t="str">
        <f t="shared" ref="AI185" si="188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{"issue":{"subject":"","project_id":79,"tracker_id":40,"status_id":1,"priority_id":2,"assigned_to_id":338,"start_date":"2017-11-26","description":"","custom_fields":[{"id":1,"name":"Subdivision","value":"NW"},{"id":4,"name":"Milepost","value":"5.8976"},{"id":17,"name":"Train ID","value":"1823-26"},{"id":16,"name":"Locomotive ID","value":"4026"},{"id":130,"name":"Impact","value":""},{"id":150,"name":"Time of Event (Mountain Time)","value":"17:23:07"},{"id":151,"name":"Denver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2"/>
      <c r="AL185" s="232"/>
      <c r="AM185" s="241" t="str">
        <f t="shared" ref="AM185" si="189">"start /low /b "&amp;dls3logs&amp;" --loco "&amp;B185&amp;" --day "&amp;TEXT(F185,"YYYY-MM-DD")</f>
        <v>start /low /b %USERPROFILE%\Documents\GitHub\eaglep3\Utilities\DownloadLogsFromS3.py --loco 4026 --day 2017-11-26</v>
      </c>
      <c r="AN185" s="242" t="str">
        <f t="shared" ref="AN185" si="190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ref="AO185" si="191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-26T16:05:56-0700',mode:absolute,to:'2017-11-26T18:23:07-0700'))&amp;_a=(columns:!('Message%20ID',Summary),filters:!(),index:'emp_*',interval:auto,query:(query_string:(analyze_wildcard:!t,query:'%22rtdc.l.rtdc.4026%22')),sort:!(Time.ISO8601,asc))</v>
      </c>
    </row>
    <row r="186" spans="1:91" s="20" customFormat="1" x14ac:dyDescent="0.25">
      <c r="A186" s="230" t="s">
        <v>837</v>
      </c>
      <c r="B186" s="226">
        <v>4025</v>
      </c>
      <c r="C186" s="228" t="s">
        <v>192</v>
      </c>
      <c r="D186" s="228" t="s">
        <v>982</v>
      </c>
      <c r="E186" s="227">
        <v>43065.725347222222</v>
      </c>
      <c r="F186" s="227">
        <v>43065.737500000003</v>
      </c>
      <c r="G186" s="226">
        <v>53</v>
      </c>
      <c r="H186" s="228" t="s">
        <v>983</v>
      </c>
      <c r="I186" s="227">
        <v>43065.746516203704</v>
      </c>
      <c r="J186" s="226">
        <v>0</v>
      </c>
      <c r="K186" s="238" t="str">
        <f t="shared" si="143"/>
        <v>4025/4026</v>
      </c>
      <c r="L186" s="246" t="str">
        <f>VLOOKUP(A186,'Trips&amp;Operators'!$C$1:$G$99911,5,FALSE)</f>
        <v>HOLCOMB KAMDEN</v>
      </c>
      <c r="M186" s="225">
        <f t="shared" si="144"/>
        <v>9.0162037013215013E-3</v>
      </c>
      <c r="N186" s="226">
        <f t="shared" si="145"/>
        <v>12.983333329902962</v>
      </c>
      <c r="O186" s="226"/>
      <c r="P186" s="226"/>
      <c r="Q186" s="229"/>
      <c r="R186" s="243"/>
      <c r="S186" s="250">
        <f t="shared" si="146"/>
        <v>1</v>
      </c>
      <c r="T186" s="243" t="str">
        <f t="shared" si="147"/>
        <v>Southbound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148"/>
        <v>https://d0f6bd738d7f1b3e5a7ca70fe4ff75f0.us-east-1.aws.found.io/app/kibana#/discover/Steve-Slow-Train-Analysis-(2080s-and-2083s)?_g=(refreshInterval:(display:Off,pause:!f,section:0,value:0),time:(from:'2017-11-26T16:24:30-0700',mode:absolute,to:'2017-11-26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248" t="str">
        <f>IF(AA186&lt;VLOOKUP(AG186,Variables!$AC$3:$AD$8,2,FALSE),"Y","N")</f>
        <v>N</v>
      </c>
      <c r="X186" s="248">
        <f t="shared" si="149"/>
        <v>1</v>
      </c>
      <c r="Y186" s="248">
        <f t="shared" si="150"/>
        <v>5.8666</v>
      </c>
      <c r="Z186" s="248">
        <f t="shared" si="151"/>
        <v>8.7999999999999995E-2</v>
      </c>
      <c r="AA186" s="248">
        <f t="shared" si="152"/>
        <v>5.7786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153"/>
        <v>1824</v>
      </c>
      <c r="AE186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86" s="235" t="str">
        <f t="shared" si="155"/>
        <v>"C:\Program Files (x86)\AstroGrep\AstroGrep.exe" /e /r /s /spath="%USERPROFILE%\AppData\Local\Temp\OnboardLogs" /stypes="app*4025*20171127*" /stext=" 00:.+((SYSTEM_STATE.+slice.+state.+changed )|(ment ac)|(multiple cpu faults)|(system.+state.+changed )|(\[timeout)|(PRM\|1\|D)|(kpr)|(kdp)|(train st.+moving)|(\|lc)|(penalty))"</v>
      </c>
      <c r="AG186" s="245" t="str">
        <f t="shared" si="156"/>
        <v>NW</v>
      </c>
      <c r="AH186" s="237" t="str">
        <f t="shared" si="102"/>
        <v>"%USERPROFILE%\Documents\GitHub\eaglep3\Utilities\RefineRTDCRunTimes.py" --tripid 1824-26 --locoid 4025 --swversion DE.1.0.9.0 --startMP 300:58666 --initTime 2017-11-26T17:24:30 --startdatetime 2017-11-26T17:42:00 --delay 53 --endMP 204:880 --enddatetime 2017-11-26T17:54:59 --enforcementcount 0 &gt;&gt;%USERPROFILE%\Documents\GitHub\eaglep3-reporting\EC\2017-11-26-refined-times.txt</v>
      </c>
      <c r="AI186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{"issue":{"subject":"","project_id":79,"tracker_id":40,"status_id":1,"priority_id":2,"assigned_to_id":338,"start_date":"2017-11-26","description":"","custom_fields":[{"id":1,"name":"Subdivision","value":"NW"},{"id":4,"name":"Milepost","value":"0.088"},{"id":17,"name":"Train ID","value":"1824-26"},{"id":16,"name":"Locomotive ID","value":"4025"},{"id":130,"name":"Impact","value":""},{"id":150,"name":"Time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104"/>
        <v>start /low /b %USERPROFILE%\Documents\GitHub\eaglep3\Utilities\DownloadLogsFromS3.py --loco 4025 --day 2017-11-26</v>
      </c>
      <c r="AN186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106"/>
        <v>https://d0f6bd738d7f1b3e5a7ca70fe4ff75f0.us-east-1.aws.found.io/app/kibana#/discover/Steve-Slow-Train-Analysis-(2080s-and-2083s)?_g=(refreshInterval:(display:Off,pause:!f,section:0,value:0),time:(from:'2017-11-26T16:24:30-0700',mode:absolute,to:'2017-11-26T18:54:59-0700'))&amp;_a=(columns:!('Message%20ID',Summary),filters:!(),index:'emp_*',interval:auto,query:(query_string:(analyze_wildcard:!t,query:'%22rtdc.l.rtdc.4025%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844</v>
      </c>
      <c r="B187" s="226">
        <v>4026</v>
      </c>
      <c r="C187" s="228" t="s">
        <v>192</v>
      </c>
      <c r="D187" s="228" t="s">
        <v>984</v>
      </c>
      <c r="E187" s="227">
        <v>43065.750960648147</v>
      </c>
      <c r="F187" s="227">
        <v>43065.756527777776</v>
      </c>
      <c r="G187" s="226">
        <v>68</v>
      </c>
      <c r="H187" s="228" t="s">
        <v>650</v>
      </c>
      <c r="I187" s="227">
        <v>43065.765763888892</v>
      </c>
      <c r="J187" s="226">
        <v>0</v>
      </c>
      <c r="K187" s="238" t="str">
        <f t="shared" si="143"/>
        <v>4025/4026</v>
      </c>
      <c r="L187" s="246" t="str">
        <f>VLOOKUP(A187,'Trips&amp;Operators'!$C$1:$G$99911,5,FALSE)</f>
        <v>HOLCOMB KAMDEN</v>
      </c>
      <c r="M187" s="225">
        <f t="shared" si="144"/>
        <v>9.236111116479151E-3</v>
      </c>
      <c r="N187" s="226">
        <f t="shared" si="145"/>
        <v>13.300000007729977</v>
      </c>
      <c r="O187" s="226"/>
      <c r="P187" s="226"/>
      <c r="Q187" s="229"/>
      <c r="R187" s="243"/>
      <c r="S187" s="250">
        <f t="shared" si="146"/>
        <v>1</v>
      </c>
      <c r="T187" s="243" t="str">
        <f t="shared" si="147"/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148"/>
        <v>https://d0f6bd738d7f1b3e5a7ca70fe4ff75f0.us-east-1.aws.found.io/app/kibana#/discover/Steve-Slow-Train-Analysis-(2080s-and-2083s)?_g=(refreshInterval:(display:Off,pause:!f,section:0,value:0),time:(from:'2017-11-26T17:01:23-0700',mode:absolute,to:'2017-11-26T19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248" t="str">
        <f>IF(AA187&lt;VLOOKUP(AG187,Variables!$AC$3:$AD$8,2,FALSE),"Y","N")</f>
        <v>N</v>
      </c>
      <c r="X187" s="248">
        <f t="shared" si="149"/>
        <v>1</v>
      </c>
      <c r="Y187" s="248">
        <f t="shared" si="150"/>
        <v>0.1125</v>
      </c>
      <c r="Z187" s="248">
        <f t="shared" si="151"/>
        <v>5.8971</v>
      </c>
      <c r="AA187" s="248">
        <f t="shared" si="152"/>
        <v>5.7846000000000002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153"/>
        <v>1825</v>
      </c>
      <c r="AE187" s="236" t="str">
        <f t="shared" si="154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87" s="235" t="str">
        <f t="shared" si="155"/>
        <v>"C:\Program Files (x86)\AstroGrep\AstroGrep.exe" /e /r /s /spath="%USERPROFILE%\AppData\Local\Temp\OnboardLogs" /stypes="app*4026*20171127*" /stext=" 01:.+((SYSTEM_STATE.+slice.+state.+changed )|(ment ac)|(multiple cpu faults)|(system.+state.+changed )|(\[timeout)|(PRM\|1\|D)|(kpr)|(kdp)|(train st.+moving)|(\|lc)|(penalty))"</v>
      </c>
      <c r="AG187" s="245" t="str">
        <f t="shared" si="156"/>
        <v>NW</v>
      </c>
      <c r="AH187" s="237" t="str">
        <f t="shared" si="102"/>
        <v>"%USERPROFILE%\Documents\GitHub\eaglep3\Utilities\RefineRTDCRunTimes.py" --tripid 1825-26 --locoid 4026 --swversion DE.1.0.9.0 --startMP 204:1125 --initTime 2017-11-26T18:01:23 --startdatetime 2017-11-26T18:09:24 --delay 68 --endMP 300:58971 --enddatetime 2017-11-26T18:22:42 --enforcementcount 0 &gt;&gt;%USERPROFILE%\Documents\GitHub\eaglep3-reporting\EC\2017-11-26-refined-times.txt</v>
      </c>
      <c r="AI187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{"issue":{"subject":"","project_id":79,"tracker_id":40,"status_id":1,"priority_id":2,"assigned_to_id":338,"start_date":"2017-11-26","description":"","custom_fields":[{"id":1,"name":"Subdivision","value":"NW"},{"id":4,"name":"Milepost","value":"5.8971"},{"id":17,"name":"Train ID","value":"1825-26"},{"id":16,"name":"Locomotive ID","value":"4026"},{"id":130,"name":"Impact","value":""},{"id":150,"name":"Time of Event (Mountain Time)","value":"18:22:42"},{"id":151,"name":"Denver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104"/>
        <v>start /low /b %USERPROFILE%\Documents\GitHub\eaglep3\Utilities\DownloadLogsFromS3.py --loco 4026 --day 2017-11-26</v>
      </c>
      <c r="AN187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106"/>
        <v>https://d0f6bd738d7f1b3e5a7ca70fe4ff75f0.us-east-1.aws.found.io/app/kibana#/discover/Steve-Slow-Train-Analysis-(2080s-and-2083s)?_g=(refreshInterval:(display:Off,pause:!f,section:0,value:0),time:(from:'2017-11-26T17:01:23-0700',mode:absolute,to:'2017-11-26T19:22:42-0700'))&amp;_a=(columns:!('Message%20ID',Summary),filters:!(),index:'emp_*',interval:auto,query:(query_string:(analyze_wildcard:!t,query:'%22rtdc.l.rtdc.4026%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848</v>
      </c>
      <c r="B188" s="226">
        <v>4025</v>
      </c>
      <c r="C188" s="228" t="s">
        <v>192</v>
      </c>
      <c r="D188" s="228" t="s">
        <v>985</v>
      </c>
      <c r="E188" s="227">
        <v>43065.766631944447</v>
      </c>
      <c r="F188" s="227">
        <v>43065.779166666667</v>
      </c>
      <c r="G188" s="226">
        <v>80</v>
      </c>
      <c r="H188" s="228" t="s">
        <v>955</v>
      </c>
      <c r="I188" s="227">
        <v>43065.788622685184</v>
      </c>
      <c r="J188" s="226">
        <v>0</v>
      </c>
      <c r="K188" s="238" t="str">
        <f t="shared" si="143"/>
        <v>4025/4026</v>
      </c>
      <c r="L188" s="246" t="str">
        <f>VLOOKUP(A188,'Trips&amp;Operators'!$C$1:$G$99911,5,FALSE)</f>
        <v>HOLCOMB KAMDEN</v>
      </c>
      <c r="M188" s="225">
        <f t="shared" si="144"/>
        <v>9.4560185170848854E-3</v>
      </c>
      <c r="N188" s="226">
        <f t="shared" si="145"/>
        <v>13.616666664602235</v>
      </c>
      <c r="O188" s="226"/>
      <c r="P188" s="226"/>
      <c r="Q188" s="229"/>
      <c r="R188" s="243"/>
      <c r="S188" s="250">
        <f t="shared" si="146"/>
        <v>1</v>
      </c>
      <c r="T188" s="243" t="str">
        <f t="shared" si="147"/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148"/>
        <v>https://d0f6bd738d7f1b3e5a7ca70fe4ff75f0.us-east-1.aws.found.io/app/kibana#/discover/Steve-Slow-Train-Analysis-(2080s-and-2083s)?_g=(refreshInterval:(display:Off,pause:!f,section:0,value:0),time:(from:'2017-11-26T17:23:57-0700',mode:absolute,to:'2017-11-26T19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248" t="str">
        <f>IF(AA188&lt;VLOOKUP(AG188,Variables!$AC$3:$AD$8,2,FALSE),"Y","N")</f>
        <v>N</v>
      </c>
      <c r="X188" s="248">
        <f t="shared" si="149"/>
        <v>1</v>
      </c>
      <c r="Y188" s="248">
        <f t="shared" si="150"/>
        <v>5.8658000000000001</v>
      </c>
      <c r="Z188" s="248">
        <f t="shared" si="151"/>
        <v>8.1299999999999997E-2</v>
      </c>
      <c r="AA188" s="248">
        <f t="shared" si="152"/>
        <v>5.7845000000000004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153"/>
        <v>1826</v>
      </c>
      <c r="AE188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88" s="235" t="str">
        <f t="shared" si="155"/>
        <v>"C:\Program Files (x86)\AstroGrep\AstroGrep.exe" /e /r /s /spath="%USERPROFILE%\AppData\Local\Temp\OnboardLogs" /stypes="app*4025*20171127*" /stext=" 01:.+((SYSTEM_STATE.+slice.+state.+changed )|(ment ac)|(multiple cpu faults)|(system.+state.+changed )|(\[timeout)|(PRM\|1\|D)|(kpr)|(kdp)|(train st.+moving)|(\|lc)|(penalty))"</v>
      </c>
      <c r="AG188" s="245" t="str">
        <f t="shared" si="156"/>
        <v>NW</v>
      </c>
      <c r="AH188" s="237" t="str">
        <f t="shared" si="102"/>
        <v>"%USERPROFILE%\Documents\GitHub\eaglep3\Utilities\RefineRTDCRunTimes.py" --tripid 1826-26 --locoid 4025 --swversion DE.1.0.9.0 --startMP 300:58658 --initTime 2017-11-26T18:23:57 --startdatetime 2017-11-26T18:42:00 --delay 80 --endMP 204:813 --enddatetime 2017-11-26T18:55:37 --enforcementcount 0 &gt;&gt;%USERPROFILE%\Documents\GitHub\eaglep3-reporting\EC\2017-11-26-refined-times.txt</v>
      </c>
      <c r="AI188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{"issue":{"subject":"","project_id":79,"tracker_id":40,"status_id":1,"priority_id":2,"assigned_to_id":338,"start_date":"2017-11-26","description":"","custom_fields":[{"id":1,"name":"Subdivision","value":"NW"},{"id":4,"name":"Milepost","value":"0.0813"},{"id":17,"name":"Train ID","value":"1826-26"},{"id":16,"name":"Locomotive ID","value":"4025"},{"id":130,"name":"Impact","value":""},{"id":150,"name":"Time of Event (Mountain Time)","value":"18:55:37"},{"id":151,"name":"Denver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104"/>
        <v>start /low /b %USERPROFILE%\Documents\GitHub\eaglep3\Utilities\DownloadLogsFromS3.py --loco 4025 --day 2017-11-26</v>
      </c>
      <c r="AN188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106"/>
        <v>https://d0f6bd738d7f1b3e5a7ca70fe4ff75f0.us-east-1.aws.found.io/app/kibana#/discover/Steve-Slow-Train-Analysis-(2080s-and-2083s)?_g=(refreshInterval:(display:Off,pause:!f,section:0,value:0),time:(from:'2017-11-26T17:23:57-0700',mode:absolute,to:'2017-11-26T19:55:37-0700'))&amp;_a=(columns:!('Message%20ID',Summary),filters:!(),index:'emp_*',interval:auto,query:(query_string:(analyze_wildcard:!t,query:'%22rtdc.l.rtdc.4025%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4" customFormat="1" x14ac:dyDescent="0.25">
      <c r="A189" s="230" t="s">
        <v>857</v>
      </c>
      <c r="B189" s="226">
        <v>4026</v>
      </c>
      <c r="C189" s="228" t="s">
        <v>192</v>
      </c>
      <c r="D189" s="228" t="s">
        <v>1076</v>
      </c>
      <c r="E189" s="227">
        <v>43065.796689814815</v>
      </c>
      <c r="F189" s="227">
        <v>43065.797569444447</v>
      </c>
      <c r="G189" s="226">
        <v>61</v>
      </c>
      <c r="H189" s="228" t="s">
        <v>1077</v>
      </c>
      <c r="I189" s="227">
        <v>43065.807511574072</v>
      </c>
      <c r="J189" s="226">
        <v>0</v>
      </c>
      <c r="K189" s="238" t="str">
        <f t="shared" ref="K189" si="192">IF(ISEVEN(B189),(B189-1)&amp;"/"&amp;B189,B189&amp;"/"&amp;(B189+1))</f>
        <v>4025/4026</v>
      </c>
      <c r="L189" s="246" t="str">
        <f>VLOOKUP(A189,'Trips&amp;Operators'!$C$1:$G$99911,5,FALSE)</f>
        <v>HOLCOMB KAMDEN</v>
      </c>
      <c r="M189" s="225">
        <f t="shared" ref="M189" si="193">I189-F189</f>
        <v>9.9421296254149638E-3</v>
      </c>
      <c r="N189" s="226">
        <f t="shared" si="145"/>
        <v>14.316666660597548</v>
      </c>
      <c r="O189" s="226"/>
      <c r="P189" s="226"/>
      <c r="Q189" s="229"/>
      <c r="R189" s="243"/>
      <c r="S189" s="250">
        <f t="shared" ref="S189" si="194">1/IF(AG189="EC",12,1)*SUM(U189:U189)</f>
        <v>1</v>
      </c>
      <c r="T189" s="243" t="str">
        <f t="shared" ref="T189" si="195">IF(ISEVEN(LEFT(AD189,4)),"Southbound","NorthBound")</f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ref="V189" si="196"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-26T18:07:14-0700',mode:absolute,to:'2017-11-26T20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248" t="str">
        <f>IF(AA189&lt;VLOOKUP(AG189,Variables!$AC$3:$AD$8,2,FALSE),"Y","N")</f>
        <v>N</v>
      </c>
      <c r="X189" s="248">
        <f t="shared" ref="X189:X191" si="197">VALUE(LEFT(AD189,4))-VALUE(LEFT(AD188,4))</f>
        <v>1</v>
      </c>
      <c r="Y189" s="248">
        <f t="shared" ref="Y189" si="198">RIGHT(D189,LEN(D189)-4)/10000</f>
        <v>0.1109</v>
      </c>
      <c r="Z189" s="248">
        <f t="shared" ref="Z189" si="199">RIGHT(H189,LEN(H189)-4)/10000</f>
        <v>5.8978000000000002</v>
      </c>
      <c r="AA189" s="248">
        <f t="shared" ref="AA189" si="200">ABS(Z189-Y189)</f>
        <v>5.7869000000000002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ref="AD189" si="201">VALUE(LEFT(A189,LEN(A189)-3))</f>
        <v>1827</v>
      </c>
      <c r="AE189" s="236" t="str">
        <f t="shared" ref="AE189" si="202"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89" s="235" t="str">
        <f t="shared" ref="AF189" si="203"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/stypes="app*4026*20171127*" /stext=" 02:.+((SYSTEM_STATE.+slice.+state.+changed )|(ment ac)|(multiple cpu faults)|(system.+state.+changed )|(\[timeout)|(PRM\|1\|D)|(kpr)|(kdp)|(train st.+moving)|(\|lc)|(penalty))"</v>
      </c>
      <c r="AG189" s="245" t="str">
        <f t="shared" ref="AG189" si="204">DetSubdiv(A189)</f>
        <v>NW</v>
      </c>
      <c r="AH189" s="237" t="str">
        <f t="shared" ref="AH189" si="205"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1827-26 --locoid 4026 --swversion DE.1.0.9.0 --startMP 204:1109 --initTime 2017-11-26T19:07:14 --startdatetime 2017-11-26T19:08:30 --delay 61 --endMP 300:58978 --enddatetime 2017-11-26T19:22:49 --enforcementcount 0 &gt;&gt;%USERPROFILE%\Documents\GitHub\eaglep3-reporting\EC\2017-11-26-refined-times.txt</v>
      </c>
      <c r="AI189" s="239" t="str">
        <f t="shared" ref="AI189" si="206"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{"issue":{"subject":"","project_id":79,"tracker_id":40,"status_id":1,"priority_id":2,"assigned_to_id":338,"start_date":"2017-11-26","description":"","custom_fields":[{"id":1,"name":"Subdivision","value":"NW"},{"id":4,"name":"Milepost","value":"5.8978"},{"id":17,"name":"Train ID","value":"1827-26"},{"id":16,"name":"Locomotive ID","value":"4026"},{"id":130,"name":"Impact","value":""},{"id":150,"name":"Time of Event (Mountain Time)","value":"19:22:49"},{"id":151,"name":"Denver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2"/>
      <c r="AL189" s="232"/>
      <c r="AM189" s="241" t="str">
        <f t="shared" ref="AM189" si="207">"start /low /b "&amp;dls3logs&amp;" --loco "&amp;B189&amp;" --day "&amp;TEXT(F189,"YYYY-MM-DD")</f>
        <v>start /low /b %USERPROFILE%\Documents\GitHub\eaglep3\Utilities\DownloadLogsFromS3.py --loco 4026 --day 2017-11-26</v>
      </c>
      <c r="AN189" s="242" t="str">
        <f t="shared" ref="AN189" si="208"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ref="AO189" si="209"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-26T18:07:14-0700',mode:absolute,to:'2017-11-26T20:22:49-0700'))&amp;_a=(columns:!('Message%20ID',Summary),filters:!(),index:'emp_*',interval:auto,query:(query_string:(analyze_wildcard:!t,query:'%22rtdc.l.rtdc.4026%22')),sort:!(Time.ISO8601,asc))</v>
      </c>
    </row>
    <row r="190" spans="1:91" s="20" customFormat="1" x14ac:dyDescent="0.25">
      <c r="A190" s="230" t="s">
        <v>860</v>
      </c>
      <c r="B190" s="226">
        <v>4025</v>
      </c>
      <c r="C190" s="228" t="s">
        <v>192</v>
      </c>
      <c r="D190" s="228" t="s">
        <v>986</v>
      </c>
      <c r="E190" s="227">
        <v>43065.808668981481</v>
      </c>
      <c r="F190" s="227">
        <v>43065.820833333331</v>
      </c>
      <c r="G190" s="226">
        <v>55</v>
      </c>
      <c r="H190" s="228" t="s">
        <v>552</v>
      </c>
      <c r="I190" s="227">
        <v>43065.83053240741</v>
      </c>
      <c r="J190" s="226">
        <v>0</v>
      </c>
      <c r="K190" s="238" t="str">
        <f t="shared" si="143"/>
        <v>4025/4026</v>
      </c>
      <c r="L190" s="246" t="str">
        <f>VLOOKUP(A190,'Trips&amp;Operators'!$C$1:$G$99911,5,FALSE)</f>
        <v>HOLCOMB KAMDEN</v>
      </c>
      <c r="M190" s="225">
        <f t="shared" si="144"/>
        <v>9.6990740785258822E-3</v>
      </c>
      <c r="N190" s="226">
        <f t="shared" si="145"/>
        <v>13.96666667307727</v>
      </c>
      <c r="O190" s="226"/>
      <c r="P190" s="226"/>
      <c r="Q190" s="229"/>
      <c r="R190" s="243"/>
      <c r="S190" s="250">
        <f t="shared" si="146"/>
        <v>1</v>
      </c>
      <c r="T190" s="243" t="str">
        <f t="shared" si="147"/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148"/>
        <v>https://d0f6bd738d7f1b3e5a7ca70fe4ff75f0.us-east-1.aws.found.io/app/kibana#/discover/Steve-Slow-Train-Analysis-(2080s-and-2083s)?_g=(refreshInterval:(display:Off,pause:!f,section:0,value:0),time:(from:'2017-11-26T18:24:29-0700',mode:absolute,to:'2017-11-26T20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248" t="str">
        <f>IF(AA190&lt;VLOOKUP(AG190,Variables!$AC$3:$AD$8,2,FALSE),"Y","N")</f>
        <v>N</v>
      </c>
      <c r="X190" s="248">
        <f t="shared" si="197"/>
        <v>1</v>
      </c>
      <c r="Y190" s="248">
        <f t="shared" si="150"/>
        <v>5.8673000000000002</v>
      </c>
      <c r="Z190" s="248">
        <f t="shared" si="151"/>
        <v>8.3799999999999999E-2</v>
      </c>
      <c r="AA190" s="248">
        <f t="shared" si="152"/>
        <v>5.7835000000000001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153"/>
        <v>1828</v>
      </c>
      <c r="AE190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90" s="235" t="str">
        <f t="shared" si="155"/>
        <v>"C:\Program Files (x86)\AstroGrep\AstroGrep.exe" /e /r /s /spath="%USERPROFILE%\AppData\Local\Temp\OnboardLogs" /stypes="app*4025*20171127*" /stext=" 02:.+((SYSTEM_STATE.+slice.+state.+changed )|(ment ac)|(multiple cpu faults)|(system.+state.+changed )|(\[timeout)|(PRM\|1\|D)|(kpr)|(kdp)|(train st.+moving)|(\|lc)|(penalty))"</v>
      </c>
      <c r="AG190" s="245" t="str">
        <f t="shared" si="156"/>
        <v>NW</v>
      </c>
      <c r="AH190" s="237" t="str">
        <f t="shared" si="102"/>
        <v>"%USERPROFILE%\Documents\GitHub\eaglep3\Utilities\RefineRTDCRunTimes.py" --tripid 1828-26 --locoid 4025 --swversion DE.1.0.9.0 --startMP 300:58673 --initTime 2017-11-26T19:24:29 --startdatetime 2017-11-26T19:42:00 --delay 55 --endMP 204:838 --enddatetime 2017-11-26T19:55:58 --enforcementcount 0 &gt;&gt;%USERPROFILE%\Documents\GitHub\eaglep3-reporting\EC\2017-11-26-refined-times.txt</v>
      </c>
      <c r="AI190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{"issue":{"subject":"","project_id":79,"tracker_id":40,"status_id":1,"priority_id":2,"assigned_to_id":338,"start_date":"2017-11-26","description":"","custom_fields":[{"id":1,"name":"Subdivision","value":"NW"},{"id":4,"name":"Milepost","value":"0.0838"},{"id":17,"name":"Train ID","value":"1828-26"},{"id":16,"name":"Locomotive ID","value":"4025"},{"id":130,"name":"Impact","value":""},{"id":150,"name":"Time of Event (Mountain Time)","value":"19:55:58"},{"id":151,"name":"Denver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104"/>
        <v>start /low /b %USERPROFILE%\Documents\GitHub\eaglep3\Utilities\DownloadLogsFromS3.py --loco 4025 --day 2017-11-26</v>
      </c>
      <c r="AN190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106"/>
        <v>https://d0f6bd738d7f1b3e5a7ca70fe4ff75f0.us-east-1.aws.found.io/app/kibana#/discover/Steve-Slow-Train-Analysis-(2080s-and-2083s)?_g=(refreshInterval:(display:Off,pause:!f,section:0,value:0),time:(from:'2017-11-26T18:24:29-0700',mode:absolute,to:'2017-11-26T20:55:58-0700'))&amp;_a=(columns:!('Message%20ID',Summary),filters:!(),index:'emp_*',interval:auto,query:(query_string:(analyze_wildcard:!t,query:'%22rtdc.l.rtdc.4025%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864</v>
      </c>
      <c r="B191" s="226">
        <v>4026</v>
      </c>
      <c r="C191" s="228" t="s">
        <v>192</v>
      </c>
      <c r="D191" s="228" t="s">
        <v>972</v>
      </c>
      <c r="E191" s="227">
        <v>43065.837581018517</v>
      </c>
      <c r="F191" s="227">
        <v>43065.839965277781</v>
      </c>
      <c r="G191" s="226">
        <v>64</v>
      </c>
      <c r="H191" s="228" t="s">
        <v>987</v>
      </c>
      <c r="I191" s="227">
        <v>43065.849351851852</v>
      </c>
      <c r="J191" s="226">
        <v>0</v>
      </c>
      <c r="K191" s="238" t="str">
        <f t="shared" si="143"/>
        <v>4025/4026</v>
      </c>
      <c r="L191" s="246" t="str">
        <f>VLOOKUP(A191,'Trips&amp;Operators'!$C$1:$G$99911,5,FALSE)</f>
        <v>HOLCOMB KAMDEN</v>
      </c>
      <c r="M191" s="225">
        <f t="shared" si="144"/>
        <v>9.3865740709588863E-3</v>
      </c>
      <c r="N191" s="226">
        <f t="shared" si="145"/>
        <v>13.516666662180796</v>
      </c>
      <c r="O191" s="226"/>
      <c r="P191" s="226"/>
      <c r="Q191" s="229"/>
      <c r="R191" s="243"/>
      <c r="S191" s="250">
        <f t="shared" si="146"/>
        <v>1</v>
      </c>
      <c r="T191" s="243" t="str">
        <f t="shared" si="147"/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148"/>
        <v>https://d0f6bd738d7f1b3e5a7ca70fe4ff75f0.us-east-1.aws.found.io/app/kibana#/discover/Steve-Slow-Train-Analysis-(2080s-and-2083s)?_g=(refreshInterval:(display:Off,pause:!f,section:0,value:0),time:(from:'2017-11-26T19:06:07-0700',mode:absolute,to:'2017-11-26T21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248" t="str">
        <f>IF(AA191&lt;VLOOKUP(AG191,Variables!$AC$3:$AD$8,2,FALSE),"Y","N")</f>
        <v>N</v>
      </c>
      <c r="X191" s="248">
        <f t="shared" si="197"/>
        <v>1</v>
      </c>
      <c r="Y191" s="248">
        <f t="shared" si="150"/>
        <v>0.1154</v>
      </c>
      <c r="Z191" s="248">
        <f t="shared" si="151"/>
        <v>5.8982000000000001</v>
      </c>
      <c r="AA191" s="248">
        <f t="shared" si="152"/>
        <v>5.7827999999999999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153"/>
        <v>1829</v>
      </c>
      <c r="AE191" s="236" t="str">
        <f t="shared" si="154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91" s="235" t="str">
        <f t="shared" si="155"/>
        <v>"C:\Program Files (x86)\AstroGrep\AstroGrep.exe" /e /r /s /spath="%USERPROFILE%\AppData\Local\Temp\OnboardLogs" /stypes="app*4026*20171127*" /stext=" 03:.+((SYSTEM_STATE.+slice.+state.+changed )|(ment ac)|(multiple cpu faults)|(system.+state.+changed )|(\[timeout)|(PRM\|1\|D)|(kpr)|(kdp)|(train st.+moving)|(\|lc)|(penalty))"</v>
      </c>
      <c r="AG191" s="245" t="str">
        <f t="shared" si="156"/>
        <v>NW</v>
      </c>
      <c r="AH191" s="237" t="str">
        <f t="shared" si="102"/>
        <v>"%USERPROFILE%\Documents\GitHub\eaglep3\Utilities\RefineRTDCRunTimes.py" --tripid 1829-26 --locoid 4026 --swversion DE.1.0.9.0 --startMP 204:1154 --initTime 2017-11-26T20:06:07 --startdatetime 2017-11-26T20:09:33 --delay 64 --endMP 300:58982 --enddatetime 2017-11-26T20:23:04 --enforcementcount 0 &gt;&gt;%USERPROFILE%\Documents\GitHub\eaglep3-reporting\EC\2017-11-26-refined-times.txt</v>
      </c>
      <c r="AI191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{"issue":{"subject":"","project_id":79,"tracker_id":40,"status_id":1,"priority_id":2,"assigned_to_id":338,"start_date":"2017-11-26","description":"","custom_fields":[{"id":1,"name":"Subdivision","value":"NW"},{"id":4,"name":"Milepost","value":"5.8982"},{"id":17,"name":"Train ID","value":"1829-26"},{"id":16,"name":"Locomotive ID","value":"4026"},{"id":130,"name":"Impact","value":""},{"id":150,"name":"Time of Event (Mountain Time)","value":"20:23:04"},{"id":151,"name":"Denver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104"/>
        <v>start /low /b %USERPROFILE%\Documents\GitHub\eaglep3\Utilities\DownloadLogsFromS3.py --loco 4026 --day 2017-11-26</v>
      </c>
      <c r="AN191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106"/>
        <v>https://d0f6bd738d7f1b3e5a7ca70fe4ff75f0.us-east-1.aws.found.io/app/kibana#/discover/Steve-Slow-Train-Analysis-(2080s-and-2083s)?_g=(refreshInterval:(display:Off,pause:!f,section:0,value:0),time:(from:'2017-11-26T19:06:07-0700',mode:absolute,to:'2017-11-26T21:23:04-0700'))&amp;_a=(columns:!('Message%20ID',Summary),filters:!(),index:'emp_*',interval:auto,query:(query_string:(analyze_wildcard:!t,query:'%22rtdc.l.rtdc.4026%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866</v>
      </c>
      <c r="B192" s="226">
        <v>4025</v>
      </c>
      <c r="C192" s="228" t="s">
        <v>192</v>
      </c>
      <c r="D192" s="228" t="s">
        <v>640</v>
      </c>
      <c r="E192" s="227">
        <v>43065.850428240738</v>
      </c>
      <c r="F192" s="227">
        <v>43065.862500000003</v>
      </c>
      <c r="G192" s="226">
        <v>57</v>
      </c>
      <c r="H192" s="228" t="s">
        <v>989</v>
      </c>
      <c r="I192" s="227">
        <v>43065.871620370373</v>
      </c>
      <c r="J192" s="226">
        <v>0</v>
      </c>
      <c r="K192" s="238" t="str">
        <f t="shared" si="143"/>
        <v>4025/4026</v>
      </c>
      <c r="L192" s="246" t="str">
        <f>VLOOKUP(A192,'Trips&amp;Operators'!$C$1:$G$99911,5,FALSE)</f>
        <v>HOLCOMB KAMDEN</v>
      </c>
      <c r="M192" s="225">
        <f t="shared" si="144"/>
        <v>9.1203703705104999E-3</v>
      </c>
      <c r="N192" s="226">
        <f t="shared" si="145"/>
        <v>13.13333333353512</v>
      </c>
      <c r="O192" s="226"/>
      <c r="P192" s="226"/>
      <c r="Q192" s="229"/>
      <c r="R192" s="243"/>
      <c r="S192" s="250">
        <f t="shared" si="146"/>
        <v>1</v>
      </c>
      <c r="T192" s="243" t="str">
        <f t="shared" si="147"/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148"/>
        <v>https://d0f6bd738d7f1b3e5a7ca70fe4ff75f0.us-east-1.aws.found.io/app/kibana#/discover/Steve-Slow-Train-Analysis-(2080s-and-2083s)?_g=(refreshInterval:(display:Off,pause:!f,section:0,value:0),time:(from:'2017-11-26T19:24:37-0700',mode:absolute,to:'2017-11-26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248" t="str">
        <f>IF(AA192&lt;VLOOKUP(AG192,Variables!$AC$3:$AD$8,2,FALSE),"Y","N")</f>
        <v>N</v>
      </c>
      <c r="X192" s="248">
        <f t="shared" si="149"/>
        <v>1</v>
      </c>
      <c r="Y192" s="248">
        <f t="shared" si="150"/>
        <v>5.8663999999999996</v>
      </c>
      <c r="Z192" s="248">
        <f t="shared" si="151"/>
        <v>7.7799999999999994E-2</v>
      </c>
      <c r="AA192" s="248">
        <f t="shared" si="152"/>
        <v>5.7885999999999997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153"/>
        <v>1830</v>
      </c>
      <c r="AE192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92" s="235" t="str">
        <f t="shared" si="155"/>
        <v>"C:\Program Files (x86)\AstroGrep\AstroGrep.exe" /e /r /s /spath="%USERPROFILE%\AppData\Local\Temp\OnboardLogs" /stypes="app*4025*20171127*" /stext=" 03:.+((SYSTEM_STATE.+slice.+state.+changed )|(ment ac)|(multiple cpu faults)|(system.+state.+changed )|(\[timeout)|(PRM\|1\|D)|(kpr)|(kdp)|(train st.+moving)|(\|lc)|(penalty))"</v>
      </c>
      <c r="AG192" s="245" t="str">
        <f t="shared" si="156"/>
        <v>NW</v>
      </c>
      <c r="AH192" s="237" t="str">
        <f t="shared" si="102"/>
        <v>"%USERPROFILE%\Documents\GitHub\eaglep3\Utilities\RefineRTDCRunTimes.py" --tripid 1830-26 --locoid 4025 --swversion DE.1.0.9.0 --startMP 300:58664 --initTime 2017-11-26T20:24:37 --startdatetime 2017-11-26T20:42:00 --delay 57 --endMP 204:778 --enddatetime 2017-11-26T20:55:08 --enforcementcount 0 &gt;&gt;%USERPROFILE%\Documents\GitHub\eaglep3-reporting\EC\2017-11-26-refined-times.txt</v>
      </c>
      <c r="AI192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{"issue":{"subject":"","project_id":79,"tracker_id":40,"status_id":1,"priority_id":2,"assigned_to_id":338,"start_date":"2017-11-26","description":"","custom_fields":[{"id":1,"name":"Subdivision","value":"NW"},{"id":4,"name":"Milepost","value":"0.0778"},{"id":17,"name":"Train ID","value":"1830-26"},{"id":16,"name":"Locomotive ID","value":"4025"},{"id":130,"name":"Impact","value":""},{"id":150,"name":"Time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104"/>
        <v>start /low /b %USERPROFILE%\Documents\GitHub\eaglep3\Utilities\DownloadLogsFromS3.py --loco 4025 --day 2017-11-26</v>
      </c>
      <c r="AN192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106"/>
        <v>https://d0f6bd738d7f1b3e5a7ca70fe4ff75f0.us-east-1.aws.found.io/app/kibana#/discover/Steve-Slow-Train-Analysis-(2080s-and-2083s)?_g=(refreshInterval:(display:Off,pause:!f,section:0,value:0),time:(from:'2017-11-26T19:24:37-0700',mode:absolute,to:'2017-11-26T21:55:08-0700'))&amp;_a=(columns:!('Message%20ID',Summary),filters:!(),index:'emp_*',interval:auto,query:(query_string:(analyze_wildcard:!t,query:'%22rtdc.l.rtdc.4025%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4" customFormat="1" x14ac:dyDescent="0.25">
      <c r="A193" s="230" t="s">
        <v>870</v>
      </c>
      <c r="B193" s="226">
        <v>4026</v>
      </c>
      <c r="C193" s="228" t="s">
        <v>192</v>
      </c>
      <c r="D193" s="228" t="s">
        <v>1078</v>
      </c>
      <c r="E193" s="227">
        <v>43065.874016203707</v>
      </c>
      <c r="F193" s="227">
        <v>43065.881944444445</v>
      </c>
      <c r="G193" s="226">
        <v>70</v>
      </c>
      <c r="H193" s="228" t="s">
        <v>1079</v>
      </c>
      <c r="I193" s="227">
        <v>43065.891747685186</v>
      </c>
      <c r="J193" s="226">
        <v>0</v>
      </c>
      <c r="K193" s="238" t="str">
        <f t="shared" ref="K193" si="210">IF(ISEVEN(B193),(B193-1)&amp;"/"&amp;B193,B193&amp;"/"&amp;(B193+1))</f>
        <v>4025/4026</v>
      </c>
      <c r="L193" s="246" t="str">
        <f>VLOOKUP(A193,'Trips&amp;Operators'!$C$1:$G$99911,5,FALSE)</f>
        <v>KILLION DAVID</v>
      </c>
      <c r="M193" s="225">
        <f t="shared" ref="M193" si="211">I193-F193</f>
        <v>9.8032407404389232E-3</v>
      </c>
      <c r="N193" s="226">
        <f t="shared" si="145"/>
        <v>14.116666666232049</v>
      </c>
      <c r="O193" s="226"/>
      <c r="P193" s="226"/>
      <c r="Q193" s="229"/>
      <c r="R193" s="243"/>
      <c r="S193" s="250">
        <f t="shared" ref="S193" si="212">1/IF(AG193="EC",12,1)*SUM(U193:U193)</f>
        <v>1</v>
      </c>
      <c r="T193" s="243" t="str">
        <f t="shared" ref="T193" si="213">IF(ISEVEN(LEFT(AD193,4)),"Southbound","NorthBound")</f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ref="V193" si="214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-26T19:58:35-0700',mode:absolute,to:'2017-11-26T22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248" t="str">
        <f>IF(AA193&lt;VLOOKUP(AG193,Variables!$AC$3:$AD$8,2,FALSE),"Y","N")</f>
        <v>N</v>
      </c>
      <c r="X193" s="248">
        <f t="shared" ref="X193:X194" si="215">VALUE(LEFT(AD193,4))-VALUE(LEFT(AD192,4))</f>
        <v>1</v>
      </c>
      <c r="Y193" s="248">
        <f t="shared" ref="Y193" si="216">RIGHT(D193,LEN(D193)-4)/10000</f>
        <v>0.1042</v>
      </c>
      <c r="Z193" s="248">
        <f t="shared" ref="Z193" si="217">RIGHT(H193,LEN(H193)-4)/10000</f>
        <v>5.8986000000000001</v>
      </c>
      <c r="AA193" s="248">
        <f t="shared" ref="AA193" si="218">ABS(Z193-Y193)</f>
        <v>5.7944000000000004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ref="AD193" si="219">VALUE(LEFT(A193,LEN(A193)-3))</f>
        <v>1831</v>
      </c>
      <c r="AE193" s="236" t="str">
        <f t="shared" ref="AE193" si="220"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93" s="235" t="str">
        <f t="shared" ref="AF193" si="221"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/stypes="app*4026*20171127*" /stext=" 04:.+((SYSTEM_STATE.+slice.+state.+changed )|(ment ac)|(multiple cpu faults)|(system.+state.+changed )|(\[timeout)|(PRM\|1\|D)|(kpr)|(kdp)|(train st.+moving)|(\|lc)|(penalty))"</v>
      </c>
      <c r="AG193" s="245" t="str">
        <f t="shared" ref="AG193" si="222">DetSubdiv(A193)</f>
        <v>NW</v>
      </c>
      <c r="AH193" s="237" t="str">
        <f t="shared" ref="AH193" si="223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1831-26 --locoid 4026 --swversion DE.1.0.9.0 --startMP 204:1042 --initTime 2017-11-26T20:58:35 --startdatetime 2017-11-26T21:10:00 --delay 70 --endMP 300:58986 --enddatetime 2017-11-26T21:24:07 --enforcementcount 0 &gt;&gt;%USERPROFILE%\Documents\GitHub\eaglep3-reporting\EC\2017-11-26-refined-times.txt</v>
      </c>
      <c r="AI193" s="239" t="str">
        <f t="shared" ref="AI193" si="224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{"issue":{"subject":"","project_id":79,"tracker_id":40,"status_id":1,"priority_id":2,"assigned_to_id":338,"start_date":"2017-11-26","description":"","custom_fields":[{"id":1,"name":"Subdivision","value":"NW"},{"id":4,"name":"Milepost","value":"5.8986"},{"id":17,"name":"Train ID","value":"1831-26"},{"id":16,"name":"Locomotive ID","value":"4026"},{"id":130,"name":"Impact","value":""},{"id":150,"name":"Time of Event (Mountain Time)","value":"21:24:07"},{"id":151,"name":"Denver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2"/>
      <c r="AL193" s="232"/>
      <c r="AM193" s="241" t="str">
        <f t="shared" ref="AM193" si="225">"start /low /b "&amp;dls3logs&amp;" --loco "&amp;B193&amp;" --day "&amp;TEXT(F193,"YYYY-MM-DD")</f>
        <v>start /low /b %USERPROFILE%\Documents\GitHub\eaglep3\Utilities\DownloadLogsFromS3.py --loco 4026 --day 2017-11-26</v>
      </c>
      <c r="AN193" s="242" t="str">
        <f t="shared" ref="AN193" si="226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04:24:07"},{"id":29,"name":"Sharepoint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ref="AO193" si="227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-26T19:58:35-0700',mode:absolute,to:'2017-11-26T22:24:07-0700'))&amp;_a=(columns:!('Message%20ID',Summary),filters:!(),index:'emp_*',interval:auto,query:(query_string:(analyze_wildcard:!t,query:'%22rtdc.l.rtdc.4026%22')),sort:!(Time.ISO8601,asc))</v>
      </c>
    </row>
    <row r="194" spans="1:91" s="20" customFormat="1" x14ac:dyDescent="0.25">
      <c r="A194" s="230" t="s">
        <v>872</v>
      </c>
      <c r="B194" s="226">
        <v>4025</v>
      </c>
      <c r="C194" s="228" t="s">
        <v>192</v>
      </c>
      <c r="D194" s="228" t="s">
        <v>981</v>
      </c>
      <c r="E194" s="227">
        <v>43065.893136574072</v>
      </c>
      <c r="F194" s="227">
        <v>43065.904166666667</v>
      </c>
      <c r="G194" s="226">
        <v>66</v>
      </c>
      <c r="H194" s="228" t="s">
        <v>647</v>
      </c>
      <c r="I194" s="227">
        <v>43065.913402777776</v>
      </c>
      <c r="J194" s="226">
        <v>0</v>
      </c>
      <c r="K194" s="238" t="str">
        <f t="shared" si="143"/>
        <v>4025/4026</v>
      </c>
      <c r="L194" s="246" t="str">
        <f>VLOOKUP(A194,'Trips&amp;Operators'!$C$1:$G$99911,5,FALSE)</f>
        <v>KILLION DAVID</v>
      </c>
      <c r="M194" s="225">
        <f t="shared" si="144"/>
        <v>9.2361111092031933E-3</v>
      </c>
      <c r="N194" s="226">
        <f t="shared" si="145"/>
        <v>13.299999997252598</v>
      </c>
      <c r="O194" s="226"/>
      <c r="P194" s="226"/>
      <c r="Q194" s="229"/>
      <c r="R194" s="243"/>
      <c r="S194" s="250">
        <f t="shared" si="146"/>
        <v>1</v>
      </c>
      <c r="T194" s="243" t="str">
        <f t="shared" si="147"/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148"/>
        <v>https://d0f6bd738d7f1b3e5a7ca70fe4ff75f0.us-east-1.aws.found.io/app/kibana#/discover/Steve-Slow-Train-Analysis-(2080s-and-2083s)?_g=(refreshInterval:(display:Off,pause:!f,section:0,value:0),time:(from:'2017-11-26T20:26:07-0700',mode:absolute,to:'2017-11-26T22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248" t="str">
        <f>IF(AA194&lt;VLOOKUP(AG194,Variables!$AC$3:$AD$8,2,FALSE),"Y","N")</f>
        <v>N</v>
      </c>
      <c r="X194" s="248">
        <f t="shared" si="215"/>
        <v>1</v>
      </c>
      <c r="Y194" s="248">
        <f t="shared" si="150"/>
        <v>5.8662000000000001</v>
      </c>
      <c r="Z194" s="248">
        <f t="shared" si="151"/>
        <v>7.0099999999999996E-2</v>
      </c>
      <c r="AA194" s="248">
        <f t="shared" si="152"/>
        <v>5.7961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153"/>
        <v>1832</v>
      </c>
      <c r="AE194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94" s="235" t="str">
        <f t="shared" si="155"/>
        <v>"C:\Program Files (x86)\AstroGrep\AstroGrep.exe" /e /r /s /spath="%USERPROFILE%\AppData\Local\Temp\OnboardLogs" /stypes="app*4025*20171127*" /stext=" 04:.+((SYSTEM_STATE.+slice.+state.+changed )|(ment ac)|(multiple cpu faults)|(system.+state.+changed )|(\[timeout)|(PRM\|1\|D)|(kpr)|(kdp)|(train st.+moving)|(\|lc)|(penalty))"</v>
      </c>
      <c r="AG194" s="245" t="str">
        <f t="shared" si="156"/>
        <v>NW</v>
      </c>
      <c r="AH194" s="237" t="str">
        <f t="shared" si="102"/>
        <v>"%USERPROFILE%\Documents\GitHub\eaglep3\Utilities\RefineRTDCRunTimes.py" --tripid 1832-26 --locoid 4025 --swversion DE.1.0.9.0 --startMP 300:58662 --initTime 2017-11-26T21:26:07 --startdatetime 2017-11-26T21:42:00 --delay 66 --endMP 204:701 --enddatetime 2017-11-26T21:55:18 --enforcementcount 0 &gt;&gt;%USERPROFILE%\Documents\GitHub\eaglep3-reporting\EC\2017-11-26-refined-times.txt</v>
      </c>
      <c r="AI194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{"issue":{"subject":"","project_id":79,"tracker_id":40,"status_id":1,"priority_id":2,"assigned_to_id":338,"start_date":"2017-11-26","description":"","custom_fields":[{"id":1,"name":"Subdivision","value":"NW"},{"id":4,"name":"Milepost","value":"0.0701"},{"id":17,"name":"Train ID","value":"1832-26"},{"id":16,"name":"Locomotive ID","value":"4025"},{"id":130,"name":"Impact","value":""},{"id":150,"name":"Time of Event (Mountain Time)","value":"21:55:18"},{"id":151,"name":"Denver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104"/>
        <v>start /low /b %USERPROFILE%\Documents\GitHub\eaglep3\Utilities\DownloadLogsFromS3.py --loco 4025 --day 2017-11-26</v>
      </c>
      <c r="AN194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106"/>
        <v>https://d0f6bd738d7f1b3e5a7ca70fe4ff75f0.us-east-1.aws.found.io/app/kibana#/discover/Steve-Slow-Train-Analysis-(2080s-and-2083s)?_g=(refreshInterval:(display:Off,pause:!f,section:0,value:0),time:(from:'2017-11-26T20:26:07-0700',mode:absolute,to:'2017-11-26T22:55:18-0700'))&amp;_a=(columns:!('Message%20ID',Summary),filters:!(),index:'emp_*',interval:auto,query:(query_string:(analyze_wildcard:!t,query:'%22rtdc.l.rtdc.4025%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668</v>
      </c>
      <c r="B195" s="226">
        <v>4026</v>
      </c>
      <c r="C195" s="228" t="s">
        <v>192</v>
      </c>
      <c r="D195" s="228" t="s">
        <v>990</v>
      </c>
      <c r="E195" s="227">
        <v>43065.917291666665</v>
      </c>
      <c r="F195" s="227">
        <v>43065.923692129632</v>
      </c>
      <c r="G195" s="226">
        <v>56</v>
      </c>
      <c r="H195" s="228" t="s">
        <v>991</v>
      </c>
      <c r="I195" s="227">
        <v>43065.923831018517</v>
      </c>
      <c r="J195" s="226">
        <v>0</v>
      </c>
      <c r="K195" s="238" t="str">
        <f t="shared" si="143"/>
        <v>4025/4026</v>
      </c>
      <c r="L195" s="246" t="str">
        <f>VLOOKUP(A195,'Trips&amp;Operators'!$C$1:$G$99911,5,FALSE)</f>
        <v>HOLCOMB KAMDEN</v>
      </c>
      <c r="M195" s="225">
        <f t="shared" si="144"/>
        <v>1.3888888497604057E-4</v>
      </c>
      <c r="N195" s="226"/>
      <c r="O195" s="226"/>
      <c r="P195" s="226">
        <f t="shared" si="145"/>
        <v>0.19999999436549842</v>
      </c>
      <c r="Q195" s="229"/>
      <c r="R195" s="243" t="s">
        <v>1083</v>
      </c>
      <c r="S195" s="250">
        <f t="shared" si="146"/>
        <v>0</v>
      </c>
      <c r="T195" s="243" t="str">
        <f t="shared" si="147"/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249" t="str">
        <f t="shared" si="148"/>
        <v>https://d0f6bd738d7f1b3e5a7ca70fe4ff75f0.us-east-1.aws.found.io/app/kibana#/discover/Steve-Slow-Train-Analysis-(2080s-and-2083s)?_g=(refreshInterval:(display:Off,pause:!f,section:0,value:0),time:(from:'2017-11-26T21:00:54-0700',mode:absolute,to:'2017-11-26T23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248" t="str">
        <f>IF(AA195&lt;VLOOKUP(AG195,Variables!$AC$3:$AD$8,2,FALSE),"Y","N")</f>
        <v>Y</v>
      </c>
      <c r="X195" s="248">
        <f t="shared" si="149"/>
        <v>1</v>
      </c>
      <c r="Y195" s="248">
        <f t="shared" si="150"/>
        <v>9.7600000000000006E-2</v>
      </c>
      <c r="Z195" s="248">
        <f t="shared" si="151"/>
        <v>0.1913</v>
      </c>
      <c r="AA195" s="248">
        <f t="shared" si="152"/>
        <v>9.3699999999999992E-2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153"/>
        <v>1833</v>
      </c>
      <c r="AE195" s="236" t="str">
        <f t="shared" si="154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95" s="235" t="str">
        <f t="shared" si="155"/>
        <v>"C:\Program Files (x86)\AstroGrep\AstroGrep.exe" /e /r /s /spath="%USERPROFILE%\AppData\Local\Temp\OnboardLogs" /stypes="app*4026*20171127*" /stext=" 05:.+((SYSTEM_STATE.+slice.+state.+changed )|(ment ac)|(multiple cpu faults)|(system.+state.+changed )|(\[timeout)|(PRM\|1\|D)|(kpr)|(kdp)|(train st.+moving)|(\|lc)|(penalty))"</v>
      </c>
      <c r="AG195" s="245" t="str">
        <f t="shared" si="156"/>
        <v>NW</v>
      </c>
      <c r="AH195" s="237" t="str">
        <f t="shared" si="102"/>
        <v>"%USERPROFILE%\Documents\GitHub\eaglep3\Utilities\RefineRTDCRunTimes.py" --tripid 1833-26 --locoid 4026 --swversion DE.1.0.9.0 --startMP 204:976 --initTime 2017-11-26T22:00:54 --startdatetime 2017-11-26T22:10:07 --delay 56 --endMP 204:1913 --enddatetime 2017-11-26T22:10:19 --enforcementcount 0 &gt;&gt;%USERPROFILE%\Documents\GitHub\eaglep3-reporting\EC\2017-11-26-refined-times.txt</v>
      </c>
      <c r="AI195" s="239" t="str">
        <f t="shared" si="103"/>
        <v>echo {"issue":{"subject":"Poor GPS at DUS","project_id":79,"tracker_id":40,"status_id":1,"priority_id":2,"assigned_to_id":338,"start_date":"2017-11-26","description":"","custom_fields":[{"id":1,"name":"Subdivision","value":"NW"},{"id":4,"name":"Milepost","value":"0.1913"},{"id":17,"name":"Train ID","value":"1833-26"},{"id":16,"name":"Locomotive ID","value":"4026"},{"id":130,"name":"Impact","value":""},{"id":150,"name":"Time of Event (Mountain Time)","value":"22:10:19"},{"id":151,"name":"Denver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104"/>
        <v>start /low /b %USERPROFILE%\Documents\GitHub\eaglep3\Utilities\DownloadLogsFromS3.py --loco 4026 --day 2017-11-26</v>
      </c>
      <c r="AN195" s="242" t="str">
        <f t="shared" si="105"/>
        <v>echo {"issue":{"subject":"Poor GPS at DUS","project_id":30,"tracker_id":4,"status_id":1,"priority_id":1,"assigned_to_id":10,"start_date":"2017-11-27","description":"","custom_fields":[{"id":30,"name":"Category","value":"Issue"},{"id":3,"name":"Functional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05:10:19"},{"id":29,"name":"Sharepoint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106"/>
        <v>https://d0f6bd738d7f1b3e5a7ca70fe4ff75f0.us-east-1.aws.found.io/app/kibana#/discover/Steve-Slow-Train-Analysis-(2080s-and-2083s)?_g=(refreshInterval:(display:Off,pause:!f,section:0,value:0),time:(from:'2017-11-26T21:00:54-0700',mode:absolute,to:'2017-11-26T23:10:19-0700'))&amp;_a=(columns:!('Message%20ID',Summary),filters:!(),index:'emp_*',interval:auto,query:(query_string:(analyze_wildcard:!t,query:'%22rtdc.l.rtdc.4026%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877</v>
      </c>
      <c r="B196" s="226">
        <v>4025</v>
      </c>
      <c r="C196" s="228" t="s">
        <v>192</v>
      </c>
      <c r="D196" s="228" t="s">
        <v>640</v>
      </c>
      <c r="E196" s="227">
        <v>43065.93855324074</v>
      </c>
      <c r="F196" s="227">
        <v>43065.946527777778</v>
      </c>
      <c r="G196" s="226">
        <v>67</v>
      </c>
      <c r="H196" s="228" t="s">
        <v>992</v>
      </c>
      <c r="I196" s="227">
        <v>43065.954953703702</v>
      </c>
      <c r="J196" s="226">
        <v>0</v>
      </c>
      <c r="K196" s="238" t="str">
        <f t="shared" si="143"/>
        <v>4025/4026</v>
      </c>
      <c r="L196" s="246" t="str">
        <f>VLOOKUP(A196,'Trips&amp;Operators'!$C$1:$G$99911,5,FALSE)</f>
        <v>HOLCOMB KAMDEN</v>
      </c>
      <c r="M196" s="225">
        <f t="shared" si="144"/>
        <v>8.4259259238024242E-3</v>
      </c>
      <c r="N196" s="226">
        <f t="shared" si="145"/>
        <v>12.133333330275491</v>
      </c>
      <c r="O196" s="226"/>
      <c r="P196" s="226"/>
      <c r="Q196" s="229"/>
      <c r="R196" s="243"/>
      <c r="S196" s="250">
        <f t="shared" si="146"/>
        <v>1</v>
      </c>
      <c r="T196" s="243" t="str">
        <f t="shared" si="147"/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148"/>
        <v>https://d0f6bd738d7f1b3e5a7ca70fe4ff75f0.us-east-1.aws.found.io/app/kibana#/discover/Steve-Slow-Train-Analysis-(2080s-and-2083s)?_g=(refreshInterval:(display:Off,pause:!f,section:0,value:0),time:(from:'2017-11-26T21:31:31-0700',mode:absolute,to:'2017-11-26T23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248" t="str">
        <f>IF(AA196&lt;VLOOKUP(AG196,Variables!$AC$3:$AD$8,2,FALSE),"Y","N")</f>
        <v>N</v>
      </c>
      <c r="X196" s="248">
        <f t="shared" si="149"/>
        <v>1</v>
      </c>
      <c r="Y196" s="248">
        <f t="shared" si="150"/>
        <v>5.8663999999999996</v>
      </c>
      <c r="Z196" s="248">
        <f t="shared" si="151"/>
        <v>7.9899999999999999E-2</v>
      </c>
      <c r="AA196" s="248">
        <f t="shared" si="152"/>
        <v>5.7864999999999993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153"/>
        <v>1834</v>
      </c>
      <c r="AE196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196" s="235" t="str">
        <f t="shared" si="155"/>
        <v>"C:\Program Files (x86)\AstroGrep\AstroGrep.exe" /e /r /s /spath="%USERPROFILE%\AppData\Local\Temp\OnboardLogs" /stypes="app*4025*20171127*" /stext=" 05:.+((SYSTEM_STATE.+slice.+state.+changed )|(ment ac)|(multiple cpu faults)|(system.+state.+changed )|(\[timeout)|(PRM\|1\|D)|(kpr)|(kdp)|(train st.+moving)|(\|lc)|(penalty))"</v>
      </c>
      <c r="AG196" s="245" t="str">
        <f t="shared" si="156"/>
        <v>NW</v>
      </c>
      <c r="AH196" s="237" t="str">
        <f t="shared" si="102"/>
        <v>"%USERPROFILE%\Documents\GitHub\eaglep3\Utilities\RefineRTDCRunTimes.py" --tripid 1834-26 --locoid 4025 --swversion DE.1.0.9.0 --startMP 300:58664 --initTime 2017-11-26T22:31:31 --startdatetime 2017-11-26T22:43:00 --delay 67 --endMP 204:799 --enddatetime 2017-11-26T22:55:08 --enforcementcount 0 &gt;&gt;%USERPROFILE%\Documents\GitHub\eaglep3-reporting\EC\2017-11-26-refined-times.txt</v>
      </c>
      <c r="AI196" s="239" t="str">
        <f t="shared" si="103"/>
        <v>echo {"issue":{"subject":"","project_id":79,"tracker_id":40,"status_id":1,"priority_id":2,"assigned_to_id":338,"start_date":"2017-11-26","description":"","custom_fields":[{"id":1,"name":"Subdivision","value":"NW"},{"id":4,"name":"Milepost","value":"0.0799"},{"id":17,"name":"Train ID","value":"1834-26"},{"id":16,"name":"Locomotive ID","value":"4025"},{"id":130,"name":"Impact","value":""},{"id":150,"name":"Time of Event (Mountain Time)","value":"22:55:08"},{"id":151,"name":"Denver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104"/>
        <v>start /low /b %USERPROFILE%\Documents\GitHub\eaglep3\Utilities\DownloadLogsFromS3.py --loco 4025 --day 2017-11-26</v>
      </c>
      <c r="AN196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05:55:08"},{"id":29,"name":"Sharepoint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106"/>
        <v>https://d0f6bd738d7f1b3e5a7ca70fe4ff75f0.us-east-1.aws.found.io/app/kibana#/discover/Steve-Slow-Train-Analysis-(2080s-and-2083s)?_g=(refreshInterval:(display:Off,pause:!f,section:0,value:0),time:(from:'2017-11-26T21:31:31-0700',mode:absolute,to:'2017-11-26T23:55:08-0700'))&amp;_a=(columns:!('Message%20ID',Summary),filters:!(),index:'emp_*',interval:auto,query:(query_string:(analyze_wildcard:!t,query:'%22rtdc.l.rtdc.4025%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4" customFormat="1" x14ac:dyDescent="0.25">
      <c r="A197" s="230" t="s">
        <v>880</v>
      </c>
      <c r="B197" s="226">
        <v>4026</v>
      </c>
      <c r="C197" s="228" t="s">
        <v>192</v>
      </c>
      <c r="D197" s="228" t="s">
        <v>1080</v>
      </c>
      <c r="E197" s="227">
        <v>43065.958252314813</v>
      </c>
      <c r="F197" s="227">
        <v>43065.965277777781</v>
      </c>
      <c r="G197" s="226">
        <v>100</v>
      </c>
      <c r="H197" s="228" t="s">
        <v>1081</v>
      </c>
      <c r="I197" s="227">
        <v>43065.974537037036</v>
      </c>
      <c r="J197" s="226">
        <v>0</v>
      </c>
      <c r="K197" s="238" t="str">
        <f t="shared" ref="K197" si="228">IF(ISEVEN(B197),(B197-1)&amp;"/"&amp;B197,B197&amp;"/"&amp;(B197+1))</f>
        <v>4025/4026</v>
      </c>
      <c r="L197" s="246" t="str">
        <f>VLOOKUP(A197,'Trips&amp;Operators'!$C$1:$G$99911,5,FALSE)</f>
        <v>KILLION DAVID</v>
      </c>
      <c r="M197" s="225">
        <f t="shared" ref="M197" si="229">I197-F197</f>
        <v>9.2592592554865405E-3</v>
      </c>
      <c r="N197" s="226">
        <f t="shared" si="145"/>
        <v>13.333333327900618</v>
      </c>
      <c r="O197" s="226"/>
      <c r="P197" s="226"/>
      <c r="Q197" s="229"/>
      <c r="R197" s="243"/>
      <c r="S197" s="250">
        <f t="shared" ref="S197" si="230">1/IF(AG197="EC",12,1)*SUM(U197:U197)</f>
        <v>1</v>
      </c>
      <c r="T197" s="243" t="str">
        <f t="shared" ref="T197" si="231">IF(ISEVEN(LEFT(AD197,4)),"Southbound","NorthBound")</f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ref="V197" si="232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-26T21:59:53-0700',mode:absolute,to:'2017-11-27T00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248" t="str">
        <f>IF(AA197&lt;VLOOKUP(AG197,Variables!$AC$3:$AD$8,2,FALSE),"Y","N")</f>
        <v>N</v>
      </c>
      <c r="X197" s="248">
        <f t="shared" si="149"/>
        <v>1</v>
      </c>
      <c r="Y197" s="248">
        <f t="shared" ref="Y197" si="233">RIGHT(D197,LEN(D197)-4)/10000</f>
        <v>0.10829999999999999</v>
      </c>
      <c r="Z197" s="248">
        <f t="shared" ref="Z197" si="234">RIGHT(H197,LEN(H197)-4)/10000</f>
        <v>5.8983999999999996</v>
      </c>
      <c r="AA197" s="248">
        <f t="shared" ref="AA197" si="235">ABS(Z197-Y197)</f>
        <v>5.7900999999999998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ref="AD197" si="236">VALUE(LEFT(A197,LEN(A197)-3))</f>
        <v>1835</v>
      </c>
      <c r="AE197" s="236" t="str">
        <f t="shared" ref="AE197" si="237"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197" s="235" t="str">
        <f t="shared" ref="AF197" si="238"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/stypes="app*4026*20171127*" /stext=" 06:.+((SYSTEM_STATE.+slice.+state.+changed )|(ment ac)|(multiple cpu faults)|(system.+state.+changed )|(\[timeout)|(PRM\|1\|D)|(kpr)|(kdp)|(train st.+moving)|(\|lc)|(penalty))"</v>
      </c>
      <c r="AG197" s="245" t="str">
        <f t="shared" ref="AG197" si="239">DetSubdiv(A197)</f>
        <v>NW</v>
      </c>
      <c r="AH197" s="237" t="str">
        <f t="shared" ref="AH197" si="240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1835-26 --locoid 4026 --swversion DE.1.0.9.0 --startMP 204:1083 --initTime 2017-11-26T22:59:53 --startdatetime 2017-11-26T23:10:00 --delay 100 --endMP 300:58984 --enddatetime 2017-11-26T23:23:20 --enforcementcount 0 &gt;&gt;%USERPROFILE%\Documents\GitHub\eaglep3-reporting\EC\2017-11-26-refined-times.txt</v>
      </c>
      <c r="AI197" s="239" t="str">
        <f t="shared" ref="AI197" si="241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{"issue":{"subject":"","project_id":79,"tracker_id":40,"status_id":1,"priority_id":2,"assigned_to_id":338,"start_date":"2017-11-26","description":"","custom_fields":[{"id":1,"name":"Subdivision","value":"NW"},{"id":4,"name":"Milepost","value":"5.8984"},{"id":17,"name":"Train ID","value":"1835-26"},{"id":16,"name":"Locomotive ID","value":"4026"},{"id":130,"name":"Impact","value":""},{"id":150,"name":"Time of Event (Mountain Time)","value":"23:23:20"},{"id":151,"name":"Denver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2"/>
      <c r="AL197" s="232"/>
      <c r="AM197" s="241" t="str">
        <f t="shared" ref="AM197" si="242">"start /low /b "&amp;dls3logs&amp;" --loco "&amp;B197&amp;" --day "&amp;TEXT(F197,"YYYY-MM-DD")</f>
        <v>start /low /b %USERPROFILE%\Documents\GitHub\eaglep3\Utilities\DownloadLogsFromS3.py --loco 4026 --day 2017-11-26</v>
      </c>
      <c r="AN197" s="242" t="str">
        <f t="shared" ref="AN197" si="243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06:23:20"},{"id":29,"name":"Sharepoint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ref="AO197" si="244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-26T21:59:53-0700',mode:absolute,to:'2017-11-27T00:23:20-0700'))&amp;_a=(columns:!('Message%20ID',Summary),filters:!(),index:'emp_*',interval:auto,query:(query_string:(analyze_wildcard:!t,query:'%22rtdc.l.rtdc.4026%22')),sort:!(Time.ISO8601,asc))</v>
      </c>
    </row>
    <row r="198" spans="1:91" s="20" customFormat="1" x14ac:dyDescent="0.25">
      <c r="A198" s="230" t="s">
        <v>682</v>
      </c>
      <c r="B198" s="226">
        <v>4059</v>
      </c>
      <c r="C198" s="228" t="s">
        <v>192</v>
      </c>
      <c r="D198" s="228" t="s">
        <v>1022</v>
      </c>
      <c r="E198" s="227">
        <v>43065.118506944447</v>
      </c>
      <c r="F198" s="227">
        <v>43065.122465277775</v>
      </c>
      <c r="G198" s="226">
        <v>53</v>
      </c>
      <c r="H198" s="228" t="s">
        <v>1023</v>
      </c>
      <c r="I198" s="227">
        <v>43065.127476851849</v>
      </c>
      <c r="J198" s="226">
        <v>0</v>
      </c>
      <c r="K198" s="238" t="str">
        <f t="shared" si="143"/>
        <v>4059/4060</v>
      </c>
      <c r="L198" s="246" t="str">
        <f>VLOOKUP(A198,'Trips&amp;Operators'!$C$1:$G$99911,5,FALSE)</f>
        <v>THOMPSON LESTER</v>
      </c>
      <c r="M198" s="225">
        <f t="shared" si="144"/>
        <v>5.0115740741603076E-3</v>
      </c>
      <c r="N198" s="226">
        <f t="shared" si="145"/>
        <v>7.216666666790843</v>
      </c>
      <c r="O198" s="226"/>
      <c r="P198" s="226"/>
      <c r="Q198" s="229"/>
      <c r="R198" s="243"/>
      <c r="S198" s="250">
        <f t="shared" si="146"/>
        <v>0</v>
      </c>
      <c r="T198" s="243" t="str">
        <f t="shared" si="147"/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249" t="str">
        <f t="shared" si="148"/>
        <v>https://d0f6bd738d7f1b3e5a7ca70fe4ff75f0.us-east-1.aws.found.io/app/kibana#/discover/Steve-Slow-Train-Analysis-(2080s-and-2083s)?_g=(refreshInterval:(display:Off,pause:!f,section:0,value:0),time:(from:'2017-11-26T01:50:39-0700',mode:absolute,to:'2017-11-26T04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8" s="248" t="str">
        <f>IF(AA198&lt;VLOOKUP(AG198,Variables!$AC$3:$AD$8,2,FALSE),"Y","N")</f>
        <v>Y</v>
      </c>
      <c r="X198" s="248">
        <f t="shared" si="149"/>
        <v>-1535</v>
      </c>
      <c r="Y198" s="248">
        <f t="shared" si="150"/>
        <v>2.3572000000000002</v>
      </c>
      <c r="Z198" s="248">
        <f t="shared" si="151"/>
        <v>2.2930000000000001</v>
      </c>
      <c r="AA198" s="248">
        <f t="shared" si="152"/>
        <v>6.4200000000000035E-2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153"/>
        <v>300</v>
      </c>
      <c r="AE198" s="236" t="str">
        <f t="shared" si="154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198" s="235" t="str">
        <f t="shared" si="155"/>
        <v>"C:\Program Files (x86)\AstroGrep\AstroGrep.exe" /e /r /s /spath="%USERPROFILE%\AppData\Local\Temp\OnboardLogs" /stypes="app*4059*20171126*" /stext=" 10:.+((SYSTEM_STATE.+slice.+state.+changed )|(ment ac)|(multiple cpu faults)|(system.+state.+changed )|(\[timeout)|(PRM\|1\|D)|(kpr)|(kdp)|(train st.+moving)|(\|lc)|(penalty))"</v>
      </c>
      <c r="AG198" s="245" t="str">
        <f t="shared" si="156"/>
        <v>Other</v>
      </c>
      <c r="AH198" s="237" t="str">
        <f t="shared" si="102"/>
        <v>"%USERPROFILE%\Documents\GitHub\eaglep3\Utilities\RefineRTDCRunTimes.py" --tripid 300-26 --locoid 4059 --swversion DE.1.0.9.0 --startMP 300:23572 --initTime 2017-11-26T02:50:39 --startdatetime 2017-11-26T02:56:21 --delay 53 --endMP 300:22930 --enddatetime 2017-11-26T03:03:34 --enforcementcount 0 &gt;&gt;%USERPROFILE%\Documents\GitHub\eaglep3-reporting\EC\2017-11-26-refined-times.txt</v>
      </c>
      <c r="AI198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{"issue":{"subject":"","project_id":79,"tracker_id":40,"status_id":1,"priority_id":2,"assigned_to_id":338,"start_date":"2017-11-26","description":"","custom_fields":[{"id":1,"name":"Subdivision","value":"Other"},{"id":4,"name":"Milepost","value":"2.293"},{"id":17,"name":"Train ID","value":"300-26"},{"id":16,"name":"Locomotive ID","value":"4059"},{"id":130,"name":"Impact","value":""},{"id":150,"name":"Time of Event (Mountain Time)","value":"03:03:34"},{"id":151,"name":"Denver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104"/>
        <v>start /low /b %USERPROFILE%\Documents\GitHub\eaglep3\Utilities\DownloadLogsFromS3.py --loco 4059 --day 2017-11-26</v>
      </c>
      <c r="AN198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10:03:34"},{"id":29,"name":"Sharepoint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106"/>
        <v>https://d0f6bd738d7f1b3e5a7ca70fe4ff75f0.us-east-1.aws.found.io/app/kibana#/discover/Steve-Slow-Train-Analysis-(2080s-and-2083s)?_g=(refreshInterval:(display:Off,pause:!f,section:0,value:0),time:(from:'2017-11-26T01:50:39-0700',mode:absolute,to:'2017-11-26T04:03:34-0700'))&amp;_a=(columns:!('Message%20ID',Summary),filters:!(),index:'emp_*',interval:auto,query:(query_string:(analyze_wildcard:!t,query:'%22rtdc.l.rtdc.4059%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850</v>
      </c>
      <c r="B199" s="226">
        <v>4050</v>
      </c>
      <c r="C199" s="228" t="s">
        <v>192</v>
      </c>
      <c r="D199" s="228" t="s">
        <v>1024</v>
      </c>
      <c r="E199" s="227">
        <v>43065.775856481479</v>
      </c>
      <c r="F199" s="227">
        <v>43065.777349537035</v>
      </c>
      <c r="G199" s="226">
        <v>52</v>
      </c>
      <c r="H199" s="228" t="s">
        <v>1025</v>
      </c>
      <c r="I199" s="227">
        <v>43065.785833333335</v>
      </c>
      <c r="J199" s="226">
        <v>0</v>
      </c>
      <c r="K199" s="238" t="str">
        <f t="shared" si="143"/>
        <v>4049/4050</v>
      </c>
      <c r="L199" s="246" t="str">
        <f>VLOOKUP(A199,'Trips&amp;Operators'!$C$1:$G$99911,5,FALSE)</f>
        <v>GUZMAN DANNY</v>
      </c>
      <c r="M199" s="225">
        <f t="shared" si="144"/>
        <v>8.4837963004247285E-3</v>
      </c>
      <c r="N199" s="226">
        <f t="shared" si="145"/>
        <v>12.216666672611609</v>
      </c>
      <c r="O199" s="226"/>
      <c r="P199" s="226"/>
      <c r="Q199" s="229"/>
      <c r="R199" s="243"/>
      <c r="S199" s="250">
        <f t="shared" si="146"/>
        <v>1</v>
      </c>
      <c r="T199" s="243" t="str">
        <f t="shared" si="147"/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148"/>
        <v>https://d0f6bd738d7f1b3e5a7ca70fe4ff75f0.us-east-1.aws.found.io/app/kibana#/discover/Steve-Slow-Train-Analysis-(2080s-and-2083s)?_g=(refreshInterval:(display:Off,pause:!f,section:0,value:0),time:(from:'2017-11-26T17:37:14-0700',mode:absolute,to:'2017-11-26T19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9" s="248" t="str">
        <f>IF(AA199&lt;VLOOKUP(AG199,Variables!$AC$3:$AD$8,2,FALSE),"Y","N")</f>
        <v>Y</v>
      </c>
      <c r="X199" s="248">
        <f t="shared" si="149"/>
        <v>1</v>
      </c>
      <c r="Y199" s="248">
        <f t="shared" si="150"/>
        <v>6.0600000000000001E-2</v>
      </c>
      <c r="Z199" s="248">
        <f t="shared" si="151"/>
        <v>2.3311999999999999</v>
      </c>
      <c r="AA199" s="248">
        <f t="shared" si="152"/>
        <v>2.2706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153"/>
        <v>301</v>
      </c>
      <c r="AE199" s="236" t="str">
        <f t="shared" si="154"/>
        <v>aws s3 cp s3://rtdc.mdm.uploadarchive.raw/RTDC4050/ "%USERPROFILE%\AppData\Local\Temp\OnboardLogs"\RTDC4050\2017-11-26 --exclude "*" --recursive --include "*20171126*" &amp; "%USERPROFILE%\Documents\GitHub\mrs-test-scripts\Headless Mode &amp; Sideloading\WalkAndUnGZ.bat" "%USERPROFILE%\AppData\Local\Temp\OnboardLogs"\RTDC4050\2017-11-26 &amp; aws s3 cp s3://rtdc.mdm.uploadarchive.raw/RTDC4050/ "%USERPROFILE%\AppData\Local\Temp\OnboardLogs"\RTDC4050\2017-11-27 --exclude "*" --recursive --include "*20171127*" &amp; "%USERPROFILE%\Documents\GitHub\mrs-test-scripts\Headless Mode &amp; Sideloading\WalkAndUnGZ.bat" "%USERPROFILE%\AppData\Local\Temp\OnboardLogs"\RTDC4050\2017-11-27</v>
      </c>
      <c r="AF199" s="235" t="str">
        <f t="shared" si="155"/>
        <v>"C:\Program Files (x86)\AstroGrep\AstroGrep.exe" /e /r /s /spath="%USERPROFILE%\AppData\Local\Temp\OnboardLogs" /stypes="app*4050*20171127*" /stext=" 01:.+((SYSTEM_STATE.+slice.+state.+changed )|(ment ac)|(multiple cpu faults)|(system.+state.+changed )|(\[timeout)|(PRM\|1\|D)|(kpr)|(kdp)|(train st.+moving)|(\|lc)|(penalty))"</v>
      </c>
      <c r="AG199" s="245" t="str">
        <f t="shared" si="156"/>
        <v>Other</v>
      </c>
      <c r="AH199" s="237" t="str">
        <f t="shared" si="102"/>
        <v>"%USERPROFILE%\Documents\GitHub\eaglep3\Utilities\RefineRTDCRunTimes.py" --tripid 301-26 --locoid 4050 --swversion DE.1.0.9.0 --startMP 204:606 --initTime 2017-11-26T18:37:14 --startdatetime 2017-11-26T18:39:23 --delay 52 --endMP 300:23312 --enddatetime 2017-11-26T18:51:36 --enforcementcount 0 &gt;&gt;%USERPROFILE%\Documents\GitHub\eaglep3-reporting\EC\2017-11-26-refined-times.txt</v>
      </c>
      <c r="AI199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{"issue":{"subject":"","project_id":79,"tracker_id":40,"status_id":1,"priority_id":2,"assigned_to_id":338,"start_date":"2017-11-26","description":"","custom_fields":[{"id":1,"name":"Subdivision","value":"Other"},{"id":4,"name":"Milepost","value":"2.3312"},{"id":17,"name":"Train ID","value":"301-26"},{"id":16,"name":"Locomotive ID","value":"4050"},{"id":130,"name":"Impact","value":""},{"id":150,"name":"Time of Event (Mountain Time)","value":"18:51:36"},{"id":151,"name":"Denver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104"/>
        <v>start /low /b %USERPROFILE%\Documents\GitHub\eaglep3\Utilities\DownloadLogsFromS3.py --loco 4050 --day 2017-11-26</v>
      </c>
      <c r="AN199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106"/>
        <v>https://d0f6bd738d7f1b3e5a7ca70fe4ff75f0.us-east-1.aws.found.io/app/kibana#/discover/Steve-Slow-Train-Analysis-(2080s-and-2083s)?_g=(refreshInterval:(display:Off,pause:!f,section:0,value:0),time:(from:'2017-11-26T17:37:14-0700',mode:absolute,to:'2017-11-26T19:51:36-0700'))&amp;_a=(columns:!('Message%20ID',Summary),filters:!(),index:'emp_*',interval:auto,query:(query_string:(analyze_wildcard:!t,query:'%22rtdc.l.rtdc.4050%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688</v>
      </c>
      <c r="B200" s="226">
        <v>4015</v>
      </c>
      <c r="C200" s="228" t="s">
        <v>192</v>
      </c>
      <c r="D200" s="228" t="s">
        <v>1026</v>
      </c>
      <c r="E200" s="227">
        <v>43065.142604166664</v>
      </c>
      <c r="F200" s="227">
        <v>43065.147997685184</v>
      </c>
      <c r="G200" s="226">
        <v>138</v>
      </c>
      <c r="H200" s="228" t="s">
        <v>1027</v>
      </c>
      <c r="I200" s="227">
        <v>43065.152488425927</v>
      </c>
      <c r="J200" s="226">
        <v>0</v>
      </c>
      <c r="K200" s="238" t="str">
        <f t="shared" si="143"/>
        <v>4015/4016</v>
      </c>
      <c r="L200" s="246" t="str">
        <f>VLOOKUP(A200,'Trips&amp;Operators'!$C$1:$G$99911,5,FALSE)</f>
        <v>MAELZER KURT</v>
      </c>
      <c r="M200" s="225">
        <f t="shared" si="144"/>
        <v>4.4907407427672297E-3</v>
      </c>
      <c r="N200" s="226">
        <f t="shared" si="145"/>
        <v>6.4666666695848107</v>
      </c>
      <c r="O200" s="226"/>
      <c r="P200" s="226"/>
      <c r="Q200" s="229"/>
      <c r="R200" s="243"/>
      <c r="S200" s="250">
        <f t="shared" si="146"/>
        <v>1</v>
      </c>
      <c r="T200" s="243" t="str">
        <f t="shared" si="147"/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148"/>
        <v>https://d0f6bd738d7f1b3e5a7ca70fe4ff75f0.us-east-1.aws.found.io/app/kibana#/discover/Steve-Slow-Train-Analysis-(2080s-and-2083s)?_g=(refreshInterval:(display:Off,pause:!f,section:0,value:0),time:(from:'2017-11-26T02:25:21-0700',mode:absolute,to:'2017-11-26T04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248" t="str">
        <f>IF(AA200&lt;VLOOKUP(AG200,Variables!$AC$3:$AD$8,2,FALSE),"Y","N")</f>
        <v>Y</v>
      </c>
      <c r="X200" s="248">
        <f t="shared" si="149"/>
        <v>1</v>
      </c>
      <c r="Y200" s="248">
        <f t="shared" si="150"/>
        <v>1.9592000000000001</v>
      </c>
      <c r="Z200" s="248">
        <f t="shared" si="151"/>
        <v>1.9099999999999999E-2</v>
      </c>
      <c r="AA200" s="248">
        <f t="shared" si="152"/>
        <v>1.9401000000000002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153"/>
        <v>302</v>
      </c>
      <c r="AE200" s="236" t="str">
        <f t="shared" si="154"/>
        <v>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 &amp; aws s3 cp s3://rtdc.mdm.uploadarchive.raw/RTDC4015/ "%USERPROFILE%\AppData\Local\Temp\OnboardLogs"\RTDC4015\2017-11-27 --exclude "*" --recursive --include "*20171127*" &amp; "%USERPROFILE%\Documents\GitHub\mrs-test-scripts\Headless Mode &amp; Sideloading\WalkAndUnGZ.bat" "%USERPROFILE%\AppData\Local\Temp\OnboardLogs"\RTDC4015\2017-11-27</v>
      </c>
      <c r="AF200" s="235" t="str">
        <f t="shared" si="155"/>
        <v>"C:\Program Files (x86)\AstroGrep\AstroGrep.exe" /e /r /s /spath="%USERPROFILE%\AppData\Local\Temp\OnboardLogs" /stypes="app*4015*20171126*" /stext=" 10:.+((SYSTEM_STATE.+slice.+state.+changed )|(ment ac)|(multiple cpu faults)|(system.+state.+changed )|(\[timeout)|(PRM\|1\|D)|(kpr)|(kdp)|(train st.+moving)|(\|lc)|(penalty))"</v>
      </c>
      <c r="AG200" s="245" t="str">
        <f t="shared" si="156"/>
        <v>Other</v>
      </c>
      <c r="AH200" s="237" t="str">
        <f t="shared" si="102"/>
        <v>"%USERPROFILE%\Documents\GitHub\eaglep3\Utilities\RefineRTDCRunTimes.py" --tripid 302-26 --locoid 4015 --swversion DE.1.0.9.0 --startMP 300:19592 --initTime 2017-11-26T03:25:21 --startdatetime 2017-11-26T03:33:07 --delay 138 --endMP 204:191 --enddatetime 2017-11-26T03:39:35 --enforcementcount 0 &gt;&gt;%USERPROFILE%\Documents\GitHub\eaglep3-reporting\EC\2017-11-26-refined-times.txt</v>
      </c>
      <c r="AI200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{"issue":{"subject":"","project_id":79,"tracker_id":40,"status_id":1,"priority_id":2,"assigned_to_id":338,"start_date":"2017-11-26","description":"","custom_fields":[{"id":1,"name":"Subdivision","value":"Other"},{"id":4,"name":"Milepost","value":"0.0191"},{"id":17,"name":"Train ID","value":"302-26"},{"id":16,"name":"Locomotive ID","value":"4015"},{"id":130,"name":"Impact","value":""},{"id":150,"name":"Time of Event (Mountain Time)","value":"03:39:35"},{"id":151,"name":"Denver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104"/>
        <v>start /low /b %USERPROFILE%\Documents\GitHub\eaglep3\Utilities\DownloadLogsFromS3.py --loco 4015 --day 2017-11-26</v>
      </c>
      <c r="AN200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10:39:35"},{"id":29,"name":"Sharepoint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106"/>
        <v>https://d0f6bd738d7f1b3e5a7ca70fe4ff75f0.us-east-1.aws.found.io/app/kibana#/discover/Steve-Slow-Train-Analysis-(2080s-and-2083s)?_g=(refreshInterval:(display:Off,pause:!f,section:0,value:0),time:(from:'2017-11-26T02:25:21-0700',mode:absolute,to:'2017-11-26T04:39:35-0700'))&amp;_a=(columns:!('Message%20ID',Summary),filters:!(),index:'emp_*',interval:auto,query:(query_string:(analyze_wildcard:!t,query:'%22rtdc.l.rtdc.4015%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856</v>
      </c>
      <c r="B201" s="226">
        <v>4006</v>
      </c>
      <c r="C201" s="228" t="s">
        <v>192</v>
      </c>
      <c r="D201" s="228" t="s">
        <v>613</v>
      </c>
      <c r="E201" s="227">
        <v>43065.796226851853</v>
      </c>
      <c r="F201" s="227">
        <v>43065.805069444446</v>
      </c>
      <c r="G201" s="226">
        <v>52</v>
      </c>
      <c r="H201" s="228" t="s">
        <v>525</v>
      </c>
      <c r="I201" s="227">
        <v>43065.812962962962</v>
      </c>
      <c r="J201" s="226">
        <v>0</v>
      </c>
      <c r="K201" s="238" t="str">
        <f t="shared" si="143"/>
        <v>4005/4006</v>
      </c>
      <c r="L201" s="246" t="str">
        <f>VLOOKUP(A201,'Trips&amp;Operators'!$C$1:$G$99911,5,FALSE)</f>
        <v>GONZALEZ ARMANDO</v>
      </c>
      <c r="M201" s="225">
        <f t="shared" si="144"/>
        <v>7.8935185156296939E-3</v>
      </c>
      <c r="N201" s="226">
        <f t="shared" si="145"/>
        <v>11.366666662506759</v>
      </c>
      <c r="O201" s="226"/>
      <c r="P201" s="226"/>
      <c r="Q201" s="229"/>
      <c r="R201" s="243"/>
      <c r="S201" s="250">
        <f t="shared" si="146"/>
        <v>1</v>
      </c>
      <c r="T201" s="243" t="str">
        <f t="shared" si="147"/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148"/>
        <v>https://d0f6bd738d7f1b3e5a7ca70fe4ff75f0.us-east-1.aws.found.io/app/kibana#/discover/Steve-Slow-Train-Analysis-(2080s-and-2083s)?_g=(refreshInterval:(display:Off,pause:!f,section:0,value:0),time:(from:'2017-11-26T18:06:34-0700',mode:absolute,to:'2017-11-26T20:30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248" t="str">
        <f>IF(AA201&lt;VLOOKUP(AG201,Variables!$AC$3:$AD$8,2,FALSE),"Y","N")</f>
        <v>Y</v>
      </c>
      <c r="X201" s="248">
        <f t="shared" si="149"/>
        <v>1</v>
      </c>
      <c r="Y201" s="248">
        <f t="shared" si="150"/>
        <v>4.6399999999999997E-2</v>
      </c>
      <c r="Z201" s="248">
        <f t="shared" si="151"/>
        <v>2.3302</v>
      </c>
      <c r="AA201" s="248">
        <f t="shared" si="152"/>
        <v>2.2838000000000003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153"/>
        <v>303</v>
      </c>
      <c r="AE201" s="236" t="str">
        <f t="shared" si="154"/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AF201" s="235" t="str">
        <f t="shared" si="155"/>
        <v>"C:\Program Files (x86)\AstroGrep\AstroGrep.exe" /e /r /s /spath="%USERPROFILE%\AppData\Local\Temp\OnboardLogs" /stypes="app*4006*20171127*" /stext=" 02:.+((SYSTEM_STATE.+slice.+state.+changed )|(ment ac)|(multiple cpu faults)|(system.+state.+changed )|(\[timeout)|(PRM\|1\|D)|(kpr)|(kdp)|(train st.+moving)|(\|lc)|(penalty))"</v>
      </c>
      <c r="AG201" s="245" t="str">
        <f t="shared" si="156"/>
        <v>Other</v>
      </c>
      <c r="AH201" s="237" t="str">
        <f t="shared" si="102"/>
        <v>"%USERPROFILE%\Documents\GitHub\eaglep3\Utilities\RefineRTDCRunTimes.py" --tripid 303-26 --locoid 4006 --swversion DE.1.0.9.0 --startMP 204:464 --initTime 2017-11-26T19:06:34 --startdatetime 2017-11-26T19:19:18 --delay 52 --endMP 300:23302 --enddatetime 2017-11-26T19:30:40 --enforcementcount 0 &gt;&gt;%USERPROFILE%\Documents\GitHub\eaglep3-reporting\EC\2017-11-26-refined-times.txt</v>
      </c>
      <c r="AI201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{"issue":{"subject":"","project_id":79,"tracker_id":40,"status_id":1,"priority_id":2,"assigned_to_id":338,"start_date":"2017-11-26","description":"","custom_fields":[{"id":1,"name":"Subdivision","value":"Other"},{"id":4,"name":"Milepost","value":"2.3302"},{"id":17,"name":"Train ID","value":"303-26"},{"id":16,"name":"Locomotive ID","value":"4006"},{"id":130,"name":"Impact","value":""},{"id":150,"name":"Time of Event (Mountain Time)","value":"19:30:40"},{"id":151,"name":"Denver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104"/>
        <v>start /low /b %USERPROFILE%\Documents\GitHub\eaglep3\Utilities\DownloadLogsFromS3.py --loco 4006 --day 2017-11-26</v>
      </c>
      <c r="AN201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02:30:40"},{"id":29,"name":"Sharepoint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106"/>
        <v>https://d0f6bd738d7f1b3e5a7ca70fe4ff75f0.us-east-1.aws.found.io/app/kibana#/discover/Steve-Slow-Train-Analysis-(2080s-and-2083s)?_g=(refreshInterval:(display:Off,pause:!f,section:0,value:0),time:(from:'2017-11-26T18:06:34-0700',mode:absolute,to:'2017-11-26T20:30:40-0700'))&amp;_a=(columns:!('Message%20ID',Summary),filters:!(),index:'emp_*',interval:auto,query:(query_string:(analyze_wildcard:!t,query:'%22rtdc.l.rtdc.4006%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692</v>
      </c>
      <c r="B202" s="226">
        <v>4007</v>
      </c>
      <c r="C202" s="228" t="s">
        <v>192</v>
      </c>
      <c r="D202" s="228" t="s">
        <v>1028</v>
      </c>
      <c r="E202" s="227">
        <v>43065.155543981484</v>
      </c>
      <c r="F202" s="227">
        <v>43065.158831018518</v>
      </c>
      <c r="G202" s="226">
        <v>61</v>
      </c>
      <c r="H202" s="228" t="s">
        <v>498</v>
      </c>
      <c r="I202" s="227">
        <v>43065.164050925923</v>
      </c>
      <c r="J202" s="226">
        <v>0</v>
      </c>
      <c r="K202" s="238" t="str">
        <f t="shared" si="143"/>
        <v>4007/4008</v>
      </c>
      <c r="L202" s="246" t="str">
        <f>VLOOKUP(A202,'Trips&amp;Operators'!$C$1:$G$99911,5,FALSE)</f>
        <v>LOPES KIMBERLY</v>
      </c>
      <c r="M202" s="225">
        <f t="shared" si="144"/>
        <v>5.2199074052623473E-3</v>
      </c>
      <c r="N202" s="226">
        <f t="shared" si="145"/>
        <v>7.5166666635777801</v>
      </c>
      <c r="O202" s="226"/>
      <c r="P202" s="226"/>
      <c r="Q202" s="229"/>
      <c r="R202" s="243"/>
      <c r="S202" s="250">
        <f t="shared" si="146"/>
        <v>1</v>
      </c>
      <c r="T202" s="243" t="str">
        <f t="shared" si="147"/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148"/>
        <v>https://d0f6bd738d7f1b3e5a7ca70fe4ff75f0.us-east-1.aws.found.io/app/kibana#/discover/Steve-Slow-Train-Analysis-(2080s-and-2083s)?_g=(refreshInterval:(display:Off,pause:!f,section:0,value:0),time:(from:'2017-11-26T02:43:59-0700',mode:absolute,to:'2017-11-26T04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248" t="str">
        <f>IF(AA202&lt;VLOOKUP(AG202,Variables!$AC$3:$AD$8,2,FALSE),"Y","N")</f>
        <v>Y</v>
      </c>
      <c r="X202" s="248">
        <f t="shared" si="149"/>
        <v>1</v>
      </c>
      <c r="Y202" s="248">
        <f t="shared" si="150"/>
        <v>2.3285999999999998</v>
      </c>
      <c r="Z202" s="248">
        <f t="shared" si="151"/>
        <v>2.3400000000000001E-2</v>
      </c>
      <c r="AA202" s="248">
        <f t="shared" si="152"/>
        <v>2.3051999999999997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153"/>
        <v>304</v>
      </c>
      <c r="AE202" s="236" t="str">
        <f t="shared" si="154"/>
        <v>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 &amp; aws s3 cp s3://rtdc.mdm.uploadarchive.raw/RTDC4007/ "%USERPROFILE%\AppData\Local\Temp\OnboardLogs"\RTDC4007\2017-11-27 --exclude "*" --recursive --include "*20171127*" &amp; "%USERPROFILE%\Documents\GitHub\mrs-test-scripts\Headless Mode &amp; Sideloading\WalkAndUnGZ.bat" "%USERPROFILE%\AppData\Local\Temp\OnboardLogs"\RTDC4007\2017-11-27</v>
      </c>
      <c r="AF202" s="235" t="str">
        <f t="shared" si="155"/>
        <v>"C:\Program Files (x86)\AstroGrep\AstroGrep.exe" /e /r /s /spath="%USERPROFILE%\AppData\Local\Temp\OnboardLogs" /stypes="app*4007*20171126*" /stext=" 10:.+((SYSTEM_STATE.+slice.+state.+changed )|(ment ac)|(multiple cpu faults)|(system.+state.+changed )|(\[timeout)|(PRM\|1\|D)|(kpr)|(kdp)|(train st.+moving)|(\|lc)|(penalty))"</v>
      </c>
      <c r="AG202" s="245" t="str">
        <f t="shared" si="156"/>
        <v>Other</v>
      </c>
      <c r="AH202" s="237" t="str">
        <f t="shared" si="102"/>
        <v>"%USERPROFILE%\Documents\GitHub\eaglep3\Utilities\RefineRTDCRunTimes.py" --tripid 304-26 --locoid 4007 --swversion DE.1.0.9.0 --startMP 300:23286 --initTime 2017-11-26T03:43:59 --startdatetime 2017-11-26T03:48:43 --delay 61 --endMP 204:234 --enddatetime 2017-11-26T03:56:14 --enforcementcount 0 &gt;&gt;%USERPROFILE%\Documents\GitHub\eaglep3-reporting\EC\2017-11-26-refined-times.txt</v>
      </c>
      <c r="AI202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{"issue":{"subject":"","project_id":79,"tracker_id":40,"status_id":1,"priority_id":2,"assigned_to_id":338,"start_date":"2017-11-26","description":"","custom_fields":[{"id":1,"name":"Subdivision","value":"Other"},{"id":4,"name":"Milepost","value":"0.0234"},{"id":17,"name":"Train ID","value":"304-26"},{"id":16,"name":"Locomotive ID","value":"4007"},{"id":130,"name":"Impact","value":""},{"id":150,"name":"Time of Event (Mountain Time)","value":"03:56:14"},{"id":151,"name":"Denver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104"/>
        <v>start /low /b %USERPROFILE%\Documents\GitHub\eaglep3\Utilities\DownloadLogsFromS3.py --loco 4007 --day 2017-11-26</v>
      </c>
      <c r="AN202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10:56:14"},{"id":29,"name":"Sharepoint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106"/>
        <v>https://d0f6bd738d7f1b3e5a7ca70fe4ff75f0.us-east-1.aws.found.io/app/kibana#/discover/Steve-Slow-Train-Analysis-(2080s-and-2083s)?_g=(refreshInterval:(display:Off,pause:!f,section:0,value:0),time:(from:'2017-11-26T02:43:59-0700',mode:absolute,to:'2017-11-26T04:56:14-0700'))&amp;_a=(columns:!('Message%20ID',Summary),filters:!(),index:'emp_*',interval:auto,query:(query_string:(analyze_wildcard:!t,query:'%22rtdc.l.rtdc.4007%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861</v>
      </c>
      <c r="B203" s="226">
        <v>4040</v>
      </c>
      <c r="C203" s="228" t="s">
        <v>192</v>
      </c>
      <c r="D203" s="228" t="s">
        <v>544</v>
      </c>
      <c r="E203" s="227">
        <v>43065.818483796298</v>
      </c>
      <c r="F203" s="227">
        <v>43065.819895833331</v>
      </c>
      <c r="G203" s="226">
        <v>61</v>
      </c>
      <c r="H203" s="228" t="s">
        <v>1029</v>
      </c>
      <c r="I203" s="227">
        <f>F203+1/24/60</f>
        <v>43065.820590277777</v>
      </c>
      <c r="J203" s="226">
        <v>0</v>
      </c>
      <c r="K203" s="238" t="str">
        <f t="shared" si="143"/>
        <v>4039/4040</v>
      </c>
      <c r="L203" s="246" t="str">
        <f>VLOOKUP(A203,'Trips&amp;Operators'!$C$1:$G$99911,5,FALSE)</f>
        <v>SMITH MICHAEL</v>
      </c>
      <c r="M203" s="225">
        <f t="shared" si="144"/>
        <v>6.944444467080757E-4</v>
      </c>
      <c r="N203" s="226"/>
      <c r="O203" s="226"/>
      <c r="P203" s="226">
        <f t="shared" si="145"/>
        <v>1.000000003259629</v>
      </c>
      <c r="Q203" s="229"/>
      <c r="R203" s="243" t="s">
        <v>1060</v>
      </c>
      <c r="S203" s="250">
        <f t="shared" si="146"/>
        <v>0</v>
      </c>
      <c r="T203" s="243" t="str">
        <f t="shared" si="147"/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49" t="str">
        <f t="shared" si="148"/>
        <v>https://d0f6bd738d7f1b3e5a7ca70fe4ff75f0.us-east-1.aws.found.io/app/kibana#/discover/Steve-Slow-Train-Analysis-(2080s-and-2083s)?_g=(refreshInterval:(display:Off,pause:!f,section:0,value:0),time:(from:'2017-11-26T18:38:37-0700',mode:absolute,to:'2017-11-26T20:41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248" t="str">
        <f>IF(AA203&lt;VLOOKUP(AG203,Variables!$AC$3:$AD$8,2,FALSE),"Y","N")</f>
        <v>Y</v>
      </c>
      <c r="X203" s="248">
        <f t="shared" si="149"/>
        <v>1</v>
      </c>
      <c r="Y203" s="248">
        <f t="shared" si="150"/>
        <v>5.0799999999999998E-2</v>
      </c>
      <c r="Z203" s="248">
        <f t="shared" si="151"/>
        <v>0.26100000000000001</v>
      </c>
      <c r="AA203" s="248">
        <f t="shared" si="152"/>
        <v>0.2102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153"/>
        <v>305</v>
      </c>
      <c r="AE203" s="236" t="str">
        <f t="shared" si="154"/>
        <v>aws s3 cp s3://rtdc.mdm.uploadarchive.raw/RTDC4040/ "%USERPROFILE%\AppData\Local\Temp\OnboardLogs"\RTDC4040\2017-11-26 --exclude "*" --recursive --include "*20171126*" &amp; "%USERPROFILE%\Documents\GitHub\mrs-test-scripts\Headless Mode &amp; Sideloading\WalkAndUnGZ.bat" "%USERPROFILE%\AppData\Local\Temp\OnboardLogs"\RTDC4040\2017-11-26 &amp; aws s3 cp s3://rtdc.mdm.uploadarchive.raw/RTDC4040/ "%USERPROFILE%\AppData\Local\Temp\OnboardLogs"\RTDC4040\2017-11-27 --exclude "*" --recursive --include "*20171127*" &amp; "%USERPROFILE%\Documents\GitHub\mrs-test-scripts\Headless Mode &amp; Sideloading\WalkAndUnGZ.bat" "%USERPROFILE%\AppData\Local\Temp\OnboardLogs"\RTDC4040\2017-11-27</v>
      </c>
      <c r="AF203" s="235" t="str">
        <f t="shared" si="155"/>
        <v>"C:\Program Files (x86)\AstroGrep\AstroGrep.exe" /e /r /s /spath="%USERPROFILE%\AppData\Local\Temp\OnboardLogs" /stypes="app*4040*20171127*" /stext=" 02:.+((SYSTEM_STATE.+slice.+state.+changed )|(ment ac)|(multiple cpu faults)|(system.+state.+changed )|(\[timeout)|(PRM\|1\|D)|(kpr)|(kdp)|(train st.+moving)|(\|lc)|(penalty))"</v>
      </c>
      <c r="AG203" s="245" t="str">
        <f t="shared" si="156"/>
        <v>Other</v>
      </c>
      <c r="AH203" s="237" t="str">
        <f t="shared" si="102"/>
        <v>"%USERPROFILE%\Documents\GitHub\eaglep3\Utilities\RefineRTDCRunTimes.py" --tripid 305-26 --locoid 4040 --swversion DE.1.0.9.0 --startMP 204:508 --initTime 2017-11-26T19:38:37 --startdatetime 2017-11-26T19:40:39 --delay 61 --endMP 204:2610 --enddatetime 2017-11-26T19:41:39 --enforcementcount 0 &gt;&gt;%USERPROFILE%\Documents\GitHub\eaglep3-reporting\EC\2017-11-26-refined-times.txt</v>
      </c>
      <c r="AI203" s="239" t="str">
        <f t="shared" si="103"/>
        <v>echo {"issue":{"subject":"Onboard in-route failure","project_id":79,"tracker_id":40,"status_id":1,"priority_id":2,"assigned_to_id":338,"start_date":"2017-11-26","description":"","custom_fields":[{"id":1,"name":"Subdivision","value":"Other"},{"id":4,"name":"Milepost","value":"0.261"},{"id":17,"name":"Train ID","value":"305-26"},{"id":16,"name":"Locomotive ID","value":"4040"},{"id":130,"name":"Impact","value":""},{"id":150,"name":"Time of Event (Mountain Time)","value":"19:41:39"},{"id":151,"name":"Denver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104"/>
        <v>start /low /b %USERPROFILE%\Documents\GitHub\eaglep3\Utilities\DownloadLogsFromS3.py --loco 4040 --day 2017-11-26</v>
      </c>
      <c r="AN203" s="242" t="str">
        <f t="shared" si="105"/>
        <v>echo {"issue":{"subject":"Onboard in-route failure","project_id":30,"tracker_id":4,"status_id":1,"priority_id":1,"assigned_to_id":10,"start_date":"2017-11-27","description":"","custom_fields":[{"id":30,"name":"Category","value":"Issue"},{"id":3,"name":"Functional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02:41:39"},{"id":29,"name":"Sharepoint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106"/>
        <v>https://d0f6bd738d7f1b3e5a7ca70fe4ff75f0.us-east-1.aws.found.io/app/kibana#/discover/Steve-Slow-Train-Analysis-(2080s-and-2083s)?_g=(refreshInterval:(display:Off,pause:!f,section:0,value:0),time:(from:'2017-11-26T18:38:37-0700',mode:absolute,to:'2017-11-26T20:41:39-0700'))&amp;_a=(columns:!('Message%20ID',Summary),filters:!(),index:'emp_*',interval:auto,query:(query_string:(analyze_wildcard:!t,query:'%22rtdc.l.rtdc.4040%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30" t="s">
        <v>651</v>
      </c>
      <c r="B204" s="226">
        <v>4009</v>
      </c>
      <c r="C204" s="228" t="s">
        <v>192</v>
      </c>
      <c r="D204" s="228" t="s">
        <v>1030</v>
      </c>
      <c r="E204" s="227">
        <v>43065.170370370368</v>
      </c>
      <c r="F204" s="227">
        <v>43065.173692129632</v>
      </c>
      <c r="G204" s="226">
        <v>63</v>
      </c>
      <c r="H204" s="228" t="s">
        <v>1031</v>
      </c>
      <c r="I204" s="227">
        <v>43065.178032407406</v>
      </c>
      <c r="J204" s="226">
        <v>0</v>
      </c>
      <c r="K204" s="238" t="str">
        <f t="shared" si="143"/>
        <v>4009/4010</v>
      </c>
      <c r="L204" s="246" t="str">
        <f>VLOOKUP(A204,'Trips&amp;Operators'!$C$1:$G$99911,5,FALSE)</f>
        <v>PAGE MARCUS</v>
      </c>
      <c r="M204" s="225">
        <f t="shared" si="144"/>
        <v>4.3402777737355791E-3</v>
      </c>
      <c r="N204" s="226">
        <f t="shared" si="145"/>
        <v>6.2499999941792339</v>
      </c>
      <c r="O204" s="226"/>
      <c r="P204" s="226"/>
      <c r="Q204" s="229"/>
      <c r="R204" s="243"/>
      <c r="S204" s="250">
        <f t="shared" si="146"/>
        <v>1</v>
      </c>
      <c r="T204" s="243" t="str">
        <f t="shared" si="147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148"/>
        <v>https://d0f6bd738d7f1b3e5a7ca70fe4ff75f0.us-east-1.aws.found.io/app/kibana#/discover/Steve-Slow-Train-Analysis-(2080s-and-2083s)?_g=(refreshInterval:(display:Off,pause:!f,section:0,value:0),time:(from:'2017-11-26T03:05:20-0700',mode:absolute,to:'2017-11-26T05:16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248" t="str">
        <f>IF(AA204&lt;VLOOKUP(AG204,Variables!$AC$3:$AD$8,2,FALSE),"Y","N")</f>
        <v>Y</v>
      </c>
      <c r="X204" s="248">
        <f t="shared" si="149"/>
        <v>1</v>
      </c>
      <c r="Y204" s="248">
        <f t="shared" si="150"/>
        <v>2.3479999999999999</v>
      </c>
      <c r="Z204" s="248">
        <f t="shared" si="151"/>
        <v>0.4526</v>
      </c>
      <c r="AA204" s="248">
        <f t="shared" si="152"/>
        <v>1.8954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153"/>
        <v>306</v>
      </c>
      <c r="AE204" s="236" t="str">
        <f t="shared" si="154"/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AF204" s="235" t="str">
        <f t="shared" si="155"/>
        <v>"C:\Program Files (x86)\AstroGrep\AstroGrep.exe" /e /r /s /spath="%USERPROFILE%\AppData\Local\Temp\OnboardLogs" /stypes="app*4009*20171126*" /stext=" 11:.+((SYSTEM_STATE.+slice.+state.+changed )|(ment ac)|(multiple cpu faults)|(system.+state.+changed )|(\[timeout)|(PRM\|1\|D)|(kpr)|(kdp)|(train st.+moving)|(\|lc)|(penalty))"</v>
      </c>
      <c r="AG204" s="245" t="str">
        <f t="shared" si="156"/>
        <v>Other</v>
      </c>
      <c r="AH204" s="237" t="str">
        <f t="shared" si="102"/>
        <v>"%USERPROFILE%\Documents\GitHub\eaglep3\Utilities\RefineRTDCRunTimes.py" --tripid 306-26 --locoid 4009 --swversion DE.1.0.9.0 --startMP 300:23480 --initTime 2017-11-26T04:05:20 --startdatetime 2017-11-26T04:10:07 --delay 63 --endMP 204:4526 --enddatetime 2017-11-26T04:16:22 --enforcementcount 0 &gt;&gt;%USERPROFILE%\Documents\GitHub\eaglep3-reporting\EC\2017-11-26-refined-times.txt</v>
      </c>
      <c r="AI204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{"issue":{"subject":"","project_id":79,"tracker_id":40,"status_id":1,"priority_id":2,"assigned_to_id":338,"start_date":"2017-11-26","description":"","custom_fields":[{"id":1,"name":"Subdivision","value":"Other"},{"id":4,"name":"Milepost","value":"0.4526"},{"id":17,"name":"Train ID","value":"306-26"},{"id":16,"name":"Locomotive ID","value":"4009"},{"id":130,"name":"Impact","value":""},{"id":150,"name":"Time of Event (Mountain Time)","value":"04:16:22"},{"id":151,"name":"Denver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104"/>
        <v>start /low /b %USERPROFILE%\Documents\GitHub\eaglep3\Utilities\DownloadLogsFromS3.py --loco 4009 --day 2017-11-26</v>
      </c>
      <c r="AN204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11:16:22"},{"id":29,"name":"Sharepoint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106"/>
        <v>https://d0f6bd738d7f1b3e5a7ca70fe4ff75f0.us-east-1.aws.found.io/app/kibana#/discover/Steve-Slow-Train-Analysis-(2080s-and-2083s)?_g=(refreshInterval:(display:Off,pause:!f,section:0,value:0),time:(from:'2017-11-26T03:05:20-0700',mode:absolute,to:'2017-11-26T05:16:22-0700'))&amp;_a=(columns:!('Message%20ID',Summary),filters:!(),index:'emp_*',interval:auto,query:(query_string:(analyze_wildcard:!t,query:'%22rtdc.l.rtdc.4009%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30" t="s">
        <v>889</v>
      </c>
      <c r="B205" s="226">
        <v>4016</v>
      </c>
      <c r="C205" s="228" t="s">
        <v>192</v>
      </c>
      <c r="D205" s="228" t="s">
        <v>923</v>
      </c>
      <c r="E205" s="227">
        <v>43066.046412037038</v>
      </c>
      <c r="F205" s="227">
        <v>43066.047939814816</v>
      </c>
      <c r="G205" s="226">
        <v>65</v>
      </c>
      <c r="H205" s="228" t="s">
        <v>1032</v>
      </c>
      <c r="I205" s="227">
        <v>43066.057199074072</v>
      </c>
      <c r="J205" s="226">
        <v>0</v>
      </c>
      <c r="K205" s="238" t="str">
        <f t="shared" si="143"/>
        <v>4015/4016</v>
      </c>
      <c r="L205" s="246" t="str">
        <f>VLOOKUP(A205,'Trips&amp;Operators'!$C$1:$G$99911,5,FALSE)</f>
        <v>LOZA FIDEL</v>
      </c>
      <c r="M205" s="225">
        <f t="shared" si="144"/>
        <v>9.2592592554865405E-3</v>
      </c>
      <c r="N205" s="226">
        <f t="shared" si="145"/>
        <v>13.333333327900618</v>
      </c>
      <c r="O205" s="226"/>
      <c r="P205" s="226"/>
      <c r="Q205" s="229"/>
      <c r="R205" s="243"/>
      <c r="S205" s="250">
        <f t="shared" si="146"/>
        <v>1</v>
      </c>
      <c r="T205" s="243" t="str">
        <f t="shared" si="147"/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si="148"/>
        <v>https://d0f6bd738d7f1b3e5a7ca70fe4ff75f0.us-east-1.aws.found.io/app/kibana#/discover/Steve-Slow-Train-Analysis-(2080s-and-2083s)?_g=(refreshInterval:(display:Off,pause:!f,section:0,value:0),time:(from:'2017-11-27T00:06:50-0700',mode:absolute,to:'2017-11-27T02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248" t="str">
        <f>IF(AA205&lt;VLOOKUP(AG205,Variables!$AC$3:$AD$8,2,FALSE),"Y","N")</f>
        <v>Y</v>
      </c>
      <c r="X205" s="248">
        <f t="shared" si="149"/>
        <v>1</v>
      </c>
      <c r="Y205" s="248">
        <f t="shared" si="150"/>
        <v>5.1700000000000003E-2</v>
      </c>
      <c r="Z205" s="248">
        <f t="shared" si="151"/>
        <v>2.3300999999999998</v>
      </c>
      <c r="AA205" s="248">
        <f t="shared" si="152"/>
        <v>2.2784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si="153"/>
        <v>307</v>
      </c>
      <c r="AE205" s="236" t="str">
        <f t="shared" si="154"/>
        <v>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 &amp; aws s3 cp s3://rtdc.mdm.uploadarchive.raw/RTDC4016/ "%USERPROFILE%\AppData\Local\Temp\OnboardLogs"\RTDC4016\2017-11-28 --exclude "*" --recursive --include "*20171128*" &amp; "%USERPROFILE%\Documents\GitHub\mrs-test-scripts\Headless Mode &amp; Sideloading\WalkAndUnGZ.bat" "%USERPROFILE%\AppData\Local\Temp\OnboardLogs"\RTDC4016\2017-11-28</v>
      </c>
      <c r="AF205" s="235" t="str">
        <f t="shared" si="155"/>
        <v>"C:\Program Files (x86)\AstroGrep\AstroGrep.exe" /e /r /s /spath="%USERPROFILE%\AppData\Local\Temp\OnboardLogs" /stypes="app*4016*20171127*" /stext=" 08:.+((SYSTEM_STATE.+slice.+state.+changed )|(ment ac)|(multiple cpu faults)|(system.+state.+changed )|(\[timeout)|(PRM\|1\|D)|(kpr)|(kdp)|(train st.+moving)|(\|lc)|(penalty))"</v>
      </c>
      <c r="AG205" s="245" t="str">
        <f t="shared" si="156"/>
        <v>Other</v>
      </c>
      <c r="AH205" s="237" t="str">
        <f t="shared" si="102"/>
        <v>"%USERPROFILE%\Documents\GitHub\eaglep3\Utilities\RefineRTDCRunTimes.py" --tripid 307-26 --locoid 4016 --swversion DE.1.0.9.0 --startMP 204:517 --initTime 2017-11-27T01:06:50 --startdatetime 2017-11-27T01:09:02 --delay 65 --endMP 300:23301 --enddatetime 2017-11-27T01:22:22 --enforcementcount 0 &gt;&gt;%USERPROFILE%\Documents\GitHub\eaglep3-reporting\EC\2017-11-26-refined-times.txt</v>
      </c>
      <c r="AI205" s="239" t="str">
        <f t="shared" si="103"/>
        <v>echo {"issue":{"subject":"","project_id":79,"tracker_id":40,"status_id":1,"priority_id":2,"assigned_to_id":338,"start_date":"2017-11-27","description":"","custom_fields":[{"id":1,"name":"Subdivision","value":"Other"},{"id":4,"name":"Milepost","value":"2.3301"},{"id":17,"name":"Train ID","value":"307-26"},{"id":16,"name":"Locomotive ID","value":"4016"},{"id":130,"name":"Impact","value":""},{"id":150,"name":"Time of Event (Mountain Time)","value":"01:22:22"},{"id":151,"name":"Denver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104"/>
        <v>start /low /b %USERPROFILE%\Documents\GitHub\eaglep3\Utilities\DownloadLogsFromS3.py --loco 4016 --day 2017-11-27</v>
      </c>
      <c r="AN205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106"/>
        <v>https://d0f6bd738d7f1b3e5a7ca70fe4ff75f0.us-east-1.aws.found.io/app/kibana#/discover/Steve-Slow-Train-Analysis-(2080s-and-2083s)?_g=(refreshInterval:(display:Off,pause:!f,section:0,value:0),time:(from:'2017-11-27T00:06:50-0700',mode:absolute,to:'2017-11-27T02:22:22-0700'))&amp;_a=(columns:!('Message%20ID',Summary),filters:!(),index:'emp_*',interval:auto,query:(query_string:(analyze_wildcard:!t,query:'%22rtdc.l.rtdc.4016%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697</v>
      </c>
      <c r="B206" s="226">
        <v>4049</v>
      </c>
      <c r="C206" s="228" t="s">
        <v>192</v>
      </c>
      <c r="D206" s="228" t="s">
        <v>1033</v>
      </c>
      <c r="E206" s="227">
        <v>43065.179780092592</v>
      </c>
      <c r="F206" s="227">
        <v>43065.183148148149</v>
      </c>
      <c r="G206" s="226">
        <v>67</v>
      </c>
      <c r="H206" s="228" t="s">
        <v>1034</v>
      </c>
      <c r="I206" s="227">
        <v>43065.188738425924</v>
      </c>
      <c r="J206" s="226">
        <v>0</v>
      </c>
      <c r="K206" s="238" t="str">
        <f t="shared" si="143"/>
        <v>4049/4050</v>
      </c>
      <c r="L206" s="246" t="str">
        <f>VLOOKUP(A206,'Trips&amp;Operators'!$C$1:$G$99911,5,FALSE)</f>
        <v>GEBRETEKLE DAGNEW</v>
      </c>
      <c r="M206" s="225">
        <f t="shared" si="144"/>
        <v>5.5902777748997323E-3</v>
      </c>
      <c r="N206" s="226">
        <f t="shared" si="145"/>
        <v>8.0499999958556145</v>
      </c>
      <c r="O206" s="226"/>
      <c r="P206" s="226"/>
      <c r="Q206" s="229"/>
      <c r="R206" s="243"/>
      <c r="S206" s="250">
        <f t="shared" si="146"/>
        <v>1</v>
      </c>
      <c r="T206" s="243" t="str">
        <f t="shared" si="147"/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148"/>
        <v>https://d0f6bd738d7f1b3e5a7ca70fe4ff75f0.us-east-1.aws.found.io/app/kibana#/discover/Steve-Slow-Train-Analysis-(2080s-and-2083s)?_g=(refreshInterval:(display:Off,pause:!f,section:0,value:0),time:(from:'2017-11-26T03:18:53-0700',mode:absolute,to:'2017-11-26T05:31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6" s="248" t="str">
        <f>IF(AA206&lt;VLOOKUP(AG206,Variables!$AC$3:$AD$8,2,FALSE),"Y","N")</f>
        <v>Y</v>
      </c>
      <c r="X206" s="248">
        <f t="shared" si="149"/>
        <v>1</v>
      </c>
      <c r="Y206" s="248">
        <f t="shared" si="150"/>
        <v>2.3702999999999999</v>
      </c>
      <c r="Z206" s="248">
        <f t="shared" si="151"/>
        <v>1.2999999999999999E-2</v>
      </c>
      <c r="AA206" s="248">
        <f t="shared" si="152"/>
        <v>2.3573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53"/>
        <v>308</v>
      </c>
      <c r="AE206" s="236" t="str">
        <f t="shared" si="154"/>
        <v>aws s3 cp s3://rtdc.mdm.uploadarchive.raw/RTDC4049/ "%USERPROFILE%\AppData\Local\Temp\OnboardLogs"\RTDC4049\2017-11-26 --exclude "*" --recursive --include "*20171126*" &amp; "%USERPROFILE%\Documents\GitHub\mrs-test-scripts\Headless Mode &amp; Sideloading\WalkAndUnGZ.bat" "%USERPROFILE%\AppData\Local\Temp\OnboardLogs"\RTDC4049\2017-11-26 &amp; aws s3 cp s3://rtdc.mdm.uploadarchive.raw/RTDC4049/ "%USERPROFILE%\AppData\Local\Temp\OnboardLogs"\RTDC4049\2017-11-27 --exclude "*" --recursive --include "*20171127*" &amp; "%USERPROFILE%\Documents\GitHub\mrs-test-scripts\Headless Mode &amp; Sideloading\WalkAndUnGZ.bat" "%USERPROFILE%\AppData\Local\Temp\OnboardLogs"\RTDC4049\2017-11-27</v>
      </c>
      <c r="AF206" s="235" t="str">
        <f t="shared" si="155"/>
        <v>"C:\Program Files (x86)\AstroGrep\AstroGrep.exe" /e /r /s /spath="%USERPROFILE%\AppData\Local\Temp\OnboardLogs" /stypes="app*4049*20171126*" /stext=" 11:.+((SYSTEM_STATE.+slice.+state.+changed )|(ment ac)|(multiple cpu faults)|(system.+state.+changed )|(\[timeout)|(PRM\|1\|D)|(kpr)|(kdp)|(train st.+moving)|(\|lc)|(penalty))"</v>
      </c>
      <c r="AG206" s="245" t="str">
        <f t="shared" si="156"/>
        <v>Other</v>
      </c>
      <c r="AH206" s="237" t="str">
        <f t="shared" si="102"/>
        <v>"%USERPROFILE%\Documents\GitHub\eaglep3\Utilities\RefineRTDCRunTimes.py" --tripid 308-26 --locoid 4049 --swversion DE.1.0.9.0 --startMP 300:23703 --initTime 2017-11-26T04:18:53 --startdatetime 2017-11-26T04:23:44 --delay 67 --endMP 204:130 --enddatetime 2017-11-26T04:31:47 --enforcementcount 0 &gt;&gt;%USERPROFILE%\Documents\GitHub\eaglep3-reporting\EC\2017-11-26-refined-times.txt</v>
      </c>
      <c r="AI206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{"issue":{"subject":"","project_id":79,"tracker_id":40,"status_id":1,"priority_id":2,"assigned_to_id":338,"start_date":"2017-11-26","description":"","custom_fields":[{"id":1,"name":"Subdivision","value":"Other"},{"id":4,"name":"Milepost","value":"0.013"},{"id":17,"name":"Train ID","value":"308-26"},{"id":16,"name":"Locomotive ID","value":"4049"},{"id":130,"name":"Impact","value":""},{"id":150,"name":"Time of Event (Mountain Time)","value":"04:31:47"},{"id":151,"name":"Denver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104"/>
        <v>start /low /b %USERPROFILE%\Documents\GitHub\eaglep3\Utilities\DownloadLogsFromS3.py --loco 4049 --day 2017-11-26</v>
      </c>
      <c r="AN206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11:31:47"},{"id":29,"name":"Sharepoint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106"/>
        <v>https://d0f6bd738d7f1b3e5a7ca70fe4ff75f0.us-east-1.aws.found.io/app/kibana#/discover/Steve-Slow-Train-Analysis-(2080s-and-2083s)?_g=(refreshInterval:(display:Off,pause:!f,section:0,value:0),time:(from:'2017-11-26T03:18:53-0700',mode:absolute,to:'2017-11-26T05:31:47-0700'))&amp;_a=(columns:!('Message%20ID',Summary),filters:!(),index:'emp_*',interval:auto,query:(query_string:(analyze_wildcard:!t,query:'%22rtdc.l.rtdc.4049%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891</v>
      </c>
      <c r="B207" s="226">
        <v>4008</v>
      </c>
      <c r="C207" s="228" t="s">
        <v>192</v>
      </c>
      <c r="D207" s="228" t="s">
        <v>634</v>
      </c>
      <c r="E207" s="227">
        <v>43066.066817129627</v>
      </c>
      <c r="F207" s="227">
        <v>43066.069618055553</v>
      </c>
      <c r="G207" s="226">
        <v>54</v>
      </c>
      <c r="H207" s="228" t="s">
        <v>561</v>
      </c>
      <c r="I207" s="227">
        <v>43066.078009259261</v>
      </c>
      <c r="J207" s="226">
        <v>0</v>
      </c>
      <c r="K207" s="238" t="str">
        <f t="shared" si="143"/>
        <v>4007/4008</v>
      </c>
      <c r="L207" s="246" t="str">
        <f>VLOOKUP(A207,'Trips&amp;Operators'!$C$1:$G$99911,5,FALSE)</f>
        <v>ELBAUM MIKE</v>
      </c>
      <c r="M207" s="225">
        <f t="shared" si="144"/>
        <v>8.3912037080153823E-3</v>
      </c>
      <c r="N207" s="226">
        <f t="shared" si="145"/>
        <v>12.08333333954215</v>
      </c>
      <c r="O207" s="226"/>
      <c r="P207" s="226"/>
      <c r="Q207" s="229"/>
      <c r="R207" s="243"/>
      <c r="S207" s="250">
        <f t="shared" si="146"/>
        <v>1</v>
      </c>
      <c r="T207" s="243" t="str">
        <f t="shared" si="147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148"/>
        <v>https://d0f6bd738d7f1b3e5a7ca70fe4ff75f0.us-east-1.aws.found.io/app/kibana#/discover/Steve-Slow-Train-Analysis-(2080s-and-2083s)?_g=(refreshInterval:(display:Off,pause:!f,section:0,value:0),time:(from:'2017-11-27T00:36:13-0700',mode:absolute,to:'2017-11-27T02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248" t="str">
        <f>IF(AA207&lt;VLOOKUP(AG207,Variables!$AC$3:$AD$8,2,FALSE),"Y","N")</f>
        <v>Y</v>
      </c>
      <c r="X207" s="248">
        <f t="shared" si="149"/>
        <v>1</v>
      </c>
      <c r="Y207" s="248">
        <f t="shared" si="150"/>
        <v>5.3999999999999999E-2</v>
      </c>
      <c r="Z207" s="248">
        <f t="shared" si="151"/>
        <v>2.3304</v>
      </c>
      <c r="AA207" s="248">
        <f t="shared" si="152"/>
        <v>2.2764000000000002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53"/>
        <v>309</v>
      </c>
      <c r="AE207" s="236" t="str">
        <f t="shared" si="154"/>
        <v>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 &amp; aws s3 cp s3://rtdc.mdm.uploadarchive.raw/RTDC4008/ "%USERPROFILE%\AppData\Local\Temp\OnboardLogs"\RTDC4008\2017-11-28 --exclude "*" --recursive --include "*20171128*" &amp; "%USERPROFILE%\Documents\GitHub\mrs-test-scripts\Headless Mode &amp; Sideloading\WalkAndUnGZ.bat" "%USERPROFILE%\AppData\Local\Temp\OnboardLogs"\RTDC4008\2017-11-28</v>
      </c>
      <c r="AF207" s="235" t="str">
        <f t="shared" si="155"/>
        <v>"C:\Program Files (x86)\AstroGrep\AstroGrep.exe" /e /r /s /spath="%USERPROFILE%\AppData\Local\Temp\OnboardLogs" /stypes="app*4008*20171127*" /stext=" 08:.+((SYSTEM_STATE.+slice.+state.+changed )|(ment ac)|(multiple cpu faults)|(system.+state.+changed )|(\[timeout)|(PRM\|1\|D)|(kpr)|(kdp)|(train st.+moving)|(\|lc)|(penalty))"</v>
      </c>
      <c r="AG207" s="245" t="str">
        <f t="shared" si="156"/>
        <v>Other</v>
      </c>
      <c r="AH207" s="237" t="str">
        <f t="shared" si="102"/>
        <v>"%USERPROFILE%\Documents\GitHub\eaglep3\Utilities\RefineRTDCRunTimes.py" --tripid 309-26 --locoid 4008 --swversion DE.1.0.9.0 --startMP 204:540 --initTime 2017-11-27T01:36:13 --startdatetime 2017-11-27T01:40:15 --delay 54 --endMP 300:23304 --enddatetime 2017-11-27T01:52:20 --enforcementcount 0 &gt;&gt;%USERPROFILE%\Documents\GitHub\eaglep3-reporting\EC\2017-11-26-refined-times.txt</v>
      </c>
      <c r="AI207" s="239" t="str">
        <f t="shared" si="103"/>
        <v>echo {"issue":{"subject":"","project_id":79,"tracker_id":40,"status_id":1,"priority_id":2,"assigned_to_id":338,"start_date":"2017-11-27","description":"","custom_fields":[{"id":1,"name":"Subdivision","value":"Other"},{"id":4,"name":"Milepost","value":"2.3304"},{"id":17,"name":"Train ID","value":"309-26"},{"id":16,"name":"Locomotive ID","value":"4008"},{"id":130,"name":"Impact","value":""},{"id":150,"name":"Time of Event (Mountain Time)","value":"01:52:20"},{"id":151,"name":"Denver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104"/>
        <v>start /low /b %USERPROFILE%\Documents\GitHub\eaglep3\Utilities\DownloadLogsFromS3.py --loco 4008 --day 2017-11-27</v>
      </c>
      <c r="AN207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08:52:20"},{"id":29,"name":"Sharepoint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106"/>
        <v>https://d0f6bd738d7f1b3e5a7ca70fe4ff75f0.us-east-1.aws.found.io/app/kibana#/discover/Steve-Slow-Train-Analysis-(2080s-and-2083s)?_g=(refreshInterval:(display:Off,pause:!f,section:0,value:0),time:(from:'2017-11-27T00:36:13-0700',mode:absolute,to:'2017-11-27T02:52:20-0700'))&amp;_a=(columns:!('Message%20ID',Summary),filters:!(),index:'emp_*',interval:auto,query:(query_string:(analyze_wildcard:!t,query:'%22rtdc.l.rtdc.4008%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704</v>
      </c>
      <c r="B208" s="226">
        <v>4005</v>
      </c>
      <c r="C208" s="228" t="s">
        <v>192</v>
      </c>
      <c r="D208" s="228" t="s">
        <v>1035</v>
      </c>
      <c r="E208" s="227">
        <v>43065.197847222225</v>
      </c>
      <c r="F208" s="227">
        <v>43065.202546296299</v>
      </c>
      <c r="G208" s="226">
        <v>160</v>
      </c>
      <c r="H208" s="228" t="s">
        <v>515</v>
      </c>
      <c r="I208" s="227">
        <v>43065.211539351854</v>
      </c>
      <c r="J208" s="226">
        <v>0</v>
      </c>
      <c r="K208" s="238" t="str">
        <f t="shared" si="143"/>
        <v>4005/4006</v>
      </c>
      <c r="L208" s="246" t="str">
        <f>VLOOKUP(A208,'Trips&amp;Operators'!$C$1:$G$99911,5,FALSE)</f>
        <v>WILLIAMS DONTE</v>
      </c>
      <c r="M208" s="225">
        <f t="shared" si="144"/>
        <v>8.9930555550381541E-3</v>
      </c>
      <c r="N208" s="226">
        <f t="shared" si="145"/>
        <v>12.949999999254942</v>
      </c>
      <c r="O208" s="226"/>
      <c r="P208" s="226"/>
      <c r="Q208" s="229"/>
      <c r="R208" s="243"/>
      <c r="S208" s="250">
        <f t="shared" si="146"/>
        <v>1</v>
      </c>
      <c r="T208" s="243" t="str">
        <f t="shared" si="147"/>
        <v>Southbound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si="148"/>
        <v>https://d0f6bd738d7f1b3e5a7ca70fe4ff75f0.us-east-1.aws.found.io/app/kibana#/discover/Steve-Slow-Train-Analysis-(2080s-and-2083s)?_g=(refreshInterval:(display:Off,pause:!f,section:0,value:0),time:(from:'2017-11-26T03:44:54-0700',mode:absolute,to:'2017-11-26T06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8" s="248" t="str">
        <f>IF(AA208&lt;VLOOKUP(AG208,Variables!$AC$3:$AD$8,2,FALSE),"Y","N")</f>
        <v>Y</v>
      </c>
      <c r="X208" s="248">
        <f t="shared" si="149"/>
        <v>1</v>
      </c>
      <c r="Y208" s="248">
        <f t="shared" si="150"/>
        <v>2.3521000000000001</v>
      </c>
      <c r="Z208" s="248">
        <f t="shared" si="151"/>
        <v>2.1600000000000001E-2</v>
      </c>
      <c r="AA208" s="248">
        <f t="shared" si="152"/>
        <v>2.3305000000000002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53"/>
        <v>310</v>
      </c>
      <c r="AE208" s="236" t="str">
        <f t="shared" si="154"/>
        <v>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 &amp; aws s3 cp s3://rtdc.mdm.uploadarchive.raw/RTDC4005/ "%USERPROFILE%\AppData\Local\Temp\OnboardLogs"\RTDC4005\2017-11-27 --exclude "*" --recursive --include "*20171127*" &amp; "%USERPROFILE%\Documents\GitHub\mrs-test-scripts\Headless Mode &amp; Sideloading\WalkAndUnGZ.bat" "%USERPROFILE%\AppData\Local\Temp\OnboardLogs"\RTDC4005\2017-11-27</v>
      </c>
      <c r="AF208" s="235" t="str">
        <f t="shared" si="155"/>
        <v>"C:\Program Files (x86)\AstroGrep\AstroGrep.exe" /e /r /s /spath="%USERPROFILE%\AppData\Local\Temp\OnboardLogs" /stypes="app*4005*20171126*" /stext=" 12:.+((SYSTEM_STATE.+slice.+state.+changed )|(ment ac)|(multiple cpu faults)|(system.+state.+changed )|(\[timeout)|(PRM\|1\|D)|(kpr)|(kdp)|(train st.+moving)|(\|lc)|(penalty))"</v>
      </c>
      <c r="AG208" s="245" t="str">
        <f t="shared" si="156"/>
        <v>Other</v>
      </c>
      <c r="AH208" s="237" t="str">
        <f t="shared" si="102"/>
        <v>"%USERPROFILE%\Documents\GitHub\eaglep3\Utilities\RefineRTDCRunTimes.py" --tripid 310-26 --locoid 4005 --swversion DE.1.0.9.0 --startMP 300:23521 --initTime 2017-11-26T04:44:54 --startdatetime 2017-11-26T04:51:40 --delay 160 --endMP 204:216 --enddatetime 2017-11-26T05:04:37 --enforcementcount 0 &gt;&gt;%USERPROFILE%\Documents\GitHub\eaglep3-reporting\EC\2017-11-26-refined-times.txt</v>
      </c>
      <c r="AI208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{"issue":{"subject":"","project_id":79,"tracker_id":40,"status_id":1,"priority_id":2,"assigned_to_id":338,"start_date":"2017-11-26","description":"","custom_fields":[{"id":1,"name":"Subdivision","value":"Other"},{"id":4,"name":"Milepost","value":"0.0216"},{"id":17,"name":"Train ID","value":"310-26"},{"id":16,"name":"Locomotive ID","value":"4005"},{"id":130,"name":"Impact","value":""},{"id":150,"name":"Time of Event (Mountain Time)","value":"05:04:37"},{"id":151,"name":"Denver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104"/>
        <v>start /low /b %USERPROFILE%\Documents\GitHub\eaglep3\Utilities\DownloadLogsFromS3.py --loco 4005 --day 2017-11-26</v>
      </c>
      <c r="AN208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106"/>
        <v>https://d0f6bd738d7f1b3e5a7ca70fe4ff75f0.us-east-1.aws.found.io/app/kibana#/discover/Steve-Slow-Train-Analysis-(2080s-and-2083s)?_g=(refreshInterval:(display:Off,pause:!f,section:0,value:0),time:(from:'2017-11-26T03:44:54-0700',mode:absolute,to:'2017-11-26T06:04:37-0700'))&amp;_a=(columns:!('Message%20ID',Summary),filters:!(),index:'emp_*',interval:auto,query:(query_string:(analyze_wildcard:!t,query:'%22rtdc.l.rtdc.4005%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711</v>
      </c>
      <c r="B209" s="226">
        <v>4039</v>
      </c>
      <c r="C209" s="228" t="s">
        <v>192</v>
      </c>
      <c r="D209" s="228" t="s">
        <v>1036</v>
      </c>
      <c r="E209" s="227">
        <v>43065.224293981482</v>
      </c>
      <c r="F209" s="227">
        <v>43065.228495370371</v>
      </c>
      <c r="G209" s="226">
        <v>93</v>
      </c>
      <c r="H209" s="228" t="s">
        <v>511</v>
      </c>
      <c r="I209" s="227">
        <v>43065.232974537037</v>
      </c>
      <c r="J209" s="226">
        <v>0</v>
      </c>
      <c r="K209" s="238" t="str">
        <f t="shared" si="143"/>
        <v>4039/4040</v>
      </c>
      <c r="L209" s="246" t="str">
        <f>VLOOKUP(A209,'Trips&amp;Operators'!$C$1:$G$99911,5,FALSE)</f>
        <v>LAMAR NEKESHA</v>
      </c>
      <c r="M209" s="225">
        <f t="shared" si="144"/>
        <v>4.4791666659875773E-3</v>
      </c>
      <c r="N209" s="226">
        <f t="shared" si="145"/>
        <v>6.4499999990221113</v>
      </c>
      <c r="O209" s="226"/>
      <c r="P209" s="226"/>
      <c r="Q209" s="229"/>
      <c r="R209" s="243"/>
      <c r="S209" s="250">
        <f t="shared" si="146"/>
        <v>1</v>
      </c>
      <c r="T209" s="243" t="str">
        <f t="shared" si="147"/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 t="shared" si="148"/>
        <v>https://d0f6bd738d7f1b3e5a7ca70fe4ff75f0.us-east-1.aws.found.io/app/kibana#/discover/Steve-Slow-Train-Analysis-(2080s-and-2083s)?_g=(refreshInterval:(display:Off,pause:!f,section:0,value:0),time:(from:'2017-11-26T04:22:59-0700',mode:absolute,to:'2017-11-26T06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248" t="str">
        <f>IF(AA209&lt;VLOOKUP(AG209,Variables!$AC$3:$AD$8,2,FALSE),"Y","N")</f>
        <v>Y</v>
      </c>
      <c r="X209" s="248">
        <f t="shared" si="149"/>
        <v>2</v>
      </c>
      <c r="Y209" s="248">
        <f t="shared" si="150"/>
        <v>2.2275999999999998</v>
      </c>
      <c r="Z209" s="248">
        <f t="shared" si="151"/>
        <v>1.54E-2</v>
      </c>
      <c r="AA209" s="248">
        <f t="shared" si="152"/>
        <v>2.2121999999999997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53"/>
        <v>312</v>
      </c>
      <c r="AE209" s="236" t="str">
        <f t="shared" si="154"/>
        <v>aws s3 cp s3://rtdc.mdm.uploadarchive.raw/RTDC4039/ "%USERPROFILE%\AppData\Local\Temp\OnboardLogs"\RTDC4039\2017-11-26 --exclude "*" --recursive --include "*20171126*" &amp; "%USERPROFILE%\Documents\GitHub\mrs-test-scripts\Headless Mode &amp; Sideloading\WalkAndUnGZ.bat" "%USERPROFILE%\AppData\Local\Temp\OnboardLogs"\RTDC4039\2017-11-26 &amp; aws s3 cp s3://rtdc.mdm.uploadarchive.raw/RTDC4039/ "%USERPROFILE%\AppData\Local\Temp\OnboardLogs"\RTDC4039\2017-11-27 --exclude "*" --recursive --include "*20171127*" &amp; "%USERPROFILE%\Documents\GitHub\mrs-test-scripts\Headless Mode &amp; Sideloading\WalkAndUnGZ.bat" "%USERPROFILE%\AppData\Local\Temp\OnboardLogs"\RTDC4039\2017-11-27</v>
      </c>
      <c r="AF209" s="235" t="str">
        <f t="shared" si="155"/>
        <v>"C:\Program Files (x86)\AstroGrep\AstroGrep.exe" /e /r /s /spath="%USERPROFILE%\AppData\Local\Temp\OnboardLogs" /stypes="app*4039*20171126*" /stext=" 12:.+((SYSTEM_STATE.+slice.+state.+changed )|(ment ac)|(multiple cpu faults)|(system.+state.+changed )|(\[timeout)|(PRM\|1\|D)|(kpr)|(kdp)|(train st.+moving)|(\|lc)|(penalty))"</v>
      </c>
      <c r="AG209" s="245" t="str">
        <f t="shared" si="156"/>
        <v>Other</v>
      </c>
      <c r="AH209" s="237" t="str">
        <f t="shared" si="102"/>
        <v>"%USERPROFILE%\Documents\GitHub\eaglep3\Utilities\RefineRTDCRunTimes.py" --tripid 312-26 --locoid 4039 --swversion DE.1.0.9.0 --startMP 300:22276 --initTime 2017-11-26T05:22:59 --startdatetime 2017-11-26T05:29:02 --delay 93 --endMP 204:154 --enddatetime 2017-11-26T05:35:29 --enforcementcount 0 &gt;&gt;%USERPROFILE%\Documents\GitHub\eaglep3-reporting\EC\2017-11-26-refined-times.txt</v>
      </c>
      <c r="AI209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{"issue":{"subject":"","project_id":79,"tracker_id":40,"status_id":1,"priority_id":2,"assigned_to_id":338,"start_date":"2017-11-26","description":"","custom_fields":[{"id":1,"name":"Subdivision","value":"Other"},{"id":4,"name":"Milepost","value":"0.0154"},{"id":17,"name":"Train ID","value":"312-26"},{"id":16,"name":"Locomotive ID","value":"4039"},{"id":130,"name":"Impact","value":""},{"id":150,"name":"Time of Event (Mountain Time)","value":"05:35:29"},{"id":151,"name":"Denver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104"/>
        <v>start /low /b %USERPROFILE%\Documents\GitHub\eaglep3\Utilities\DownloadLogsFromS3.py --loco 4039 --day 2017-11-26</v>
      </c>
      <c r="AN209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106"/>
        <v>https://d0f6bd738d7f1b3e5a7ca70fe4ff75f0.us-east-1.aws.found.io/app/kibana#/discover/Steve-Slow-Train-Analysis-(2080s-and-2083s)?_g=(refreshInterval:(display:Off,pause:!f,section:0,value:0),time:(from:'2017-11-26T04:22:59-0700',mode:absolute,to:'2017-11-26T06:35:29-0700'))&amp;_a=(columns:!('Message%20ID',Summary),filters:!(),index:'emp_*',interval:auto,query:(query_string:(analyze_wildcard:!t,query:'%22rtdc.l.rtdc.4039%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887</v>
      </c>
      <c r="B210" s="226">
        <v>4042</v>
      </c>
      <c r="C210" s="228" t="s">
        <v>192</v>
      </c>
      <c r="D210" s="228" t="s">
        <v>1037</v>
      </c>
      <c r="E210" s="227">
        <v>43066.025324074071</v>
      </c>
      <c r="F210" s="227">
        <v>43066.026412037034</v>
      </c>
      <c r="G210" s="226">
        <v>53</v>
      </c>
      <c r="H210" s="228" t="s">
        <v>561</v>
      </c>
      <c r="I210" s="227">
        <v>43066.033171296294</v>
      </c>
      <c r="J210" s="226">
        <v>0</v>
      </c>
      <c r="K210" s="238" t="str">
        <f t="shared" si="143"/>
        <v>4041/4042</v>
      </c>
      <c r="L210" s="246" t="str">
        <f>VLOOKUP(A210,'Trips&amp;Operators'!$C$1:$G$99911,5,FALSE)</f>
        <v>STAMBAUGH JAMES</v>
      </c>
      <c r="M210" s="225">
        <f t="shared" si="144"/>
        <v>6.7592592604341917E-3</v>
      </c>
      <c r="N210" s="226">
        <f t="shared" si="145"/>
        <v>9.733333335025236</v>
      </c>
      <c r="O210" s="226"/>
      <c r="P210" s="226"/>
      <c r="Q210" s="229"/>
      <c r="R210" s="243"/>
      <c r="S210" s="250">
        <f t="shared" si="146"/>
        <v>1</v>
      </c>
      <c r="T210" s="243" t="str">
        <f t="shared" si="147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48"/>
        <v>https://d0f6bd738d7f1b3e5a7ca70fe4ff75f0.us-east-1.aws.found.io/app/kibana#/discover/Steve-Slow-Train-Analysis-(2080s-and-2083s)?_g=(refreshInterval:(display:Off,pause:!f,section:0,value:0),time:(from:'2017-11-26T23:36:28-0700',mode:absolute,to:'2017-11-27T01:47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248" t="str">
        <f>IF(AA210&lt;VLOOKUP(AG210,Variables!$AC$3:$AD$8,2,FALSE),"Y","N")</f>
        <v>Y</v>
      </c>
      <c r="X210" s="248">
        <f t="shared" si="149"/>
        <v>1</v>
      </c>
      <c r="Y210" s="248">
        <f t="shared" si="150"/>
        <v>5.7000000000000002E-2</v>
      </c>
      <c r="Z210" s="248">
        <f t="shared" si="151"/>
        <v>2.3304</v>
      </c>
      <c r="AA210" s="248">
        <f t="shared" si="152"/>
        <v>2.2734000000000001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53"/>
        <v>313</v>
      </c>
      <c r="AE210" s="236" t="str">
        <f t="shared" si="154"/>
        <v>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 &amp; aws s3 cp s3://rtdc.mdm.uploadarchive.raw/RTDC4042/ "%USERPROFILE%\AppData\Local\Temp\OnboardLogs"\RTDC4042\2017-11-28 --exclude "*" --recursive --include "*20171128*" &amp; "%USERPROFILE%\Documents\GitHub\mrs-test-scripts\Headless Mode &amp; Sideloading\WalkAndUnGZ.bat" "%USERPROFILE%\AppData\Local\Temp\OnboardLogs"\RTDC4042\2017-11-28</v>
      </c>
      <c r="AF210" s="235" t="str">
        <f t="shared" si="155"/>
        <v>"C:\Program Files (x86)\AstroGrep\AstroGrep.exe" /e /r /s /spath="%USERPROFILE%\AppData\Local\Temp\OnboardLogs" /stypes="app*4042*20171127*" /stext=" 07:.+((SYSTEM_STATE.+slice.+state.+changed )|(ment ac)|(multiple cpu faults)|(system.+state.+changed )|(\[timeout)|(PRM\|1\|D)|(kpr)|(kdp)|(train st.+moving)|(\|lc)|(penalty))"</v>
      </c>
      <c r="AG210" s="245" t="str">
        <f t="shared" si="156"/>
        <v>Other</v>
      </c>
      <c r="AH210" s="237" t="str">
        <f t="shared" si="102"/>
        <v>"%USERPROFILE%\Documents\GitHub\eaglep3\Utilities\RefineRTDCRunTimes.py" --tripid 313-26 --locoid 4042 --swversion DE.1.0.9.0 --startMP 204:570 --initTime 2017-11-27T00:36:28 --startdatetime 2017-11-27T00:38:02 --delay 53 --endMP 300:23304 --enddatetime 2017-11-27T00:47:46 --enforcementcount 0 &gt;&gt;%USERPROFILE%\Documents\GitHub\eaglep3-reporting\EC\2017-11-26-refined-times.txt</v>
      </c>
      <c r="AI210" s="239" t="str">
        <f t="shared" si="103"/>
        <v>echo {"issue":{"subject":"","project_id":79,"tracker_id":40,"status_id":1,"priority_id":2,"assigned_to_id":338,"start_date":"2017-11-27","description":"","custom_fields":[{"id":1,"name":"Subdivision","value":"Other"},{"id":4,"name":"Milepost","value":"2.3304"},{"id":17,"name":"Train ID","value":"313-26"},{"id":16,"name":"Locomotive ID","value":"4042"},{"id":130,"name":"Impact","value":""},{"id":150,"name":"Time of Event (Mountain Time)","value":"00:47:46"},{"id":151,"name":"Denver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04"/>
        <v>start /low /b %USERPROFILE%\Documents\GitHub\eaglep3\Utilities\DownloadLogsFromS3.py --loco 4042 --day 2017-11-27</v>
      </c>
      <c r="AN210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07:47:46"},{"id":29,"name":"Sharepoint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06"/>
        <v>https://d0f6bd738d7f1b3e5a7ca70fe4ff75f0.us-east-1.aws.found.io/app/kibana#/discover/Steve-Slow-Train-Analysis-(2080s-and-2083s)?_g=(refreshInterval:(display:Off,pause:!f,section:0,value:0),time:(from:'2017-11-26T23:36:28-0700',mode:absolute,to:'2017-11-27T01:47:46-0700'))&amp;_a=(columns:!('Message%20ID',Summary),filters:!(),index:'emp_*',interval:auto,query:(query_string:(analyze_wildcard:!t,query:'%22rtdc.l.rtdc.4042%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0" t="s">
        <v>709</v>
      </c>
      <c r="B211" s="226">
        <v>4026</v>
      </c>
      <c r="C211" s="228" t="s">
        <v>192</v>
      </c>
      <c r="D211" s="228" t="s">
        <v>994</v>
      </c>
      <c r="E211" s="227">
        <v>43065.22210648148</v>
      </c>
      <c r="F211" s="227">
        <v>43065.226875</v>
      </c>
      <c r="G211" s="226">
        <v>123</v>
      </c>
      <c r="H211" s="228" t="s">
        <v>646</v>
      </c>
      <c r="I211" s="227">
        <v>43065.232349537036</v>
      </c>
      <c r="J211" s="226">
        <v>0</v>
      </c>
      <c r="K211" s="238" t="str">
        <f t="shared" si="143"/>
        <v>4025/4026</v>
      </c>
      <c r="L211" s="246" t="str">
        <f>VLOOKUP(A211,'Trips&amp;Operators'!$C$1:$G$99911,5,FALSE)</f>
        <v>MACDONALD THOMAS</v>
      </c>
      <c r="M211" s="225">
        <f t="shared" si="144"/>
        <v>5.4745370362070389E-3</v>
      </c>
      <c r="N211" s="226">
        <f t="shared" si="145"/>
        <v>7.883333332138136</v>
      </c>
      <c r="O211" s="226"/>
      <c r="P211" s="226"/>
      <c r="Q211" s="229"/>
      <c r="R211" s="243"/>
      <c r="S211" s="250">
        <f t="shared" si="146"/>
        <v>0</v>
      </c>
      <c r="T211" s="243" t="str">
        <f t="shared" si="147"/>
        <v>NorthBound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9" t="str">
        <f t="shared" si="148"/>
        <v>https://d0f6bd738d7f1b3e5a7ca70fe4ff75f0.us-east-1.aws.found.io/app/kibana#/discover/Steve-Slow-Train-Analysis-(2080s-and-2083s)?_g=(refreshInterval:(display:Off,pause:!f,section:0,value:0),time:(from:'2017-11-26T04:19:50-0700',mode:absolute,to:'2017-11-26T06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48" t="str">
        <f>IF(AA211&lt;VLOOKUP(AG211,Variables!$AC$3:$AD$8,2,FALSE),"Y","N")</f>
        <v>Y</v>
      </c>
      <c r="X211" s="248">
        <f t="shared" si="149"/>
        <v>1588</v>
      </c>
      <c r="Y211" s="248">
        <f t="shared" si="150"/>
        <v>2.5434000000000001</v>
      </c>
      <c r="Z211" s="248">
        <f t="shared" si="151"/>
        <v>5.8930999999999996</v>
      </c>
      <c r="AA211" s="248">
        <f t="shared" si="152"/>
        <v>3.3496999999999995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53"/>
        <v>1901</v>
      </c>
      <c r="AE211" s="236" t="str">
        <f t="shared" si="154"/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AF211" s="235" t="str">
        <f t="shared" si="155"/>
        <v>"C:\Program Files (x86)\AstroGrep\AstroGrep.exe" /e /r /s /spath="%USERPROFILE%\AppData\Local\Temp\OnboardLogs" /stypes="app*4026*20171126*" /stext=" 12:.+((SYSTEM_STATE.+slice.+state.+changed )|(ment ac)|(multiple cpu faults)|(system.+state.+changed )|(\[timeout)|(PRM\|1\|D)|(kpr)|(kdp)|(train st.+moving)|(\|lc)|(penalty))"</v>
      </c>
      <c r="AG211" s="245" t="str">
        <f t="shared" si="156"/>
        <v>Other</v>
      </c>
      <c r="AH211" s="237" t="str">
        <f t="shared" si="102"/>
        <v>"%USERPROFILE%\Documents\GitHub\eaglep3\Utilities\RefineRTDCRunTimes.py" --tripid 1901-26 --locoid 4026 --swversion DE.1.0.9.0 --startMP 300:25434 --initTime 2017-11-26T05:19:50 --startdatetime 2017-11-26T05:26:42 --delay 123 --endMP 300:58931 --enddatetime 2017-11-26T05:34:35 --enforcementcount 0 &gt;&gt;%USERPROFILE%\Documents\GitHub\eaglep3-reporting\EC\2017-11-26-refined-times.txt</v>
      </c>
      <c r="AI211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{"issue":{"subject":"","project_id":79,"tracker_id":40,"status_id":1,"priority_id":2,"assigned_to_id":338,"start_date":"2017-11-26","description":"","custom_fields":[{"id":1,"name":"Subdivision","value":"Other"},{"id":4,"name":"Milepost","value":"5.8931"},{"id":17,"name":"Train ID","value":"1901-26"},{"id":16,"name":"Locomotive ID","value":"4026"},{"id":130,"name":"Impact","value":""},{"id":150,"name":"Time of Event (Mountain Time)","value":"05:34:35"},{"id":151,"name":"Denver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04"/>
        <v>start /low /b %USERPROFILE%\Documents\GitHub\eaglep3\Utilities\DownloadLogsFromS3.py --loco 4026 --day 2017-11-26</v>
      </c>
      <c r="AN211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06"/>
        <v>https://d0f6bd738d7f1b3e5a7ca70fe4ff75f0.us-east-1.aws.found.io/app/kibana#/discover/Steve-Slow-Train-Analysis-(2080s-and-2083s)?_g=(refreshInterval:(display:Off,pause:!f,section:0,value:0),time:(from:'2017-11-26T04:19:50-0700',mode:absolute,to:'2017-11-26T06:34:35-0700'))&amp;_a=(columns:!('Message%20ID',Summary),filters:!(),index:'emp_*',interval:auto,query:(query_string:(analyze_wildcard:!t,query:'%22rtdc.l.rtdc.4026%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882</v>
      </c>
      <c r="B212" s="226">
        <v>4025</v>
      </c>
      <c r="C212" s="228" t="s">
        <v>192</v>
      </c>
      <c r="D212" s="228" t="s">
        <v>981</v>
      </c>
      <c r="E212" s="227">
        <v>43065.975370370368</v>
      </c>
      <c r="F212" s="227">
        <v>43065.977222222224</v>
      </c>
      <c r="G212" s="226">
        <v>68</v>
      </c>
      <c r="H212" s="228" t="s">
        <v>995</v>
      </c>
      <c r="I212" s="227">
        <v>43065.984236111108</v>
      </c>
      <c r="J212" s="226">
        <v>0</v>
      </c>
      <c r="K212" s="238" t="str">
        <f t="shared" si="143"/>
        <v>4025/4026</v>
      </c>
      <c r="L212" s="246" t="str">
        <f>VLOOKUP(A212,'Trips&amp;Operators'!$C$1:$G$99911,5,FALSE)</f>
        <v>KILLION DAVID</v>
      </c>
      <c r="M212" s="225">
        <f t="shared" si="144"/>
        <v>7.0138888841029257E-3</v>
      </c>
      <c r="N212" s="226">
        <f t="shared" si="145"/>
        <v>10.099999993108213</v>
      </c>
      <c r="O212" s="226"/>
      <c r="P212" s="226"/>
      <c r="Q212" s="229"/>
      <c r="R212" s="243"/>
      <c r="S212" s="250">
        <f t="shared" si="146"/>
        <v>0</v>
      </c>
      <c r="T212" s="243" t="str">
        <f t="shared" si="147"/>
        <v>Southbound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9" t="str">
        <f t="shared" si="148"/>
        <v>https://d0f6bd738d7f1b3e5a7ca70fe4ff75f0.us-east-1.aws.found.io/app/kibana#/discover/Steve-Slow-Train-Analysis-(2080s-and-2083s)?_g=(refreshInterval:(display:Off,pause:!f,section:0,value:0),time:(from:'2017-11-26T22:24:32-0700',mode:absolute,to:'2017-11-27T00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2" s="248" t="str">
        <f>IF(AA212&lt;VLOOKUP(AG212,Variables!$AC$3:$AD$8,2,FALSE),"Y","N")</f>
        <v>Y</v>
      </c>
      <c r="X212" s="248">
        <f t="shared" si="149"/>
        <v>1</v>
      </c>
      <c r="Y212" s="248">
        <f t="shared" si="150"/>
        <v>5.8662000000000001</v>
      </c>
      <c r="Z212" s="248">
        <f t="shared" si="151"/>
        <v>2.7524000000000002</v>
      </c>
      <c r="AA212" s="248">
        <f t="shared" si="152"/>
        <v>3.1137999999999999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53"/>
        <v>1902</v>
      </c>
      <c r="AE212" s="236" t="str">
        <f t="shared" si="154"/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AF212" s="235" t="str">
        <f t="shared" si="155"/>
        <v>"C:\Program Files (x86)\AstroGrep\AstroGrep.exe" /e /r /s /spath="%USERPROFILE%\AppData\Local\Temp\OnboardLogs" /stypes="app*4025*20171127*" /stext=" 06:.+((SYSTEM_STATE.+slice.+state.+changed )|(ment ac)|(multiple cpu faults)|(system.+state.+changed )|(\[timeout)|(PRM\|1\|D)|(kpr)|(kdp)|(train st.+moving)|(\|lc)|(penalty))"</v>
      </c>
      <c r="AG212" s="245" t="str">
        <f t="shared" si="156"/>
        <v>Other</v>
      </c>
      <c r="AH212" s="237" t="str">
        <f t="shared" si="102"/>
        <v>"%USERPROFILE%\Documents\GitHub\eaglep3\Utilities\RefineRTDCRunTimes.py" --tripid 1902-26 --locoid 4025 --swversion DE.1.0.9.0 --startMP 300:58662 --initTime 2017-11-26T23:24:32 --startdatetime 2017-11-26T23:27:12 --delay 68 --endMP 300:27524 --enddatetime 2017-11-26T23:37:18 --enforcementcount 0 &gt;&gt;%USERPROFILE%\Documents\GitHub\eaglep3-reporting\EC\2017-11-26-refined-times.txt</v>
      </c>
      <c r="AI212" s="239" t="str">
        <f t="shared" si="103"/>
        <v>echo {"issue":{"subject":"","project_id":79,"tracker_id":40,"status_id":1,"priority_id":2,"assigned_to_id":338,"start_date":"2017-11-26","description":"","custom_fields":[{"id":1,"name":"Subdivision","value":"Other"},{"id":4,"name":"Milepost","value":"2.7524"},{"id":17,"name":"Train ID","value":"1902-26"},{"id":16,"name":"Locomotive ID","value":"4025"},{"id":130,"name":"Impact","value":""},{"id":150,"name":"Time of Event (Mountain Time)","value":"23:37:18"},{"id":151,"name":"Denver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04"/>
        <v>start /low /b %USERPROFILE%\Documents\GitHub\eaglep3\Utilities\DownloadLogsFromS3.py --loco 4025 --day 2017-11-26</v>
      </c>
      <c r="AN212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06"/>
        <v>https://d0f6bd738d7f1b3e5a7ca70fe4ff75f0.us-east-1.aws.found.io/app/kibana#/discover/Steve-Slow-Train-Analysis-(2080s-and-2083s)?_g=(refreshInterval:(display:Off,pause:!f,section:0,value:0),time:(from:'2017-11-26T22:24:32-0700',mode:absolute,to:'2017-11-27T00:37:18-0700'))&amp;_a=(columns:!('Message%20ID',Summary),filters:!(),index:'emp_*',interval:auto,query:(query_string:(analyze_wildcard:!t,query:'%22rtdc.l.rtdc.4025%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683</v>
      </c>
      <c r="B213" s="226">
        <v>4060</v>
      </c>
      <c r="C213" s="228" t="s">
        <v>192</v>
      </c>
      <c r="D213" s="228" t="s">
        <v>544</v>
      </c>
      <c r="E213" s="227">
        <v>43065.13008101852</v>
      </c>
      <c r="F213" s="227">
        <v>43065.137627314813</v>
      </c>
      <c r="G213" s="226">
        <v>73</v>
      </c>
      <c r="H213" s="228" t="s">
        <v>1038</v>
      </c>
      <c r="I213" s="227">
        <v>43065.139131944445</v>
      </c>
      <c r="J213" s="226">
        <v>0</v>
      </c>
      <c r="K213" s="238" t="str">
        <f t="shared" si="143"/>
        <v>4059/4060</v>
      </c>
      <c r="L213" s="246" t="str">
        <f>VLOOKUP(A213,'Trips&amp;Operators'!$C$1:$G$99911,5,FALSE)</f>
        <v>HUFFSMITH MONTY</v>
      </c>
      <c r="M213" s="225">
        <f t="shared" si="144"/>
        <v>1.5046296321088448E-3</v>
      </c>
      <c r="N213" s="226">
        <f t="shared" si="145"/>
        <v>2.1666666702367365</v>
      </c>
      <c r="O213" s="226"/>
      <c r="P213" s="226"/>
      <c r="Q213" s="229"/>
      <c r="R213" s="243"/>
      <c r="S213" s="250">
        <f t="shared" si="146"/>
        <v>0</v>
      </c>
      <c r="T213" s="243" t="str">
        <f t="shared" si="147"/>
        <v>NorthBound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9" t="str">
        <f t="shared" si="148"/>
        <v>https://d0f6bd738d7f1b3e5a7ca70fe4ff75f0.us-east-1.aws.found.io/app/kibana#/discover/Steve-Slow-Train-Analysis-(2080s-and-2083s)?_g=(refreshInterval:(display:Off,pause:!f,section:0,value:0),time:(from:'2017-11-26T02:07:19-0700',mode:absolute,to:'2017-11-26T04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3" s="248" t="str">
        <f>IF(AA213&lt;VLOOKUP(AG213,Variables!$AC$3:$AD$8,2,FALSE),"Y","N")</f>
        <v>Y</v>
      </c>
      <c r="X213" s="248">
        <f t="shared" si="149"/>
        <v>-1851</v>
      </c>
      <c r="Y213" s="248">
        <f t="shared" si="150"/>
        <v>5.0799999999999998E-2</v>
      </c>
      <c r="Z213" s="248">
        <f t="shared" si="151"/>
        <v>0.34310000000000002</v>
      </c>
      <c r="AA213" s="248">
        <f t="shared" si="152"/>
        <v>0.2923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53"/>
        <v>51</v>
      </c>
      <c r="AE213" s="236" t="str">
        <f t="shared" si="154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213" s="235" t="str">
        <f t="shared" si="155"/>
        <v>"C:\Program Files (x86)\AstroGrep\AstroGrep.exe" /e /r /s /spath="%USERPROFILE%\AppData\Local\Temp\OnboardLogs" /stypes="app*4060*20171126*" /stext=" 10:.+((SYSTEM_STATE.+slice.+state.+changed )|(ment ac)|(multiple cpu faults)|(system.+state.+changed )|(\[timeout)|(PRM\|1\|D)|(kpr)|(kdp)|(train st.+moving)|(\|lc)|(penalty))"</v>
      </c>
      <c r="AG213" s="245" t="str">
        <f t="shared" si="156"/>
        <v>Shuttle/Test</v>
      </c>
      <c r="AH213" s="237" t="str">
        <f t="shared" si="102"/>
        <v>"%USERPROFILE%\Documents\GitHub\eaglep3\Utilities\RefineRTDCRunTimes.py" --tripid 51-26 --locoid 4060 --swversion DE.1.0.9.0 --startMP 204:508 --initTime 2017-11-26T03:07:19 --startdatetime 2017-11-26T03:18:11 --delay 73 --endMP 204:3431 --enddatetime 2017-11-26T03:20:21 --enforcementcount 0 &gt;&gt;%USERPROFILE%\Documents\GitHub\eaglep3-reporting\EC\2017-11-26-refined-times.txt</v>
      </c>
      <c r="AI213" s="239" t="str">
        <f t="shared" si="103"/>
        <v>echo {"issue":{"subject":"","project_id":79,"tracker_id":40,"status_id":1,"priority_id":2,"assigned_to_id":338,"start_date":"2017-11-26","description":"","custom_fields":[{"id":1,"name":"Subdivision","value":"Shuttle/Test"},{"id":4,"name":"Milepost","value":"0.3431"},{"id":17,"name":"Train ID","value":"51-26"},{"id":16,"name":"Locomotive ID","value":"4060"},{"id":130,"name":"Impact","value":""},{"id":150,"name":"Time of Event (Mountain Time)","value":"03:20:21"},{"id":151,"name":"Denver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104"/>
        <v>start /low /b %USERPROFILE%\Documents\GitHub\eaglep3\Utilities\DownloadLogsFromS3.py --loco 4060 --day 2017-11-26</v>
      </c>
      <c r="AN213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06"/>
        <v>https://d0f6bd738d7f1b3e5a7ca70fe4ff75f0.us-east-1.aws.found.io/app/kibana#/discover/Steve-Slow-Train-Analysis-(2080s-and-2083s)?_g=(refreshInterval:(display:Off,pause:!f,section:0,value:0),time:(from:'2017-11-26T02:07:19-0700',mode:absolute,to:'2017-11-26T04:20:21-0700'))&amp;_a=(columns:!('Message%20ID',Summary),filters:!(),index:'emp_*',interval:auto,query:(query_string:(analyze_wildcard:!t,query:'%22rtdc.l.rtdc.4060%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687</v>
      </c>
      <c r="B214" s="226">
        <v>4059</v>
      </c>
      <c r="C214" s="228" t="s">
        <v>192</v>
      </c>
      <c r="D214" s="228" t="s">
        <v>1039</v>
      </c>
      <c r="E214" s="227">
        <v>43065.139594907407</v>
      </c>
      <c r="F214" s="227">
        <v>43065.141250000001</v>
      </c>
      <c r="G214" s="226">
        <v>72</v>
      </c>
      <c r="H214" s="228" t="s">
        <v>1040</v>
      </c>
      <c r="I214" s="227">
        <v>43065.142569444448</v>
      </c>
      <c r="J214" s="226">
        <v>0</v>
      </c>
      <c r="K214" s="238" t="str">
        <f t="shared" si="143"/>
        <v>4059/4060</v>
      </c>
      <c r="L214" s="246" t="str">
        <f>VLOOKUP(A214,'Trips&amp;Operators'!$C$1:$G$99911,5,FALSE)</f>
        <v>HUFFSMITH MONTY</v>
      </c>
      <c r="M214" s="225">
        <f t="shared" si="144"/>
        <v>1.3194444472901523E-3</v>
      </c>
      <c r="N214" s="226">
        <f t="shared" si="145"/>
        <v>1.9000000040978193</v>
      </c>
      <c r="O214" s="226"/>
      <c r="P214" s="226"/>
      <c r="Q214" s="229"/>
      <c r="R214" s="243"/>
      <c r="S214" s="250">
        <f t="shared" si="146"/>
        <v>0</v>
      </c>
      <c r="T214" s="243" t="str">
        <f t="shared" si="147"/>
        <v>Southbound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9" t="str">
        <f t="shared" si="148"/>
        <v>https://d0f6bd738d7f1b3e5a7ca70fe4ff75f0.us-east-1.aws.found.io/app/kibana#/discover/Steve-Slow-Train-Analysis-(2080s-and-2083s)?_g=(refreshInterval:(display:Off,pause:!f,section:0,value:0),time:(from:'2017-11-26T02:21:01-0700',mode:absolute,to:'2017-11-26T04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4" s="248" t="str">
        <f>IF(AA214&lt;VLOOKUP(AG214,Variables!$AC$3:$AD$8,2,FALSE),"Y","N")</f>
        <v>Y</v>
      </c>
      <c r="X214" s="248">
        <f t="shared" si="149"/>
        <v>1</v>
      </c>
      <c r="Y214" s="248">
        <f t="shared" si="150"/>
        <v>0.30740000000000001</v>
      </c>
      <c r="Z214" s="248">
        <f t="shared" si="151"/>
        <v>0.11600000000000001</v>
      </c>
      <c r="AA214" s="248">
        <f t="shared" si="152"/>
        <v>0.19140000000000001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153"/>
        <v>52</v>
      </c>
      <c r="AE214" s="236" t="str">
        <f t="shared" si="154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214" s="235" t="str">
        <f t="shared" si="155"/>
        <v>"C:\Program Files (x86)\AstroGrep\AstroGrep.exe" /e /r /s /spath="%USERPROFILE%\AppData\Local\Temp\OnboardLogs" /stypes="app*4059*20171126*" /stext=" 10:.+((SYSTEM_STATE.+slice.+state.+changed )|(ment ac)|(multiple cpu faults)|(system.+state.+changed )|(\[timeout)|(PRM\|1\|D)|(kpr)|(kdp)|(train st.+moving)|(\|lc)|(penalty))"</v>
      </c>
      <c r="AG214" s="245" t="str">
        <f t="shared" si="156"/>
        <v>Shuttle/Test</v>
      </c>
      <c r="AH214" s="237" t="str">
        <f t="shared" si="102"/>
        <v>"%USERPROFILE%\Documents\GitHub\eaglep3\Utilities\RefineRTDCRunTimes.py" --tripid 52-26 --locoid 4059 --swversion DE.1.0.9.0 --startMP 204:3074 --initTime 2017-11-26T03:21:01 --startdatetime 2017-11-26T03:23:24 --delay 72 --endMP 204:1160 --enddatetime 2017-11-26T03:25:18 --enforcementcount 0 &gt;&gt;%USERPROFILE%\Documents\GitHub\eaglep3-reporting\EC\2017-11-26-refined-times.txt</v>
      </c>
      <c r="AI214" s="239" t="str">
        <f t="shared" si="103"/>
        <v>echo {"issue":{"subject":"","project_id":79,"tracker_id":40,"status_id":1,"priority_id":2,"assigned_to_id":338,"start_date":"2017-11-26","description":"","custom_fields":[{"id":1,"name":"Subdivision","value":"Shuttle/Test"},{"id":4,"name":"Milepost","value":"0.116"},{"id":17,"name":"Train ID","value":"52-26"},{"id":16,"name":"Locomotive ID","value":"4059"},{"id":130,"name":"Impact","value":""},{"id":150,"name":"Time of Event (Mountain Time)","value":"03:25:18"},{"id":151,"name":"Denver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104"/>
        <v>start /low /b %USERPROFILE%\Documents\GitHub\eaglep3\Utilities\DownloadLogsFromS3.py --loco 4059 --day 2017-11-26</v>
      </c>
      <c r="AN214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10:25:18"},{"id":29,"name":"Sharepoint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06"/>
        <v>https://d0f6bd738d7f1b3e5a7ca70fe4ff75f0.us-east-1.aws.found.io/app/kibana#/discover/Steve-Slow-Train-Analysis-(2080s-and-2083s)?_g=(refreshInterval:(display:Off,pause:!f,section:0,value:0),time:(from:'2017-11-26T02:21:01-0700',mode:absolute,to:'2017-11-26T04:25:18-0700'))&amp;_a=(columns:!('Message%20ID',Summary),filters:!(),index:'emp_*',interval:auto,query:(query_string:(analyze_wildcard:!t,query:'%22rtdc.l.rtdc.4059%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839</v>
      </c>
      <c r="B215" s="226">
        <v>4017</v>
      </c>
      <c r="C215" s="228" t="s">
        <v>192</v>
      </c>
      <c r="D215" s="228" t="s">
        <v>1041</v>
      </c>
      <c r="E215" s="227">
        <v>43065.730891203704</v>
      </c>
      <c r="F215" s="227">
        <v>43065.73333333333</v>
      </c>
      <c r="G215" s="226">
        <v>64</v>
      </c>
      <c r="H215" s="228" t="s">
        <v>1042</v>
      </c>
      <c r="I215" s="227">
        <v>43065.738437499997</v>
      </c>
      <c r="J215" s="226">
        <v>0</v>
      </c>
      <c r="K215" s="238" t="str">
        <f t="shared" si="143"/>
        <v>4017/4018</v>
      </c>
      <c r="L215" s="246" t="str">
        <f>VLOOKUP(A215,'Trips&amp;Operators'!$C$1:$G$99911,5,FALSE)</f>
        <v>MCREYNOLDS KYLE</v>
      </c>
      <c r="M215" s="225">
        <f t="shared" si="144"/>
        <v>5.1041666665696539E-3</v>
      </c>
      <c r="N215" s="226">
        <f t="shared" si="145"/>
        <v>7.3499999998603016</v>
      </c>
      <c r="O215" s="226"/>
      <c r="P215" s="226"/>
      <c r="Q215" s="229"/>
      <c r="R215" s="243"/>
      <c r="S215" s="250">
        <f t="shared" si="146"/>
        <v>1</v>
      </c>
      <c r="T215" s="243" t="str">
        <f t="shared" si="147"/>
        <v>Southbound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148"/>
        <v>https://d0f6bd738d7f1b3e5a7ca70fe4ff75f0.us-east-1.aws.found.io/app/kibana#/discover/Steve-Slow-Train-Analysis-(2080s-and-2083s)?_g=(refreshInterval:(display:Off,pause:!f,section:0,value:0),time:(from:'2017-11-26T16:32:29-0700',mode:absolute,to:'2017-11-26T18:43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248" t="str">
        <f>IF(AA215&lt;VLOOKUP(AG215,Variables!$AC$3:$AD$8,2,FALSE),"Y","N")</f>
        <v>Y</v>
      </c>
      <c r="X215" s="248">
        <f t="shared" si="149"/>
        <v>18</v>
      </c>
      <c r="Y215" s="248">
        <f t="shared" si="150"/>
        <v>2.3815</v>
      </c>
      <c r="Z215" s="248">
        <f t="shared" si="151"/>
        <v>0.12559999999999999</v>
      </c>
      <c r="AA215" s="248">
        <f t="shared" si="152"/>
        <v>2.2559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53"/>
        <v>70</v>
      </c>
      <c r="AE215" s="236" t="str">
        <f t="shared" si="154"/>
        <v>aws s3 cp s3://rtdc.mdm.uploadarchive.raw/RTDC4017/ "%USERPROFILE%\AppData\Local\Temp\OnboardLogs"\RTDC4017\2017-11-26 --exclude "*" --recursive --include "*20171126*" &amp; "%USERPROFILE%\Documents\GitHub\mrs-test-scripts\Headless Mode &amp; Sideloading\WalkAndUnGZ.bat" "%USERPROFILE%\AppData\Local\Temp\OnboardLogs"\RTDC4017\2017-11-26 &amp; aws s3 cp s3://rtdc.mdm.uploadarchive.raw/RTDC4017/ "%USERPROFILE%\AppData\Local\Temp\OnboardLogs"\RTDC4017\2017-11-27 --exclude "*" --recursive --include "*20171127*" &amp; "%USERPROFILE%\Documents\GitHub\mrs-test-scripts\Headless Mode &amp; Sideloading\WalkAndUnGZ.bat" "%USERPROFILE%\AppData\Local\Temp\OnboardLogs"\RTDC4017\2017-11-27</v>
      </c>
      <c r="AF215" s="235" t="str">
        <f t="shared" si="155"/>
        <v>"C:\Program Files (x86)\AstroGrep\AstroGrep.exe" /e /r /s /spath="%USERPROFILE%\AppData\Local\Temp\OnboardLogs" /stypes="app*4017*20171127*" /stext=" 00:.+((SYSTEM_STATE.+slice.+state.+changed )|(ment ac)|(multiple cpu faults)|(system.+state.+changed )|(\[timeout)|(PRM\|1\|D)|(kpr)|(kdp)|(train st.+moving)|(\|lc)|(penalty))"</v>
      </c>
      <c r="AG215" s="245" t="str">
        <f t="shared" si="156"/>
        <v>Shuttle/Test</v>
      </c>
      <c r="AH215" s="237" t="str">
        <f t="shared" si="102"/>
        <v>"%USERPROFILE%\Documents\GitHub\eaglep3\Utilities\RefineRTDCRunTimes.py" --tripid 70-26 --locoid 4017 --swversion DE.1.0.9.0 --startMP 300:23815 --initTime 2017-11-26T17:32:29 --startdatetime 2017-11-26T17:36:00 --delay 64 --endMP 204:1256 --enddatetime 2017-11-26T17:43:21 --enforcementcount 0 &gt;&gt;%USERPROFILE%\Documents\GitHub\eaglep3-reporting\EC\2017-11-26-refined-times.txt</v>
      </c>
      <c r="AI215" s="239" t="str">
        <f t="shared" si="103"/>
        <v>echo {"issue":{"subject":"","project_id":79,"tracker_id":40,"status_id":1,"priority_id":2,"assigned_to_id":338,"start_date":"2017-11-26","description":"","custom_fields":[{"id":1,"name":"Subdivision","value":"Shuttle/Test"},{"id":4,"name":"Milepost","value":"0.1256"},{"id":17,"name":"Train ID","value":"70-26"},{"id":16,"name":"Locomotive ID","value":"4017"},{"id":130,"name":"Impact","value":""},{"id":150,"name":"Time of Event (Mountain Time)","value":"17:43:21"},{"id":151,"name":"Denver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104"/>
        <v>start /low /b %USERPROFILE%\Documents\GitHub\eaglep3\Utilities\DownloadLogsFromS3.py --loco 4017 --day 2017-11-26</v>
      </c>
      <c r="AN215" s="242" t="str">
        <f t="shared" si="105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00:43:21"},{"id":29,"name":"Sharepoint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106"/>
        <v>https://d0f6bd738d7f1b3e5a7ca70fe4ff75f0.us-east-1.aws.found.io/app/kibana#/discover/Steve-Slow-Train-Analysis-(2080s-and-2083s)?_g=(refreshInterval:(display:Off,pause:!f,section:0,value:0),time:(from:'2017-11-26T16:32:29-0700',mode:absolute,to:'2017-11-26T18:43:21-0700'))&amp;_a=(columns:!('Message%20ID',Summary),filters:!(),index:'emp_*',interval:auto,query:(query_string:(analyze_wildcard:!t,query:'%22rtdc.l.rtdc.4017%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0" t="s">
        <v>806</v>
      </c>
      <c r="B216" s="226">
        <v>4060</v>
      </c>
      <c r="C216" s="228" t="s">
        <v>192</v>
      </c>
      <c r="D216" s="228" t="s">
        <v>1043</v>
      </c>
      <c r="E216" s="227">
        <v>43065.615300925929</v>
      </c>
      <c r="F216" s="227">
        <v>43065.620069444441</v>
      </c>
      <c r="G216" s="226">
        <v>66</v>
      </c>
      <c r="H216" s="228" t="s">
        <v>1044</v>
      </c>
      <c r="I216" s="227">
        <v>43065.621134259258</v>
      </c>
      <c r="J216" s="226">
        <v>0</v>
      </c>
      <c r="K216" s="238" t="str">
        <f t="shared" si="143"/>
        <v>4059/4060</v>
      </c>
      <c r="L216" s="246" t="str">
        <f>VLOOKUP(A216,'Trips&amp;Operators'!$C$1:$G$99911,5,FALSE)</f>
        <v>BIRENBAUM THOMAS</v>
      </c>
      <c r="M216" s="225">
        <f t="shared" si="144"/>
        <v>1.0648148163454607E-3</v>
      </c>
      <c r="N216" s="226">
        <f t="shared" si="145"/>
        <v>1.5333333355374634</v>
      </c>
      <c r="O216" s="226"/>
      <c r="P216" s="226"/>
      <c r="Q216" s="229"/>
      <c r="R216" s="243"/>
      <c r="S216" s="250">
        <f t="shared" si="146"/>
        <v>0</v>
      </c>
      <c r="T216" s="243" t="str">
        <f t="shared" si="147"/>
        <v>NorthBound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9" t="str">
        <f t="shared" si="148"/>
        <v>https://d0f6bd738d7f1b3e5a7ca70fe4ff75f0.us-east-1.aws.found.io/app/kibana#/discover/Steve-Slow-Train-Analysis-(2080s-and-2083s)?_g=(refreshInterval:(display:Off,pause:!f,section:0,value:0),time:(from:'2017-11-26T13:46:02-0700',mode:absolute,to:'2017-11-26T15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6" s="248" t="str">
        <f>IF(AA216&lt;VLOOKUP(AG216,Variables!$AC$3:$AD$8,2,FALSE),"Y","N")</f>
        <v>Y</v>
      </c>
      <c r="X216" s="248">
        <f t="shared" si="149"/>
        <v>5</v>
      </c>
      <c r="Y216" s="248">
        <f t="shared" si="150"/>
        <v>0.14729999999999999</v>
      </c>
      <c r="Z216" s="248">
        <f t="shared" si="151"/>
        <v>0.35010000000000002</v>
      </c>
      <c r="AA216" s="248">
        <f t="shared" ref="AA216:AA219" si="245">ABS(Z216-Y216)</f>
        <v>0.20280000000000004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53"/>
        <v>75</v>
      </c>
      <c r="AE216" s="236" t="str">
        <f t="shared" si="154"/>
        <v>aws s3 cp s3://rtdc.mdm.uploadarchive.raw/RTDC4060/ "%USERPROFILE%\AppData\Local\Temp\OnboardLogs"\RTDC4060\2017-11-26 --exclude "*" --recursive --include "*20171126*" &amp; "%USERPROFILE%\Documents\GitHub\mrs-test-scripts\Headless Mode &amp; Sideloading\WalkAndUnGZ.bat" "%USERPROFILE%\AppData\Local\Temp\OnboardLogs"\RTDC4060\2017-11-26 &amp; aws s3 cp s3://rtdc.mdm.uploadarchive.raw/RTDC4060/ "%USERPROFILE%\AppData\Local\Temp\OnboardLogs"\RTDC4060\2017-11-27 --exclude "*" --recursive --include "*20171127*" &amp; "%USERPROFILE%\Documents\GitHub\mrs-test-scripts\Headless Mode &amp; Sideloading\WalkAndUnGZ.bat" "%USERPROFILE%\AppData\Local\Temp\OnboardLogs"\RTDC4060\2017-11-27</v>
      </c>
      <c r="AF216" s="235" t="str">
        <f t="shared" si="155"/>
        <v>"C:\Program Files (x86)\AstroGrep\AstroGrep.exe" /e /r /s /spath="%USERPROFILE%\AppData\Local\Temp\OnboardLogs" /stypes="app*4060*20171126*" /stext=" 21:.+((SYSTEM_STATE.+slice.+state.+changed )|(ment ac)|(multiple cpu faults)|(system.+state.+changed )|(\[timeout)|(PRM\|1\|D)|(kpr)|(kdp)|(train st.+moving)|(\|lc)|(penalty))"</v>
      </c>
      <c r="AG216" s="245" t="str">
        <f t="shared" si="156"/>
        <v>Shuttle/Test</v>
      </c>
      <c r="AH216" s="237" t="str">
        <f t="shared" si="102"/>
        <v>"%USERPROFILE%\Documents\GitHub\eaglep3\Utilities\RefineRTDCRunTimes.py" --tripid 75-26 --locoid 4060 --swversion DE.1.0.9.0 --startMP 204:1473 --initTime 2017-11-26T14:46:02 --startdatetime 2017-11-26T14:52:54 --delay 66 --endMP 204:3501 --enddatetime 2017-11-26T14:54:26 --enforcementcount 0 &gt;&gt;%USERPROFILE%\Documents\GitHub\eaglep3-reporting\EC\2017-11-26-refined-times.txt</v>
      </c>
      <c r="AI216" s="239" t="str">
        <f t="shared" si="103"/>
        <v>echo {"issue":{"subject":"","project_id":79,"tracker_id":40,"status_id":1,"priority_id":2,"assigned_to_id":338,"start_date":"2017-11-26","description":"","custom_fields":[{"id":1,"name":"Subdivision","value":"Shuttle/Test"},{"id":4,"name":"Milepost","value":"0.3501"},{"id":17,"name":"Train ID","value":"75-26"},{"id":16,"name":"Locomotive ID","value":"4060"},{"id":130,"name":"Impact","value":""},{"id":150,"name":"Time of Event (Mountain Time)","value":"14:54:26"},{"id":151,"name":"Denver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104"/>
        <v>start /low /b %USERPROFILE%\Documents\GitHub\eaglep3\Utilities\DownloadLogsFromS3.py --loco 4060 --day 2017-11-26</v>
      </c>
      <c r="AN216" s="242" t="str">
        <f t="shared" si="105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06"/>
        <v>https://d0f6bd738d7f1b3e5a7ca70fe4ff75f0.us-east-1.aws.found.io/app/kibana#/discover/Steve-Slow-Train-Analysis-(2080s-and-2083s)?_g=(refreshInterval:(display:Off,pause:!f,section:0,value:0),time:(from:'2017-11-26T13:46:02-0700',mode:absolute,to:'2017-11-26T15:54:26-0700'))&amp;_a=(columns:!('Message%20ID',Summary),filters:!(),index:'emp_*',interval:auto,query:(query_string:(analyze_wildcard:!t,query:'%22rtdc.l.rtdc.4060%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806</v>
      </c>
      <c r="B217" s="226">
        <v>4059</v>
      </c>
      <c r="C217" s="228" t="s">
        <v>192</v>
      </c>
      <c r="D217" s="228" t="s">
        <v>1045</v>
      </c>
      <c r="E217" s="227">
        <v>43065.618715277778</v>
      </c>
      <c r="F217" s="227">
        <v>43065.620069444441</v>
      </c>
      <c r="G217" s="226">
        <v>57</v>
      </c>
      <c r="H217" s="228" t="s">
        <v>535</v>
      </c>
      <c r="I217" s="227">
        <v>43065.621134259258</v>
      </c>
      <c r="J217" s="226">
        <v>0</v>
      </c>
      <c r="K217" s="238" t="str">
        <f t="shared" si="143"/>
        <v>4059/4060</v>
      </c>
      <c r="L217" s="246" t="str">
        <f>VLOOKUP(A217,'Trips&amp;Operators'!$C$1:$G$99911,5,FALSE)</f>
        <v>BIRENBAUM THOMAS</v>
      </c>
      <c r="M217" s="225">
        <f t="shared" si="144"/>
        <v>1.0648148163454607E-3</v>
      </c>
      <c r="N217" s="226">
        <f t="shared" si="145"/>
        <v>1.5333333355374634</v>
      </c>
      <c r="O217" s="226"/>
      <c r="P217" s="226"/>
      <c r="Q217" s="229"/>
      <c r="R217" s="243"/>
      <c r="S217" s="250">
        <f t="shared" si="146"/>
        <v>0</v>
      </c>
      <c r="T217" s="243" t="str">
        <f t="shared" si="147"/>
        <v>NorthBound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9" t="str">
        <f t="shared" si="148"/>
        <v>https://d0f6bd738d7f1b3e5a7ca70fe4ff75f0.us-east-1.aws.found.io/app/kibana#/discover/Steve-Slow-Train-Analysis-(2080s-and-2083s)?_g=(refreshInterval:(display:Off,pause:!f,section:0,value:0),time:(from:'2017-11-26T13:50:57-0700',mode:absolute,to:'2017-11-26T15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7" s="248" t="str">
        <f>IF(AA217&lt;VLOOKUP(AG217,Variables!$AC$3:$AD$8,2,FALSE),"Y","N")</f>
        <v>Y</v>
      </c>
      <c r="X217" s="248">
        <f t="shared" si="149"/>
        <v>0</v>
      </c>
      <c r="Y217" s="248">
        <f t="shared" si="150"/>
        <v>0.31769999999999998</v>
      </c>
      <c r="Z217" s="248">
        <f t="shared" si="151"/>
        <v>1.61E-2</v>
      </c>
      <c r="AA217" s="248">
        <f t="shared" si="245"/>
        <v>0.30159999999999998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53"/>
        <v>75</v>
      </c>
      <c r="AE217" s="236" t="str">
        <f t="shared" si="154"/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AF217" s="235" t="str">
        <f t="shared" si="155"/>
        <v>"C:\Program Files (x86)\AstroGrep\AstroGrep.exe" /e /r /s /spath="%USERPROFILE%\AppData\Local\Temp\OnboardLogs" /stypes="app*4059*20171126*" /stext=" 21:.+((SYSTEM_STATE.+slice.+state.+changed )|(ment ac)|(multiple cpu faults)|(system.+state.+changed )|(\[timeout)|(PRM\|1\|D)|(kpr)|(kdp)|(train st.+moving)|(\|lc)|(penalty))"</v>
      </c>
      <c r="AG217" s="245" t="str">
        <f t="shared" si="156"/>
        <v>Shuttle/Test</v>
      </c>
      <c r="AH217" s="237" t="str">
        <f t="shared" ref="AH217:AH219" si="246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75-26 --locoid 4059 --swversion DE.1.0.9.0 --startMP 204:3177 --initTime 2017-11-26T14:50:57 --startdatetime 2017-11-26T14:52:54 --delay 57 --endMP 204:161 --enddatetime 2017-11-26T14:54:26 --enforcementcount 0 &gt;&gt;%USERPROFILE%\Documents\GitHub\eaglep3-reporting\EC\2017-11-26-refined-times.txt</v>
      </c>
      <c r="AI217" s="239" t="str">
        <f t="shared" ref="AI217:AI219" si="247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Shuttle/Test"},{"id":4,"name":"Milepost","value":"0.0161"},{"id":17,"name":"Train ID","value":"75-26"},{"id":16,"name":"Locomotive ID","value":"4059"},{"id":130,"name":"Impact","value":""},{"id":150,"name":"Time of Event (Mountain Time)","value":"14:54:26"},{"id":151,"name":"Denver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ref="AM217:AM219" si="248">"start /low /b "&amp;dls3logs&amp;" --loco "&amp;B217&amp;" --day "&amp;TEXT(F217,"YYYY-MM-DD")</f>
        <v>start /low /b %USERPROFILE%\Documents\GitHub\eaglep3\Utilities\DownloadLogsFromS3.py --loco 4059 --day 2017-11-26</v>
      </c>
      <c r="AN217" s="242" t="str">
        <f t="shared" ref="AN217:AN219" si="249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21:54:26"},{"id":29,"name":"Sharepoint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ref="AO217:AO219" si="250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-26T13:50:57-0700',mode:absolute,to:'2017-11-26T15:54:26-0700'))&amp;_a=(columns:!('Message%20ID',Summary),filters:!(),index:'emp_*',interval:auto,query:(query_string:(analyze_wildcard:!t,query:'%22rtdc.l.rtdc.4059%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834</v>
      </c>
      <c r="B218" s="226">
        <v>4002</v>
      </c>
      <c r="C218" s="228" t="s">
        <v>192</v>
      </c>
      <c r="D218" s="228" t="s">
        <v>972</v>
      </c>
      <c r="E218" s="227">
        <v>43065.714039351849</v>
      </c>
      <c r="F218" s="227">
        <v>43065.721319444441</v>
      </c>
      <c r="G218" s="226">
        <v>58</v>
      </c>
      <c r="H218" s="228" t="s">
        <v>1046</v>
      </c>
      <c r="I218" s="227">
        <v>43065.730428240742</v>
      </c>
      <c r="J218" s="226">
        <v>0</v>
      </c>
      <c r="K218" s="238" t="str">
        <f t="shared" si="143"/>
        <v>4001/4002</v>
      </c>
      <c r="L218" s="246" t="str">
        <f>VLOOKUP(A218,'Trips&amp;Operators'!$C$1:$G$99911,5,FALSE)</f>
        <v>BIRENBAUM THOMAS</v>
      </c>
      <c r="M218" s="225">
        <f t="shared" si="144"/>
        <v>9.1087963010068052E-3</v>
      </c>
      <c r="N218" s="226">
        <f t="shared" si="145"/>
        <v>13.116666673449799</v>
      </c>
      <c r="O218" s="226"/>
      <c r="P218" s="226"/>
      <c r="Q218" s="229"/>
      <c r="R218" s="243"/>
      <c r="S218" s="250">
        <f t="shared" si="146"/>
        <v>1</v>
      </c>
      <c r="T218" s="243" t="str">
        <f t="shared" si="147"/>
        <v>NorthBound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48"/>
        <v>https://d0f6bd738d7f1b3e5a7ca70fe4ff75f0.us-east-1.aws.found.io/app/kibana#/discover/Steve-Slow-Train-Analysis-(2080s-and-2083s)?_g=(refreshInterval:(display:Off,pause:!f,section:0,value:0),time:(from:'2017-11-26T16:08:13-0700',mode:absolute,to:'2017-11-26T18:31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8" s="248" t="str">
        <f>IF(AA218&lt;VLOOKUP(AG218,Variables!$AC$3:$AD$8,2,FALSE),"Y","N")</f>
        <v>Y</v>
      </c>
      <c r="X218" s="248">
        <f t="shared" si="149"/>
        <v>2</v>
      </c>
      <c r="Y218" s="248">
        <f t="shared" si="150"/>
        <v>0.1154</v>
      </c>
      <c r="Z218" s="248">
        <f t="shared" si="151"/>
        <v>2.3346</v>
      </c>
      <c r="AA218" s="248">
        <f t="shared" si="245"/>
        <v>2.2191999999999998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53"/>
        <v>77</v>
      </c>
      <c r="AE218" s="236" t="str">
        <f t="shared" si="154"/>
        <v>aws s3 cp s3://rtdc.mdm.uploadarchive.raw/RTDC4002/ "%USERPROFILE%\AppData\Local\Temp\OnboardLogs"\RTDC4002\2017-11-26 --exclude "*" --recursive --include "*20171126*" &amp; "%USERPROFILE%\Documents\GitHub\mrs-test-scripts\Headless Mode &amp; Sideloading\WalkAndUnGZ.bat" "%USERPROFILE%\AppData\Local\Temp\OnboardLogs"\RTDC4002\2017-11-26 &amp; aws s3 cp s3://rtdc.mdm.uploadarchive.raw/RTDC4002/ "%USERPROFILE%\AppData\Local\Temp\OnboardLogs"\RTDC4002\2017-11-27 --exclude "*" --recursive --include "*20171127*" &amp; "%USERPROFILE%\Documents\GitHub\mrs-test-scripts\Headless Mode &amp; Sideloading\WalkAndUnGZ.bat" "%USERPROFILE%\AppData\Local\Temp\OnboardLogs"\RTDC4002\2017-11-27</v>
      </c>
      <c r="AF218" s="235" t="str">
        <f t="shared" si="155"/>
        <v>"C:\Program Files (x86)\AstroGrep\AstroGrep.exe" /e /r /s /spath="%USERPROFILE%\AppData\Local\Temp\OnboardLogs" /stypes="app*4002*20171127*" /stext=" 00:.+((SYSTEM_STATE.+slice.+state.+changed )|(ment ac)|(multiple cpu faults)|(system.+state.+changed )|(\[timeout)|(PRM\|1\|D)|(kpr)|(kdp)|(train st.+moving)|(\|lc)|(penalty))"</v>
      </c>
      <c r="AG218" s="245" t="str">
        <f t="shared" si="156"/>
        <v>Shuttle/Test</v>
      </c>
      <c r="AH218" s="237" t="str">
        <f t="shared" si="246"/>
        <v>"%USERPROFILE%\Documents\GitHub\eaglep3\Utilities\RefineRTDCRunTimes.py" --tripid 77-26 --locoid 4002 --swversion DE.1.0.9.0 --startMP 204:1154 --initTime 2017-11-26T17:08:13 --startdatetime 2017-11-26T17:18:42 --delay 58 --endMP 300:23346 --enddatetime 2017-11-26T17:31:49 --enforcementcount 0 &gt;&gt;%USERPROFILE%\Documents\GitHub\eaglep3-reporting\EC\2017-11-26-refined-times.txt</v>
      </c>
      <c r="AI218" s="239" t="str">
        <f t="shared" si="247"/>
        <v>echo {"issue":{"subject":"","project_id":79,"tracker_id":40,"status_id":1,"priority_id":2,"assigned_to_id":338,"start_date":"2017-11-26","description":"","custom_fields":[{"id":1,"name":"Subdivision","value":"Shuttle/Test"},{"id":4,"name":"Milepost","value":"2.3346"},{"id":17,"name":"Train ID","value":"77-26"},{"id":16,"name":"Locomotive ID","value":"4002"},{"id":130,"name":"Impact","value":""},{"id":150,"name":"Time of Event (Mountain Time)","value":"17:31:49"},{"id":151,"name":"Denver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248"/>
        <v>start /low /b %USERPROFILE%\Documents\GitHub\eaglep3\Utilities\DownloadLogsFromS3.py --loco 4002 --day 2017-11-26</v>
      </c>
      <c r="AN218" s="242" t="str">
        <f t="shared" si="249"/>
        <v>echo {"issue":{"subject":"","project_id":30,"tracker_id":4,"status_id":1,"priority_id":1,"assigned_to_id":10,"start_date":"2017-11-27","description":"","custom_fields":[{"id":30,"name":"Category","value":"Issue"},{"id":3,"name":"Functional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UTC","value":"2017-11-27 00:31:49"},{"id":29,"name":"Sharepoint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250"/>
        <v>https://d0f6bd738d7f1b3e5a7ca70fe4ff75f0.us-east-1.aws.found.io/app/kibana#/discover/Steve-Slow-Train-Analysis-(2080s-and-2083s)?_g=(refreshInterval:(display:Off,pause:!f,section:0,value:0),time:(from:'2017-11-26T16:08:13-0700',mode:absolute,to:'2017-11-26T18:31:49-0700'))&amp;_a=(columns:!('Message%20ID',Summary),filters:!(),index:'emp_*',interval:auto,query:(query_string:(analyze_wildcard:!t,query:'%22rtdc.l.rtdc.4002%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814</v>
      </c>
      <c r="B219" s="226">
        <v>4010</v>
      </c>
      <c r="C219" s="228" t="s">
        <v>192</v>
      </c>
      <c r="D219" s="228" t="s">
        <v>1047</v>
      </c>
      <c r="E219" s="227">
        <v>43065.6483912037</v>
      </c>
      <c r="F219" s="227">
        <v>43065.650196759256</v>
      </c>
      <c r="G219" s="226">
        <v>66</v>
      </c>
      <c r="H219" s="228" t="s">
        <v>1046</v>
      </c>
      <c r="I219" s="227">
        <v>43065.656863425924</v>
      </c>
      <c r="J219" s="226">
        <v>0</v>
      </c>
      <c r="K219" s="238" t="str">
        <f t="shared" si="143"/>
        <v>4009/4010</v>
      </c>
      <c r="L219" s="246" t="str">
        <f>VLOOKUP(A219,'Trips&amp;Operators'!$C$1:$G$99911,5,FALSE)</f>
        <v>ROMERO CHAD</v>
      </c>
      <c r="M219" s="225">
        <f t="shared" si="144"/>
        <v>6.6666666680248454E-3</v>
      </c>
      <c r="N219" s="226">
        <f t="shared" si="145"/>
        <v>9.6000000019557774</v>
      </c>
      <c r="O219" s="226"/>
      <c r="P219" s="226"/>
      <c r="Q219" s="229"/>
      <c r="R219" s="243"/>
      <c r="S219" s="250">
        <f t="shared" si="146"/>
        <v>0</v>
      </c>
      <c r="T219" s="243" t="str">
        <f t="shared" si="147"/>
        <v>Southbound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9" t="str">
        <f t="shared" si="148"/>
        <v>https://d0f6bd738d7f1b3e5a7ca70fe4ff75f0.us-east-1.aws.found.io/app/kibana#/discover/Steve-Slow-Train-Analysis-(2080s-and-2083s)?_g=(refreshInterval:(display:Off,pause:!f,section:0,value:0),time:(from:'2017-11-26T14:33:41-0700',mode:absolute,to:'2017-11-26T16:45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9" s="248" t="str">
        <f>IF(AA219&lt;VLOOKUP(AG219,Variables!$AC$3:$AD$8,2,FALSE),"Y","N")</f>
        <v>Y</v>
      </c>
      <c r="X219" s="248">
        <f t="shared" si="149"/>
        <v>11</v>
      </c>
      <c r="Y219" s="248">
        <f t="shared" si="150"/>
        <v>0.12529999999999999</v>
      </c>
      <c r="Z219" s="248">
        <f t="shared" si="151"/>
        <v>2.3346</v>
      </c>
      <c r="AA219" s="248">
        <f t="shared" si="245"/>
        <v>2.2092999999999998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153"/>
        <v>88</v>
      </c>
      <c r="AE219" s="236" t="str">
        <f t="shared" si="154"/>
        <v>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 &amp; aws s3 cp s3://rtdc.mdm.uploadarchive.raw/RTDC4010/ "%USERPROFILE%\AppData\Local\Temp\OnboardLogs"\RTDC4010\2017-11-27 --exclude "*" --recursive --include "*20171127*" &amp; "%USERPROFILE%\Documents\GitHub\mrs-test-scripts\Headless Mode &amp; Sideloading\WalkAndUnGZ.bat" "%USERPROFILE%\AppData\Local\Temp\OnboardLogs"\RTDC4010\2017-11-27</v>
      </c>
      <c r="AF219" s="235" t="str">
        <f t="shared" si="155"/>
        <v>"C:\Program Files (x86)\AstroGrep\AstroGrep.exe" /e /r /s /spath="%USERPROFILE%\AppData\Local\Temp\OnboardLogs" /stypes="app*4010*20171126*" /stext=" 22:.+((SYSTEM_STATE.+slice.+state.+changed )|(ment ac)|(multiple cpu faults)|(system.+state.+changed )|(\[timeout)|(PRM\|1\|D)|(kpr)|(kdp)|(train st.+moving)|(\|lc)|(penalty))"</v>
      </c>
      <c r="AG219" s="245" t="str">
        <f t="shared" si="156"/>
        <v>Shuttle/Test</v>
      </c>
      <c r="AH219" s="237" t="str">
        <f t="shared" si="246"/>
        <v>"%USERPROFILE%\Documents\GitHub\eaglep3\Utilities\RefineRTDCRunTimes.py" --tripid 88-26 --locoid 4010 --swversion DE.1.0.9.0 --startMP 204:1253 --initTime 2017-11-26T15:33:41 --startdatetime 2017-11-26T15:36:17 --delay 66 --endMP 300:23346 --enddatetime 2017-11-26T15:45:53 --enforcementcount 0 &gt;&gt;%USERPROFILE%\Documents\GitHub\eaglep3-reporting\EC\2017-11-26-refined-times.txt</v>
      </c>
      <c r="AI219" s="239" t="str">
        <f t="shared" si="247"/>
        <v>echo {"issue":{"subject":"","project_id":79,"tracker_id":40,"status_id":1,"priority_id":2,"assigned_to_id":338,"start_date":"2017-11-26","description":"","custom_fields":[{"id":1,"name":"Subdivision","value":"Shuttle/Test"},{"id":4,"name":"Milepost","value":"2.3346"},{"id":17,"name":"Train ID","value":"88-26"},{"id":16,"name":"Locomotive ID","value":"4010"},{"id":130,"name":"Impact","value":""},{"id":150,"name":"Time of Event (Mountain Time)","value":"15:45:53"},{"id":151,"name":"Denver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248"/>
        <v>start /low /b %USERPROFILE%\Documents\GitHub\eaglep3\Utilities\DownloadLogsFromS3.py --loco 4010 --day 2017-11-26</v>
      </c>
      <c r="AN219" s="242" t="str">
        <f t="shared" si="249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22:45:53"},{"id":29,"name":"Sharepoint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250"/>
        <v>https://d0f6bd738d7f1b3e5a7ca70fe4ff75f0.us-east-1.aws.found.io/app/kibana#/discover/Steve-Slow-Train-Analysis-(2080s-and-2083s)?_g=(refreshInterval:(display:Off,pause:!f,section:0,value:0),time:(from:'2017-11-26T14:33:41-0700',mode:absolute,to:'2017-11-26T16:45:53-0700'))&amp;_a=(columns:!('Message%20ID',Summary),filters:!(),index:'emp_*',interval:auto,query:(query_string:(analyze_wildcard:!t,query:'%22rtdc.l.rtdc.4010%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</sheetData>
  <autoFilter ref="A12:AG502">
    <sortState ref="A13:AG502">
      <sortCondition ref="AG13:AG219"/>
      <sortCondition ref="AD13:AD219"/>
    </sortState>
  </autoFilter>
  <sortState ref="A13:AN407">
    <sortCondition ref="AG13:AG407"/>
    <sortCondition ref="AD13:AD407"/>
  </sortState>
  <mergeCells count="1">
    <mergeCell ref="A11:P11"/>
  </mergeCells>
  <conditionalFormatting sqref="W11:W12 W508:X1048576 W13:X219">
    <cfRule type="cellIs" dxfId="10" priority="465" operator="equal">
      <formula>"Y"</formula>
    </cfRule>
  </conditionalFormatting>
  <conditionalFormatting sqref="X508:X1048576 X13:X219">
    <cfRule type="cellIs" dxfId="9" priority="448" operator="greaterThan">
      <formula>1</formula>
    </cfRule>
  </conditionalFormatting>
  <conditionalFormatting sqref="X508:X1048576 X12:X219">
    <cfRule type="cellIs" dxfId="8" priority="445" operator="equal">
      <formula>0</formula>
    </cfRule>
  </conditionalFormatting>
  <conditionalFormatting sqref="A13:S219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9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COUNTIF($O$7:$O$189,"=Y")</f>
        <v>6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COUNTA($O$7:$O$189)-O2</f>
        <v>8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- 2017-11-26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43065.28601851852</v>
      </c>
      <c r="B7" s="30" t="s">
        <v>453</v>
      </c>
      <c r="C7" s="30" t="s">
        <v>652</v>
      </c>
      <c r="D7" s="30" t="s">
        <v>49</v>
      </c>
      <c r="E7" s="30" t="s">
        <v>183</v>
      </c>
      <c r="F7" s="42">
        <v>0</v>
      </c>
      <c r="G7" s="42">
        <v>327</v>
      </c>
      <c r="H7" s="42">
        <v>26228</v>
      </c>
      <c r="I7" s="42">
        <v>26937</v>
      </c>
      <c r="J7" s="30" t="s">
        <v>184</v>
      </c>
      <c r="K7" s="42">
        <v>27053</v>
      </c>
      <c r="L7" s="131" t="s">
        <v>50</v>
      </c>
      <c r="M7" s="132">
        <f t="shared" ref="M7:M20" si="0">CONVERT((I7-K7)/10000,"mi","ft")*IF(L7="Increasing Mileposts (1)",-1,1)</f>
        <v>61.247999999999998</v>
      </c>
      <c r="N7" s="133" t="str">
        <f>VLOOKUP(C7,'Trips&amp;Operators'!$C$1:$G$99911,5,FALSE)</f>
        <v>THOMPSON LESTER</v>
      </c>
      <c r="O7" s="175" t="s">
        <v>178</v>
      </c>
      <c r="P7" s="240" t="s">
        <v>344</v>
      </c>
      <c r="Q7" s="30"/>
      <c r="R7" s="81" t="str">
        <f>VLOOKUP(C7,'Train Runs'!$A$13:$AE$10161,31,0)</f>
        <v>aws s3 cp s3://rtdc.mdm.uploadarchive.raw/RTDC4042/ "%USERPROFILE%\AppData\Local\Temp\OnboardLogs"\RTDC4042\2017-11-26 --exclude "*" --recursive --include "*20171126*" &amp; "%USERPROFILE%\Documents\GitHub\mrs-test-scripts\Headless Mode &amp; Sideloading\WalkAndUnGZ.bat" "%USERPROFILE%\AppData\Local\Temp\OnboardLogs"\RTDC4042\2017-11-26 &amp; aws s3 cp s3://rtdc.mdm.uploadarchive.raw/RTDC4042/ "%USERPROFILE%\AppData\Local\Temp\OnboardLogs"\RTDC4042\2017-11-27 --exclude "*" --recursive --include "*20171127*" &amp; "%USERPROFILE%\Documents\GitHub\mrs-test-scripts\Headless Mode &amp; Sideloading\WalkAndUnGZ.bat" "%USERPROFILE%\AppData\Local\Temp\OnboardLogs"\RTDC4042\2017-11-27</v>
      </c>
      <c r="S7" s="84" t="str">
        <f>VLOOKUP(C7,'Train Runs'!$A$13:$AE$10161,22,0)</f>
        <v>https://d0f6bd738d7f1b3e5a7ca70fe4ff75f0.us-east-1.aws.found.io/app/kibana#/discover/Steve-Slow-Train-Analysis-(2080s-and-2083s)?_g=(refreshInterval:(display:Off,pause:!f,section:0,value:0),time:(from:'2017-11-26T05:43:39-0700',mode:absolute,to:'2017-11-26T08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86" t="str">
        <f t="shared" ref="T7:T2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/stypes="*4042*201711261*" /stext=" 13:.+((SYSTEM_STATE.+slice.+state.+changed )|(ment ac)|(multiple cpu faults)|(system.+state.+changed )|(\[timeout)|(PRM\|1\|D)|(kpr)|(kdp)|(train st.+moving)|(\|lc)|(penalty))"</v>
      </c>
      <c r="U7" s="9" t="str">
        <f t="shared" ref="U7:U20" si="2">MID(B7,13,4)</f>
        <v>4042</v>
      </c>
      <c r="V7" s="31">
        <f t="shared" ref="V7:V20" si="3">A7-utc_offset/24</f>
        <v>43065.577685185184</v>
      </c>
      <c r="W7" s="45" t="str">
        <f t="shared" ref="W7:W20" si="4">DetSubdiv(C7)</f>
        <v>EC</v>
      </c>
      <c r="X7" s="22">
        <f t="shared" ref="X7:X20" si="5">VALUE(LEFT(C7,LEN(C7)-3))</f>
        <v>125</v>
      </c>
      <c r="Y7" s="96" t="str">
        <f t="shared" ref="Y7:Y2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Arrival","project_id":79,"tracker_id":40,"status_id":1,"priority_id":2,"assigned_to_id":338,"start_date":"2017-11-26","description":"","custom_fields":[{"id":1,"name":"Subdivision","value":"EC"},{"id":4,"name":"Milepost","value":"2.7053"},{"id":17,"name":"Train ID","value":"125-26"},{"id":16,"name":"Locomotive ID","value":"4042"},{"id":130,"name":"Impact","value":""},{"id":150,"name":"Time of Event (Mountain Time)","value":"06:51:52"},{"id":151,"name":"Denver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/c/Users/stu/AppData/Local/Temp/OnboardLogs/RTDC4042 --include="*4042*201711261*"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"%USERPROFILE%\AppData\Local\Temp\OnboardLogs"\RTDC4042\*4042*201711261* &gt;&gt; 2017-11-26-SliceDisagreementCheck.txt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4042 --day 2017-11-26</v>
      </c>
    </row>
    <row r="8" spans="1:32" s="1" customFormat="1" x14ac:dyDescent="0.25">
      <c r="A8" s="31">
        <v>43065.987800925926</v>
      </c>
      <c r="B8" s="30" t="s">
        <v>657</v>
      </c>
      <c r="C8" s="30" t="s">
        <v>669</v>
      </c>
      <c r="D8" s="30" t="s">
        <v>49</v>
      </c>
      <c r="E8" s="30" t="s">
        <v>183</v>
      </c>
      <c r="F8" s="42">
        <v>460</v>
      </c>
      <c r="G8" s="42">
        <v>519</v>
      </c>
      <c r="H8" s="42">
        <v>57625</v>
      </c>
      <c r="I8" s="42">
        <v>59093</v>
      </c>
      <c r="J8" s="30" t="s">
        <v>184</v>
      </c>
      <c r="K8" s="42">
        <v>58783</v>
      </c>
      <c r="L8" s="131" t="s">
        <v>50</v>
      </c>
      <c r="M8" s="132">
        <f t="shared" si="0"/>
        <v>-163.68</v>
      </c>
      <c r="N8" s="133" t="str">
        <f>VLOOKUP(C8,'Trips&amp;Operators'!$C$1:$G$99911,5,FALSE)</f>
        <v>LOZA FIDEL</v>
      </c>
      <c r="O8" s="175" t="s">
        <v>178</v>
      </c>
      <c r="P8" s="240" t="s">
        <v>344</v>
      </c>
      <c r="Q8" s="30"/>
      <c r="R8" s="81" t="str">
        <f>VLOOKUP(C8,'Train Runs'!$A$13:$AE$10161,31,0)</f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S8" s="84" t="str">
        <f>VLOOKUP(C8,'Train Runs'!$A$13:$AE$10161,22,0)</f>
        <v>https://d0f6bd738d7f1b3e5a7ca70fe4ff75f0.us-east-1.aws.found.io/app/kibana#/discover/Steve-Slow-Train-Analysis-(2080s-and-2083s)?_g=(refreshInterval:(display:Off,pause:!f,section:0,value:0),time:(from:'2017-11-26T22:06:44-0700',mode:absolute,to:'2017-11-27T01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6" t="str">
        <f t="shared" si="1"/>
        <v>"C:\Program Files (x86)\AstroGrep\AstroGrep.exe" /e /r /s /spath="%USERPROFILE%\AppData\Local\Temp\OnboardLogs" /stypes="*4016*201711270*"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4016</v>
      </c>
      <c r="V8" s="31">
        <f t="shared" si="3"/>
        <v>43066.279467592591</v>
      </c>
      <c r="W8" s="45" t="str">
        <f t="shared" si="4"/>
        <v>EC</v>
      </c>
      <c r="X8" s="229">
        <f t="shared" si="5"/>
        <v>239</v>
      </c>
      <c r="Y8" s="239" t="str">
        <f t="shared" si="6"/>
        <v>echo {"issue":{"subject":"Early Arrival","project_id":79,"tracker_id":40,"status_id":1,"priority_id":2,"assigned_to_id":338,"start_date":"2017-11-26","description":"","custom_fields":[{"id":1,"name":"Subdivision","value":"EC"},{"id":4,"name":"Milepost","value":"5.8783"},{"id":17,"name":"Train ID","value":"239-26"},{"id":16,"name":"Locomotive ID","value":"4016"},{"id":130,"name":"Impact","value":""},{"id":150,"name":"Time of Event (Mountain Time)","value":"23:42:26"},{"id":151,"name":"Denver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/c/Users/stu/AppData/Local/Temp/OnboardLogs/RTDC4016 --include="*4016*201711270*"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"%USERPROFILE%\AppData\Local\Temp\OnboardLogs"\RTDC4016\*4016*201711270* &gt;&gt; 2017-11-26-SliceDisagreementCheck.txt</v>
      </c>
      <c r="AE8" s="144" t="str">
        <f t="shared" ref="AE8:AE20" si="9">"start /low /b "&amp;dls3logs&amp;" --loco "&amp;U8&amp;" --day "&amp;TEXT(V8,"YYYY-MM-DD")</f>
        <v>start /low /b %USERPROFILE%\Documents\GitHub\eaglep3\Utilities\DownloadLogsFromS3.py --loco 4016 --day 2017-11-27</v>
      </c>
    </row>
    <row r="9" spans="1:32" s="1" customFormat="1" x14ac:dyDescent="0.25">
      <c r="A9" s="31">
        <v>43065.624351851853</v>
      </c>
      <c r="B9" s="30" t="s">
        <v>357</v>
      </c>
      <c r="C9" s="30" t="s">
        <v>662</v>
      </c>
      <c r="D9" s="30" t="s">
        <v>49</v>
      </c>
      <c r="E9" s="30" t="s">
        <v>183</v>
      </c>
      <c r="F9" s="42">
        <v>0</v>
      </c>
      <c r="G9" s="42">
        <v>471</v>
      </c>
      <c r="H9" s="42">
        <v>62496</v>
      </c>
      <c r="I9" s="42">
        <v>63433</v>
      </c>
      <c r="J9" s="30" t="s">
        <v>184</v>
      </c>
      <c r="K9" s="42">
        <v>63069</v>
      </c>
      <c r="L9" s="131" t="s">
        <v>50</v>
      </c>
      <c r="M9" s="132">
        <f t="shared" si="0"/>
        <v>-192.19200000000001</v>
      </c>
      <c r="N9" s="133" t="str">
        <f>VLOOKUP(C9,'Trips&amp;Operators'!$C$1:$G$99911,5,FALSE)</f>
        <v>DAVIS MICHAEL</v>
      </c>
      <c r="O9" s="175" t="s">
        <v>178</v>
      </c>
      <c r="P9" s="240" t="s">
        <v>344</v>
      </c>
      <c r="Q9" s="30"/>
      <c r="R9" s="81" t="str">
        <f>VLOOKUP(C9,'Train Runs'!$A$13:$AE$10161,31,0)</f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S9" s="84" t="str">
        <f>VLOOKUP(C9,'Train Runs'!$A$13:$AE$10161,22,0)</f>
        <v>https://d0f6bd738d7f1b3e5a7ca70fe4ff75f0.us-east-1.aws.found.io/app/kibana#/discover/Steve-Slow-Train-Analysis-(2080s-and-2083s)?_g=(refreshInterval:(display:Off,pause:!f,section:0,value:0),time:(from:'2017-11-26T13:42:36-0700',mode:absolute,to:'2017-11-26T16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9" s="86" t="str">
        <f t="shared" si="1"/>
        <v>"C:\Program Files (x86)\AstroGrep\AstroGrep.exe" /e /r /s /spath="%USERPROFILE%\AppData\Local\Temp\OnboardLogs" /stypes="*4008*201711262*"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4008</v>
      </c>
      <c r="V9" s="31">
        <f t="shared" si="3"/>
        <v>43065.916018518517</v>
      </c>
      <c r="W9" s="45" t="str">
        <f t="shared" si="4"/>
        <v>EC</v>
      </c>
      <c r="X9" s="229">
        <f t="shared" si="5"/>
        <v>189</v>
      </c>
      <c r="Y9" s="239" t="str">
        <f t="shared" si="6"/>
        <v>echo {"issue":{"subject":"Early Arrival","project_id":79,"tracker_id":40,"status_id":1,"priority_id":2,"assigned_to_id":338,"start_date":"2017-11-26","description":"","custom_fields":[{"id":1,"name":"Subdivision","value":"EC"},{"id":4,"name":"Milepost","value":"6.3069"},{"id":17,"name":"Train ID","value":"189-26"},{"id":16,"name":"Locomotive ID","value":"4008"},{"id":130,"name":"Impact","value":""},{"id":150,"name":"Time of Event (Mountain Time)","value":"14:59:04"},{"id":151,"name":"Denver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/c/Users/stu/AppData/Local/Temp/OnboardLogs/RTDC4008 --include="*4008*201711262*"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"%USERPROFILE%\AppData\Local\Temp\OnboardLogs"\RTDC4008\*4008*201711262* &gt;&gt; 2017-11-26-SliceDisagreementCheck.txt</v>
      </c>
      <c r="AE9" s="144" t="str">
        <f t="shared" si="9"/>
        <v>start /low /b %USERPROFILE%\Documents\GitHub\eaglep3\Utilities\DownloadLogsFromS3.py --loco 4008 --day 2017-11-26</v>
      </c>
    </row>
    <row r="10" spans="1:32" x14ac:dyDescent="0.25">
      <c r="A10" s="31">
        <v>43065.450532407405</v>
      </c>
      <c r="B10" s="30" t="s">
        <v>657</v>
      </c>
      <c r="C10" s="30" t="s">
        <v>658</v>
      </c>
      <c r="D10" s="30" t="s">
        <v>49</v>
      </c>
      <c r="E10" s="30" t="s">
        <v>190</v>
      </c>
      <c r="F10" s="42">
        <v>400</v>
      </c>
      <c r="G10" s="42">
        <v>571</v>
      </c>
      <c r="H10" s="42">
        <v>14869</v>
      </c>
      <c r="I10" s="42">
        <v>17703</v>
      </c>
      <c r="J10" s="30" t="s">
        <v>191</v>
      </c>
      <c r="K10" s="42">
        <v>17867</v>
      </c>
      <c r="L10" s="131" t="s">
        <v>50</v>
      </c>
      <c r="M10" s="132">
        <f t="shared" si="0"/>
        <v>86.592000000000013</v>
      </c>
      <c r="N10" s="133" t="str">
        <f>VLOOKUP(C10,'Trips&amp;Operators'!$C$1:$G$99911,5,FALSE)</f>
        <v>STEWART MICHAEL</v>
      </c>
      <c r="O10" s="175" t="s">
        <v>178</v>
      </c>
      <c r="P10" s="240"/>
      <c r="Q10" s="30"/>
      <c r="R10" s="81" t="str">
        <f>VLOOKUP(C10,'Train Runs'!$A$13:$AE$10161,31,0)</f>
        <v>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 &amp; aws s3 cp s3://rtdc.mdm.uploadarchive.raw/RTDC4016/ "%USERPROFILE%\AppData\Local\Temp\OnboardLogs"\RTDC4016\2017-11-27 --exclude "*" --recursive --include "*20171127*" &amp; "%USERPROFILE%\Documents\GitHub\mrs-test-scripts\Headless Mode &amp; Sideloading\WalkAndUnGZ.bat" "%USERPROFILE%\AppData\Local\Temp\OnboardLogs"\RTDC4016\2017-11-27</v>
      </c>
      <c r="S10" s="84" t="str">
        <f>VLOOKUP(C10,'Train Runs'!$A$13:$AE$10161,22,0)</f>
        <v>https://d0f6bd738d7f1b3e5a7ca70fe4ff75f0.us-east-1.aws.found.io/app/kibana#/discover/Steve-Slow-Train-Analysis-(2080s-and-2083s)?_g=(refreshInterval:(display:Off,pause:!f,section:0,value:0),time:(from:'2017-11-26T09:37:26-0700',mode:absolute,to:'2017-11-26T12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86" t="str">
        <f t="shared" si="1"/>
        <v>"C:\Program Files (x86)\AstroGrep\AstroGrep.exe" /e /r /s /spath="%USERPROFILE%\AppData\Local\Temp\OnboardLogs" /stypes="*4016*201711261*"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4016</v>
      </c>
      <c r="V10" s="31">
        <f t="shared" si="3"/>
        <v>43065.74219907407</v>
      </c>
      <c r="W10" s="45" t="str">
        <f t="shared" si="4"/>
        <v>EC</v>
      </c>
      <c r="X10" s="229">
        <f t="shared" si="5"/>
        <v>157</v>
      </c>
      <c r="Y10" s="239" t="str">
        <f t="shared" si="6"/>
        <v>echo {"issue":{"subject":"","project_id":79,"tracker_id":40,"status_id":1,"priority_id":2,"assigned_to_id":338,"start_date":"2017-11-26","description":"","custom_fields":[{"id":1,"name":"Subdivision","value":"EC"},{"id":4,"name":"Milepost","value":"1.7867"},{"id":17,"name":"Train ID","value":"157-26"},{"id":16,"name":"Locomotive ID","value":"4016"},{"id":130,"name":"Impact","value":""},{"id":150,"name":"Time of Event (Mountain Time)","value":"10:48:46"},{"id":151,"name":"Denver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/c/Users/stu/AppData/Local/Temp/OnboardLogs/RTDC4016 --include="*4016*201711261*"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"%USERPROFILE%\AppData\Local\Temp\OnboardLogs"\RTDC4016\*4016*201711261* &gt;&gt; 2017-11-26-SliceDisagreementCheck.txt</v>
      </c>
      <c r="AE10" s="144" t="str">
        <f t="shared" si="9"/>
        <v>start /low /b %USERPROFILE%\Documents\GitHub\eaglep3\Utilities\DownloadLogsFromS3.py --loco 4016 --day 2017-11-26</v>
      </c>
      <c r="AF10" s="1"/>
    </row>
    <row r="11" spans="1:32" x14ac:dyDescent="0.25">
      <c r="A11" s="31">
        <v>43065.401828703703</v>
      </c>
      <c r="B11" s="30" t="s">
        <v>503</v>
      </c>
      <c r="C11" s="30" t="s">
        <v>653</v>
      </c>
      <c r="D11" s="30" t="s">
        <v>95</v>
      </c>
      <c r="E11" s="30" t="s">
        <v>190</v>
      </c>
      <c r="F11" s="42">
        <v>600</v>
      </c>
      <c r="G11" s="42">
        <v>655</v>
      </c>
      <c r="H11" s="42">
        <v>184324</v>
      </c>
      <c r="I11" s="42">
        <v>181230</v>
      </c>
      <c r="J11" s="30" t="s">
        <v>191</v>
      </c>
      <c r="K11" s="42">
        <v>190834</v>
      </c>
      <c r="L11" s="131" t="s">
        <v>51</v>
      </c>
      <c r="M11" s="132">
        <f t="shared" si="0"/>
        <v>-5070.9120000000003</v>
      </c>
      <c r="N11" s="133" t="str">
        <f>VLOOKUP(C11,'Trips&amp;Operators'!$C$1:$G$99911,5,FALSE)</f>
        <v>THOMPSON LESTER</v>
      </c>
      <c r="O11" s="175" t="s">
        <v>178</v>
      </c>
      <c r="P11" s="240"/>
      <c r="Q11" s="30"/>
      <c r="R11" s="81" t="str">
        <f>VLOOKUP(C11,'Train Runs'!$A$13:$AE$10161,31,0)</f>
        <v>aws s3 cp s3://rtdc.mdm.uploadarchive.raw/RTDC4041/ "%USERPROFILE%\AppData\Local\Temp\OnboardLogs"\RTDC4041\2017-11-26 --exclude "*" --recursive --include "*20171126*" &amp; "%USERPROFILE%\Documents\GitHub\mrs-test-scripts\Headless Mode &amp; Sideloading\WalkAndUnGZ.bat" "%USERPROFILE%\AppData\Local\Temp\OnboardLogs"\RTDC4041\2017-11-26 &amp; aws s3 cp s3://rtdc.mdm.uploadarchive.raw/RTDC4041/ "%USERPROFILE%\AppData\Local\Temp\OnboardLogs"\RTDC4041\2017-11-27 --exclude "*" --recursive --include "*20171127*" &amp; "%USERPROFILE%\Documents\GitHub\mrs-test-scripts\Headless Mode &amp; Sideloading\WalkAndUnGZ.bat" "%USERPROFILE%\AppData\Local\Temp\OnboardLogs"\RTDC4041\2017-11-27</v>
      </c>
      <c r="S11" s="84" t="str">
        <f>VLOOKUP(C11,'Train Runs'!$A$13:$AE$10161,22,0)</f>
        <v>https://d0f6bd738d7f1b3e5a7ca70fe4ff75f0.us-east-1.aws.found.io/app/kibana#/discover/Steve-Slow-Train-Analysis-(2080s-and-2083s)?_g=(refreshInterval:(display:Off,pause:!f,section:0,value:0),time:(from:'2017-11-26T08:29:33-0700',mode:absolute,to:'2017-11-26T11:11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6" t="str">
        <f t="shared" si="1"/>
        <v>"C:\Program Files (x86)\AstroGrep\AstroGrep.exe" /e /r /s /spath="%USERPROFILE%\AppData\Local\Temp\OnboardLogs" /stypes="*4041*201711261*"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4041</v>
      </c>
      <c r="V11" s="31">
        <f t="shared" si="3"/>
        <v>43065.693495370368</v>
      </c>
      <c r="W11" s="45" t="str">
        <f t="shared" si="4"/>
        <v>EC</v>
      </c>
      <c r="X11" s="229">
        <f t="shared" si="5"/>
        <v>140</v>
      </c>
      <c r="Y11" s="239" t="str">
        <f t="shared" si="6"/>
        <v>echo {"issue":{"subject":"","project_id":79,"tracker_id":40,"status_id":1,"priority_id":2,"assigned_to_id":338,"start_date":"2017-11-26","description":"","custom_fields":[{"id":1,"name":"Subdivision","value":"EC"},{"id":4,"name":"Milepost","value":"19.0834"},{"id":17,"name":"Train ID","value":"140-26"},{"id":16,"name":"Locomotive ID","value":"4041"},{"id":130,"name":"Impact","value":""},{"id":150,"name":"Time of Event (Mountain Time)","value":"09:38:38"},{"id":151,"name":"Denver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/c/Users/stu/AppData/Local/Temp/OnboardLogs/RTDC4041 --include="*4041*201711261*"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"%USERPROFILE%\AppData\Local\Temp\OnboardLogs"\RTDC4041\*4041*201711261* &gt;&gt; 2017-11-26-SliceDisagreementCheck.txt</v>
      </c>
      <c r="AE11" s="144" t="str">
        <f t="shared" si="9"/>
        <v>start /low /b %USERPROFILE%\Documents\GitHub\eaglep3\Utilities\DownloadLogsFromS3.py --loco 4041 --day 2017-11-26</v>
      </c>
      <c r="AF11" s="1"/>
    </row>
    <row r="12" spans="1:32" x14ac:dyDescent="0.25">
      <c r="A12" s="31">
        <v>43065.520856481482</v>
      </c>
      <c r="B12" s="30" t="s">
        <v>659</v>
      </c>
      <c r="C12" s="30" t="s">
        <v>660</v>
      </c>
      <c r="D12" s="30" t="s">
        <v>49</v>
      </c>
      <c r="E12" s="30" t="s">
        <v>355</v>
      </c>
      <c r="F12" s="42">
        <v>0</v>
      </c>
      <c r="G12" s="42">
        <v>619</v>
      </c>
      <c r="H12" s="42">
        <v>70590</v>
      </c>
      <c r="I12" s="42">
        <v>70590</v>
      </c>
      <c r="J12" s="30" t="s">
        <v>356</v>
      </c>
      <c r="K12" s="42">
        <v>75566</v>
      </c>
      <c r="L12" s="131" t="s">
        <v>50</v>
      </c>
      <c r="M12" s="132">
        <f t="shared" si="0"/>
        <v>2627.328</v>
      </c>
      <c r="N12" s="133" t="str">
        <f>VLOOKUP(C12,'Trips&amp;Operators'!$C$1:$G$99911,5,FALSE)</f>
        <v>GONZALEZ ARMANDO</v>
      </c>
      <c r="O12" s="175" t="s">
        <v>349</v>
      </c>
      <c r="P12" s="240" t="s">
        <v>1061</v>
      </c>
      <c r="Q12" s="30"/>
      <c r="R12" s="81" t="str">
        <f>VLOOKUP(C12,'Train Runs'!$A$13:$AE$10161,31,0)</f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S12" s="84" t="str">
        <f>VLOOKUP(C12,'Train Runs'!$A$13:$AE$10161,22,0)</f>
        <v>https://d0f6bd738d7f1b3e5a7ca70fe4ff75f0.us-east-1.aws.found.io/app/kibana#/discover/Steve-Slow-Train-Analysis-(2080s-and-2083s)?_g=(refreshInterval:(display:Off,pause:!f,section:0,value:0),time:(from:'2017-11-26T11:44:36-0700',mode:absolute,to:'2017-11-26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86" t="str">
        <f t="shared" si="1"/>
        <v>"C:\Program Files (x86)\AstroGrep\AstroGrep.exe" /e /r /s /spath="%USERPROFILE%\AppData\Local\Temp\OnboardLogs" /stypes="*4006*201711261*"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4006</v>
      </c>
      <c r="V12" s="31">
        <f t="shared" si="3"/>
        <v>43065.812523148146</v>
      </c>
      <c r="W12" s="45" t="str">
        <f t="shared" si="4"/>
        <v>EC</v>
      </c>
      <c r="X12" s="229">
        <f t="shared" si="5"/>
        <v>169</v>
      </c>
      <c r="Y12" s="239" t="str">
        <f t="shared" si="6"/>
        <v>echo {"issue":{"subject":"Wi-MAX data drop","project_id":79,"tracker_id":40,"status_id":1,"priority_id":2,"assigned_to_id":338,"start_date":"2017-11-26","description":"","custom_fields":[{"id":1,"name":"Subdivision","value":"EC"},{"id":4,"name":"Milepost","value":"7.5566"},{"id":17,"name":"Train ID","value":"169-26"},{"id":16,"name":"Locomotive ID","value":"4006"},{"id":130,"name":"Impact","value":""},{"id":150,"name":"Time of Event (Mountain Time)","value":"12:30:02"},{"id":151,"name":"Denver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/c/Users/stu/AppData/Local/Temp/OnboardLogs/RTDC4006 --include="*4006*201711261*"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"%USERPROFILE%\AppData\Local\Temp\OnboardLogs"\RTDC4006\*4006*201711261* &gt;&gt; 2017-11-26-SliceDisagreementCheck.txt</v>
      </c>
      <c r="AE12" s="144" t="str">
        <f t="shared" si="9"/>
        <v>start /low /b %USERPROFILE%\Documents\GitHub\eaglep3\Utilities\DownloadLogsFromS3.py --loco 4006 --day 2017-11-26</v>
      </c>
      <c r="AF12" s="1"/>
    </row>
    <row r="13" spans="1:32" x14ac:dyDescent="0.25">
      <c r="A13" s="31">
        <v>43065.410092592596</v>
      </c>
      <c r="B13" s="30" t="s">
        <v>357</v>
      </c>
      <c r="C13" s="30" t="s">
        <v>654</v>
      </c>
      <c r="D13" s="30" t="s">
        <v>49</v>
      </c>
      <c r="E13" s="30" t="s">
        <v>355</v>
      </c>
      <c r="F13" s="42">
        <v>0</v>
      </c>
      <c r="G13" s="42">
        <v>119</v>
      </c>
      <c r="H13" s="42">
        <v>107456</v>
      </c>
      <c r="I13" s="42">
        <v>107599</v>
      </c>
      <c r="J13" s="30" t="s">
        <v>356</v>
      </c>
      <c r="K13" s="42">
        <v>107939</v>
      </c>
      <c r="L13" s="131" t="s">
        <v>50</v>
      </c>
      <c r="M13" s="132">
        <f t="shared" si="0"/>
        <v>179.52</v>
      </c>
      <c r="N13" s="133" t="str">
        <f>VLOOKUP(C13,'Trips&amp;Operators'!$C$1:$G$99911,5,FALSE)</f>
        <v>LOPES KIMBERLY</v>
      </c>
      <c r="O13" s="175" t="s">
        <v>178</v>
      </c>
      <c r="P13" s="240" t="s">
        <v>1084</v>
      </c>
      <c r="Q13" s="30"/>
      <c r="R13" s="81" t="str">
        <f>VLOOKUP(C13,'Train Runs'!$A$13:$AE$10161,31,0)</f>
        <v>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 &amp; aws s3 cp s3://rtdc.mdm.uploadarchive.raw/RTDC4008/ "%USERPROFILE%\AppData\Local\Temp\OnboardLogs"\RTDC4008\2017-11-27 --exclude "*" --recursive --include "*20171127*" &amp; "%USERPROFILE%\Documents\GitHub\mrs-test-scripts\Headless Mode &amp; Sideloading\WalkAndUnGZ.bat" "%USERPROFILE%\AppData\Local\Temp\OnboardLogs"\RTDC4008\2017-11-27</v>
      </c>
      <c r="S13" s="84" t="str">
        <f>VLOOKUP(C13,'Train Runs'!$A$13:$AE$10161,22,0)</f>
        <v>https://d0f6bd738d7f1b3e5a7ca70fe4ff75f0.us-east-1.aws.found.io/app/kibana#/discover/Steve-Slow-Train-Analysis-(2080s-and-2083s)?_g=(refreshInterval:(display:Off,pause:!f,section:0,value:0),time:(from:'2017-11-26T08:24:31-0700',mode:absolute,to:'2017-11-26T11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3" s="86" t="str">
        <f t="shared" si="1"/>
        <v>"C:\Program Files (x86)\AstroGrep\AstroGrep.exe" /e /r /s /spath="%USERPROFILE%\AppData\Local\Temp\OnboardLogs" /stypes="*4008*201711261*"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4008</v>
      </c>
      <c r="V13" s="31">
        <f t="shared" si="3"/>
        <v>43065.70175925926</v>
      </c>
      <c r="W13" s="45" t="str">
        <f t="shared" si="4"/>
        <v>EC</v>
      </c>
      <c r="X13" s="229">
        <f t="shared" si="5"/>
        <v>147</v>
      </c>
      <c r="Y13" s="239" t="str">
        <f t="shared" si="6"/>
        <v>echo {"issue":{"subject":"Chambers 2N STOP","project_id":79,"tracker_id":40,"status_id":1,"priority_id":2,"assigned_to_id":338,"start_date":"2017-11-26","description":"","custom_fields":[{"id":1,"name":"Subdivision","value":"EC"},{"id":4,"name":"Milepost","value":"10.7939"},{"id":17,"name":"Train ID","value":"147-26"},{"id":16,"name":"Locomotive ID","value":"4008"},{"id":130,"name":"Impact","value":""},{"id":150,"name":"Time of Event (Mountain Time)","value":"09:50:32"},{"id":151,"name":"Denver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/c/Users/stu/AppData/Local/Temp/OnboardLogs/RTDC4008 --include="*4008*201711261*"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"%USERPROFILE%\AppData\Local\Temp\OnboardLogs"\RTDC4008\*4008*201711261* &gt;&gt; 2017-11-26-SliceDisagreementCheck.txt</v>
      </c>
      <c r="AE13" s="144" t="str">
        <f t="shared" si="9"/>
        <v>start /low /b %USERPROFILE%\Documents\GitHub\eaglep3\Utilities\DownloadLogsFromS3.py --loco 4008 --day 2017-11-26</v>
      </c>
      <c r="AF13" s="1"/>
    </row>
    <row r="14" spans="1:32" x14ac:dyDescent="0.25">
      <c r="A14" s="31">
        <v>43065.52888888889</v>
      </c>
      <c r="B14" s="30" t="s">
        <v>659</v>
      </c>
      <c r="C14" s="30" t="s">
        <v>660</v>
      </c>
      <c r="D14" s="30" t="s">
        <v>49</v>
      </c>
      <c r="E14" s="30" t="s">
        <v>355</v>
      </c>
      <c r="F14" s="42">
        <v>0</v>
      </c>
      <c r="G14" s="42">
        <v>725</v>
      </c>
      <c r="H14" s="42">
        <v>135827</v>
      </c>
      <c r="I14" s="42">
        <v>139305</v>
      </c>
      <c r="J14" s="30" t="s">
        <v>356</v>
      </c>
      <c r="K14" s="42">
        <v>138837</v>
      </c>
      <c r="L14" s="131" t="s">
        <v>50</v>
      </c>
      <c r="M14" s="132">
        <f t="shared" si="0"/>
        <v>-247.10400000000001</v>
      </c>
      <c r="N14" s="133" t="str">
        <f>VLOOKUP(C14,'Trips&amp;Operators'!$C$1:$G$99911,5,FALSE)</f>
        <v>GONZALEZ ARMANDO</v>
      </c>
      <c r="O14" s="175" t="s">
        <v>349</v>
      </c>
      <c r="P14" s="240" t="s">
        <v>1061</v>
      </c>
      <c r="Q14" s="30"/>
      <c r="R14" s="81" t="str">
        <f>VLOOKUP(C14,'Train Runs'!$A$13:$AE$10161,31,0)</f>
        <v>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 &amp; aws s3 cp s3://rtdc.mdm.uploadarchive.raw/RTDC4006/ "%USERPROFILE%\AppData\Local\Temp\OnboardLogs"\RTDC4006\2017-11-27 --exclude "*" --recursive --include "*20171127*" &amp; "%USERPROFILE%\Documents\GitHub\mrs-test-scripts\Headless Mode &amp; Sideloading\WalkAndUnGZ.bat" "%USERPROFILE%\AppData\Local\Temp\OnboardLogs"\RTDC4006\2017-11-27</v>
      </c>
      <c r="S14" s="84" t="str">
        <f>VLOOKUP(C14,'Train Runs'!$A$13:$AE$10161,22,0)</f>
        <v>https://d0f6bd738d7f1b3e5a7ca70fe4ff75f0.us-east-1.aws.found.io/app/kibana#/discover/Steve-Slow-Train-Analysis-(2080s-and-2083s)?_g=(refreshInterval:(display:Off,pause:!f,section:0,value:0),time:(from:'2017-11-26T11:44:36-0700',mode:absolute,to:'2017-11-26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4" s="86" t="str">
        <f t="shared" si="1"/>
        <v>"C:\Program Files (x86)\AstroGrep\AstroGrep.exe" /e /r /s /spath="%USERPROFILE%\AppData\Local\Temp\OnboardLogs" /stypes="*4006*201711261*"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4006</v>
      </c>
      <c r="V14" s="31">
        <f t="shared" si="3"/>
        <v>43065.820555555554</v>
      </c>
      <c r="W14" s="45" t="str">
        <f t="shared" si="4"/>
        <v>EC</v>
      </c>
      <c r="X14" s="229">
        <f t="shared" si="5"/>
        <v>169</v>
      </c>
      <c r="Y14" s="239" t="str">
        <f t="shared" si="6"/>
        <v>echo {"issue":{"subject":"Wi-MAX data drop","project_id":79,"tracker_id":40,"status_id":1,"priority_id":2,"assigned_to_id":338,"start_date":"2017-11-26","description":"","custom_fields":[{"id":1,"name":"Subdivision","value":"EC"},{"id":4,"name":"Milepost","value":"13.8837"},{"id":17,"name":"Train ID","value":"169-26"},{"id":16,"name":"Locomotive ID","value":"4006"},{"id":130,"name":"Impact","value":""},{"id":150,"name":"Time of Event (Mountain Time)","value":"12:41:36"},{"id":151,"name":"Denver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/c/Users/stu/AppData/Local/Temp/OnboardLogs/RTDC4006 --include="*4006*201711261*"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"%USERPROFILE%\AppData\Local\Temp\OnboardLogs"\RTDC4006\*4006*201711261* &gt;&gt; 2017-11-26-SliceDisagreementCheck.txt</v>
      </c>
      <c r="AE14" s="144" t="str">
        <f t="shared" si="9"/>
        <v>start /low /b %USERPROFILE%\Documents\GitHub\eaglep3\Utilities\DownloadLogsFromS3.py --loco 4006 --day 2017-11-26</v>
      </c>
      <c r="AF14" s="1"/>
    </row>
    <row r="15" spans="1:32" x14ac:dyDescent="0.25">
      <c r="A15" s="31">
        <v>43065.897523148145</v>
      </c>
      <c r="B15" s="30" t="s">
        <v>391</v>
      </c>
      <c r="C15" s="30" t="s">
        <v>667</v>
      </c>
      <c r="D15" s="30" t="s">
        <v>49</v>
      </c>
      <c r="E15" s="30" t="s">
        <v>455</v>
      </c>
      <c r="F15" s="42">
        <v>0</v>
      </c>
      <c r="G15" s="42">
        <v>686</v>
      </c>
      <c r="H15" s="42">
        <v>195998</v>
      </c>
      <c r="I15" s="42">
        <v>193060</v>
      </c>
      <c r="J15" s="30" t="s">
        <v>456</v>
      </c>
      <c r="K15" s="42">
        <v>191723</v>
      </c>
      <c r="L15" s="131" t="s">
        <v>51</v>
      </c>
      <c r="M15" s="132">
        <f t="shared" si="0"/>
        <v>705.93600000000004</v>
      </c>
      <c r="N15" s="133" t="str">
        <f>VLOOKUP(C15,'Trips&amp;Operators'!$C$1:$G$99911,5,FALSE)</f>
        <v>RESPASS AARON</v>
      </c>
      <c r="O15" s="175" t="s">
        <v>349</v>
      </c>
      <c r="P15" s="240" t="s">
        <v>1061</v>
      </c>
      <c r="Q15" s="30"/>
      <c r="R15" s="81" t="str">
        <f>VLOOKUP(C15,'Train Runs'!$A$13:$AE$10161,31,0)</f>
        <v>aws s3 cp s3://rtdc.mdm.uploadarchive.raw/RTDC4059/ "%USERPROFILE%\AppData\Local\Temp\OnboardLogs"\RTDC4059\2017-11-26 --exclude "*" --recursive --include "*20171126*" &amp; "%USERPROFILE%\Documents\GitHub\mrs-test-scripts\Headless Mode &amp; Sideloading\WalkAndUnGZ.bat" "%USERPROFILE%\AppData\Local\Temp\OnboardLogs"\RTDC4059\2017-11-26 &amp; aws s3 cp s3://rtdc.mdm.uploadarchive.raw/RTDC4059/ "%USERPROFILE%\AppData\Local\Temp\OnboardLogs"\RTDC4059\2017-11-27 --exclude "*" --recursive --include "*20171127*" &amp; "%USERPROFILE%\Documents\GitHub\mrs-test-scripts\Headless Mode &amp; Sideloading\WalkAndUnGZ.bat" "%USERPROFILE%\AppData\Local\Temp\OnboardLogs"\RTDC4059\2017-11-27</v>
      </c>
      <c r="S15" s="84" t="str">
        <f>VLOOKUP(C15,'Train Runs'!$A$13:$AE$10161,22,0)</f>
        <v>https://d0f6bd738d7f1b3e5a7ca70fe4ff75f0.us-east-1.aws.found.io/app/kibana#/discover/Steve-Slow-Train-Analysis-(2080s-and-2083s)?_g=(refreshInterval:(display:Off,pause:!f,section:0,value:0),time:(from:'2017-11-26T20:18:10-0700',mode:absolute,to:'2017-11-26T23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5" s="86" t="str">
        <f t="shared" si="1"/>
        <v>"C:\Program Files (x86)\AstroGrep\AstroGrep.exe" /e /r /s /spath="%USERPROFILE%\AppData\Local\Temp\OnboardLogs" /stypes="*4059*201711270*"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4059</v>
      </c>
      <c r="V15" s="31">
        <f t="shared" si="3"/>
        <v>43066.18918981481</v>
      </c>
      <c r="W15" s="45" t="str">
        <f t="shared" si="4"/>
        <v>EC</v>
      </c>
      <c r="X15" s="229">
        <f t="shared" si="5"/>
        <v>228</v>
      </c>
      <c r="Y15" s="239" t="str">
        <f t="shared" si="6"/>
        <v>echo {"issue":{"subject":"Wi-MAX data drop","project_id":79,"tracker_id":40,"status_id":1,"priority_id":2,"assigned_to_id":338,"start_date":"2017-11-26","description":"","custom_fields":[{"id":1,"name":"Subdivision","value":"EC"},{"id":4,"name":"Milepost","value":"19.1723"},{"id":17,"name":"Train ID","value":"228-26"},{"id":16,"name":"Locomotive ID","value":"4059"},{"id":130,"name":"Impact","value":""},{"id":150,"name":"Time of Event (Mountain Time)","value":"21:32:26"},{"id":151,"name":"Denver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/c/Users/stu/AppData/Local/Temp/OnboardLogs/RTDC4059 --include="*4059*201711270*"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"%USERPROFILE%\AppData\Local\Temp\OnboardLogs"\RTDC4059\*4059*201711270* &gt;&gt; 2017-11-26-SliceDisagreementCheck.txt</v>
      </c>
      <c r="AE15" s="144" t="str">
        <f t="shared" si="9"/>
        <v>start /low /b %USERPROFILE%\Documents\GitHub\eaglep3\Utilities\DownloadLogsFromS3.py --loco 4059 --day 2017-11-27</v>
      </c>
      <c r="AF15" s="1"/>
    </row>
    <row r="16" spans="1:32" x14ac:dyDescent="0.25">
      <c r="A16" s="31">
        <v>43065.619120370371</v>
      </c>
      <c r="B16" s="30" t="s">
        <v>655</v>
      </c>
      <c r="C16" s="30" t="s">
        <v>661</v>
      </c>
      <c r="D16" s="30" t="s">
        <v>49</v>
      </c>
      <c r="E16" s="30" t="s">
        <v>183</v>
      </c>
      <c r="F16" s="42">
        <v>340</v>
      </c>
      <c r="G16" s="42">
        <v>578</v>
      </c>
      <c r="H16" s="42">
        <v>14470</v>
      </c>
      <c r="I16" s="42">
        <v>12026</v>
      </c>
      <c r="J16" s="30" t="s">
        <v>184</v>
      </c>
      <c r="K16" s="42">
        <v>10988</v>
      </c>
      <c r="L16" s="131" t="s">
        <v>51</v>
      </c>
      <c r="M16" s="132">
        <f t="shared" si="0"/>
        <v>548.06399999999996</v>
      </c>
      <c r="N16" s="133" t="str">
        <f>VLOOKUP(C16,'Trips&amp;Operators'!$C$1:$G$99911,5,FALSE)</f>
        <v>HOLCOMB KAMDEN</v>
      </c>
      <c r="O16" s="175" t="s">
        <v>178</v>
      </c>
      <c r="P16" s="240" t="s">
        <v>344</v>
      </c>
      <c r="Q16" s="30"/>
      <c r="R16" s="81" t="str">
        <f>VLOOKUP(C16,'Train Runs'!$A$13:$AE$10161,31,0)</f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S16" s="84" t="str">
        <f>VLOOKUP(C16,'Train Runs'!$A$13:$AE$10161,22,0)</f>
        <v>https://d0f6bd738d7f1b3e5a7ca70fe4ff75f0.us-east-1.aws.found.io/app/kibana#/discover/Steve-Slow-Train-Analysis-(2080s-and-2083s)?_g=(refreshInterval:(display:Off,pause:!f,section:0,value:0),time:(from:'2017-11-26T13:25:25-0700',mode:absolute,to:'2017-11-26T15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 t="shared" si="1"/>
        <v>"C:\Program Files (x86)\AstroGrep\AstroGrep.exe" /e /r /s /spath="%USERPROFILE%\AppData\Local\Temp\OnboardLogs" /stypes="*4025*201711262*"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4025</v>
      </c>
      <c r="V16" s="31">
        <f t="shared" si="3"/>
        <v>43065.910787037035</v>
      </c>
      <c r="W16" s="45" t="str">
        <f t="shared" si="4"/>
        <v>NW</v>
      </c>
      <c r="X16" s="229">
        <f t="shared" si="5"/>
        <v>1818</v>
      </c>
      <c r="Y16" s="239" t="str">
        <f t="shared" si="6"/>
        <v>echo {"issue":{"subject":"Early Arrival","project_id":79,"tracker_id":40,"status_id":1,"priority_id":2,"assigned_to_id":338,"start_date":"2017-11-26","description":"","custom_fields":[{"id":1,"name":"Subdivision","value":"NW"},{"id":4,"name":"Milepost","value":"1.0988"},{"id":17,"name":"Train ID","value":"1818-26"},{"id":16,"name":"Locomotive ID","value":"4025"},{"id":130,"name":"Impact","value":""},{"id":150,"name":"Time of Event (Mountain Time)","value":"14:51:32"},{"id":151,"name":"Denver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/c/Users/stu/AppData/Local/Temp/OnboardLogs/RTDC4025 --include="*4025*201711262*"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"%USERPROFILE%\AppData\Local\Temp\OnboardLogs"\RTDC4025\*4025*201711262* &gt;&gt; 2017-11-26-SliceDisagreementCheck.txt</v>
      </c>
      <c r="AE16" s="144" t="str">
        <f t="shared" si="9"/>
        <v>start /low /b %USERPROFILE%\Documents\GitHub\eaglep3\Utilities\DownloadLogsFromS3.py --loco 4025 --day 2017-11-26</v>
      </c>
      <c r="AF16" s="1"/>
    </row>
    <row r="17" spans="1:32" x14ac:dyDescent="0.25">
      <c r="A17" s="31">
        <v>43065.639085648145</v>
      </c>
      <c r="B17" s="30" t="s">
        <v>663</v>
      </c>
      <c r="C17" s="30" t="s">
        <v>664</v>
      </c>
      <c r="D17" s="30" t="s">
        <v>49</v>
      </c>
      <c r="E17" s="30" t="s">
        <v>190</v>
      </c>
      <c r="F17" s="42">
        <v>150</v>
      </c>
      <c r="G17" s="42">
        <v>330</v>
      </c>
      <c r="H17" s="42">
        <v>55621</v>
      </c>
      <c r="I17" s="42">
        <v>56249</v>
      </c>
      <c r="J17" s="30" t="s">
        <v>191</v>
      </c>
      <c r="K17" s="42">
        <v>57008</v>
      </c>
      <c r="L17" s="131" t="s">
        <v>50</v>
      </c>
      <c r="M17" s="132">
        <f t="shared" si="0"/>
        <v>400.75200000000001</v>
      </c>
      <c r="N17" s="133" t="str">
        <f>VLOOKUP(C17,'Trips&amp;Operators'!$C$1:$G$99911,5,FALSE)</f>
        <v>HOLCOMB KAMDEN</v>
      </c>
      <c r="O17" s="175" t="s">
        <v>178</v>
      </c>
      <c r="P17" s="240"/>
      <c r="Q17" s="30"/>
      <c r="R17" s="81" t="str">
        <f>VLOOKUP(C17,'Train Runs'!$A$13:$AE$10161,31,0)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S17" s="84" t="str">
        <f>VLOOKUP(C17,'Train Runs'!$A$13:$AE$10161,22,0)</f>
        <v>https://d0f6bd738d7f1b3e5a7ca70fe4ff75f0.us-east-1.aws.found.io/app/kibana#/discover/Steve-Slow-Train-Analysis-(2080s-and-2083s)?_g=(refreshInterval:(display:Off,pause:!f,section:0,value:0),time:(from:'2017-11-26T13:59:25-0700',mode:absolute,to:'2017-11-26T16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86" t="str">
        <f t="shared" si="1"/>
        <v>"C:\Program Files (x86)\AstroGrep\AstroGrep.exe" /e /r /s /spath="%USERPROFILE%\AppData\Local\Temp\OnboardLogs" /stypes="*4026*201711262*"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4026</v>
      </c>
      <c r="V17" s="31">
        <f t="shared" si="3"/>
        <v>43065.930752314809</v>
      </c>
      <c r="W17" s="45" t="str">
        <f t="shared" si="4"/>
        <v>NW</v>
      </c>
      <c r="X17" s="229">
        <f t="shared" si="5"/>
        <v>1819</v>
      </c>
      <c r="Y17" s="239" t="str">
        <f t="shared" si="6"/>
        <v>echo {"issue":{"subject":"","project_id":79,"tracker_id":40,"status_id":1,"priority_id":2,"assigned_to_id":338,"start_date":"2017-11-26","description":"","custom_fields":[{"id":1,"name":"Subdivision","value":"NW"},{"id":4,"name":"Milepost","value":"5.7008"},{"id":17,"name":"Train ID","value":"1819-26"},{"id":16,"name":"Locomotive ID","value":"4026"},{"id":130,"name":"Impact","value":""},{"id":150,"name":"Time of Event (Mountain Time)","value":"15:20:17"},{"id":151,"name":"Denver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/c/Users/stu/AppData/Local/Temp/OnboardLogs/RTDC4026 --include="*4026*201711262*"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"%USERPROFILE%\AppData\Local\Temp\OnboardLogs"\RTDC4026\*4026*201711262* &gt;&gt; 2017-11-26-SliceDisagreementCheck.txt</v>
      </c>
      <c r="AE17" s="144" t="str">
        <f t="shared" si="9"/>
        <v>start /low /b %USERPROFILE%\Documents\GitHub\eaglep3\Utilities\DownloadLogsFromS3.py --loco 4026 --day 2017-11-26</v>
      </c>
      <c r="AF17" s="1"/>
    </row>
    <row r="18" spans="1:32" x14ac:dyDescent="0.25">
      <c r="A18" s="31">
        <v>43065.923831018517</v>
      </c>
      <c r="B18" s="30" t="s">
        <v>663</v>
      </c>
      <c r="C18" s="30" t="s">
        <v>668</v>
      </c>
      <c r="D18" s="30" t="s">
        <v>95</v>
      </c>
      <c r="E18" s="30" t="s">
        <v>355</v>
      </c>
      <c r="F18" s="42">
        <v>0</v>
      </c>
      <c r="G18" s="42">
        <v>122</v>
      </c>
      <c r="H18" s="42">
        <v>1827</v>
      </c>
      <c r="I18" s="42">
        <v>1943</v>
      </c>
      <c r="J18" s="30" t="s">
        <v>356</v>
      </c>
      <c r="K18" s="42">
        <v>1725</v>
      </c>
      <c r="L18" s="131" t="s">
        <v>50</v>
      </c>
      <c r="M18" s="132">
        <f t="shared" si="0"/>
        <v>-115.104</v>
      </c>
      <c r="N18" s="133" t="str">
        <f>VLOOKUP(C18,'Trips&amp;Operators'!$C$1:$G$99911,5,FALSE)</f>
        <v>HOLCOMB KAMDEN</v>
      </c>
      <c r="O18" s="175" t="s">
        <v>349</v>
      </c>
      <c r="P18" s="240" t="s">
        <v>1086</v>
      </c>
      <c r="Q18" s="30"/>
      <c r="R18" s="81" t="str">
        <f>VLOOKUP(C18,'Train Runs'!$A$13:$AE$10161,31,0)</f>
        <v>aws s3 cp s3://rtdc.mdm.uploadarchive.raw/RTDC4026/ "%USERPROFILE%\AppData\Local\Temp\OnboardLogs"\RTDC4026\2017-11-26 --exclude "*" --recursive --include "*20171126*" &amp; "%USERPROFILE%\Documents\GitHub\mrs-test-scripts\Headless Mode &amp; Sideloading\WalkAndUnGZ.bat" "%USERPROFILE%\AppData\Local\Temp\OnboardLogs"\RTDC4026\2017-11-26 &amp; aws s3 cp s3://rtdc.mdm.uploadarchive.raw/RTDC4026/ "%USERPROFILE%\AppData\Local\Temp\OnboardLogs"\RTDC4026\2017-11-27 --exclude "*" --recursive --include "*20171127*" &amp; "%USERPROFILE%\Documents\GitHub\mrs-test-scripts\Headless Mode &amp; Sideloading\WalkAndUnGZ.bat" "%USERPROFILE%\AppData\Local\Temp\OnboardLogs"\RTDC4026\2017-11-27</v>
      </c>
      <c r="S18" s="84" t="str">
        <f>VLOOKUP(C18,'Train Runs'!$A$13:$AE$10161,22,0)</f>
        <v>https://d0f6bd738d7f1b3e5a7ca70fe4ff75f0.us-east-1.aws.found.io/app/kibana#/discover/Steve-Slow-Train-Analysis-(2080s-and-2083s)?_g=(refreshInterval:(display:Off,pause:!f,section:0,value:0),time:(from:'2017-11-26T21:00:54-0700',mode:absolute,to:'2017-11-26T23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/stypes="*4026*201711270*" /stext=" 05:.+((SYSTEM_STATE.+slice.+state.+changed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43066.215497685182</v>
      </c>
      <c r="W18" s="45" t="str">
        <f t="shared" si="4"/>
        <v>NW</v>
      </c>
      <c r="X18" s="229">
        <f t="shared" si="5"/>
        <v>1833</v>
      </c>
      <c r="Y18" s="239" t="str">
        <f t="shared" si="6"/>
        <v>echo {"issue":{"subject":"Poor GPS @ DUS","project_id":79,"tracker_id":40,"status_id":1,"priority_id":2,"assigned_to_id":338,"start_date":"2017-11-26","description":"","custom_fields":[{"id":1,"name":"Subdivision","value":"NW"},{"id":4,"name":"Milepost","value":"0.1725"},{"id":17,"name":"Train ID","value":"1833-26"},{"id":16,"name":"Locomotive ID","value":"4026"},{"id":130,"name":"Impact","value":""},{"id":150,"name":"Time of Event (Mountain Time)","value":"22:10:19"},{"id":151,"name":"Denver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/c/Users/stu/AppData/Local/Temp/OnboardLogs/RTDC4026 --include="*4026*201711270*"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"%USERPROFILE%\AppData\Local\Temp\OnboardLogs"\RTDC4026\*4026*201711270* &gt;&gt; 2017-11-26-SliceDisagreementCheck.txt</v>
      </c>
      <c r="AE18" s="144" t="str">
        <f t="shared" si="9"/>
        <v>start /low /b %USERPROFILE%\Documents\GitHub\eaglep3\Utilities\DownloadLogsFromS3.py --loco 4026 --day 2017-11-27</v>
      </c>
      <c r="AF18" s="1"/>
    </row>
    <row r="19" spans="1:32" x14ac:dyDescent="0.25">
      <c r="A19" s="31">
        <v>43065.435555555552</v>
      </c>
      <c r="B19" s="30" t="s">
        <v>655</v>
      </c>
      <c r="C19" s="30" t="s">
        <v>656</v>
      </c>
      <c r="D19" s="30" t="s">
        <v>95</v>
      </c>
      <c r="E19" s="30" t="s">
        <v>355</v>
      </c>
      <c r="F19" s="42">
        <v>0</v>
      </c>
      <c r="G19" s="42">
        <v>132</v>
      </c>
      <c r="H19" s="42">
        <v>57925</v>
      </c>
      <c r="I19" s="42">
        <v>57703</v>
      </c>
      <c r="J19" s="30" t="s">
        <v>356</v>
      </c>
      <c r="K19" s="42">
        <v>58472</v>
      </c>
      <c r="L19" s="131" t="s">
        <v>51</v>
      </c>
      <c r="M19" s="132">
        <f t="shared" si="0"/>
        <v>-406.03199999999998</v>
      </c>
      <c r="N19" s="133" t="str">
        <f>VLOOKUP(C19,'Trips&amp;Operators'!$C$1:$G$99911,5,FALSE)</f>
        <v>MACDONALD THOMAS</v>
      </c>
      <c r="O19" s="175" t="s">
        <v>349</v>
      </c>
      <c r="P19" s="240" t="s">
        <v>1060</v>
      </c>
      <c r="Q19" s="30"/>
      <c r="R19" s="81" t="str">
        <f>VLOOKUP(C19,'Train Runs'!$A$13:$AE$10161,31,0)</f>
        <v>aws s3 cp s3://rtdc.mdm.uploadarchive.raw/RTDC4025/ "%USERPROFILE%\AppData\Local\Temp\OnboardLogs"\RTDC4025\2017-11-26 --exclude "*" --recursive --include "*20171126*" &amp; "%USERPROFILE%\Documents\GitHub\mrs-test-scripts\Headless Mode &amp; Sideloading\WalkAndUnGZ.bat" "%USERPROFILE%\AppData\Local\Temp\OnboardLogs"\RTDC4025\2017-11-26 &amp; aws s3 cp s3://rtdc.mdm.uploadarchive.raw/RTDC4025/ "%USERPROFILE%\AppData\Local\Temp\OnboardLogs"\RTDC4025\2017-11-27 --exclude "*" --recursive --include "*20171127*" &amp; "%USERPROFILE%\Documents\GitHub\mrs-test-scripts\Headless Mode &amp; Sideloading\WalkAndUnGZ.bat" "%USERPROFILE%\AppData\Local\Temp\OnboardLogs"\RTDC4025\2017-11-27</v>
      </c>
      <c r="S19" s="84" t="str">
        <f>VLOOKUP(C19,'Train Runs'!$A$13:$AE$10161,22,0)</f>
        <v>https://d0f6bd738d7f1b3e5a7ca70fe4ff75f0.us-east-1.aws.found.io/app/kibana#/discover/Steve-Slow-Train-Analysis-(2080s-and-2083s)?_g=(refreshInterval:(display:Off,pause:!f,section:0,value:0),time:(from:'2017-11-26T09:24:36-0700',mode:absolute,to:'2017-11-26T11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6" t="str">
        <f t="shared" si="1"/>
        <v>"C:\Program Files (x86)\AstroGrep\AstroGrep.exe" /e /r /s /spath="%USERPROFILE%\AppData\Local\Temp\OnboardLogs" /stypes="*4025*201711261*"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4025</v>
      </c>
      <c r="V19" s="31">
        <f t="shared" si="3"/>
        <v>43065.727222222216</v>
      </c>
      <c r="W19" s="45" t="str">
        <f t="shared" si="4"/>
        <v>NW</v>
      </c>
      <c r="X19" s="229">
        <f t="shared" si="5"/>
        <v>1810</v>
      </c>
      <c r="Y19" s="239" t="str">
        <f t="shared" si="6"/>
        <v>echo {"issue":{"subject":"Onboard in-route failure","project_id":79,"tracker_id":40,"status_id":1,"priority_id":2,"assigned_to_id":338,"start_date":"2017-11-26","description":"","custom_fields":[{"id":1,"name":"Subdivision","value":"NW"},{"id":4,"name":"Milepost","value":"5.8472"},{"id":17,"name":"Train ID","value":"1810-26"},{"id":16,"name":"Locomotive ID","value":"4025"},{"id":130,"name":"Impact","value":""},{"id":150,"name":"Time of Event (Mountain Time)","value":"10:27:12"},{"id":151,"name":"Denver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/c/Users/stu/AppData/Local/Temp/OnboardLogs/RTDC4025 --include="*4025*201711261*"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"%USERPROFILE%\AppData\Local\Temp\OnboardLogs"\RTDC4025\*4025*201711261* &gt;&gt; 2017-11-26-SliceDisagreementCheck.txt</v>
      </c>
      <c r="AE19" s="144" t="str">
        <f t="shared" si="9"/>
        <v>start /low /b %USERPROFILE%\Documents\GitHub\eaglep3\Utilities\DownloadLogsFromS3.py --loco 4025 --day 2017-11-26</v>
      </c>
      <c r="AF19" s="1"/>
    </row>
    <row r="20" spans="1:32" x14ac:dyDescent="0.25">
      <c r="A20" s="31">
        <v>43065.178032407406</v>
      </c>
      <c r="B20" s="30" t="s">
        <v>446</v>
      </c>
      <c r="C20" s="30" t="s">
        <v>651</v>
      </c>
      <c r="D20" s="30" t="s">
        <v>95</v>
      </c>
      <c r="E20" s="30" t="s">
        <v>355</v>
      </c>
      <c r="F20" s="42">
        <v>0</v>
      </c>
      <c r="G20" s="42">
        <v>68</v>
      </c>
      <c r="H20" s="42">
        <v>4770</v>
      </c>
      <c r="I20" s="42">
        <v>4576</v>
      </c>
      <c r="J20" s="30" t="s">
        <v>356</v>
      </c>
      <c r="K20" s="42">
        <v>4790</v>
      </c>
      <c r="L20" s="131" t="s">
        <v>51</v>
      </c>
      <c r="M20" s="132">
        <f t="shared" si="0"/>
        <v>-112.992</v>
      </c>
      <c r="N20" s="133" t="str">
        <f>VLOOKUP(C20,'Trips&amp;Operators'!$C$1:$G$99911,5,FALSE)</f>
        <v>PAGE MARCUS</v>
      </c>
      <c r="O20" s="175" t="s">
        <v>349</v>
      </c>
      <c r="P20" s="240" t="s">
        <v>1085</v>
      </c>
      <c r="Q20" s="30"/>
      <c r="R20" s="81" t="str">
        <f>VLOOKUP(C20,'Train Runs'!$A$13:$AE$10161,31,0)</f>
        <v>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 &amp; aws s3 cp s3://rtdc.mdm.uploadarchive.raw/RTDC4009/ "%USERPROFILE%\AppData\Local\Temp\OnboardLogs"\RTDC4009\2017-11-27 --exclude "*" --recursive --include "*20171127*" &amp; "%USERPROFILE%\Documents\GitHub\mrs-test-scripts\Headless Mode &amp; Sideloading\WalkAndUnGZ.bat" "%USERPROFILE%\AppData\Local\Temp\OnboardLogs"\RTDC4009\2017-11-27</v>
      </c>
      <c r="S20" s="84" t="str">
        <f>VLOOKUP(C20,'Train Runs'!$A$13:$AE$10161,22,0)</f>
        <v>https://d0f6bd738d7f1b3e5a7ca70fe4ff75f0.us-east-1.aws.found.io/app/kibana#/discover/Steve-Slow-Train-Analysis-(2080s-and-2083s)?_g=(refreshInterval:(display:Off,pause:!f,section:0,value:0),time:(from:'2017-11-26T03:05:20-0700',mode:absolute,to:'2017-11-26T05:16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 t="shared" si="1"/>
        <v>"C:\Program Files (x86)\AstroGrep\AstroGrep.exe" /e /r /s /spath="%USERPROFILE%\AppData\Local\Temp\OnboardLogs" /stypes="*4009*201711261*"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4009</v>
      </c>
      <c r="V20" s="31">
        <f t="shared" si="3"/>
        <v>43065.46969907407</v>
      </c>
      <c r="W20" s="45" t="str">
        <f t="shared" si="4"/>
        <v>Other</v>
      </c>
      <c r="X20" s="229">
        <f t="shared" si="5"/>
        <v>306</v>
      </c>
      <c r="Y20" s="239" t="str">
        <f t="shared" si="6"/>
        <v>echo {"issue":{"subject":"Poor GPS @ Wewatta","project_id":79,"tracker_id":40,"status_id":1,"priority_id":2,"assigned_to_id":338,"start_date":"2017-11-26","description":"","custom_fields":[{"id":1,"name":"Subdivision","value":"Other"},{"id":4,"name":"Milepost","value":"0.479"},{"id":17,"name":"Train ID","value":"306-26"},{"id":16,"name":"Locomotive ID","value":"4009"},{"id":130,"name":"Impact","value":""},{"id":150,"name":"Time of Event (Mountain Time)","value":"04:16:22"},{"id":151,"name":"Denver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/c/Users/stu/AppData/Local/Temp/OnboardLogs/RTDC4009 --include="*4009*201711261*"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"%USERPROFILE%\AppData\Local\Temp\OnboardLogs"\RTDC4009\*4009*201711261* &gt;&gt; 2017-11-26-SliceDisagreementCheck.txt</v>
      </c>
      <c r="AE20" s="144" t="str">
        <f t="shared" si="9"/>
        <v>start /low /b %USERPROFILE%\Documents\GitHub\eaglep3\Utilities\DownloadLogsFromS3.py --loco 4009 --day 2017-11-26</v>
      </c>
      <c r="AF20" s="1"/>
    </row>
    <row r="21" spans="1:32" x14ac:dyDescent="0.25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</sheetData>
  <autoFilter ref="A6:AC18">
    <sortState ref="A7:AC20">
      <sortCondition ref="W7:W20"/>
      <sortCondition ref="E7:E20"/>
      <sortCondition ref="K7:K20"/>
      <sortCondition ref="F7:F20"/>
    </sortState>
  </autoFilter>
  <sortState ref="A7:AE17">
    <sortCondition ref="W7:W17"/>
    <sortCondition ref="E7:E17"/>
    <sortCondition ref="K7:K17"/>
    <sortCondition ref="C7:C17"/>
    <sortCondition ref="F7:F17"/>
  </sortState>
  <mergeCells count="1">
    <mergeCell ref="A5:O5"/>
  </mergeCells>
  <conditionalFormatting sqref="O6:P6 R6 O30:O1048576 O7:O20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AA7:AA20</xm:sqref>
        </x14:dataValidation>
        <x14:dataValidation type="list" allowBlank="1" showInputMessage="1" showErrorMessage="1">
          <x14:formula1>
            <xm:f>'Redmine List Values'!$C$2:$C$15</xm:f>
          </x14:formula1>
          <xm:sqref>AB7:AB20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6" sqref="A6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2017-11-26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>
        <v>218</v>
      </c>
      <c r="B3" s="42" t="str">
        <f>A3&amp;"-"&amp;IF(DAY(Variables!$A$2)&lt;10,0,"")&amp;DAY(Variables!$A$2)</f>
        <v>218-26</v>
      </c>
      <c r="C3" s="134"/>
      <c r="D3" s="223" t="str">
        <f>VLOOKUP(B3,'Trips&amp;Operators'!$C$1:$H$1072,6,FALSE)</f>
        <v>4007</v>
      </c>
      <c r="E3" s="30"/>
      <c r="F3" s="21" t="str">
        <f>VLOOKUP(B3,'Trips&amp;Operators'!$C$2:$E$9912,3,FALSE)</f>
        <v>ELBAUM</v>
      </c>
      <c r="G3" s="21" t="str">
        <f>VLOOKUP(B3,'Trips&amp;Operators'!$C$1:$F$9912,4,FALSE)</f>
        <v>MIKE</v>
      </c>
      <c r="H3" s="29" t="str">
        <f>VLOOKUP(B3,'Trips&amp;Operators'!$C$1:$H$9912,5,FALSE)</f>
        <v>ELBAUM MIKE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-26%22)),sort:!(Time.ISO8601,asc))</v>
      </c>
      <c r="J3" s="30" t="str">
        <f>VLOOKUP(B3,'Train Runs'!$A$13:$A$100158,1,FALSE)</f>
        <v>218-26</v>
      </c>
    </row>
    <row r="4" spans="1:10" x14ac:dyDescent="0.25">
      <c r="A4" s="197">
        <v>219</v>
      </c>
      <c r="B4" s="42" t="str">
        <f>A4&amp;"-"&amp;IF(DAY(Variables!$A$2)&lt;10,0,"")&amp;DAY(Variables!$A$2)</f>
        <v>219-26</v>
      </c>
      <c r="C4" s="134"/>
      <c r="D4" s="152" t="str">
        <f>VLOOKUP(B4,'Trips&amp;Operators'!$C$1:$H$1072,6,FALSE)</f>
        <v>4060</v>
      </c>
      <c r="E4" s="30"/>
      <c r="F4" s="21" t="str">
        <f>VLOOKUP(B4,'Trips&amp;Operators'!$C$2:$E$9912,3,FALSE)</f>
        <v>RESPASS</v>
      </c>
      <c r="G4" s="21" t="str">
        <f>VLOOKUP(B4,'Trips&amp;Operators'!$C$1:$F$9912,4,FALSE)</f>
        <v>AARON</v>
      </c>
      <c r="H4" s="29" t="str">
        <f>VLOOKUP(B4,'Trips&amp;Operators'!$C$1:$H$9912,5,FALSE)</f>
        <v>RESPASS AARON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22219-26%22)),sort:!(Time.ISO8601,asc))</v>
      </c>
      <c r="J4" s="30" t="str">
        <f>VLOOKUP(B4,'Train Runs'!$A$13:$A$100158,1,FALSE)</f>
        <v>219-26</v>
      </c>
    </row>
    <row r="5" spans="1:10" x14ac:dyDescent="0.25">
      <c r="A5" s="197">
        <v>220</v>
      </c>
      <c r="B5" s="42" t="str">
        <f>A5&amp;"-"&amp;IF(DAY(Variables!$A$2)&lt;10,0,"")&amp;DAY(Variables!$A$2)</f>
        <v>220-26</v>
      </c>
      <c r="C5" s="134"/>
      <c r="D5" s="152" t="str">
        <f>VLOOKUP(B5,'Trips&amp;Operators'!$C$1:$H$1072,6,FALSE)</f>
        <v>4059</v>
      </c>
      <c r="E5" s="30"/>
      <c r="F5" s="21" t="str">
        <f>VLOOKUP(B5,'Trips&amp;Operators'!$C$2:$E$9912,3,FALSE)</f>
        <v>RESPASS</v>
      </c>
      <c r="G5" s="21" t="str">
        <f>VLOOKUP(B5,'Trips&amp;Operators'!$C$1:$F$9912,4,FALSE)</f>
        <v>AARON</v>
      </c>
      <c r="H5" s="29" t="str">
        <f>VLOOKUP(B5,'Trips&amp;Operators'!$C$1:$H$9912,5,FALSE)</f>
        <v>RESPASS AARON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22220-26%22)),sort:!(Time.ISO8601,asc))</v>
      </c>
      <c r="J5" s="30" t="str">
        <f>VLOOKUP(B5,'Train Runs'!$A$13:$A$100158,1,FALSE)</f>
        <v>220-26</v>
      </c>
    </row>
    <row r="6" spans="1:10" x14ac:dyDescent="0.25">
      <c r="A6" s="197"/>
      <c r="B6" s="42" t="str">
        <f>A6&amp;"-"&amp;IF(DAY(Variables!$A$2)&lt;10,0,"")&amp;DAY(Variables!$A$2)</f>
        <v>-26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Runs'!$A$13:$A$100158,1,FALSE)</f>
        <v>#N/A</v>
      </c>
    </row>
    <row r="7" spans="1:10" x14ac:dyDescent="0.25">
      <c r="A7" s="197"/>
      <c r="B7" s="42" t="str">
        <f>A7&amp;"-"&amp;IF(DAY(Variables!$A$2)&lt;10,0,"")&amp;DAY(Variables!$A$2)</f>
        <v>-26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Runs'!$A$13:$A$100158,1,FALSE)</f>
        <v>#N/A</v>
      </c>
    </row>
    <row r="8" spans="1:10" x14ac:dyDescent="0.25">
      <c r="A8" s="197"/>
      <c r="B8" s="42" t="str">
        <f>A8&amp;"-"&amp;IF(DAY(Variables!$A$2)&lt;10,0,"")&amp;DAY(Variables!$A$2)</f>
        <v>-26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Runs'!$A$13:$A$100158,1,FALSE)</f>
        <v>#N/A</v>
      </c>
    </row>
    <row r="9" spans="1:10" x14ac:dyDescent="0.25">
      <c r="A9" s="197"/>
      <c r="B9" s="42" t="str">
        <f>A9&amp;"-"&amp;IF(DAY(Variables!$A$2)&lt;10,0,"")&amp;DAY(Variables!$A$2)</f>
        <v>-26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Runs'!$A$13:$A$100158,1,FALSE)</f>
        <v>#N/A</v>
      </c>
    </row>
    <row r="10" spans="1:10" x14ac:dyDescent="0.25">
      <c r="A10" s="197"/>
      <c r="B10" s="42" t="str">
        <f>A10&amp;"-"&amp;IF(DAY(Variables!$A$2)&lt;10,0,"")&amp;DAY(Variables!$A$2)</f>
        <v>-26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Runs'!$A$13:$A$100158,1,FALSE)</f>
        <v>#N/A</v>
      </c>
    </row>
    <row r="11" spans="1:10" x14ac:dyDescent="0.25">
      <c r="A11" s="197"/>
      <c r="B11" s="42" t="str">
        <f>A11&amp;"-"&amp;IF(DAY(Variables!$A$2)&lt;10,0,"")&amp;DAY(Variables!$A$2)</f>
        <v>-26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Runs'!$A$13:$A$100158,1,FALSE)</f>
        <v>#N/A</v>
      </c>
    </row>
    <row r="12" spans="1:10" x14ac:dyDescent="0.25">
      <c r="A12" s="197"/>
      <c r="B12" s="42" t="str">
        <f>A12&amp;"-"&amp;IF(DAY(Variables!$A$2)&lt;10,0,"")&amp;DAY(Variables!$A$2)</f>
        <v>-26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Runs'!$A$13:$A$100158,1,FALSE)</f>
        <v>#N/A</v>
      </c>
    </row>
    <row r="13" spans="1:10" x14ac:dyDescent="0.25">
      <c r="A13" s="197"/>
      <c r="B13" s="42" t="str">
        <f>A13&amp;"-"&amp;IF(DAY(Variables!$A$2)&lt;10,0,"")&amp;DAY(Variables!$A$2)</f>
        <v>-26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Runs'!$A$13:$A$100158,1,FALSE)</f>
        <v>#N/A</v>
      </c>
    </row>
    <row r="14" spans="1:10" x14ac:dyDescent="0.25">
      <c r="A14" s="197"/>
      <c r="B14" s="42" t="str">
        <f>A14&amp;"-"&amp;IF(DAY(Variables!$A$2)&lt;10,0,"")&amp;DAY(Variables!$A$2)</f>
        <v>-26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Runs'!$A$13:$A$100158,1,FALSE)</f>
        <v>#N/A</v>
      </c>
    </row>
    <row r="15" spans="1:10" x14ac:dyDescent="0.25">
      <c r="A15" s="197"/>
      <c r="B15" s="42" t="str">
        <f>A15&amp;"-"&amp;IF(DAY(Variables!$A$2)&lt;10,0,"")&amp;DAY(Variables!$A$2)</f>
        <v>-26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Runs'!$A$13:$A$100158,1,FALSE)</f>
        <v>#N/A</v>
      </c>
    </row>
    <row r="16" spans="1:10" x14ac:dyDescent="0.25">
      <c r="A16" s="197"/>
      <c r="B16" s="42" t="str">
        <f>A16&amp;"-"&amp;IF(DAY(Variables!$A$2)&lt;10,0,"")&amp;DAY(Variables!$A$2)</f>
        <v>-26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Runs'!$A$13:$A$100158,1,FALSE)</f>
        <v>#N/A</v>
      </c>
    </row>
    <row r="17" spans="1:10" x14ac:dyDescent="0.25">
      <c r="A17" s="197"/>
      <c r="B17" s="42" t="str">
        <f>A17&amp;"-"&amp;IF(DAY(Variables!$A$2)&lt;10,0,"")&amp;DAY(Variables!$A$2)</f>
        <v>-26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Runs'!$A$13:$A$100158,1,FALSE)</f>
        <v>#N/A</v>
      </c>
    </row>
    <row r="18" spans="1:10" x14ac:dyDescent="0.25">
      <c r="A18" s="197"/>
      <c r="B18" s="42" t="str">
        <f>A18&amp;"-"&amp;IF(DAY(Variables!$A$2)&lt;10,0,"")&amp;DAY(Variables!$A$2)</f>
        <v>-26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Runs'!$A$13:$A$100158,1,FALSE)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43065.047071759262</v>
      </c>
      <c r="B2" s="20" t="s">
        <v>372</v>
      </c>
      <c r="C2" s="20" t="s">
        <v>670</v>
      </c>
      <c r="D2" s="137">
        <v>2370000</v>
      </c>
      <c r="E2" s="20" t="s">
        <v>671</v>
      </c>
      <c r="F2" s="20" t="s">
        <v>672</v>
      </c>
      <c r="G2" s="8" t="str">
        <f>E2&amp;" "&amp;F2</f>
        <v>DELGADO DIANAH</v>
      </c>
      <c r="H2" t="str">
        <f>MID(B2,13,4)</f>
        <v>4011</v>
      </c>
    </row>
    <row r="3" spans="1:8" x14ac:dyDescent="0.25">
      <c r="A3" s="8">
        <v>43065.047511574077</v>
      </c>
      <c r="B3" s="20" t="s">
        <v>673</v>
      </c>
      <c r="C3" s="20" t="s">
        <v>674</v>
      </c>
      <c r="D3" s="137">
        <v>3000000</v>
      </c>
      <c r="E3" s="20" t="s">
        <v>504</v>
      </c>
      <c r="F3" s="20" t="s">
        <v>505</v>
      </c>
      <c r="G3" s="8" t="str">
        <f t="shared" ref="G3:G66" si="0">E3&amp;" "&amp;F3</f>
        <v>FORTUNATO FRANK</v>
      </c>
      <c r="H3" s="20" t="str">
        <f t="shared" ref="H3:H66" si="1">MID(B3,13,4)</f>
        <v>4032</v>
      </c>
    </row>
    <row r="4" spans="1:8" x14ac:dyDescent="0.25">
      <c r="A4" s="8">
        <v>43065.066099537034</v>
      </c>
      <c r="B4" s="20" t="s">
        <v>675</v>
      </c>
      <c r="C4" s="20" t="s">
        <v>676</v>
      </c>
      <c r="D4" s="137">
        <v>3340000</v>
      </c>
      <c r="E4" s="20" t="s">
        <v>478</v>
      </c>
      <c r="F4" s="20" t="s">
        <v>479</v>
      </c>
      <c r="G4" s="8" t="str">
        <f t="shared" si="0"/>
        <v>ELBAUM MIKE</v>
      </c>
      <c r="H4" s="20" t="str">
        <f t="shared" si="1"/>
        <v>4024</v>
      </c>
    </row>
    <row r="5" spans="1:8" x14ac:dyDescent="0.25">
      <c r="A5" s="8">
        <v>43065.071342592593</v>
      </c>
      <c r="B5" s="20" t="s">
        <v>387</v>
      </c>
      <c r="C5" s="20" t="s">
        <v>677</v>
      </c>
      <c r="D5" s="137">
        <v>3310000</v>
      </c>
      <c r="E5" s="20" t="s">
        <v>678</v>
      </c>
      <c r="F5" s="20" t="s">
        <v>679</v>
      </c>
      <c r="G5" s="8" t="str">
        <f t="shared" si="0"/>
        <v>ANDERS STEVEN</v>
      </c>
      <c r="H5" s="20" t="str">
        <f t="shared" si="1"/>
        <v>4029</v>
      </c>
    </row>
    <row r="6" spans="1:8" x14ac:dyDescent="0.25">
      <c r="A6" s="8">
        <v>43065.090451388889</v>
      </c>
      <c r="B6" s="20" t="s">
        <v>371</v>
      </c>
      <c r="C6" s="20" t="s">
        <v>680</v>
      </c>
      <c r="D6" s="137">
        <v>2370000</v>
      </c>
      <c r="E6" s="20" t="s">
        <v>671</v>
      </c>
      <c r="F6" s="20" t="s">
        <v>672</v>
      </c>
      <c r="G6" s="8" t="str">
        <f t="shared" si="0"/>
        <v>DELGADO DIANAH</v>
      </c>
      <c r="H6" s="20" t="str">
        <f t="shared" si="1"/>
        <v>4012</v>
      </c>
    </row>
    <row r="7" spans="1:8" x14ac:dyDescent="0.25">
      <c r="A7" s="8">
        <v>43065.109872685185</v>
      </c>
      <c r="B7" s="20" t="s">
        <v>393</v>
      </c>
      <c r="C7" s="20" t="s">
        <v>681</v>
      </c>
      <c r="D7" s="137">
        <v>3310000</v>
      </c>
      <c r="E7" s="20" t="s">
        <v>678</v>
      </c>
      <c r="F7" s="20" t="s">
        <v>679</v>
      </c>
      <c r="G7" s="8" t="str">
        <f t="shared" si="0"/>
        <v>ANDERS STEVEN</v>
      </c>
      <c r="H7" s="20" t="str">
        <f t="shared" si="1"/>
        <v>4030</v>
      </c>
    </row>
    <row r="8" spans="1:8" x14ac:dyDescent="0.25">
      <c r="A8" s="8">
        <v>43065.11550925926</v>
      </c>
      <c r="B8" s="20" t="s">
        <v>391</v>
      </c>
      <c r="C8" s="20" t="s">
        <v>682</v>
      </c>
      <c r="D8" s="137">
        <v>3120000</v>
      </c>
      <c r="E8" s="20" t="s">
        <v>370</v>
      </c>
      <c r="F8" s="20" t="s">
        <v>530</v>
      </c>
      <c r="G8" s="8" t="str">
        <f t="shared" si="0"/>
        <v>THOMPSON LESTER</v>
      </c>
      <c r="H8" s="20" t="str">
        <f t="shared" si="1"/>
        <v>4059</v>
      </c>
    </row>
    <row r="9" spans="1:8" ht="15.75" thickBot="1" x14ac:dyDescent="0.3">
      <c r="A9" s="24">
        <v>43065.116365740738</v>
      </c>
      <c r="B9" s="20" t="s">
        <v>391</v>
      </c>
      <c r="C9" s="20" t="s">
        <v>682</v>
      </c>
      <c r="D9" s="137">
        <v>3120000</v>
      </c>
      <c r="E9" s="20" t="s">
        <v>370</v>
      </c>
      <c r="F9" s="20" t="s">
        <v>530</v>
      </c>
      <c r="G9" s="8" t="str">
        <f t="shared" si="0"/>
        <v>THOMPSON LESTER</v>
      </c>
      <c r="H9" s="20" t="str">
        <f t="shared" si="1"/>
        <v>4059</v>
      </c>
    </row>
    <row r="10" spans="1:8" x14ac:dyDescent="0.25">
      <c r="A10" s="8">
        <v>43065.118877314817</v>
      </c>
      <c r="B10" s="20" t="s">
        <v>391</v>
      </c>
      <c r="C10" s="20" t="s">
        <v>682</v>
      </c>
      <c r="D10" s="137">
        <v>3120000</v>
      </c>
      <c r="E10" s="20" t="s">
        <v>370</v>
      </c>
      <c r="F10" s="20" t="s">
        <v>530</v>
      </c>
      <c r="G10" s="8" t="str">
        <f t="shared" si="0"/>
        <v>THOMPSON LESTER</v>
      </c>
      <c r="H10" s="20" t="str">
        <f t="shared" si="1"/>
        <v>4059</v>
      </c>
    </row>
    <row r="11" spans="1:8" x14ac:dyDescent="0.25">
      <c r="A11" s="8">
        <v>43065.121712962966</v>
      </c>
      <c r="B11" s="20" t="s">
        <v>391</v>
      </c>
      <c r="C11" s="20" t="s">
        <v>682</v>
      </c>
      <c r="D11" s="137">
        <v>3120000</v>
      </c>
      <c r="E11" s="20" t="s">
        <v>370</v>
      </c>
      <c r="F11" s="20" t="s">
        <v>530</v>
      </c>
      <c r="G11" s="8" t="str">
        <f t="shared" si="0"/>
        <v>THOMPSON LESTER</v>
      </c>
      <c r="H11" s="20" t="str">
        <f t="shared" si="1"/>
        <v>4059</v>
      </c>
    </row>
    <row r="12" spans="1:8" x14ac:dyDescent="0.25">
      <c r="A12" s="8">
        <v>43065.130624999998</v>
      </c>
      <c r="B12" s="20" t="s">
        <v>358</v>
      </c>
      <c r="C12" s="20" t="s">
        <v>683</v>
      </c>
      <c r="D12" s="137">
        <v>3180000</v>
      </c>
      <c r="E12" s="20" t="s">
        <v>684</v>
      </c>
      <c r="F12" s="20" t="s">
        <v>685</v>
      </c>
      <c r="G12" s="8" t="str">
        <f t="shared" si="0"/>
        <v>HUFFSMITH MONTY</v>
      </c>
      <c r="H12" s="20" t="str">
        <f t="shared" si="1"/>
        <v>4060</v>
      </c>
    </row>
    <row r="13" spans="1:8" x14ac:dyDescent="0.25">
      <c r="A13" s="8">
        <v>43065.133321759262</v>
      </c>
      <c r="B13" s="20" t="s">
        <v>453</v>
      </c>
      <c r="C13" s="20" t="s">
        <v>686</v>
      </c>
      <c r="D13" s="137">
        <v>3120000</v>
      </c>
      <c r="E13" s="20" t="s">
        <v>370</v>
      </c>
      <c r="F13" s="20" t="s">
        <v>530</v>
      </c>
      <c r="G13" s="8" t="str">
        <f t="shared" si="0"/>
        <v>THOMPSON LESTER</v>
      </c>
      <c r="H13" s="20" t="str">
        <f t="shared" si="1"/>
        <v>4042</v>
      </c>
    </row>
    <row r="14" spans="1:8" x14ac:dyDescent="0.25">
      <c r="A14" s="8">
        <v>43065.134409722225</v>
      </c>
      <c r="B14" s="20" t="s">
        <v>453</v>
      </c>
      <c r="C14" s="20" t="s">
        <v>686</v>
      </c>
      <c r="D14" s="137">
        <v>3120000</v>
      </c>
      <c r="E14" s="20" t="s">
        <v>370</v>
      </c>
      <c r="F14" s="20" t="s">
        <v>530</v>
      </c>
      <c r="G14" s="8" t="str">
        <f t="shared" si="0"/>
        <v>THOMPSON LESTER</v>
      </c>
      <c r="H14" s="20" t="str">
        <f t="shared" si="1"/>
        <v>4042</v>
      </c>
    </row>
    <row r="15" spans="1:8" x14ac:dyDescent="0.25">
      <c r="A15" s="8">
        <v>43065.140127314815</v>
      </c>
      <c r="B15" s="20" t="s">
        <v>391</v>
      </c>
      <c r="C15" s="20" t="s">
        <v>687</v>
      </c>
      <c r="D15" s="137">
        <v>3180000</v>
      </c>
      <c r="E15" s="20" t="s">
        <v>684</v>
      </c>
      <c r="F15" s="20" t="s">
        <v>685</v>
      </c>
      <c r="G15" s="8" t="str">
        <f t="shared" si="0"/>
        <v>HUFFSMITH MONTY</v>
      </c>
      <c r="H15" s="20" t="str">
        <f t="shared" si="1"/>
        <v>4059</v>
      </c>
    </row>
    <row r="16" spans="1:8" x14ac:dyDescent="0.25">
      <c r="A16" s="8">
        <v>43065.143414351849</v>
      </c>
      <c r="B16" s="20" t="s">
        <v>665</v>
      </c>
      <c r="C16" s="20" t="s">
        <v>688</v>
      </c>
      <c r="D16" s="137">
        <v>2010000</v>
      </c>
      <c r="E16" s="20" t="s">
        <v>689</v>
      </c>
      <c r="F16" s="20" t="s">
        <v>690</v>
      </c>
      <c r="G16" s="8" t="str">
        <f t="shared" si="0"/>
        <v>MAELZER KURT</v>
      </c>
      <c r="H16" s="20" t="str">
        <f t="shared" si="1"/>
        <v>4015</v>
      </c>
    </row>
    <row r="17" spans="1:8" x14ac:dyDescent="0.25">
      <c r="A17" s="8">
        <v>43065.154560185183</v>
      </c>
      <c r="B17" s="20" t="s">
        <v>657</v>
      </c>
      <c r="C17" s="20" t="s">
        <v>691</v>
      </c>
      <c r="D17" s="137">
        <v>2010000</v>
      </c>
      <c r="E17" s="20" t="s">
        <v>689</v>
      </c>
      <c r="F17" s="20" t="s">
        <v>690</v>
      </c>
      <c r="G17" s="8" t="str">
        <f t="shared" si="0"/>
        <v>MAELZER KURT</v>
      </c>
      <c r="H17" s="20" t="str">
        <f t="shared" si="1"/>
        <v>4016</v>
      </c>
    </row>
    <row r="18" spans="1:8" x14ac:dyDescent="0.25">
      <c r="A18" s="8">
        <v>43065.156018518515</v>
      </c>
      <c r="B18" s="20" t="s">
        <v>362</v>
      </c>
      <c r="C18" s="20" t="s">
        <v>692</v>
      </c>
      <c r="D18" s="137">
        <v>2440000</v>
      </c>
      <c r="E18" s="20" t="s">
        <v>460</v>
      </c>
      <c r="F18" s="20" t="s">
        <v>461</v>
      </c>
      <c r="G18" s="8" t="str">
        <f t="shared" si="0"/>
        <v>LOPES KIMBERLY</v>
      </c>
      <c r="H18" s="20" t="str">
        <f t="shared" si="1"/>
        <v>4007</v>
      </c>
    </row>
    <row r="19" spans="1:8" x14ac:dyDescent="0.25">
      <c r="A19" s="8">
        <v>43065.166342592594</v>
      </c>
      <c r="B19" s="20" t="s">
        <v>357</v>
      </c>
      <c r="C19" s="20" t="s">
        <v>693</v>
      </c>
      <c r="D19" s="137">
        <v>2440000</v>
      </c>
      <c r="E19" s="20" t="s">
        <v>460</v>
      </c>
      <c r="F19" s="20" t="s">
        <v>461</v>
      </c>
      <c r="G19" s="8" t="str">
        <f t="shared" si="0"/>
        <v>LOPES KIMBERLY</v>
      </c>
      <c r="H19" s="20" t="str">
        <f t="shared" si="1"/>
        <v>4008</v>
      </c>
    </row>
    <row r="20" spans="1:8" x14ac:dyDescent="0.25">
      <c r="A20" s="8">
        <v>43065.168657407405</v>
      </c>
      <c r="B20" s="20" t="s">
        <v>446</v>
      </c>
      <c r="C20" s="20" t="s">
        <v>651</v>
      </c>
      <c r="D20" s="137">
        <v>3260000</v>
      </c>
      <c r="E20" s="20" t="s">
        <v>694</v>
      </c>
      <c r="F20" s="20" t="s">
        <v>695</v>
      </c>
      <c r="G20" s="8" t="str">
        <f t="shared" si="0"/>
        <v>PAGE MARCUS</v>
      </c>
      <c r="H20" s="20" t="str">
        <f t="shared" si="1"/>
        <v>4009</v>
      </c>
    </row>
    <row r="21" spans="1:8" x14ac:dyDescent="0.25">
      <c r="A21" s="8">
        <v>43065.169548611113</v>
      </c>
      <c r="B21" s="20" t="s">
        <v>446</v>
      </c>
      <c r="C21" s="20" t="s">
        <v>651</v>
      </c>
      <c r="D21" s="137">
        <v>3260000</v>
      </c>
      <c r="E21" s="20" t="s">
        <v>694</v>
      </c>
      <c r="F21" s="20" t="s">
        <v>695</v>
      </c>
      <c r="G21" s="8" t="str">
        <f t="shared" si="0"/>
        <v>PAGE MARCUS</v>
      </c>
      <c r="H21" s="20" t="str">
        <f t="shared" si="1"/>
        <v>4009</v>
      </c>
    </row>
    <row r="22" spans="1:8" x14ac:dyDescent="0.25">
      <c r="A22" s="26">
        <v>43065.170868055553</v>
      </c>
      <c r="B22" s="20" t="s">
        <v>446</v>
      </c>
      <c r="C22" s="20" t="s">
        <v>651</v>
      </c>
      <c r="D22" s="137">
        <v>3260000</v>
      </c>
      <c r="E22" s="20" t="s">
        <v>694</v>
      </c>
      <c r="F22" s="20" t="s">
        <v>695</v>
      </c>
      <c r="G22" s="8" t="str">
        <f t="shared" si="0"/>
        <v>PAGE MARCUS</v>
      </c>
      <c r="H22" s="20" t="str">
        <f t="shared" si="1"/>
        <v>4009</v>
      </c>
    </row>
    <row r="23" spans="1:8" x14ac:dyDescent="0.25">
      <c r="A23" s="8">
        <v>43065.174120370371</v>
      </c>
      <c r="B23" s="20" t="s">
        <v>503</v>
      </c>
      <c r="C23" s="20" t="s">
        <v>696</v>
      </c>
      <c r="D23" s="137">
        <v>3120000</v>
      </c>
      <c r="E23" s="20" t="s">
        <v>370</v>
      </c>
      <c r="F23" s="20" t="s">
        <v>530</v>
      </c>
      <c r="G23" s="8" t="str">
        <f t="shared" si="0"/>
        <v>THOMPSON LESTER</v>
      </c>
      <c r="H23" s="20" t="str">
        <f t="shared" si="1"/>
        <v>4041</v>
      </c>
    </row>
    <row r="24" spans="1:8" x14ac:dyDescent="0.25">
      <c r="A24" s="8">
        <v>43065.180347222224</v>
      </c>
      <c r="B24" s="20" t="s">
        <v>449</v>
      </c>
      <c r="C24" s="20" t="s">
        <v>697</v>
      </c>
      <c r="D24" s="137">
        <v>1100000</v>
      </c>
      <c r="E24" s="20" t="s">
        <v>698</v>
      </c>
      <c r="F24" s="20" t="s">
        <v>699</v>
      </c>
      <c r="G24" s="8" t="str">
        <f t="shared" si="0"/>
        <v>GEBRETEKLE DAGNEW</v>
      </c>
      <c r="H24" s="20" t="str">
        <f t="shared" si="1"/>
        <v>4049</v>
      </c>
    </row>
    <row r="25" spans="1:8" x14ac:dyDescent="0.25">
      <c r="A25" s="8">
        <v>43065.184560185182</v>
      </c>
      <c r="B25" s="20" t="s">
        <v>447</v>
      </c>
      <c r="C25" s="20" t="s">
        <v>700</v>
      </c>
      <c r="D25" s="137">
        <v>3260000</v>
      </c>
      <c r="E25" s="20" t="s">
        <v>694</v>
      </c>
      <c r="F25" s="20" t="s">
        <v>695</v>
      </c>
      <c r="G25" s="8" t="str">
        <f t="shared" si="0"/>
        <v>PAGE MARCUS</v>
      </c>
      <c r="H25" s="20" t="str">
        <f t="shared" si="1"/>
        <v>4010</v>
      </c>
    </row>
    <row r="26" spans="1:8" x14ac:dyDescent="0.25">
      <c r="A26" s="8">
        <v>43065.191481481481</v>
      </c>
      <c r="B26" s="20" t="s">
        <v>450</v>
      </c>
      <c r="C26" s="20" t="s">
        <v>701</v>
      </c>
      <c r="D26" s="137">
        <v>1100000</v>
      </c>
      <c r="E26" s="20" t="s">
        <v>698</v>
      </c>
      <c r="F26" s="20" t="s">
        <v>699</v>
      </c>
      <c r="G26" s="8" t="str">
        <f t="shared" si="0"/>
        <v>GEBRETEKLE DAGNEW</v>
      </c>
      <c r="H26" s="20" t="str">
        <f t="shared" si="1"/>
        <v>4050</v>
      </c>
    </row>
    <row r="27" spans="1:8" x14ac:dyDescent="0.25">
      <c r="A27" s="8">
        <v>43065.193773148145</v>
      </c>
      <c r="B27" s="20" t="s">
        <v>665</v>
      </c>
      <c r="C27" s="20" t="s">
        <v>702</v>
      </c>
      <c r="D27" s="137">
        <v>2010000</v>
      </c>
      <c r="E27" s="20" t="s">
        <v>689</v>
      </c>
      <c r="F27" s="20" t="s">
        <v>690</v>
      </c>
      <c r="G27" s="8" t="str">
        <f t="shared" si="0"/>
        <v>MAELZER KURT</v>
      </c>
      <c r="H27" s="20" t="str">
        <f t="shared" si="1"/>
        <v>4015</v>
      </c>
    </row>
    <row r="28" spans="1:8" x14ac:dyDescent="0.25">
      <c r="A28" s="8">
        <v>43065.199490740742</v>
      </c>
      <c r="B28" s="20" t="s">
        <v>703</v>
      </c>
      <c r="C28" s="20" t="s">
        <v>704</v>
      </c>
      <c r="D28" s="137">
        <v>3040000</v>
      </c>
      <c r="E28" s="20" t="s">
        <v>369</v>
      </c>
      <c r="F28" s="20" t="s">
        <v>705</v>
      </c>
      <c r="G28" s="8" t="str">
        <f t="shared" si="0"/>
        <v>WILLIAMS DONTE</v>
      </c>
      <c r="H28" s="20" t="str">
        <f t="shared" si="1"/>
        <v>4005</v>
      </c>
    </row>
    <row r="29" spans="1:8" x14ac:dyDescent="0.25">
      <c r="A29" s="8">
        <v>43065.207152777781</v>
      </c>
      <c r="B29" s="20" t="s">
        <v>453</v>
      </c>
      <c r="C29" s="20" t="s">
        <v>706</v>
      </c>
      <c r="D29" s="137">
        <v>3120000</v>
      </c>
      <c r="E29" s="20" t="s">
        <v>370</v>
      </c>
      <c r="F29" s="20" t="s">
        <v>530</v>
      </c>
      <c r="G29" s="8" t="str">
        <f t="shared" si="0"/>
        <v>THOMPSON LESTER</v>
      </c>
      <c r="H29" s="20" t="str">
        <f t="shared" si="1"/>
        <v>4042</v>
      </c>
    </row>
    <row r="30" spans="1:8" x14ac:dyDescent="0.25">
      <c r="A30" s="8">
        <v>43065.207233796296</v>
      </c>
      <c r="B30" s="20" t="s">
        <v>362</v>
      </c>
      <c r="C30" s="20" t="s">
        <v>707</v>
      </c>
      <c r="D30" s="137">
        <v>2440000</v>
      </c>
      <c r="E30" s="20" t="s">
        <v>460</v>
      </c>
      <c r="F30" s="20" t="s">
        <v>461</v>
      </c>
      <c r="G30" s="8" t="str">
        <f t="shared" si="0"/>
        <v>LOPES KIMBERLY</v>
      </c>
      <c r="H30" s="20" t="str">
        <f t="shared" si="1"/>
        <v>4007</v>
      </c>
    </row>
    <row r="31" spans="1:8" x14ac:dyDescent="0.25">
      <c r="A31" s="8">
        <v>43065.215219907404</v>
      </c>
      <c r="B31" s="20" t="s">
        <v>659</v>
      </c>
      <c r="C31" s="20" t="s">
        <v>708</v>
      </c>
      <c r="D31" s="137">
        <v>3040000</v>
      </c>
      <c r="E31" s="20" t="s">
        <v>369</v>
      </c>
      <c r="F31" s="20" t="s">
        <v>705</v>
      </c>
      <c r="G31" s="8" t="str">
        <f t="shared" si="0"/>
        <v>WILLIAMS DONTE</v>
      </c>
      <c r="H31" s="20" t="str">
        <f t="shared" si="1"/>
        <v>4006</v>
      </c>
    </row>
    <row r="32" spans="1:8" x14ac:dyDescent="0.25">
      <c r="A32" s="8">
        <v>43065.219571759262</v>
      </c>
      <c r="B32" s="20" t="s">
        <v>665</v>
      </c>
      <c r="C32" s="20" t="s">
        <v>702</v>
      </c>
      <c r="D32" s="137">
        <v>2010000</v>
      </c>
      <c r="E32" s="20" t="s">
        <v>689</v>
      </c>
      <c r="F32" s="20" t="s">
        <v>690</v>
      </c>
      <c r="G32" s="8" t="str">
        <f t="shared" si="0"/>
        <v>MAELZER KURT</v>
      </c>
      <c r="H32" s="20" t="str">
        <f t="shared" si="1"/>
        <v>4015</v>
      </c>
    </row>
    <row r="33" spans="1:8" x14ac:dyDescent="0.25">
      <c r="A33" s="8">
        <v>43065.223043981481</v>
      </c>
      <c r="B33" s="20" t="s">
        <v>663</v>
      </c>
      <c r="C33" s="20" t="s">
        <v>709</v>
      </c>
      <c r="D33" s="137">
        <v>2560000</v>
      </c>
      <c r="E33" s="20" t="s">
        <v>480</v>
      </c>
      <c r="F33" s="20" t="s">
        <v>481</v>
      </c>
      <c r="G33" s="8" t="str">
        <f t="shared" si="0"/>
        <v>MACDONALD THOMAS</v>
      </c>
      <c r="H33" s="20" t="str">
        <f t="shared" si="1"/>
        <v>4026</v>
      </c>
    </row>
    <row r="34" spans="1:8" x14ac:dyDescent="0.25">
      <c r="A34" s="8">
        <v>43065.223935185182</v>
      </c>
      <c r="B34" s="20" t="s">
        <v>446</v>
      </c>
      <c r="C34" s="20" t="s">
        <v>710</v>
      </c>
      <c r="D34" s="137">
        <v>3260000</v>
      </c>
      <c r="E34" s="20" t="s">
        <v>694</v>
      </c>
      <c r="F34" s="20" t="s">
        <v>695</v>
      </c>
      <c r="G34" s="8" t="str">
        <f t="shared" si="0"/>
        <v>PAGE MARCUS</v>
      </c>
      <c r="H34" s="20" t="str">
        <f t="shared" si="1"/>
        <v>4009</v>
      </c>
    </row>
    <row r="35" spans="1:8" x14ac:dyDescent="0.25">
      <c r="A35" s="8">
        <v>43065.224976851852</v>
      </c>
      <c r="B35" s="20" t="s">
        <v>563</v>
      </c>
      <c r="C35" s="20" t="s">
        <v>711</v>
      </c>
      <c r="D35" s="137">
        <v>3090000</v>
      </c>
      <c r="E35" s="20" t="s">
        <v>712</v>
      </c>
      <c r="F35" s="20" t="s">
        <v>713</v>
      </c>
      <c r="G35" s="8" t="str">
        <f t="shared" si="0"/>
        <v>LAMAR NEKESHA</v>
      </c>
      <c r="H35" s="20" t="str">
        <f t="shared" si="1"/>
        <v>4039</v>
      </c>
    </row>
    <row r="36" spans="1:8" x14ac:dyDescent="0.25">
      <c r="A36" s="8">
        <v>43065.226284722223</v>
      </c>
      <c r="B36" s="20" t="s">
        <v>657</v>
      </c>
      <c r="C36" s="20" t="s">
        <v>714</v>
      </c>
      <c r="D36" s="137">
        <v>2010000</v>
      </c>
      <c r="E36" s="20" t="s">
        <v>689</v>
      </c>
      <c r="F36" s="20" t="s">
        <v>690</v>
      </c>
      <c r="G36" s="8" t="str">
        <f t="shared" si="0"/>
        <v>MAELZER KURT</v>
      </c>
      <c r="H36" s="20" t="str">
        <f t="shared" si="1"/>
        <v>4016</v>
      </c>
    </row>
    <row r="37" spans="1:8" x14ac:dyDescent="0.25">
      <c r="A37" s="8">
        <v>43065.227256944447</v>
      </c>
      <c r="B37" s="20" t="s">
        <v>449</v>
      </c>
      <c r="C37" s="20" t="s">
        <v>715</v>
      </c>
      <c r="D37" s="137">
        <v>1100000</v>
      </c>
      <c r="E37" s="20" t="s">
        <v>698</v>
      </c>
      <c r="F37" s="20" t="s">
        <v>699</v>
      </c>
      <c r="G37" s="8" t="str">
        <f t="shared" si="0"/>
        <v>GEBRETEKLE DAGNEW</v>
      </c>
      <c r="H37" s="20" t="str">
        <f t="shared" si="1"/>
        <v>4049</v>
      </c>
    </row>
    <row r="38" spans="1:8" x14ac:dyDescent="0.25">
      <c r="A38" s="8">
        <v>43065.234571759262</v>
      </c>
      <c r="B38" s="20" t="s">
        <v>655</v>
      </c>
      <c r="C38" s="20" t="s">
        <v>716</v>
      </c>
      <c r="D38" s="137">
        <v>2560000</v>
      </c>
      <c r="E38" s="20" t="s">
        <v>480</v>
      </c>
      <c r="F38" s="20" t="s">
        <v>481</v>
      </c>
      <c r="G38" s="8" t="str">
        <f t="shared" si="0"/>
        <v>MACDONALD THOMAS</v>
      </c>
      <c r="H38" s="20" t="str">
        <f t="shared" si="1"/>
        <v>4025</v>
      </c>
    </row>
    <row r="39" spans="1:8" x14ac:dyDescent="0.25">
      <c r="A39" s="8">
        <v>43065.235833333332</v>
      </c>
      <c r="B39" s="20" t="s">
        <v>562</v>
      </c>
      <c r="C39" s="20" t="s">
        <v>717</v>
      </c>
      <c r="D39" s="137">
        <v>3090000</v>
      </c>
      <c r="E39" s="20" t="s">
        <v>712</v>
      </c>
      <c r="F39" s="20" t="s">
        <v>713</v>
      </c>
      <c r="G39" s="8" t="str">
        <f t="shared" si="0"/>
        <v>LAMAR NEKESHA</v>
      </c>
      <c r="H39" s="20" t="str">
        <f t="shared" si="1"/>
        <v>4040</v>
      </c>
    </row>
    <row r="40" spans="1:8" x14ac:dyDescent="0.25">
      <c r="A40" s="8">
        <v>43065.245034722226</v>
      </c>
      <c r="B40" s="25" t="s">
        <v>357</v>
      </c>
      <c r="C40" s="20" t="s">
        <v>718</v>
      </c>
      <c r="D40" s="137">
        <v>2440000</v>
      </c>
      <c r="E40" s="20" t="s">
        <v>460</v>
      </c>
      <c r="F40" s="20" t="s">
        <v>461</v>
      </c>
      <c r="G40" s="8" t="str">
        <f t="shared" si="0"/>
        <v>LOPES KIMBERLY</v>
      </c>
      <c r="H40" s="20" t="str">
        <f t="shared" si="1"/>
        <v>4008</v>
      </c>
    </row>
    <row r="41" spans="1:8" x14ac:dyDescent="0.25">
      <c r="A41" s="8">
        <v>43065.246041666665</v>
      </c>
      <c r="B41" s="20" t="s">
        <v>503</v>
      </c>
      <c r="C41" s="20" t="s">
        <v>719</v>
      </c>
      <c r="D41" s="137">
        <v>3120000</v>
      </c>
      <c r="E41" s="20" t="s">
        <v>370</v>
      </c>
      <c r="F41" s="20" t="s">
        <v>530</v>
      </c>
      <c r="G41" s="8" t="str">
        <f t="shared" si="0"/>
        <v>THOMPSON LESTER</v>
      </c>
      <c r="H41" s="20" t="str">
        <f t="shared" si="1"/>
        <v>4041</v>
      </c>
    </row>
    <row r="42" spans="1:8" x14ac:dyDescent="0.25">
      <c r="A42" s="8">
        <v>43065.254965277774</v>
      </c>
      <c r="B42" s="20" t="s">
        <v>703</v>
      </c>
      <c r="C42" s="20" t="s">
        <v>720</v>
      </c>
      <c r="D42" s="137">
        <v>3040000</v>
      </c>
      <c r="E42" s="20" t="s">
        <v>369</v>
      </c>
      <c r="F42" s="20" t="s">
        <v>705</v>
      </c>
      <c r="G42" s="8" t="str">
        <f t="shared" si="0"/>
        <v>WILLIAMS DONTE</v>
      </c>
      <c r="H42" s="20" t="str">
        <f t="shared" si="1"/>
        <v>4005</v>
      </c>
    </row>
    <row r="43" spans="1:8" x14ac:dyDescent="0.25">
      <c r="A43" s="8">
        <v>43065.255254629628</v>
      </c>
      <c r="B43" s="20" t="s">
        <v>447</v>
      </c>
      <c r="C43" s="20" t="s">
        <v>721</v>
      </c>
      <c r="D43" s="137">
        <v>3260000</v>
      </c>
      <c r="E43" s="20" t="s">
        <v>694</v>
      </c>
      <c r="F43" s="20" t="s">
        <v>695</v>
      </c>
      <c r="G43" s="8" t="str">
        <f t="shared" si="0"/>
        <v>PAGE MARCUS</v>
      </c>
      <c r="H43" s="20" t="str">
        <f t="shared" si="1"/>
        <v>4010</v>
      </c>
    </row>
    <row r="44" spans="1:8" x14ac:dyDescent="0.25">
      <c r="A44" s="8">
        <v>43065.255740740744</v>
      </c>
      <c r="B44" s="20" t="s">
        <v>663</v>
      </c>
      <c r="C44" s="20" t="s">
        <v>722</v>
      </c>
      <c r="D44" s="137">
        <v>2560000</v>
      </c>
      <c r="E44" s="20" t="s">
        <v>480</v>
      </c>
      <c r="F44" s="20" t="s">
        <v>481</v>
      </c>
      <c r="G44" s="8" t="str">
        <f t="shared" si="0"/>
        <v>MACDONALD THOMAS</v>
      </c>
      <c r="H44" s="20" t="str">
        <f t="shared" si="1"/>
        <v>4026</v>
      </c>
    </row>
    <row r="45" spans="1:8" x14ac:dyDescent="0.25">
      <c r="A45" s="8">
        <v>43065.264999999999</v>
      </c>
      <c r="B45" s="20" t="s">
        <v>665</v>
      </c>
      <c r="C45" s="20" t="s">
        <v>723</v>
      </c>
      <c r="D45" s="137">
        <v>2010000</v>
      </c>
      <c r="E45" s="20" t="s">
        <v>689</v>
      </c>
      <c r="F45" s="20" t="s">
        <v>690</v>
      </c>
      <c r="G45" s="8" t="str">
        <f t="shared" si="0"/>
        <v>MAELZER KURT</v>
      </c>
      <c r="H45" s="20" t="str">
        <f t="shared" si="1"/>
        <v>4015</v>
      </c>
    </row>
    <row r="46" spans="1:8" x14ac:dyDescent="0.25">
      <c r="A46" s="8">
        <v>43065.266724537039</v>
      </c>
      <c r="B46" s="20" t="s">
        <v>655</v>
      </c>
      <c r="C46" s="20" t="s">
        <v>724</v>
      </c>
      <c r="D46" s="137">
        <v>2560000</v>
      </c>
      <c r="E46" s="20" t="s">
        <v>480</v>
      </c>
      <c r="F46" s="20" t="s">
        <v>481</v>
      </c>
      <c r="G46" s="8" t="str">
        <f t="shared" si="0"/>
        <v>MACDONALD THOMAS</v>
      </c>
      <c r="H46" s="20" t="str">
        <f t="shared" si="1"/>
        <v>4025</v>
      </c>
    </row>
    <row r="47" spans="1:8" x14ac:dyDescent="0.25">
      <c r="A47" s="8">
        <v>43065.269895833335</v>
      </c>
      <c r="B47" s="20" t="s">
        <v>450</v>
      </c>
      <c r="C47" s="20" t="s">
        <v>725</v>
      </c>
      <c r="D47" s="137">
        <v>1100000</v>
      </c>
      <c r="E47" s="20" t="s">
        <v>698</v>
      </c>
      <c r="F47" s="20" t="s">
        <v>699</v>
      </c>
      <c r="G47" s="8" t="str">
        <f t="shared" si="0"/>
        <v>GEBRETEKLE DAGNEW</v>
      </c>
      <c r="H47" s="20" t="str">
        <f t="shared" si="1"/>
        <v>4050</v>
      </c>
    </row>
    <row r="48" spans="1:8" x14ac:dyDescent="0.25">
      <c r="A48" s="8">
        <v>43065.27789351852</v>
      </c>
      <c r="B48" s="20" t="s">
        <v>563</v>
      </c>
      <c r="C48" s="20" t="s">
        <v>726</v>
      </c>
      <c r="D48" s="137">
        <v>3090000</v>
      </c>
      <c r="E48" s="20" t="s">
        <v>712</v>
      </c>
      <c r="F48" s="20" t="s">
        <v>713</v>
      </c>
      <c r="G48" s="8" t="str">
        <f t="shared" si="0"/>
        <v>LAMAR NEKESHA</v>
      </c>
      <c r="H48" s="20" t="str">
        <f t="shared" si="1"/>
        <v>4039</v>
      </c>
    </row>
    <row r="49" spans="1:8" x14ac:dyDescent="0.25">
      <c r="A49" s="8">
        <v>43065.280740740738</v>
      </c>
      <c r="B49" s="20" t="s">
        <v>453</v>
      </c>
      <c r="C49" s="20" t="s">
        <v>652</v>
      </c>
      <c r="D49" s="137">
        <v>3120000</v>
      </c>
      <c r="E49" s="20" t="s">
        <v>370</v>
      </c>
      <c r="F49" s="20" t="s">
        <v>530</v>
      </c>
      <c r="G49" s="8" t="str">
        <f t="shared" si="0"/>
        <v>THOMPSON LESTER</v>
      </c>
      <c r="H49" s="20" t="str">
        <f t="shared" si="1"/>
        <v>4042</v>
      </c>
    </row>
    <row r="50" spans="1:8" x14ac:dyDescent="0.25">
      <c r="A50" s="8">
        <v>43065.285011574073</v>
      </c>
      <c r="B50" s="20" t="s">
        <v>362</v>
      </c>
      <c r="C50" s="20" t="s">
        <v>727</v>
      </c>
      <c r="D50" s="137">
        <v>2440000</v>
      </c>
      <c r="E50" s="20" t="s">
        <v>460</v>
      </c>
      <c r="F50" s="20" t="s">
        <v>461</v>
      </c>
      <c r="G50" s="8" t="str">
        <f t="shared" si="0"/>
        <v>LOPES KIMBERLY</v>
      </c>
      <c r="H50" s="20" t="str">
        <f t="shared" si="1"/>
        <v>4007</v>
      </c>
    </row>
    <row r="51" spans="1:8" x14ac:dyDescent="0.25">
      <c r="A51" s="8">
        <v>43065.29310185185</v>
      </c>
      <c r="B51" s="20" t="s">
        <v>659</v>
      </c>
      <c r="C51" s="20" t="s">
        <v>728</v>
      </c>
      <c r="D51" s="137">
        <v>3040000</v>
      </c>
      <c r="E51" s="20" t="s">
        <v>369</v>
      </c>
      <c r="F51" s="20" t="s">
        <v>705</v>
      </c>
      <c r="G51" s="8" t="str">
        <f t="shared" si="0"/>
        <v>WILLIAMS DONTE</v>
      </c>
      <c r="H51" s="20" t="str">
        <f t="shared" si="1"/>
        <v>4006</v>
      </c>
    </row>
    <row r="52" spans="1:8" x14ac:dyDescent="0.25">
      <c r="A52" s="8">
        <v>43065.293958333335</v>
      </c>
      <c r="B52" s="20" t="s">
        <v>446</v>
      </c>
      <c r="C52" s="20" t="s">
        <v>729</v>
      </c>
      <c r="D52" s="137">
        <v>3260000</v>
      </c>
      <c r="E52" s="20" t="s">
        <v>694</v>
      </c>
      <c r="F52" s="20" t="s">
        <v>695</v>
      </c>
      <c r="G52" s="8" t="str">
        <f t="shared" si="0"/>
        <v>PAGE MARCUS</v>
      </c>
      <c r="H52" s="20" t="str">
        <f t="shared" si="1"/>
        <v>4009</v>
      </c>
    </row>
    <row r="53" spans="1:8" x14ac:dyDescent="0.25">
      <c r="A53" s="8">
        <v>43065.297858796293</v>
      </c>
      <c r="B53" s="20" t="s">
        <v>663</v>
      </c>
      <c r="C53" s="20" t="s">
        <v>730</v>
      </c>
      <c r="D53" s="137">
        <v>2560000</v>
      </c>
      <c r="E53" s="20" t="s">
        <v>480</v>
      </c>
      <c r="F53" s="20" t="s">
        <v>481</v>
      </c>
      <c r="G53" s="8" t="str">
        <f t="shared" si="0"/>
        <v>MACDONALD THOMAS</v>
      </c>
      <c r="H53" s="20" t="str">
        <f t="shared" si="1"/>
        <v>4026</v>
      </c>
    </row>
    <row r="54" spans="1:8" x14ac:dyDescent="0.25">
      <c r="A54" s="8">
        <v>43065.298368055555</v>
      </c>
      <c r="B54" s="20" t="s">
        <v>449</v>
      </c>
      <c r="C54" s="20" t="s">
        <v>731</v>
      </c>
      <c r="D54" s="137">
        <v>1100000</v>
      </c>
      <c r="E54" s="20" t="s">
        <v>698</v>
      </c>
      <c r="F54" s="20" t="s">
        <v>699</v>
      </c>
      <c r="G54" s="8" t="str">
        <f t="shared" si="0"/>
        <v>GEBRETEKLE DAGNEW</v>
      </c>
      <c r="H54" s="20" t="str">
        <f t="shared" si="1"/>
        <v>4049</v>
      </c>
    </row>
    <row r="55" spans="1:8" x14ac:dyDescent="0.25">
      <c r="A55" s="8">
        <v>43065.300312500003</v>
      </c>
      <c r="B55" s="20" t="s">
        <v>657</v>
      </c>
      <c r="C55" s="20" t="s">
        <v>732</v>
      </c>
      <c r="D55" s="137">
        <v>2010000</v>
      </c>
      <c r="E55" s="20" t="s">
        <v>689</v>
      </c>
      <c r="F55" s="20" t="s">
        <v>690</v>
      </c>
      <c r="G55" s="8" t="str">
        <f t="shared" si="0"/>
        <v>MAELZER KURT</v>
      </c>
      <c r="H55" s="20" t="str">
        <f t="shared" si="1"/>
        <v>4016</v>
      </c>
    </row>
    <row r="56" spans="1:8" x14ac:dyDescent="0.25">
      <c r="A56" s="8">
        <v>43065.309884259259</v>
      </c>
      <c r="B56" s="20" t="s">
        <v>655</v>
      </c>
      <c r="C56" s="20" t="s">
        <v>733</v>
      </c>
      <c r="D56" s="137">
        <v>2560000</v>
      </c>
      <c r="E56" s="20" t="s">
        <v>480</v>
      </c>
      <c r="F56" s="20" t="s">
        <v>481</v>
      </c>
      <c r="G56" s="8" t="str">
        <f t="shared" si="0"/>
        <v>MACDONALD THOMAS</v>
      </c>
      <c r="H56" s="20" t="str">
        <f t="shared" si="1"/>
        <v>4025</v>
      </c>
    </row>
    <row r="57" spans="1:8" x14ac:dyDescent="0.25">
      <c r="A57" s="8">
        <v>43065.310381944444</v>
      </c>
      <c r="B57" s="20" t="s">
        <v>562</v>
      </c>
      <c r="C57" s="20" t="s">
        <v>734</v>
      </c>
      <c r="D57" s="137">
        <v>3090000</v>
      </c>
      <c r="E57" s="20" t="s">
        <v>712</v>
      </c>
      <c r="F57" s="20" t="s">
        <v>713</v>
      </c>
      <c r="G57" s="8" t="str">
        <f t="shared" si="0"/>
        <v>LAMAR NEKESHA</v>
      </c>
      <c r="H57" s="20" t="str">
        <f t="shared" si="1"/>
        <v>4040</v>
      </c>
    </row>
    <row r="58" spans="1:8" x14ac:dyDescent="0.25">
      <c r="A58" s="8">
        <v>43065.318935185183</v>
      </c>
      <c r="B58" s="20" t="s">
        <v>503</v>
      </c>
      <c r="C58" s="20" t="s">
        <v>735</v>
      </c>
      <c r="D58" s="137">
        <v>3120000</v>
      </c>
      <c r="E58" s="20" t="s">
        <v>370</v>
      </c>
      <c r="F58" s="20" t="s">
        <v>530</v>
      </c>
      <c r="G58" s="8" t="str">
        <f t="shared" si="0"/>
        <v>THOMPSON LESTER</v>
      </c>
      <c r="H58" s="20" t="str">
        <f t="shared" si="1"/>
        <v>4041</v>
      </c>
    </row>
    <row r="59" spans="1:8" x14ac:dyDescent="0.25">
      <c r="A59" s="8">
        <v>43065.320092592592</v>
      </c>
      <c r="B59" s="20" t="s">
        <v>357</v>
      </c>
      <c r="C59" s="20" t="s">
        <v>736</v>
      </c>
      <c r="D59" s="137">
        <v>2440000</v>
      </c>
      <c r="E59" s="20" t="s">
        <v>460</v>
      </c>
      <c r="F59" s="20" t="s">
        <v>461</v>
      </c>
      <c r="G59" s="8" t="str">
        <f t="shared" si="0"/>
        <v>LOPES KIMBERLY</v>
      </c>
      <c r="H59" s="20" t="str">
        <f t="shared" si="1"/>
        <v>4008</v>
      </c>
    </row>
    <row r="60" spans="1:8" x14ac:dyDescent="0.25">
      <c r="A60" s="8">
        <v>43065.32880787037</v>
      </c>
      <c r="B60" s="20" t="s">
        <v>703</v>
      </c>
      <c r="C60" s="20" t="s">
        <v>737</v>
      </c>
      <c r="D60" s="137">
        <v>3040000</v>
      </c>
      <c r="E60" s="20" t="s">
        <v>369</v>
      </c>
      <c r="F60" s="20" t="s">
        <v>705</v>
      </c>
      <c r="G60" s="8" t="str">
        <f t="shared" si="0"/>
        <v>WILLIAMS DONTE</v>
      </c>
      <c r="H60" s="20" t="str">
        <f t="shared" si="1"/>
        <v>4005</v>
      </c>
    </row>
    <row r="61" spans="1:8" x14ac:dyDescent="0.25">
      <c r="A61" s="8">
        <v>43065.332511574074</v>
      </c>
      <c r="B61" s="20" t="s">
        <v>447</v>
      </c>
      <c r="C61" s="20" t="s">
        <v>738</v>
      </c>
      <c r="D61" s="137">
        <v>3260000</v>
      </c>
      <c r="E61" s="20" t="s">
        <v>694</v>
      </c>
      <c r="F61" s="20" t="s">
        <v>695</v>
      </c>
      <c r="G61" s="8" t="str">
        <f t="shared" si="0"/>
        <v>PAGE MARCUS</v>
      </c>
      <c r="H61" s="20" t="str">
        <f t="shared" si="1"/>
        <v>4010</v>
      </c>
    </row>
    <row r="62" spans="1:8" x14ac:dyDescent="0.25">
      <c r="A62" s="8">
        <v>43065.336909722224</v>
      </c>
      <c r="B62" s="20" t="s">
        <v>663</v>
      </c>
      <c r="C62" s="20" t="s">
        <v>739</v>
      </c>
      <c r="D62" s="137">
        <v>2560000</v>
      </c>
      <c r="E62" s="20" t="s">
        <v>480</v>
      </c>
      <c r="F62" s="20" t="s">
        <v>481</v>
      </c>
      <c r="G62" s="8" t="str">
        <f t="shared" si="0"/>
        <v>MACDONALD THOMAS</v>
      </c>
      <c r="H62" s="20" t="str">
        <f t="shared" si="1"/>
        <v>4026</v>
      </c>
    </row>
    <row r="63" spans="1:8" x14ac:dyDescent="0.25">
      <c r="A63" s="8">
        <v>43065.337233796294</v>
      </c>
      <c r="B63" s="20" t="s">
        <v>665</v>
      </c>
      <c r="C63" s="20" t="s">
        <v>740</v>
      </c>
      <c r="D63" s="137">
        <v>2010000</v>
      </c>
      <c r="E63" s="20" t="s">
        <v>689</v>
      </c>
      <c r="F63" s="20" t="s">
        <v>690</v>
      </c>
      <c r="G63" s="8" t="str">
        <f t="shared" si="0"/>
        <v>MAELZER KURT</v>
      </c>
      <c r="H63" s="20" t="str">
        <f t="shared" si="1"/>
        <v>4015</v>
      </c>
    </row>
    <row r="64" spans="1:8" x14ac:dyDescent="0.25">
      <c r="A64" s="26">
        <v>43065.340879629628</v>
      </c>
      <c r="B64" s="20" t="s">
        <v>450</v>
      </c>
      <c r="C64" s="20" t="s">
        <v>741</v>
      </c>
      <c r="D64" s="137">
        <v>1100000</v>
      </c>
      <c r="E64" s="20" t="s">
        <v>698</v>
      </c>
      <c r="F64" s="20" t="s">
        <v>699</v>
      </c>
      <c r="G64" s="8" t="str">
        <f t="shared" si="0"/>
        <v>GEBRETEKLE DAGNEW</v>
      </c>
      <c r="H64" s="20" t="str">
        <f t="shared" si="1"/>
        <v>4050</v>
      </c>
    </row>
    <row r="65" spans="1:8" x14ac:dyDescent="0.25">
      <c r="A65" s="8">
        <v>43065.350682870368</v>
      </c>
      <c r="B65" s="20" t="s">
        <v>563</v>
      </c>
      <c r="C65" s="20" t="s">
        <v>742</v>
      </c>
      <c r="D65" s="137">
        <v>3090000</v>
      </c>
      <c r="E65" s="20" t="s">
        <v>712</v>
      </c>
      <c r="F65" s="20" t="s">
        <v>713</v>
      </c>
      <c r="G65" s="8" t="str">
        <f t="shared" si="0"/>
        <v>LAMAR NEKESHA</v>
      </c>
      <c r="H65" s="20" t="str">
        <f t="shared" si="1"/>
        <v>4039</v>
      </c>
    </row>
    <row r="66" spans="1:8" x14ac:dyDescent="0.25">
      <c r="A66" s="8">
        <v>43065.351539351854</v>
      </c>
      <c r="B66" s="20" t="s">
        <v>655</v>
      </c>
      <c r="C66" s="20" t="s">
        <v>743</v>
      </c>
      <c r="D66" s="137">
        <v>2560000</v>
      </c>
      <c r="E66" s="20" t="s">
        <v>480</v>
      </c>
      <c r="F66" s="20" t="s">
        <v>481</v>
      </c>
      <c r="G66" s="8" t="str">
        <f t="shared" si="0"/>
        <v>MACDONALD THOMAS</v>
      </c>
      <c r="H66" s="20" t="str">
        <f t="shared" si="1"/>
        <v>4025</v>
      </c>
    </row>
    <row r="67" spans="1:8" x14ac:dyDescent="0.25">
      <c r="A67" s="8">
        <v>43065.35255787037</v>
      </c>
      <c r="B67" s="20" t="s">
        <v>453</v>
      </c>
      <c r="C67" s="20" t="s">
        <v>744</v>
      </c>
      <c r="D67" s="137">
        <v>3120000</v>
      </c>
      <c r="E67" s="20" t="s">
        <v>370</v>
      </c>
      <c r="F67" s="20" t="s">
        <v>530</v>
      </c>
      <c r="G67" s="8" t="str">
        <f t="shared" ref="G67:G130" si="2">E67&amp;" "&amp;F67</f>
        <v>THOMPSON LESTER</v>
      </c>
      <c r="H67" s="20" t="str">
        <f t="shared" ref="H67:H130" si="3">MID(B67,13,4)</f>
        <v>4042</v>
      </c>
    </row>
    <row r="68" spans="1:8" x14ac:dyDescent="0.25">
      <c r="A68" s="8">
        <v>43065.356076388889</v>
      </c>
      <c r="B68" s="20" t="s">
        <v>362</v>
      </c>
      <c r="C68" s="20" t="s">
        <v>745</v>
      </c>
      <c r="D68" s="137">
        <v>2440000</v>
      </c>
      <c r="E68" s="20" t="s">
        <v>460</v>
      </c>
      <c r="F68" s="20" t="s">
        <v>461</v>
      </c>
      <c r="G68" s="8" t="str">
        <f t="shared" si="2"/>
        <v>LOPES KIMBERLY</v>
      </c>
      <c r="H68" s="20" t="str">
        <f t="shared" si="3"/>
        <v>4007</v>
      </c>
    </row>
    <row r="69" spans="1:8" x14ac:dyDescent="0.25">
      <c r="A69" s="8">
        <v>43065.363541666666</v>
      </c>
      <c r="B69" s="20" t="s">
        <v>659</v>
      </c>
      <c r="C69" s="20" t="s">
        <v>746</v>
      </c>
      <c r="D69" s="137">
        <v>3040000</v>
      </c>
      <c r="E69" s="20" t="s">
        <v>369</v>
      </c>
      <c r="F69" s="20" t="s">
        <v>705</v>
      </c>
      <c r="G69" s="8" t="str">
        <f t="shared" si="2"/>
        <v>WILLIAMS DONTE</v>
      </c>
      <c r="H69" s="20" t="str">
        <f t="shared" si="3"/>
        <v>4006</v>
      </c>
    </row>
    <row r="70" spans="1:8" x14ac:dyDescent="0.25">
      <c r="A70" s="8">
        <v>43065.368518518517</v>
      </c>
      <c r="B70" s="20" t="s">
        <v>446</v>
      </c>
      <c r="C70" s="20" t="s">
        <v>747</v>
      </c>
      <c r="D70" s="137">
        <v>3260000</v>
      </c>
      <c r="E70" s="20" t="s">
        <v>694</v>
      </c>
      <c r="F70" s="20" t="s">
        <v>695</v>
      </c>
      <c r="G70" s="8" t="str">
        <f t="shared" si="2"/>
        <v>PAGE MARCUS</v>
      </c>
      <c r="H70" s="20" t="str">
        <f t="shared" si="3"/>
        <v>4009</v>
      </c>
    </row>
    <row r="71" spans="1:8" x14ac:dyDescent="0.25">
      <c r="A71" s="8">
        <v>43065.372002314813</v>
      </c>
      <c r="B71" s="20" t="s">
        <v>449</v>
      </c>
      <c r="C71" s="20" t="s">
        <v>748</v>
      </c>
      <c r="D71" s="137">
        <v>1100000</v>
      </c>
      <c r="E71" s="20" t="s">
        <v>698</v>
      </c>
      <c r="F71" s="20" t="s">
        <v>699</v>
      </c>
      <c r="G71" s="8" t="str">
        <f t="shared" si="2"/>
        <v>GEBRETEKLE DAGNEW</v>
      </c>
      <c r="H71" s="20" t="str">
        <f t="shared" si="3"/>
        <v>4049</v>
      </c>
    </row>
    <row r="72" spans="1:8" x14ac:dyDescent="0.25">
      <c r="A72" s="8">
        <v>43065.373043981483</v>
      </c>
      <c r="B72" s="20" t="s">
        <v>657</v>
      </c>
      <c r="C72" s="20" t="s">
        <v>749</v>
      </c>
      <c r="D72" s="137">
        <v>2010000</v>
      </c>
      <c r="E72" s="20" t="s">
        <v>689</v>
      </c>
      <c r="F72" s="20" t="s">
        <v>690</v>
      </c>
      <c r="G72" s="8" t="str">
        <f t="shared" si="2"/>
        <v>MAELZER KURT</v>
      </c>
      <c r="H72" s="20" t="str">
        <f t="shared" si="3"/>
        <v>4016</v>
      </c>
    </row>
    <row r="73" spans="1:8" x14ac:dyDescent="0.25">
      <c r="A73" s="8">
        <v>43065.380069444444</v>
      </c>
      <c r="B73" s="20" t="s">
        <v>663</v>
      </c>
      <c r="C73" s="20" t="s">
        <v>750</v>
      </c>
      <c r="D73" s="137">
        <v>2560000</v>
      </c>
      <c r="E73" s="20" t="s">
        <v>480</v>
      </c>
      <c r="F73" s="20" t="s">
        <v>481</v>
      </c>
      <c r="G73" s="8" t="str">
        <f t="shared" si="2"/>
        <v>MACDONALD THOMAS</v>
      </c>
      <c r="H73" s="20" t="str">
        <f t="shared" si="3"/>
        <v>4026</v>
      </c>
    </row>
    <row r="74" spans="1:8" x14ac:dyDescent="0.25">
      <c r="A74" s="8">
        <v>43065.384525462963</v>
      </c>
      <c r="B74" s="20" t="s">
        <v>562</v>
      </c>
      <c r="C74" s="20" t="s">
        <v>751</v>
      </c>
      <c r="D74" s="137">
        <v>3090000</v>
      </c>
      <c r="E74" s="20" t="s">
        <v>712</v>
      </c>
      <c r="F74" s="20" t="s">
        <v>713</v>
      </c>
      <c r="G74" s="8" t="str">
        <f t="shared" si="2"/>
        <v>LAMAR NEKESHA</v>
      </c>
      <c r="H74" s="20" t="str">
        <f t="shared" si="3"/>
        <v>4040</v>
      </c>
    </row>
    <row r="75" spans="1:8" x14ac:dyDescent="0.25">
      <c r="A75" s="8">
        <v>43065.392361111109</v>
      </c>
      <c r="B75" s="20" t="s">
        <v>357</v>
      </c>
      <c r="C75" s="20" t="s">
        <v>654</v>
      </c>
      <c r="D75" s="137">
        <v>2440000</v>
      </c>
      <c r="E75" s="20" t="s">
        <v>460</v>
      </c>
      <c r="F75" s="20" t="s">
        <v>461</v>
      </c>
      <c r="G75" s="8" t="str">
        <f t="shared" si="2"/>
        <v>LOPES KIMBERLY</v>
      </c>
      <c r="H75" s="20" t="str">
        <f t="shared" si="3"/>
        <v>4008</v>
      </c>
    </row>
    <row r="76" spans="1:8" x14ac:dyDescent="0.25">
      <c r="A76" s="8">
        <v>43065.393252314818</v>
      </c>
      <c r="B76" s="20" t="s">
        <v>655</v>
      </c>
      <c r="C76" s="20" t="s">
        <v>752</v>
      </c>
      <c r="D76" s="137">
        <v>2560000</v>
      </c>
      <c r="E76" s="20" t="s">
        <v>480</v>
      </c>
      <c r="F76" s="20" t="s">
        <v>481</v>
      </c>
      <c r="G76" s="8" t="str">
        <f t="shared" si="2"/>
        <v>MACDONALD THOMAS</v>
      </c>
      <c r="H76" s="20" t="str">
        <f t="shared" si="3"/>
        <v>4025</v>
      </c>
    </row>
    <row r="77" spans="1:8" x14ac:dyDescent="0.25">
      <c r="A77" s="8">
        <v>43065.396215277775</v>
      </c>
      <c r="B77" s="20" t="s">
        <v>503</v>
      </c>
      <c r="C77" s="20" t="s">
        <v>653</v>
      </c>
      <c r="D77" s="137">
        <v>3120000</v>
      </c>
      <c r="E77" s="20" t="s">
        <v>370</v>
      </c>
      <c r="F77" s="20" t="s">
        <v>530</v>
      </c>
      <c r="G77" s="8" t="str">
        <f t="shared" si="2"/>
        <v>THOMPSON LESTER</v>
      </c>
      <c r="H77" s="20" t="str">
        <f t="shared" si="3"/>
        <v>4041</v>
      </c>
    </row>
    <row r="78" spans="1:8" x14ac:dyDescent="0.25">
      <c r="A78" s="8">
        <v>43065.401608796295</v>
      </c>
      <c r="B78" s="20" t="s">
        <v>703</v>
      </c>
      <c r="C78" s="20" t="s">
        <v>753</v>
      </c>
      <c r="D78" s="137">
        <v>3040000</v>
      </c>
      <c r="E78" s="20" t="s">
        <v>369</v>
      </c>
      <c r="F78" s="20" t="s">
        <v>705</v>
      </c>
      <c r="G78" s="8" t="str">
        <f t="shared" si="2"/>
        <v>WILLIAMS DONTE</v>
      </c>
      <c r="H78" s="20" t="str">
        <f t="shared" si="3"/>
        <v>4005</v>
      </c>
    </row>
    <row r="79" spans="1:8" x14ac:dyDescent="0.25">
      <c r="A79" s="8">
        <v>43065.40353009259</v>
      </c>
      <c r="B79" s="20" t="s">
        <v>447</v>
      </c>
      <c r="C79" s="20" t="s">
        <v>754</v>
      </c>
      <c r="D79" s="137">
        <v>3260000</v>
      </c>
      <c r="E79" s="20" t="s">
        <v>694</v>
      </c>
      <c r="F79" s="20" t="s">
        <v>695</v>
      </c>
      <c r="G79" s="8" t="str">
        <f t="shared" si="2"/>
        <v>PAGE MARCUS</v>
      </c>
      <c r="H79" s="20" t="str">
        <f t="shared" si="3"/>
        <v>4010</v>
      </c>
    </row>
    <row r="80" spans="1:8" x14ac:dyDescent="0.25">
      <c r="A80" s="8">
        <v>43065.411631944444</v>
      </c>
      <c r="B80" s="20" t="s">
        <v>665</v>
      </c>
      <c r="C80" s="20" t="s">
        <v>755</v>
      </c>
      <c r="D80" s="137">
        <v>2010000</v>
      </c>
      <c r="E80" s="20" t="s">
        <v>689</v>
      </c>
      <c r="F80" s="20" t="s">
        <v>690</v>
      </c>
      <c r="G80" s="8" t="str">
        <f t="shared" si="2"/>
        <v>MAELZER KURT</v>
      </c>
      <c r="H80" s="20" t="str">
        <f t="shared" si="3"/>
        <v>4015</v>
      </c>
    </row>
    <row r="81" spans="1:8" x14ac:dyDescent="0.25">
      <c r="A81" s="8">
        <v>43065.414525462962</v>
      </c>
      <c r="B81" s="20" t="s">
        <v>450</v>
      </c>
      <c r="C81" s="20" t="s">
        <v>756</v>
      </c>
      <c r="D81" s="137">
        <v>1100000</v>
      </c>
      <c r="E81" s="20" t="s">
        <v>698</v>
      </c>
      <c r="F81" s="20" t="s">
        <v>699</v>
      </c>
      <c r="G81" s="8" t="str">
        <f t="shared" si="2"/>
        <v>GEBRETEKLE DAGNEW</v>
      </c>
      <c r="H81" s="20" t="str">
        <f t="shared" si="3"/>
        <v>4050</v>
      </c>
    </row>
    <row r="82" spans="1:8" x14ac:dyDescent="0.25">
      <c r="A82" s="8">
        <v>43065.422060185185</v>
      </c>
      <c r="B82" s="20" t="s">
        <v>663</v>
      </c>
      <c r="C82" s="20" t="s">
        <v>757</v>
      </c>
      <c r="D82" s="137">
        <v>2560000</v>
      </c>
      <c r="E82" s="20" t="s">
        <v>480</v>
      </c>
      <c r="F82" s="20" t="s">
        <v>481</v>
      </c>
      <c r="G82" s="8" t="str">
        <f t="shared" si="2"/>
        <v>MACDONALD THOMAS</v>
      </c>
      <c r="H82" s="20" t="str">
        <f t="shared" si="3"/>
        <v>4026</v>
      </c>
    </row>
    <row r="83" spans="1:8" x14ac:dyDescent="0.25">
      <c r="A83" s="8">
        <v>43065.423437500001</v>
      </c>
      <c r="B83" s="20" t="s">
        <v>563</v>
      </c>
      <c r="C83" s="20" t="s">
        <v>758</v>
      </c>
      <c r="D83" s="137">
        <v>3090000</v>
      </c>
      <c r="E83" s="20" t="s">
        <v>712</v>
      </c>
      <c r="F83" s="20" t="s">
        <v>713</v>
      </c>
      <c r="G83" s="8" t="str">
        <f t="shared" si="2"/>
        <v>LAMAR NEKESHA</v>
      </c>
      <c r="H83" s="20" t="str">
        <f t="shared" si="3"/>
        <v>4039</v>
      </c>
    </row>
    <row r="84" spans="1:8" x14ac:dyDescent="0.25">
      <c r="A84" s="8">
        <v>43065.426921296297</v>
      </c>
      <c r="B84" s="20" t="s">
        <v>453</v>
      </c>
      <c r="C84" s="20" t="s">
        <v>759</v>
      </c>
      <c r="D84" s="137">
        <v>2550000</v>
      </c>
      <c r="E84" s="20" t="s">
        <v>760</v>
      </c>
      <c r="F84" s="20" t="s">
        <v>761</v>
      </c>
      <c r="G84" s="8" t="str">
        <f t="shared" si="2"/>
        <v>BADERTSCHER DIANE</v>
      </c>
      <c r="H84" s="20" t="str">
        <f t="shared" si="3"/>
        <v>4042</v>
      </c>
    </row>
    <row r="85" spans="1:8" x14ac:dyDescent="0.25">
      <c r="A85" s="8">
        <v>43065.427893518521</v>
      </c>
      <c r="B85" s="20" t="s">
        <v>362</v>
      </c>
      <c r="C85" s="20" t="s">
        <v>762</v>
      </c>
      <c r="D85" s="137">
        <v>2440000</v>
      </c>
      <c r="E85" s="20" t="s">
        <v>460</v>
      </c>
      <c r="F85" s="20" t="s">
        <v>461</v>
      </c>
      <c r="G85" s="8" t="str">
        <f t="shared" si="2"/>
        <v>LOPES KIMBERLY</v>
      </c>
      <c r="H85" s="20" t="str">
        <f t="shared" si="3"/>
        <v>4007</v>
      </c>
    </row>
    <row r="86" spans="1:8" x14ac:dyDescent="0.25">
      <c r="A86" s="8">
        <v>43065.433206018519</v>
      </c>
      <c r="B86" s="20" t="s">
        <v>659</v>
      </c>
      <c r="C86" s="20" t="s">
        <v>763</v>
      </c>
      <c r="D86" s="137">
        <v>3040000</v>
      </c>
      <c r="E86" s="20" t="s">
        <v>369</v>
      </c>
      <c r="F86" s="20" t="s">
        <v>705</v>
      </c>
      <c r="G86" s="8" t="str">
        <f t="shared" si="2"/>
        <v>WILLIAMS DONTE</v>
      </c>
      <c r="H86" s="20" t="str">
        <f t="shared" si="3"/>
        <v>4006</v>
      </c>
    </row>
    <row r="87" spans="1:8" x14ac:dyDescent="0.25">
      <c r="A87" s="8">
        <v>43065.434189814812</v>
      </c>
      <c r="B87" s="20" t="s">
        <v>655</v>
      </c>
      <c r="C87" s="20" t="s">
        <v>656</v>
      </c>
      <c r="D87" s="137">
        <v>2560000</v>
      </c>
      <c r="E87" s="20" t="s">
        <v>480</v>
      </c>
      <c r="F87" s="20" t="s">
        <v>481</v>
      </c>
      <c r="G87" s="8" t="str">
        <f t="shared" si="2"/>
        <v>MACDONALD THOMAS</v>
      </c>
      <c r="H87" s="20" t="str">
        <f t="shared" si="3"/>
        <v>4025</v>
      </c>
    </row>
    <row r="88" spans="1:8" x14ac:dyDescent="0.25">
      <c r="A88" s="8">
        <v>43065.436736111114</v>
      </c>
      <c r="B88" s="20" t="s">
        <v>655</v>
      </c>
      <c r="C88" s="20" t="s">
        <v>656</v>
      </c>
      <c r="D88" s="137">
        <v>2560000</v>
      </c>
      <c r="E88" s="20" t="s">
        <v>480</v>
      </c>
      <c r="F88" s="20" t="s">
        <v>481</v>
      </c>
      <c r="G88" s="8" t="str">
        <f t="shared" si="2"/>
        <v>MACDONALD THOMAS</v>
      </c>
      <c r="H88" s="20" t="str">
        <f t="shared" si="3"/>
        <v>4025</v>
      </c>
    </row>
    <row r="89" spans="1:8" x14ac:dyDescent="0.25">
      <c r="A89" s="8">
        <v>43065.440428240741</v>
      </c>
      <c r="B89" s="20" t="s">
        <v>446</v>
      </c>
      <c r="C89" s="20" t="s">
        <v>764</v>
      </c>
      <c r="D89" s="137">
        <v>3260000</v>
      </c>
      <c r="E89" s="20" t="s">
        <v>694</v>
      </c>
      <c r="F89" s="20" t="s">
        <v>695</v>
      </c>
      <c r="G89" s="8" t="str">
        <f t="shared" si="2"/>
        <v>PAGE MARCUS</v>
      </c>
      <c r="H89" s="20" t="str">
        <f t="shared" si="3"/>
        <v>4009</v>
      </c>
    </row>
    <row r="90" spans="1:8" x14ac:dyDescent="0.25">
      <c r="A90" s="8">
        <v>43065.443530092591</v>
      </c>
      <c r="B90" s="20" t="s">
        <v>449</v>
      </c>
      <c r="C90" s="20" t="s">
        <v>765</v>
      </c>
      <c r="D90" s="137">
        <v>1100000</v>
      </c>
      <c r="E90" s="20" t="s">
        <v>698</v>
      </c>
      <c r="F90" s="20" t="s">
        <v>699</v>
      </c>
      <c r="G90" s="8" t="str">
        <f t="shared" si="2"/>
        <v>GEBRETEKLE DAGNEW</v>
      </c>
      <c r="H90" s="20" t="str">
        <f t="shared" si="3"/>
        <v>4049</v>
      </c>
    </row>
    <row r="91" spans="1:8" x14ac:dyDescent="0.25">
      <c r="A91" s="8">
        <v>43065.443611111114</v>
      </c>
      <c r="B91" s="20" t="s">
        <v>657</v>
      </c>
      <c r="C91" s="20" t="s">
        <v>658</v>
      </c>
      <c r="D91" s="137">
        <v>880000</v>
      </c>
      <c r="E91" s="20" t="s">
        <v>531</v>
      </c>
      <c r="F91" s="20" t="s">
        <v>353</v>
      </c>
      <c r="G91" s="8" t="str">
        <f t="shared" si="2"/>
        <v>STEWART MICHAEL</v>
      </c>
      <c r="H91" s="20" t="str">
        <f t="shared" si="3"/>
        <v>4016</v>
      </c>
    </row>
    <row r="92" spans="1:8" x14ac:dyDescent="0.25">
      <c r="A92" s="8">
        <v>43065.456122685187</v>
      </c>
      <c r="B92" s="20" t="s">
        <v>562</v>
      </c>
      <c r="C92" s="20" t="s">
        <v>766</v>
      </c>
      <c r="D92" s="137">
        <v>3090000</v>
      </c>
      <c r="E92" s="20" t="s">
        <v>712</v>
      </c>
      <c r="F92" s="20" t="s">
        <v>713</v>
      </c>
      <c r="G92" s="8" t="str">
        <f t="shared" si="2"/>
        <v>LAMAR NEKESHA</v>
      </c>
      <c r="H92" s="20" t="str">
        <f t="shared" si="3"/>
        <v>4040</v>
      </c>
    </row>
    <row r="93" spans="1:8" x14ac:dyDescent="0.25">
      <c r="A93" s="8">
        <v>43065.46303240741</v>
      </c>
      <c r="B93" s="20" t="s">
        <v>503</v>
      </c>
      <c r="C93" s="20" t="s">
        <v>767</v>
      </c>
      <c r="D93" s="137">
        <v>2550000</v>
      </c>
      <c r="E93" s="20" t="s">
        <v>760</v>
      </c>
      <c r="F93" s="20" t="s">
        <v>761</v>
      </c>
      <c r="G93" s="8" t="str">
        <f t="shared" si="2"/>
        <v>BADERTSCHER DIANE</v>
      </c>
      <c r="H93" s="20" t="str">
        <f t="shared" si="3"/>
        <v>4041</v>
      </c>
    </row>
    <row r="94" spans="1:8" x14ac:dyDescent="0.25">
      <c r="A94" s="8">
        <v>43065.464131944442</v>
      </c>
      <c r="B94" s="20" t="s">
        <v>663</v>
      </c>
      <c r="C94" s="20" t="s">
        <v>768</v>
      </c>
      <c r="D94" s="137">
        <v>2560000</v>
      </c>
      <c r="E94" s="20" t="s">
        <v>480</v>
      </c>
      <c r="F94" s="20" t="s">
        <v>481</v>
      </c>
      <c r="G94" s="8" t="str">
        <f t="shared" si="2"/>
        <v>MACDONALD THOMAS</v>
      </c>
      <c r="H94" s="20" t="str">
        <f t="shared" si="3"/>
        <v>4026</v>
      </c>
    </row>
    <row r="95" spans="1:8" x14ac:dyDescent="0.25">
      <c r="A95" s="8">
        <v>43065.464421296296</v>
      </c>
      <c r="B95" s="20" t="s">
        <v>503</v>
      </c>
      <c r="C95" s="20" t="s">
        <v>767</v>
      </c>
      <c r="D95" s="137">
        <v>2550000</v>
      </c>
      <c r="E95" s="20" t="s">
        <v>760</v>
      </c>
      <c r="F95" s="20" t="s">
        <v>761</v>
      </c>
      <c r="G95" s="8" t="str">
        <f t="shared" si="2"/>
        <v>BADERTSCHER DIANE</v>
      </c>
      <c r="H95" s="20" t="str">
        <f t="shared" si="3"/>
        <v>4041</v>
      </c>
    </row>
    <row r="96" spans="1:8" x14ac:dyDescent="0.25">
      <c r="A96" s="8">
        <v>43065.465636574074</v>
      </c>
      <c r="B96" s="20" t="s">
        <v>357</v>
      </c>
      <c r="C96" s="20" t="s">
        <v>769</v>
      </c>
      <c r="D96" s="137">
        <v>920000</v>
      </c>
      <c r="E96" s="20" t="s">
        <v>532</v>
      </c>
      <c r="F96" s="20" t="s">
        <v>353</v>
      </c>
      <c r="G96" s="8" t="str">
        <f t="shared" si="2"/>
        <v>DAVIS MICHAEL</v>
      </c>
      <c r="H96" s="20" t="str">
        <f t="shared" si="3"/>
        <v>4008</v>
      </c>
    </row>
    <row r="97" spans="1:8" x14ac:dyDescent="0.25">
      <c r="A97" s="8">
        <v>43065.470636574071</v>
      </c>
      <c r="B97" s="20" t="s">
        <v>703</v>
      </c>
      <c r="C97" s="20" t="s">
        <v>770</v>
      </c>
      <c r="D97" s="137">
        <v>3040000</v>
      </c>
      <c r="E97" s="20" t="s">
        <v>369</v>
      </c>
      <c r="F97" s="20" t="s">
        <v>705</v>
      </c>
      <c r="G97" s="8" t="str">
        <f t="shared" si="2"/>
        <v>WILLIAMS DONTE</v>
      </c>
      <c r="H97" s="20" t="str">
        <f t="shared" si="3"/>
        <v>4005</v>
      </c>
    </row>
    <row r="98" spans="1:8" x14ac:dyDescent="0.25">
      <c r="A98" s="8">
        <v>43065.47625</v>
      </c>
      <c r="B98" s="20" t="s">
        <v>447</v>
      </c>
      <c r="C98" s="20" t="s">
        <v>771</v>
      </c>
      <c r="D98" s="137">
        <v>2630000</v>
      </c>
      <c r="E98" s="20" t="s">
        <v>373</v>
      </c>
      <c r="F98" s="20" t="s">
        <v>374</v>
      </c>
      <c r="G98" s="8" t="str">
        <f t="shared" si="2"/>
        <v>SAFIEF AEIMEN</v>
      </c>
      <c r="H98" s="20" t="str">
        <f t="shared" si="3"/>
        <v>4010</v>
      </c>
    </row>
    <row r="99" spans="1:8" x14ac:dyDescent="0.25">
      <c r="A99" s="8">
        <v>43065.476527777777</v>
      </c>
      <c r="B99" s="20" t="s">
        <v>655</v>
      </c>
      <c r="C99" s="20" t="s">
        <v>772</v>
      </c>
      <c r="D99" s="137">
        <v>2560000</v>
      </c>
      <c r="E99" s="20" t="s">
        <v>480</v>
      </c>
      <c r="F99" s="20" t="s">
        <v>481</v>
      </c>
      <c r="G99" s="8" t="str">
        <f t="shared" si="2"/>
        <v>MACDONALD THOMAS</v>
      </c>
      <c r="H99" s="20" t="str">
        <f t="shared" si="3"/>
        <v>4025</v>
      </c>
    </row>
    <row r="100" spans="1:8" x14ac:dyDescent="0.25">
      <c r="A100" s="8">
        <v>43065.483854166669</v>
      </c>
      <c r="B100" s="20" t="s">
        <v>665</v>
      </c>
      <c r="C100" s="20" t="s">
        <v>773</v>
      </c>
      <c r="D100" s="137">
        <v>880000</v>
      </c>
      <c r="E100" s="20" t="s">
        <v>531</v>
      </c>
      <c r="F100" s="20" t="s">
        <v>353</v>
      </c>
      <c r="G100" s="8" t="str">
        <f t="shared" si="2"/>
        <v>STEWART MICHAEL</v>
      </c>
      <c r="H100" s="20" t="str">
        <f t="shared" si="3"/>
        <v>4015</v>
      </c>
    </row>
    <row r="101" spans="1:8" x14ac:dyDescent="0.25">
      <c r="A101" s="8">
        <v>43065.485497685186</v>
      </c>
      <c r="B101" s="20" t="s">
        <v>450</v>
      </c>
      <c r="C101" s="20" t="s">
        <v>774</v>
      </c>
      <c r="D101" s="137">
        <v>2970000</v>
      </c>
      <c r="E101" s="20" t="s">
        <v>375</v>
      </c>
      <c r="F101" s="20" t="s">
        <v>376</v>
      </c>
      <c r="G101" s="8" t="str">
        <f t="shared" si="2"/>
        <v>GUZMAN DANNY</v>
      </c>
      <c r="H101" s="20" t="str">
        <f t="shared" si="3"/>
        <v>4050</v>
      </c>
    </row>
    <row r="102" spans="1:8" x14ac:dyDescent="0.25">
      <c r="A102" s="8">
        <v>43065.496087962965</v>
      </c>
      <c r="B102" s="20" t="s">
        <v>563</v>
      </c>
      <c r="C102" s="20" t="s">
        <v>775</v>
      </c>
      <c r="D102" s="137">
        <v>3090000</v>
      </c>
      <c r="E102" s="20" t="s">
        <v>712</v>
      </c>
      <c r="F102" s="20" t="s">
        <v>713</v>
      </c>
      <c r="G102" s="8" t="str">
        <f t="shared" si="2"/>
        <v>LAMAR NEKESHA</v>
      </c>
      <c r="H102" s="20" t="str">
        <f t="shared" si="3"/>
        <v>4039</v>
      </c>
    </row>
    <row r="103" spans="1:8" x14ac:dyDescent="0.25">
      <c r="A103" s="8">
        <v>43065.497141203705</v>
      </c>
      <c r="B103" s="20" t="s">
        <v>453</v>
      </c>
      <c r="C103" s="20" t="s">
        <v>776</v>
      </c>
      <c r="D103" s="137">
        <v>2550000</v>
      </c>
      <c r="E103" s="20" t="s">
        <v>760</v>
      </c>
      <c r="F103" s="20" t="s">
        <v>761</v>
      </c>
      <c r="G103" s="8" t="str">
        <f t="shared" si="2"/>
        <v>BADERTSCHER DIANE</v>
      </c>
      <c r="H103" s="20" t="str">
        <f t="shared" si="3"/>
        <v>4042</v>
      </c>
    </row>
    <row r="104" spans="1:8" x14ac:dyDescent="0.25">
      <c r="A104" s="8">
        <v>43065.504803240743</v>
      </c>
      <c r="B104" s="20" t="s">
        <v>663</v>
      </c>
      <c r="C104" s="20" t="s">
        <v>777</v>
      </c>
      <c r="D104" s="137">
        <v>2560000</v>
      </c>
      <c r="E104" s="20" t="s">
        <v>480</v>
      </c>
      <c r="F104" s="20" t="s">
        <v>481</v>
      </c>
      <c r="G104" s="8" t="str">
        <f t="shared" si="2"/>
        <v>MACDONALD THOMAS</v>
      </c>
      <c r="H104" s="20" t="str">
        <f t="shared" si="3"/>
        <v>4026</v>
      </c>
    </row>
    <row r="105" spans="1:8" x14ac:dyDescent="0.25">
      <c r="A105" s="8">
        <v>43065.505694444444</v>
      </c>
      <c r="B105" s="20" t="s">
        <v>659</v>
      </c>
      <c r="C105" s="20" t="s">
        <v>660</v>
      </c>
      <c r="D105" s="137">
        <v>3330000</v>
      </c>
      <c r="E105" s="20" t="s">
        <v>778</v>
      </c>
      <c r="F105" s="20" t="s">
        <v>779</v>
      </c>
      <c r="G105" s="8" t="str">
        <f t="shared" si="2"/>
        <v>GONZALEZ ARMANDO</v>
      </c>
      <c r="H105" s="20" t="str">
        <f t="shared" si="3"/>
        <v>4006</v>
      </c>
    </row>
    <row r="106" spans="1:8" x14ac:dyDescent="0.25">
      <c r="A106" s="8">
        <v>43065.506689814814</v>
      </c>
      <c r="B106" s="20" t="s">
        <v>663</v>
      </c>
      <c r="C106" s="20" t="s">
        <v>777</v>
      </c>
      <c r="D106" s="137">
        <v>2560000</v>
      </c>
      <c r="E106" s="20" t="s">
        <v>480</v>
      </c>
      <c r="F106" s="20" t="s">
        <v>481</v>
      </c>
      <c r="G106" s="8" t="str">
        <f t="shared" si="2"/>
        <v>MACDONALD THOMAS</v>
      </c>
      <c r="H106" s="20" t="str">
        <f t="shared" si="3"/>
        <v>4026</v>
      </c>
    </row>
    <row r="107" spans="1:8" x14ac:dyDescent="0.25">
      <c r="A107" s="8">
        <v>43065.506909722222</v>
      </c>
      <c r="B107" s="20" t="s">
        <v>362</v>
      </c>
      <c r="C107" s="20" t="s">
        <v>780</v>
      </c>
      <c r="D107" s="137">
        <v>920000</v>
      </c>
      <c r="E107" s="20" t="s">
        <v>532</v>
      </c>
      <c r="F107" s="20" t="s">
        <v>353</v>
      </c>
      <c r="G107" s="8" t="str">
        <f t="shared" si="2"/>
        <v>DAVIS MICHAEL</v>
      </c>
      <c r="H107" s="20" t="str">
        <f t="shared" si="3"/>
        <v>4007</v>
      </c>
    </row>
    <row r="108" spans="1:8" x14ac:dyDescent="0.25">
      <c r="A108" s="8">
        <v>43065.508425925924</v>
      </c>
      <c r="B108" s="20" t="s">
        <v>446</v>
      </c>
      <c r="C108" s="20" t="s">
        <v>781</v>
      </c>
      <c r="D108" s="137">
        <v>2630000</v>
      </c>
      <c r="E108" s="20" t="s">
        <v>373</v>
      </c>
      <c r="F108" s="20" t="s">
        <v>374</v>
      </c>
      <c r="G108" s="8" t="str">
        <f t="shared" si="2"/>
        <v>SAFIEF AEIMEN</v>
      </c>
      <c r="H108" s="20" t="str">
        <f t="shared" si="3"/>
        <v>4009</v>
      </c>
    </row>
    <row r="109" spans="1:8" x14ac:dyDescent="0.25">
      <c r="A109" s="8">
        <v>43065.516122685185</v>
      </c>
      <c r="B109" s="20" t="s">
        <v>449</v>
      </c>
      <c r="C109" s="20" t="s">
        <v>782</v>
      </c>
      <c r="D109" s="137">
        <v>2970000</v>
      </c>
      <c r="E109" s="20" t="s">
        <v>375</v>
      </c>
      <c r="F109" s="20" t="s">
        <v>376</v>
      </c>
      <c r="G109" s="8" t="str">
        <f t="shared" si="2"/>
        <v>GUZMAN DANNY</v>
      </c>
      <c r="H109" s="20" t="str">
        <f t="shared" si="3"/>
        <v>4049</v>
      </c>
    </row>
    <row r="110" spans="1:8" x14ac:dyDescent="0.25">
      <c r="A110" s="8">
        <v>43065.516909722224</v>
      </c>
      <c r="B110" s="20" t="s">
        <v>657</v>
      </c>
      <c r="C110" s="20" t="s">
        <v>783</v>
      </c>
      <c r="D110" s="137">
        <v>880000</v>
      </c>
      <c r="E110" s="20" t="s">
        <v>531</v>
      </c>
      <c r="F110" s="20" t="s">
        <v>353</v>
      </c>
      <c r="G110" s="8" t="str">
        <f t="shared" si="2"/>
        <v>STEWART MICHAEL</v>
      </c>
      <c r="H110" s="20" t="str">
        <f t="shared" si="3"/>
        <v>4016</v>
      </c>
    </row>
    <row r="111" spans="1:8" x14ac:dyDescent="0.25">
      <c r="A111" s="8">
        <v>43065.522581018522</v>
      </c>
      <c r="B111" s="20" t="s">
        <v>655</v>
      </c>
      <c r="C111" s="20" t="s">
        <v>784</v>
      </c>
      <c r="D111" s="137">
        <v>2560000</v>
      </c>
      <c r="E111" s="20" t="s">
        <v>480</v>
      </c>
      <c r="F111" s="20" t="s">
        <v>481</v>
      </c>
      <c r="G111" s="8" t="str">
        <f t="shared" si="2"/>
        <v>MACDONALD THOMAS</v>
      </c>
      <c r="H111" s="20" t="str">
        <f t="shared" si="3"/>
        <v>4025</v>
      </c>
    </row>
    <row r="112" spans="1:8" x14ac:dyDescent="0.25">
      <c r="A112" s="8">
        <v>43065.527789351851</v>
      </c>
      <c r="B112" s="20" t="s">
        <v>562</v>
      </c>
      <c r="C112" s="20" t="s">
        <v>785</v>
      </c>
      <c r="D112" s="137">
        <v>2230000</v>
      </c>
      <c r="E112" s="20" t="s">
        <v>394</v>
      </c>
      <c r="F112" s="20" t="s">
        <v>353</v>
      </c>
      <c r="G112" s="8" t="str">
        <f t="shared" si="2"/>
        <v>SMITH MICHAEL</v>
      </c>
      <c r="H112" s="20" t="str">
        <f t="shared" si="3"/>
        <v>4040</v>
      </c>
    </row>
    <row r="113" spans="1:8" x14ac:dyDescent="0.25">
      <c r="A113" s="8">
        <v>43065.5312037037</v>
      </c>
      <c r="B113" s="20" t="s">
        <v>659</v>
      </c>
      <c r="C113" s="20" t="s">
        <v>660</v>
      </c>
      <c r="D113" s="137">
        <v>3330000</v>
      </c>
      <c r="E113" s="20" t="s">
        <v>778</v>
      </c>
      <c r="F113" s="20" t="s">
        <v>779</v>
      </c>
      <c r="G113" s="8" t="str">
        <f t="shared" si="2"/>
        <v>GONZALEZ ARMANDO</v>
      </c>
      <c r="H113" s="20" t="str">
        <f t="shared" si="3"/>
        <v>4006</v>
      </c>
    </row>
    <row r="114" spans="1:8" x14ac:dyDescent="0.25">
      <c r="A114" s="8">
        <v>43065.535405092596</v>
      </c>
      <c r="B114" s="20" t="s">
        <v>503</v>
      </c>
      <c r="C114" s="20" t="s">
        <v>786</v>
      </c>
      <c r="D114" s="137">
        <v>2550000</v>
      </c>
      <c r="E114" s="20" t="s">
        <v>760</v>
      </c>
      <c r="F114" s="20" t="s">
        <v>761</v>
      </c>
      <c r="G114" s="8" t="str">
        <f t="shared" si="2"/>
        <v>BADERTSCHER DIANE</v>
      </c>
      <c r="H114" s="20" t="str">
        <f t="shared" si="3"/>
        <v>4041</v>
      </c>
    </row>
    <row r="115" spans="1:8" x14ac:dyDescent="0.25">
      <c r="A115" s="8">
        <v>43065.54005787037</v>
      </c>
      <c r="B115" s="20" t="s">
        <v>357</v>
      </c>
      <c r="C115" s="20" t="s">
        <v>787</v>
      </c>
      <c r="D115" s="137">
        <v>920000</v>
      </c>
      <c r="E115" s="20" t="s">
        <v>532</v>
      </c>
      <c r="F115" s="20" t="s">
        <v>353</v>
      </c>
      <c r="G115" s="8" t="str">
        <f t="shared" si="2"/>
        <v>DAVIS MICHAEL</v>
      </c>
      <c r="H115" s="20" t="str">
        <f t="shared" si="3"/>
        <v>4008</v>
      </c>
    </row>
    <row r="116" spans="1:8" x14ac:dyDescent="0.25">
      <c r="A116" s="8">
        <v>43065.54109953704</v>
      </c>
      <c r="B116" s="20" t="s">
        <v>663</v>
      </c>
      <c r="C116" s="20" t="s">
        <v>788</v>
      </c>
      <c r="D116" s="137">
        <v>2560000</v>
      </c>
      <c r="E116" s="20" t="s">
        <v>480</v>
      </c>
      <c r="F116" s="20" t="s">
        <v>481</v>
      </c>
      <c r="G116" s="8" t="str">
        <f t="shared" si="2"/>
        <v>MACDONALD THOMAS</v>
      </c>
      <c r="H116" s="20" t="str">
        <f t="shared" si="3"/>
        <v>4026</v>
      </c>
    </row>
    <row r="117" spans="1:8" x14ac:dyDescent="0.25">
      <c r="A117" s="8">
        <v>43065.545706018522</v>
      </c>
      <c r="B117" s="20" t="s">
        <v>703</v>
      </c>
      <c r="C117" s="20" t="s">
        <v>789</v>
      </c>
      <c r="D117" s="137">
        <v>3330000</v>
      </c>
      <c r="E117" s="20" t="s">
        <v>778</v>
      </c>
      <c r="F117" s="20" t="s">
        <v>779</v>
      </c>
      <c r="G117" s="8" t="str">
        <f t="shared" si="2"/>
        <v>GONZALEZ ARMANDO</v>
      </c>
      <c r="H117" s="20" t="str">
        <f t="shared" si="3"/>
        <v>4005</v>
      </c>
    </row>
    <row r="118" spans="1:8" x14ac:dyDescent="0.25">
      <c r="A118" s="8">
        <v>43065.550543981481</v>
      </c>
      <c r="B118" s="20" t="s">
        <v>447</v>
      </c>
      <c r="C118" s="20" t="s">
        <v>790</v>
      </c>
      <c r="D118" s="137">
        <v>2630000</v>
      </c>
      <c r="E118" s="20" t="s">
        <v>373</v>
      </c>
      <c r="F118" s="20" t="s">
        <v>374</v>
      </c>
      <c r="G118" s="8" t="str">
        <f t="shared" si="2"/>
        <v>SAFIEF AEIMEN</v>
      </c>
      <c r="H118" s="20" t="str">
        <f t="shared" si="3"/>
        <v>4010</v>
      </c>
    </row>
    <row r="119" spans="1:8" x14ac:dyDescent="0.25">
      <c r="A119" s="8">
        <v>43065.556550925925</v>
      </c>
      <c r="B119" s="20" t="s">
        <v>665</v>
      </c>
      <c r="C119" s="20" t="s">
        <v>791</v>
      </c>
      <c r="D119" s="137">
        <v>880000</v>
      </c>
      <c r="E119" s="20" t="s">
        <v>531</v>
      </c>
      <c r="F119" s="20" t="s">
        <v>353</v>
      </c>
      <c r="G119" s="8" t="str">
        <f t="shared" si="2"/>
        <v>STEWART MICHAEL</v>
      </c>
      <c r="H119" s="20" t="str">
        <f t="shared" si="3"/>
        <v>4015</v>
      </c>
    </row>
    <row r="120" spans="1:8" x14ac:dyDescent="0.25">
      <c r="A120" s="8">
        <v>43065.55872685185</v>
      </c>
      <c r="B120" s="20" t="s">
        <v>450</v>
      </c>
      <c r="C120" s="20" t="s">
        <v>792</v>
      </c>
      <c r="D120" s="137">
        <v>2970000</v>
      </c>
      <c r="E120" s="20" t="s">
        <v>375</v>
      </c>
      <c r="F120" s="20" t="s">
        <v>376</v>
      </c>
      <c r="G120" s="8" t="str">
        <f t="shared" si="2"/>
        <v>GUZMAN DANNY</v>
      </c>
      <c r="H120" s="20" t="str">
        <f t="shared" si="3"/>
        <v>4050</v>
      </c>
    </row>
    <row r="121" spans="1:8" x14ac:dyDescent="0.25">
      <c r="A121" s="8">
        <v>43065.560995370368</v>
      </c>
      <c r="B121" s="20" t="s">
        <v>563</v>
      </c>
      <c r="C121" s="20" t="s">
        <v>793</v>
      </c>
      <c r="D121" s="137">
        <v>2230000</v>
      </c>
      <c r="E121" s="20" t="s">
        <v>394</v>
      </c>
      <c r="F121" s="20" t="s">
        <v>353</v>
      </c>
      <c r="G121" s="8" t="str">
        <f t="shared" si="2"/>
        <v>SMITH MICHAEL</v>
      </c>
      <c r="H121" s="20" t="str">
        <f t="shared" si="3"/>
        <v>4039</v>
      </c>
    </row>
    <row r="122" spans="1:8" x14ac:dyDescent="0.25">
      <c r="A122" s="8">
        <v>43065.563750000001</v>
      </c>
      <c r="B122" s="25" t="s">
        <v>655</v>
      </c>
      <c r="C122" s="20" t="s">
        <v>794</v>
      </c>
      <c r="D122" s="137">
        <v>2560000</v>
      </c>
      <c r="E122" s="20" t="s">
        <v>480</v>
      </c>
      <c r="F122" s="20" t="s">
        <v>481</v>
      </c>
      <c r="G122" s="8" t="str">
        <f t="shared" si="2"/>
        <v>MACDONALD THOMAS</v>
      </c>
      <c r="H122" s="20" t="str">
        <f t="shared" si="3"/>
        <v>4025</v>
      </c>
    </row>
    <row r="123" spans="1:8" x14ac:dyDescent="0.25">
      <c r="A123" s="8">
        <v>43065.569490740738</v>
      </c>
      <c r="B123" s="20" t="s">
        <v>453</v>
      </c>
      <c r="C123" s="20" t="s">
        <v>795</v>
      </c>
      <c r="D123" s="137">
        <v>2550000</v>
      </c>
      <c r="E123" s="20" t="s">
        <v>760</v>
      </c>
      <c r="F123" s="20" t="s">
        <v>761</v>
      </c>
      <c r="G123" s="8" t="str">
        <f t="shared" si="2"/>
        <v>BADERTSCHER DIANE</v>
      </c>
      <c r="H123" s="20" t="str">
        <f t="shared" si="3"/>
        <v>4042</v>
      </c>
    </row>
    <row r="124" spans="1:8" x14ac:dyDescent="0.25">
      <c r="A124" s="8">
        <v>43065.578113425923</v>
      </c>
      <c r="B124" s="20" t="s">
        <v>659</v>
      </c>
      <c r="C124" s="20" t="s">
        <v>796</v>
      </c>
      <c r="D124" s="137">
        <v>3330000</v>
      </c>
      <c r="E124" s="20" t="s">
        <v>778</v>
      </c>
      <c r="F124" s="20" t="s">
        <v>779</v>
      </c>
      <c r="G124" s="8" t="str">
        <f t="shared" si="2"/>
        <v>GONZALEZ ARMANDO</v>
      </c>
      <c r="H124" s="20" t="str">
        <f t="shared" si="3"/>
        <v>4006</v>
      </c>
    </row>
    <row r="125" spans="1:8" x14ac:dyDescent="0.25">
      <c r="A125" s="8">
        <v>43065.580011574071</v>
      </c>
      <c r="B125" s="20" t="s">
        <v>362</v>
      </c>
      <c r="C125" s="20" t="s">
        <v>797</v>
      </c>
      <c r="D125" s="137">
        <v>920000</v>
      </c>
      <c r="E125" s="20" t="s">
        <v>532</v>
      </c>
      <c r="F125" s="20" t="s">
        <v>353</v>
      </c>
      <c r="G125" s="8" t="str">
        <f t="shared" si="2"/>
        <v>DAVIS MICHAEL</v>
      </c>
      <c r="H125" s="20" t="str">
        <f t="shared" si="3"/>
        <v>4007</v>
      </c>
    </row>
    <row r="126" spans="1:8" x14ac:dyDescent="0.25">
      <c r="A126" s="8">
        <v>43065.585798611108</v>
      </c>
      <c r="B126" s="20" t="s">
        <v>446</v>
      </c>
      <c r="C126" s="20" t="s">
        <v>798</v>
      </c>
      <c r="D126" s="137">
        <v>2630000</v>
      </c>
      <c r="E126" s="20" t="s">
        <v>373</v>
      </c>
      <c r="F126" s="20" t="s">
        <v>374</v>
      </c>
      <c r="G126" s="8" t="str">
        <f t="shared" si="2"/>
        <v>SAFIEF AEIMEN</v>
      </c>
      <c r="H126" s="20" t="str">
        <f t="shared" si="3"/>
        <v>4009</v>
      </c>
    </row>
    <row r="127" spans="1:8" x14ac:dyDescent="0.25">
      <c r="A127" s="8">
        <v>43065.586458333331</v>
      </c>
      <c r="B127" s="20" t="s">
        <v>663</v>
      </c>
      <c r="C127" s="20" t="s">
        <v>799</v>
      </c>
      <c r="D127" s="137">
        <v>2420000</v>
      </c>
      <c r="E127" s="20" t="s">
        <v>800</v>
      </c>
      <c r="F127" s="20" t="s">
        <v>801</v>
      </c>
      <c r="G127" s="8" t="str">
        <f t="shared" si="2"/>
        <v>HOLCOMB KAMDEN</v>
      </c>
      <c r="H127" s="20" t="str">
        <f t="shared" si="3"/>
        <v>4026</v>
      </c>
    </row>
    <row r="128" spans="1:8" x14ac:dyDescent="0.25">
      <c r="A128" s="8">
        <v>43065.589918981481</v>
      </c>
      <c r="B128" s="20" t="s">
        <v>657</v>
      </c>
      <c r="C128" s="20" t="s">
        <v>802</v>
      </c>
      <c r="D128" s="137">
        <v>880000</v>
      </c>
      <c r="E128" s="20" t="s">
        <v>531</v>
      </c>
      <c r="F128" s="20" t="s">
        <v>353</v>
      </c>
      <c r="G128" s="8" t="str">
        <f t="shared" si="2"/>
        <v>STEWART MICHAEL</v>
      </c>
      <c r="H128" s="20" t="str">
        <f t="shared" si="3"/>
        <v>4016</v>
      </c>
    </row>
    <row r="129" spans="1:8" x14ac:dyDescent="0.25">
      <c r="A129" s="8">
        <v>43065.593206018515</v>
      </c>
      <c r="B129" s="20" t="s">
        <v>449</v>
      </c>
      <c r="C129" s="20" t="s">
        <v>803</v>
      </c>
      <c r="D129" s="137">
        <v>2970000</v>
      </c>
      <c r="E129" s="20" t="s">
        <v>375</v>
      </c>
      <c r="F129" s="20" t="s">
        <v>376</v>
      </c>
      <c r="G129" s="8" t="str">
        <f t="shared" si="2"/>
        <v>GUZMAN DANNY</v>
      </c>
      <c r="H129" s="20" t="str">
        <f t="shared" si="3"/>
        <v>4049</v>
      </c>
    </row>
    <row r="130" spans="1:8" x14ac:dyDescent="0.25">
      <c r="A130" s="8">
        <v>43065.600347222222</v>
      </c>
      <c r="B130" s="20" t="s">
        <v>562</v>
      </c>
      <c r="C130" s="20" t="s">
        <v>804</v>
      </c>
      <c r="D130" s="137">
        <v>2230000</v>
      </c>
      <c r="E130" s="20" t="s">
        <v>394</v>
      </c>
      <c r="F130" s="20" t="s">
        <v>353</v>
      </c>
      <c r="G130" s="8" t="str">
        <f t="shared" si="2"/>
        <v>SMITH MICHAEL</v>
      </c>
      <c r="H130" s="20" t="str">
        <f t="shared" si="3"/>
        <v>4040</v>
      </c>
    </row>
    <row r="131" spans="1:8" x14ac:dyDescent="0.25">
      <c r="A131" s="8">
        <v>43065.601412037038</v>
      </c>
      <c r="B131" s="20" t="s">
        <v>655</v>
      </c>
      <c r="C131" s="20" t="s">
        <v>661</v>
      </c>
      <c r="D131" s="137">
        <v>2420000</v>
      </c>
      <c r="E131" s="20" t="s">
        <v>800</v>
      </c>
      <c r="F131" s="20" t="s">
        <v>801</v>
      </c>
      <c r="G131" s="8" t="str">
        <f t="shared" ref="G131:G194" si="4">E131&amp;" "&amp;F131</f>
        <v>HOLCOMB KAMDEN</v>
      </c>
      <c r="H131" s="20" t="str">
        <f t="shared" ref="H131:H194" si="5">MID(B131,13,4)</f>
        <v>4025</v>
      </c>
    </row>
    <row r="132" spans="1:8" x14ac:dyDescent="0.25">
      <c r="A132" s="8">
        <v>43065.606944444444</v>
      </c>
      <c r="B132" s="20" t="s">
        <v>503</v>
      </c>
      <c r="C132" s="20" t="s">
        <v>805</v>
      </c>
      <c r="D132" s="137">
        <v>2550000</v>
      </c>
      <c r="E132" s="20" t="s">
        <v>760</v>
      </c>
      <c r="F132" s="20" t="s">
        <v>761</v>
      </c>
      <c r="G132" s="8" t="str">
        <f t="shared" si="4"/>
        <v>BADERTSCHER DIANE</v>
      </c>
      <c r="H132" s="20" t="str">
        <f t="shared" si="5"/>
        <v>4041</v>
      </c>
    </row>
    <row r="133" spans="1:8" x14ac:dyDescent="0.25">
      <c r="A133" s="8">
        <v>43065.613518518519</v>
      </c>
      <c r="B133" s="20" t="s">
        <v>357</v>
      </c>
      <c r="C133" s="20" t="s">
        <v>662</v>
      </c>
      <c r="D133" s="137">
        <v>920000</v>
      </c>
      <c r="E133" s="20" t="s">
        <v>532</v>
      </c>
      <c r="F133" s="20" t="s">
        <v>353</v>
      </c>
      <c r="G133" s="8" t="str">
        <f t="shared" si="4"/>
        <v>DAVIS MICHAEL</v>
      </c>
      <c r="H133" s="20" t="str">
        <f t="shared" si="5"/>
        <v>4008</v>
      </c>
    </row>
    <row r="134" spans="1:8" x14ac:dyDescent="0.25">
      <c r="A134" s="8">
        <v>43065.615856481483</v>
      </c>
      <c r="B134" s="20" t="s">
        <v>358</v>
      </c>
      <c r="C134" s="20" t="s">
        <v>806</v>
      </c>
      <c r="D134" s="137">
        <v>3030000</v>
      </c>
      <c r="E134" s="20" t="s">
        <v>807</v>
      </c>
      <c r="F134" s="20" t="s">
        <v>481</v>
      </c>
      <c r="G134" s="8" t="str">
        <f t="shared" si="4"/>
        <v>BIRENBAUM THOMAS</v>
      </c>
      <c r="H134" s="20" t="str">
        <f t="shared" si="5"/>
        <v>4060</v>
      </c>
    </row>
    <row r="135" spans="1:8" x14ac:dyDescent="0.25">
      <c r="A135" s="8">
        <v>43065.618993055556</v>
      </c>
      <c r="B135" s="20" t="s">
        <v>703</v>
      </c>
      <c r="C135" s="20" t="s">
        <v>808</v>
      </c>
      <c r="D135" s="137">
        <v>3330000</v>
      </c>
      <c r="E135" s="20" t="s">
        <v>778</v>
      </c>
      <c r="F135" s="20" t="s">
        <v>779</v>
      </c>
      <c r="G135" s="8" t="str">
        <f t="shared" si="4"/>
        <v>GONZALEZ ARMANDO</v>
      </c>
      <c r="H135" s="20" t="str">
        <f t="shared" si="5"/>
        <v>4005</v>
      </c>
    </row>
    <row r="136" spans="1:8" x14ac:dyDescent="0.25">
      <c r="A136" s="8">
        <v>43065.619166666664</v>
      </c>
      <c r="B136" s="20" t="s">
        <v>391</v>
      </c>
      <c r="C136" s="20" t="s">
        <v>806</v>
      </c>
      <c r="D136" s="137">
        <v>3030000</v>
      </c>
      <c r="E136" s="20" t="s">
        <v>807</v>
      </c>
      <c r="F136" s="20" t="s">
        <v>481</v>
      </c>
      <c r="G136" s="8" t="str">
        <f t="shared" si="4"/>
        <v>BIRENBAUM THOMAS</v>
      </c>
      <c r="H136" s="20" t="str">
        <f t="shared" si="5"/>
        <v>4059</v>
      </c>
    </row>
    <row r="137" spans="1:8" x14ac:dyDescent="0.25">
      <c r="A137" s="8">
        <v>43065.62427083333</v>
      </c>
      <c r="B137" s="20" t="s">
        <v>358</v>
      </c>
      <c r="C137" s="20" t="s">
        <v>809</v>
      </c>
      <c r="D137" s="137">
        <v>2630000</v>
      </c>
      <c r="E137" s="20" t="s">
        <v>373</v>
      </c>
      <c r="F137" s="20" t="s">
        <v>374</v>
      </c>
      <c r="G137" s="8" t="str">
        <f t="shared" si="4"/>
        <v>SAFIEF AEIMEN</v>
      </c>
      <c r="H137" s="20" t="str">
        <f t="shared" si="5"/>
        <v>4060</v>
      </c>
    </row>
    <row r="138" spans="1:8" x14ac:dyDescent="0.25">
      <c r="A138" s="8">
        <v>43065.624965277777</v>
      </c>
      <c r="B138" s="20" t="s">
        <v>663</v>
      </c>
      <c r="C138" s="20" t="s">
        <v>664</v>
      </c>
      <c r="D138" s="137">
        <v>2420000</v>
      </c>
      <c r="E138" s="20" t="s">
        <v>800</v>
      </c>
      <c r="F138" s="20" t="s">
        <v>801</v>
      </c>
      <c r="G138" s="8" t="str">
        <f t="shared" si="4"/>
        <v>HOLCOMB KAMDEN</v>
      </c>
      <c r="H138" s="20" t="str">
        <f t="shared" si="5"/>
        <v>4026</v>
      </c>
    </row>
    <row r="139" spans="1:8" x14ac:dyDescent="0.25">
      <c r="A139" s="8">
        <v>43065.629224537035</v>
      </c>
      <c r="B139" s="20" t="s">
        <v>665</v>
      </c>
      <c r="C139" s="20" t="s">
        <v>666</v>
      </c>
      <c r="D139" s="137">
        <v>880000</v>
      </c>
      <c r="E139" s="20" t="s">
        <v>531</v>
      </c>
      <c r="F139" s="20" t="s">
        <v>353</v>
      </c>
      <c r="G139" s="8" t="str">
        <f t="shared" si="4"/>
        <v>STEWART MICHAEL</v>
      </c>
      <c r="H139" s="20" t="str">
        <f t="shared" si="5"/>
        <v>4015</v>
      </c>
    </row>
    <row r="140" spans="1:8" x14ac:dyDescent="0.25">
      <c r="A140" s="8">
        <v>43065.631192129629</v>
      </c>
      <c r="B140" s="20" t="s">
        <v>450</v>
      </c>
      <c r="C140" s="20" t="s">
        <v>810</v>
      </c>
      <c r="D140" s="137">
        <v>2970000</v>
      </c>
      <c r="E140" s="20" t="s">
        <v>375</v>
      </c>
      <c r="F140" s="20" t="s">
        <v>376</v>
      </c>
      <c r="G140" s="8" t="str">
        <f t="shared" si="4"/>
        <v>GUZMAN DANNY</v>
      </c>
      <c r="H140" s="20" t="str">
        <f t="shared" si="5"/>
        <v>4050</v>
      </c>
    </row>
    <row r="141" spans="1:8" x14ac:dyDescent="0.25">
      <c r="A141" s="8">
        <v>43065.637743055559</v>
      </c>
      <c r="B141" s="20" t="s">
        <v>563</v>
      </c>
      <c r="C141" s="20" t="s">
        <v>811</v>
      </c>
      <c r="D141" s="137">
        <v>2230000</v>
      </c>
      <c r="E141" s="20" t="s">
        <v>394</v>
      </c>
      <c r="F141" s="20" t="s">
        <v>353</v>
      </c>
      <c r="G141" s="8" t="str">
        <f t="shared" si="4"/>
        <v>SMITH MICHAEL</v>
      </c>
      <c r="H141" s="20" t="str">
        <f t="shared" si="5"/>
        <v>4039</v>
      </c>
    </row>
    <row r="142" spans="1:8" x14ac:dyDescent="0.25">
      <c r="A142" s="8">
        <v>43065.642326388886</v>
      </c>
      <c r="B142" s="20" t="s">
        <v>453</v>
      </c>
      <c r="C142" s="20" t="s">
        <v>812</v>
      </c>
      <c r="D142" s="137">
        <v>2550000</v>
      </c>
      <c r="E142" s="20" t="s">
        <v>760</v>
      </c>
      <c r="F142" s="20" t="s">
        <v>761</v>
      </c>
      <c r="G142" s="8" t="str">
        <f t="shared" si="4"/>
        <v>BADERTSCHER DIANE</v>
      </c>
      <c r="H142" s="20" t="str">
        <f t="shared" si="5"/>
        <v>4042</v>
      </c>
    </row>
    <row r="143" spans="1:8" x14ac:dyDescent="0.25">
      <c r="A143" s="8">
        <v>43065.642824074072</v>
      </c>
      <c r="B143" s="20" t="s">
        <v>655</v>
      </c>
      <c r="C143" s="20" t="s">
        <v>813</v>
      </c>
      <c r="D143" s="137">
        <v>2420000</v>
      </c>
      <c r="E143" s="20" t="s">
        <v>800</v>
      </c>
      <c r="F143" s="20" t="s">
        <v>801</v>
      </c>
      <c r="G143" s="8" t="str">
        <f t="shared" si="4"/>
        <v>HOLCOMB KAMDEN</v>
      </c>
      <c r="H143" s="20" t="str">
        <f t="shared" si="5"/>
        <v>4025</v>
      </c>
    </row>
    <row r="144" spans="1:8" x14ac:dyDescent="0.25">
      <c r="A144" s="8">
        <v>43065.648935185185</v>
      </c>
      <c r="B144" s="20" t="s">
        <v>447</v>
      </c>
      <c r="C144" s="20" t="s">
        <v>814</v>
      </c>
      <c r="D144" s="137">
        <v>2470000</v>
      </c>
      <c r="E144" s="20" t="s">
        <v>815</v>
      </c>
      <c r="F144" s="20" t="s">
        <v>816</v>
      </c>
      <c r="G144" s="8" t="str">
        <f t="shared" si="4"/>
        <v>ROMERO CHAD</v>
      </c>
      <c r="H144" s="20" t="str">
        <f t="shared" si="5"/>
        <v>4010</v>
      </c>
    </row>
    <row r="145" spans="1:8" x14ac:dyDescent="0.25">
      <c r="A145" s="8">
        <v>43065.651446759257</v>
      </c>
      <c r="B145" s="20" t="s">
        <v>659</v>
      </c>
      <c r="C145" s="20" t="s">
        <v>817</v>
      </c>
      <c r="D145" s="137">
        <v>3330000</v>
      </c>
      <c r="E145" s="20" t="s">
        <v>778</v>
      </c>
      <c r="F145" s="20" t="s">
        <v>779</v>
      </c>
      <c r="G145" s="8" t="str">
        <f t="shared" si="4"/>
        <v>GONZALEZ ARMANDO</v>
      </c>
      <c r="H145" s="20" t="str">
        <f t="shared" si="5"/>
        <v>4006</v>
      </c>
    </row>
    <row r="146" spans="1:8" x14ac:dyDescent="0.25">
      <c r="A146" s="8">
        <v>43065.652881944443</v>
      </c>
      <c r="B146" s="20" t="s">
        <v>362</v>
      </c>
      <c r="C146" s="20" t="s">
        <v>818</v>
      </c>
      <c r="D146" s="137">
        <v>920000</v>
      </c>
      <c r="E146" s="20" t="s">
        <v>532</v>
      </c>
      <c r="F146" s="20" t="s">
        <v>353</v>
      </c>
      <c r="G146" s="8" t="str">
        <f t="shared" si="4"/>
        <v>DAVIS MICHAEL</v>
      </c>
      <c r="H146" s="20" t="str">
        <f t="shared" si="5"/>
        <v>4007</v>
      </c>
    </row>
    <row r="147" spans="1:8" x14ac:dyDescent="0.25">
      <c r="A147" s="8">
        <v>43065.653379629628</v>
      </c>
      <c r="B147" s="20" t="s">
        <v>391</v>
      </c>
      <c r="C147" s="20" t="s">
        <v>819</v>
      </c>
      <c r="D147" s="137">
        <v>2630000</v>
      </c>
      <c r="E147" s="20" t="s">
        <v>373</v>
      </c>
      <c r="F147" s="20" t="s">
        <v>374</v>
      </c>
      <c r="G147" s="8" t="str">
        <f t="shared" si="4"/>
        <v>SAFIEF AEIMEN</v>
      </c>
      <c r="H147" s="20" t="str">
        <f t="shared" si="5"/>
        <v>4059</v>
      </c>
    </row>
    <row r="148" spans="1:8" x14ac:dyDescent="0.25">
      <c r="A148" s="8">
        <v>43065.663587962961</v>
      </c>
      <c r="B148" s="20" t="s">
        <v>657</v>
      </c>
      <c r="C148" s="20" t="s">
        <v>820</v>
      </c>
      <c r="D148" s="137">
        <v>880000</v>
      </c>
      <c r="E148" s="20" t="s">
        <v>531</v>
      </c>
      <c r="F148" s="20" t="s">
        <v>353</v>
      </c>
      <c r="G148" s="8" t="str">
        <f t="shared" si="4"/>
        <v>STEWART MICHAEL</v>
      </c>
      <c r="H148" s="20" t="str">
        <f t="shared" si="5"/>
        <v>4016</v>
      </c>
    </row>
    <row r="149" spans="1:8" x14ac:dyDescent="0.25">
      <c r="A149" s="8">
        <v>43065.665312500001</v>
      </c>
      <c r="B149" s="20" t="s">
        <v>449</v>
      </c>
      <c r="C149" s="20" t="s">
        <v>821</v>
      </c>
      <c r="D149" s="137">
        <v>2970000</v>
      </c>
      <c r="E149" s="20" t="s">
        <v>375</v>
      </c>
      <c r="F149" s="20" t="s">
        <v>376</v>
      </c>
      <c r="G149" s="8" t="str">
        <f t="shared" si="4"/>
        <v>GUZMAN DANNY</v>
      </c>
      <c r="H149" s="20" t="str">
        <f t="shared" si="5"/>
        <v>4049</v>
      </c>
    </row>
    <row r="150" spans="1:8" x14ac:dyDescent="0.25">
      <c r="A150" s="8">
        <v>43065.669456018521</v>
      </c>
      <c r="B150" s="20" t="s">
        <v>663</v>
      </c>
      <c r="C150" s="20" t="s">
        <v>822</v>
      </c>
      <c r="D150" s="137">
        <v>2420000</v>
      </c>
      <c r="E150" s="20" t="s">
        <v>800</v>
      </c>
      <c r="F150" s="20" t="s">
        <v>801</v>
      </c>
      <c r="G150" s="8" t="str">
        <f t="shared" si="4"/>
        <v>HOLCOMB KAMDEN</v>
      </c>
      <c r="H150" s="20" t="str">
        <f t="shared" si="5"/>
        <v>4026</v>
      </c>
    </row>
    <row r="151" spans="1:8" x14ac:dyDescent="0.25">
      <c r="A151" s="8">
        <v>43065.672534722224</v>
      </c>
      <c r="B151" s="20" t="s">
        <v>562</v>
      </c>
      <c r="C151" s="20" t="s">
        <v>823</v>
      </c>
      <c r="D151" s="137">
        <v>2230000</v>
      </c>
      <c r="E151" s="20" t="s">
        <v>394</v>
      </c>
      <c r="F151" s="20" t="s">
        <v>353</v>
      </c>
      <c r="G151" s="8" t="str">
        <f t="shared" si="4"/>
        <v>SMITH MICHAEL</v>
      </c>
      <c r="H151" s="20" t="str">
        <f t="shared" si="5"/>
        <v>4040</v>
      </c>
    </row>
    <row r="152" spans="1:8" x14ac:dyDescent="0.25">
      <c r="A152" s="8">
        <v>43065.681828703702</v>
      </c>
      <c r="B152" s="20" t="s">
        <v>503</v>
      </c>
      <c r="C152" s="20" t="s">
        <v>824</v>
      </c>
      <c r="D152" s="137">
        <v>2550000</v>
      </c>
      <c r="E152" s="20" t="s">
        <v>760</v>
      </c>
      <c r="F152" s="20" t="s">
        <v>761</v>
      </c>
      <c r="G152" s="8" t="str">
        <f t="shared" si="4"/>
        <v>BADERTSCHER DIANE</v>
      </c>
      <c r="H152" s="20" t="str">
        <f t="shared" si="5"/>
        <v>4041</v>
      </c>
    </row>
    <row r="153" spans="1:8" x14ac:dyDescent="0.25">
      <c r="A153" s="8">
        <v>43065.683888888889</v>
      </c>
      <c r="B153" s="20" t="s">
        <v>655</v>
      </c>
      <c r="C153" s="20" t="s">
        <v>825</v>
      </c>
      <c r="D153" s="137">
        <v>2420000</v>
      </c>
      <c r="E153" s="20" t="s">
        <v>800</v>
      </c>
      <c r="F153" s="20" t="s">
        <v>801</v>
      </c>
      <c r="G153" s="8" t="str">
        <f t="shared" si="4"/>
        <v>HOLCOMB KAMDEN</v>
      </c>
      <c r="H153" s="20" t="str">
        <f t="shared" si="5"/>
        <v>4025</v>
      </c>
    </row>
    <row r="154" spans="1:8" x14ac:dyDescent="0.25">
      <c r="A154" s="8">
        <v>43065.685787037037</v>
      </c>
      <c r="B154" s="20" t="s">
        <v>357</v>
      </c>
      <c r="C154" s="20" t="s">
        <v>826</v>
      </c>
      <c r="D154" s="137">
        <v>920000</v>
      </c>
      <c r="E154" s="20" t="s">
        <v>532</v>
      </c>
      <c r="F154" s="20" t="s">
        <v>353</v>
      </c>
      <c r="G154" s="8" t="str">
        <f t="shared" si="4"/>
        <v>DAVIS MICHAEL</v>
      </c>
      <c r="H154" s="20" t="str">
        <f t="shared" si="5"/>
        <v>4008</v>
      </c>
    </row>
    <row r="155" spans="1:8" x14ac:dyDescent="0.25">
      <c r="A155" s="8">
        <v>43065.690347222226</v>
      </c>
      <c r="B155" s="20" t="s">
        <v>703</v>
      </c>
      <c r="C155" s="20" t="s">
        <v>827</v>
      </c>
      <c r="D155" s="137">
        <v>3330000</v>
      </c>
      <c r="E155" s="20" t="s">
        <v>778</v>
      </c>
      <c r="F155" s="20" t="s">
        <v>779</v>
      </c>
      <c r="G155" s="8" t="str">
        <f t="shared" si="4"/>
        <v>GONZALEZ ARMANDO</v>
      </c>
      <c r="H155" s="20" t="str">
        <f t="shared" si="5"/>
        <v>4005</v>
      </c>
    </row>
    <row r="156" spans="1:8" x14ac:dyDescent="0.25">
      <c r="A156" s="8">
        <v>43065.695937500001</v>
      </c>
      <c r="B156" s="20" t="s">
        <v>358</v>
      </c>
      <c r="C156" s="20" t="s">
        <v>828</v>
      </c>
      <c r="D156" s="137">
        <v>2630000</v>
      </c>
      <c r="E156" s="20" t="s">
        <v>373</v>
      </c>
      <c r="F156" s="20" t="s">
        <v>374</v>
      </c>
      <c r="G156" s="8" t="str">
        <f t="shared" si="4"/>
        <v>SAFIEF AEIMEN</v>
      </c>
      <c r="H156" s="20" t="str">
        <f t="shared" si="5"/>
        <v>4060</v>
      </c>
    </row>
    <row r="157" spans="1:8" x14ac:dyDescent="0.25">
      <c r="A157" s="8">
        <v>43065.702430555553</v>
      </c>
      <c r="B157" s="20" t="s">
        <v>665</v>
      </c>
      <c r="C157" s="20" t="s">
        <v>829</v>
      </c>
      <c r="D157" s="137">
        <v>880000</v>
      </c>
      <c r="E157" s="20" t="s">
        <v>531</v>
      </c>
      <c r="F157" s="20" t="s">
        <v>353</v>
      </c>
      <c r="G157" s="8" t="str">
        <f t="shared" si="4"/>
        <v>STEWART MICHAEL</v>
      </c>
      <c r="H157" s="20" t="str">
        <f t="shared" si="5"/>
        <v>4015</v>
      </c>
    </row>
    <row r="158" spans="1:8" x14ac:dyDescent="0.25">
      <c r="A158" s="8">
        <v>43065.705150462964</v>
      </c>
      <c r="B158" s="20" t="s">
        <v>450</v>
      </c>
      <c r="C158" s="20" t="s">
        <v>830</v>
      </c>
      <c r="D158" s="137">
        <v>2970000</v>
      </c>
      <c r="E158" s="20" t="s">
        <v>375</v>
      </c>
      <c r="F158" s="20" t="s">
        <v>376</v>
      </c>
      <c r="G158" s="8" t="str">
        <f t="shared" si="4"/>
        <v>GUZMAN DANNY</v>
      </c>
      <c r="H158" s="20" t="str">
        <f t="shared" si="5"/>
        <v>4050</v>
      </c>
    </row>
    <row r="159" spans="1:8" x14ac:dyDescent="0.25">
      <c r="A159" s="8">
        <v>43065.708599537036</v>
      </c>
      <c r="B159" s="20" t="s">
        <v>563</v>
      </c>
      <c r="C159" s="20" t="s">
        <v>831</v>
      </c>
      <c r="D159" s="137">
        <v>2230000</v>
      </c>
      <c r="E159" s="20" t="s">
        <v>394</v>
      </c>
      <c r="F159" s="20" t="s">
        <v>353</v>
      </c>
      <c r="G159" s="8" t="str">
        <f t="shared" si="4"/>
        <v>SMITH MICHAEL</v>
      </c>
      <c r="H159" s="20" t="str">
        <f t="shared" si="5"/>
        <v>4039</v>
      </c>
    </row>
    <row r="160" spans="1:8" x14ac:dyDescent="0.25">
      <c r="A160" s="8">
        <v>43065.712847222225</v>
      </c>
      <c r="B160" s="20" t="s">
        <v>663</v>
      </c>
      <c r="C160" s="20" t="s">
        <v>832</v>
      </c>
      <c r="D160" s="137">
        <v>2420000</v>
      </c>
      <c r="E160" s="20" t="s">
        <v>800</v>
      </c>
      <c r="F160" s="20" t="s">
        <v>801</v>
      </c>
      <c r="G160" s="8" t="str">
        <f t="shared" si="4"/>
        <v>HOLCOMB KAMDEN</v>
      </c>
      <c r="H160" s="20" t="str">
        <f t="shared" si="5"/>
        <v>4026</v>
      </c>
    </row>
    <row r="161" spans="1:8" x14ac:dyDescent="0.25">
      <c r="A161" s="8">
        <v>43065.714502314811</v>
      </c>
      <c r="B161" s="20" t="s">
        <v>833</v>
      </c>
      <c r="C161" s="20" t="s">
        <v>834</v>
      </c>
      <c r="D161" s="137">
        <v>3030000</v>
      </c>
      <c r="E161" s="20" t="s">
        <v>807</v>
      </c>
      <c r="F161" s="20" t="s">
        <v>481</v>
      </c>
      <c r="G161" s="8" t="str">
        <f t="shared" si="4"/>
        <v>BIRENBAUM THOMAS</v>
      </c>
      <c r="H161" s="20" t="str">
        <f t="shared" si="5"/>
        <v>4002</v>
      </c>
    </row>
    <row r="162" spans="1:8" x14ac:dyDescent="0.25">
      <c r="A162" s="8">
        <v>43065.715555555558</v>
      </c>
      <c r="B162" s="20" t="s">
        <v>453</v>
      </c>
      <c r="C162" s="20" t="s">
        <v>835</v>
      </c>
      <c r="D162" s="137">
        <v>2000000</v>
      </c>
      <c r="E162" s="20" t="s">
        <v>395</v>
      </c>
      <c r="F162" s="20" t="s">
        <v>396</v>
      </c>
      <c r="G162" s="8" t="str">
        <f t="shared" si="4"/>
        <v>STAMBAUGH JAMES</v>
      </c>
      <c r="H162" s="20" t="str">
        <f t="shared" si="5"/>
        <v>4042</v>
      </c>
    </row>
    <row r="163" spans="1:8" x14ac:dyDescent="0.25">
      <c r="A163" s="8">
        <v>43065.723900462966</v>
      </c>
      <c r="B163" s="20" t="s">
        <v>659</v>
      </c>
      <c r="C163" s="20" t="s">
        <v>836</v>
      </c>
      <c r="D163" s="137">
        <v>3330000</v>
      </c>
      <c r="E163" s="20" t="s">
        <v>778</v>
      </c>
      <c r="F163" s="20" t="s">
        <v>779</v>
      </c>
      <c r="G163" s="8" t="str">
        <f t="shared" si="4"/>
        <v>GONZALEZ ARMANDO</v>
      </c>
      <c r="H163" s="20" t="str">
        <f t="shared" si="5"/>
        <v>4006</v>
      </c>
    </row>
    <row r="164" spans="1:8" x14ac:dyDescent="0.25">
      <c r="A164" s="8">
        <v>43065.725763888891</v>
      </c>
      <c r="B164" s="20" t="s">
        <v>655</v>
      </c>
      <c r="C164" s="20" t="s">
        <v>837</v>
      </c>
      <c r="D164" s="137">
        <v>2420000</v>
      </c>
      <c r="E164" s="20" t="s">
        <v>800</v>
      </c>
      <c r="F164" s="20" t="s">
        <v>801</v>
      </c>
      <c r="G164" s="8" t="str">
        <f t="shared" si="4"/>
        <v>HOLCOMB KAMDEN</v>
      </c>
      <c r="H164" s="20" t="str">
        <f t="shared" si="5"/>
        <v>4025</v>
      </c>
    </row>
    <row r="165" spans="1:8" x14ac:dyDescent="0.25">
      <c r="A165" s="8">
        <v>43065.727141203701</v>
      </c>
      <c r="B165" s="20" t="s">
        <v>362</v>
      </c>
      <c r="C165" s="20" t="s">
        <v>826</v>
      </c>
      <c r="D165" s="137">
        <v>920000</v>
      </c>
      <c r="E165" s="20" t="s">
        <v>532</v>
      </c>
      <c r="F165" s="20" t="s">
        <v>353</v>
      </c>
      <c r="G165" s="8" t="str">
        <f t="shared" si="4"/>
        <v>DAVIS MICHAEL</v>
      </c>
      <c r="H165" s="20" t="str">
        <f t="shared" si="5"/>
        <v>4007</v>
      </c>
    </row>
    <row r="166" spans="1:8" x14ac:dyDescent="0.25">
      <c r="A166" s="8">
        <v>43065.727719907409</v>
      </c>
      <c r="B166" s="20" t="s">
        <v>362</v>
      </c>
      <c r="C166" s="20" t="s">
        <v>838</v>
      </c>
      <c r="D166" s="137">
        <v>920000</v>
      </c>
      <c r="E166" s="20" t="s">
        <v>532</v>
      </c>
      <c r="F166" s="20" t="s">
        <v>353</v>
      </c>
      <c r="G166" s="8" t="str">
        <f t="shared" si="4"/>
        <v>DAVIS MICHAEL</v>
      </c>
      <c r="H166" s="20" t="str">
        <f t="shared" si="5"/>
        <v>4007</v>
      </c>
    </row>
    <row r="167" spans="1:8" x14ac:dyDescent="0.25">
      <c r="A167" s="8">
        <v>43065.731423611112</v>
      </c>
      <c r="B167" s="20" t="s">
        <v>363</v>
      </c>
      <c r="C167" s="20" t="s">
        <v>839</v>
      </c>
      <c r="D167" s="137">
        <v>2540000</v>
      </c>
      <c r="E167" s="20" t="s">
        <v>462</v>
      </c>
      <c r="F167" s="20" t="s">
        <v>463</v>
      </c>
      <c r="G167" s="8" t="str">
        <f t="shared" si="4"/>
        <v>MCREYNOLDS KYLE</v>
      </c>
      <c r="H167" s="20" t="str">
        <f t="shared" si="5"/>
        <v>4017</v>
      </c>
    </row>
    <row r="168" spans="1:8" x14ac:dyDescent="0.25">
      <c r="A168" s="8">
        <v>43065.733634259261</v>
      </c>
      <c r="B168" s="20" t="s">
        <v>391</v>
      </c>
      <c r="C168" s="20" t="s">
        <v>840</v>
      </c>
      <c r="D168" s="137">
        <v>2630000</v>
      </c>
      <c r="E168" s="20" t="s">
        <v>373</v>
      </c>
      <c r="F168" s="20" t="s">
        <v>374</v>
      </c>
      <c r="G168" s="8" t="str">
        <f t="shared" si="4"/>
        <v>SAFIEF AEIMEN</v>
      </c>
      <c r="H168" s="20" t="str">
        <f t="shared" si="5"/>
        <v>4059</v>
      </c>
    </row>
    <row r="169" spans="1:8" x14ac:dyDescent="0.25">
      <c r="A169" s="8">
        <v>43065.736805555556</v>
      </c>
      <c r="B169" s="20" t="s">
        <v>449</v>
      </c>
      <c r="C169" s="20" t="s">
        <v>841</v>
      </c>
      <c r="D169" s="137">
        <v>2970000</v>
      </c>
      <c r="E169" s="20" t="s">
        <v>375</v>
      </c>
      <c r="F169" s="20" t="s">
        <v>376</v>
      </c>
      <c r="G169" s="8" t="str">
        <f t="shared" si="4"/>
        <v>GUZMAN DANNY</v>
      </c>
      <c r="H169" s="20" t="str">
        <f t="shared" si="5"/>
        <v>4049</v>
      </c>
    </row>
    <row r="170" spans="1:8" x14ac:dyDescent="0.25">
      <c r="A170" s="8">
        <v>43065.738171296296</v>
      </c>
      <c r="B170" s="20" t="s">
        <v>657</v>
      </c>
      <c r="C170" s="20" t="s">
        <v>842</v>
      </c>
      <c r="D170" s="137">
        <v>890000</v>
      </c>
      <c r="E170" s="20" t="s">
        <v>345</v>
      </c>
      <c r="F170" s="20" t="s">
        <v>346</v>
      </c>
      <c r="G170" s="8" t="str">
        <f t="shared" si="4"/>
        <v>LOZA FIDEL</v>
      </c>
      <c r="H170" s="20" t="str">
        <f t="shared" si="5"/>
        <v>4016</v>
      </c>
    </row>
    <row r="171" spans="1:8" x14ac:dyDescent="0.25">
      <c r="A171" s="8">
        <v>43065.745057870372</v>
      </c>
      <c r="B171" s="20" t="s">
        <v>562</v>
      </c>
      <c r="C171" s="20" t="s">
        <v>843</v>
      </c>
      <c r="D171" s="137">
        <v>2230000</v>
      </c>
      <c r="E171" s="20" t="s">
        <v>394</v>
      </c>
      <c r="F171" s="20" t="s">
        <v>353</v>
      </c>
      <c r="G171" s="8" t="str">
        <f t="shared" si="4"/>
        <v>SMITH MICHAEL</v>
      </c>
      <c r="H171" s="20" t="str">
        <f t="shared" si="5"/>
        <v>4040</v>
      </c>
    </row>
    <row r="172" spans="1:8" x14ac:dyDescent="0.25">
      <c r="A172" s="8">
        <v>43065.751527777778</v>
      </c>
      <c r="B172" s="20" t="s">
        <v>663</v>
      </c>
      <c r="C172" s="20" t="s">
        <v>844</v>
      </c>
      <c r="D172" s="137">
        <v>2420000</v>
      </c>
      <c r="E172" s="20" t="s">
        <v>800</v>
      </c>
      <c r="F172" s="20" t="s">
        <v>801</v>
      </c>
      <c r="G172" s="8" t="str">
        <f t="shared" si="4"/>
        <v>HOLCOMB KAMDEN</v>
      </c>
      <c r="H172" s="20" t="str">
        <f t="shared" si="5"/>
        <v>4026</v>
      </c>
    </row>
    <row r="173" spans="1:8" x14ac:dyDescent="0.25">
      <c r="A173" s="8">
        <v>43065.755995370368</v>
      </c>
      <c r="B173" s="20" t="s">
        <v>503</v>
      </c>
      <c r="C173" s="20" t="s">
        <v>845</v>
      </c>
      <c r="D173" s="137">
        <v>2000000</v>
      </c>
      <c r="E173" s="20" t="s">
        <v>395</v>
      </c>
      <c r="F173" s="20" t="s">
        <v>396</v>
      </c>
      <c r="G173" s="8" t="str">
        <f t="shared" si="4"/>
        <v>STAMBAUGH JAMES</v>
      </c>
      <c r="H173" s="20" t="str">
        <f t="shared" si="5"/>
        <v>4041</v>
      </c>
    </row>
    <row r="174" spans="1:8" x14ac:dyDescent="0.25">
      <c r="A174" s="8">
        <v>43065.757106481484</v>
      </c>
      <c r="B174" s="20" t="s">
        <v>357</v>
      </c>
      <c r="C174" s="20" t="s">
        <v>846</v>
      </c>
      <c r="D174" s="137">
        <v>3340000</v>
      </c>
      <c r="E174" s="20" t="s">
        <v>478</v>
      </c>
      <c r="F174" s="20" t="s">
        <v>479</v>
      </c>
      <c r="G174" s="8" t="str">
        <f t="shared" si="4"/>
        <v>ELBAUM MIKE</v>
      </c>
      <c r="H174" s="20" t="str">
        <f t="shared" si="5"/>
        <v>4008</v>
      </c>
    </row>
    <row r="175" spans="1:8" x14ac:dyDescent="0.25">
      <c r="A175" s="8">
        <v>43065.764282407406</v>
      </c>
      <c r="B175" s="20" t="s">
        <v>703</v>
      </c>
      <c r="C175" s="20" t="s">
        <v>847</v>
      </c>
      <c r="D175" s="137">
        <v>3330000</v>
      </c>
      <c r="E175" s="20" t="s">
        <v>778</v>
      </c>
      <c r="F175" s="20" t="s">
        <v>779</v>
      </c>
      <c r="G175" s="8" t="str">
        <f t="shared" si="4"/>
        <v>GONZALEZ ARMANDO</v>
      </c>
      <c r="H175" s="20" t="str">
        <f t="shared" si="5"/>
        <v>4005</v>
      </c>
    </row>
    <row r="176" spans="1:8" x14ac:dyDescent="0.25">
      <c r="A176" s="8">
        <v>43065.767222222225</v>
      </c>
      <c r="B176" s="20" t="s">
        <v>655</v>
      </c>
      <c r="C176" s="20" t="s">
        <v>848</v>
      </c>
      <c r="D176" s="137">
        <v>2420000</v>
      </c>
      <c r="E176" s="20" t="s">
        <v>800</v>
      </c>
      <c r="F176" s="20" t="s">
        <v>801</v>
      </c>
      <c r="G176" s="8" t="str">
        <f t="shared" si="4"/>
        <v>HOLCOMB KAMDEN</v>
      </c>
      <c r="H176" s="20" t="str">
        <f t="shared" si="5"/>
        <v>4025</v>
      </c>
    </row>
    <row r="177" spans="1:8" x14ac:dyDescent="0.25">
      <c r="A177" s="8">
        <v>43065.767696759256</v>
      </c>
      <c r="B177" s="20" t="s">
        <v>358</v>
      </c>
      <c r="C177" s="20" t="s">
        <v>849</v>
      </c>
      <c r="D177" s="137">
        <v>3220000</v>
      </c>
      <c r="E177" s="20" t="s">
        <v>379</v>
      </c>
      <c r="F177" s="20" t="s">
        <v>380</v>
      </c>
      <c r="G177" s="8" t="str">
        <f t="shared" si="4"/>
        <v>RESPASS AARON</v>
      </c>
      <c r="H177" s="20" t="str">
        <f t="shared" si="5"/>
        <v>4060</v>
      </c>
    </row>
    <row r="178" spans="1:8" x14ac:dyDescent="0.25">
      <c r="A178" s="8">
        <v>43065.776250000003</v>
      </c>
      <c r="B178" s="20" t="s">
        <v>450</v>
      </c>
      <c r="C178" s="20" t="s">
        <v>850</v>
      </c>
      <c r="D178" s="137">
        <v>2970000</v>
      </c>
      <c r="E178" s="20" t="s">
        <v>375</v>
      </c>
      <c r="F178" s="20" t="s">
        <v>376</v>
      </c>
      <c r="G178" s="8" t="str">
        <f t="shared" si="4"/>
        <v>GUZMAN DANNY</v>
      </c>
      <c r="H178" s="20" t="str">
        <f t="shared" si="5"/>
        <v>4050</v>
      </c>
    </row>
    <row r="179" spans="1:8" x14ac:dyDescent="0.25">
      <c r="A179" s="8">
        <v>43065.777025462965</v>
      </c>
      <c r="B179" s="20" t="s">
        <v>665</v>
      </c>
      <c r="C179" s="20" t="s">
        <v>851</v>
      </c>
      <c r="D179" s="137">
        <v>890000</v>
      </c>
      <c r="E179" s="20" t="s">
        <v>345</v>
      </c>
      <c r="F179" s="20" t="s">
        <v>346</v>
      </c>
      <c r="G179" s="8" t="str">
        <f t="shared" si="4"/>
        <v>LOZA FIDEL</v>
      </c>
      <c r="H179" s="20" t="str">
        <f t="shared" si="5"/>
        <v>4015</v>
      </c>
    </row>
    <row r="180" spans="1:8" x14ac:dyDescent="0.25">
      <c r="A180" s="8">
        <v>43065.782546296294</v>
      </c>
      <c r="B180" s="20" t="s">
        <v>563</v>
      </c>
      <c r="C180" s="20" t="s">
        <v>852</v>
      </c>
      <c r="D180" s="137">
        <v>2230000</v>
      </c>
      <c r="E180" s="20" t="s">
        <v>394</v>
      </c>
      <c r="F180" s="20" t="s">
        <v>353</v>
      </c>
      <c r="G180" s="8" t="str">
        <f t="shared" si="4"/>
        <v>SMITH MICHAEL</v>
      </c>
      <c r="H180" s="20" t="str">
        <f t="shared" si="5"/>
        <v>4039</v>
      </c>
    </row>
    <row r="181" spans="1:8" x14ac:dyDescent="0.25">
      <c r="A181" s="8">
        <v>43065.786817129629</v>
      </c>
      <c r="B181" s="20" t="s">
        <v>453</v>
      </c>
      <c r="C181" s="20" t="s">
        <v>853</v>
      </c>
      <c r="D181" s="137">
        <v>2030000</v>
      </c>
      <c r="E181" s="20" t="s">
        <v>854</v>
      </c>
      <c r="F181" s="20" t="s">
        <v>482</v>
      </c>
      <c r="G181" s="8" t="str">
        <f t="shared" si="4"/>
        <v>KILLION DAVID</v>
      </c>
      <c r="H181" s="20" t="str">
        <f t="shared" si="5"/>
        <v>4042</v>
      </c>
    </row>
    <row r="182" spans="1:8" x14ac:dyDescent="0.25">
      <c r="A182" s="8">
        <v>43065.787349537037</v>
      </c>
      <c r="B182" s="20" t="s">
        <v>362</v>
      </c>
      <c r="C182" s="20" t="s">
        <v>855</v>
      </c>
      <c r="D182" s="137">
        <v>3340000</v>
      </c>
      <c r="E182" s="20" t="s">
        <v>478</v>
      </c>
      <c r="F182" s="20" t="s">
        <v>479</v>
      </c>
      <c r="G182" s="8" t="str">
        <f t="shared" si="4"/>
        <v>ELBAUM MIKE</v>
      </c>
      <c r="H182" s="20" t="str">
        <f t="shared" si="5"/>
        <v>4007</v>
      </c>
    </row>
    <row r="183" spans="1:8" x14ac:dyDescent="0.25">
      <c r="A183" s="8">
        <v>43065.796620370369</v>
      </c>
      <c r="B183" s="20" t="s">
        <v>659</v>
      </c>
      <c r="C183" s="20" t="s">
        <v>856</v>
      </c>
      <c r="D183" s="137">
        <v>3330000</v>
      </c>
      <c r="E183" s="20" t="s">
        <v>778</v>
      </c>
      <c r="F183" s="20" t="s">
        <v>779</v>
      </c>
      <c r="G183" s="8" t="str">
        <f t="shared" si="4"/>
        <v>GONZALEZ ARMANDO</v>
      </c>
      <c r="H183" s="20" t="str">
        <f t="shared" si="5"/>
        <v>4006</v>
      </c>
    </row>
    <row r="184" spans="1:8" x14ac:dyDescent="0.25">
      <c r="A184" s="8">
        <v>43065.797071759262</v>
      </c>
      <c r="B184" s="20" t="s">
        <v>663</v>
      </c>
      <c r="C184" s="20" t="s">
        <v>857</v>
      </c>
      <c r="D184" s="137">
        <v>2420000</v>
      </c>
      <c r="E184" s="20" t="s">
        <v>800</v>
      </c>
      <c r="F184" s="20" t="s">
        <v>801</v>
      </c>
      <c r="G184" s="8" t="str">
        <f t="shared" si="4"/>
        <v>HOLCOMB KAMDEN</v>
      </c>
      <c r="H184" s="20" t="str">
        <f t="shared" si="5"/>
        <v>4026</v>
      </c>
    </row>
    <row r="185" spans="1:8" x14ac:dyDescent="0.25">
      <c r="A185" s="8">
        <v>43065.807523148149</v>
      </c>
      <c r="B185" s="20" t="s">
        <v>657</v>
      </c>
      <c r="C185" s="20" t="s">
        <v>858</v>
      </c>
      <c r="D185" s="137">
        <v>890000</v>
      </c>
      <c r="E185" s="20" t="s">
        <v>345</v>
      </c>
      <c r="F185" s="20" t="s">
        <v>346</v>
      </c>
      <c r="G185" s="8" t="str">
        <f t="shared" si="4"/>
        <v>LOZA FIDEL</v>
      </c>
      <c r="H185" s="20" t="str">
        <f t="shared" si="5"/>
        <v>4016</v>
      </c>
    </row>
    <row r="186" spans="1:8" x14ac:dyDescent="0.25">
      <c r="A186" s="8">
        <v>43065.808055555557</v>
      </c>
      <c r="B186" s="20" t="s">
        <v>391</v>
      </c>
      <c r="C186" s="20" t="s">
        <v>859</v>
      </c>
      <c r="D186" s="137">
        <v>3220000</v>
      </c>
      <c r="E186" s="20" t="s">
        <v>379</v>
      </c>
      <c r="F186" s="20" t="s">
        <v>380</v>
      </c>
      <c r="G186" s="8" t="str">
        <f t="shared" si="4"/>
        <v>RESPASS AARON</v>
      </c>
      <c r="H186" s="20" t="str">
        <f t="shared" si="5"/>
        <v>4059</v>
      </c>
    </row>
    <row r="187" spans="1:8" x14ac:dyDescent="0.25">
      <c r="A187" s="8">
        <v>43065.809074074074</v>
      </c>
      <c r="B187" s="20" t="s">
        <v>655</v>
      </c>
      <c r="C187" s="20" t="s">
        <v>860</v>
      </c>
      <c r="D187" s="137">
        <v>2420000</v>
      </c>
      <c r="E187" s="20" t="s">
        <v>800</v>
      </c>
      <c r="F187" s="20" t="s">
        <v>801</v>
      </c>
      <c r="G187" s="8" t="str">
        <f t="shared" si="4"/>
        <v>HOLCOMB KAMDEN</v>
      </c>
      <c r="H187" s="20" t="str">
        <f t="shared" si="5"/>
        <v>4025</v>
      </c>
    </row>
    <row r="188" spans="1:8" x14ac:dyDescent="0.25">
      <c r="A188" s="8">
        <v>43065.818981481483</v>
      </c>
      <c r="B188" s="20" t="s">
        <v>562</v>
      </c>
      <c r="C188" s="20" t="s">
        <v>861</v>
      </c>
      <c r="D188" s="137">
        <v>2230000</v>
      </c>
      <c r="E188" s="20" t="s">
        <v>394</v>
      </c>
      <c r="F188" s="20" t="s">
        <v>353</v>
      </c>
      <c r="G188" s="8" t="str">
        <f t="shared" si="4"/>
        <v>SMITH MICHAEL</v>
      </c>
      <c r="H188" s="20" t="str">
        <f t="shared" si="5"/>
        <v>4040</v>
      </c>
    </row>
    <row r="189" spans="1:8" x14ac:dyDescent="0.25">
      <c r="A189" s="8">
        <v>43065.819953703707</v>
      </c>
      <c r="B189" s="20" t="s">
        <v>503</v>
      </c>
      <c r="C189" s="20" t="s">
        <v>862</v>
      </c>
      <c r="D189" s="137">
        <v>2030000</v>
      </c>
      <c r="E189" s="20" t="s">
        <v>854</v>
      </c>
      <c r="F189" s="20" t="s">
        <v>482</v>
      </c>
      <c r="G189" s="8" t="str">
        <f t="shared" si="4"/>
        <v>KILLION DAVID</v>
      </c>
      <c r="H189" s="20" t="str">
        <f t="shared" si="5"/>
        <v>4041</v>
      </c>
    </row>
    <row r="190" spans="1:8" x14ac:dyDescent="0.25">
      <c r="A190" s="8">
        <v>43065.827048611114</v>
      </c>
      <c r="B190" s="20" t="s">
        <v>357</v>
      </c>
      <c r="C190" s="20" t="s">
        <v>863</v>
      </c>
      <c r="D190" s="137">
        <v>3340000</v>
      </c>
      <c r="E190" s="20" t="s">
        <v>478</v>
      </c>
      <c r="F190" s="20" t="s">
        <v>479</v>
      </c>
      <c r="G190" s="8" t="str">
        <f t="shared" si="4"/>
        <v>ELBAUM MIKE</v>
      </c>
      <c r="H190" s="20" t="str">
        <f t="shared" si="5"/>
        <v>4008</v>
      </c>
    </row>
    <row r="191" spans="1:8" x14ac:dyDescent="0.25">
      <c r="A191" s="8">
        <v>43065.83798611111</v>
      </c>
      <c r="B191" s="20" t="s">
        <v>663</v>
      </c>
      <c r="C191" s="20" t="s">
        <v>864</v>
      </c>
      <c r="D191" s="137">
        <v>2420000</v>
      </c>
      <c r="E191" s="20" t="s">
        <v>800</v>
      </c>
      <c r="F191" s="20" t="s">
        <v>801</v>
      </c>
      <c r="G191" s="8" t="str">
        <f t="shared" si="4"/>
        <v>HOLCOMB KAMDEN</v>
      </c>
      <c r="H191" s="20" t="str">
        <f t="shared" si="5"/>
        <v>4026</v>
      </c>
    </row>
    <row r="192" spans="1:8" x14ac:dyDescent="0.25">
      <c r="A192" s="8">
        <v>43065.848993055559</v>
      </c>
      <c r="B192" s="20" t="s">
        <v>665</v>
      </c>
      <c r="C192" s="20" t="s">
        <v>865</v>
      </c>
      <c r="D192" s="137">
        <v>890000</v>
      </c>
      <c r="E192" s="20" t="s">
        <v>345</v>
      </c>
      <c r="F192" s="20" t="s">
        <v>346</v>
      </c>
      <c r="G192" s="8" t="str">
        <f t="shared" si="4"/>
        <v>LOZA FIDEL</v>
      </c>
      <c r="H192" s="20" t="str">
        <f t="shared" si="5"/>
        <v>4015</v>
      </c>
    </row>
    <row r="193" spans="1:8" x14ac:dyDescent="0.25">
      <c r="A193" s="8">
        <v>43065.850856481484</v>
      </c>
      <c r="B193" s="20" t="s">
        <v>655</v>
      </c>
      <c r="C193" s="20" t="s">
        <v>866</v>
      </c>
      <c r="D193" s="137">
        <v>2420000</v>
      </c>
      <c r="E193" s="20" t="s">
        <v>800</v>
      </c>
      <c r="F193" s="20" t="s">
        <v>801</v>
      </c>
      <c r="G193" s="8" t="str">
        <f t="shared" si="4"/>
        <v>HOLCOMB KAMDEN</v>
      </c>
      <c r="H193" s="20" t="str">
        <f t="shared" si="5"/>
        <v>4025</v>
      </c>
    </row>
    <row r="194" spans="1:8" x14ac:dyDescent="0.25">
      <c r="A194" s="8">
        <v>43065.851944444446</v>
      </c>
      <c r="B194" s="20" t="s">
        <v>358</v>
      </c>
      <c r="C194" s="20" t="s">
        <v>867</v>
      </c>
      <c r="D194" s="137">
        <v>3220000</v>
      </c>
      <c r="E194" s="20" t="s">
        <v>379</v>
      </c>
      <c r="F194" s="20" t="s">
        <v>380</v>
      </c>
      <c r="G194" s="8" t="str">
        <f t="shared" si="4"/>
        <v>RESPASS AARON</v>
      </c>
      <c r="H194" s="20" t="str">
        <f t="shared" si="5"/>
        <v>4060</v>
      </c>
    </row>
    <row r="195" spans="1:8" x14ac:dyDescent="0.25">
      <c r="A195" s="8">
        <v>43065.859571759262</v>
      </c>
      <c r="B195" s="20" t="s">
        <v>362</v>
      </c>
      <c r="C195" s="20" t="s">
        <v>868</v>
      </c>
      <c r="D195" s="137">
        <v>3340000</v>
      </c>
      <c r="E195" s="20" t="s">
        <v>478</v>
      </c>
      <c r="F195" s="20" t="s">
        <v>479</v>
      </c>
      <c r="G195" s="8" t="str">
        <f t="shared" ref="G195:G258" si="6">E195&amp;" "&amp;F195</f>
        <v>ELBAUM MIKE</v>
      </c>
      <c r="H195" s="20" t="str">
        <f t="shared" ref="H195:H258" si="7">MID(B195,13,4)</f>
        <v>4007</v>
      </c>
    </row>
    <row r="196" spans="1:8" x14ac:dyDescent="0.25">
      <c r="A196" s="8">
        <v>43065.866944444446</v>
      </c>
      <c r="B196" s="20" t="s">
        <v>453</v>
      </c>
      <c r="C196" s="20" t="s">
        <v>869</v>
      </c>
      <c r="D196" s="137">
        <v>2000000</v>
      </c>
      <c r="E196" s="20" t="s">
        <v>395</v>
      </c>
      <c r="F196" s="20" t="s">
        <v>396</v>
      </c>
      <c r="G196" s="8" t="str">
        <f t="shared" si="6"/>
        <v>STAMBAUGH JAMES</v>
      </c>
      <c r="H196" s="20" t="str">
        <f t="shared" si="7"/>
        <v>4042</v>
      </c>
    </row>
    <row r="197" spans="1:8" x14ac:dyDescent="0.25">
      <c r="A197" s="8">
        <v>43065.874606481484</v>
      </c>
      <c r="B197" s="20" t="s">
        <v>663</v>
      </c>
      <c r="C197" s="20" t="s">
        <v>870</v>
      </c>
      <c r="D197" s="137">
        <v>2030000</v>
      </c>
      <c r="E197" s="20" t="s">
        <v>854</v>
      </c>
      <c r="F197" s="20" t="s">
        <v>482</v>
      </c>
      <c r="G197" s="8" t="str">
        <f t="shared" si="6"/>
        <v>KILLION DAVID</v>
      </c>
      <c r="H197" s="20" t="str">
        <f t="shared" si="7"/>
        <v>4026</v>
      </c>
    </row>
    <row r="198" spans="1:8" x14ac:dyDescent="0.25">
      <c r="A198" s="8">
        <v>43065.883310185185</v>
      </c>
      <c r="B198" s="20" t="s">
        <v>657</v>
      </c>
      <c r="C198" s="20" t="s">
        <v>871</v>
      </c>
      <c r="D198" s="137">
        <v>890000</v>
      </c>
      <c r="E198" s="20" t="s">
        <v>345</v>
      </c>
      <c r="F198" s="20" t="s">
        <v>346</v>
      </c>
      <c r="G198" s="8" t="str">
        <f t="shared" si="6"/>
        <v>LOZA FIDEL</v>
      </c>
      <c r="H198" s="20" t="str">
        <f t="shared" si="7"/>
        <v>4016</v>
      </c>
    </row>
    <row r="199" spans="1:8" x14ac:dyDescent="0.25">
      <c r="A199" s="8">
        <v>43065.888067129628</v>
      </c>
      <c r="B199" s="20" t="s">
        <v>391</v>
      </c>
      <c r="C199" s="20" t="s">
        <v>667</v>
      </c>
      <c r="D199" s="137">
        <v>3220000</v>
      </c>
      <c r="E199" s="20" t="s">
        <v>379</v>
      </c>
      <c r="F199" s="20" t="s">
        <v>380</v>
      </c>
      <c r="G199" s="8" t="str">
        <f t="shared" si="6"/>
        <v>RESPASS AARON</v>
      </c>
      <c r="H199" s="20" t="str">
        <f t="shared" si="7"/>
        <v>4059</v>
      </c>
    </row>
    <row r="200" spans="1:8" x14ac:dyDescent="0.25">
      <c r="A200" s="8">
        <v>43065.89366898148</v>
      </c>
      <c r="B200" s="20" t="s">
        <v>655</v>
      </c>
      <c r="C200" s="20" t="s">
        <v>872</v>
      </c>
      <c r="D200" s="137">
        <v>2030000</v>
      </c>
      <c r="E200" s="20" t="s">
        <v>854</v>
      </c>
      <c r="F200" s="20" t="s">
        <v>482</v>
      </c>
      <c r="G200" s="8" t="str">
        <f t="shared" si="6"/>
        <v>KILLION DAVID</v>
      </c>
      <c r="H200" s="20" t="str">
        <f t="shared" si="7"/>
        <v>4025</v>
      </c>
    </row>
    <row r="201" spans="1:8" x14ac:dyDescent="0.25">
      <c r="A201" s="8">
        <v>43065.899594907409</v>
      </c>
      <c r="B201" s="20" t="s">
        <v>357</v>
      </c>
      <c r="C201" s="20" t="s">
        <v>873</v>
      </c>
      <c r="D201" s="137">
        <v>3340000</v>
      </c>
      <c r="E201" s="20" t="s">
        <v>478</v>
      </c>
      <c r="F201" s="20" t="s">
        <v>479</v>
      </c>
      <c r="G201" s="8" t="str">
        <f t="shared" si="6"/>
        <v>ELBAUM MIKE</v>
      </c>
      <c r="H201" s="20" t="str">
        <f t="shared" si="7"/>
        <v>4008</v>
      </c>
    </row>
    <row r="202" spans="1:8" x14ac:dyDescent="0.25">
      <c r="A202" s="26">
        <v>43065.911909722221</v>
      </c>
      <c r="B202" s="20" t="s">
        <v>503</v>
      </c>
      <c r="C202" s="20" t="s">
        <v>874</v>
      </c>
      <c r="D202" s="137">
        <v>2000000</v>
      </c>
      <c r="E202" s="20" t="s">
        <v>395</v>
      </c>
      <c r="F202" s="20" t="s">
        <v>396</v>
      </c>
      <c r="G202" s="8" t="str">
        <f t="shared" si="6"/>
        <v>STAMBAUGH JAMES</v>
      </c>
      <c r="H202" s="20" t="str">
        <f t="shared" si="7"/>
        <v>4041</v>
      </c>
    </row>
    <row r="203" spans="1:8" x14ac:dyDescent="0.25">
      <c r="A203" s="8">
        <v>43065.917719907404</v>
      </c>
      <c r="B203" s="20" t="s">
        <v>663</v>
      </c>
      <c r="C203" s="20" t="s">
        <v>668</v>
      </c>
      <c r="D203" s="137">
        <v>2420000</v>
      </c>
      <c r="E203" s="20" t="s">
        <v>800</v>
      </c>
      <c r="F203" s="20" t="s">
        <v>801</v>
      </c>
      <c r="G203" s="8" t="str">
        <f t="shared" si="6"/>
        <v>HOLCOMB KAMDEN</v>
      </c>
      <c r="H203" s="20" t="str">
        <f t="shared" si="7"/>
        <v>4026</v>
      </c>
    </row>
    <row r="204" spans="1:8" x14ac:dyDescent="0.25">
      <c r="A204" s="8">
        <v>43065.932708333334</v>
      </c>
      <c r="B204" s="20" t="s">
        <v>665</v>
      </c>
      <c r="C204" s="20" t="s">
        <v>875</v>
      </c>
      <c r="D204" s="137">
        <v>890000</v>
      </c>
      <c r="E204" s="20" t="s">
        <v>345</v>
      </c>
      <c r="F204" s="20" t="s">
        <v>346</v>
      </c>
      <c r="G204" s="8" t="str">
        <f t="shared" si="6"/>
        <v>LOZA FIDEL</v>
      </c>
      <c r="H204" s="20" t="str">
        <f t="shared" si="7"/>
        <v>4015</v>
      </c>
    </row>
    <row r="205" spans="1:8" x14ac:dyDescent="0.25">
      <c r="A205" s="8">
        <v>43065.935150462959</v>
      </c>
      <c r="B205" s="20" t="s">
        <v>358</v>
      </c>
      <c r="C205" s="20" t="s">
        <v>876</v>
      </c>
      <c r="D205" s="137">
        <v>3220000</v>
      </c>
      <c r="E205" s="20" t="s">
        <v>379</v>
      </c>
      <c r="F205" s="20" t="s">
        <v>380</v>
      </c>
      <c r="G205" s="8" t="str">
        <f t="shared" si="6"/>
        <v>RESPASS AARON</v>
      </c>
      <c r="H205" s="20" t="str">
        <f t="shared" si="7"/>
        <v>4060</v>
      </c>
    </row>
    <row r="206" spans="1:8" x14ac:dyDescent="0.25">
      <c r="A206" s="8">
        <v>43065.939108796294</v>
      </c>
      <c r="B206" s="20" t="s">
        <v>655</v>
      </c>
      <c r="C206" s="20" t="s">
        <v>877</v>
      </c>
      <c r="D206" s="137">
        <v>2420000</v>
      </c>
      <c r="E206" s="20" t="s">
        <v>800</v>
      </c>
      <c r="F206" s="20" t="s">
        <v>801</v>
      </c>
      <c r="G206" s="8" t="str">
        <f t="shared" si="6"/>
        <v>HOLCOMB KAMDEN</v>
      </c>
      <c r="H206" s="20" t="str">
        <f t="shared" si="7"/>
        <v>4025</v>
      </c>
    </row>
    <row r="207" spans="1:8" x14ac:dyDescent="0.25">
      <c r="A207" s="8">
        <v>43065.943124999998</v>
      </c>
      <c r="B207" s="20" t="s">
        <v>453</v>
      </c>
      <c r="C207" s="20" t="s">
        <v>878</v>
      </c>
      <c r="D207" s="137">
        <v>2000000</v>
      </c>
      <c r="E207" s="20" t="s">
        <v>395</v>
      </c>
      <c r="F207" s="20" t="s">
        <v>396</v>
      </c>
      <c r="G207" s="8" t="str">
        <f t="shared" si="6"/>
        <v>STAMBAUGH JAMES</v>
      </c>
      <c r="H207" s="20" t="str">
        <f t="shared" si="7"/>
        <v>4042</v>
      </c>
    </row>
    <row r="208" spans="1:8" x14ac:dyDescent="0.25">
      <c r="A208" s="8">
        <v>43065.944652777776</v>
      </c>
      <c r="B208" s="20" t="s">
        <v>362</v>
      </c>
      <c r="C208" s="20" t="s">
        <v>879</v>
      </c>
      <c r="D208" s="137">
        <v>3340000</v>
      </c>
      <c r="E208" s="20" t="s">
        <v>478</v>
      </c>
      <c r="F208" s="20" t="s">
        <v>479</v>
      </c>
      <c r="G208" s="8" t="str">
        <f t="shared" si="6"/>
        <v>ELBAUM MIKE</v>
      </c>
      <c r="H208" s="20" t="str">
        <f t="shared" si="7"/>
        <v>4007</v>
      </c>
    </row>
    <row r="209" spans="1:8" x14ac:dyDescent="0.25">
      <c r="A209" s="8">
        <v>43065.959074074075</v>
      </c>
      <c r="B209" s="20" t="s">
        <v>663</v>
      </c>
      <c r="C209" s="20" t="s">
        <v>880</v>
      </c>
      <c r="D209" s="137">
        <v>2030000</v>
      </c>
      <c r="E209" s="20" t="s">
        <v>854</v>
      </c>
      <c r="F209" s="20" t="s">
        <v>482</v>
      </c>
      <c r="G209" s="8" t="str">
        <f t="shared" si="6"/>
        <v>KILLION DAVID</v>
      </c>
      <c r="H209" s="20" t="str">
        <f t="shared" si="7"/>
        <v>4026</v>
      </c>
    </row>
    <row r="210" spans="1:8" x14ac:dyDescent="0.25">
      <c r="A210" s="8">
        <v>43065.963460648149</v>
      </c>
      <c r="B210" s="20" t="s">
        <v>657</v>
      </c>
      <c r="C210" s="20" t="s">
        <v>669</v>
      </c>
      <c r="D210" s="137">
        <v>890000</v>
      </c>
      <c r="E210" s="20" t="s">
        <v>345</v>
      </c>
      <c r="F210" s="20" t="s">
        <v>346</v>
      </c>
      <c r="G210" s="8" t="str">
        <f t="shared" si="6"/>
        <v>LOZA FIDEL</v>
      </c>
      <c r="H210" s="20" t="str">
        <f t="shared" si="7"/>
        <v>4016</v>
      </c>
    </row>
    <row r="211" spans="1:8" x14ac:dyDescent="0.25">
      <c r="A211" s="8">
        <v>43065.971724537034</v>
      </c>
      <c r="B211" s="20" t="s">
        <v>391</v>
      </c>
      <c r="C211" s="20" t="s">
        <v>881</v>
      </c>
      <c r="D211" s="137">
        <v>3220000</v>
      </c>
      <c r="E211" s="20" t="s">
        <v>379</v>
      </c>
      <c r="F211" s="20" t="s">
        <v>380</v>
      </c>
      <c r="G211" s="8" t="str">
        <f t="shared" si="6"/>
        <v>RESPASS AARON</v>
      </c>
      <c r="H211" s="20" t="str">
        <f t="shared" si="7"/>
        <v>4059</v>
      </c>
    </row>
    <row r="212" spans="1:8" x14ac:dyDescent="0.25">
      <c r="A212" s="8">
        <v>43065.975925925923</v>
      </c>
      <c r="B212" s="20" t="s">
        <v>655</v>
      </c>
      <c r="C212" s="20" t="s">
        <v>882</v>
      </c>
      <c r="D212" s="137">
        <v>2030000</v>
      </c>
      <c r="E212" s="20" t="s">
        <v>854</v>
      </c>
      <c r="F212" s="20" t="s">
        <v>482</v>
      </c>
      <c r="G212" s="8" t="str">
        <f t="shared" si="6"/>
        <v>KILLION DAVID</v>
      </c>
      <c r="H212" s="20" t="str">
        <f t="shared" si="7"/>
        <v>4025</v>
      </c>
    </row>
    <row r="213" spans="1:8" x14ac:dyDescent="0.25">
      <c r="A213" s="8">
        <v>43065.986504629633</v>
      </c>
      <c r="B213" s="20" t="s">
        <v>357</v>
      </c>
      <c r="C213" s="20" t="s">
        <v>883</v>
      </c>
      <c r="D213" s="137">
        <v>3340000</v>
      </c>
      <c r="E213" s="20" t="s">
        <v>478</v>
      </c>
      <c r="F213" s="20" t="s">
        <v>479</v>
      </c>
      <c r="G213" s="8" t="str">
        <f t="shared" si="6"/>
        <v>ELBAUM MIKE</v>
      </c>
      <c r="H213" s="20" t="str">
        <f t="shared" si="7"/>
        <v>4008</v>
      </c>
    </row>
    <row r="214" spans="1:8" x14ac:dyDescent="0.25">
      <c r="A214" s="8">
        <v>43065.994976851849</v>
      </c>
      <c r="B214" s="20" t="s">
        <v>503</v>
      </c>
      <c r="C214" s="20" t="s">
        <v>884</v>
      </c>
      <c r="D214" s="137">
        <v>2000000</v>
      </c>
      <c r="E214" s="20" t="s">
        <v>395</v>
      </c>
      <c r="F214" s="20" t="s">
        <v>396</v>
      </c>
      <c r="G214" s="8" t="str">
        <f t="shared" si="6"/>
        <v>STAMBAUGH JAMES</v>
      </c>
      <c r="H214" s="20" t="str">
        <f t="shared" si="7"/>
        <v>4041</v>
      </c>
    </row>
    <row r="215" spans="1:8" x14ac:dyDescent="0.25">
      <c r="A215" s="8">
        <v>43066.017291666663</v>
      </c>
      <c r="B215" s="20" t="s">
        <v>665</v>
      </c>
      <c r="C215" s="20" t="s">
        <v>885</v>
      </c>
      <c r="D215" s="137">
        <v>890000</v>
      </c>
      <c r="E215" s="20" t="s">
        <v>345</v>
      </c>
      <c r="F215" s="20" t="s">
        <v>346</v>
      </c>
      <c r="G215" s="8" t="str">
        <f t="shared" si="6"/>
        <v>LOZA FIDEL</v>
      </c>
      <c r="H215" s="20" t="str">
        <f t="shared" si="7"/>
        <v>4015</v>
      </c>
    </row>
    <row r="216" spans="1:8" x14ac:dyDescent="0.25">
      <c r="A216" s="8">
        <v>43066.018425925926</v>
      </c>
      <c r="B216" s="20" t="s">
        <v>358</v>
      </c>
      <c r="C216" s="20" t="s">
        <v>886</v>
      </c>
      <c r="D216" s="137">
        <v>3220000</v>
      </c>
      <c r="E216" s="20" t="s">
        <v>379</v>
      </c>
      <c r="F216" s="20" t="s">
        <v>380</v>
      </c>
      <c r="G216" s="8" t="str">
        <f t="shared" si="6"/>
        <v>RESPASS AARON</v>
      </c>
      <c r="H216" s="20" t="str">
        <f t="shared" si="7"/>
        <v>4060</v>
      </c>
    </row>
    <row r="217" spans="1:8" x14ac:dyDescent="0.25">
      <c r="A217" s="8">
        <v>43066.025694444441</v>
      </c>
      <c r="B217" s="20" t="s">
        <v>453</v>
      </c>
      <c r="C217" s="20" t="s">
        <v>887</v>
      </c>
      <c r="D217" s="137">
        <v>2000000</v>
      </c>
      <c r="E217" s="20" t="s">
        <v>395</v>
      </c>
      <c r="F217" s="20" t="s">
        <v>396</v>
      </c>
      <c r="G217" s="8" t="str">
        <f t="shared" si="6"/>
        <v>STAMBAUGH JAMES</v>
      </c>
      <c r="H217" s="20" t="str">
        <f t="shared" si="7"/>
        <v>4042</v>
      </c>
    </row>
    <row r="218" spans="1:8" x14ac:dyDescent="0.25">
      <c r="A218" s="8">
        <v>43066.025868055556</v>
      </c>
      <c r="B218" s="20" t="s">
        <v>362</v>
      </c>
      <c r="C218" s="20" t="s">
        <v>888</v>
      </c>
      <c r="D218" s="137">
        <v>3340000</v>
      </c>
      <c r="E218" s="20" t="s">
        <v>478</v>
      </c>
      <c r="F218" s="20" t="s">
        <v>479</v>
      </c>
      <c r="G218" s="8" t="str">
        <f t="shared" si="6"/>
        <v>ELBAUM MIKE</v>
      </c>
      <c r="H218" s="20" t="str">
        <f t="shared" si="7"/>
        <v>4007</v>
      </c>
    </row>
    <row r="219" spans="1:8" x14ac:dyDescent="0.25">
      <c r="A219" s="8">
        <v>43066.037546296298</v>
      </c>
      <c r="B219" s="20" t="s">
        <v>362</v>
      </c>
      <c r="C219" s="20" t="s">
        <v>888</v>
      </c>
      <c r="D219" s="137">
        <v>3340000</v>
      </c>
      <c r="E219" s="20" t="s">
        <v>478</v>
      </c>
      <c r="F219" s="20" t="s">
        <v>479</v>
      </c>
      <c r="G219" s="8" t="str">
        <f t="shared" si="6"/>
        <v>ELBAUM MIKE</v>
      </c>
      <c r="H219" s="20" t="str">
        <f t="shared" si="7"/>
        <v>4007</v>
      </c>
    </row>
    <row r="220" spans="1:8" x14ac:dyDescent="0.25">
      <c r="A220" s="8">
        <v>43066.038657407407</v>
      </c>
      <c r="B220" s="20" t="s">
        <v>362</v>
      </c>
      <c r="C220" s="20" t="s">
        <v>888</v>
      </c>
      <c r="D220" s="137">
        <v>3340000</v>
      </c>
      <c r="E220" s="20" t="s">
        <v>478</v>
      </c>
      <c r="F220" s="20" t="s">
        <v>479</v>
      </c>
      <c r="G220" s="8" t="str">
        <f t="shared" si="6"/>
        <v>ELBAUM MIKE</v>
      </c>
      <c r="H220" s="20" t="str">
        <f t="shared" si="7"/>
        <v>4007</v>
      </c>
    </row>
    <row r="221" spans="1:8" x14ac:dyDescent="0.25">
      <c r="A221" s="8">
        <v>43066.046909722223</v>
      </c>
      <c r="B221" s="20" t="s">
        <v>657</v>
      </c>
      <c r="C221" s="20" t="s">
        <v>889</v>
      </c>
      <c r="D221" s="137">
        <v>890000</v>
      </c>
      <c r="E221" s="20" t="s">
        <v>345</v>
      </c>
      <c r="F221" s="20" t="s">
        <v>346</v>
      </c>
      <c r="G221" s="8" t="str">
        <f t="shared" si="6"/>
        <v>LOZA FIDEL</v>
      </c>
      <c r="H221" s="20" t="str">
        <f t="shared" si="7"/>
        <v>4016</v>
      </c>
    </row>
    <row r="222" spans="1:8" x14ac:dyDescent="0.25">
      <c r="A222" s="8">
        <v>43066.049398148149</v>
      </c>
      <c r="B222" s="20" t="s">
        <v>362</v>
      </c>
      <c r="C222" s="20" t="s">
        <v>888</v>
      </c>
      <c r="D222" s="137">
        <v>3340000</v>
      </c>
      <c r="E222" s="20" t="s">
        <v>478</v>
      </c>
      <c r="F222" s="20" t="s">
        <v>479</v>
      </c>
      <c r="G222" s="8" t="str">
        <f t="shared" si="6"/>
        <v>ELBAUM MIKE</v>
      </c>
      <c r="H222" s="20" t="str">
        <f t="shared" si="7"/>
        <v>4007</v>
      </c>
    </row>
    <row r="223" spans="1:8" x14ac:dyDescent="0.25">
      <c r="A223" s="8">
        <v>43066.056944444441</v>
      </c>
      <c r="B223" s="20" t="s">
        <v>391</v>
      </c>
      <c r="C223" s="20" t="s">
        <v>890</v>
      </c>
      <c r="D223" s="137">
        <v>3220000</v>
      </c>
      <c r="E223" s="20" t="s">
        <v>379</v>
      </c>
      <c r="F223" s="20" t="s">
        <v>380</v>
      </c>
      <c r="G223" s="8" t="str">
        <f t="shared" si="6"/>
        <v>RESPASS AARON</v>
      </c>
      <c r="H223" s="20" t="str">
        <f t="shared" si="7"/>
        <v>4059</v>
      </c>
    </row>
    <row r="224" spans="1:8" x14ac:dyDescent="0.25">
      <c r="A224" s="8">
        <v>43066.067164351851</v>
      </c>
      <c r="B224" t="s">
        <v>357</v>
      </c>
      <c r="C224" t="s">
        <v>891</v>
      </c>
      <c r="D224" s="137">
        <v>3340000</v>
      </c>
      <c r="E224" t="s">
        <v>478</v>
      </c>
      <c r="F224" s="20" t="s">
        <v>479</v>
      </c>
      <c r="G224" s="8" t="str">
        <f t="shared" si="6"/>
        <v>ELBAUM MIKE</v>
      </c>
      <c r="H224" s="20" t="str">
        <f t="shared" si="7"/>
        <v>4008</v>
      </c>
    </row>
    <row r="225" spans="1:8" x14ac:dyDescent="0.25">
      <c r="A225" s="8">
        <v>43066.08730324074</v>
      </c>
      <c r="B225" t="s">
        <v>358</v>
      </c>
      <c r="C225" t="s">
        <v>892</v>
      </c>
      <c r="D225" s="137">
        <v>3220000</v>
      </c>
      <c r="E225" t="s">
        <v>379</v>
      </c>
      <c r="F225" s="20" t="s">
        <v>380</v>
      </c>
      <c r="G225" s="8" t="str">
        <f t="shared" si="6"/>
        <v>RESPASS AARON</v>
      </c>
      <c r="H225" s="20" t="str">
        <f t="shared" si="7"/>
        <v>4060</v>
      </c>
    </row>
    <row r="226" spans="1:8" x14ac:dyDescent="0.25">
      <c r="A226" s="8">
        <v>43060.878032407411</v>
      </c>
      <c r="B226" t="s">
        <v>562</v>
      </c>
      <c r="C226" t="s">
        <v>571</v>
      </c>
      <c r="D226" s="137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4040</v>
      </c>
    </row>
    <row r="227" spans="1:8" x14ac:dyDescent="0.25">
      <c r="A227" s="8">
        <v>43060.887476851851</v>
      </c>
      <c r="B227" t="s">
        <v>528</v>
      </c>
      <c r="C227" t="s">
        <v>572</v>
      </c>
      <c r="D227" s="137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4054</v>
      </c>
    </row>
    <row r="228" spans="1:8" x14ac:dyDescent="0.25">
      <c r="A228" s="8">
        <v>43060.892118055555</v>
      </c>
      <c r="B228" t="s">
        <v>563</v>
      </c>
      <c r="C228" t="s">
        <v>573</v>
      </c>
      <c r="D228" s="137">
        <v>2000000</v>
      </c>
      <c r="E228" t="s">
        <v>395</v>
      </c>
      <c r="F228" s="20" t="s">
        <v>396</v>
      </c>
      <c r="G228" s="8" t="str">
        <f t="shared" si="6"/>
        <v>STAMBAUGH JAMES</v>
      </c>
      <c r="H228" s="20" t="str">
        <f t="shared" si="7"/>
        <v>4039</v>
      </c>
    </row>
    <row r="229" spans="1:8" x14ac:dyDescent="0.25">
      <c r="A229" s="8">
        <v>43060.892245370371</v>
      </c>
      <c r="B229" t="s">
        <v>566</v>
      </c>
      <c r="C229" t="s">
        <v>574</v>
      </c>
      <c r="D229" s="137">
        <v>2610000</v>
      </c>
      <c r="E229" t="s">
        <v>381</v>
      </c>
      <c r="F229" s="20" t="s">
        <v>382</v>
      </c>
      <c r="G229" s="8" t="str">
        <f t="shared" si="6"/>
        <v>MAGEE KENYA</v>
      </c>
      <c r="H229" s="20" t="str">
        <f t="shared" si="7"/>
        <v>4013</v>
      </c>
    </row>
    <row r="230" spans="1:8" x14ac:dyDescent="0.25">
      <c r="A230" s="8">
        <v>43060.900092592594</v>
      </c>
      <c r="B230" t="s">
        <v>527</v>
      </c>
      <c r="C230" t="s">
        <v>575</v>
      </c>
      <c r="D230" s="137">
        <v>3320000</v>
      </c>
      <c r="E230" t="s">
        <v>364</v>
      </c>
      <c r="F230" s="20" t="s">
        <v>365</v>
      </c>
      <c r="G230" s="8" t="str">
        <f t="shared" si="6"/>
        <v>NICHOLSON WESLEY</v>
      </c>
      <c r="H230" s="20" t="str">
        <f t="shared" si="7"/>
        <v>4056</v>
      </c>
    </row>
    <row r="231" spans="1:8" x14ac:dyDescent="0.25">
      <c r="A231" s="8">
        <v>43060.904131944444</v>
      </c>
      <c r="B231" t="s">
        <v>446</v>
      </c>
      <c r="C231" t="s">
        <v>576</v>
      </c>
      <c r="D231" s="137">
        <v>3220000</v>
      </c>
      <c r="E231" t="s">
        <v>379</v>
      </c>
      <c r="F231" s="20" t="s">
        <v>380</v>
      </c>
      <c r="G231" s="8" t="str">
        <f t="shared" si="6"/>
        <v>RESPASS AARON</v>
      </c>
      <c r="H231" s="20" t="str">
        <f t="shared" si="7"/>
        <v>4009</v>
      </c>
    </row>
    <row r="232" spans="1:8" x14ac:dyDescent="0.25">
      <c r="A232" s="8">
        <v>43060.919340277775</v>
      </c>
      <c r="B232" t="s">
        <v>562</v>
      </c>
      <c r="C232" t="s">
        <v>577</v>
      </c>
      <c r="D232" s="137">
        <v>3130000</v>
      </c>
      <c r="E232" t="s">
        <v>569</v>
      </c>
      <c r="F232" s="20" t="s">
        <v>570</v>
      </c>
      <c r="G232" s="8" t="str">
        <f t="shared" si="6"/>
        <v>ZEWDU DEREJE</v>
      </c>
      <c r="H232" s="20" t="str">
        <f t="shared" si="7"/>
        <v>4040</v>
      </c>
    </row>
    <row r="233" spans="1:8" x14ac:dyDescent="0.25">
      <c r="A233" s="8">
        <v>43060.933483796296</v>
      </c>
      <c r="B233" t="s">
        <v>529</v>
      </c>
      <c r="C233" t="s">
        <v>578</v>
      </c>
      <c r="D233" s="137">
        <v>890000</v>
      </c>
      <c r="E233" t="s">
        <v>345</v>
      </c>
      <c r="F233" s="20" t="s">
        <v>346</v>
      </c>
      <c r="G233" s="8" t="str">
        <f t="shared" si="6"/>
        <v>LOZA FIDEL</v>
      </c>
      <c r="H233" s="20" t="str">
        <f t="shared" si="7"/>
        <v>4053</v>
      </c>
    </row>
    <row r="234" spans="1:8" x14ac:dyDescent="0.25">
      <c r="A234" s="8">
        <v>43060.935416666667</v>
      </c>
      <c r="B234" t="s">
        <v>563</v>
      </c>
      <c r="C234" t="s">
        <v>579</v>
      </c>
      <c r="D234" s="137">
        <v>3130000</v>
      </c>
      <c r="E234" t="s">
        <v>569</v>
      </c>
      <c r="F234" s="20" t="s">
        <v>570</v>
      </c>
      <c r="G234" s="8" t="str">
        <f t="shared" si="6"/>
        <v>ZEWDU DEREJE</v>
      </c>
      <c r="H234" s="20" t="str">
        <f t="shared" si="7"/>
        <v>4039</v>
      </c>
    </row>
    <row r="235" spans="1:8" x14ac:dyDescent="0.25">
      <c r="A235" s="8">
        <v>43060.93577546296</v>
      </c>
      <c r="B235" t="s">
        <v>564</v>
      </c>
      <c r="C235" t="s">
        <v>580</v>
      </c>
      <c r="D235" s="137">
        <v>2610000</v>
      </c>
      <c r="E235" t="s">
        <v>381</v>
      </c>
      <c r="F235" s="20" t="s">
        <v>382</v>
      </c>
      <c r="G235" s="8" t="str">
        <f t="shared" si="6"/>
        <v>MAGEE KENYA</v>
      </c>
      <c r="H235" s="20" t="str">
        <f t="shared" si="7"/>
        <v>4014</v>
      </c>
    </row>
    <row r="236" spans="1:8" x14ac:dyDescent="0.25">
      <c r="A236" s="8">
        <v>43060.947268518517</v>
      </c>
      <c r="B236" t="s">
        <v>447</v>
      </c>
      <c r="C236" t="s">
        <v>565</v>
      </c>
      <c r="D236" s="137">
        <v>3220000</v>
      </c>
      <c r="E236" t="s">
        <v>379</v>
      </c>
      <c r="F236" s="20" t="s">
        <v>380</v>
      </c>
      <c r="G236" s="8" t="str">
        <f t="shared" si="6"/>
        <v>RESPASS AARON</v>
      </c>
      <c r="H236" s="20" t="str">
        <f t="shared" si="7"/>
        <v>4010</v>
      </c>
    </row>
    <row r="237" spans="1:8" x14ac:dyDescent="0.25">
      <c r="A237" s="8">
        <v>43060.948993055557</v>
      </c>
      <c r="B237" t="s">
        <v>352</v>
      </c>
      <c r="C237" t="s">
        <v>581</v>
      </c>
      <c r="D237" s="137">
        <v>3320000</v>
      </c>
      <c r="E237" t="s">
        <v>364</v>
      </c>
      <c r="F237" s="20" t="s">
        <v>365</v>
      </c>
      <c r="G237" s="8" t="str">
        <f t="shared" si="6"/>
        <v>NICHOLSON WESLEY</v>
      </c>
      <c r="H237" s="20" t="str">
        <f t="shared" si="7"/>
        <v>4055</v>
      </c>
    </row>
    <row r="238" spans="1:8" x14ac:dyDescent="0.25">
      <c r="A238" s="8">
        <v>43060.957905092589</v>
      </c>
      <c r="B238" t="s">
        <v>562</v>
      </c>
      <c r="C238" t="s">
        <v>582</v>
      </c>
      <c r="D238" s="137">
        <v>3130000</v>
      </c>
      <c r="E238" t="s">
        <v>569</v>
      </c>
      <c r="F238" s="20" t="s">
        <v>570</v>
      </c>
      <c r="G238" s="8" t="str">
        <f t="shared" si="6"/>
        <v>ZEWDU DEREJE</v>
      </c>
      <c r="H238" s="20" t="str">
        <f t="shared" si="7"/>
        <v>4040</v>
      </c>
    </row>
    <row r="239" spans="1:8" x14ac:dyDescent="0.25">
      <c r="A239" s="8">
        <v>43060.963483796295</v>
      </c>
      <c r="B239" t="s">
        <v>528</v>
      </c>
      <c r="C239" t="s">
        <v>583</v>
      </c>
      <c r="D239" s="137">
        <v>890000</v>
      </c>
      <c r="E239" t="s">
        <v>345</v>
      </c>
      <c r="F239" s="20" t="s">
        <v>346</v>
      </c>
      <c r="G239" s="8" t="str">
        <f t="shared" si="6"/>
        <v>LOZA FIDEL</v>
      </c>
      <c r="H239" s="20" t="str">
        <f t="shared" si="7"/>
        <v>4054</v>
      </c>
    </row>
    <row r="240" spans="1:8" x14ac:dyDescent="0.25">
      <c r="A240" s="8">
        <v>43060.969074074077</v>
      </c>
      <c r="B240" t="s">
        <v>447</v>
      </c>
      <c r="C240" t="s">
        <v>565</v>
      </c>
      <c r="D240" s="137">
        <v>3220000</v>
      </c>
      <c r="E240" t="s">
        <v>379</v>
      </c>
      <c r="F240" s="20" t="s">
        <v>380</v>
      </c>
      <c r="G240" s="8" t="str">
        <f t="shared" si="6"/>
        <v>RESPASS AARON</v>
      </c>
      <c r="H240" s="20" t="str">
        <f t="shared" si="7"/>
        <v>4010</v>
      </c>
    </row>
    <row r="241" spans="1:8" x14ac:dyDescent="0.25">
      <c r="A241" s="8">
        <v>43060.974548611113</v>
      </c>
      <c r="B241" t="s">
        <v>566</v>
      </c>
      <c r="C241" t="s">
        <v>567</v>
      </c>
      <c r="D241" s="137">
        <v>2610000</v>
      </c>
      <c r="E241" t="s">
        <v>381</v>
      </c>
      <c r="F241" s="20" t="s">
        <v>382</v>
      </c>
      <c r="G241" s="8" t="str">
        <f t="shared" si="6"/>
        <v>MAGEE KENYA</v>
      </c>
      <c r="H241" s="20" t="str">
        <f t="shared" si="7"/>
        <v>4013</v>
      </c>
    </row>
    <row r="242" spans="1:8" x14ac:dyDescent="0.25">
      <c r="A242" s="8">
        <v>43060.976168981484</v>
      </c>
      <c r="B242" t="s">
        <v>563</v>
      </c>
      <c r="C242" t="s">
        <v>584</v>
      </c>
      <c r="D242" s="137">
        <v>3130000</v>
      </c>
      <c r="E242" t="s">
        <v>569</v>
      </c>
      <c r="F242" s="20" t="s">
        <v>570</v>
      </c>
      <c r="G242" s="8" t="str">
        <f t="shared" si="6"/>
        <v>ZEWDU DEREJE</v>
      </c>
      <c r="H242" s="20" t="str">
        <f t="shared" si="7"/>
        <v>4039</v>
      </c>
    </row>
    <row r="243" spans="1:8" x14ac:dyDescent="0.25">
      <c r="A243" s="8">
        <v>43060.99013888889</v>
      </c>
      <c r="B243" t="s">
        <v>527</v>
      </c>
      <c r="C243" t="s">
        <v>585</v>
      </c>
      <c r="D243" s="137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4056</v>
      </c>
    </row>
    <row r="244" spans="1:8" x14ac:dyDescent="0.25">
      <c r="A244" s="8">
        <v>43060.993090277778</v>
      </c>
      <c r="B244" t="s">
        <v>446</v>
      </c>
      <c r="C244" t="s">
        <v>586</v>
      </c>
      <c r="D244" s="137">
        <v>3220000</v>
      </c>
      <c r="E244" t="s">
        <v>379</v>
      </c>
      <c r="F244" s="20" t="s">
        <v>380</v>
      </c>
      <c r="G244" s="8" t="str">
        <f t="shared" si="6"/>
        <v>RESPASS AARON</v>
      </c>
      <c r="H244" s="20" t="str">
        <f t="shared" si="7"/>
        <v>4009</v>
      </c>
    </row>
    <row r="245" spans="1:8" x14ac:dyDescent="0.25">
      <c r="A245" s="8">
        <v>43061.00335648148</v>
      </c>
      <c r="B245" t="s">
        <v>527</v>
      </c>
      <c r="C245" t="s">
        <v>585</v>
      </c>
      <c r="D245" s="137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564</v>
      </c>
      <c r="C246" t="s">
        <v>587</v>
      </c>
      <c r="D246" s="137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529</v>
      </c>
      <c r="C247" t="s">
        <v>588</v>
      </c>
      <c r="D247" s="137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447</v>
      </c>
      <c r="C248" t="s">
        <v>589</v>
      </c>
      <c r="D248" s="137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352</v>
      </c>
      <c r="C249" t="s">
        <v>590</v>
      </c>
      <c r="D249" s="137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528</v>
      </c>
      <c r="C250" t="s">
        <v>591</v>
      </c>
      <c r="D250" s="137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566</v>
      </c>
      <c r="C251" t="s">
        <v>592</v>
      </c>
      <c r="D251" s="137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527</v>
      </c>
      <c r="C252" t="s">
        <v>593</v>
      </c>
      <c r="D252" s="137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564</v>
      </c>
      <c r="C253" t="s">
        <v>568</v>
      </c>
      <c r="D253" s="137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367</v>
      </c>
      <c r="C254" t="s">
        <v>508</v>
      </c>
      <c r="D254" s="137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453</v>
      </c>
      <c r="C255" t="s">
        <v>509</v>
      </c>
      <c r="D255" s="137">
        <v>3340000</v>
      </c>
      <c r="E255" t="s">
        <v>478</v>
      </c>
      <c r="F255" s="20" t="s">
        <v>479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447</v>
      </c>
      <c r="C256" t="s">
        <v>510</v>
      </c>
      <c r="D256" s="137">
        <v>3680000</v>
      </c>
      <c r="E256" t="s">
        <v>506</v>
      </c>
      <c r="F256" s="20" t="s">
        <v>507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449</v>
      </c>
      <c r="C257" t="s">
        <v>464</v>
      </c>
      <c r="D257" s="137">
        <v>2540000</v>
      </c>
      <c r="E257" t="s">
        <v>462</v>
      </c>
      <c r="F257" s="20" t="s">
        <v>463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458</v>
      </c>
      <c r="D258" s="137">
        <v>3700000</v>
      </c>
      <c r="E258" t="s">
        <v>451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447</v>
      </c>
      <c r="C259" t="s">
        <v>465</v>
      </c>
      <c r="D259" s="137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459</v>
      </c>
      <c r="C260" t="s">
        <v>466</v>
      </c>
      <c r="D260" s="137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450</v>
      </c>
      <c r="C261" t="s">
        <v>467</v>
      </c>
      <c r="D261" s="137">
        <v>2440000</v>
      </c>
      <c r="E261" t="s">
        <v>460</v>
      </c>
      <c r="F261" s="20" t="s">
        <v>461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468</v>
      </c>
      <c r="D262" s="137">
        <v>3700000</v>
      </c>
      <c r="E262" t="s">
        <v>451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457</v>
      </c>
      <c r="C263" t="s">
        <v>469</v>
      </c>
      <c r="D263" s="137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470</v>
      </c>
      <c r="D264" s="137">
        <v>3700000</v>
      </c>
      <c r="E264" t="s">
        <v>451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37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400</v>
      </c>
      <c r="D266" s="137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37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37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403</v>
      </c>
      <c r="D269" s="137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404</v>
      </c>
      <c r="D270" s="137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372</v>
      </c>
      <c r="C271" t="s">
        <v>405</v>
      </c>
      <c r="D271" s="137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37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37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37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409</v>
      </c>
      <c r="D275" s="137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37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411</v>
      </c>
      <c r="D277" s="137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412</v>
      </c>
      <c r="D278" s="137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37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371</v>
      </c>
      <c r="C280" t="s">
        <v>414</v>
      </c>
      <c r="D280" s="137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37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37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416</v>
      </c>
      <c r="D283" s="137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417</v>
      </c>
      <c r="D284" s="137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372</v>
      </c>
      <c r="C285" t="s">
        <v>418</v>
      </c>
      <c r="D285" s="137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37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37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37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421</v>
      </c>
      <c r="D289" s="137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37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371</v>
      </c>
      <c r="C291" t="s">
        <v>423</v>
      </c>
      <c r="D291" s="137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424</v>
      </c>
      <c r="D292" s="137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37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37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426</v>
      </c>
      <c r="D295" s="137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37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428</v>
      </c>
      <c r="D297" s="137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372</v>
      </c>
      <c r="C298" t="s">
        <v>429</v>
      </c>
      <c r="D298" s="137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37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37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432</v>
      </c>
      <c r="D301" s="137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37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390</v>
      </c>
      <c r="D303" s="137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371</v>
      </c>
      <c r="C304" t="s">
        <v>434</v>
      </c>
      <c r="D304" s="137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37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436</v>
      </c>
      <c r="D306" s="137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437</v>
      </c>
      <c r="D307" s="137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372</v>
      </c>
      <c r="C308" t="s">
        <v>438</v>
      </c>
      <c r="D308" s="137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37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440</v>
      </c>
      <c r="D310" s="137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371</v>
      </c>
      <c r="C311" t="s">
        <v>441</v>
      </c>
      <c r="D311" s="137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442</v>
      </c>
      <c r="D312" s="137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40.549999999999997</v>
      </c>
      <c r="B2" s="195">
        <v>7.0000000000000007E-2</v>
      </c>
      <c r="C2" s="195">
        <v>25.39</v>
      </c>
      <c r="D2" s="8">
        <v>43065</v>
      </c>
      <c r="E2" s="195">
        <v>0.54</v>
      </c>
      <c r="F2" s="195" t="s">
        <v>472</v>
      </c>
      <c r="G2" s="195">
        <v>220.2</v>
      </c>
      <c r="H2" s="195">
        <v>0</v>
      </c>
      <c r="I2" s="195">
        <v>0</v>
      </c>
      <c r="J2" s="195">
        <v>1020.76</v>
      </c>
      <c r="K2" s="195" t="s">
        <v>471</v>
      </c>
      <c r="L2" s="195">
        <v>40.549999999999997</v>
      </c>
      <c r="M2" s="195">
        <v>1511679600</v>
      </c>
      <c r="N2" s="195">
        <v>0</v>
      </c>
      <c r="O2" s="195">
        <v>2.81</v>
      </c>
      <c r="P2" s="195">
        <v>175</v>
      </c>
      <c r="Q2" s="195">
        <v>4.2300000000000004</v>
      </c>
      <c r="R2" s="195">
        <v>1.1100000000000001</v>
      </c>
      <c r="S2"/>
      <c r="T2"/>
    </row>
    <row r="3" spans="1:20" x14ac:dyDescent="0.25">
      <c r="A3" s="195">
        <v>40.909999999999997</v>
      </c>
      <c r="B3" s="195">
        <v>0.08</v>
      </c>
      <c r="C3" s="195">
        <v>24.99</v>
      </c>
      <c r="D3" s="8">
        <v>43065.041666666664</v>
      </c>
      <c r="E3" s="195">
        <v>0.53</v>
      </c>
      <c r="F3" s="195" t="s">
        <v>472</v>
      </c>
      <c r="G3" s="195">
        <v>220.2</v>
      </c>
      <c r="H3" s="195">
        <v>0</v>
      </c>
      <c r="I3" s="195">
        <v>0</v>
      </c>
      <c r="J3" s="195">
        <v>1020.58</v>
      </c>
      <c r="K3" s="195" t="s">
        <v>471</v>
      </c>
      <c r="L3" s="195">
        <v>40.909999999999997</v>
      </c>
      <c r="M3" s="195">
        <v>1511683200</v>
      </c>
      <c r="N3" s="195">
        <v>0</v>
      </c>
      <c r="O3" s="195">
        <v>3.16</v>
      </c>
      <c r="P3" s="195">
        <v>157</v>
      </c>
      <c r="Q3" s="195">
        <v>4.6500000000000004</v>
      </c>
      <c r="R3" s="195">
        <v>0.77</v>
      </c>
      <c r="S3"/>
      <c r="T3"/>
    </row>
    <row r="4" spans="1:20" x14ac:dyDescent="0.25">
      <c r="A4" s="195">
        <v>41.12</v>
      </c>
      <c r="B4" s="195">
        <v>0.03</v>
      </c>
      <c r="C4" s="195">
        <v>24.87</v>
      </c>
      <c r="D4" s="8">
        <v>43065.083333333336</v>
      </c>
      <c r="E4" s="195">
        <v>0.52</v>
      </c>
      <c r="F4" s="195" t="s">
        <v>472</v>
      </c>
      <c r="G4" s="195">
        <v>220.35</v>
      </c>
      <c r="H4" s="195">
        <v>0</v>
      </c>
      <c r="I4" s="195">
        <v>0</v>
      </c>
      <c r="J4" s="195">
        <v>1023.74</v>
      </c>
      <c r="K4" s="195" t="s">
        <v>471</v>
      </c>
      <c r="L4" s="195">
        <v>41.12</v>
      </c>
      <c r="M4" s="195">
        <v>1511686800</v>
      </c>
      <c r="N4" s="195">
        <v>0</v>
      </c>
      <c r="O4" s="195">
        <v>3.2</v>
      </c>
      <c r="P4" s="195">
        <v>152</v>
      </c>
      <c r="Q4" s="195">
        <v>4.7</v>
      </c>
      <c r="R4" s="195">
        <v>1.22</v>
      </c>
      <c r="S4"/>
      <c r="T4"/>
    </row>
    <row r="5" spans="1:20" x14ac:dyDescent="0.25">
      <c r="A5" s="195">
        <v>41.13</v>
      </c>
      <c r="B5" s="195">
        <v>0.04</v>
      </c>
      <c r="C5" s="195">
        <v>24.5</v>
      </c>
      <c r="D5" s="8">
        <v>43065.125</v>
      </c>
      <c r="E5" s="195">
        <v>0.51</v>
      </c>
      <c r="F5" s="195" t="s">
        <v>472</v>
      </c>
      <c r="G5" s="195">
        <v>220.2</v>
      </c>
      <c r="H5" s="195">
        <v>0</v>
      </c>
      <c r="I5" s="195">
        <v>0</v>
      </c>
      <c r="J5" s="195">
        <v>1021.36</v>
      </c>
      <c r="K5" s="195" t="s">
        <v>471</v>
      </c>
      <c r="L5" s="195">
        <v>41.13</v>
      </c>
      <c r="M5" s="195">
        <v>1511690400</v>
      </c>
      <c r="N5" s="195">
        <v>0</v>
      </c>
      <c r="O5" s="195">
        <v>3.31</v>
      </c>
      <c r="P5" s="195">
        <v>158</v>
      </c>
      <c r="Q5" s="195">
        <v>3.63</v>
      </c>
      <c r="R5" s="195">
        <v>0.71</v>
      </c>
      <c r="S5"/>
      <c r="T5"/>
    </row>
    <row r="6" spans="1:20" x14ac:dyDescent="0.25">
      <c r="A6" s="195">
        <v>40.1</v>
      </c>
      <c r="B6" s="195">
        <v>0.02</v>
      </c>
      <c r="C6" s="195">
        <v>24.5</v>
      </c>
      <c r="D6" s="8">
        <v>43065.166666666664</v>
      </c>
      <c r="E6" s="195">
        <v>0.53</v>
      </c>
      <c r="F6" s="195" t="s">
        <v>472</v>
      </c>
      <c r="G6" s="195">
        <v>220.2</v>
      </c>
      <c r="H6" s="195">
        <v>0</v>
      </c>
      <c r="I6" s="195">
        <v>0</v>
      </c>
      <c r="J6" s="195">
        <v>1021.91</v>
      </c>
      <c r="K6" s="195" t="s">
        <v>471</v>
      </c>
      <c r="L6" s="195">
        <v>40.1</v>
      </c>
      <c r="M6" s="195">
        <v>1511694000</v>
      </c>
      <c r="N6" s="195">
        <v>0</v>
      </c>
      <c r="O6" s="195">
        <v>3.43</v>
      </c>
      <c r="P6" s="195">
        <v>172</v>
      </c>
      <c r="Q6" s="195">
        <v>2.99</v>
      </c>
      <c r="R6" s="195">
        <v>0.27</v>
      </c>
      <c r="S6"/>
      <c r="T6"/>
    </row>
    <row r="7" spans="1:20" x14ac:dyDescent="0.25">
      <c r="A7" s="195">
        <v>38.619999999999997</v>
      </c>
      <c r="B7" s="195">
        <v>0.05</v>
      </c>
      <c r="C7" s="195">
        <v>24.65</v>
      </c>
      <c r="D7" s="8">
        <v>43065.208333333336</v>
      </c>
      <c r="E7" s="195">
        <v>0.56999999999999995</v>
      </c>
      <c r="F7" s="195" t="s">
        <v>472</v>
      </c>
      <c r="G7" s="195">
        <v>221.26</v>
      </c>
      <c r="H7" s="195">
        <v>0</v>
      </c>
      <c r="I7" s="195">
        <v>0</v>
      </c>
      <c r="J7" s="195">
        <v>1022.61</v>
      </c>
      <c r="K7" s="195" t="s">
        <v>471</v>
      </c>
      <c r="L7" s="195">
        <v>38.619999999999997</v>
      </c>
      <c r="M7" s="195">
        <v>1511697600</v>
      </c>
      <c r="N7" s="195">
        <v>0</v>
      </c>
      <c r="O7" s="195">
        <v>3.23</v>
      </c>
      <c r="P7" s="195">
        <v>300</v>
      </c>
      <c r="Q7" s="195">
        <v>2.72</v>
      </c>
      <c r="R7" s="195">
        <v>0.54</v>
      </c>
      <c r="S7"/>
      <c r="T7"/>
    </row>
    <row r="8" spans="1:20" x14ac:dyDescent="0.25">
      <c r="A8" s="195">
        <v>39.01</v>
      </c>
      <c r="B8" s="195">
        <v>0.06</v>
      </c>
      <c r="C8" s="195">
        <v>25.41</v>
      </c>
      <c r="D8" s="8">
        <v>43065.25</v>
      </c>
      <c r="E8" s="195">
        <v>0.57999999999999996</v>
      </c>
      <c r="F8" s="195" t="s">
        <v>472</v>
      </c>
      <c r="G8" s="195">
        <v>221.86</v>
      </c>
      <c r="H8" s="195">
        <v>0</v>
      </c>
      <c r="I8" s="195">
        <v>0</v>
      </c>
      <c r="J8" s="195">
        <v>1023.23</v>
      </c>
      <c r="K8" s="195" t="s">
        <v>471</v>
      </c>
      <c r="L8" s="195">
        <v>39.01</v>
      </c>
      <c r="M8" s="195">
        <v>1511701200</v>
      </c>
      <c r="N8" s="195">
        <v>0</v>
      </c>
      <c r="O8" s="195">
        <v>3.97</v>
      </c>
      <c r="P8" s="195">
        <v>226</v>
      </c>
      <c r="Q8" s="195">
        <v>2.63</v>
      </c>
      <c r="R8" s="195">
        <v>0.57999999999999996</v>
      </c>
      <c r="S8"/>
      <c r="T8"/>
    </row>
    <row r="9" spans="1:20" x14ac:dyDescent="0.25">
      <c r="A9" s="195">
        <v>39.01</v>
      </c>
      <c r="B9" s="195">
        <v>0.04</v>
      </c>
      <c r="C9" s="195">
        <v>25.74</v>
      </c>
      <c r="D9" s="8">
        <v>43065.291666666664</v>
      </c>
      <c r="E9" s="195">
        <v>0.59</v>
      </c>
      <c r="F9" s="195" t="s">
        <v>472</v>
      </c>
      <c r="G9" s="195">
        <v>222.31</v>
      </c>
      <c r="H9" s="195">
        <v>0</v>
      </c>
      <c r="I9" s="195">
        <v>0</v>
      </c>
      <c r="J9" s="195">
        <v>1023.7</v>
      </c>
      <c r="K9" s="195" t="s">
        <v>471</v>
      </c>
      <c r="L9" s="195">
        <v>39.01</v>
      </c>
      <c r="M9" s="195">
        <v>1511704800</v>
      </c>
      <c r="N9" s="195">
        <v>0</v>
      </c>
      <c r="O9" s="195">
        <v>2.9</v>
      </c>
      <c r="P9" s="195">
        <v>180</v>
      </c>
      <c r="Q9" s="195">
        <v>3.1</v>
      </c>
      <c r="R9" s="195">
        <v>0.57999999999999996</v>
      </c>
      <c r="S9"/>
      <c r="T9"/>
    </row>
    <row r="10" spans="1:20" x14ac:dyDescent="0.25">
      <c r="A10" s="195">
        <v>40.950000000000003</v>
      </c>
      <c r="B10" s="195">
        <v>0.14000000000000001</v>
      </c>
      <c r="C10" s="195">
        <v>26.4</v>
      </c>
      <c r="D10" s="8">
        <v>43065.333333333336</v>
      </c>
      <c r="E10" s="195">
        <v>0.56000000000000005</v>
      </c>
      <c r="F10" s="195" t="s">
        <v>893</v>
      </c>
      <c r="G10" s="195">
        <v>222.76</v>
      </c>
      <c r="H10" s="195">
        <v>0</v>
      </c>
      <c r="I10" s="195">
        <v>0</v>
      </c>
      <c r="J10" s="195">
        <v>1023.97</v>
      </c>
      <c r="K10" s="195" t="s">
        <v>471</v>
      </c>
      <c r="L10" s="195">
        <v>40.950000000000003</v>
      </c>
      <c r="M10" s="195">
        <v>1511708400</v>
      </c>
      <c r="N10" s="195">
        <v>1</v>
      </c>
      <c r="O10" s="195">
        <v>3.97</v>
      </c>
      <c r="P10" s="195">
        <v>179</v>
      </c>
      <c r="Q10" s="195">
        <v>4.24</v>
      </c>
      <c r="R10" s="195">
        <v>1.32</v>
      </c>
      <c r="S10"/>
      <c r="T10"/>
    </row>
    <row r="11" spans="1:20" x14ac:dyDescent="0.25">
      <c r="A11" s="195">
        <v>48.85</v>
      </c>
      <c r="B11" s="195">
        <v>0.11</v>
      </c>
      <c r="C11" s="195">
        <v>26.9</v>
      </c>
      <c r="D11" s="8">
        <v>43065.375</v>
      </c>
      <c r="E11" s="195">
        <v>0.42</v>
      </c>
      <c r="F11" s="195" t="s">
        <v>893</v>
      </c>
      <c r="G11" s="195">
        <v>223.06</v>
      </c>
      <c r="H11" s="195">
        <v>0</v>
      </c>
      <c r="I11" s="195">
        <v>0</v>
      </c>
      <c r="J11" s="195">
        <v>1023.17</v>
      </c>
      <c r="K11" s="195" t="s">
        <v>471</v>
      </c>
      <c r="L11" s="195">
        <v>48.85</v>
      </c>
      <c r="M11" s="195">
        <v>1511712000</v>
      </c>
      <c r="N11" s="195">
        <v>1</v>
      </c>
      <c r="O11" s="195">
        <v>3.19</v>
      </c>
      <c r="P11" s="195">
        <v>190</v>
      </c>
      <c r="Q11" s="195">
        <v>5.72</v>
      </c>
      <c r="R11" s="195">
        <v>1.74</v>
      </c>
      <c r="S11"/>
      <c r="T11"/>
    </row>
    <row r="12" spans="1:20" x14ac:dyDescent="0.25">
      <c r="A12" s="195">
        <v>57.5</v>
      </c>
      <c r="B12" s="195">
        <v>0.12</v>
      </c>
      <c r="C12" s="195">
        <v>26.79</v>
      </c>
      <c r="D12" s="8">
        <v>43065.416666666664</v>
      </c>
      <c r="E12" s="195">
        <v>0.31</v>
      </c>
      <c r="F12" s="195" t="s">
        <v>893</v>
      </c>
      <c r="G12" s="195">
        <v>223.35</v>
      </c>
      <c r="H12" s="195">
        <v>0</v>
      </c>
      <c r="I12" s="195">
        <v>0</v>
      </c>
      <c r="J12" s="195">
        <v>1021.37</v>
      </c>
      <c r="K12" s="195" t="s">
        <v>471</v>
      </c>
      <c r="L12" s="195">
        <v>57.5</v>
      </c>
      <c r="M12" s="195">
        <v>1511715600</v>
      </c>
      <c r="N12" s="195">
        <v>2</v>
      </c>
      <c r="O12" s="195">
        <v>4.79</v>
      </c>
      <c r="P12" s="195">
        <v>210</v>
      </c>
      <c r="Q12" s="195">
        <v>7.31</v>
      </c>
      <c r="R12" s="195">
        <v>2.96</v>
      </c>
      <c r="S12"/>
      <c r="T12"/>
    </row>
    <row r="13" spans="1:20" x14ac:dyDescent="0.25">
      <c r="A13" s="195">
        <v>64.92</v>
      </c>
      <c r="B13" s="195">
        <v>0.11</v>
      </c>
      <c r="C13" s="195">
        <v>26.76</v>
      </c>
      <c r="D13" s="8">
        <v>43065.458333333336</v>
      </c>
      <c r="E13" s="195">
        <v>0.24</v>
      </c>
      <c r="F13" s="195" t="s">
        <v>893</v>
      </c>
      <c r="G13" s="195">
        <v>223.95</v>
      </c>
      <c r="H13" s="195">
        <v>0</v>
      </c>
      <c r="I13" s="195">
        <v>0</v>
      </c>
      <c r="J13" s="195">
        <v>1019.77</v>
      </c>
      <c r="K13" s="195" t="s">
        <v>471</v>
      </c>
      <c r="L13" s="195">
        <v>64.92</v>
      </c>
      <c r="M13" s="195">
        <v>1511719200</v>
      </c>
      <c r="N13" s="195">
        <v>3</v>
      </c>
      <c r="O13" s="195">
        <v>3.86</v>
      </c>
      <c r="P13" s="195">
        <v>209</v>
      </c>
      <c r="Q13" s="195">
        <v>9.86</v>
      </c>
      <c r="R13" s="195">
        <v>3.12</v>
      </c>
      <c r="S13"/>
      <c r="T13"/>
    </row>
    <row r="14" spans="1:20" x14ac:dyDescent="0.25">
      <c r="A14" s="195">
        <v>69.040000000000006</v>
      </c>
      <c r="B14" s="195">
        <v>0.11</v>
      </c>
      <c r="C14" s="195">
        <v>26.21</v>
      </c>
      <c r="D14" s="8">
        <v>43065.5</v>
      </c>
      <c r="E14" s="195">
        <v>0.2</v>
      </c>
      <c r="F14" s="195" t="s">
        <v>893</v>
      </c>
      <c r="G14" s="195">
        <v>223.96</v>
      </c>
      <c r="H14" s="195">
        <v>0</v>
      </c>
      <c r="I14" s="195">
        <v>0</v>
      </c>
      <c r="J14" s="195">
        <v>1017.94</v>
      </c>
      <c r="K14" s="195" t="s">
        <v>471</v>
      </c>
      <c r="L14" s="195">
        <v>69.040000000000006</v>
      </c>
      <c r="M14" s="195">
        <v>1511722800</v>
      </c>
      <c r="N14" s="195">
        <v>3</v>
      </c>
      <c r="O14" s="195">
        <v>3.86</v>
      </c>
      <c r="P14" s="195">
        <v>217</v>
      </c>
      <c r="Q14" s="195">
        <v>8.7100000000000009</v>
      </c>
      <c r="R14" s="195">
        <v>2.62</v>
      </c>
      <c r="S14"/>
      <c r="T14"/>
    </row>
    <row r="15" spans="1:20" x14ac:dyDescent="0.25">
      <c r="A15" s="195">
        <v>71.569999999999993</v>
      </c>
      <c r="B15" s="195">
        <v>0.09</v>
      </c>
      <c r="C15" s="195">
        <v>26.19</v>
      </c>
      <c r="D15" s="8">
        <v>43065.541666666664</v>
      </c>
      <c r="E15" s="195">
        <v>0.18</v>
      </c>
      <c r="F15" s="195" t="s">
        <v>893</v>
      </c>
      <c r="G15" s="195">
        <v>223.96</v>
      </c>
      <c r="H15" s="195">
        <v>0</v>
      </c>
      <c r="I15" s="195">
        <v>0</v>
      </c>
      <c r="J15" s="195">
        <v>1016.48</v>
      </c>
      <c r="K15" s="195" t="s">
        <v>471</v>
      </c>
      <c r="L15" s="195">
        <v>71.569999999999993</v>
      </c>
      <c r="M15" s="195">
        <v>1511726400</v>
      </c>
      <c r="N15" s="195">
        <v>2</v>
      </c>
      <c r="O15" s="195">
        <v>3.8</v>
      </c>
      <c r="P15" s="195">
        <v>206</v>
      </c>
      <c r="Q15" s="195">
        <v>8.59</v>
      </c>
      <c r="R15" s="195">
        <v>2.2599999999999998</v>
      </c>
      <c r="S15"/>
      <c r="T15"/>
    </row>
    <row r="16" spans="1:20" x14ac:dyDescent="0.25">
      <c r="A16" s="195">
        <v>72.849999999999994</v>
      </c>
      <c r="B16" s="195">
        <v>0.11</v>
      </c>
      <c r="C16" s="195">
        <v>25.92</v>
      </c>
      <c r="D16" s="8">
        <v>43065.583333333336</v>
      </c>
      <c r="E16" s="195">
        <v>0.17</v>
      </c>
      <c r="F16" s="195" t="s">
        <v>893</v>
      </c>
      <c r="G16" s="195">
        <v>223.95</v>
      </c>
      <c r="H16" s="195">
        <v>0</v>
      </c>
      <c r="I16" s="195">
        <v>0</v>
      </c>
      <c r="J16" s="195">
        <v>1015.55</v>
      </c>
      <c r="K16" s="195" t="s">
        <v>471</v>
      </c>
      <c r="L16" s="195">
        <v>72.849999999999994</v>
      </c>
      <c r="M16" s="195">
        <v>1511730000</v>
      </c>
      <c r="N16" s="195">
        <v>2</v>
      </c>
      <c r="O16" s="195">
        <v>3.31</v>
      </c>
      <c r="P16" s="195">
        <v>185</v>
      </c>
      <c r="Q16" s="195">
        <v>7.8</v>
      </c>
      <c r="R16" s="195">
        <v>1.95</v>
      </c>
      <c r="S16"/>
      <c r="T16"/>
    </row>
    <row r="17" spans="1:20" x14ac:dyDescent="0.25">
      <c r="A17" s="195">
        <v>71.650000000000006</v>
      </c>
      <c r="B17" s="195">
        <v>0.11</v>
      </c>
      <c r="C17" s="195">
        <v>26.65</v>
      </c>
      <c r="D17" s="8">
        <v>43065.625</v>
      </c>
      <c r="E17" s="195">
        <v>0.19</v>
      </c>
      <c r="F17" s="195" t="s">
        <v>893</v>
      </c>
      <c r="G17" s="195">
        <v>223.51</v>
      </c>
      <c r="H17" s="195">
        <v>0</v>
      </c>
      <c r="I17" s="195">
        <v>0</v>
      </c>
      <c r="J17" s="195">
        <v>1015.12</v>
      </c>
      <c r="K17" s="195" t="s">
        <v>471</v>
      </c>
      <c r="L17" s="195">
        <v>71.650000000000006</v>
      </c>
      <c r="M17" s="195">
        <v>1511733600</v>
      </c>
      <c r="N17" s="195">
        <v>1</v>
      </c>
      <c r="O17" s="195">
        <v>4.59</v>
      </c>
      <c r="P17" s="195">
        <v>170</v>
      </c>
      <c r="Q17" s="195">
        <v>5.5</v>
      </c>
      <c r="R17" s="195">
        <v>1.66</v>
      </c>
      <c r="S17"/>
      <c r="T17"/>
    </row>
    <row r="18" spans="1:20" x14ac:dyDescent="0.25">
      <c r="A18" s="195">
        <v>69.67</v>
      </c>
      <c r="B18" s="195">
        <v>0.1</v>
      </c>
      <c r="C18" s="195">
        <v>26.66</v>
      </c>
      <c r="D18" s="8">
        <v>43065.666666666664</v>
      </c>
      <c r="E18" s="195">
        <v>0.2</v>
      </c>
      <c r="F18" s="195" t="s">
        <v>893</v>
      </c>
      <c r="G18" s="195">
        <v>223.05</v>
      </c>
      <c r="H18" s="195">
        <v>0</v>
      </c>
      <c r="I18" s="195">
        <v>0</v>
      </c>
      <c r="J18" s="195">
        <v>1015.5</v>
      </c>
      <c r="K18" s="195" t="s">
        <v>471</v>
      </c>
      <c r="L18" s="195">
        <v>69.67</v>
      </c>
      <c r="M18" s="195">
        <v>1511737200</v>
      </c>
      <c r="N18" s="195">
        <v>1</v>
      </c>
      <c r="O18" s="195">
        <v>4.5199999999999996</v>
      </c>
      <c r="P18" s="195">
        <v>164</v>
      </c>
      <c r="Q18" s="195">
        <v>3.77</v>
      </c>
      <c r="R18" s="195">
        <v>1.25</v>
      </c>
      <c r="S18"/>
      <c r="T18"/>
    </row>
    <row r="19" spans="1:20" x14ac:dyDescent="0.25">
      <c r="A19" s="195">
        <v>64.349999999999994</v>
      </c>
      <c r="B19" s="195">
        <v>0.09</v>
      </c>
      <c r="C19" s="195">
        <v>27</v>
      </c>
      <c r="D19" s="8">
        <v>43065.708333333336</v>
      </c>
      <c r="E19" s="195">
        <v>0.24</v>
      </c>
      <c r="F19" s="195" t="s">
        <v>472</v>
      </c>
      <c r="G19" s="195">
        <v>222.75</v>
      </c>
      <c r="H19" s="195">
        <v>0</v>
      </c>
      <c r="I19" s="195">
        <v>0</v>
      </c>
      <c r="J19" s="195">
        <v>1015.64</v>
      </c>
      <c r="K19" s="195" t="s">
        <v>471</v>
      </c>
      <c r="L19" s="195">
        <v>64.349999999999994</v>
      </c>
      <c r="M19" s="195">
        <v>1511740800</v>
      </c>
      <c r="N19" s="195">
        <v>0</v>
      </c>
      <c r="O19" s="195">
        <v>4.6900000000000004</v>
      </c>
      <c r="P19" s="195">
        <v>174</v>
      </c>
      <c r="Q19" s="195">
        <v>3.21</v>
      </c>
      <c r="R19" s="195">
        <v>0.88</v>
      </c>
      <c r="S19"/>
      <c r="T19"/>
    </row>
    <row r="20" spans="1:20" x14ac:dyDescent="0.25">
      <c r="A20" s="195">
        <v>59.51</v>
      </c>
      <c r="B20" s="195">
        <v>0.15</v>
      </c>
      <c r="C20" s="195">
        <v>27.03</v>
      </c>
      <c r="D20" s="8">
        <v>43065.75</v>
      </c>
      <c r="E20" s="195">
        <v>0.28999999999999998</v>
      </c>
      <c r="F20" s="195" t="s">
        <v>472</v>
      </c>
      <c r="G20" s="195">
        <v>222.9</v>
      </c>
      <c r="H20" s="195">
        <v>0</v>
      </c>
      <c r="I20" s="195">
        <v>0</v>
      </c>
      <c r="J20" s="195">
        <v>1016.08</v>
      </c>
      <c r="K20" s="195" t="s">
        <v>471</v>
      </c>
      <c r="L20" s="195">
        <v>59.51</v>
      </c>
      <c r="M20" s="195">
        <v>1511744400</v>
      </c>
      <c r="N20" s="195">
        <v>0</v>
      </c>
      <c r="O20" s="195">
        <v>2.74</v>
      </c>
      <c r="P20" s="195">
        <v>180</v>
      </c>
      <c r="Q20" s="195">
        <v>3.58</v>
      </c>
      <c r="R20" s="195">
        <v>1.1499999999999999</v>
      </c>
      <c r="S20"/>
      <c r="T20"/>
    </row>
    <row r="21" spans="1:20" x14ac:dyDescent="0.25">
      <c r="A21" s="195">
        <v>56.76</v>
      </c>
      <c r="B21" s="195">
        <v>0.19</v>
      </c>
      <c r="C21" s="195">
        <v>27.2</v>
      </c>
      <c r="D21" s="8">
        <v>43065.791666666664</v>
      </c>
      <c r="E21" s="195">
        <v>0.32</v>
      </c>
      <c r="F21" s="195" t="s">
        <v>472</v>
      </c>
      <c r="G21" s="195">
        <v>223.35</v>
      </c>
      <c r="H21" s="195">
        <v>0</v>
      </c>
      <c r="I21" s="195">
        <v>0</v>
      </c>
      <c r="J21" s="195">
        <v>1015.79</v>
      </c>
      <c r="K21" s="195" t="s">
        <v>471</v>
      </c>
      <c r="L21" s="195">
        <v>56.76</v>
      </c>
      <c r="M21" s="195">
        <v>1511748000</v>
      </c>
      <c r="N21" s="195">
        <v>0</v>
      </c>
      <c r="O21" s="195">
        <v>3.78</v>
      </c>
      <c r="P21" s="195">
        <v>166</v>
      </c>
      <c r="Q21" s="195">
        <v>4.05</v>
      </c>
      <c r="R21" s="195">
        <v>1.1599999999999999</v>
      </c>
      <c r="S21"/>
      <c r="T21"/>
    </row>
    <row r="22" spans="1:20" x14ac:dyDescent="0.25">
      <c r="A22" s="195">
        <v>56.06</v>
      </c>
      <c r="B22" s="195">
        <v>0.08</v>
      </c>
      <c r="C22" s="195">
        <v>27.17</v>
      </c>
      <c r="D22" s="8">
        <v>43065.833333333336</v>
      </c>
      <c r="E22" s="195">
        <v>0.33</v>
      </c>
      <c r="F22" s="195" t="s">
        <v>472</v>
      </c>
      <c r="G22" s="195">
        <v>223.65</v>
      </c>
      <c r="H22" s="195">
        <v>0</v>
      </c>
      <c r="I22" s="195">
        <v>0</v>
      </c>
      <c r="J22" s="195">
        <v>1015.07</v>
      </c>
      <c r="K22" s="195" t="s">
        <v>471</v>
      </c>
      <c r="L22" s="195">
        <v>56.06</v>
      </c>
      <c r="M22" s="195">
        <v>1511751600</v>
      </c>
      <c r="N22" s="195">
        <v>0</v>
      </c>
      <c r="O22" s="195">
        <v>4.37</v>
      </c>
      <c r="P22" s="195">
        <v>177</v>
      </c>
      <c r="Q22" s="195">
        <v>4.22</v>
      </c>
      <c r="R22" s="195">
        <v>1.47</v>
      </c>
      <c r="S22"/>
      <c r="T22"/>
    </row>
    <row r="23" spans="1:20" x14ac:dyDescent="0.25">
      <c r="A23" s="195">
        <v>55.89</v>
      </c>
      <c r="B23" s="195">
        <v>0.21</v>
      </c>
      <c r="C23" s="195">
        <v>26.66</v>
      </c>
      <c r="D23" s="8">
        <v>43065.875</v>
      </c>
      <c r="E23" s="195">
        <v>0.32</v>
      </c>
      <c r="F23" s="195" t="s">
        <v>472</v>
      </c>
      <c r="G23" s="195">
        <v>223.94</v>
      </c>
      <c r="H23" s="195">
        <v>0</v>
      </c>
      <c r="I23" s="195">
        <v>0</v>
      </c>
      <c r="J23" s="195">
        <v>1014.01</v>
      </c>
      <c r="K23" s="195" t="s">
        <v>471</v>
      </c>
      <c r="L23" s="195">
        <v>55.89</v>
      </c>
      <c r="M23" s="195">
        <v>1511755200</v>
      </c>
      <c r="N23" s="195">
        <v>0</v>
      </c>
      <c r="O23" s="195">
        <v>3.49</v>
      </c>
      <c r="P23" s="195">
        <v>187</v>
      </c>
      <c r="Q23" s="195">
        <v>4.41</v>
      </c>
      <c r="R23" s="195">
        <v>1.44</v>
      </c>
      <c r="S23"/>
      <c r="T23"/>
    </row>
    <row r="24" spans="1:20" x14ac:dyDescent="0.25">
      <c r="A24" s="195">
        <v>55.05</v>
      </c>
      <c r="B24" s="195">
        <v>0.1</v>
      </c>
      <c r="C24" s="195">
        <v>26.69</v>
      </c>
      <c r="D24" s="8">
        <v>43065.916666666664</v>
      </c>
      <c r="E24" s="195">
        <v>0.33</v>
      </c>
      <c r="F24" s="195" t="s">
        <v>472</v>
      </c>
      <c r="G24" s="195">
        <v>224.09</v>
      </c>
      <c r="H24" s="195">
        <v>0</v>
      </c>
      <c r="I24" s="195">
        <v>0</v>
      </c>
      <c r="J24" s="195">
        <v>1013.2</v>
      </c>
      <c r="K24" s="195" t="s">
        <v>471</v>
      </c>
      <c r="L24" s="195">
        <v>55.05</v>
      </c>
      <c r="M24" s="195">
        <v>1511758800</v>
      </c>
      <c r="N24" s="195">
        <v>0</v>
      </c>
      <c r="O24" s="195">
        <v>2.91</v>
      </c>
      <c r="P24" s="195">
        <v>196</v>
      </c>
      <c r="Q24" s="195">
        <v>4.63</v>
      </c>
      <c r="R24" s="195">
        <v>1.52</v>
      </c>
      <c r="S24"/>
      <c r="T24"/>
    </row>
    <row r="25" spans="1:20" x14ac:dyDescent="0.25">
      <c r="A25" s="195">
        <v>54.1</v>
      </c>
      <c r="B25" s="195">
        <v>0.06</v>
      </c>
      <c r="C25" s="195">
        <v>26.45</v>
      </c>
      <c r="D25" s="8">
        <v>43065.958333333336</v>
      </c>
      <c r="E25" s="195">
        <v>0.34</v>
      </c>
      <c r="F25" s="195" t="s">
        <v>472</v>
      </c>
      <c r="G25" s="195">
        <v>224.24</v>
      </c>
      <c r="H25" s="195">
        <v>0</v>
      </c>
      <c r="I25" s="195">
        <v>0</v>
      </c>
      <c r="J25" s="195">
        <v>1011.82</v>
      </c>
      <c r="K25" s="195" t="s">
        <v>471</v>
      </c>
      <c r="L25" s="195">
        <v>54.1</v>
      </c>
      <c r="M25" s="195">
        <v>1511762400</v>
      </c>
      <c r="N25" s="195">
        <v>0</v>
      </c>
      <c r="O25" s="195">
        <v>3.33</v>
      </c>
      <c r="P25" s="195">
        <v>205</v>
      </c>
      <c r="Q25" s="195">
        <v>4.78</v>
      </c>
      <c r="R25" s="195">
        <v>1.95</v>
      </c>
      <c r="S25"/>
      <c r="T25"/>
    </row>
    <row r="26" spans="1:20" x14ac:dyDescent="0.25">
      <c r="A26" s="195">
        <v>54.02</v>
      </c>
      <c r="B26" s="195">
        <v>0.09</v>
      </c>
      <c r="C26" s="195">
        <v>25.93</v>
      </c>
      <c r="D26" s="8">
        <v>43066</v>
      </c>
      <c r="E26" s="195">
        <v>0.34</v>
      </c>
      <c r="F26" s="195" t="s">
        <v>472</v>
      </c>
      <c r="G26" s="195">
        <v>224.24</v>
      </c>
      <c r="H26" s="195">
        <v>0</v>
      </c>
      <c r="I26" s="195">
        <v>0</v>
      </c>
      <c r="J26" s="195">
        <v>1010.2</v>
      </c>
      <c r="K26" s="195" t="s">
        <v>471</v>
      </c>
      <c r="L26" s="195">
        <v>54.02</v>
      </c>
      <c r="M26" s="195">
        <v>1511766000</v>
      </c>
      <c r="N26" s="195">
        <v>0</v>
      </c>
      <c r="O26" s="195">
        <v>2.85</v>
      </c>
      <c r="P26" s="195">
        <v>223</v>
      </c>
      <c r="Q26" s="195">
        <v>5.63</v>
      </c>
      <c r="R26" s="195">
        <v>1.52</v>
      </c>
      <c r="S26"/>
      <c r="T26"/>
    </row>
    <row r="27" spans="1:20" x14ac:dyDescent="0.25">
      <c r="A27" s="195">
        <v>53.19</v>
      </c>
      <c r="B27" s="195">
        <v>0.08</v>
      </c>
      <c r="C27" s="195">
        <v>25.53</v>
      </c>
      <c r="D27" s="8">
        <v>43066.041666666664</v>
      </c>
      <c r="E27" s="195">
        <v>0.34</v>
      </c>
      <c r="F27" s="195" t="s">
        <v>472</v>
      </c>
      <c r="G27" s="195">
        <v>223.95</v>
      </c>
      <c r="H27" s="195">
        <v>0</v>
      </c>
      <c r="I27" s="195">
        <v>0</v>
      </c>
      <c r="J27" s="195">
        <v>1009.46</v>
      </c>
      <c r="K27" s="195" t="s">
        <v>471</v>
      </c>
      <c r="L27" s="195">
        <v>53.19</v>
      </c>
      <c r="M27" s="195">
        <v>1511769600</v>
      </c>
      <c r="N27" s="195">
        <v>0</v>
      </c>
      <c r="O27" s="195">
        <v>3.18</v>
      </c>
      <c r="P27" s="195">
        <v>221</v>
      </c>
      <c r="Q27" s="195">
        <v>5.28</v>
      </c>
      <c r="R27" s="195">
        <v>1.76</v>
      </c>
      <c r="S27"/>
      <c r="T27"/>
    </row>
    <row r="28" spans="1:20" x14ac:dyDescent="0.25">
      <c r="A28" s="195">
        <v>53.91</v>
      </c>
      <c r="B28" s="195">
        <v>7.0000000000000007E-2</v>
      </c>
      <c r="C28" s="195">
        <v>24.26</v>
      </c>
      <c r="D28" s="8">
        <v>43066.083333333336</v>
      </c>
      <c r="E28" s="195">
        <v>0.31</v>
      </c>
      <c r="F28" s="195" t="s">
        <v>472</v>
      </c>
      <c r="G28" s="195">
        <v>223.8</v>
      </c>
      <c r="H28" s="195">
        <v>0</v>
      </c>
      <c r="I28" s="195">
        <v>0</v>
      </c>
      <c r="J28" s="195">
        <v>1009.04</v>
      </c>
      <c r="K28" s="195" t="s">
        <v>471</v>
      </c>
      <c r="L28" s="195">
        <v>53.91</v>
      </c>
      <c r="M28" s="195">
        <v>1511773200</v>
      </c>
      <c r="N28" s="195">
        <v>0</v>
      </c>
      <c r="O28" s="195">
        <v>4.75</v>
      </c>
      <c r="P28" s="195">
        <v>219</v>
      </c>
      <c r="Q28" s="195">
        <v>6.77</v>
      </c>
      <c r="R28" s="195">
        <v>2.59</v>
      </c>
      <c r="S28"/>
      <c r="T28"/>
    </row>
    <row r="29" spans="1:20" x14ac:dyDescent="0.25">
      <c r="A29" s="195">
        <v>51.68</v>
      </c>
      <c r="B29" s="195">
        <v>0.13</v>
      </c>
      <c r="C29" s="195">
        <v>21.65</v>
      </c>
      <c r="D29" s="8">
        <v>43066.125</v>
      </c>
      <c r="E29" s="195">
        <v>0.3</v>
      </c>
      <c r="F29" s="195" t="s">
        <v>472</v>
      </c>
      <c r="G29" s="195">
        <v>223.36</v>
      </c>
      <c r="H29" s="195">
        <v>0</v>
      </c>
      <c r="I29" s="195">
        <v>0</v>
      </c>
      <c r="J29" s="195">
        <v>1010.09</v>
      </c>
      <c r="K29" s="195" t="s">
        <v>471</v>
      </c>
      <c r="L29" s="195">
        <v>51.68</v>
      </c>
      <c r="M29" s="195">
        <v>1511776800</v>
      </c>
      <c r="N29" s="195">
        <v>0</v>
      </c>
      <c r="O29" s="195">
        <v>6.38</v>
      </c>
      <c r="P29" s="195">
        <v>213</v>
      </c>
      <c r="Q29" s="195">
        <v>6.91</v>
      </c>
      <c r="R29" s="195">
        <v>3.52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43065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1048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1049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1050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1051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1052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1053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1054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1055</v>
      </c>
      <c r="J25" s="139" t="s">
        <v>144</v>
      </c>
      <c r="M25" s="153" t="b">
        <v>1</v>
      </c>
    </row>
    <row r="26" spans="3:24" x14ac:dyDescent="0.25">
      <c r="C26" t="s">
        <v>1056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%USERPROFILE%\Documents\GitHub\eaglep3-reporting\EC\2017-11-26-refined-times.txt</v>
      </c>
    </row>
    <row r="27" spans="3:24" x14ac:dyDescent="0.25">
      <c r="C27" t="s">
        <v>1057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%USERPROFILE%\Documents\GitHub\eaglep3-reporting\EC\2017-11-26-Enforcements.txt</v>
      </c>
    </row>
    <row r="28" spans="3:24" x14ac:dyDescent="0.25">
      <c r="C28" t="s">
        <v>1058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%USERPROFILE%\Documents\GitHub\eaglep3-reporting\EC\2017-11-26-Runs-refined.txt</v>
      </c>
    </row>
    <row r="29" spans="3:24" x14ac:dyDescent="0.25">
      <c r="C29" t="s">
        <v>1059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%USERPROFILE%\Documents\GitHub\eaglep3-reporting\EC\2017-11-26-Trips.txt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%USERPROFILE%\Documents\GitHub\eaglep3-reporting\EC\2017-11-26-Weather.txt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2017-11-28T16:33:10Z</dcterms:modified>
</cp:coreProperties>
</file>