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1" i="1" l="1"/>
  <c r="X202" i="1"/>
  <c r="X203" i="1"/>
  <c r="K201" i="1"/>
  <c r="L201" i="1"/>
  <c r="M201" i="1"/>
  <c r="N201" i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X198" i="1"/>
  <c r="X199" i="1"/>
  <c r="K197" i="1"/>
  <c r="L197" i="1"/>
  <c r="M197" i="1"/>
  <c r="N197" i="1"/>
  <c r="V197" i="1"/>
  <c r="AA197" i="1"/>
  <c r="AB197" i="1"/>
  <c r="AC197" i="1"/>
  <c r="AD197" i="1"/>
  <c r="T197" i="1" s="1"/>
  <c r="AE197" i="1"/>
  <c r="AF197" i="1"/>
  <c r="AH197" i="1"/>
  <c r="AM197" i="1"/>
  <c r="AN197" i="1"/>
  <c r="AO197" i="1"/>
  <c r="K180" i="1"/>
  <c r="L180" i="1"/>
  <c r="M180" i="1"/>
  <c r="N180" i="1"/>
  <c r="V180" i="1"/>
  <c r="AA180" i="1"/>
  <c r="AB180" i="1"/>
  <c r="AC180" i="1"/>
  <c r="AD180" i="1"/>
  <c r="T180" i="1" s="1"/>
  <c r="AE180" i="1"/>
  <c r="AF180" i="1"/>
  <c r="AH180" i="1"/>
  <c r="AM180" i="1"/>
  <c r="AN180" i="1"/>
  <c r="AO180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41" i="1"/>
  <c r="L141" i="1"/>
  <c r="M141" i="1"/>
  <c r="N141" i="1"/>
  <c r="V141" i="1"/>
  <c r="AA141" i="1"/>
  <c r="AB141" i="1"/>
  <c r="AC141" i="1"/>
  <c r="AD141" i="1"/>
  <c r="T141" i="1" s="1"/>
  <c r="AE141" i="1"/>
  <c r="AF141" i="1"/>
  <c r="AH141" i="1"/>
  <c r="AM141" i="1"/>
  <c r="AN141" i="1"/>
  <c r="AO141" i="1"/>
  <c r="AG201" i="1"/>
  <c r="AG197" i="1"/>
  <c r="AG180" i="1"/>
  <c r="AG156" i="1"/>
  <c r="AG141" i="1"/>
  <c r="AI201" i="1" l="1"/>
  <c r="U201" i="1"/>
  <c r="S201" i="1" s="1"/>
  <c r="W201" i="1"/>
  <c r="AI197" i="1"/>
  <c r="U197" i="1"/>
  <c r="S197" i="1" s="1"/>
  <c r="W197" i="1"/>
  <c r="X197" i="1"/>
  <c r="AI180" i="1"/>
  <c r="U180" i="1"/>
  <c r="S180" i="1" s="1"/>
  <c r="W180" i="1"/>
  <c r="AI156" i="1"/>
  <c r="U156" i="1"/>
  <c r="S156" i="1" s="1"/>
  <c r="W156" i="1"/>
  <c r="AI141" i="1"/>
  <c r="U141" i="1"/>
  <c r="S141" i="1" s="1"/>
  <c r="W14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P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S15" i="3" s="1"/>
  <c r="Y26" i="1"/>
  <c r="Z26" i="1"/>
  <c r="AB26" i="1"/>
  <c r="AC26" i="1"/>
  <c r="AD26" i="1"/>
  <c r="AE26" i="1"/>
  <c r="R15" i="3" s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P32" i="1" s="1"/>
  <c r="V32" i="1"/>
  <c r="S11" i="3" s="1"/>
  <c r="Y32" i="1"/>
  <c r="Z32" i="1"/>
  <c r="AB32" i="1"/>
  <c r="AC32" i="1"/>
  <c r="AD32" i="1"/>
  <c r="AE32" i="1"/>
  <c r="R11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P34" i="1" s="1"/>
  <c r="V34" i="1"/>
  <c r="S13" i="3" s="1"/>
  <c r="Y34" i="1"/>
  <c r="Z34" i="1"/>
  <c r="AB34" i="1"/>
  <c r="AC34" i="1"/>
  <c r="AD34" i="1"/>
  <c r="AE34" i="1"/>
  <c r="R14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X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S9" i="3" s="1"/>
  <c r="Y67" i="1"/>
  <c r="Z67" i="1"/>
  <c r="AB67" i="1"/>
  <c r="AC67" i="1"/>
  <c r="AD67" i="1"/>
  <c r="T67" i="1" s="1"/>
  <c r="AE67" i="1"/>
  <c r="R9" i="3" s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P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S8" i="3" s="1"/>
  <c r="Y99" i="1"/>
  <c r="Z99" i="1"/>
  <c r="AB99" i="1"/>
  <c r="AC99" i="1"/>
  <c r="AD99" i="1"/>
  <c r="AE99" i="1"/>
  <c r="R8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S7" i="3" s="1"/>
  <c r="Y125" i="1"/>
  <c r="Z125" i="1"/>
  <c r="AB125" i="1"/>
  <c r="AC125" i="1"/>
  <c r="AD125" i="1"/>
  <c r="AE125" i="1"/>
  <c r="R7" i="3" s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S10" i="3" s="1"/>
  <c r="Y135" i="1"/>
  <c r="Z135" i="1"/>
  <c r="AB135" i="1"/>
  <c r="AC135" i="1"/>
  <c r="AD135" i="1"/>
  <c r="AE135" i="1"/>
  <c r="R10" i="3" s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X141" i="1" s="1"/>
  <c r="AE140" i="1"/>
  <c r="AF140" i="1"/>
  <c r="AH140" i="1"/>
  <c r="AM140" i="1"/>
  <c r="AN140" i="1"/>
  <c r="AO140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X156" i="1" s="1"/>
  <c r="AE155" i="1"/>
  <c r="AF155" i="1"/>
  <c r="AH155" i="1"/>
  <c r="AM155" i="1"/>
  <c r="AN155" i="1"/>
  <c r="AO15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X214" i="1"/>
  <c r="Y214" i="1"/>
  <c r="Z214" i="1"/>
  <c r="AB214" i="1"/>
  <c r="AC214" i="1"/>
  <c r="AD214" i="1"/>
  <c r="T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5" i="1"/>
  <c r="AM165" i="1"/>
  <c r="AN165" i="1"/>
  <c r="AO165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6" i="1"/>
  <c r="AM166" i="1"/>
  <c r="AN166" i="1"/>
  <c r="AO166" i="1"/>
  <c r="K218" i="1"/>
  <c r="L218" i="1"/>
  <c r="M218" i="1"/>
  <c r="N218" i="1" s="1"/>
  <c r="V218" i="1"/>
  <c r="S28" i="3" s="1"/>
  <c r="Y218" i="1"/>
  <c r="Z218" i="1"/>
  <c r="AB218" i="1"/>
  <c r="AC218" i="1"/>
  <c r="AD218" i="1"/>
  <c r="T218" i="1" s="1"/>
  <c r="AE218" i="1"/>
  <c r="R28" i="3" s="1"/>
  <c r="AF218" i="1"/>
  <c r="AH167" i="1"/>
  <c r="AM167" i="1"/>
  <c r="AN167" i="1"/>
  <c r="AO16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68" i="1"/>
  <c r="AM168" i="1"/>
  <c r="AN168" i="1"/>
  <c r="AO168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69" i="1"/>
  <c r="AM169" i="1"/>
  <c r="AN169" i="1"/>
  <c r="AO16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1" i="1"/>
  <c r="AM171" i="1"/>
  <c r="AN171" i="1"/>
  <c r="AO17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2" i="1"/>
  <c r="AM172" i="1"/>
  <c r="AN172" i="1"/>
  <c r="AO172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3" i="1"/>
  <c r="AM173" i="1"/>
  <c r="AN173" i="1"/>
  <c r="AO173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4" i="1"/>
  <c r="AM174" i="1"/>
  <c r="AN174" i="1"/>
  <c r="AO174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6" i="1"/>
  <c r="AM176" i="1"/>
  <c r="AN176" i="1"/>
  <c r="AO176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7" i="1"/>
  <c r="AM177" i="1"/>
  <c r="AN177" i="1"/>
  <c r="AO177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8" i="1"/>
  <c r="AM178" i="1"/>
  <c r="AN178" i="1"/>
  <c r="AO178" i="1"/>
  <c r="K236" i="1"/>
  <c r="L236" i="1"/>
  <c r="M236" i="1"/>
  <c r="N236" i="1" s="1"/>
  <c r="V236" i="1"/>
  <c r="S29" i="3" s="1"/>
  <c r="Y236" i="1"/>
  <c r="Z236" i="1"/>
  <c r="AB236" i="1"/>
  <c r="AC236" i="1"/>
  <c r="AD236" i="1"/>
  <c r="T236" i="1" s="1"/>
  <c r="AE236" i="1"/>
  <c r="R29" i="3" s="1"/>
  <c r="AF236" i="1"/>
  <c r="AH179" i="1"/>
  <c r="AM179" i="1"/>
  <c r="AN179" i="1"/>
  <c r="AO179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AO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AO183" i="1"/>
  <c r="K157" i="1"/>
  <c r="M157" i="1"/>
  <c r="N157" i="1" s="1"/>
  <c r="V157" i="1"/>
  <c r="Y157" i="1"/>
  <c r="Z157" i="1"/>
  <c r="AB157" i="1"/>
  <c r="AC157" i="1"/>
  <c r="AD157" i="1"/>
  <c r="AE157" i="1"/>
  <c r="AF157" i="1"/>
  <c r="AH184" i="1"/>
  <c r="AM184" i="1"/>
  <c r="AN184" i="1"/>
  <c r="AO184" i="1"/>
  <c r="K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85" i="1"/>
  <c r="AM185" i="1"/>
  <c r="AN185" i="1"/>
  <c r="AO185" i="1"/>
  <c r="K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6" i="1"/>
  <c r="AM186" i="1"/>
  <c r="AN186" i="1"/>
  <c r="AO186" i="1"/>
  <c r="K160" i="1"/>
  <c r="L160" i="1"/>
  <c r="M160" i="1"/>
  <c r="N160" i="1" s="1"/>
  <c r="V160" i="1"/>
  <c r="S21" i="3" s="1"/>
  <c r="Y160" i="1"/>
  <c r="Z160" i="1"/>
  <c r="AB160" i="1"/>
  <c r="AC160" i="1"/>
  <c r="AD160" i="1"/>
  <c r="T160" i="1" s="1"/>
  <c r="AE160" i="1"/>
  <c r="R21" i="3" s="1"/>
  <c r="AF160" i="1"/>
  <c r="AH187" i="1"/>
  <c r="AM187" i="1"/>
  <c r="AN187" i="1"/>
  <c r="AO18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8" i="1"/>
  <c r="AM188" i="1"/>
  <c r="AN188" i="1"/>
  <c r="AO188" i="1"/>
  <c r="K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9" i="1"/>
  <c r="AM189" i="1"/>
  <c r="AN189" i="1"/>
  <c r="AO189" i="1"/>
  <c r="AH190" i="1"/>
  <c r="AM190" i="1"/>
  <c r="AN190" i="1"/>
  <c r="AO190" i="1"/>
  <c r="K163" i="1"/>
  <c r="M163" i="1"/>
  <c r="N163" i="1" s="1"/>
  <c r="V163" i="1"/>
  <c r="Y163" i="1"/>
  <c r="Z163" i="1"/>
  <c r="AB163" i="1"/>
  <c r="AC163" i="1"/>
  <c r="AD163" i="1"/>
  <c r="AE163" i="1"/>
  <c r="AF163" i="1"/>
  <c r="AH191" i="1"/>
  <c r="AM191" i="1"/>
  <c r="AN191" i="1"/>
  <c r="AO191" i="1"/>
  <c r="K164" i="1"/>
  <c r="L164" i="1"/>
  <c r="M164" i="1"/>
  <c r="N164" i="1" s="1"/>
  <c r="V164" i="1"/>
  <c r="S16" i="3" s="1"/>
  <c r="Y164" i="1"/>
  <c r="Z164" i="1"/>
  <c r="AB164" i="1"/>
  <c r="AC164" i="1"/>
  <c r="AD164" i="1"/>
  <c r="AE164" i="1"/>
  <c r="AF164" i="1"/>
  <c r="AH192" i="1"/>
  <c r="AM192" i="1"/>
  <c r="AN192" i="1"/>
  <c r="AO192" i="1"/>
  <c r="AH193" i="1"/>
  <c r="AM193" i="1"/>
  <c r="AN193" i="1"/>
  <c r="AO19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4" i="1"/>
  <c r="AM194" i="1"/>
  <c r="AN194" i="1"/>
  <c r="AO194" i="1"/>
  <c r="K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AO195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6" i="1"/>
  <c r="AM196" i="1"/>
  <c r="AN196" i="1"/>
  <c r="AO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8" i="1"/>
  <c r="AM198" i="1"/>
  <c r="AN198" i="1"/>
  <c r="AO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AM199" i="1"/>
  <c r="AN199" i="1"/>
  <c r="AO1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0" i="1"/>
  <c r="AM200" i="1"/>
  <c r="AN200" i="1"/>
  <c r="AO20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2" i="1"/>
  <c r="AM202" i="1"/>
  <c r="AN202" i="1"/>
  <c r="AO20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3" i="1"/>
  <c r="AM203" i="1"/>
  <c r="AN203" i="1"/>
  <c r="AO20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4" i="1"/>
  <c r="AM204" i="1"/>
  <c r="AN204" i="1"/>
  <c r="AO20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5" i="1"/>
  <c r="AM205" i="1"/>
  <c r="AN205" i="1"/>
  <c r="AO20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6" i="1"/>
  <c r="AM206" i="1"/>
  <c r="AN206" i="1"/>
  <c r="AO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AO207" i="1"/>
  <c r="K178" i="1"/>
  <c r="L178" i="1"/>
  <c r="M178" i="1"/>
  <c r="N178" i="1" s="1"/>
  <c r="V178" i="1"/>
  <c r="S23" i="3" s="1"/>
  <c r="Y178" i="1"/>
  <c r="Z178" i="1"/>
  <c r="AB178" i="1"/>
  <c r="AC178" i="1"/>
  <c r="AD178" i="1"/>
  <c r="T178" i="1" s="1"/>
  <c r="AE178" i="1"/>
  <c r="R23" i="3" s="1"/>
  <c r="AF178" i="1"/>
  <c r="AH208" i="1"/>
  <c r="AM208" i="1"/>
  <c r="AN208" i="1"/>
  <c r="AO20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AO20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0" i="1"/>
  <c r="AM210" i="1"/>
  <c r="AN210" i="1"/>
  <c r="AO21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1" i="1"/>
  <c r="AM211" i="1"/>
  <c r="AN211" i="1"/>
  <c r="AO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AM212" i="1"/>
  <c r="AN212" i="1"/>
  <c r="AO212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3" i="1"/>
  <c r="AM213" i="1"/>
  <c r="AN213" i="1"/>
  <c r="AO21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4" i="1"/>
  <c r="AM214" i="1"/>
  <c r="AN214" i="1"/>
  <c r="AO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5" i="1"/>
  <c r="AM215" i="1"/>
  <c r="AN215" i="1"/>
  <c r="AO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AO216" i="1"/>
  <c r="K188" i="1"/>
  <c r="L188" i="1"/>
  <c r="M188" i="1"/>
  <c r="N188" i="1" s="1"/>
  <c r="V188" i="1"/>
  <c r="S22" i="3" s="1"/>
  <c r="Y188" i="1"/>
  <c r="Z188" i="1"/>
  <c r="AB188" i="1"/>
  <c r="AC188" i="1"/>
  <c r="AD188" i="1"/>
  <c r="T188" i="1" s="1"/>
  <c r="AE188" i="1"/>
  <c r="R22" i="3" s="1"/>
  <c r="AF188" i="1"/>
  <c r="AH217" i="1"/>
  <c r="AM217" i="1"/>
  <c r="AN217" i="1"/>
  <c r="AO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AO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1" i="1"/>
  <c r="AM221" i="1"/>
  <c r="AN221" i="1"/>
  <c r="AO22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AO22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4" i="1"/>
  <c r="AM224" i="1"/>
  <c r="AN224" i="1"/>
  <c r="AO224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5" i="1"/>
  <c r="AM225" i="1"/>
  <c r="AN225" i="1"/>
  <c r="AO225" i="1"/>
  <c r="AH226" i="1"/>
  <c r="AM226" i="1"/>
  <c r="AN226" i="1"/>
  <c r="AO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AM227" i="1"/>
  <c r="AN227" i="1"/>
  <c r="AO22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8" i="1"/>
  <c r="AM228" i="1"/>
  <c r="AN228" i="1"/>
  <c r="AO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AO229" i="1"/>
  <c r="K202" i="1"/>
  <c r="L202" i="1"/>
  <c r="M202" i="1"/>
  <c r="N202" i="1" s="1"/>
  <c r="V202" i="1"/>
  <c r="S25" i="3" s="1"/>
  <c r="Y202" i="1"/>
  <c r="Z202" i="1"/>
  <c r="AB202" i="1"/>
  <c r="AC202" i="1"/>
  <c r="AD202" i="1"/>
  <c r="AE202" i="1"/>
  <c r="R25" i="3" s="1"/>
  <c r="AF202" i="1"/>
  <c r="AH230" i="1"/>
  <c r="AM230" i="1"/>
  <c r="AN230" i="1"/>
  <c r="AO230" i="1"/>
  <c r="K203" i="1"/>
  <c r="L203" i="1"/>
  <c r="M203" i="1"/>
  <c r="N203" i="1" s="1"/>
  <c r="V203" i="1"/>
  <c r="S19" i="3" s="1"/>
  <c r="Y203" i="1"/>
  <c r="Z203" i="1"/>
  <c r="AB203" i="1"/>
  <c r="AC203" i="1"/>
  <c r="AD203" i="1"/>
  <c r="T203" i="1" s="1"/>
  <c r="AE203" i="1"/>
  <c r="R19" i="3" s="1"/>
  <c r="AF203" i="1"/>
  <c r="AH231" i="1"/>
  <c r="AM231" i="1"/>
  <c r="AN231" i="1"/>
  <c r="AO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AO232" i="1"/>
  <c r="K205" i="1"/>
  <c r="L205" i="1"/>
  <c r="M205" i="1"/>
  <c r="N205" i="1" s="1"/>
  <c r="V205" i="1"/>
  <c r="S18" i="3" s="1"/>
  <c r="Y205" i="1"/>
  <c r="Z205" i="1"/>
  <c r="AB205" i="1"/>
  <c r="AC205" i="1"/>
  <c r="AD205" i="1"/>
  <c r="T205" i="1" s="1"/>
  <c r="AE205" i="1"/>
  <c r="R18" i="3" s="1"/>
  <c r="AF205" i="1"/>
  <c r="AH233" i="1"/>
  <c r="AM233" i="1"/>
  <c r="AN233" i="1"/>
  <c r="AO233" i="1"/>
  <c r="K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34" i="1"/>
  <c r="AM234" i="1"/>
  <c r="AN234" i="1"/>
  <c r="AO234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5" i="1"/>
  <c r="AM235" i="1"/>
  <c r="AN235" i="1"/>
  <c r="AO235" i="1"/>
  <c r="K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6" i="1"/>
  <c r="AM236" i="1"/>
  <c r="AN236" i="1"/>
  <c r="AO236" i="1"/>
  <c r="K222" i="1"/>
  <c r="L222" i="1"/>
  <c r="M222" i="1"/>
  <c r="N222" i="1" s="1"/>
  <c r="V222" i="1"/>
  <c r="S27" i="3" s="1"/>
  <c r="Y222" i="1"/>
  <c r="Z222" i="1"/>
  <c r="AB222" i="1"/>
  <c r="AC222" i="1"/>
  <c r="AD222" i="1"/>
  <c r="AE222" i="1"/>
  <c r="R27" i="3" s="1"/>
  <c r="AF222" i="1"/>
  <c r="AH237" i="1"/>
  <c r="AM237" i="1"/>
  <c r="AN237" i="1"/>
  <c r="AO237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8" i="1"/>
  <c r="AM238" i="1"/>
  <c r="AN238" i="1"/>
  <c r="AO23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AO239" i="1"/>
  <c r="M28" i="3"/>
  <c r="U28" i="3"/>
  <c r="T28" i="3" s="1"/>
  <c r="V28" i="3"/>
  <c r="X28" i="3"/>
  <c r="M15" i="3"/>
  <c r="U15" i="3"/>
  <c r="AC15" i="3" s="1"/>
  <c r="V15" i="3"/>
  <c r="X15" i="3"/>
  <c r="M21" i="3"/>
  <c r="U21" i="3"/>
  <c r="AC21" i="3" s="1"/>
  <c r="V21" i="3"/>
  <c r="X21" i="3"/>
  <c r="M11" i="3"/>
  <c r="U11" i="3"/>
  <c r="T11" i="3" s="1"/>
  <c r="V11" i="3"/>
  <c r="X11" i="3"/>
  <c r="M12" i="3"/>
  <c r="U12" i="3"/>
  <c r="T12" i="3" s="1"/>
  <c r="V12" i="3"/>
  <c r="X12" i="3"/>
  <c r="M13" i="3"/>
  <c r="R13" i="3"/>
  <c r="U13" i="3"/>
  <c r="AD13" i="3" s="1"/>
  <c r="V13" i="3"/>
  <c r="X13" i="3"/>
  <c r="M16" i="3"/>
  <c r="R16" i="3"/>
  <c r="U16" i="3"/>
  <c r="AC16" i="3" s="1"/>
  <c r="V16" i="3"/>
  <c r="X16" i="3"/>
  <c r="M14" i="3"/>
  <c r="U14" i="3"/>
  <c r="AC14" i="3" s="1"/>
  <c r="V14" i="3"/>
  <c r="X14" i="3"/>
  <c r="M9" i="3"/>
  <c r="U9" i="3"/>
  <c r="T9" i="3" s="1"/>
  <c r="V9" i="3"/>
  <c r="X9" i="3"/>
  <c r="M23" i="3"/>
  <c r="U23" i="3"/>
  <c r="V23" i="3"/>
  <c r="X23" i="3"/>
  <c r="M17" i="3"/>
  <c r="R17" i="3"/>
  <c r="S17" i="3"/>
  <c r="U17" i="3"/>
  <c r="AC17" i="3" s="1"/>
  <c r="V17" i="3"/>
  <c r="X17" i="3"/>
  <c r="M24" i="3"/>
  <c r="R24" i="3"/>
  <c r="S24" i="3"/>
  <c r="U24" i="3"/>
  <c r="AD24" i="3" s="1"/>
  <c r="V24" i="3"/>
  <c r="X24" i="3"/>
  <c r="M8" i="3"/>
  <c r="U8" i="3"/>
  <c r="T8" i="3" s="1"/>
  <c r="V8" i="3"/>
  <c r="X8" i="3"/>
  <c r="M27" i="3"/>
  <c r="U27" i="3"/>
  <c r="V27" i="3"/>
  <c r="X27" i="3"/>
  <c r="M22" i="3"/>
  <c r="U22" i="3"/>
  <c r="AC22" i="3" s="1"/>
  <c r="V22" i="3"/>
  <c r="X22" i="3"/>
  <c r="M29" i="3"/>
  <c r="U29" i="3"/>
  <c r="T29" i="3" s="1"/>
  <c r="V29" i="3"/>
  <c r="X29" i="3"/>
  <c r="M7" i="3"/>
  <c r="U7" i="3"/>
  <c r="T7" i="3" s="1"/>
  <c r="V7" i="3"/>
  <c r="X7" i="3"/>
  <c r="M20" i="3"/>
  <c r="R20" i="3"/>
  <c r="S20" i="3"/>
  <c r="U20" i="3"/>
  <c r="V20" i="3"/>
  <c r="X20" i="3"/>
  <c r="M10" i="3"/>
  <c r="U10" i="3"/>
  <c r="AC10" i="3" s="1"/>
  <c r="V10" i="3"/>
  <c r="X10" i="3"/>
  <c r="M25" i="3"/>
  <c r="U25" i="3"/>
  <c r="T25" i="3" s="1"/>
  <c r="V25" i="3"/>
  <c r="X25" i="3"/>
  <c r="M19" i="3"/>
  <c r="U19" i="3"/>
  <c r="T19" i="3" s="1"/>
  <c r="V19" i="3"/>
  <c r="X19" i="3"/>
  <c r="M18" i="3"/>
  <c r="U18" i="3"/>
  <c r="V18" i="3"/>
  <c r="X18" i="3"/>
  <c r="AG14" i="1"/>
  <c r="AG18" i="1"/>
  <c r="AG22" i="1"/>
  <c r="AG26" i="1"/>
  <c r="AG30" i="1"/>
  <c r="AG34" i="1"/>
  <c r="AG38" i="1"/>
  <c r="AG42" i="1"/>
  <c r="AG46" i="1"/>
  <c r="AG50" i="1"/>
  <c r="AG57" i="1"/>
  <c r="AG61" i="1"/>
  <c r="AG72" i="1"/>
  <c r="AG75" i="1"/>
  <c r="AG83" i="1"/>
  <c r="AG91" i="1"/>
  <c r="AG99" i="1"/>
  <c r="AG67" i="1"/>
  <c r="AG78" i="1"/>
  <c r="AG86" i="1"/>
  <c r="AG94" i="1"/>
  <c r="AG102" i="1"/>
  <c r="AG101" i="1"/>
  <c r="AG107" i="1"/>
  <c r="AG108" i="1"/>
  <c r="AG117" i="1"/>
  <c r="AG121" i="1"/>
  <c r="AG125" i="1"/>
  <c r="AG129" i="1"/>
  <c r="AG133" i="1"/>
  <c r="AG137" i="1"/>
  <c r="AG142" i="1"/>
  <c r="AG146" i="1"/>
  <c r="AG150" i="1"/>
  <c r="AG154" i="1"/>
  <c r="AG208" i="1"/>
  <c r="AG212" i="1"/>
  <c r="AG216" i="1"/>
  <c r="AG226" i="1"/>
  <c r="AG230" i="1"/>
  <c r="AG234" i="1"/>
  <c r="AG238" i="1"/>
  <c r="AG159" i="1"/>
  <c r="AG165" i="1"/>
  <c r="AG169" i="1"/>
  <c r="AG173" i="1"/>
  <c r="AG177" i="1"/>
  <c r="AG182" i="1"/>
  <c r="AG186" i="1"/>
  <c r="AG59" i="1"/>
  <c r="AG92" i="1"/>
  <c r="AG123" i="1"/>
  <c r="AG145" i="1"/>
  <c r="AG228" i="1"/>
  <c r="AG199" i="1"/>
  <c r="AG19" i="1"/>
  <c r="AG24" i="1"/>
  <c r="AG29" i="1"/>
  <c r="AG35" i="1"/>
  <c r="AG40" i="1"/>
  <c r="AG45" i="1"/>
  <c r="AG51" i="1"/>
  <c r="AG55" i="1"/>
  <c r="AG60" i="1"/>
  <c r="AG65" i="1"/>
  <c r="AG79" i="1"/>
  <c r="AG89" i="1"/>
  <c r="AG66" i="1"/>
  <c r="AG74" i="1"/>
  <c r="AG84" i="1"/>
  <c r="AG96" i="1"/>
  <c r="AG111" i="1"/>
  <c r="AG106" i="1"/>
  <c r="AG114" i="1"/>
  <c r="AG119" i="1"/>
  <c r="AG124" i="1"/>
  <c r="AG130" i="1"/>
  <c r="AG135" i="1"/>
  <c r="AG140" i="1"/>
  <c r="AG147" i="1"/>
  <c r="AG152" i="1"/>
  <c r="AG207" i="1"/>
  <c r="AG213" i="1"/>
  <c r="AG218" i="1"/>
  <c r="AG229" i="1"/>
  <c r="AG235" i="1"/>
  <c r="AG157" i="1"/>
  <c r="AG162" i="1"/>
  <c r="AG166" i="1"/>
  <c r="AG171" i="1"/>
  <c r="AG176" i="1"/>
  <c r="AG183" i="1"/>
  <c r="AG188" i="1"/>
  <c r="AG192" i="1"/>
  <c r="AG196" i="1"/>
  <c r="AG200" i="1"/>
  <c r="AG205" i="1"/>
  <c r="AG223" i="1"/>
  <c r="AG109" i="1"/>
  <c r="AG139" i="1"/>
  <c r="AG211" i="1"/>
  <c r="AG239" i="1"/>
  <c r="AG175" i="1"/>
  <c r="AG195" i="1"/>
  <c r="AG221" i="1"/>
  <c r="AG15" i="1"/>
  <c r="AG20" i="1"/>
  <c r="AG25" i="1"/>
  <c r="AG31" i="1"/>
  <c r="AG36" i="1"/>
  <c r="AG41" i="1"/>
  <c r="AG47" i="1"/>
  <c r="AG52" i="1"/>
  <c r="AG56" i="1"/>
  <c r="AG62" i="1"/>
  <c r="AG69" i="1"/>
  <c r="AG81" i="1"/>
  <c r="AG93" i="1"/>
  <c r="AG70" i="1"/>
  <c r="AG76" i="1"/>
  <c r="AG88" i="1"/>
  <c r="AG98" i="1"/>
  <c r="AG113" i="1"/>
  <c r="AG110" i="1"/>
  <c r="AG115" i="1"/>
  <c r="AG120" i="1"/>
  <c r="AG126" i="1"/>
  <c r="AG131" i="1"/>
  <c r="AG136" i="1"/>
  <c r="AG143" i="1"/>
  <c r="AG148" i="1"/>
  <c r="AG153" i="1"/>
  <c r="AG209" i="1"/>
  <c r="AG214" i="1"/>
  <c r="AG225" i="1"/>
  <c r="AG231" i="1"/>
  <c r="AG236" i="1"/>
  <c r="AG158" i="1"/>
  <c r="AG163" i="1"/>
  <c r="AG167" i="1"/>
  <c r="AG172" i="1"/>
  <c r="AG178" i="1"/>
  <c r="AG184" i="1"/>
  <c r="AG189" i="1"/>
  <c r="AG193" i="1"/>
  <c r="AG202" i="1"/>
  <c r="AG219" i="1"/>
  <c r="AG224" i="1"/>
  <c r="AG95" i="1"/>
  <c r="AG112" i="1"/>
  <c r="AG127" i="1"/>
  <c r="AG138" i="1"/>
  <c r="AG149" i="1"/>
  <c r="AG155" i="1"/>
  <c r="AG215" i="1"/>
  <c r="AG232" i="1"/>
  <c r="AG160" i="1"/>
  <c r="AG168" i="1"/>
  <c r="AG179" i="1"/>
  <c r="AG190" i="1"/>
  <c r="AG194" i="1"/>
  <c r="AG203" i="1"/>
  <c r="AG222" i="1"/>
  <c r="AG17" i="1"/>
  <c r="AG23" i="1"/>
  <c r="AG28" i="1"/>
  <c r="AG33" i="1"/>
  <c r="AG39" i="1"/>
  <c r="AG44" i="1"/>
  <c r="AG49" i="1"/>
  <c r="AG54" i="1"/>
  <c r="AG68" i="1"/>
  <c r="AG77" i="1"/>
  <c r="AG87" i="1"/>
  <c r="AG97" i="1"/>
  <c r="AG82" i="1"/>
  <c r="AG104" i="1"/>
  <c r="AG118" i="1"/>
  <c r="AG128" i="1"/>
  <c r="AG151" i="1"/>
  <c r="AG217" i="1"/>
  <c r="AG161" i="1"/>
  <c r="AG181" i="1"/>
  <c r="AG187" i="1"/>
  <c r="AG204" i="1"/>
  <c r="AG16" i="1"/>
  <c r="AG21" i="1"/>
  <c r="AG27" i="1"/>
  <c r="AG32" i="1"/>
  <c r="AG37" i="1"/>
  <c r="AG43" i="1"/>
  <c r="AG48" i="1"/>
  <c r="AG53" i="1"/>
  <c r="AG58" i="1"/>
  <c r="AG64" i="1"/>
  <c r="AG73" i="1"/>
  <c r="AG85" i="1"/>
  <c r="AG63" i="1"/>
  <c r="AG80" i="1"/>
  <c r="AG90" i="1"/>
  <c r="AG100" i="1"/>
  <c r="AG105" i="1"/>
  <c r="AG116" i="1"/>
  <c r="AG122" i="1"/>
  <c r="AG132" i="1"/>
  <c r="AG144" i="1"/>
  <c r="AG210" i="1"/>
  <c r="AG227" i="1"/>
  <c r="AG237" i="1"/>
  <c r="AG164" i="1"/>
  <c r="AG174" i="1"/>
  <c r="AG185" i="1"/>
  <c r="AG198" i="1"/>
  <c r="AG220" i="1"/>
  <c r="AG71" i="1"/>
  <c r="AG103" i="1"/>
  <c r="AG134" i="1"/>
  <c r="AG206" i="1"/>
  <c r="AG233" i="1"/>
  <c r="AG170" i="1"/>
  <c r="AG191" i="1"/>
  <c r="W13" i="3"/>
  <c r="W18" i="3"/>
  <c r="W9" i="3"/>
  <c r="W21" i="3"/>
  <c r="W29" i="3"/>
  <c r="W12" i="3"/>
  <c r="W23" i="3"/>
  <c r="W17" i="3"/>
  <c r="W8" i="3"/>
  <c r="W16" i="3"/>
  <c r="W11" i="3"/>
  <c r="W15" i="3"/>
  <c r="W20" i="3"/>
  <c r="W25" i="3"/>
  <c r="W19" i="3"/>
  <c r="W10" i="3"/>
  <c r="W28" i="3"/>
  <c r="W27" i="3"/>
  <c r="W24" i="3"/>
  <c r="W7" i="3"/>
  <c r="W22" i="3"/>
  <c r="W14" i="3"/>
  <c r="X180" i="1" l="1"/>
  <c r="T163" i="1"/>
  <c r="X163" i="1"/>
  <c r="X191" i="1"/>
  <c r="X227" i="1"/>
  <c r="X217" i="1"/>
  <c r="X149" i="1"/>
  <c r="X167" i="1"/>
  <c r="X190" i="1"/>
  <c r="T164" i="1"/>
  <c r="X164" i="1"/>
  <c r="X183" i="1"/>
  <c r="X174" i="1"/>
  <c r="R12" i="3"/>
  <c r="X192" i="1"/>
  <c r="AA192" i="1"/>
  <c r="AA188" i="1"/>
  <c r="AA186" i="1"/>
  <c r="AA176" i="1"/>
  <c r="X175" i="1"/>
  <c r="AA172" i="1"/>
  <c r="AA166" i="1"/>
  <c r="T165" i="1"/>
  <c r="X165" i="1"/>
  <c r="X145" i="1"/>
  <c r="X144" i="1"/>
  <c r="AA131" i="1"/>
  <c r="AA91" i="1"/>
  <c r="AA87" i="1"/>
  <c r="AA84" i="1"/>
  <c r="AA83" i="1"/>
  <c r="AA80" i="1"/>
  <c r="AA76" i="1"/>
  <c r="AA72" i="1"/>
  <c r="AA68" i="1"/>
  <c r="AA64" i="1"/>
  <c r="AA35" i="1"/>
  <c r="T181" i="1"/>
  <c r="X181" i="1"/>
  <c r="X222" i="1"/>
  <c r="X188" i="1"/>
  <c r="T182" i="1"/>
  <c r="X182" i="1"/>
  <c r="AA164" i="1"/>
  <c r="X207" i="1"/>
  <c r="AA145" i="1"/>
  <c r="AA137" i="1"/>
  <c r="T55" i="1"/>
  <c r="X55" i="1"/>
  <c r="AA200" i="1"/>
  <c r="AA190" i="1"/>
  <c r="AA181" i="1"/>
  <c r="AA173" i="1"/>
  <c r="X171" i="1"/>
  <c r="AA160" i="1"/>
  <c r="AA239" i="1"/>
  <c r="AA225" i="1"/>
  <c r="T143" i="1"/>
  <c r="X143" i="1"/>
  <c r="AA104" i="1"/>
  <c r="AA39" i="1"/>
  <c r="AA184" i="1"/>
  <c r="AA178" i="1"/>
  <c r="AA211" i="1"/>
  <c r="AA149" i="1"/>
  <c r="AA110" i="1"/>
  <c r="AA94" i="1"/>
  <c r="AA86" i="1"/>
  <c r="AA219" i="1"/>
  <c r="AA199" i="1"/>
  <c r="AA171" i="1"/>
  <c r="AA169" i="1"/>
  <c r="AA158" i="1"/>
  <c r="T157" i="1"/>
  <c r="X157" i="1"/>
  <c r="AA237" i="1"/>
  <c r="AA150" i="1"/>
  <c r="AA127" i="1"/>
  <c r="AA107" i="1"/>
  <c r="AA50" i="1"/>
  <c r="AD29" i="3"/>
  <c r="AD16" i="3"/>
  <c r="S12" i="3"/>
  <c r="AD21" i="3"/>
  <c r="T14" i="3"/>
  <c r="AC28" i="3"/>
  <c r="S14" i="3"/>
  <c r="AC13" i="3"/>
  <c r="AD28" i="3"/>
  <c r="AD11" i="3"/>
  <c r="AD27" i="3"/>
  <c r="AD17" i="3"/>
  <c r="AE15" i="3"/>
  <c r="AC9" i="3"/>
  <c r="AD15" i="3"/>
  <c r="AA221" i="1"/>
  <c r="AA205" i="1"/>
  <c r="AA203" i="1"/>
  <c r="W203" i="1" s="1"/>
  <c r="AA198" i="1"/>
  <c r="AA185" i="1"/>
  <c r="X184" i="1"/>
  <c r="X179" i="1"/>
  <c r="AA175" i="1"/>
  <c r="AA170" i="1"/>
  <c r="AA161" i="1"/>
  <c r="W161" i="1" s="1"/>
  <c r="AA157" i="1"/>
  <c r="X239" i="1"/>
  <c r="X235" i="1"/>
  <c r="X231" i="1"/>
  <c r="X213" i="1"/>
  <c r="AA210" i="1"/>
  <c r="AA208" i="1"/>
  <c r="T207" i="1"/>
  <c r="U207" i="1" s="1"/>
  <c r="S207" i="1" s="1"/>
  <c r="AA155" i="1"/>
  <c r="AA146" i="1"/>
  <c r="AA144" i="1"/>
  <c r="AA143" i="1"/>
  <c r="W143" i="1" s="1"/>
  <c r="AA126" i="1"/>
  <c r="AA122" i="1"/>
  <c r="AA118" i="1"/>
  <c r="AA99" i="1"/>
  <c r="W99" i="1" s="1"/>
  <c r="AA95" i="1"/>
  <c r="AA90" i="1"/>
  <c r="AA82" i="1"/>
  <c r="AA70" i="1"/>
  <c r="W70" i="1" s="1"/>
  <c r="AA66" i="1"/>
  <c r="X57" i="1"/>
  <c r="AA51" i="1"/>
  <c r="AA45" i="1"/>
  <c r="W45" i="1" s="1"/>
  <c r="AA41" i="1"/>
  <c r="AA36" i="1"/>
  <c r="AA147" i="1"/>
  <c r="AA138" i="1"/>
  <c r="W138" i="1" s="1"/>
  <c r="AA47" i="1"/>
  <c r="AA43" i="1"/>
  <c r="AE27" i="3"/>
  <c r="AD12" i="3"/>
  <c r="T222" i="1"/>
  <c r="T219" i="1"/>
  <c r="AA196" i="1"/>
  <c r="AA194" i="1"/>
  <c r="AA193" i="1"/>
  <c r="AA189" i="1"/>
  <c r="W189" i="1" s="1"/>
  <c r="AA187" i="1"/>
  <c r="AA182" i="1"/>
  <c r="AA179" i="1"/>
  <c r="AA177" i="1"/>
  <c r="AA159" i="1"/>
  <c r="AA238" i="1"/>
  <c r="X237" i="1"/>
  <c r="X233" i="1"/>
  <c r="X229" i="1"/>
  <c r="X211" i="1"/>
  <c r="X210" i="1"/>
  <c r="X209" i="1"/>
  <c r="X208" i="1"/>
  <c r="AA153" i="1"/>
  <c r="X151" i="1"/>
  <c r="AA148" i="1"/>
  <c r="AA134" i="1"/>
  <c r="AA133" i="1"/>
  <c r="AA128" i="1"/>
  <c r="W128" i="1" s="1"/>
  <c r="AA124" i="1"/>
  <c r="AA120" i="1"/>
  <c r="AA116" i="1"/>
  <c r="AA106" i="1"/>
  <c r="W106" i="1" s="1"/>
  <c r="AA57" i="1"/>
  <c r="AA34" i="1"/>
  <c r="AA30" i="1"/>
  <c r="AA26" i="1"/>
  <c r="W26" i="1" s="1"/>
  <c r="AA22" i="1"/>
  <c r="AA18" i="1"/>
  <c r="AA14" i="1"/>
  <c r="AA191" i="1"/>
  <c r="AA183" i="1"/>
  <c r="AA174" i="1"/>
  <c r="AA112" i="1"/>
  <c r="AA100" i="1"/>
  <c r="AA96" i="1"/>
  <c r="AA78" i="1"/>
  <c r="W78" i="1" s="1"/>
  <c r="AA74" i="1"/>
  <c r="AA44" i="1"/>
  <c r="AA42" i="1"/>
  <c r="AA32" i="1"/>
  <c r="AA28" i="1"/>
  <c r="AA24" i="1"/>
  <c r="AA20" i="1"/>
  <c r="AA16" i="1"/>
  <c r="X216" i="1"/>
  <c r="AA154" i="1"/>
  <c r="AA142" i="1"/>
  <c r="AA140" i="1"/>
  <c r="W140" i="1" s="1"/>
  <c r="AA139" i="1"/>
  <c r="AA132" i="1"/>
  <c r="AA130" i="1"/>
  <c r="AA129" i="1"/>
  <c r="AA123" i="1"/>
  <c r="AA119" i="1"/>
  <c r="AA115" i="1"/>
  <c r="AA114" i="1"/>
  <c r="AA92" i="1"/>
  <c r="AA88" i="1"/>
  <c r="AA79" i="1"/>
  <c r="AA75" i="1"/>
  <c r="W75" i="1" s="1"/>
  <c r="AA71" i="1"/>
  <c r="AA67" i="1"/>
  <c r="AA63" i="1"/>
  <c r="AA48" i="1"/>
  <c r="W48" i="1" s="1"/>
  <c r="AA46" i="1"/>
  <c r="AA33" i="1"/>
  <c r="AA29" i="1"/>
  <c r="AA25" i="1"/>
  <c r="W25" i="1" s="1"/>
  <c r="AA21" i="1"/>
  <c r="AA17" i="1"/>
  <c r="AA220" i="1"/>
  <c r="X220" i="1"/>
  <c r="X223" i="1"/>
  <c r="X221" i="1"/>
  <c r="AA204" i="1"/>
  <c r="AA202" i="1"/>
  <c r="X196" i="1"/>
  <c r="AA195" i="1"/>
  <c r="W195" i="1" s="1"/>
  <c r="X193" i="1"/>
  <c r="X189" i="1"/>
  <c r="X185" i="1"/>
  <c r="X176" i="1"/>
  <c r="X172" i="1"/>
  <c r="AA168" i="1"/>
  <c r="AA165" i="1"/>
  <c r="W165" i="1" s="1"/>
  <c r="AA162" i="1"/>
  <c r="X173" i="1"/>
  <c r="AA216" i="1"/>
  <c r="AA214" i="1"/>
  <c r="AA206" i="1"/>
  <c r="AA152" i="1"/>
  <c r="W152" i="1" s="1"/>
  <c r="AA151" i="1"/>
  <c r="T144" i="1"/>
  <c r="AA136" i="1"/>
  <c r="AA135" i="1"/>
  <c r="W135" i="1" s="1"/>
  <c r="AA125" i="1"/>
  <c r="AA121" i="1"/>
  <c r="AA117" i="1"/>
  <c r="AA111" i="1"/>
  <c r="W111" i="1" s="1"/>
  <c r="AA102" i="1"/>
  <c r="AA98" i="1"/>
  <c r="AA77" i="1"/>
  <c r="AA73" i="1"/>
  <c r="AA58" i="1"/>
  <c r="AA53" i="1"/>
  <c r="AA40" i="1"/>
  <c r="AA38" i="1"/>
  <c r="W38" i="1" s="1"/>
  <c r="AA37" i="1"/>
  <c r="AA31" i="1"/>
  <c r="AA27" i="1"/>
  <c r="AA23" i="1"/>
  <c r="W23" i="1" s="1"/>
  <c r="AA19" i="1"/>
  <c r="AA15" i="1"/>
  <c r="AA223" i="1"/>
  <c r="T223" i="1"/>
  <c r="U223" i="1" s="1"/>
  <c r="S223" i="1" s="1"/>
  <c r="T199" i="1"/>
  <c r="X200" i="1"/>
  <c r="X205" i="1"/>
  <c r="T192" i="1"/>
  <c r="T184" i="1"/>
  <c r="T175" i="1"/>
  <c r="U175" i="1" s="1"/>
  <c r="S175" i="1" s="1"/>
  <c r="X169" i="1"/>
  <c r="AA236" i="1"/>
  <c r="AA235" i="1"/>
  <c r="AA234" i="1"/>
  <c r="AA233" i="1"/>
  <c r="W233" i="1" s="1"/>
  <c r="AA232" i="1"/>
  <c r="AA231" i="1"/>
  <c r="AA230" i="1"/>
  <c r="AA229" i="1"/>
  <c r="AA228" i="1"/>
  <c r="AA227" i="1"/>
  <c r="AA226" i="1"/>
  <c r="X218" i="1"/>
  <c r="AA215" i="1"/>
  <c r="X212" i="1"/>
  <c r="T209" i="1"/>
  <c r="X146" i="1"/>
  <c r="T146" i="1"/>
  <c r="AA224" i="1"/>
  <c r="AA222" i="1"/>
  <c r="X204" i="1"/>
  <c r="T202" i="1"/>
  <c r="X195" i="1"/>
  <c r="X194" i="1"/>
  <c r="T193" i="1"/>
  <c r="U193" i="1" s="1"/>
  <c r="S193" i="1" s="1"/>
  <c r="X187" i="1"/>
  <c r="X186" i="1"/>
  <c r="T185" i="1"/>
  <c r="U185" i="1" s="1"/>
  <c r="S185" i="1" s="1"/>
  <c r="X178" i="1"/>
  <c r="X177" i="1"/>
  <c r="T176" i="1"/>
  <c r="AA167" i="1"/>
  <c r="AA163" i="1"/>
  <c r="W163" i="1" s="1"/>
  <c r="X161" i="1"/>
  <c r="T213" i="1"/>
  <c r="T191" i="1"/>
  <c r="U191" i="1" s="1"/>
  <c r="S191" i="1" s="1"/>
  <c r="T183" i="1"/>
  <c r="T174" i="1"/>
  <c r="X226" i="1"/>
  <c r="X225" i="1"/>
  <c r="AA218" i="1"/>
  <c r="T217" i="1"/>
  <c r="AA212" i="1"/>
  <c r="W212" i="1" s="1"/>
  <c r="T211" i="1"/>
  <c r="AA207" i="1"/>
  <c r="X150" i="1"/>
  <c r="T215" i="1"/>
  <c r="U215" i="1" s="1"/>
  <c r="S215" i="1" s="1"/>
  <c r="X147" i="1"/>
  <c r="T147" i="1"/>
  <c r="T142" i="1"/>
  <c r="U142" i="1" s="1"/>
  <c r="S142" i="1" s="1"/>
  <c r="AA109" i="1"/>
  <c r="AA108" i="1"/>
  <c r="AA105" i="1"/>
  <c r="W105" i="1" s="1"/>
  <c r="AA101" i="1"/>
  <c r="AA93" i="1"/>
  <c r="AA85" i="1"/>
  <c r="AA69" i="1"/>
  <c r="AA62" i="1"/>
  <c r="AA61" i="1"/>
  <c r="AA60" i="1"/>
  <c r="AA59" i="1"/>
  <c r="W59" i="1" s="1"/>
  <c r="AA217" i="1"/>
  <c r="AA213" i="1"/>
  <c r="AA209" i="1"/>
  <c r="W209" i="1" s="1"/>
  <c r="X148" i="1"/>
  <c r="AA113" i="1"/>
  <c r="AA103" i="1"/>
  <c r="AA97" i="1"/>
  <c r="W97" i="1" s="1"/>
  <c r="AA89" i="1"/>
  <c r="AA81" i="1"/>
  <c r="AA65" i="1"/>
  <c r="X59" i="1"/>
  <c r="AA56" i="1"/>
  <c r="AA55" i="1"/>
  <c r="U222" i="1"/>
  <c r="S222" i="1" s="1"/>
  <c r="AI237" i="1"/>
  <c r="U224" i="1"/>
  <c r="S224" i="1" s="1"/>
  <c r="AI239" i="1"/>
  <c r="AI238" i="1"/>
  <c r="U221" i="1"/>
  <c r="S221" i="1" s="1"/>
  <c r="AI236" i="1"/>
  <c r="U220" i="1"/>
  <c r="S220" i="1" s="1"/>
  <c r="AI235" i="1"/>
  <c r="U219" i="1"/>
  <c r="S219" i="1" s="1"/>
  <c r="AI234" i="1"/>
  <c r="U205" i="1"/>
  <c r="S205" i="1" s="1"/>
  <c r="AI233" i="1"/>
  <c r="U204" i="1"/>
  <c r="S204" i="1" s="1"/>
  <c r="AI232" i="1"/>
  <c r="U203" i="1"/>
  <c r="S203" i="1" s="1"/>
  <c r="AI231" i="1"/>
  <c r="U202" i="1"/>
  <c r="S202" i="1" s="1"/>
  <c r="AI230" i="1"/>
  <c r="U200" i="1"/>
  <c r="S200" i="1" s="1"/>
  <c r="AI229" i="1"/>
  <c r="U199" i="1"/>
  <c r="S199" i="1" s="1"/>
  <c r="AI228" i="1"/>
  <c r="U198" i="1"/>
  <c r="S198" i="1" s="1"/>
  <c r="AI227" i="1"/>
  <c r="AI226" i="1"/>
  <c r="U196" i="1"/>
  <c r="S196" i="1" s="1"/>
  <c r="AI225" i="1"/>
  <c r="U195" i="1"/>
  <c r="S195" i="1" s="1"/>
  <c r="AI224" i="1"/>
  <c r="U194" i="1"/>
  <c r="S194" i="1" s="1"/>
  <c r="AI223" i="1"/>
  <c r="AI222" i="1"/>
  <c r="U192" i="1"/>
  <c r="S192" i="1" s="1"/>
  <c r="AI221" i="1"/>
  <c r="AI220" i="1"/>
  <c r="U190" i="1"/>
  <c r="S190" i="1" s="1"/>
  <c r="AI219" i="1"/>
  <c r="U189" i="1"/>
  <c r="S189" i="1" s="1"/>
  <c r="AI218" i="1"/>
  <c r="U188" i="1"/>
  <c r="S188" i="1" s="1"/>
  <c r="AI217" i="1"/>
  <c r="U187" i="1"/>
  <c r="S187" i="1" s="1"/>
  <c r="AI216" i="1"/>
  <c r="U186" i="1"/>
  <c r="S186" i="1" s="1"/>
  <c r="AI215" i="1"/>
  <c r="AI214" i="1"/>
  <c r="U184" i="1"/>
  <c r="S184" i="1" s="1"/>
  <c r="AI213" i="1"/>
  <c r="U183" i="1"/>
  <c r="S183" i="1" s="1"/>
  <c r="AI212" i="1"/>
  <c r="U182" i="1"/>
  <c r="S182" i="1" s="1"/>
  <c r="AI211" i="1"/>
  <c r="U181" i="1"/>
  <c r="S181" i="1" s="1"/>
  <c r="AI210" i="1"/>
  <c r="U179" i="1"/>
  <c r="S179" i="1" s="1"/>
  <c r="AI209" i="1"/>
  <c r="U178" i="1"/>
  <c r="S178" i="1" s="1"/>
  <c r="AI208" i="1"/>
  <c r="U177" i="1"/>
  <c r="S177" i="1" s="1"/>
  <c r="AI207" i="1"/>
  <c r="U176" i="1"/>
  <c r="S176" i="1" s="1"/>
  <c r="AI206" i="1"/>
  <c r="AI205" i="1"/>
  <c r="U174" i="1"/>
  <c r="S174" i="1" s="1"/>
  <c r="AI204" i="1"/>
  <c r="U173" i="1"/>
  <c r="S173" i="1" s="1"/>
  <c r="AI203" i="1"/>
  <c r="U172" i="1"/>
  <c r="S172" i="1" s="1"/>
  <c r="AI202" i="1"/>
  <c r="U171" i="1"/>
  <c r="S171" i="1" s="1"/>
  <c r="AI200" i="1"/>
  <c r="U170" i="1"/>
  <c r="S170" i="1" s="1"/>
  <c r="AI199" i="1"/>
  <c r="U169" i="1"/>
  <c r="S169" i="1" s="1"/>
  <c r="AI198" i="1"/>
  <c r="U168" i="1"/>
  <c r="S168" i="1" s="1"/>
  <c r="U167" i="1"/>
  <c r="S167" i="1" s="1"/>
  <c r="AI196" i="1"/>
  <c r="U166" i="1"/>
  <c r="S166" i="1" s="1"/>
  <c r="AI195" i="1"/>
  <c r="U165" i="1"/>
  <c r="S165" i="1" s="1"/>
  <c r="AI194" i="1"/>
  <c r="AI193" i="1"/>
  <c r="U164" i="1"/>
  <c r="S164" i="1" s="1"/>
  <c r="AI192" i="1"/>
  <c r="U163" i="1"/>
  <c r="S163" i="1" s="1"/>
  <c r="AI191" i="1"/>
  <c r="AI190" i="1"/>
  <c r="U162" i="1"/>
  <c r="S162" i="1" s="1"/>
  <c r="AI189" i="1"/>
  <c r="U161" i="1"/>
  <c r="S161" i="1" s="1"/>
  <c r="AI188" i="1"/>
  <c r="U160" i="1"/>
  <c r="S160" i="1" s="1"/>
  <c r="AI187" i="1"/>
  <c r="U159" i="1"/>
  <c r="S159" i="1" s="1"/>
  <c r="AI186" i="1"/>
  <c r="AI185" i="1"/>
  <c r="AI184" i="1"/>
  <c r="U157" i="1"/>
  <c r="S157" i="1" s="1"/>
  <c r="AI183" i="1"/>
  <c r="AI182" i="1"/>
  <c r="U238" i="1"/>
  <c r="S238" i="1" s="1"/>
  <c r="AI181" i="1"/>
  <c r="AI179" i="1"/>
  <c r="U236" i="1"/>
  <c r="S236" i="1" s="1"/>
  <c r="AI178" i="1"/>
  <c r="AI177" i="1"/>
  <c r="U234" i="1"/>
  <c r="S234" i="1" s="1"/>
  <c r="AI176" i="1"/>
  <c r="AI175" i="1"/>
  <c r="U232" i="1"/>
  <c r="S232" i="1" s="1"/>
  <c r="AI174" i="1"/>
  <c r="AI173" i="1"/>
  <c r="U230" i="1"/>
  <c r="S230" i="1" s="1"/>
  <c r="AI172" i="1"/>
  <c r="AI171" i="1"/>
  <c r="U228" i="1"/>
  <c r="S228" i="1" s="1"/>
  <c r="AI170" i="1"/>
  <c r="AI169" i="1"/>
  <c r="U226" i="1"/>
  <c r="S226" i="1" s="1"/>
  <c r="AI168" i="1"/>
  <c r="U225" i="1"/>
  <c r="S225" i="1" s="1"/>
  <c r="AI167" i="1"/>
  <c r="U218" i="1"/>
  <c r="S218" i="1" s="1"/>
  <c r="AI166" i="1"/>
  <c r="U217" i="1"/>
  <c r="S217" i="1" s="1"/>
  <c r="AI165" i="1"/>
  <c r="U216" i="1"/>
  <c r="S216" i="1" s="1"/>
  <c r="AI164" i="1"/>
  <c r="U214" i="1"/>
  <c r="S214" i="1" s="1"/>
  <c r="AI163" i="1"/>
  <c r="U213" i="1"/>
  <c r="S213" i="1" s="1"/>
  <c r="U212" i="1"/>
  <c r="S212" i="1" s="1"/>
  <c r="AI162" i="1"/>
  <c r="U211" i="1"/>
  <c r="S211" i="1" s="1"/>
  <c r="AI161" i="1"/>
  <c r="U210" i="1"/>
  <c r="S210" i="1" s="1"/>
  <c r="AI160" i="1"/>
  <c r="U209" i="1"/>
  <c r="S209" i="1" s="1"/>
  <c r="AI159" i="1"/>
  <c r="U208" i="1"/>
  <c r="S208" i="1" s="1"/>
  <c r="AI158" i="1"/>
  <c r="AI157" i="1"/>
  <c r="AI155" i="1"/>
  <c r="AI154" i="1"/>
  <c r="AI153" i="1"/>
  <c r="AI152" i="1"/>
  <c r="U151" i="1"/>
  <c r="S151" i="1" s="1"/>
  <c r="AI151" i="1"/>
  <c r="U150" i="1"/>
  <c r="S150" i="1" s="1"/>
  <c r="AI150" i="1"/>
  <c r="U149" i="1"/>
  <c r="S149" i="1" s="1"/>
  <c r="AI149" i="1"/>
  <c r="U148" i="1"/>
  <c r="S148" i="1" s="1"/>
  <c r="AI148" i="1"/>
  <c r="W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AI142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W127" i="1"/>
  <c r="AI126" i="1"/>
  <c r="W126" i="1"/>
  <c r="AI125" i="1"/>
  <c r="AI124" i="1"/>
  <c r="AI123" i="1"/>
  <c r="AI122" i="1"/>
  <c r="AI121" i="1"/>
  <c r="AI120" i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U115" i="1"/>
  <c r="S115" i="1" s="1"/>
  <c r="AI114" i="1"/>
  <c r="U114" i="1"/>
  <c r="S114" i="1" s="1"/>
  <c r="AI108" i="1"/>
  <c r="AI103" i="1"/>
  <c r="AI112" i="1"/>
  <c r="W112" i="1"/>
  <c r="AI110" i="1"/>
  <c r="W110" i="1"/>
  <c r="AI107" i="1"/>
  <c r="AI106" i="1"/>
  <c r="AI104" i="1"/>
  <c r="AI105" i="1"/>
  <c r="AI101" i="1"/>
  <c r="AI113" i="1"/>
  <c r="AI111" i="1"/>
  <c r="AI109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W76" i="1"/>
  <c r="AI74" i="1"/>
  <c r="W74" i="1"/>
  <c r="U71" i="1"/>
  <c r="S71" i="1" s="1"/>
  <c r="AI71" i="1"/>
  <c r="W71" i="1"/>
  <c r="U67" i="1"/>
  <c r="S67" i="1" s="1"/>
  <c r="AI67" i="1"/>
  <c r="W67" i="1"/>
  <c r="U63" i="1"/>
  <c r="S63" i="1" s="1"/>
  <c r="AI63" i="1"/>
  <c r="W63" i="1"/>
  <c r="AI70" i="1"/>
  <c r="U70" i="1"/>
  <c r="S70" i="1" s="1"/>
  <c r="AI66" i="1"/>
  <c r="U66" i="1"/>
  <c r="S66" i="1" s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U69" i="1"/>
  <c r="S69" i="1" s="1"/>
  <c r="AI69" i="1"/>
  <c r="U65" i="1"/>
  <c r="S65" i="1" s="1"/>
  <c r="AI65" i="1"/>
  <c r="U72" i="1"/>
  <c r="S72" i="1" s="1"/>
  <c r="AI72" i="1"/>
  <c r="U68" i="1"/>
  <c r="S68" i="1" s="1"/>
  <c r="AI68" i="1"/>
  <c r="U64" i="1"/>
  <c r="S64" i="1" s="1"/>
  <c r="AI64" i="1"/>
  <c r="U62" i="1"/>
  <c r="S62" i="1" s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U55" i="1"/>
  <c r="S55" i="1" s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3" i="1"/>
  <c r="W224" i="1"/>
  <c r="W222" i="1"/>
  <c r="W202" i="1"/>
  <c r="W196" i="1"/>
  <c r="W185" i="1"/>
  <c r="W179" i="1"/>
  <c r="W176" i="1"/>
  <c r="W171" i="1"/>
  <c r="W169" i="1"/>
  <c r="W167" i="1"/>
  <c r="W150" i="1"/>
  <c r="W221" i="1"/>
  <c r="W191" i="1"/>
  <c r="W186" i="1"/>
  <c r="W177" i="1"/>
  <c r="W174" i="1"/>
  <c r="W205" i="1"/>
  <c r="W193" i="1"/>
  <c r="W188" i="1"/>
  <c r="W199" i="1"/>
  <c r="W194" i="1"/>
  <c r="W183" i="1"/>
  <c r="W219" i="1"/>
  <c r="W200" i="1"/>
  <c r="W192" i="1"/>
  <c r="W184" i="1"/>
  <c r="W181" i="1"/>
  <c r="W175" i="1"/>
  <c r="W172" i="1"/>
  <c r="W166" i="1"/>
  <c r="W164" i="1"/>
  <c r="W162" i="1"/>
  <c r="W220" i="1"/>
  <c r="W204" i="1"/>
  <c r="W198" i="1"/>
  <c r="W190" i="1"/>
  <c r="W187" i="1"/>
  <c r="W182" i="1"/>
  <c r="W178" i="1"/>
  <c r="W173" i="1"/>
  <c r="W170" i="1"/>
  <c r="W168" i="1"/>
  <c r="W160" i="1"/>
  <c r="X170" i="1"/>
  <c r="X168" i="1"/>
  <c r="X166" i="1"/>
  <c r="X162" i="1"/>
  <c r="X160" i="1"/>
  <c r="T206" i="1"/>
  <c r="U206" i="1" s="1"/>
  <c r="S206" i="1" s="1"/>
  <c r="X20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W145" i="1"/>
  <c r="W142" i="1"/>
  <c r="W134" i="1"/>
  <c r="W130" i="1"/>
  <c r="X159" i="1"/>
  <c r="W158" i="1"/>
  <c r="T158" i="1"/>
  <c r="U158" i="1" s="1"/>
  <c r="S158" i="1" s="1"/>
  <c r="W239" i="1"/>
  <c r="T239" i="1"/>
  <c r="U239" i="1" s="1"/>
  <c r="S239" i="1" s="1"/>
  <c r="X238" i="1"/>
  <c r="W237" i="1"/>
  <c r="T237" i="1"/>
  <c r="U237" i="1" s="1"/>
  <c r="S237" i="1" s="1"/>
  <c r="X236" i="1"/>
  <c r="W235" i="1"/>
  <c r="T235" i="1"/>
  <c r="U235" i="1" s="1"/>
  <c r="S235" i="1" s="1"/>
  <c r="X234" i="1"/>
  <c r="T233" i="1"/>
  <c r="U233" i="1" s="1"/>
  <c r="S233" i="1" s="1"/>
  <c r="X232" i="1"/>
  <c r="W231" i="1"/>
  <c r="T231" i="1"/>
  <c r="U231" i="1" s="1"/>
  <c r="S231" i="1" s="1"/>
  <c r="X230" i="1"/>
  <c r="W229" i="1"/>
  <c r="T229" i="1"/>
  <c r="U229" i="1" s="1"/>
  <c r="S229" i="1" s="1"/>
  <c r="X228" i="1"/>
  <c r="W227" i="1"/>
  <c r="T227" i="1"/>
  <c r="U227" i="1" s="1"/>
  <c r="S227" i="1" s="1"/>
  <c r="W225" i="1"/>
  <c r="W217" i="1"/>
  <c r="W215" i="1"/>
  <c r="W213" i="1"/>
  <c r="W211" i="1"/>
  <c r="W207" i="1"/>
  <c r="W149" i="1"/>
  <c r="W137" i="1"/>
  <c r="W133" i="1"/>
  <c r="W129" i="1"/>
  <c r="X224" i="1"/>
  <c r="W146" i="1"/>
  <c r="W136" i="1"/>
  <c r="W132" i="1"/>
  <c r="W159" i="1"/>
  <c r="W157" i="1"/>
  <c r="W238" i="1"/>
  <c r="W236" i="1"/>
  <c r="W234" i="1"/>
  <c r="W232" i="1"/>
  <c r="W230" i="1"/>
  <c r="W228" i="1"/>
  <c r="W226" i="1"/>
  <c r="W218" i="1"/>
  <c r="W216" i="1"/>
  <c r="W214" i="1"/>
  <c r="W210" i="1"/>
  <c r="W208" i="1"/>
  <c r="W206" i="1"/>
  <c r="W155" i="1"/>
  <c r="W154" i="1"/>
  <c r="W153" i="1"/>
  <c r="W151" i="1"/>
  <c r="W147" i="1"/>
  <c r="W144" i="1"/>
  <c r="W139" i="1"/>
  <c r="W131" i="1"/>
  <c r="W109" i="1"/>
  <c r="W108" i="1"/>
  <c r="W101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02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W113" i="1"/>
  <c r="W103" i="1"/>
  <c r="W104" i="1"/>
  <c r="T112" i="1"/>
  <c r="U112" i="1" s="1"/>
  <c r="S112" i="1" s="1"/>
  <c r="X112" i="1"/>
  <c r="T110" i="1"/>
  <c r="U110" i="1" s="1"/>
  <c r="S110" i="1" s="1"/>
  <c r="X110" i="1"/>
  <c r="T107" i="1"/>
  <c r="U107" i="1" s="1"/>
  <c r="S107" i="1" s="1"/>
  <c r="X107" i="1"/>
  <c r="W96" i="1"/>
  <c r="W93" i="1"/>
  <c r="W88" i="1"/>
  <c r="W85" i="1"/>
  <c r="W80" i="1"/>
  <c r="W72" i="1"/>
  <c r="W69" i="1"/>
  <c r="W64" i="1"/>
  <c r="X119" i="1"/>
  <c r="X118" i="1"/>
  <c r="X117" i="1"/>
  <c r="X116" i="1"/>
  <c r="X115" i="1"/>
  <c r="X114" i="1"/>
  <c r="W98" i="1"/>
  <c r="W95" i="1"/>
  <c r="W90" i="1"/>
  <c r="W87" i="1"/>
  <c r="W82" i="1"/>
  <c r="W79" i="1"/>
  <c r="W77" i="1"/>
  <c r="W73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W100" i="1"/>
  <c r="W92" i="1"/>
  <c r="W89" i="1"/>
  <c r="W84" i="1"/>
  <c r="W81" i="1"/>
  <c r="W68" i="1"/>
  <c r="W65" i="1"/>
  <c r="W107" i="1"/>
  <c r="W94" i="1"/>
  <c r="W91" i="1"/>
  <c r="W86" i="1"/>
  <c r="W83" i="1"/>
  <c r="W66" i="1"/>
  <c r="X62" i="1"/>
  <c r="W60" i="1"/>
  <c r="X58" i="1"/>
  <c r="T58" i="1"/>
  <c r="U58" i="1" s="1"/>
  <c r="S58" i="1" s="1"/>
  <c r="W50" i="1"/>
  <c r="W46" i="1"/>
  <c r="W42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1" i="1"/>
  <c r="X60" i="1"/>
  <c r="T60" i="1"/>
  <c r="U60" i="1" s="1"/>
  <c r="S60" i="1" s="1"/>
  <c r="W53" i="1"/>
  <c r="W49" i="1"/>
  <c r="W41" i="1"/>
  <c r="W37" i="1"/>
  <c r="W62" i="1"/>
  <c r="W56" i="1"/>
  <c r="W55" i="1"/>
  <c r="W52" i="1"/>
  <c r="W44" i="1"/>
  <c r="W4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X61" i="1"/>
  <c r="W58" i="1"/>
  <c r="W57" i="1"/>
  <c r="X56" i="1"/>
  <c r="T56" i="1"/>
  <c r="U56" i="1" s="1"/>
  <c r="S56" i="1" s="1"/>
  <c r="W54" i="1"/>
  <c r="W51" i="1"/>
  <c r="W47" i="1"/>
  <c r="W43" i="1"/>
  <c r="W39" i="1"/>
  <c r="W33" i="1"/>
  <c r="W32" i="1"/>
  <c r="W31" i="1"/>
  <c r="W30" i="1"/>
  <c r="W29" i="1"/>
  <c r="W28" i="1"/>
  <c r="W27" i="1"/>
  <c r="W24" i="1"/>
  <c r="W22" i="1"/>
  <c r="W21" i="1"/>
  <c r="W20" i="1"/>
  <c r="W19" i="1"/>
  <c r="W18" i="1"/>
  <c r="W17" i="1"/>
  <c r="W16" i="1"/>
  <c r="W15" i="1"/>
  <c r="W14" i="1"/>
  <c r="X72" i="1"/>
  <c r="X71" i="1"/>
  <c r="X70" i="1"/>
  <c r="X69" i="1"/>
  <c r="X68" i="1"/>
  <c r="X67" i="1"/>
  <c r="X66" i="1"/>
  <c r="X65" i="1"/>
  <c r="X64" i="1"/>
  <c r="X63" i="1"/>
  <c r="T54" i="1"/>
  <c r="U54" i="1" s="1"/>
  <c r="S54" i="1" s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C18" i="3"/>
  <c r="AC7" i="3"/>
  <c r="AE23" i="3"/>
  <c r="AE19" i="3"/>
  <c r="AD9" i="3"/>
  <c r="AD23" i="3"/>
  <c r="AD25" i="3"/>
  <c r="AC29" i="3"/>
  <c r="AC27" i="3"/>
  <c r="AD20" i="3"/>
  <c r="AD19" i="3"/>
  <c r="AD8" i="3"/>
  <c r="AC24" i="3"/>
  <c r="T24" i="3"/>
  <c r="AC23" i="3"/>
  <c r="AC12" i="3"/>
  <c r="AE11" i="3"/>
  <c r="AC19" i="3"/>
  <c r="AC25" i="3"/>
  <c r="AC20" i="3"/>
  <c r="AC8" i="3"/>
  <c r="AC11" i="3"/>
  <c r="Y12" i="3"/>
  <c r="Y28" i="3"/>
  <c r="Y14" i="3"/>
  <c r="Y11" i="3"/>
  <c r="Y29" i="3"/>
  <c r="Y10" i="3"/>
  <c r="Y22" i="3"/>
  <c r="Y16" i="3"/>
  <c r="Y21" i="3"/>
  <c r="Y19" i="3"/>
  <c r="Y7" i="3"/>
  <c r="Y8" i="3"/>
  <c r="Y9" i="3"/>
  <c r="Y25" i="3"/>
  <c r="Y24" i="3"/>
  <c r="Y17" i="3"/>
  <c r="Y18" i="3"/>
  <c r="Y20" i="3"/>
  <c r="Y27" i="3"/>
  <c r="Y23" i="3"/>
  <c r="Y13" i="3"/>
  <c r="Y15" i="3"/>
  <c r="AE14" i="3"/>
  <c r="T16" i="3"/>
  <c r="AE10" i="3"/>
  <c r="T21" i="3"/>
  <c r="AD22" i="3"/>
  <c r="AE17" i="3"/>
  <c r="T23" i="3"/>
  <c r="AD14" i="3"/>
  <c r="AE13" i="3"/>
  <c r="T13" i="3"/>
  <c r="AD10" i="3"/>
  <c r="AE9" i="3"/>
  <c r="T15" i="3"/>
  <c r="T10" i="3"/>
  <c r="AE22" i="3"/>
  <c r="T22" i="3"/>
  <c r="AE18" i="3"/>
  <c r="T17" i="3"/>
  <c r="AE29" i="3"/>
  <c r="T18" i="3"/>
  <c r="AE25" i="3"/>
  <c r="T20" i="3"/>
  <c r="AE21" i="3"/>
  <c r="T27" i="3"/>
  <c r="AD18" i="3"/>
  <c r="AE28" i="3"/>
  <c r="AE24" i="3"/>
  <c r="AE20" i="3"/>
  <c r="AE16" i="3"/>
  <c r="AE12" i="3"/>
  <c r="AE8" i="3"/>
  <c r="S26" i="3"/>
  <c r="R26" i="3"/>
  <c r="M26" i="3"/>
  <c r="U26" i="3"/>
  <c r="T26" i="3" s="1"/>
  <c r="V26" i="3"/>
  <c r="X26" i="3"/>
  <c r="W26" i="3"/>
  <c r="S87" i="1" l="1"/>
  <c r="AE26" i="3"/>
  <c r="AD26" i="3"/>
  <c r="AC26" i="3"/>
  <c r="Y26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N19" i="3" s="1"/>
  <c r="G234" i="4"/>
  <c r="G235" i="4"/>
  <c r="G236" i="4"/>
  <c r="N18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L219" i="1" s="1"/>
  <c r="G23" i="4"/>
  <c r="G24" i="4"/>
  <c r="G25" i="4"/>
  <c r="L157" i="1" s="1"/>
  <c r="G26" i="4"/>
  <c r="G27" i="4"/>
  <c r="N28" i="3" s="1"/>
  <c r="G28" i="4"/>
  <c r="N15" i="3" s="1"/>
  <c r="G29" i="4"/>
  <c r="L158" i="1" s="1"/>
  <c r="G30" i="4"/>
  <c r="G31" i="4"/>
  <c r="G32" i="4"/>
  <c r="G33" i="4"/>
  <c r="G34" i="4"/>
  <c r="G35" i="4"/>
  <c r="N21" i="3" s="1"/>
  <c r="G36" i="4"/>
  <c r="L159" i="1" s="1"/>
  <c r="G37" i="4"/>
  <c r="G38" i="4"/>
  <c r="G39" i="4"/>
  <c r="G40" i="4"/>
  <c r="N11" i="3" s="1"/>
  <c r="G41" i="4"/>
  <c r="G42" i="4"/>
  <c r="G43" i="4"/>
  <c r="G44" i="4"/>
  <c r="G45" i="4"/>
  <c r="G46" i="4"/>
  <c r="G47" i="4"/>
  <c r="G48" i="4"/>
  <c r="G49" i="4"/>
  <c r="G50" i="4"/>
  <c r="L162" i="1" s="1"/>
  <c r="G51" i="4"/>
  <c r="G52" i="4"/>
  <c r="G53" i="4"/>
  <c r="L163" i="1" s="1"/>
  <c r="G54" i="4"/>
  <c r="N16" i="3" s="1"/>
  <c r="G55" i="4"/>
  <c r="G56" i="4"/>
  <c r="G57" i="4"/>
  <c r="G58" i="4"/>
  <c r="G59" i="4"/>
  <c r="G60" i="4"/>
  <c r="G61" i="4"/>
  <c r="G62" i="4"/>
  <c r="L166" i="1" s="1"/>
  <c r="G63" i="4"/>
  <c r="G64" i="4"/>
  <c r="G65" i="4"/>
  <c r="G66" i="4"/>
  <c r="L167" i="1" s="1"/>
  <c r="G67" i="4"/>
  <c r="G68" i="4"/>
  <c r="G69" i="4"/>
  <c r="G70" i="4"/>
  <c r="G71" i="4"/>
  <c r="G72" i="4"/>
  <c r="G73" i="4"/>
  <c r="G74" i="4"/>
  <c r="G75" i="4"/>
  <c r="L221" i="1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L64" i="1" s="1"/>
  <c r="G96" i="4"/>
  <c r="G97" i="4"/>
  <c r="G98" i="4"/>
  <c r="G99" i="4"/>
  <c r="G100" i="4"/>
  <c r="G101" i="4"/>
  <c r="G102" i="4"/>
  <c r="G103" i="4"/>
  <c r="G104" i="4"/>
  <c r="G105" i="4"/>
  <c r="G106" i="4"/>
  <c r="L65" i="1" s="1"/>
  <c r="G107" i="4"/>
  <c r="G108" i="4"/>
  <c r="N9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23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9" i="3" s="1"/>
  <c r="G143" i="4"/>
  <c r="G144" i="4"/>
  <c r="N8" i="3" s="1"/>
  <c r="G145" i="4"/>
  <c r="G146" i="4"/>
  <c r="G147" i="4"/>
  <c r="G148" i="4"/>
  <c r="G149" i="4"/>
  <c r="G150" i="4"/>
  <c r="G151" i="4"/>
  <c r="G152" i="4"/>
  <c r="G153" i="4"/>
  <c r="G154" i="4"/>
  <c r="G155" i="4"/>
  <c r="N27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2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7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10" i="3" s="1"/>
  <c r="G213" i="4"/>
  <c r="N20" i="3" s="1"/>
  <c r="G214" i="4"/>
  <c r="G215" i="4"/>
  <c r="G216" i="4"/>
  <c r="G217" i="4"/>
  <c r="G218" i="4"/>
  <c r="G219" i="4"/>
  <c r="G220" i="4"/>
  <c r="G221" i="4"/>
  <c r="G222" i="4"/>
  <c r="G223" i="4"/>
  <c r="N25" i="3" s="1"/>
  <c r="G2" i="4"/>
  <c r="N24" i="3" l="1"/>
  <c r="N17" i="3"/>
  <c r="N26" i="3"/>
  <c r="N13" i="3"/>
  <c r="N14" i="3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<sst xmlns="http://schemas.openxmlformats.org/spreadsheetml/2006/main" count="2809" uniqueCount="1140">
  <si>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</si>
  <si>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</si>
  <si>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</si>
  <si>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</si>
  <si>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</si>
  <si>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</si>
  <si>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</si>
  <si>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</si>
  <si>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</si>
  <si>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</si>
  <si>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</si>
  <si>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</si>
  <si>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</si>
  <si>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</si>
  <si>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</si>
  <si>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</si>
  <si>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</si>
  <si>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</si>
  <si>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</si>
  <si>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</si>
  <si>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</si>
  <si>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</si>
  <si>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</si>
  <si>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</si>
  <si>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</si>
  <si>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</si>
  <si>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</si>
  <si>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</si>
  <si>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</si>
  <si>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</si>
  <si>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</si>
  <si>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</si>
  <si>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</si>
  <si>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</si>
  <si>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</si>
  <si>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</si>
  <si>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</si>
  <si>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</si>
  <si>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</si>
  <si>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</si>
  <si>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</si>
  <si>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</si>
  <si>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</si>
  <si>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</si>
  <si>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</si>
  <si>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</si>
  <si>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</si>
  <si>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</si>
  <si>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</si>
  <si>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</si>
  <si>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</si>
  <si>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</si>
  <si>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</si>
  <si>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</si>
  <si>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</si>
  <si>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</si>
  <si>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</si>
  <si>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</si>
  <si>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</si>
  <si>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</si>
  <si>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</si>
  <si>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</si>
  <si>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</si>
  <si>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</si>
  <si>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</si>
  <si>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</si>
  <si>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</si>
  <si>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</si>
  <si>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</si>
  <si>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</si>
  <si>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</si>
  <si>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</si>
  <si>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</si>
  <si>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</si>
  <si>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</si>
  <si>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</si>
  <si>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</si>
  <si>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</si>
  <si>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</si>
  <si>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</si>
  <si>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</si>
  <si>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</si>
  <si>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</si>
  <si>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</si>
  <si>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</si>
  <si>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</si>
  <si>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</si>
  <si>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</si>
  <si>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</si>
  <si>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</si>
  <si>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</si>
  <si>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</si>
  <si>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</si>
  <si>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</si>
  <si>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</si>
  <si>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</si>
  <si>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</si>
  <si>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</si>
  <si>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</si>
  <si>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</si>
  <si>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</si>
  <si>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</si>
  <si>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</si>
  <si>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</si>
  <si>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</si>
  <si>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</si>
  <si>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</si>
  <si>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</si>
  <si>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</si>
  <si>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</si>
  <si>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</si>
  <si>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</si>
  <si>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</si>
  <si>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</si>
  <si>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</si>
  <si>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</si>
  <si>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</si>
  <si>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</si>
  <si>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</si>
  <si>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</si>
  <si>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</si>
  <si>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</si>
  <si>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</si>
  <si>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</si>
  <si>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</si>
  <si>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</si>
  <si>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</si>
  <si>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</si>
  <si>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</si>
  <si>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</si>
  <si>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</si>
  <si>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</si>
  <si>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</si>
  <si>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</si>
  <si>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</si>
  <si>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</si>
  <si>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</si>
  <si>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</si>
  <si>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</si>
  <si>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</si>
  <si>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</si>
  <si>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</si>
  <si>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</si>
  <si>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</si>
  <si>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</si>
  <si>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</si>
  <si>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</si>
  <si>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</si>
  <si>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</si>
  <si>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</si>
  <si>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</si>
  <si>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</si>
  <si>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</si>
  <si>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</si>
  <si>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</si>
  <si>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</si>
  <si>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</si>
  <si>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</si>
  <si>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</si>
  <si>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</si>
  <si>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</si>
  <si>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</si>
  <si>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</si>
  <si>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</si>
  <si>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</si>
  <si>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</si>
  <si>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</si>
  <si>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</si>
  <si>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</si>
  <si>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</si>
  <si>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</si>
  <si>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</si>
  <si>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</si>
  <si>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</si>
  <si>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</si>
  <si>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</si>
  <si>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</si>
  <si>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</si>
  <si>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</si>
  <si>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</si>
  <si>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</si>
  <si>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</si>
  <si>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</si>
  <si>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</si>
  <si>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</si>
  <si>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</si>
  <si>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</si>
  <si>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</si>
  <si>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</si>
  <si>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</si>
  <si>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</si>
  <si>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</si>
  <si>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</si>
  <si>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</si>
  <si>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</si>
  <si>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</si>
  <si>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</si>
  <si>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</si>
  <si>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</si>
  <si>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</si>
  <si>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</si>
  <si>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</si>
  <si>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</si>
  <si>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</si>
  <si>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</si>
  <si>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</si>
  <si>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</si>
  <si>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</si>
  <si>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</si>
  <si>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</si>
  <si>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</si>
  <si>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</si>
  <si>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</si>
  <si>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</si>
  <si>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</si>
  <si>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</si>
  <si>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</si>
  <si>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</si>
  <si>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</si>
  <si>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</si>
  <si>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</si>
  <si>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</si>
  <si>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</si>
  <si>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</si>
  <si>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</si>
  <si>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</si>
  <si>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</si>
  <si>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</si>
  <si>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</si>
  <si>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</si>
  <si>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</si>
  <si>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</si>
  <si>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</si>
  <si>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</si>
  <si>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</si>
  <si>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</si>
  <si>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</si>
  <si>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</si>
  <si>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</si>
  <si>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</si>
  <si>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</si>
  <si>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</si>
  <si>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</si>
  <si>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</si>
  <si>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</si>
  <si>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</si>
  <si>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</si>
  <si>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</si>
  <si>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</si>
  <si>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</si>
  <si>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</si>
  <si>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</si>
  <si>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</si>
  <si>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</si>
  <si>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</si>
  <si>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</si>
  <si>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</si>
  <si>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</si>
  <si>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</si>
  <si>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</si>
  <si>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</si>
  <si>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</si>
  <si>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</si>
  <si>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</si>
  <si>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</si>
  <si>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</si>
  <si>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</si>
  <si>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</si>
  <si>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</si>
  <si>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</si>
  <si>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</si>
  <si>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</si>
  <si>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</si>
  <si>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</si>
  <si>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</si>
  <si>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</si>
  <si>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</si>
  <si>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</si>
  <si>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</si>
  <si>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</si>
  <si>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</si>
  <si>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</si>
  <si>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</si>
  <si>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</si>
  <si>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</si>
  <si>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</si>
  <si>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</si>
  <si>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</si>
  <si>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</si>
  <si>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</si>
  <si>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</si>
  <si>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</si>
  <si>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</si>
  <si>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</si>
  <si>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</si>
  <si>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</si>
  <si>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</si>
  <si>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</si>
  <si>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</si>
  <si>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</si>
  <si>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</si>
  <si>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</si>
  <si>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</si>
  <si>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</si>
  <si>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</si>
  <si>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</si>
  <si>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</si>
  <si>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</si>
  <si>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</si>
  <si>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</si>
  <si>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</si>
  <si>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</si>
  <si>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</si>
  <si>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</si>
  <si>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</si>
  <si>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</si>
  <si>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</si>
  <si>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</si>
  <si>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</si>
  <si>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</si>
  <si>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</si>
  <si>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</si>
  <si>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</si>
  <si>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</si>
  <si>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</si>
  <si>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</si>
  <si>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</si>
  <si>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</si>
  <si>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</si>
  <si>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</si>
  <si>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</si>
  <si>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</si>
  <si>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</si>
  <si>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</si>
  <si>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</si>
  <si>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</si>
  <si>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</si>
  <si>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</si>
  <si>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</si>
  <si>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</si>
  <si>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</si>
  <si>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</si>
  <si>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</si>
  <si>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</si>
  <si>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</si>
  <si>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</si>
  <si>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</si>
  <si>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</si>
  <si>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</si>
  <si>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</si>
  <si>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</si>
  <si>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</si>
  <si>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204:145</t>
  </si>
  <si>
    <t>Early Arrival</t>
  </si>
  <si>
    <t>LOZA</t>
  </si>
  <si>
    <t>FIDEL</t>
  </si>
  <si>
    <t>204:158</t>
  </si>
  <si>
    <t>204:139</t>
  </si>
  <si>
    <t>204:154</t>
  </si>
  <si>
    <t>YORK</t>
  </si>
  <si>
    <t>EDGAR</t>
  </si>
  <si>
    <t>Y</t>
  </si>
  <si>
    <t>Sat - Sun = 36 Trips</t>
  </si>
  <si>
    <t>"Summary View"</t>
  </si>
  <si>
    <t>ANDERS</t>
  </si>
  <si>
    <t>STEVEN</t>
  </si>
  <si>
    <t>rtdc.l.rtdc.4055:itc</t>
  </si>
  <si>
    <t>MICHAEL</t>
  </si>
  <si>
    <t>rtdc.l.rtdc.4066:itc</t>
  </si>
  <si>
    <t>rtdc.l.rtdc.4065:itc</t>
  </si>
  <si>
    <t>MCREYNOLDS</t>
  </si>
  <si>
    <t>KYLE</t>
  </si>
  <si>
    <t>%REDMINEAPIKEY%</t>
  </si>
  <si>
    <t>204:442</t>
  </si>
  <si>
    <t>SIGNAL</t>
  </si>
  <si>
    <t>Signal based authority (5)</t>
  </si>
  <si>
    <t>Wi-MAX data drop</t>
  </si>
  <si>
    <t>rtdc.l.rtdc.4008:itc</t>
  </si>
  <si>
    <t>rtdc.l.rtdc.4060:itc</t>
  </si>
  <si>
    <t>rtdc.l.rtdc.4009:itc</t>
  </si>
  <si>
    <t>rtdc.l.rtdc.4010:itc</t>
  </si>
  <si>
    <t>LEVERE</t>
  </si>
  <si>
    <t>CRAIG</t>
  </si>
  <si>
    <t>LEVIN</t>
  </si>
  <si>
    <t>SCOTT</t>
  </si>
  <si>
    <t>BIRKHOLZ</t>
  </si>
  <si>
    <t>NADINE</t>
  </si>
  <si>
    <t>rtdc.l.rtdc.4018:itc</t>
  </si>
  <si>
    <t>rtdc.l.rtdc.4005:itc</t>
  </si>
  <si>
    <t>rtdc.l.rtdc.4007:itc</t>
  </si>
  <si>
    <t>rtdc.l.rtdc.4017:itc</t>
  </si>
  <si>
    <t>rtdc.l.rtdc.4043:itc</t>
  </si>
  <si>
    <t>rtdc.l.rtdc.4044:itc</t>
  </si>
  <si>
    <t>DAVIS</t>
  </si>
  <si>
    <t>rtdc.l.rtdc.4006:itc</t>
  </si>
  <si>
    <t>HOLCOMB</t>
  </si>
  <si>
    <t>KAMDEN</t>
  </si>
  <si>
    <t>ZEWDU</t>
  </si>
  <si>
    <t>DEREJE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</si>
  <si>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</si>
  <si>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</si>
  <si>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</si>
  <si>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</si>
  <si>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</si>
  <si>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</si>
  <si>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</si>
  <si>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</si>
  <si>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</si>
  <si>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rtdc.l.rtdc.4032:itc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</si>
  <si>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</si>
  <si>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</si>
  <si>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</si>
  <si>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</si>
  <si>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</si>
  <si>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</si>
  <si>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</si>
  <si>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</si>
  <si>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</si>
  <si>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</si>
  <si>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</si>
  <si>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</si>
  <si>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</si>
  <si>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</si>
  <si>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</si>
  <si>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</si>
  <si>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</si>
  <si>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</si>
  <si>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</si>
  <si>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</si>
  <si>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</si>
  <si>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</si>
  <si>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</si>
  <si>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</si>
  <si>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</si>
  <si>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</si>
  <si>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</si>
  <si>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</si>
  <si>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</si>
  <si>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</si>
  <si>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</si>
  <si>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</si>
  <si>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</si>
  <si>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</si>
  <si>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</si>
  <si>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</si>
  <si>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</si>
  <si>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</si>
  <si>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</si>
  <si>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</si>
  <si>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</si>
  <si>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</si>
  <si>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</si>
  <si>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</si>
  <si>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</si>
  <si>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</si>
  <si>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</si>
  <si>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</si>
  <si>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</si>
  <si>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</si>
  <si>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</si>
  <si>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</si>
  <si>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</si>
  <si>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</si>
  <si>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</si>
  <si>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</si>
  <si>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</si>
  <si>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rtdc.l.rtdc.4050:itc</t>
  </si>
  <si>
    <t>rtdc.l.rtdc.4049:itc</t>
  </si>
  <si>
    <t>204:160</t>
  </si>
  <si>
    <t>rtdc.l.rtdc.4036:itc</t>
  </si>
  <si>
    <t>rtdc.l.rtdc.4035:itc</t>
  </si>
  <si>
    <t>204:232973</t>
  </si>
  <si>
    <t>204:232982</t>
  </si>
  <si>
    <t>204:444</t>
  </si>
  <si>
    <t>204:232879</t>
  </si>
  <si>
    <t>204:546</t>
  </si>
  <si>
    <t>300:58651</t>
  </si>
  <si>
    <t>242-25</t>
  </si>
  <si>
    <t>244-25</t>
  </si>
  <si>
    <t>307-25</t>
  </si>
  <si>
    <t>309-25</t>
  </si>
  <si>
    <t>311-25</t>
  </si>
  <si>
    <t>300-26</t>
  </si>
  <si>
    <t>precipType</t>
  </si>
  <si>
    <t>204:232938</t>
  </si>
  <si>
    <t>204:562</t>
  </si>
  <si>
    <t>204:211</t>
  </si>
  <si>
    <t>204:232881</t>
  </si>
  <si>
    <t>204:983</t>
  </si>
  <si>
    <t>rtdc.l.rtdc.4041:itc</t>
  </si>
  <si>
    <t>rtdc.l.rtdc.4053:itc</t>
  </si>
  <si>
    <t>rtdc.l.rtdc.4042:itc</t>
  </si>
  <si>
    <t>MAELZER</t>
  </si>
  <si>
    <t>KURT</t>
  </si>
  <si>
    <t>WILLIAMS</t>
  </si>
  <si>
    <t>DONTE</t>
  </si>
  <si>
    <t>rtdc.l.rtdc.4054:itc</t>
  </si>
  <si>
    <t>BADERTSCHER</t>
  </si>
  <si>
    <t>DIANE</t>
  </si>
  <si>
    <t>partly-cloudy-day</t>
  </si>
  <si>
    <t>Mostly Cloudy</t>
  </si>
  <si>
    <t>partly-cloudy-night</t>
  </si>
  <si>
    <t>cloudy</t>
  </si>
  <si>
    <t>Overcast</t>
  </si>
  <si>
    <t>Partly Cloudy</t>
  </si>
  <si>
    <t>204:156</t>
  </si>
  <si>
    <t>204:233264</t>
  </si>
  <si>
    <t>204:469</t>
  </si>
  <si>
    <t>204:232998</t>
  </si>
  <si>
    <t>204:232972</t>
  </si>
  <si>
    <t>204:232978</t>
  </si>
  <si>
    <t>204:161</t>
  </si>
  <si>
    <t>204:451</t>
  </si>
  <si>
    <t>204:233189</t>
  </si>
  <si>
    <t>204:232900</t>
  </si>
  <si>
    <t>204:233215</t>
  </si>
  <si>
    <t>204:174</t>
  </si>
  <si>
    <t>204:249</t>
  </si>
  <si>
    <t>204:232904</t>
  </si>
  <si>
    <t>204:477</t>
  </si>
  <si>
    <t>204:232968</t>
  </si>
  <si>
    <t>204:232969</t>
  </si>
  <si>
    <t>204:220</t>
  </si>
  <si>
    <t>204:520</t>
  </si>
  <si>
    <t>204:227</t>
  </si>
  <si>
    <t>204:233230</t>
  </si>
  <si>
    <t>204:511</t>
  </si>
  <si>
    <t>204:551</t>
  </si>
  <si>
    <t>204:231</t>
  </si>
  <si>
    <t>204:232909</t>
  </si>
  <si>
    <t>204:233259</t>
  </si>
  <si>
    <t>204:515</t>
  </si>
  <si>
    <t>204:573</t>
  </si>
  <si>
    <t>204:535</t>
  </si>
  <si>
    <t>300:23310</t>
  </si>
  <si>
    <t>204:571</t>
  </si>
  <si>
    <t>204:1158</t>
  </si>
  <si>
    <t>300:58990</t>
  </si>
  <si>
    <t>300:58685</t>
  </si>
  <si>
    <t>rtdc.l.rtdc.4031:itc</t>
  </si>
  <si>
    <t>rtdc.l.rtdc.4003:itc</t>
  </si>
  <si>
    <t>rtdc.l.rtdc.4063:itc</t>
  </si>
  <si>
    <t>rtdc.l.rtdc.4047:itc</t>
  </si>
  <si>
    <t>78-28</t>
  </si>
  <si>
    <t>rtdc.l.rtdc.4004:itc</t>
  </si>
  <si>
    <t>rtdc.l.rtdc.4064:itc</t>
  </si>
  <si>
    <t>THOMPSON</t>
  </si>
  <si>
    <t>LESTER</t>
  </si>
  <si>
    <t>BARRON</t>
  </si>
  <si>
    <t>PERLA</t>
  </si>
  <si>
    <t>THOMAS</t>
  </si>
  <si>
    <t>LAMAR</t>
  </si>
  <si>
    <t>NEKESHA</t>
  </si>
  <si>
    <t>rtdc.l.rtdc.4012:itc</t>
  </si>
  <si>
    <t>rtdc.l.rtdc.4011:itc</t>
  </si>
  <si>
    <t>ROMERO</t>
  </si>
  <si>
    <t>CHAD</t>
  </si>
  <si>
    <t>BIRENBAUM</t>
  </si>
  <si>
    <t>SAFIEF</t>
  </si>
  <si>
    <t>AEIMEN</t>
  </si>
  <si>
    <t>GUZMAN</t>
  </si>
  <si>
    <t>DANNY</t>
  </si>
  <si>
    <t>GONZALEZ</t>
  </si>
  <si>
    <t>ARMANDO</t>
  </si>
  <si>
    <t>GUNTHIER</t>
  </si>
  <si>
    <t>ERIC</t>
  </si>
  <si>
    <t>RESPASS</t>
  </si>
  <si>
    <t>AARON</t>
  </si>
  <si>
    <t>WEST</t>
  </si>
  <si>
    <t>BRYAN</t>
  </si>
  <si>
    <t>rtdc.l.rtdc.4056:itc</t>
  </si>
  <si>
    <t>311-28</t>
  </si>
  <si>
    <t>313-28</t>
  </si>
  <si>
    <t>204:183</t>
  </si>
  <si>
    <t>204:480</t>
  </si>
  <si>
    <t>204:233307</t>
  </si>
  <si>
    <t>204:467</t>
  </si>
  <si>
    <t>204:232980</t>
  </si>
  <si>
    <t>204:549</t>
  </si>
  <si>
    <t>204:232940</t>
  </si>
  <si>
    <t>204:229</t>
  </si>
  <si>
    <t>204:233216</t>
  </si>
  <si>
    <t>204:232911</t>
  </si>
  <si>
    <t>204:240</t>
  </si>
  <si>
    <t>204:455</t>
  </si>
  <si>
    <t>204:233315</t>
  </si>
  <si>
    <t>204:555</t>
  </si>
  <si>
    <t>204:233281</t>
  </si>
  <si>
    <t>204:232</t>
  </si>
  <si>
    <t>204:232936</t>
  </si>
  <si>
    <t>204:232959</t>
  </si>
  <si>
    <t>204:233229</t>
  </si>
  <si>
    <t>204:475</t>
  </si>
  <si>
    <t>204:233003</t>
  </si>
  <si>
    <t>204:437</t>
  </si>
  <si>
    <t>204:233257</t>
  </si>
  <si>
    <t>204:203</t>
  </si>
  <si>
    <t>204:232925</t>
  </si>
  <si>
    <t>204:575</t>
  </si>
  <si>
    <t>204:233282</t>
  </si>
  <si>
    <t>204:232947</t>
  </si>
  <si>
    <t>204:233209</t>
  </si>
  <si>
    <t>204:528</t>
  </si>
  <si>
    <t>204:233236</t>
  </si>
  <si>
    <t>204:256</t>
  </si>
  <si>
    <t>204:986</t>
  </si>
  <si>
    <t>300:58960</t>
  </si>
  <si>
    <t>300:58656</t>
  </si>
  <si>
    <t>204:978</t>
  </si>
  <si>
    <t>204:513</t>
  </si>
  <si>
    <t>204:233234</t>
  </si>
  <si>
    <t>204:701</t>
  </si>
  <si>
    <t>204:687</t>
  </si>
  <si>
    <t>300:58952</t>
  </si>
  <si>
    <t>300:58926</t>
  </si>
  <si>
    <t>300:58606</t>
  </si>
  <si>
    <t>204:971</t>
  </si>
  <si>
    <t>300:58929</t>
  </si>
  <si>
    <t>204:698</t>
  </si>
  <si>
    <t>204:997</t>
  </si>
  <si>
    <t>204:233255</t>
  </si>
  <si>
    <t>300:58647</t>
  </si>
  <si>
    <t>204:666</t>
  </si>
  <si>
    <t>204:965</t>
  </si>
  <si>
    <t>300:58931</t>
  </si>
  <si>
    <t>300:58609</t>
  </si>
  <si>
    <t>204:979</t>
  </si>
  <si>
    <t>204:232884</t>
  </si>
  <si>
    <t>300:58677</t>
  </si>
  <si>
    <t>204:233174</t>
  </si>
  <si>
    <t>204:232915</t>
  </si>
  <si>
    <t>204:553</t>
  </si>
  <si>
    <t>204:232863</t>
  </si>
  <si>
    <t>204:232994</t>
  </si>
  <si>
    <t>204:269</t>
  </si>
  <si>
    <t>204:232867</t>
  </si>
  <si>
    <t>204:223</t>
  </si>
  <si>
    <t>204:557</t>
  </si>
  <si>
    <t>204:233286</t>
  </si>
  <si>
    <t>204:232986</t>
  </si>
  <si>
    <t>204:260</t>
  </si>
  <si>
    <t>204:233195</t>
  </si>
  <si>
    <t>204:258</t>
  </si>
  <si>
    <t>204:233208</t>
  </si>
  <si>
    <t>204:570</t>
  </si>
  <si>
    <t>204:233312</t>
  </si>
  <si>
    <t>204:265</t>
  </si>
  <si>
    <t>204:460</t>
  </si>
  <si>
    <t>204:232996</t>
  </si>
  <si>
    <t>300-30</t>
  </si>
  <si>
    <t>rtdc.l.rtdc.4001:itc</t>
  </si>
  <si>
    <t>312-30</t>
  </si>
  <si>
    <t>115-30</t>
  </si>
  <si>
    <t>803-30</t>
  </si>
  <si>
    <t>121-30</t>
  </si>
  <si>
    <t>123-30</t>
  </si>
  <si>
    <t>807-30</t>
  </si>
  <si>
    <t>156-30</t>
  </si>
  <si>
    <t>821-30</t>
  </si>
  <si>
    <t>823-30</t>
  </si>
  <si>
    <t>rtdc.l.rtdc.4002:itc</t>
  </si>
  <si>
    <t>187-30</t>
  </si>
  <si>
    <t>904-30</t>
  </si>
  <si>
    <t>831-30</t>
  </si>
  <si>
    <t>75-30</t>
  </si>
  <si>
    <t>213-30</t>
  </si>
  <si>
    <t>840-30</t>
  </si>
  <si>
    <t>223-30</t>
  </si>
  <si>
    <t>845-30</t>
  </si>
  <si>
    <t>846-30</t>
  </si>
  <si>
    <t>849-30</t>
  </si>
  <si>
    <t>307-29</t>
  </si>
  <si>
    <t>rtdc.l.rtdc.4015:itc</t>
  </si>
  <si>
    <t>244-29</t>
  </si>
  <si>
    <t>HELVIE</t>
  </si>
  <si>
    <t>ADAM</t>
  </si>
  <si>
    <t>309-29</t>
  </si>
  <si>
    <t>311-29</t>
  </si>
  <si>
    <t>DUNCAN</t>
  </si>
  <si>
    <t>SHEILA</t>
  </si>
  <si>
    <t>51-30</t>
  </si>
  <si>
    <t>SPECTOR</t>
  </si>
  <si>
    <t>101-30</t>
  </si>
  <si>
    <t>52-30</t>
  </si>
  <si>
    <t>302-30</t>
  </si>
  <si>
    <t>BONDS</t>
  </si>
  <si>
    <t>REYNALDO</t>
  </si>
  <si>
    <t>103-30</t>
  </si>
  <si>
    <t>304-30</t>
  </si>
  <si>
    <t>105-30</t>
  </si>
  <si>
    <t>102-30</t>
  </si>
  <si>
    <t>107-30</t>
  </si>
  <si>
    <t>306-30</t>
  </si>
  <si>
    <t>308-30</t>
  </si>
  <si>
    <t>104-30</t>
  </si>
  <si>
    <t>310-30</t>
  </si>
  <si>
    <t>BROWN</t>
  </si>
  <si>
    <t>JACOB</t>
  </si>
  <si>
    <t>109-30</t>
  </si>
  <si>
    <t>901-30</t>
  </si>
  <si>
    <t>106-30</t>
  </si>
  <si>
    <t>111-30</t>
  </si>
  <si>
    <t>800-30</t>
  </si>
  <si>
    <t>113-30</t>
  </si>
  <si>
    <t>801-30</t>
  </si>
  <si>
    <t>110-30</t>
  </si>
  <si>
    <t>117-30</t>
  </si>
  <si>
    <t>902-30</t>
  </si>
  <si>
    <t>YANAI</t>
  </si>
  <si>
    <t>IAN</t>
  </si>
  <si>
    <t>119-30</t>
  </si>
  <si>
    <t>112-30</t>
  </si>
  <si>
    <t>802-30</t>
  </si>
  <si>
    <t>55-30</t>
  </si>
  <si>
    <t>56-30</t>
  </si>
  <si>
    <t>114-30</t>
  </si>
  <si>
    <t>118-30</t>
  </si>
  <si>
    <t>116-30</t>
  </si>
  <si>
    <t>804-30</t>
  </si>
  <si>
    <t>120-30</t>
  </si>
  <si>
    <t>805-30</t>
  </si>
  <si>
    <t>125-30</t>
  </si>
  <si>
    <t>127-30</t>
  </si>
  <si>
    <t>806-30</t>
  </si>
  <si>
    <t>122-30</t>
  </si>
  <si>
    <t>129-30</t>
  </si>
  <si>
    <t>131-30</t>
  </si>
  <si>
    <t>124-30</t>
  </si>
  <si>
    <t>808-30</t>
  </si>
  <si>
    <t>809-30</t>
  </si>
  <si>
    <t>133-30</t>
  </si>
  <si>
    <t>126-30</t>
  </si>
  <si>
    <t>128-30</t>
  </si>
  <si>
    <t>810-30</t>
  </si>
  <si>
    <t>135-30</t>
  </si>
  <si>
    <t>811-30</t>
  </si>
  <si>
    <t>130-30</t>
  </si>
  <si>
    <t>137-30</t>
  </si>
  <si>
    <t>132-30</t>
  </si>
  <si>
    <t>134-30</t>
  </si>
  <si>
    <t>139-30</t>
  </si>
  <si>
    <t>812-30</t>
  </si>
  <si>
    <t>903-30</t>
  </si>
  <si>
    <t>136-30</t>
  </si>
  <si>
    <t>141-30</t>
  </si>
  <si>
    <t>143-30</t>
  </si>
  <si>
    <t>138-30</t>
  </si>
  <si>
    <t>813-30</t>
  </si>
  <si>
    <t>145-30</t>
  </si>
  <si>
    <t>147-30</t>
  </si>
  <si>
    <t>142-30</t>
  </si>
  <si>
    <t>140-30</t>
  </si>
  <si>
    <t>814-30</t>
  </si>
  <si>
    <t>59-30</t>
  </si>
  <si>
    <t>149-30</t>
  </si>
  <si>
    <t>144-30</t>
  </si>
  <si>
    <t>151-30</t>
  </si>
  <si>
    <t>815-30</t>
  </si>
  <si>
    <t>146-30</t>
  </si>
  <si>
    <t>148-30</t>
  </si>
  <si>
    <t>153-30</t>
  </si>
  <si>
    <t>150-30</t>
  </si>
  <si>
    <t>816-30</t>
  </si>
  <si>
    <t>155-30</t>
  </si>
  <si>
    <t>157-30</t>
  </si>
  <si>
    <t>54-30</t>
  </si>
  <si>
    <t>152-30</t>
  </si>
  <si>
    <t>53-30</t>
  </si>
  <si>
    <t>ROBINSON</t>
  </si>
  <si>
    <t>KADDIBA</t>
  </si>
  <si>
    <t>159-30</t>
  </si>
  <si>
    <t>817-30</t>
  </si>
  <si>
    <t>154-30</t>
  </si>
  <si>
    <t>161-30</t>
  </si>
  <si>
    <t>163-30</t>
  </si>
  <si>
    <t>STEWART</t>
  </si>
  <si>
    <t>57-30</t>
  </si>
  <si>
    <t>818-30</t>
  </si>
  <si>
    <t>158-30</t>
  </si>
  <si>
    <t>160-30</t>
  </si>
  <si>
    <t>165-30</t>
  </si>
  <si>
    <t>167-30</t>
  </si>
  <si>
    <t>819-30</t>
  </si>
  <si>
    <t>162-30</t>
  </si>
  <si>
    <t>169-30</t>
  </si>
  <si>
    <t>164-30</t>
  </si>
  <si>
    <t>171-30</t>
  </si>
  <si>
    <t>820-30</t>
  </si>
  <si>
    <t>166-30</t>
  </si>
  <si>
    <t>168-30</t>
  </si>
  <si>
    <t>173-30</t>
  </si>
  <si>
    <t>STRICKLAND</t>
  </si>
  <si>
    <t>EVAN</t>
  </si>
  <si>
    <t>170-30</t>
  </si>
  <si>
    <t>175-30</t>
  </si>
  <si>
    <t>KILLION</t>
  </si>
  <si>
    <t>177-30</t>
  </si>
  <si>
    <t>172-30</t>
  </si>
  <si>
    <t>179-30</t>
  </si>
  <si>
    <t>822-30</t>
  </si>
  <si>
    <t>174-30</t>
  </si>
  <si>
    <t>181-30</t>
  </si>
  <si>
    <t>176-30</t>
  </si>
  <si>
    <t>183-30</t>
  </si>
  <si>
    <t>178-30</t>
  </si>
  <si>
    <t>185-30</t>
  </si>
  <si>
    <t>180-30</t>
  </si>
  <si>
    <t>182-30</t>
  </si>
  <si>
    <t>824-30</t>
  </si>
  <si>
    <t>189-30</t>
  </si>
  <si>
    <t>184-30</t>
  </si>
  <si>
    <t>191-30</t>
  </si>
  <si>
    <t>825-30</t>
  </si>
  <si>
    <t>186-30</t>
  </si>
  <si>
    <t>193-30</t>
  </si>
  <si>
    <t>188-30</t>
  </si>
  <si>
    <t>MAGEE</t>
  </si>
  <si>
    <t>KENYA</t>
  </si>
  <si>
    <t>195-30</t>
  </si>
  <si>
    <t>826-30</t>
  </si>
  <si>
    <t>190-30</t>
  </si>
  <si>
    <t>827-30</t>
  </si>
  <si>
    <t>197-30</t>
  </si>
  <si>
    <t>192-30</t>
  </si>
  <si>
    <t>199-30</t>
  </si>
  <si>
    <t>828-30</t>
  </si>
  <si>
    <t>829-30</t>
  </si>
  <si>
    <t>194-30</t>
  </si>
  <si>
    <t>196-30</t>
  </si>
  <si>
    <t>201-30</t>
  </si>
  <si>
    <t>203-30</t>
  </si>
  <si>
    <t>198-30</t>
  </si>
  <si>
    <t>830-30</t>
  </si>
  <si>
    <t>205-30</t>
  </si>
  <si>
    <t>200-30</t>
  </si>
  <si>
    <t>207-30</t>
  </si>
  <si>
    <t>833-30</t>
  </si>
  <si>
    <t>202-30</t>
  </si>
  <si>
    <t>832-30</t>
  </si>
  <si>
    <t>209-30</t>
  </si>
  <si>
    <t>77-30</t>
  </si>
  <si>
    <t>204-30</t>
  </si>
  <si>
    <t>211-30</t>
  </si>
  <si>
    <t>834-30</t>
  </si>
  <si>
    <t>206-30</t>
  </si>
  <si>
    <t>835-30</t>
  </si>
  <si>
    <t>rtdc.l.rtdc.4025:itc</t>
  </si>
  <si>
    <t>68-30</t>
  </si>
  <si>
    <t>208-30</t>
  </si>
  <si>
    <t>210-30</t>
  </si>
  <si>
    <t>215-30</t>
  </si>
  <si>
    <t>837-30</t>
  </si>
  <si>
    <t>836-30</t>
  </si>
  <si>
    <t>217-30</t>
  </si>
  <si>
    <t>212-30</t>
  </si>
  <si>
    <t>219-30</t>
  </si>
  <si>
    <t>838-30</t>
  </si>
  <si>
    <t>839-30</t>
  </si>
  <si>
    <t>214-30</t>
  </si>
  <si>
    <t>301-30</t>
  </si>
  <si>
    <t>216-30</t>
  </si>
  <si>
    <t>221-30</t>
  </si>
  <si>
    <t>906-30</t>
  </si>
  <si>
    <t>841-30</t>
  </si>
  <si>
    <t>218-30</t>
  </si>
  <si>
    <t>303-30</t>
  </si>
  <si>
    <t>220-30</t>
  </si>
  <si>
    <t>ANDREA</t>
  </si>
  <si>
    <t>222-30</t>
  </si>
  <si>
    <t>305-30</t>
  </si>
  <si>
    <t>225-30</t>
  </si>
  <si>
    <t>843-30</t>
  </si>
  <si>
    <t>227-30</t>
  </si>
  <si>
    <t>224-30</t>
  </si>
  <si>
    <t>842-30</t>
  </si>
  <si>
    <t>229-30</t>
  </si>
  <si>
    <t>226-30</t>
  </si>
  <si>
    <t>228-30</t>
  </si>
  <si>
    <t>231-30</t>
  </si>
  <si>
    <t>844-30</t>
  </si>
  <si>
    <t>230-30</t>
  </si>
  <si>
    <t>233-30</t>
  </si>
  <si>
    <t>847-30</t>
  </si>
  <si>
    <t>232-30</t>
  </si>
  <si>
    <t>235-30</t>
  </si>
  <si>
    <t>237-30</t>
  </si>
  <si>
    <t>234-30</t>
  </si>
  <si>
    <t>239-30</t>
  </si>
  <si>
    <t>236-30</t>
  </si>
  <si>
    <t>908-30</t>
  </si>
  <si>
    <t>238-30</t>
  </si>
  <si>
    <t>241-30</t>
  </si>
  <si>
    <t>243-30</t>
  </si>
  <si>
    <t>240-30</t>
  </si>
  <si>
    <t>313-30</t>
  </si>
  <si>
    <t>242-30</t>
  </si>
  <si>
    <t>307-30</t>
  </si>
  <si>
    <t>244-30</t>
  </si>
  <si>
    <t>309-30</t>
  </si>
  <si>
    <t>311-30</t>
  </si>
  <si>
    <t>precipAccumulation</t>
  </si>
  <si>
    <t>fog</t>
  </si>
  <si>
    <t>snow</t>
  </si>
  <si>
    <t>Foggy</t>
  </si>
  <si>
    <t>204:752</t>
  </si>
  <si>
    <t>204:232965</t>
  </si>
  <si>
    <t>204:167</t>
  </si>
  <si>
    <t>204:232961</t>
  </si>
  <si>
    <t>204:19125</t>
  </si>
  <si>
    <t>204:453</t>
  </si>
  <si>
    <t>204:233276</t>
  </si>
  <si>
    <t>204:232960</t>
  </si>
  <si>
    <t>204:464</t>
  </si>
  <si>
    <t>204:136</t>
  </si>
  <si>
    <t>204:233213</t>
  </si>
  <si>
    <t>204:233188</t>
  </si>
  <si>
    <t>204:232871</t>
  </si>
  <si>
    <t>204:233306</t>
  </si>
  <si>
    <t>204:232985</t>
  </si>
  <si>
    <t>204:19136</t>
  </si>
  <si>
    <t>204:233322</t>
  </si>
  <si>
    <t>204:195759</t>
  </si>
  <si>
    <t>204:134</t>
  </si>
  <si>
    <t>204:233295</t>
  </si>
  <si>
    <t>204:169</t>
  </si>
  <si>
    <t>204:233004</t>
  </si>
  <si>
    <t>204:233251</t>
  </si>
  <si>
    <t>204:232942</t>
  </si>
  <si>
    <t>204:473</t>
  </si>
  <si>
    <t>204:233300</t>
  </si>
  <si>
    <t>204:471</t>
  </si>
  <si>
    <t>204:1639</t>
  </si>
  <si>
    <t>204:233283</t>
  </si>
  <si>
    <t>204:466</t>
  </si>
  <si>
    <t>204:233311</t>
  </si>
  <si>
    <t>204:232988</t>
  </si>
  <si>
    <t>204:495</t>
  </si>
  <si>
    <t>204:233308</t>
  </si>
  <si>
    <t>204:232974</t>
  </si>
  <si>
    <t>204:431</t>
  </si>
  <si>
    <t>204:233310</t>
  </si>
  <si>
    <t>204:232991</t>
  </si>
  <si>
    <t>204:233327</t>
  </si>
  <si>
    <t>204:233013</t>
  </si>
  <si>
    <t>204:433</t>
  </si>
  <si>
    <t>204:233318</t>
  </si>
  <si>
    <t>204:225</t>
  </si>
  <si>
    <t>204:233274</t>
  </si>
  <si>
    <t>204:233266</t>
  </si>
  <si>
    <t>204:232898</t>
  </si>
  <si>
    <t>204:201</t>
  </si>
  <si>
    <t>204:233232</t>
  </si>
  <si>
    <t>204:232913</t>
  </si>
  <si>
    <t>204:267</t>
  </si>
  <si>
    <t>204:508</t>
  </si>
  <si>
    <t>204:233200</t>
  </si>
  <si>
    <t>204:232887</t>
  </si>
  <si>
    <t>204:233182</t>
  </si>
  <si>
    <t>204:233263</t>
  </si>
  <si>
    <t>204:180</t>
  </si>
  <si>
    <t>204:232905</t>
  </si>
  <si>
    <t>204:124217</t>
  </si>
  <si>
    <t>204:64172</t>
  </si>
  <si>
    <t>204:1799</t>
  </si>
  <si>
    <t>204:233178</t>
  </si>
  <si>
    <t>204:251</t>
  </si>
  <si>
    <t>204:233196</t>
  </si>
  <si>
    <t>204:252</t>
  </si>
  <si>
    <t>204:233228</t>
  </si>
  <si>
    <t>204:198</t>
  </si>
  <si>
    <t>204:232955</t>
  </si>
  <si>
    <t>204:221</t>
  </si>
  <si>
    <t>204:537</t>
  </si>
  <si>
    <t>204:232870</t>
  </si>
  <si>
    <t>204:542</t>
  </si>
  <si>
    <t>204:233203</t>
  </si>
  <si>
    <t>204:232869</t>
  </si>
  <si>
    <t>204:232883</t>
  </si>
  <si>
    <t>204:232866</t>
  </si>
  <si>
    <t>204:488</t>
  </si>
  <si>
    <t>204:233193</t>
  </si>
  <si>
    <t>204:497</t>
  </si>
  <si>
    <t>204:233187</t>
  </si>
  <si>
    <t>204:232855</t>
  </si>
  <si>
    <t>204:243</t>
  </si>
  <si>
    <t>204:233199</t>
  </si>
  <si>
    <t>204:232888</t>
  </si>
  <si>
    <t>204:294</t>
  </si>
  <si>
    <t>204:233210</t>
  </si>
  <si>
    <t>204:232889</t>
  </si>
  <si>
    <t>204:548</t>
  </si>
  <si>
    <t>204:233176</t>
  </si>
  <si>
    <t>204:539</t>
  </si>
  <si>
    <t>204:232892</t>
  </si>
  <si>
    <t>204:522</t>
  </si>
  <si>
    <t>204:233238</t>
  </si>
  <si>
    <t>204:232945</t>
  </si>
  <si>
    <t>204:185</t>
  </si>
  <si>
    <t>204:533</t>
  </si>
  <si>
    <t>204:566</t>
  </si>
  <si>
    <t>204:233246</t>
  </si>
  <si>
    <t>204:263</t>
  </si>
  <si>
    <t>204:232891</t>
  </si>
  <si>
    <t>204:207</t>
  </si>
  <si>
    <t>204:232919</t>
  </si>
  <si>
    <t>204:493</t>
  </si>
  <si>
    <t>204:233219</t>
  </si>
  <si>
    <t>204:233314</t>
  </si>
  <si>
    <t>204:486</t>
  </si>
  <si>
    <t>300:23542</t>
  </si>
  <si>
    <t>300:23521</t>
  </si>
  <si>
    <t>204:152</t>
  </si>
  <si>
    <t>204:531</t>
  </si>
  <si>
    <t>300:23295</t>
  </si>
  <si>
    <t>300:22265</t>
  </si>
  <si>
    <t>300:23316</t>
  </si>
  <si>
    <t>300:23538</t>
  </si>
  <si>
    <t>300:19844</t>
  </si>
  <si>
    <t>300:23302</t>
  </si>
  <si>
    <t>300:23629</t>
  </si>
  <si>
    <t>204:194</t>
  </si>
  <si>
    <t>300:23312</t>
  </si>
  <si>
    <t>300:22639</t>
  </si>
  <si>
    <t>204:416</t>
  </si>
  <si>
    <t>204:3581</t>
  </si>
  <si>
    <t>204:3231</t>
  </si>
  <si>
    <t>204:1184</t>
  </si>
  <si>
    <t>300:5457</t>
  </si>
  <si>
    <t>300:5292</t>
  </si>
  <si>
    <t>204:1175</t>
  </si>
  <si>
    <t>300:22145</t>
  </si>
  <si>
    <t>300:15692</t>
  </si>
  <si>
    <t>204:1496</t>
  </si>
  <si>
    <t>204:4361</t>
  </si>
  <si>
    <t>204:4045</t>
  </si>
  <si>
    <t>204:332</t>
  </si>
  <si>
    <t>300:24227</t>
  </si>
  <si>
    <t>204:3549</t>
  </si>
  <si>
    <t>204:3227</t>
  </si>
  <si>
    <t>300:23527</t>
  </si>
  <si>
    <t>204:1725</t>
  </si>
  <si>
    <t>204:1486</t>
  </si>
  <si>
    <t>204:4255</t>
  </si>
  <si>
    <t>204:3951</t>
  </si>
  <si>
    <t>204:1500</t>
  </si>
  <si>
    <t>300:23314</t>
  </si>
  <si>
    <t>204:1156</t>
  </si>
  <si>
    <t>300:23291</t>
  </si>
  <si>
    <t>300:58626</t>
  </si>
  <si>
    <t>204:769</t>
  </si>
  <si>
    <t>204:1014</t>
  </si>
  <si>
    <t>300:58619</t>
  </si>
  <si>
    <t>204:771</t>
  </si>
  <si>
    <t>300:58933</t>
  </si>
  <si>
    <t>300:58621</t>
  </si>
  <si>
    <t>204:703</t>
  </si>
  <si>
    <t>204:1051</t>
  </si>
  <si>
    <t>300:58935</t>
  </si>
  <si>
    <t>300:57248</t>
  </si>
  <si>
    <t>204:813</t>
  </si>
  <si>
    <t>300:58937</t>
  </si>
  <si>
    <t>204:715</t>
  </si>
  <si>
    <t>204:1065</t>
  </si>
  <si>
    <t>300:58916</t>
  </si>
  <si>
    <t>204:899</t>
  </si>
  <si>
    <t>204:1342</t>
  </si>
  <si>
    <t>204:668</t>
  </si>
  <si>
    <t>204:990</t>
  </si>
  <si>
    <t>300:58928</t>
  </si>
  <si>
    <t>300:58611</t>
  </si>
  <si>
    <t>204:761</t>
  </si>
  <si>
    <t>204:1021</t>
  </si>
  <si>
    <t>300:58920</t>
  </si>
  <si>
    <t>300:58615</t>
  </si>
  <si>
    <t>300:58941</t>
  </si>
  <si>
    <t>300:58624</t>
  </si>
  <si>
    <t>204:734</t>
  </si>
  <si>
    <t>204:974</t>
  </si>
  <si>
    <t>300:59018</t>
  </si>
  <si>
    <t>300:58702</t>
  </si>
  <si>
    <t>204:712</t>
  </si>
  <si>
    <t>300:58975</t>
  </si>
  <si>
    <t>204:689</t>
  </si>
  <si>
    <t>204:988</t>
  </si>
  <si>
    <t>300:58973</t>
  </si>
  <si>
    <t>204:706</t>
  </si>
  <si>
    <t>204:710</t>
  </si>
  <si>
    <t>204:1030</t>
  </si>
  <si>
    <t>300:58954</t>
  </si>
  <si>
    <t>300:58641</t>
  </si>
  <si>
    <t>204:759</t>
  </si>
  <si>
    <t>300:58965</t>
  </si>
  <si>
    <t>204:673</t>
  </si>
  <si>
    <t>204:1041</t>
  </si>
  <si>
    <t>300:58969</t>
  </si>
  <si>
    <t>300:58649</t>
  </si>
  <si>
    <t>204:745</t>
  </si>
  <si>
    <t>204:953</t>
  </si>
  <si>
    <t>204:1006</t>
  </si>
  <si>
    <t>300:58943</t>
  </si>
  <si>
    <t>300:59001</t>
  </si>
  <si>
    <t>204:1359</t>
  </si>
  <si>
    <t>300:58613</t>
  </si>
  <si>
    <t>204:958</t>
  </si>
  <si>
    <t>204:1245</t>
  </si>
  <si>
    <t>204:1254</t>
  </si>
  <si>
    <t>300:29739</t>
  </si>
  <si>
    <t>300:23661</t>
  </si>
  <si>
    <t>204:1210</t>
  </si>
  <si>
    <t>300:24246</t>
  </si>
  <si>
    <t>300:18711</t>
  </si>
  <si>
    <t>204:720</t>
  </si>
  <si>
    <t>300:22493</t>
  </si>
  <si>
    <t>300:21803</t>
  </si>
  <si>
    <t>300:58632</t>
  </si>
  <si>
    <t>300:28786</t>
  </si>
  <si>
    <t>start /low /b %USERPROFILE%\Documents\GitHub\eaglep3\Utilities\DownloadLogsFromS3.py --loco 4050 --day 2017-10-30</t>
  </si>
  <si>
    <t>start /low /b %USERPROFILE%\Documents\GitHub\eaglep3\Utilities\DownloadLogsFromS3.py --loco 4004 --day 2017-10-30</t>
  </si>
  <si>
    <t>start /low /b %USERPROFILE%\Documents\GitHub\eaglep3\Utilities\DownloadLogsFromS3.py --loco 4042 --day 2017-10-30</t>
  </si>
  <si>
    <t>start /low /b %USERPROFILE%\Documents\GitHub\eaglep3\Utilities\DownloadLogsFromS3.py --loco 4053 --day 2017-10-30</t>
  </si>
  <si>
    <t>start /low /b %USERPROFILE%\Documents\GitHub\eaglep3\Utilities\DownloadLogsFromS3.py --loco 4011 --day 2017-10-30</t>
  </si>
  <si>
    <t>start /low /b %USERPROFILE%\Documents\GitHub\eaglep3\Utilities\DownloadLogsFromS3.py --loco 4063 --day 2017-10-30</t>
  </si>
  <si>
    <t>start /low /b %USERPROFILE%\Documents\GitHub\eaglep3\Utilities\DownloadLogsFromS3.py --loco 4036 --day 2017-10-30</t>
  </si>
  <si>
    <t>start /low /b %USERPROFILE%\Documents\GitHub\eaglep3\Utilities\DownloadLogsFromS3.py --loco 4024 --day 2017-10-30</t>
  </si>
  <si>
    <t>start /low /b %USERPROFILE%\Documents\GitHub\eaglep3\Utilities\DownloadLogsFromS3.py --loco 4002 --day 2017-10-30</t>
  </si>
  <si>
    <t>start /low /b %USERPROFILE%\Documents\GitHub\eaglep3\Utilities\DownloadLogsFromS3.py --loco 4024 --day 2017-10-31</t>
  </si>
  <si>
    <t>start /low /b %USERPROFILE%\Documents\GitHub\eaglep3\Utilities\DownloadLogsFromS3.py --loco 4036 --day 2017-10-31</t>
  </si>
  <si>
    <t>start /low /b %USERPROFILE%\Documents\GitHub\eaglep3\Utilities\DownloadLogsFromS3.py --loco 4035 --day 2017-10-31</t>
  </si>
  <si>
    <t>start /low /b %USERPROFILE%\Documents\GitHub\eaglep3\Utilities\DownloadLogsFromS3.py --loco 4064 --day 2017-10-30</t>
  </si>
  <si>
    <t>Trip canceled at 38th and Blake due to ATC/propulsion fault</t>
  </si>
  <si>
    <t>Cancelled, cascade from Trip 107-30</t>
  </si>
  <si>
    <t>CCROC/crew/equipment mismatch</t>
  </si>
  <si>
    <t>Onboard enroute failure</t>
  </si>
  <si>
    <t>Reverser handle in wrong position during first init</t>
  </si>
  <si>
    <t>Observed unhealthy xing banner at Chambers due to 40th station stop</t>
  </si>
  <si>
    <t>Observed Wi-MAX data drop, no enforcement</t>
  </si>
  <si>
    <t xml:space="preserve">Restricting Aspect (Pecos 4N) </t>
  </si>
  <si>
    <t>Restricting Aspect (mid-block init)</t>
  </si>
  <si>
    <t>Full service application at 6:35:30, no PTC enforcement found</t>
  </si>
  <si>
    <t>MACDONALD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</si>
</sst>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COUNTIFS($N$13:$N$9471,"&gt;0",$AG$13:$AG$9471,I1)</f>
        <v>139</v>
      </c>
      <c r="K5" s="39"/>
      <c r="L5" s="172"/>
      <c r="M5" s="40">
        <f>AVERAGEIFS($N$13:$N$9471,$AG$13:$AG$9471,I1)</f>
        <v>37.656834532830047</v>
      </c>
      <c r="N5" s="38">
        <f t="array" ref="N5">MIN(IF($AG$13:$AG$9471=I1,IF(ISNUMBER($N$13:$N$9471),IF($N$13:$N$9471&gt;0,$N$13:$N$9471))))</f>
        <v>33.866666662506759</v>
      </c>
      <c r="O5" s="3">
        <f t="array" ref="O5">MAX(IF($AG$13:$AG$9471=I1,IF(ISNUMBER($N$13:$N$9471),IF($N$13:$N$9471&gt;0,$N$13:$N$9471))))</f>
        <v>46.483333334326744</v>
      </c>
      <c r="P5" s="2"/>
      <c r="R5" s="163" t="s">
        <v>17</v>
      </c>
      <c r="S5" s="207">
        <f>COUNTIFS($N$13:$N$9471,"&gt;0",$AG$13:$AG$9471,R1)</f>
        <v>49</v>
      </c>
      <c r="T5" s="172"/>
      <c r="U5" s="195"/>
      <c r="V5" s="211">
        <f>AVERAGEIFS($N$13:$N$9471,$AG$13:$AG$9471,R1)</f>
        <v>14.137414965697811</v>
      </c>
      <c r="W5" s="212">
        <f t="array" ref="W5">MIN(IF($AG$13:$AG$9471=R1,IF(ISNUMBER($N$13:$N$9471),IF($N$13:$N$9471&gt;0,$N$13:$N$9471))))</f>
        <v>11.666666669771075</v>
      </c>
      <c r="X5" s="200">
        <f t="array" ref="X5">MAX(IF($AG$13:$AG$9471=R1,IF(ISNUMBER($N$13:$N$9471),IF($N$13:$N$9471&gt;0,$N$13:$N$9471))))</f>
        <v>24.483333335956559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COUNT($O$13:$O$229)</f>
        <v>0</v>
      </c>
      <c r="K6" s="39"/>
      <c r="L6" s="172"/>
      <c r="M6" s="40">
        <f>IFERROR(AVERAGE($O$13:$O$229),0)</f>
        <v>0</v>
      </c>
      <c r="N6" s="38">
        <f>MIN($O$13:$O$229)</f>
        <v>0</v>
      </c>
      <c r="O6" s="3">
        <f>MAX($O$13:$O$229)</f>
        <v>0</v>
      </c>
      <c r="P6" s="2"/>
      <c r="R6" s="164" t="s">
        <v>43</v>
      </c>
      <c r="S6" s="207">
        <f>COUNT($O$13:$O$229)</f>
        <v>0</v>
      </c>
      <c r="T6" s="172"/>
      <c r="U6" s="195"/>
      <c r="V6" s="211">
        <f>IFERROR(AVERAGE($O$13:$O$229),0)</f>
        <v>0</v>
      </c>
      <c r="W6" s="212">
        <f>MIN($O$13:$O$229)</f>
        <v>0</v>
      </c>
      <c r="X6" s="200">
        <f>MAX($O$13:$O$229)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COUNTIFS($P$13:$P$9471,"&gt;0",$AG$13:$AG$9471,I1)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COUNTIFS($P$13:$P$9471,"&gt;0",$AG$13:$AG$9471,R1)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37.656834532830047</v>
      </c>
      <c r="N8" s="38">
        <f>N5</f>
        <v>33.866666662506759</v>
      </c>
      <c r="O8" s="3">
        <f>O5</f>
        <v>46.483333334326744</v>
      </c>
      <c r="P8" s="2"/>
      <c r="R8" s="163" t="s">
        <v>16</v>
      </c>
      <c r="S8" s="207">
        <f>S5</f>
        <v>49</v>
      </c>
      <c r="T8" s="172"/>
      <c r="U8" s="195"/>
      <c r="V8" s="211">
        <f>V5</f>
        <v>14.137414965697811</v>
      </c>
      <c r="W8" s="212">
        <f>W5</f>
        <v>11.666666669771075</v>
      </c>
      <c r="X8" s="200">
        <f>X5</f>
        <v>24.483333335956559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0.97202797202797198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- 2017-10-30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AVERAGE(S13:S115)</f>
        <v>0.98774509803921573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363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682</v>
      </c>
      <c r="B13" s="7">
        <v>4032</v>
      </c>
      <c r="C13" s="21" t="s">
        <v>194</v>
      </c>
      <c r="D13" s="21" t="s">
        <v>904</v>
      </c>
      <c r="E13" s="13">
        <v>43038.128807870373</v>
      </c>
      <c r="F13" s="13">
        <v>43038.135729166665</v>
      </c>
      <c r="G13" s="7">
        <v>68</v>
      </c>
      <c r="H13" s="21" t="s">
        <v>599</v>
      </c>
      <c r="I13" s="13">
        <v>43038.161921296298</v>
      </c>
      <c r="J13" s="7">
        <v>0</v>
      </c>
      <c r="K13" s="89" t="str">
        <f t="shared" ref="K13:K76" si="0">IF(ISEVEN(B13),(B13-1)&amp;"/"&amp;B13,B13&amp;"/"&amp;(B13+1))</f>
        <v>4031/4032</v>
      </c>
      <c r="L13" s="185" t="str">
        <f>VLOOKUP(A13,'Trips&amp;Operators'!$C$1:$G$99911,5,FALSE)</f>
        <v>THOMPSON LESTER</v>
      </c>
      <c r="M13" s="6">
        <f t="shared" ref="M13:M76" si="1">I13-F13</f>
        <v>2.6192129633272998E-2</v>
      </c>
      <c r="N13" s="7">
        <f t="shared" ref="N13:N18" si="2">24*60*SUM($M13:$M13)</f>
        <v>37.716666671913117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-30T02:05:29-0600',mode:absolute,to:'2017-10-30T04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4" t="str">
        <f>IF(AA13&lt;VLOOKUP(AG13,Variables!$AC$3:$AD$8,2,FALSE),"Y","N")</f>
        <v>N</v>
      </c>
      <c r="X13" s="204" t="e">
        <f t="shared" ref="X13:X53" si="6">VALUE(LEFT(AD13,4))-VALUE(LEFT(AD12,4))</f>
        <v>#VALUE!</v>
      </c>
      <c r="Y13" s="204">
        <f t="shared" ref="Y13:Y44" si="7">RIGHT(D13,LEN(D13)-4)/10000</f>
        <v>7.5200000000000003E-2</v>
      </c>
      <c r="Z13" s="204">
        <f t="shared" ref="Z13:Z44" si="8">RIGHT(H13,LEN(H13)-4)/10000</f>
        <v>23.328199999999999</v>
      </c>
      <c r="AA13" s="204">
        <f t="shared" ref="AA13:AA76" si="9">ABS(Z13-Y13)</f>
        <v>23.253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/stypes="app*4032*20171030*"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4032 --swversion DE.1.0.9.0 --startMP 204:752 --initTime 2017-10-30T03:05:29 --startdatetime 2017-10-30T03:15:27 --delay 68 --endMP 204:233282 --enddatetime 2017-10-30T03:53:10 --enforcementcount 0 &gt;&gt;%USERPROFILE%\Documents\GitHub\eaglep3-reporting\EC\2017-10-30-refined-times.txt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{"issue":{"subject":"","project_id":79,"tracker_id":40,"status_id":1,"priority_id":2,"assigned_to_id":338,"start_date":"2017-10-30","description":"","custom_fields":[{"id":1,"name":"Subdivision","value":"EC"},{"id":4,"name":"Milepost","value":"23.3282"},{"id":17,"name":"Train ID","value":"101-30"},{"id":16,"name":"Locomotive ID","value":"4032"},{"id":130,"name":"Impact","value":""},{"id":150,"name":"Time of Event (Mountain Time)","value":"03:53:10"},{"id":151,"name":"Denver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2017-10-30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-30T02:05:29-0600',mode:absolute,to:'2017-10-30T04:53:10-0600'))&amp;_a=(columns:!('Message%20ID',Summary),filters:!(),index:'emp_*',interval:auto,query:(query_string:(analyze_wildcard:!t,query:'%22rtdc.l.rtdc.4032%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690</v>
      </c>
      <c r="B14" s="7">
        <v>4031</v>
      </c>
      <c r="C14" s="21" t="s">
        <v>194</v>
      </c>
      <c r="D14" s="21" t="s">
        <v>905</v>
      </c>
      <c r="E14" s="13">
        <v>43038.172615740739</v>
      </c>
      <c r="F14" s="13">
        <v>43038.175196759257</v>
      </c>
      <c r="G14" s="7">
        <v>76</v>
      </c>
      <c r="H14" s="21" t="s">
        <v>906</v>
      </c>
      <c r="I14" s="13">
        <v>43038.203634259262</v>
      </c>
      <c r="J14" s="7">
        <v>0</v>
      </c>
      <c r="K14" s="89" t="str">
        <f t="shared" si="0"/>
        <v>4031/4032</v>
      </c>
      <c r="L14" s="185" t="str">
        <f>VLOOKUP(A14,'Trips&amp;Operators'!$C$1:$G$99911,5,FALSE)</f>
        <v>THOMPSON LESTER</v>
      </c>
      <c r="M14" s="6">
        <f t="shared" si="1"/>
        <v>2.8437500004656613E-2</v>
      </c>
      <c r="N14" s="7">
        <f t="shared" si="2"/>
        <v>40.950000006705523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-30T03:08:34-0600',mode:absolute,to:'2017-10-30T05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23.296500000000002</v>
      </c>
      <c r="Z14" s="204">
        <f t="shared" si="8"/>
        <v>1.67E-2</v>
      </c>
      <c r="AA14" s="204">
        <f t="shared" si="9"/>
        <v>23.279800000000002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4" s="74" t="str">
        <f t="shared" si="12"/>
        <v>"C:\Program Files (x86)\AstroGrep\AstroGrep.exe" /e /r /s /spath="%USERPROFILE%\AppData\Local\Temp\OnboardLogs" /stypes="app*4031*20171030*"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4031 --swversion DE.1.0.9.0 --startMP 204:232965 --initTime 2017-10-30T04:08:34 --startdatetime 2017-10-30T04:12:17 --delay 76 --endMP 204:167 --enddatetime 2017-10-30T04:53:14 --enforcementcount 0 &gt;&gt;%USERPROFILE%\Documents\GitHub\eaglep3-reporting\EC\2017-10-30-refined-times.txt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{"issue":{"subject":"","project_id":79,"tracker_id":40,"status_id":1,"priority_id":2,"assigned_to_id":338,"start_date":"2017-10-30","description":"","custom_fields":[{"id":1,"name":"Subdivision","value":"EC"},{"id":4,"name":"Milepost","value":"0.0167"},{"id":17,"name":"Train ID","value":"102-30"},{"id":16,"name":"Locomotive ID","value":"4031"},{"id":130,"name":"Impact","value":""},{"id":150,"name":"Time of Event (Mountain Time)","value":"04:53:14"},{"id":151,"name":"Denver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21">"start /low /b "&amp;dls3logs&amp;" --loco "&amp;B14&amp;" --day "&amp;TEXT(F14,"YYYY-MM-DD")</f>
        <v>start /low /b %USERPROFILE%\Documents\GitHub\eaglep3\Utilities\DownloadLogsFromS3.py --loco 4031 --day 2017-10-30</v>
      </c>
      <c r="AN14" s="15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-30T03:08:34-0600',mode:absolute,to:'2017-10-30T05:53:14-0600'))&amp;_a=(columns:!('Message%20ID',Summary),filters:!(),index:'emp_*',interval:auto,query:(query_string:(analyze_wildcard:!t,query:'%22rtdc.l.rtdc.4031%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687</v>
      </c>
      <c r="B15" s="7">
        <v>4024</v>
      </c>
      <c r="C15" s="21" t="s">
        <v>194</v>
      </c>
      <c r="D15" s="21" t="s">
        <v>512</v>
      </c>
      <c r="E15" s="13">
        <v>43038.150324074071</v>
      </c>
      <c r="F15" s="13">
        <v>43038.156423611108</v>
      </c>
      <c r="G15" s="7">
        <v>59</v>
      </c>
      <c r="H15" s="21" t="s">
        <v>638</v>
      </c>
      <c r="I15" s="13">
        <v>43038.182268518518</v>
      </c>
      <c r="J15" s="7">
        <v>0</v>
      </c>
      <c r="K15" s="89" t="str">
        <f t="shared" si="0"/>
        <v>4023/4024</v>
      </c>
      <c r="L15" s="185" t="str">
        <f>VLOOKUP(A15,'Trips&amp;Operators'!$C$1:$G$99911,5,FALSE)</f>
        <v>BONDS REYNALDO</v>
      </c>
      <c r="M15" s="6">
        <f t="shared" si="1"/>
        <v>2.584490740991896E-2</v>
      </c>
      <c r="N15" s="7">
        <f t="shared" si="2"/>
        <v>37.216666670283303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-30T02:36:28-0600',mode:absolute,to:'2017-10-30T05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4.5100000000000001E-2</v>
      </c>
      <c r="Z15" s="204">
        <f t="shared" si="8"/>
        <v>23.328600000000002</v>
      </c>
      <c r="AA15" s="204">
        <f t="shared" si="9"/>
        <v>23.2835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5" s="74" t="str">
        <f t="shared" si="12"/>
        <v>"C:\Program Files (x86)\AstroGrep\AstroGrep.exe" /e /r /s /spath="%USERPROFILE%\AppData\Local\Temp\OnboardLogs" /stypes="app*4024*20171030*"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103-30 --locoid 4024 --swversion DE.1.0.9.0 --startMP 204:451 --initTime 2017-10-30T03:36:28 --startdatetime 2017-10-30T03:45:15 --delay 59 --endMP 204:233286 --enddatetime 2017-10-30T04:22:28 --enforcementcount 0 &gt;&gt;%USERPROFILE%\Documents\GitHub\eaglep3-reporting\EC\2017-10-30-refined-times.txt</v>
      </c>
      <c r="AI1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{"issue":{"subject":"","project_id":79,"tracker_id":40,"status_id":1,"priority_id":2,"assigned_to_id":338,"start_date":"2017-10-30","description":"","custom_fields":[{"id":1,"name":"Subdivision","value":"EC"},{"id":4,"name":"Milepost","value":"23.3286"},{"id":17,"name":"Train ID","value":"103-30"},{"id":16,"name":"Locomotive ID","value":"4024"},{"id":130,"name":"Impact","value":""},{"id":150,"name":"Time of Event (Mountain Time)","value":"04:22:28"},{"id":151,"name":"Denver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4024 --day 2017-10-30</v>
      </c>
      <c r="AN1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-30T02:36:28-0600',mode:absolute,to:'2017-10-30T05:22:28-0600'))&amp;_a=(columns:!('Message%20ID',Summary),filters:!(),index:'emp_*',interval:auto,query:(query_string:(analyze_wildcard:!t,query:'%22rtdc.l.rtdc.4024%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694</v>
      </c>
      <c r="B16" s="7">
        <v>4023</v>
      </c>
      <c r="C16" s="21" t="s">
        <v>194</v>
      </c>
      <c r="D16" s="21" t="s">
        <v>907</v>
      </c>
      <c r="E16" s="13">
        <v>43038.187152777777</v>
      </c>
      <c r="F16" s="13">
        <v>43038.196203703701</v>
      </c>
      <c r="G16" s="7">
        <v>58</v>
      </c>
      <c r="H16" s="21" t="s">
        <v>505</v>
      </c>
      <c r="I16" s="13">
        <v>43038.223090277781</v>
      </c>
      <c r="J16" s="7">
        <v>0</v>
      </c>
      <c r="K16" s="89" t="str">
        <f t="shared" si="0"/>
        <v>4023/4024</v>
      </c>
      <c r="L16" s="185" t="str">
        <f>VLOOKUP(A16,'Trips&amp;Operators'!$C$1:$G$99911,5,FALSE)</f>
        <v>BONDS REYNALDO</v>
      </c>
      <c r="M16" s="6">
        <f t="shared" si="1"/>
        <v>2.6886574079981074E-2</v>
      </c>
      <c r="N16" s="7">
        <f t="shared" si="2"/>
        <v>38.716666675172746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-30T03:29:30-0600',mode:absolute,to:'2017-10-30T06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23.296099999999999</v>
      </c>
      <c r="Z16" s="204">
        <f t="shared" si="8"/>
        <v>1.5599999999999999E-2</v>
      </c>
      <c r="AA16" s="204">
        <f t="shared" si="9"/>
        <v>23.2805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16" s="74" t="str">
        <f t="shared" si="12"/>
        <v>"C:\Program Files (x86)\AstroGrep\AstroGrep.exe" /e /r /s /spath="%USERPROFILE%\AppData\Local\Temp\OnboardLogs" /stypes="app*4023*20171030*"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104-30 --locoid 4023 --swversion DE.1.0.9.0 --startMP 204:232961 --initTime 2017-10-30T04:29:30 --startdatetime 2017-10-30T04:42:32 --delay 58 --endMP 204:156 --enddatetime 2017-10-30T05:21:15 --enforcementcount 0 &gt;&gt;%USERPROFILE%\Documents\GitHub\eaglep3-reporting\EC\2017-10-30-refined-times.txt</v>
      </c>
      <c r="AI1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{"issue":{"subject":"","project_id":79,"tracker_id":40,"status_id":1,"priority_id":2,"assigned_to_id":338,"start_date":"2017-10-30","description":"","custom_fields":[{"id":1,"name":"Subdivision","value":"EC"},{"id":4,"name":"Milepost","value":"0.0156"},{"id":17,"name":"Train ID","value":"104-30"},{"id":16,"name":"Locomotive ID","value":"4023"},{"id":130,"name":"Impact","value":""},{"id":150,"name":"Time of Event (Mountain Time)","value":"05:21:15"},{"id":151,"name":"Denver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4023 --day 2017-10-30</v>
      </c>
      <c r="AN1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-30T03:29:30-0600',mode:absolute,to:'2017-10-30T06:21:15-0600'))&amp;_a=(columns:!('Message%20ID',Summary),filters:!(),index:'emp_*',interval:auto,query:(query_string:(analyze_wildcard:!t,query:'%22rtdc.l.rtdc.4023%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689</v>
      </c>
      <c r="B17" s="7">
        <v>4012</v>
      </c>
      <c r="C17" s="21" t="s">
        <v>194</v>
      </c>
      <c r="D17" s="21" t="s">
        <v>647</v>
      </c>
      <c r="E17" s="13">
        <v>43038.163599537038</v>
      </c>
      <c r="F17" s="13">
        <v>43038.177256944444</v>
      </c>
      <c r="G17" s="7">
        <v>50</v>
      </c>
      <c r="H17" s="21" t="s">
        <v>599</v>
      </c>
      <c r="I17" s="13">
        <v>43038.201342592591</v>
      </c>
      <c r="J17" s="7">
        <v>0</v>
      </c>
      <c r="K17" s="89" t="str">
        <f t="shared" si="0"/>
        <v>4011/4012</v>
      </c>
      <c r="L17" s="185" t="str">
        <f>VLOOKUP(A17,'Trips&amp;Operators'!$C$1:$G$99911,5,FALSE)</f>
        <v>YORK EDGAR</v>
      </c>
      <c r="M17" s="6">
        <f t="shared" si="1"/>
        <v>2.4085648146865424E-2</v>
      </c>
      <c r="N17" s="7">
        <f t="shared" si="2"/>
        <v>34.68333333148621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-30T02:55:35-0600',mode:absolute,to:'2017-10-30T05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4.5999999999999999E-2</v>
      </c>
      <c r="Z17" s="204">
        <f t="shared" si="8"/>
        <v>23.328199999999999</v>
      </c>
      <c r="AA17" s="204">
        <f t="shared" si="9"/>
        <v>23.2822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17" s="74" t="str">
        <f t="shared" si="12"/>
        <v>"C:\Program Files (x86)\AstroGrep\AstroGrep.exe" /e /r /s /spath="%USERPROFILE%\AppData\Local\Temp\OnboardLogs" /stypes="app*4012*20171030*"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105-30 --locoid 4012 --swversion DE.1.0.9.0 --startMP 204:460 --initTime 2017-10-30T03:55:35 --startdatetime 2017-10-30T04:15:15 --delay 50 --endMP 204:233282 --enddatetime 2017-10-30T04:49:56 --enforcementcount 0 &gt;&gt;%USERPROFILE%\Documents\GitHub\eaglep3-reporting\EC\2017-10-30-refined-times.txt</v>
      </c>
      <c r="AI17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{"issue":{"subject":"","project_id":79,"tracker_id":40,"status_id":1,"priority_id":2,"assigned_to_id":338,"start_date":"2017-10-30","description":"","custom_fields":[{"id":1,"name":"Subdivision","value":"EC"},{"id":4,"name":"Milepost","value":"23.3282"},{"id":17,"name":"Train ID","value":"105-30"},{"id":16,"name":"Locomotive ID","value":"4012"},{"id":130,"name":"Impact","value":""},{"id":150,"name":"Time of Event (Mountain Time)","value":"04:49:56"},{"id":151,"name":"Denver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4012 --day 2017-10-30</v>
      </c>
      <c r="AN17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-30T02:55:35-0600',mode:absolute,to:'2017-10-30T05:49:56-0600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700</v>
      </c>
      <c r="B18" s="7">
        <v>4011</v>
      </c>
      <c r="C18" s="21" t="s">
        <v>194</v>
      </c>
      <c r="D18" s="21" t="s">
        <v>471</v>
      </c>
      <c r="E18" s="13">
        <v>43038.202048611114</v>
      </c>
      <c r="F18" s="13">
        <v>43038.216874999998</v>
      </c>
      <c r="G18" s="7">
        <v>47</v>
      </c>
      <c r="H18" s="21" t="s">
        <v>505</v>
      </c>
      <c r="I18" s="13">
        <v>43038.242083333331</v>
      </c>
      <c r="J18" s="7">
        <v>0</v>
      </c>
      <c r="K18" s="89" t="str">
        <f t="shared" si="0"/>
        <v>4011/4012</v>
      </c>
      <c r="L18" s="185" t="str">
        <f>VLOOKUP(A18,'Trips&amp;Operators'!$C$1:$G$99911,5,FALSE)</f>
        <v>YORK EDGAR</v>
      </c>
      <c r="M18" s="6">
        <f t="shared" si="1"/>
        <v>2.5208333332557231E-2</v>
      </c>
      <c r="N18" s="7">
        <f t="shared" si="2"/>
        <v>36.299999998882413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-30T03:50:57-0600',mode:absolute,to:'2017-10-30T06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23.2973</v>
      </c>
      <c r="Z18" s="204">
        <f t="shared" si="8"/>
        <v>1.5599999999999999E-2</v>
      </c>
      <c r="AA18" s="204">
        <f t="shared" si="9"/>
        <v>23.281700000000001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18" s="74" t="str">
        <f t="shared" si="12"/>
        <v>"C:\Program Files (x86)\AstroGrep\AstroGrep.exe" /e /r /s /spath="%USERPROFILE%\AppData\Local\Temp\OnboardLogs" /stypes="app*4011*20171030*"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106-30 --locoid 4011 --swversion DE.1.0.9.0 --startMP 204:232973 --initTime 2017-10-30T04:50:57 --startdatetime 2017-10-30T05:12:18 --delay 47 --endMP 204:156 --enddatetime 2017-10-30T05:48:36 --enforcementcount 0 &gt;&gt;%USERPROFILE%\Documents\GitHub\eaglep3-reporting\EC\2017-10-30-refined-times.txt</v>
      </c>
      <c r="AI1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{"issue":{"subject":"","project_id":79,"tracker_id":40,"status_id":1,"priority_id":2,"assigned_to_id":338,"start_date":"2017-10-30","description":"","custom_fields":[{"id":1,"name":"Subdivision","value":"EC"},{"id":4,"name":"Milepost","value":"0.0156"},{"id":17,"name":"Train ID","value":"106-30"},{"id":16,"name":"Locomotive ID","value":"4011"},{"id":130,"name":"Impact","value":""},{"id":150,"name":"Time of Event (Mountain Time)","value":"05:48:36"},{"id":151,"name":"Denver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4011 --day 2017-10-30</v>
      </c>
      <c r="AN1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-30T03:50:57-0600',mode:absolute,to:'2017-10-30T06:48:36-0600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691</v>
      </c>
      <c r="B19" s="7">
        <v>4050</v>
      </c>
      <c r="C19" s="21" t="s">
        <v>194</v>
      </c>
      <c r="D19" s="21" t="s">
        <v>334</v>
      </c>
      <c r="E19" s="13">
        <v>43038.186111111114</v>
      </c>
      <c r="F19" s="13">
        <v>43038.187858796293</v>
      </c>
      <c r="G19" s="7">
        <v>87</v>
      </c>
      <c r="H19" s="21" t="s">
        <v>908</v>
      </c>
      <c r="I19" s="13">
        <v>43038.198101851849</v>
      </c>
      <c r="J19" s="7">
        <v>0</v>
      </c>
      <c r="K19" s="89" t="str">
        <f t="shared" si="0"/>
        <v>4049/4050</v>
      </c>
      <c r="L19" s="185" t="str">
        <f>VLOOKUP(A19,'Trips&amp;Operators'!$C$1:$G$99911,5,FALSE)</f>
        <v>BARRON PERLA</v>
      </c>
      <c r="M19" s="6">
        <f t="shared" si="1"/>
        <v>1.0243055556202307E-2</v>
      </c>
      <c r="N19" s="7"/>
      <c r="O19" s="7"/>
      <c r="P19" s="7">
        <f>24*60*SUM($M19:$M19)</f>
        <v>14.750000000931323</v>
      </c>
      <c r="Q19" s="22"/>
      <c r="R19" s="174" t="s">
        <v>1129</v>
      </c>
      <c r="S19" s="221">
        <f t="shared" si="3"/>
        <v>0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-30T03:28:00-0600',mode:absolute,to:'2017-10-30T05:45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4" t="str">
        <f>IF(AA19&lt;VLOOKUP(AG19,Variables!$AC$3:$AD$8,2,FALSE),"Y","N")</f>
        <v>Y</v>
      </c>
      <c r="X19" s="204">
        <f t="shared" si="6"/>
        <v>1</v>
      </c>
      <c r="Y19" s="204">
        <f t="shared" si="7"/>
        <v>4.4600000000000001E-2</v>
      </c>
      <c r="Z19" s="204">
        <f t="shared" si="8"/>
        <v>1.9125000000000001</v>
      </c>
      <c r="AA19" s="204">
        <f t="shared" si="9"/>
        <v>1.8679000000000001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9" s="74" t="str">
        <f t="shared" si="12"/>
        <v>"C:\Program Files (x86)\AstroGrep\AstroGrep.exe" /e /r /s /spath="%USERPROFILE%\AppData\Local\Temp\OnboardLogs" /stypes="app*4050*20171030*" /stext=" 10:.+((SYSTEM_STATE.+slice.+state.+changed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107-30 --locoid 4050 --swversion DE.1.0.9.0 --startMP 204:446 --initTime 2017-10-30T04:28:00 --startdatetime 2017-10-30T04:30:31 --delay 87 --endMP 204:19125 --enddatetime 2017-10-30T04:45:16 --enforcementcount 0 &gt;&gt;%USERPROFILE%\Documents\GitHub\eaglep3-reporting\EC\2017-10-30-refined-times.txt</v>
      </c>
      <c r="AI19" s="96" t="str">
        <f t="shared" si="20"/>
        <v>echo {"issue":{"subject":"Trip canceled at 38th and Blake due to ATC/propulsion fault","project_id":79,"tracker_id":40,"status_id":1,"priority_id":2,"assigned_to_id":338,"start_date":"2017-10-30","description":"","custom_fields":[{"id":1,"name":"Subdivision","value":"EC"},{"id":4,"name":"Milepost","value":"1.9125"},{"id":17,"name":"Train ID","value":"107-30"},{"id":16,"name":"Locomotive ID","value":"4050"},{"id":130,"name":"Impact","value":""},{"id":150,"name":"Time of Event (Mountain Time)","value":"04:45:16"},{"id":151,"name":"Denver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4050 --day 2017-10-30</v>
      </c>
      <c r="AN19" s="151" t="str">
        <f t="shared" si="22"/>
        <v>echo {"issue":{"subject":"Trip canceled at 38th and Blake due to ATC/propulsion fault","project_id":30,"tracker_id":4,"status_id":1,"priority_id":1,"assigned_to_id":10,"start_date":"2017-10-30","description":"","custom_fields":[{"id":30,"name":"Category","value":"Issue"},{"id":3,"name":"Functional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10:45:16"},{"id":29,"name":"Sharepoint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-30T03:28:00-0600',mode:absolute,to:'2017-10-30T05:45:16-0600'))&amp;_a=(columns:!('Message%20ID',Summary),filters:!(),index:'emp_*',interval:auto,query:(query_string:(analyze_wildcard:!t,query:'%22rtdc.l.rtdc.4050%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698</v>
      </c>
      <c r="B20" s="7">
        <v>4042</v>
      </c>
      <c r="C20" s="21" t="s">
        <v>194</v>
      </c>
      <c r="D20" s="21" t="s">
        <v>909</v>
      </c>
      <c r="E20" s="13">
        <v>43038.194247685184</v>
      </c>
      <c r="F20" s="13">
        <v>43038.198194444441</v>
      </c>
      <c r="G20" s="7">
        <v>77</v>
      </c>
      <c r="H20" s="21" t="s">
        <v>575</v>
      </c>
      <c r="I20" s="13">
        <v>43038.230474537035</v>
      </c>
      <c r="J20" s="7">
        <v>0</v>
      </c>
      <c r="K20" s="89" t="str">
        <f t="shared" si="0"/>
        <v>4041/4042</v>
      </c>
      <c r="L20" s="185" t="str">
        <f>VLOOKUP(A20,'Trips&amp;Operators'!$C$1:$G$99911,5,FALSE)</f>
        <v>MAELZER KURT</v>
      </c>
      <c r="M20" s="6">
        <f t="shared" si="1"/>
        <v>3.2280092593282461E-2</v>
      </c>
      <c r="N20" s="7">
        <f t="shared" ref="N20:N31" si="24">24*60*SUM($M20:$M20)</f>
        <v>46.483333334326744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-30T03:39:43-0600',mode:absolute,to:'2017-10-30T06:31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" s="204" t="str">
        <f>IF(AA20&lt;VLOOKUP(AG20,Variables!$AC$3:$AD$8,2,FALSE),"Y","N")</f>
        <v>N</v>
      </c>
      <c r="X20" s="204">
        <f t="shared" si="6"/>
        <v>2</v>
      </c>
      <c r="Y20" s="204">
        <f t="shared" si="7"/>
        <v>4.53E-2</v>
      </c>
      <c r="Z20" s="204">
        <f t="shared" si="8"/>
        <v>23.3307</v>
      </c>
      <c r="AA20" s="204">
        <f t="shared" si="9"/>
        <v>23.285399999999999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109</v>
      </c>
      <c r="AE20" s="77" t="str">
        <f t="shared" si="11"/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AF20" s="74" t="str">
        <f t="shared" si="12"/>
        <v>"C:\Program Files (x86)\AstroGrep\AstroGrep.exe" /e /r /s /spath="%USERPROFILE%\AppData\Local\Temp\OnboardLogs" /stypes="app*4042*20171030*" /stext=" 11:.+((SYSTEM_STATE.+slice.+state.+changed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109-30 --locoid 4042 --swversion DE.1.0.9.0 --startMP 204:453 --initTime 2017-10-30T04:39:43 --startdatetime 2017-10-30T04:45:24 --delay 77 --endMP 204:233307 --enddatetime 2017-10-30T05:31:53 --enforcementcount 0 &gt;&gt;%USERPROFILE%\Documents\GitHub\eaglep3-reporting\EC\2017-10-30-refined-times.txt</v>
      </c>
      <c r="AI2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{"issue":{"subject":"","project_id":79,"tracker_id":40,"status_id":1,"priority_id":2,"assigned_to_id":338,"start_date":"2017-10-30","description":"","custom_fields":[{"id":1,"name":"Subdivision","value":"EC"},{"id":4,"name":"Milepost","value":"23.3307"},{"id":17,"name":"Train ID","value":"109-30"},{"id":16,"name":"Locomotive ID","value":"4042"},{"id":130,"name":"Impact","value":""},{"id":150,"name":"Time of Event (Mountain Time)","value":"05:31:53"},{"id":151,"name":"Denver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4042 --day 2017-10-30</v>
      </c>
      <c r="AN2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11:31:53"},{"id":29,"name":"Sharepoint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-30T03:39:43-0600',mode:absolute,to:'2017-10-30T06:31:53-0600'))&amp;_a=(columns:!('Message%20ID',Summary),filters:!(),index:'emp_*',interval:auto,query:(query_string:(analyze_wildcard:!t,query:'%22rtdc.l.rtdc.4042%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705</v>
      </c>
      <c r="B21" s="7">
        <v>4041</v>
      </c>
      <c r="C21" s="21" t="s">
        <v>194</v>
      </c>
      <c r="D21" s="21" t="s">
        <v>639</v>
      </c>
      <c r="E21" s="13">
        <v>43038.234652777777</v>
      </c>
      <c r="F21" s="13">
        <v>43038.237662037034</v>
      </c>
      <c r="G21" s="7">
        <v>64</v>
      </c>
      <c r="H21" s="21" t="s">
        <v>357</v>
      </c>
      <c r="I21" s="13">
        <v>43038.264884259261</v>
      </c>
      <c r="J21" s="7">
        <v>0</v>
      </c>
      <c r="K21" s="89" t="str">
        <f t="shared" si="0"/>
        <v>4041/4042</v>
      </c>
      <c r="L21" s="185" t="str">
        <f>VLOOKUP(A21,'Trips&amp;Operators'!$C$1:$G$99911,5,FALSE)</f>
        <v>MAELZER KURT</v>
      </c>
      <c r="M21" s="6">
        <f t="shared" si="1"/>
        <v>2.7222222226555459E-2</v>
      </c>
      <c r="N21" s="7">
        <f t="shared" si="24"/>
        <v>39.200000006239861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-30T04:37:54-0600',mode:absolute,to:'2017-10-30T07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23.2986</v>
      </c>
      <c r="Z21" s="204">
        <f t="shared" si="8"/>
        <v>1.3899999999999999E-2</v>
      </c>
      <c r="AA21" s="204">
        <f t="shared" si="9"/>
        <v>23.284700000000001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110</v>
      </c>
      <c r="AE21" s="77" t="str">
        <f t="shared" si="11"/>
        <v>aws s3 cp s3://rtdc.mdm.uploadarchive.raw/RTDC4041/ "%USERPROFILE%\AppData\Local\Temp\OnboardLogs"\RTDC4041\2017-10-30 --exclude "*" --recursive --include "*20171030*" &amp; "%USERPROFILE%\Documents\GitHub\mrs-test-scripts\Headless Mode &amp; Sideloading\WalkAndUnGZ.bat" "%USERPROFILE%\AppData\Local\Temp\OnboardLogs"\RTDC4041\2017-10-30 &amp; aws s3 cp s3://rtdc.mdm.uploadarchive.raw/RTDC4041/ "%USERPROFILE%\AppData\Local\Temp\OnboardLogs"\RTDC4041\2017-10-31 --exclude "*" --recursive --include "*20171031*" &amp; "%USERPROFILE%\Documents\GitHub\mrs-test-scripts\Headless Mode &amp; Sideloading\WalkAndUnGZ.bat" "%USERPROFILE%\AppData\Local\Temp\OnboardLogs"\RTDC4041\2017-10-31</v>
      </c>
      <c r="AF21" s="74" t="str">
        <f t="shared" si="12"/>
        <v>"C:\Program Files (x86)\AstroGrep\AstroGrep.exe" /e /r /s /spath="%USERPROFILE%\AppData\Local\Temp\OnboardLogs" /stypes="app*4041*20171030*" /stext=" 12:.+((SYSTEM_STATE.+slice.+state.+changed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110-30 --locoid 4041 --swversion DE.1.0.9.0 --startMP 204:232986 --initTime 2017-10-30T05:37:54 --startdatetime 2017-10-30T05:42:14 --delay 64 --endMP 204:139 --enddatetime 2017-10-30T06:21:26 --enforcementcount 0 &gt;&gt;%USERPROFILE%\Documents\GitHub\eaglep3-reporting\EC\2017-10-30-refined-times.txt</v>
      </c>
      <c r="AI2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{"issue":{"subject":"","project_id":79,"tracker_id":40,"status_id":1,"priority_id":2,"assigned_to_id":338,"start_date":"2017-10-30","description":"","custom_fields":[{"id":1,"name":"Subdivision","value":"EC"},{"id":4,"name":"Milepost","value":"0.0139"},{"id":17,"name":"Train ID","value":"110-30"},{"id":16,"name":"Locomotive ID","value":"4041"},{"id":130,"name":"Impact","value":""},{"id":150,"name":"Time of Event (Mountain Time)","value":"06:21:26"},{"id":151,"name":"Denver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4041 --day 2017-10-30</v>
      </c>
      <c r="AN2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-30T04:37:54-0600',mode:absolute,to:'2017-10-30T07:21:26-0600'))&amp;_a=(columns:!('Message%20ID',Summary),filters:!(),index:'emp_*',interval:auto,query:(query_string:(analyze_wildcard:!t,query:'%22rtdc.l.rtdc.4041%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701</v>
      </c>
      <c r="B22" s="7">
        <v>4032</v>
      </c>
      <c r="C22" s="21" t="s">
        <v>194</v>
      </c>
      <c r="D22" s="21" t="s">
        <v>473</v>
      </c>
      <c r="E22" s="13">
        <v>43038.206203703703</v>
      </c>
      <c r="F22" s="13">
        <v>43038.208819444444</v>
      </c>
      <c r="G22" s="7">
        <v>62</v>
      </c>
      <c r="H22" s="21" t="s">
        <v>910</v>
      </c>
      <c r="I22" s="13">
        <v>43038.234814814816</v>
      </c>
      <c r="J22" s="7">
        <v>0</v>
      </c>
      <c r="K22" s="89" t="str">
        <f t="shared" si="0"/>
        <v>4031/4032</v>
      </c>
      <c r="L22" s="185" t="str">
        <f>VLOOKUP(A22,'Trips&amp;Operators'!$C$1:$G$99911,5,FALSE)</f>
        <v>THOMPSON LESTER</v>
      </c>
      <c r="M22" s="6">
        <f t="shared" si="1"/>
        <v>2.5995370371674653E-2</v>
      </c>
      <c r="N22" s="7">
        <f t="shared" si="24"/>
        <v>37.433333335211501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-30T03:56:56-0600',mode:absolute,to:'2017-10-30T06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4.4400000000000002E-2</v>
      </c>
      <c r="Z22" s="204">
        <f t="shared" si="8"/>
        <v>23.3276</v>
      </c>
      <c r="AA22" s="204">
        <f t="shared" si="9"/>
        <v>23.283200000000001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111</v>
      </c>
      <c r="AE22" s="77" t="str">
        <f t="shared" si="1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22" s="74" t="str">
        <f t="shared" si="12"/>
        <v>"C:\Program Files (x86)\AstroGrep\AstroGrep.exe" /e /r /s /spath="%USERPROFILE%\AppData\Local\Temp\OnboardLogs" /stypes="app*4032*20171030*" /stext=" 11:.+((SYSTEM_STATE.+slice.+state.+changed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111-30 --locoid 4032 --swversion DE.1.0.9.0 --startMP 204:444 --initTime 2017-10-30T04:56:56 --startdatetime 2017-10-30T05:00:42 --delay 62 --endMP 204:233276 --enddatetime 2017-10-30T05:38:08 --enforcementcount 0 &gt;&gt;%USERPROFILE%\Documents\GitHub\eaglep3-reporting\EC\2017-10-30-refined-times.txt</v>
      </c>
      <c r="AI22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{"issue":{"subject":"","project_id":79,"tracker_id":40,"status_id":1,"priority_id":2,"assigned_to_id":338,"start_date":"2017-10-30","description":"","custom_fields":[{"id":1,"name":"Subdivision","value":"EC"},{"id":4,"name":"Milepost","value":"23.3276"},{"id":17,"name":"Train ID","value":"111-30"},{"id":16,"name":"Locomotive ID","value":"4032"},{"id":130,"name":"Impact","value":""},{"id":150,"name":"Time of Event (Mountain Time)","value":"05:38:08"},{"id":151,"name":"Denver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4032 --day 2017-10-30</v>
      </c>
      <c r="AN22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-30T03:56:56-0600',mode:absolute,to:'2017-10-30T06:38:08-0600'))&amp;_a=(columns:!('Message%20ID',Summary),filters:!(),index:'emp_*',interval:auto,query:(query_string:(analyze_wildcard:!t,query:'%22rtdc.l.rtdc.4032%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711</v>
      </c>
      <c r="B23" s="7">
        <v>4031</v>
      </c>
      <c r="C23" s="21" t="s">
        <v>194</v>
      </c>
      <c r="D23" s="21" t="s">
        <v>911</v>
      </c>
      <c r="E23" s="13">
        <v>43038.244837962964</v>
      </c>
      <c r="F23" s="13">
        <v>43038.248159722221</v>
      </c>
      <c r="G23" s="7">
        <v>56</v>
      </c>
      <c r="H23" s="21" t="s">
        <v>468</v>
      </c>
      <c r="I23" s="13">
        <v>43038.276423611111</v>
      </c>
      <c r="J23" s="7">
        <v>0</v>
      </c>
      <c r="K23" s="89" t="str">
        <f t="shared" si="0"/>
        <v>4031/4032</v>
      </c>
      <c r="L23" s="185" t="str">
        <f>VLOOKUP(A23,'Trips&amp;Operators'!$C$1:$G$99911,5,FALSE)</f>
        <v>THOMPSON LESTER</v>
      </c>
      <c r="M23" s="6">
        <f t="shared" si="1"/>
        <v>2.8263888889341615E-2</v>
      </c>
      <c r="N23" s="7">
        <f t="shared" si="24"/>
        <v>40.700000000651926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-30T04:52:34-0600',mode:absolute,to:'2017-10-30T07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23.295999999999999</v>
      </c>
      <c r="Z23" s="204">
        <f t="shared" si="8"/>
        <v>1.6E-2</v>
      </c>
      <c r="AA23" s="204">
        <f t="shared" si="9"/>
        <v>23.28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112</v>
      </c>
      <c r="AE23" s="77" t="str">
        <f t="shared" si="1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23" s="74" t="str">
        <f t="shared" si="12"/>
        <v>"C:\Program Files (x86)\AstroGrep\AstroGrep.exe" /e /r /s /spath="%USERPROFILE%\AppData\Local\Temp\OnboardLogs" /stypes="app*4031*20171030*"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112-30 --locoid 4031 --swversion DE.1.0.9.0 --startMP 204:232960 --initTime 2017-10-30T05:52:34 --startdatetime 2017-10-30T05:57:21 --delay 56 --endMP 204:160 --enddatetime 2017-10-30T06:38:03 --enforcementcount 0 &gt;&gt;%USERPROFILE%\Documents\GitHub\eaglep3-reporting\EC\2017-10-30-refined-times.txt</v>
      </c>
      <c r="AI23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{"issue":{"subject":"","project_id":79,"tracker_id":40,"status_id":1,"priority_id":2,"assigned_to_id":338,"start_date":"2017-10-30","description":"","custom_fields":[{"id":1,"name":"Subdivision","value":"EC"},{"id":4,"name":"Milepost","value":"0.016"},{"id":17,"name":"Train ID","value":"112-30"},{"id":16,"name":"Locomotive ID","value":"4031"},{"id":130,"name":"Impact","value":""},{"id":150,"name":"Time of Event (Mountain Time)","value":"06:38:03"},{"id":151,"name":"Denver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4031 --day 2017-10-30</v>
      </c>
      <c r="AN23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-30T04:52:34-0600',mode:absolute,to:'2017-10-30T07:38:03-0600'))&amp;_a=(columns:!('Message%20ID',Summary),filters:!(),index:'emp_*',interval:auto,query:(query_string:(analyze_wildcard:!t,query:'%22rtdc.l.rtdc.4031%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703</v>
      </c>
      <c r="B24" s="7">
        <v>4054</v>
      </c>
      <c r="C24" s="21" t="s">
        <v>194</v>
      </c>
      <c r="D24" s="21" t="s">
        <v>912</v>
      </c>
      <c r="E24" s="13">
        <v>43038.209444444445</v>
      </c>
      <c r="F24" s="13">
        <v>43038.218888888892</v>
      </c>
      <c r="G24" s="7">
        <v>63</v>
      </c>
      <c r="H24" s="21" t="s">
        <v>575</v>
      </c>
      <c r="I24" s="13">
        <v>43038.243993055556</v>
      </c>
      <c r="J24" s="7">
        <v>0</v>
      </c>
      <c r="K24" s="89" t="str">
        <f t="shared" si="0"/>
        <v>4053/4054</v>
      </c>
      <c r="L24" s="185" t="str">
        <f>VLOOKUP(A24,'Trips&amp;Operators'!$C$1:$G$99911,5,FALSE)</f>
        <v>BROWN JACOB</v>
      </c>
      <c r="M24" s="6">
        <f t="shared" si="1"/>
        <v>2.5104166663368233E-2</v>
      </c>
      <c r="N24" s="7">
        <f t="shared" si="24"/>
        <v>36.149999995250255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-30T04:01:36-0600',mode:absolute,to:'2017-10-30T06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4.6399999999999997E-2</v>
      </c>
      <c r="Z24" s="204">
        <f t="shared" si="8"/>
        <v>23.3307</v>
      </c>
      <c r="AA24" s="204">
        <f t="shared" si="9"/>
        <v>23.284300000000002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113</v>
      </c>
      <c r="AE24" s="77" t="str">
        <f t="shared" si="1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24" s="74" t="str">
        <f t="shared" si="12"/>
        <v>"C:\Program Files (x86)\AstroGrep\AstroGrep.exe" /e /r /s /spath="%USERPROFILE%\AppData\Local\Temp\OnboardLogs" /stypes="app*4054*20171030*" /stext=" 11:.+((SYSTEM_STATE.+slice.+state.+changed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113-30 --locoid 4054 --swversion DE.1.0.9.0 --startMP 204:464 --initTime 2017-10-30T05:01:36 --startdatetime 2017-10-30T05:15:12 --delay 63 --endMP 204:233307 --enddatetime 2017-10-30T05:51:21 --enforcementcount 0 &gt;&gt;%USERPROFILE%\Documents\GitHub\eaglep3-reporting\EC\2017-10-30-refined-times.txt</v>
      </c>
      <c r="AI24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{"issue":{"subject":"","project_id":79,"tracker_id":40,"status_id":1,"priority_id":2,"assigned_to_id":338,"start_date":"2017-10-30","description":"","custom_fields":[{"id":1,"name":"Subdivision","value":"EC"},{"id":4,"name":"Milepost","value":"23.3307"},{"id":17,"name":"Train ID","value":"113-30"},{"id":16,"name":"Locomotive ID","value":"4054"},{"id":130,"name":"Impact","value":""},{"id":150,"name":"Time of Event (Mountain Time)","value":"05:51:21"},{"id":151,"name":"Denver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4054 --day 2017-10-30</v>
      </c>
      <c r="AN24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-30T04:01:36-0600',mode:absolute,to:'2017-10-30T06:51:21-0600'))&amp;_a=(columns:!('Message%20ID',Summary),filters:!(),index:'emp_*',interval:auto,query:(query_string:(analyze_wildcard:!t,query:'%22rtdc.l.rtdc.4054%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715</v>
      </c>
      <c r="B25" s="7">
        <v>4053</v>
      </c>
      <c r="C25" s="21" t="s">
        <v>194</v>
      </c>
      <c r="D25" s="21" t="s">
        <v>633</v>
      </c>
      <c r="E25" s="13">
        <v>43038.256516203706</v>
      </c>
      <c r="F25" s="13">
        <v>43038.258460648147</v>
      </c>
      <c r="G25" s="7">
        <v>49</v>
      </c>
      <c r="H25" s="21" t="s">
        <v>913</v>
      </c>
      <c r="I25" s="13">
        <v>43038.285162037035</v>
      </c>
      <c r="J25" s="7">
        <v>0</v>
      </c>
      <c r="K25" s="89" t="str">
        <f t="shared" si="0"/>
        <v>4053/4054</v>
      </c>
      <c r="L25" s="185" t="str">
        <f>VLOOKUP(A25,'Trips&amp;Operators'!$C$1:$G$99911,5,FALSE)</f>
        <v>BROWN JACOB</v>
      </c>
      <c r="M25" s="6">
        <f t="shared" si="1"/>
        <v>2.6701388887886424E-2</v>
      </c>
      <c r="N25" s="7">
        <f t="shared" si="24"/>
        <v>38.44999999855645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-30T05:09:23-0600',mode:absolute,to:'2017-10-30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23.299399999999999</v>
      </c>
      <c r="Z25" s="204">
        <f t="shared" si="8"/>
        <v>1.3599999999999999E-2</v>
      </c>
      <c r="AA25" s="204">
        <f t="shared" si="9"/>
        <v>23.285799999999998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114</v>
      </c>
      <c r="AE25" s="77" t="str">
        <f t="shared" si="1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25" s="74" t="str">
        <f t="shared" si="12"/>
        <v>"C:\Program Files (x86)\AstroGrep\AstroGrep.exe" /e /r /s /spath="%USERPROFILE%\AppData\Local\Temp\OnboardLogs" /stypes="app*4053*20171030*"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114-30 --locoid 4053 --swversion DE.1.0.9.0 --startMP 204:232994 --initTime 2017-10-30T06:09:23 --startdatetime 2017-10-30T06:12:11 --delay 49 --endMP 204:136 --enddatetime 2017-10-30T06:50:38 --enforcementcount 0 &gt;&gt;%USERPROFILE%\Documents\GitHub\eaglep3-reporting\EC\2017-10-30-refined-times.txt</v>
      </c>
      <c r="AI2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{"issue":{"subject":"","project_id":79,"tracker_id":40,"status_id":1,"priority_id":2,"assigned_to_id":338,"start_date":"2017-10-30","description":"","custom_fields":[{"id":1,"name":"Subdivision","value":"EC"},{"id":4,"name":"Milepost","value":"0.0136"},{"id":17,"name":"Train ID","value":"114-30"},{"id":16,"name":"Locomotive ID","value":"4053"},{"id":130,"name":"Impact","value":""},{"id":150,"name":"Time of Event (Mountain Time)","value":"06:50:38"},{"id":151,"name":"Denver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4053 --day 2017-10-30</v>
      </c>
      <c r="AN2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-30T05:09:23-0600',mode:absolute,to:'2017-10-30T07:50:38-0600'))&amp;_a=(columns:!('Message%20ID',Summary),filters:!(),index:'emp_*',interval:auto,query:(query_string:(analyze_wildcard:!t,query:'%22rtdc.l.rtdc.4053%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652</v>
      </c>
      <c r="B26" s="7">
        <v>4024</v>
      </c>
      <c r="C26" s="21" t="s">
        <v>194</v>
      </c>
      <c r="D26" s="21" t="s">
        <v>584</v>
      </c>
      <c r="E26" s="13">
        <v>43038.225034722222</v>
      </c>
      <c r="F26" s="13">
        <v>43038.229571759257</v>
      </c>
      <c r="G26" s="7">
        <v>54</v>
      </c>
      <c r="H26" s="21" t="s">
        <v>914</v>
      </c>
      <c r="I26" s="13">
        <v>43038.254918981482</v>
      </c>
      <c r="J26" s="7">
        <v>0</v>
      </c>
      <c r="K26" s="89" t="str">
        <f t="shared" si="0"/>
        <v>4023/4024</v>
      </c>
      <c r="L26" s="185" t="str">
        <f>VLOOKUP(A26,'Trips&amp;Operators'!$C$1:$G$99911,5,FALSE)</f>
        <v>BONDS REYNALDO</v>
      </c>
      <c r="M26" s="6">
        <f t="shared" si="1"/>
        <v>2.5347222224809229E-2</v>
      </c>
      <c r="N26" s="7">
        <f t="shared" si="24"/>
        <v>36.50000000372529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-30T04:24:03-0600',mode:absolute,to:'2017-10-30T07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4.5499999999999999E-2</v>
      </c>
      <c r="Z26" s="204">
        <f t="shared" si="8"/>
        <v>23.321300000000001</v>
      </c>
      <c r="AA26" s="204">
        <f t="shared" si="9"/>
        <v>23.2758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115</v>
      </c>
      <c r="AE26" s="77" t="str">
        <f t="shared" si="1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26" s="74" t="str">
        <f t="shared" si="12"/>
        <v>"C:\Program Files (x86)\AstroGrep\AstroGrep.exe" /e /r /s /spath="%USERPROFILE%\AppData\Local\Temp\OnboardLogs" /stypes="app*4024*20171030*"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115-30 --locoid 4024 --swversion DE.1.0.9.0 --startMP 204:455 --initTime 2017-10-30T05:24:03 --startdatetime 2017-10-30T05:30:35 --delay 54 --endMP 204:233213 --enddatetime 2017-10-30T06:07:05 --enforcementcount 0 &gt;&gt;%USERPROFILE%\Documents\GitHub\eaglep3-reporting\EC\2017-10-30-refined-times.txt</v>
      </c>
      <c r="AI2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{"issue":{"subject":"","project_id":79,"tracker_id":40,"status_id":1,"priority_id":2,"assigned_to_id":338,"start_date":"2017-10-30","description":"","custom_fields":[{"id":1,"name":"Subdivision","value":"EC"},{"id":4,"name":"Milepost","value":"23.3213"},{"id":17,"name":"Train ID","value":"115-30"},{"id":16,"name":"Locomotive ID","value":"4024"},{"id":130,"name":"Impact","value":""},{"id":150,"name":"Time of Event (Mountain Time)","value":"06:07:05"},{"id":151,"name":"Denver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4024 --day 2017-10-30</v>
      </c>
      <c r="AN2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-30T04:24:03-0600',mode:absolute,to:'2017-10-30T07:07:05-0600'))&amp;_a=(columns:!('Message%20ID',Summary),filters:!(),index:'emp_*',interval:auto,query:(query_string:(analyze_wildcard:!t,query:'%22rtdc.l.rtdc.4024%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717</v>
      </c>
      <c r="B27" s="7">
        <v>4023</v>
      </c>
      <c r="C27" s="21" t="s">
        <v>194</v>
      </c>
      <c r="D27" s="21" t="s">
        <v>514</v>
      </c>
      <c r="E27" s="13">
        <v>43038.265370370369</v>
      </c>
      <c r="F27" s="13">
        <v>43038.268993055557</v>
      </c>
      <c r="G27" s="7">
        <v>71</v>
      </c>
      <c r="H27" s="21" t="s">
        <v>337</v>
      </c>
      <c r="I27" s="13">
        <v>43038.296226851853</v>
      </c>
      <c r="J27" s="7">
        <v>0</v>
      </c>
      <c r="K27" s="89" t="str">
        <f t="shared" si="0"/>
        <v>4023/4024</v>
      </c>
      <c r="L27" s="185" t="str">
        <f>VLOOKUP(A27,'Trips&amp;Operators'!$C$1:$G$99911,5,FALSE)</f>
        <v>BONDS REYNALDO</v>
      </c>
      <c r="M27" s="6">
        <f t="shared" si="1"/>
        <v>2.7233796296059154E-2</v>
      </c>
      <c r="N27" s="7">
        <f t="shared" si="24"/>
        <v>39.216666666325182</v>
      </c>
      <c r="O27" s="7"/>
      <c r="P27" s="7"/>
      <c r="Q27" s="22"/>
      <c r="R27" s="174" t="s">
        <v>1138</v>
      </c>
      <c r="S27" s="221">
        <f t="shared" si="3"/>
        <v>1</v>
      </c>
      <c r="T27" s="174" t="str">
        <f t="shared" si="4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-30T05:22:08-0600',mode:absolute,to:'2017-10-30T08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23.29</v>
      </c>
      <c r="Z27" s="204">
        <f t="shared" si="8"/>
        <v>1.43E-2</v>
      </c>
      <c r="AA27" s="204">
        <f t="shared" si="9"/>
        <v>23.275700000000001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116</v>
      </c>
      <c r="AE27" s="77" t="str">
        <f t="shared" si="1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27" s="74" t="str">
        <f t="shared" si="12"/>
        <v>"C:\Program Files (x86)\AstroGrep\AstroGrep.exe" /e /r /s /spath="%USERPROFILE%\AppData\Local\Temp\OnboardLogs" /stypes="app*4023*20171030*" /stext=" 13:.+((SYSTEM_STATE.+slice.+state.+changed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116-30 --locoid 4023 --swversion DE.1.0.9.0 --startMP 204:232900 --initTime 2017-10-30T06:22:08 --startdatetime 2017-10-30T06:27:21 --delay 71 --endMP 204:143 --enddatetime 2017-10-30T07:06:34 --enforcementcount 0 &gt;&gt;%USERPROFILE%\Documents\GitHub\eaglep3-reporting\EC\2017-10-30-refined-times.txt</v>
      </c>
      <c r="AI27" s="96" t="str">
        <f t="shared" si="20"/>
        <v>echo {"issue":{"subject":"Full service application at 6:35:30, no PTC enforcement found","project_id":79,"tracker_id":40,"status_id":1,"priority_id":2,"assigned_to_id":338,"start_date":"2017-10-30","description":"","custom_fields":[{"id":1,"name":"Subdivision","value":"EC"},{"id":4,"name":"Milepost","value":"0.0143"},{"id":17,"name":"Train ID","value":"116-30"},{"id":16,"name":"Locomotive ID","value":"4023"},{"id":130,"name":"Impact","value":""},{"id":150,"name":"Time of Event (Mountain Time)","value":"07:06:34"},{"id":151,"name":"Denver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4023 --day 2017-10-30</v>
      </c>
      <c r="AN27" s="151" t="str">
        <f t="shared" si="22"/>
        <v>echo {"issue":{"subject":"Full service application at 6:35:30, no PTC enforcement found","project_id":30,"tracker_id":4,"status_id":1,"priority_id":1,"assigned_to_id":10,"start_date":"2017-10-30","description":"","custom_fields":[{"id":30,"name":"Category","value":"Issue"},{"id":3,"name":"Functional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-30T05:22:08-0600',mode:absolute,to:'2017-10-30T08:06:34-0600'))&amp;_a=(columns:!('Message%20ID',Summary),filters:!(),index:'emp_*',interval:auto,query:(query_string:(analyze_wildcard:!t,query:'%22rtdc.l.rtdc.4023%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706</v>
      </c>
      <c r="B28" s="7">
        <v>4002</v>
      </c>
      <c r="C28" s="21" t="s">
        <v>194</v>
      </c>
      <c r="D28" s="21" t="s">
        <v>519</v>
      </c>
      <c r="E28" s="13">
        <v>43038.236215277779</v>
      </c>
      <c r="F28" s="13">
        <v>43038.239884259259</v>
      </c>
      <c r="G28" s="7">
        <v>70</v>
      </c>
      <c r="H28" s="21" t="s">
        <v>915</v>
      </c>
      <c r="I28" s="13">
        <v>43038.263402777775</v>
      </c>
      <c r="J28" s="7">
        <v>0</v>
      </c>
      <c r="K28" s="89" t="str">
        <f t="shared" si="0"/>
        <v>4001/4002</v>
      </c>
      <c r="L28" s="185" t="str">
        <f>VLOOKUP(A28,'Trips&amp;Operators'!$C$1:$G$99911,5,FALSE)</f>
        <v>BIRENBAUM THOMAS</v>
      </c>
      <c r="M28" s="6">
        <f t="shared" si="1"/>
        <v>2.3518518515629694E-2</v>
      </c>
      <c r="N28" s="7">
        <f t="shared" si="24"/>
        <v>33.866666662506759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-30T04:40:09-0600',mode:absolute,to:'2017-10-30T07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4.7699999999999999E-2</v>
      </c>
      <c r="Z28" s="204">
        <f t="shared" si="8"/>
        <v>23.3188</v>
      </c>
      <c r="AA28" s="204">
        <f t="shared" si="9"/>
        <v>23.271100000000001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117</v>
      </c>
      <c r="AE28" s="77" t="str">
        <f t="shared" si="1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28" s="74" t="str">
        <f t="shared" si="12"/>
        <v>"C:\Program Files (x86)\AstroGrep\AstroGrep.exe" /e /r /s /spath="%USERPROFILE%\AppData\Local\Temp\OnboardLogs" /stypes="app*4002*20171030*" /stext=" 12:.+((SYSTEM_STATE.+slice.+state.+changed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117-30 --locoid 4002 --swversion DE.1.0.9.0 --startMP 204:477 --initTime 2017-10-30T05:40:09 --startdatetime 2017-10-30T05:45:26 --delay 70 --endMP 204:233188 --enddatetime 2017-10-30T06:19:18 --enforcementcount 0 &gt;&gt;%USERPROFILE%\Documents\GitHub\eaglep3-reporting\EC\2017-10-30-refined-times.txt</v>
      </c>
      <c r="AI2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{"issue":{"subject":"","project_id":79,"tracker_id":40,"status_id":1,"priority_id":2,"assigned_to_id":338,"start_date":"2017-10-30","description":"","custom_fields":[{"id":1,"name":"Subdivision","value":"EC"},{"id":4,"name":"Milepost","value":"23.3188"},{"id":17,"name":"Train ID","value":"117-30"},{"id":16,"name":"Locomotive ID","value":"4002"},{"id":130,"name":"Impact","value":""},{"id":150,"name":"Time of Event (Mountain Time)","value":"06:19:18"},{"id":151,"name":"Denver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4002 --day 2017-10-30</v>
      </c>
      <c r="AN2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-30T04:40:09-0600',mode:absolute,to:'2017-10-30T07:19:18-0600'))&amp;_a=(columns:!('Message%20ID',Summary),filters:!(),index:'emp_*',interval:auto,query:(query_string:(analyze_wildcard:!t,query:'%22rtdc.l.rtdc.4002%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716</v>
      </c>
      <c r="B29" s="7">
        <v>4001</v>
      </c>
      <c r="C29" s="21" t="s">
        <v>194</v>
      </c>
      <c r="D29" s="21" t="s">
        <v>916</v>
      </c>
      <c r="E29" s="13">
        <v>43038.264872685184</v>
      </c>
      <c r="F29" s="13">
        <v>43038.279305555552</v>
      </c>
      <c r="G29" s="7">
        <v>63</v>
      </c>
      <c r="H29" s="21" t="s">
        <v>352</v>
      </c>
      <c r="I29" s="13">
        <v>43038.305868055555</v>
      </c>
      <c r="J29" s="7">
        <v>0</v>
      </c>
      <c r="K29" s="89" t="str">
        <f t="shared" si="0"/>
        <v>4001/4002</v>
      </c>
      <c r="L29" s="185" t="str">
        <f>VLOOKUP(A29,'Trips&amp;Operators'!$C$1:$G$99911,5,FALSE)</f>
        <v>BIRENBAUM THOMAS</v>
      </c>
      <c r="M29" s="6">
        <f t="shared" si="1"/>
        <v>2.6562500002910383E-2</v>
      </c>
      <c r="N29" s="7">
        <f t="shared" si="24"/>
        <v>38.250000004190952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-30T05:21:25-0600',mode:absolute,to:'2017-10-30T08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23.287099999999999</v>
      </c>
      <c r="Z29" s="204">
        <f t="shared" si="8"/>
        <v>1.4500000000000001E-2</v>
      </c>
      <c r="AA29" s="204">
        <f t="shared" si="9"/>
        <v>23.272599999999997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118</v>
      </c>
      <c r="AE29" s="77" t="str">
        <f t="shared" si="1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29" s="74" t="str">
        <f t="shared" si="12"/>
        <v>"C:\Program Files (x86)\AstroGrep\AstroGrep.exe" /e /r /s /spath="%USERPROFILE%\AppData\Local\Temp\OnboardLogs" /stypes="app*4001*20171030*"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118-30 --locoid 4001 --swversion DE.1.0.9.0 --startMP 204:232871 --initTime 2017-10-30T06:21:25 --startdatetime 2017-10-30T06:42:12 --delay 63 --endMP 204:145 --enddatetime 2017-10-30T07:20:27 --enforcementcount 0 &gt;&gt;%USERPROFILE%\Documents\GitHub\eaglep3-reporting\EC\2017-10-30-refined-times.txt</v>
      </c>
      <c r="AI29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{"issue":{"subject":"","project_id":79,"tracker_id":40,"status_id":1,"priority_id":2,"assigned_to_id":338,"start_date":"2017-10-30","description":"","custom_fields":[{"id":1,"name":"Subdivision","value":"EC"},{"id":4,"name":"Milepost","value":"0.0145"},{"id":17,"name":"Train ID","value":"118-30"},{"id":16,"name":"Locomotive ID","value":"4001"},{"id":130,"name":"Impact","value":""},{"id":150,"name":"Time of Event (Mountain Time)","value":"07:20:27"},{"id":151,"name":"Denver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4001 --day 2017-10-30</v>
      </c>
      <c r="AN29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-30T05:21:25-0600',mode:absolute,to:'2017-10-30T08:20:27-0600'))&amp;_a=(columns:!('Message%20ID',Summary),filters:!(),index:'emp_*',interval:auto,query:(query_string:(analyze_wildcard:!t,query:'%22rtdc.l.rtdc.4001%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710</v>
      </c>
      <c r="B30" s="7">
        <v>4012</v>
      </c>
      <c r="C30" s="21" t="s">
        <v>194</v>
      </c>
      <c r="D30" s="21" t="s">
        <v>465</v>
      </c>
      <c r="E30" s="13">
        <v>43038.24287037037</v>
      </c>
      <c r="F30" s="13">
        <v>43038.250162037039</v>
      </c>
      <c r="G30" s="7">
        <v>42</v>
      </c>
      <c r="H30" s="21" t="s">
        <v>917</v>
      </c>
      <c r="I30" s="13">
        <v>43038.274826388886</v>
      </c>
      <c r="J30" s="7">
        <v>0</v>
      </c>
      <c r="K30" s="89" t="str">
        <f t="shared" si="0"/>
        <v>4011/4012</v>
      </c>
      <c r="L30" s="185" t="str">
        <f>VLOOKUP(A30,'Trips&amp;Operators'!$C$1:$G$99911,5,FALSE)</f>
        <v>YORK EDGAR</v>
      </c>
      <c r="M30" s="6">
        <f t="shared" si="1"/>
        <v>2.4664351847604848E-2</v>
      </c>
      <c r="N30" s="7">
        <f t="shared" si="24"/>
        <v>35.516666660550982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-30T04:49:44-0600',mode:absolute,to:'2017-10-30T07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4.4900000000000002E-2</v>
      </c>
      <c r="Z30" s="204">
        <f t="shared" si="8"/>
        <v>23.3306</v>
      </c>
      <c r="AA30" s="204">
        <f t="shared" si="9"/>
        <v>23.285700000000002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119</v>
      </c>
      <c r="AE30" s="77" t="str">
        <f t="shared" si="1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30" s="74" t="str">
        <f t="shared" si="12"/>
        <v>"C:\Program Files (x86)\AstroGrep\AstroGrep.exe" /e /r /s /spath="%USERPROFILE%\AppData\Local\Temp\OnboardLogs" /stypes="app*4012*20171030*" /stext=" 12:.+((SYSTEM_STATE.+slice.+state.+changed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119-30 --locoid 4012 --swversion DE.1.0.9.0 --startMP 204:449 --initTime 2017-10-30T05:49:44 --startdatetime 2017-10-30T06:00:14 --delay 42 --endMP 204:233306 --enddatetime 2017-10-30T06:35:45 --enforcementcount 0 &gt;&gt;%USERPROFILE%\Documents\GitHub\eaglep3-reporting\EC\2017-10-30-refined-times.txt</v>
      </c>
      <c r="AI3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{"issue":{"subject":"","project_id":79,"tracker_id":40,"status_id":1,"priority_id":2,"assigned_to_id":338,"start_date":"2017-10-30","description":"","custom_fields":[{"id":1,"name":"Subdivision","value":"EC"},{"id":4,"name":"Milepost","value":"23.3306"},{"id":17,"name":"Train ID","value":"119-30"},{"id":16,"name":"Locomotive ID","value":"4012"},{"id":130,"name":"Impact","value":""},{"id":150,"name":"Time of Event (Mountain Time)","value":"06:35:45"},{"id":151,"name":"Denver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4012 --day 2017-10-30</v>
      </c>
      <c r="AN3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-30T04:49:44-0600',mode:absolute,to:'2017-10-30T07:35:45-0600'))&amp;_a=(columns:!('Message%20ID',Summary),filters:!(),index:'emp_*',interval:auto,query:(query_string:(analyze_wildcard:!t,query:'%22rtdc.l.rtdc.4012%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719</v>
      </c>
      <c r="B31" s="7">
        <v>4011</v>
      </c>
      <c r="C31" s="21" t="s">
        <v>194</v>
      </c>
      <c r="D31" s="21" t="s">
        <v>918</v>
      </c>
      <c r="E31" s="13">
        <v>43038.275810185187</v>
      </c>
      <c r="F31" s="13">
        <v>43038.292523148149</v>
      </c>
      <c r="G31" s="7">
        <v>58</v>
      </c>
      <c r="H31" s="21" t="s">
        <v>358</v>
      </c>
      <c r="I31" s="13">
        <v>43038.317476851851</v>
      </c>
      <c r="J31" s="7">
        <v>0</v>
      </c>
      <c r="K31" s="89" t="str">
        <f t="shared" si="0"/>
        <v>4011/4012</v>
      </c>
      <c r="L31" s="185" t="str">
        <f>VLOOKUP(A31,'Trips&amp;Operators'!$C$1:$G$99911,5,FALSE)</f>
        <v>YORK EDGAR</v>
      </c>
      <c r="M31" s="6">
        <f t="shared" si="1"/>
        <v>2.495370370161254E-2</v>
      </c>
      <c r="N31" s="7">
        <f t="shared" si="24"/>
        <v>35.933333330322057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-30T05:37:10-0600',mode:absolute,to:'2017-10-30T08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23.298500000000001</v>
      </c>
      <c r="Z31" s="204">
        <f t="shared" si="8"/>
        <v>1.54E-2</v>
      </c>
      <c r="AA31" s="204">
        <f t="shared" si="9"/>
        <v>23.283100000000001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120</v>
      </c>
      <c r="AE31" s="77" t="str">
        <f t="shared" si="1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31" s="74" t="str">
        <f t="shared" si="12"/>
        <v>"C:\Program Files (x86)\AstroGrep\AstroGrep.exe" /e /r /s /spath="%USERPROFILE%\AppData\Local\Temp\OnboardLogs" /stypes="app*4011*20171030*"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120-30 --locoid 4011 --swversion DE.1.0.9.0 --startMP 204:232985 --initTime 2017-10-30T06:37:10 --startdatetime 2017-10-30T07:01:14 --delay 58 --endMP 204:154 --enddatetime 2017-10-30T07:37:10 --enforcementcount 0 &gt;&gt;%USERPROFILE%\Documents\GitHub\eaglep3-reporting\EC\2017-10-30-refined-times.txt</v>
      </c>
      <c r="AI3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{"issue":{"subject":"","project_id":79,"tracker_id":40,"status_id":1,"priority_id":2,"assigned_to_id":338,"start_date":"2017-10-30","description":"","custom_fields":[{"id":1,"name":"Subdivision","value":"EC"},{"id":4,"name":"Milepost","value":"0.0154"},{"id":17,"name":"Train ID","value":"120-30"},{"id":16,"name":"Locomotive ID","value":"4011"},{"id":130,"name":"Impact","value":""},{"id":150,"name":"Time of Event (Mountain Time)","value":"07:37:10"},{"id":151,"name":"Denver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4011 --day 2017-10-30</v>
      </c>
      <c r="AN3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-30T05:37:10-0600',mode:absolute,to:'2017-10-30T08:37:10-0600'))&amp;_a=(columns:!('Message%20ID',Summary),filters:!(),index:'emp_*',interval:auto,query:(query_string:(analyze_wildcard:!t,query:'%22rtdc.l.rtdc.4011%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654</v>
      </c>
      <c r="B32" s="7">
        <v>4004</v>
      </c>
      <c r="C32" s="21" t="s">
        <v>194</v>
      </c>
      <c r="D32" s="21" t="s">
        <v>919</v>
      </c>
      <c r="E32" s="13">
        <v>43038.266423611109</v>
      </c>
      <c r="F32" s="13">
        <v>43038.267488425925</v>
      </c>
      <c r="G32" s="7">
        <v>58</v>
      </c>
      <c r="H32" s="21" t="s">
        <v>920</v>
      </c>
      <c r="I32" s="13">
        <v>43038.296643518515</v>
      </c>
      <c r="J32" s="7">
        <v>0</v>
      </c>
      <c r="K32" s="89" t="str">
        <f t="shared" si="0"/>
        <v>4003/4004</v>
      </c>
      <c r="L32" s="185" t="str">
        <f>VLOOKUP(A32,'Trips&amp;Operators'!$C$1:$G$99911,5,FALSE)</f>
        <v>BARRON PERLA</v>
      </c>
      <c r="M32" s="6">
        <f t="shared" si="1"/>
        <v>2.9155092590372078E-2</v>
      </c>
      <c r="N32" s="7"/>
      <c r="O32" s="7"/>
      <c r="P32" s="7">
        <f>24*60*SUM($M32:$M32)</f>
        <v>41.983333330135792</v>
      </c>
      <c r="Q32" s="22"/>
      <c r="R32" s="174" t="s">
        <v>1131</v>
      </c>
      <c r="S32" s="221">
        <f t="shared" si="3"/>
        <v>1</v>
      </c>
      <c r="T32" s="174" t="str">
        <f t="shared" si="4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-30T05:23:39-0600',mode:absolute,to:'2017-10-30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204" t="str">
        <f>IF(AA32&lt;VLOOKUP(AG32,Variables!$AC$3:$AD$8,2,FALSE),"Y","N")</f>
        <v>Y</v>
      </c>
      <c r="X32" s="204">
        <f t="shared" si="6"/>
        <v>1</v>
      </c>
      <c r="Y32" s="204">
        <f t="shared" si="7"/>
        <v>1.9136</v>
      </c>
      <c r="Z32" s="204">
        <f t="shared" si="8"/>
        <v>23.3322</v>
      </c>
      <c r="AA32" s="204">
        <f t="shared" si="9"/>
        <v>21.418600000000001</v>
      </c>
      <c r="AB32" s="54" t="str">
        <f>VLOOKUP(A32,Enforcements!$C$7:$K$11,8,0)</f>
        <v>Signal based authority (5)</v>
      </c>
      <c r="AC32" s="51" t="str">
        <f>VLOOKUP(A32,Enforcements!$C$7:$E$11,3,0)</f>
        <v>SIGNAL</v>
      </c>
      <c r="AD32" s="179">
        <f t="shared" si="10"/>
        <v>121</v>
      </c>
      <c r="AE32" s="77" t="str">
        <f t="shared" si="1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32" s="74" t="str">
        <f t="shared" si="12"/>
        <v>"C:\Program Files (x86)\AstroGrep\AstroGrep.exe" /e /r /s /spath="%USERPROFILE%\AppData\Local\Temp\OnboardLogs" /stypes="app*4004*20171030*"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121-30 --locoid 4004 --swversion DE.1.0.9.0 --startMP 204:19136 --initTime 2017-10-30T06:23:39 --startdatetime 2017-10-30T06:25:11 --delay 58 --endMP 204:233322 --enddatetime 2017-10-30T07:07:10 --enforcementcount 0 &gt;&gt;%USERPROFILE%\Documents\GitHub\eaglep3-reporting\EC\2017-10-30-refined-times.txt</v>
      </c>
      <c r="AI32" s="96" t="str">
        <f t="shared" si="20"/>
        <v>echo {"issue":{"subject":"CCROC/crew/equipment mismatch","project_id":79,"tracker_id":40,"status_id":1,"priority_id":2,"assigned_to_id":338,"start_date":"2017-10-30","description":"","custom_fields":[{"id":1,"name":"Subdivision","value":"EC"},{"id":4,"name":"Milepost","value":"23.3322"},{"id":17,"name":"Train ID","value":"121-30"},{"id":16,"name":"Locomotive ID","value":"4004"},{"id":130,"name":"Impact","value":""},{"id":150,"name":"Time of Event (Mountain Time)","value":"07:07:10"},{"id":151,"name":"Denver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4004 --day 2017-10-30</v>
      </c>
      <c r="AN32" s="151" t="str">
        <f t="shared" si="22"/>
        <v>echo {"issue":{"subject":"CCROC/crew/equipment mismatch","project_id":30,"tracker_id":4,"status_id":1,"priority_id":1,"assigned_to_id":10,"start_date":"2017-10-30","description":"","custom_fields":[{"id":30,"name":"Category","value":"Issue"},{"id":3,"name":"Functional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-30T05:23:39-0600',mode:absolute,to:'2017-10-30T08:07:10-0600'))&amp;_a=(columns:!('Message%20ID',Summary),filters:!(),index:'emp_*',interval:auto,query:(query_string:(analyze_wildcard:!t,query:'%22rtdc.l.rtdc.4004%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724</v>
      </c>
      <c r="B33" s="7">
        <v>4003</v>
      </c>
      <c r="C33" s="21" t="s">
        <v>194</v>
      </c>
      <c r="D33" s="21" t="s">
        <v>472</v>
      </c>
      <c r="E33" s="13">
        <v>43038.297997685186</v>
      </c>
      <c r="F33" s="13">
        <v>43038.300162037034</v>
      </c>
      <c r="G33" s="7">
        <v>59</v>
      </c>
      <c r="H33" s="21" t="s">
        <v>335</v>
      </c>
      <c r="I33" s="13">
        <v>43038.328738425924</v>
      </c>
      <c r="J33" s="7">
        <v>0</v>
      </c>
      <c r="K33" s="89" t="str">
        <f t="shared" si="0"/>
        <v>4003/4004</v>
      </c>
      <c r="L33" s="185" t="str">
        <f>VLOOKUP(A33,'Trips&amp;Operators'!$C$1:$G$99911,5,FALSE)</f>
        <v>BARRON PERLA</v>
      </c>
      <c r="M33" s="6">
        <f t="shared" si="1"/>
        <v>2.8576388889632653E-2</v>
      </c>
      <c r="N33" s="7">
        <f>24*60*SUM($M33:$M33)</f>
        <v>41.150000001071021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-30T06:09:07-0600',mode:absolute,to:'2017-10-30T08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23.298200000000001</v>
      </c>
      <c r="Z33" s="204">
        <f t="shared" si="8"/>
        <v>1.4999999999999999E-2</v>
      </c>
      <c r="AA33" s="204">
        <f t="shared" si="9"/>
        <v>23.283200000000001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122</v>
      </c>
      <c r="AE33" s="77" t="str">
        <f t="shared" si="1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33" s="74" t="str">
        <f t="shared" si="12"/>
        <v>"C:\Program Files (x86)\AstroGrep\AstroGrep.exe" /e /r /s /spath="%USERPROFILE%\AppData\Local\Temp\OnboardLogs" /stypes="app*4003*20171030*"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122-30 --locoid 4003 --swversion DE.1.0.9.0 --startMP 204:232982 --initTime 2017-10-30T07:09:07 --startdatetime 2017-10-30T07:12:14 --delay 59 --endMP 204:150 --enddatetime 2017-10-30T07:53:23 --enforcementcount 0 &gt;&gt;%USERPROFILE%\Documents\GitHub\eaglep3-reporting\EC\2017-10-30-refined-times.txt</v>
      </c>
      <c r="AI33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{"issue":{"subject":"","project_id":79,"tracker_id":40,"status_id":1,"priority_id":2,"assigned_to_id":338,"start_date":"2017-10-30","description":"","custom_fields":[{"id":1,"name":"Subdivision","value":"EC"},{"id":4,"name":"Milepost","value":"0.015"},{"id":17,"name":"Train ID","value":"122-30"},{"id":16,"name":"Locomotive ID","value":"4003"},{"id":130,"name":"Impact","value":""},{"id":150,"name":"Time of Event (Mountain Time)","value":"07:53:23"},{"id":151,"name":"Denver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4003 --day 2017-10-30</v>
      </c>
      <c r="AN33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-30T06:09:07-0600',mode:absolute,to:'2017-10-30T08:53:23-0600'))&amp;_a=(columns:!('Message%20ID',Summary),filters:!(),index:'emp_*',interval:auto,query:(query_string:(analyze_wildcard:!t,query:'%22rtdc.l.rtdc.4003%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655</v>
      </c>
      <c r="B34" s="7">
        <v>4042</v>
      </c>
      <c r="C34" s="21" t="s">
        <v>194</v>
      </c>
      <c r="D34" s="21" t="s">
        <v>584</v>
      </c>
      <c r="E34" s="13">
        <v>43038.266481481478</v>
      </c>
      <c r="F34" s="13">
        <v>43038.271018518521</v>
      </c>
      <c r="G34" s="7">
        <v>46</v>
      </c>
      <c r="H34" s="21" t="s">
        <v>921</v>
      </c>
      <c r="I34" s="13">
        <v>43038.303460648145</v>
      </c>
      <c r="J34" s="7">
        <v>0</v>
      </c>
      <c r="K34" s="89" t="str">
        <f t="shared" si="0"/>
        <v>4041/4042</v>
      </c>
      <c r="L34" s="185" t="str">
        <f>VLOOKUP(A34,'Trips&amp;Operators'!$C$1:$G$99911,5,FALSE)</f>
        <v>MAELZER KURT</v>
      </c>
      <c r="M34" s="6">
        <f t="shared" si="1"/>
        <v>3.2442129624541849E-2</v>
      </c>
      <c r="N34" s="7"/>
      <c r="O34" s="7"/>
      <c r="P34" s="7">
        <f>24*60*SUM($M34:$M34)</f>
        <v>46.716666659340262</v>
      </c>
      <c r="Q34" s="22"/>
      <c r="R34" s="174" t="s">
        <v>376</v>
      </c>
      <c r="S34" s="221">
        <f t="shared" si="3"/>
        <v>1</v>
      </c>
      <c r="T34" s="174" t="str">
        <f t="shared" si="4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-30T05:23:44-0600',mode:absolute,to:'2017-10-30T08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4" s="204" t="str">
        <f>IF(AA34&lt;VLOOKUP(AG34,Variables!$AC$3:$AD$8,2,FALSE),"Y","N")</f>
        <v>Y</v>
      </c>
      <c r="X34" s="204">
        <f t="shared" si="6"/>
        <v>1</v>
      </c>
      <c r="Y34" s="204">
        <f t="shared" si="7"/>
        <v>4.5499999999999999E-2</v>
      </c>
      <c r="Z34" s="204">
        <f t="shared" si="8"/>
        <v>19.575900000000001</v>
      </c>
      <c r="AA34" s="204">
        <f t="shared" si="9"/>
        <v>19.5304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123</v>
      </c>
      <c r="AE34" s="77" t="str">
        <f t="shared" si="11"/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AF34" s="74" t="str">
        <f t="shared" si="12"/>
        <v>"C:\Program Files (x86)\AstroGrep\AstroGrep.exe" /e /r /s /spath="%USERPROFILE%\AppData\Local\Temp\OnboardLogs" /stypes="app*4042*20171030*"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123-30 --locoid 4042 --swversion DE.1.0.9.0 --startMP 204:455 --initTime 2017-10-30T06:23:44 --startdatetime 2017-10-30T06:30:16 --delay 46 --endMP 204:195759 --enddatetime 2017-10-30T07:16:59 --enforcementcount 0 &gt;&gt;%USERPROFILE%\Documents\GitHub\eaglep3-reporting\EC\2017-10-30-refined-times.txt</v>
      </c>
      <c r="AI34" s="96" t="str">
        <f t="shared" si="20"/>
        <v>echo {"issue":{"subject":"Wi-MAX data drop","project_id":79,"tracker_id":40,"status_id":1,"priority_id":2,"assigned_to_id":338,"start_date":"2017-10-30","description":"","custom_fields":[{"id":1,"name":"Subdivision","value":"EC"},{"id":4,"name":"Milepost","value":"19.5759"},{"id":17,"name":"Train ID","value":"123-30"},{"id":16,"name":"Locomotive ID","value":"4042"},{"id":130,"name":"Impact","value":""},{"id":150,"name":"Time of Event (Mountain Time)","value":"07:16:59"},{"id":151,"name":"Denver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4042 --day 2017-10-30</v>
      </c>
      <c r="AN34" s="151" t="str">
        <f t="shared" si="22"/>
        <v>echo {"issue":{"subject":"Wi-MAX data drop","project_id":30,"tracker_id":4,"status_id":1,"priority_id":1,"assigned_to_id":10,"start_date":"2017-10-30","description":"","custom_fields":[{"id":30,"name":"Category","value":"Issue"},{"id":3,"name":"Functional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13:16:59"},{"id":29,"name":"Sharepoint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-30T05:23:44-0600',mode:absolute,to:'2017-10-30T08:16:59-0600'))&amp;_a=(columns:!('Message%20ID',Summary),filters:!(),index:'emp_*',interval:auto,query:(query_string:(analyze_wildcard:!t,query:'%22rtdc.l.rtdc.4042%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727</v>
      </c>
      <c r="B35" s="7">
        <v>4041</v>
      </c>
      <c r="C35" s="21" t="s">
        <v>194</v>
      </c>
      <c r="D35" s="21" t="s">
        <v>633</v>
      </c>
      <c r="E35" s="13">
        <v>43038.310300925928</v>
      </c>
      <c r="F35" s="13">
        <v>43038.31177083333</v>
      </c>
      <c r="G35" s="7">
        <v>49</v>
      </c>
      <c r="H35" s="21" t="s">
        <v>922</v>
      </c>
      <c r="I35" s="13">
        <v>43038.337488425925</v>
      </c>
      <c r="J35" s="7">
        <v>0</v>
      </c>
      <c r="K35" s="89" t="str">
        <f t="shared" si="0"/>
        <v>4041/4042</v>
      </c>
      <c r="L35" s="185" t="str">
        <f>VLOOKUP(A35,'Trips&amp;Operators'!$C$1:$G$99911,5,FALSE)</f>
        <v>MAELZER KURT</v>
      </c>
      <c r="M35" s="6">
        <f t="shared" si="1"/>
        <v>2.5717592594446614E-2</v>
      </c>
      <c r="N35" s="7">
        <f t="shared" ref="N35:N66" si="25">24*60*SUM($M35:$M35)</f>
        <v>37.033333336003125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-30T06:26:50-0600',mode:absolute,to:'2017-10-30T09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23.299399999999999</v>
      </c>
      <c r="Z35" s="204">
        <f t="shared" si="8"/>
        <v>1.34E-2</v>
      </c>
      <c r="AA35" s="204">
        <f t="shared" si="9"/>
        <v>23.285999999999998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124</v>
      </c>
      <c r="AE35" s="77" t="str">
        <f t="shared" si="11"/>
        <v>aws s3 cp s3://rtdc.mdm.uploadarchive.raw/RTDC4041/ "%USERPROFILE%\AppData\Local\Temp\OnboardLogs"\RTDC4041\2017-10-30 --exclude "*" --recursive --include "*20171030*" &amp; "%USERPROFILE%\Documents\GitHub\mrs-test-scripts\Headless Mode &amp; Sideloading\WalkAndUnGZ.bat" "%USERPROFILE%\AppData\Local\Temp\OnboardLogs"\RTDC4041\2017-10-30 &amp; aws s3 cp s3://rtdc.mdm.uploadarchive.raw/RTDC4041/ "%USERPROFILE%\AppData\Local\Temp\OnboardLogs"\RTDC4041\2017-10-31 --exclude "*" --recursive --include "*20171031*" &amp; "%USERPROFILE%\Documents\GitHub\mrs-test-scripts\Headless Mode &amp; Sideloading\WalkAndUnGZ.bat" "%USERPROFILE%\AppData\Local\Temp\OnboardLogs"\RTDC4041\2017-10-31</v>
      </c>
      <c r="AF35" s="74" t="str">
        <f t="shared" si="12"/>
        <v>"C:\Program Files (x86)\AstroGrep\AstroGrep.exe" /e /r /s /spath="%USERPROFILE%\AppData\Local\Temp\OnboardLogs" /stypes="app*4041*20171030*" /stext=" 14:.+((SYSTEM_STATE.+slice.+state.+changed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124-30 --locoid 4041 --swversion DE.1.0.9.0 --startMP 204:232994 --initTime 2017-10-30T07:26:50 --startdatetime 2017-10-30T07:28:57 --delay 49 --endMP 204:134 --enddatetime 2017-10-30T08:05:59 --enforcementcount 0 &gt;&gt;%USERPROFILE%\Documents\GitHub\eaglep3-reporting\EC\2017-10-30-refined-times.txt</v>
      </c>
      <c r="AI3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{"issue":{"subject":"","project_id":79,"tracker_id":40,"status_id":1,"priority_id":2,"assigned_to_id":338,"start_date":"2017-10-30","description":"","custom_fields":[{"id":1,"name":"Subdivision","value":"EC"},{"id":4,"name":"Milepost","value":"0.0134"},{"id":17,"name":"Train ID","value":"124-30"},{"id":16,"name":"Locomotive ID","value":"4041"},{"id":130,"name":"Impact","value":""},{"id":150,"name":"Time of Event (Mountain Time)","value":"08:05:59"},{"id":151,"name":"Denver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4041 --day 2017-10-30</v>
      </c>
      <c r="AN3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-30T06:26:50-0600',mode:absolute,to:'2017-10-30T09:05:59-0600'))&amp;_a=(columns:!('Message%20ID',Summary),filters:!(),index:'emp_*',interval:auto,query:(query_string:(analyze_wildcard:!t,query:'%22rtdc.l.rtdc.4041%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721</v>
      </c>
      <c r="B36" s="7">
        <v>4032</v>
      </c>
      <c r="C36" s="21" t="s">
        <v>194</v>
      </c>
      <c r="D36" s="21" t="s">
        <v>351</v>
      </c>
      <c r="E36" s="13">
        <v>43038.278680555559</v>
      </c>
      <c r="F36" s="13">
        <v>43038.281504629631</v>
      </c>
      <c r="G36" s="7">
        <v>58</v>
      </c>
      <c r="H36" s="21" t="s">
        <v>923</v>
      </c>
      <c r="I36" s="13">
        <v>43038.309918981482</v>
      </c>
      <c r="J36" s="7">
        <v>0</v>
      </c>
      <c r="K36" s="89" t="str">
        <f t="shared" si="0"/>
        <v>4031/4032</v>
      </c>
      <c r="L36" s="185" t="str">
        <f>VLOOKUP(A36,'Trips&amp;Operators'!$C$1:$G$99911,5,FALSE)</f>
        <v>THOMPSON LESTER</v>
      </c>
      <c r="M36" s="6">
        <f t="shared" si="1"/>
        <v>2.8414351851097308E-2</v>
      </c>
      <c r="N36" s="7">
        <f t="shared" si="25"/>
        <v>40.916666665580124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-30T05:41:18-0600',mode:absolute,to:'2017-10-30T08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4.58E-2</v>
      </c>
      <c r="Z36" s="204">
        <f t="shared" si="8"/>
        <v>23.329499999999999</v>
      </c>
      <c r="AA36" s="204">
        <f t="shared" si="9"/>
        <v>23.2837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125</v>
      </c>
      <c r="AE36" s="77" t="str">
        <f t="shared" si="1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36" s="74" t="str">
        <f t="shared" si="12"/>
        <v>"C:\Program Files (x86)\AstroGrep\AstroGrep.exe" /e /r /s /spath="%USERPROFILE%\AppData\Local\Temp\OnboardLogs" /stypes="app*4032*20171030*"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125-30 --locoid 4032 --swversion DE.1.0.9.0 --startMP 204:458 --initTime 2017-10-30T06:41:18 --startdatetime 2017-10-30T06:45:22 --delay 58 --endMP 204:233295 --enddatetime 2017-10-30T07:26:17 --enforcementcount 0 &gt;&gt;%USERPROFILE%\Documents\GitHub\eaglep3-reporting\EC\2017-10-30-refined-times.txt</v>
      </c>
      <c r="AI3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{"issue":{"subject":"","project_id":79,"tracker_id":40,"status_id":1,"priority_id":2,"assigned_to_id":338,"start_date":"2017-10-30","description":"","custom_fields":[{"id":1,"name":"Subdivision","value":"EC"},{"id":4,"name":"Milepost","value":"23.3295"},{"id":17,"name":"Train ID","value":"125-30"},{"id":16,"name":"Locomotive ID","value":"4032"},{"id":130,"name":"Impact","value":""},{"id":150,"name":"Time of Event (Mountain Time)","value":"07:26:17"},{"id":151,"name":"Denver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4032 --day 2017-10-30</v>
      </c>
      <c r="AN3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-30T05:41:18-0600',mode:absolute,to:'2017-10-30T08:26:17-0600'))&amp;_a=(columns:!('Message%20ID',Summary),filters:!(),index:'emp_*',interval:auto,query:(query_string:(analyze_wildcard:!t,query:'%22rtdc.l.rtdc.4032%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731</v>
      </c>
      <c r="B37" s="7">
        <v>4031</v>
      </c>
      <c r="C37" s="21" t="s">
        <v>194</v>
      </c>
      <c r="D37" s="21" t="s">
        <v>521</v>
      </c>
      <c r="E37" s="13">
        <v>43038.319143518522</v>
      </c>
      <c r="F37" s="13">
        <v>43038.321215277778</v>
      </c>
      <c r="G37" s="7">
        <v>54</v>
      </c>
      <c r="H37" s="21" t="s">
        <v>924</v>
      </c>
      <c r="I37" s="13">
        <v>43038.348668981482</v>
      </c>
      <c r="J37" s="7">
        <v>0</v>
      </c>
      <c r="K37" s="89" t="str">
        <f t="shared" si="0"/>
        <v>4031/4032</v>
      </c>
      <c r="L37" s="185" t="str">
        <f>VLOOKUP(A37,'Trips&amp;Operators'!$C$1:$G$99911,5,FALSE)</f>
        <v>THOMPSON LESTER</v>
      </c>
      <c r="M37" s="6">
        <f t="shared" si="1"/>
        <v>2.7453703703940846E-2</v>
      </c>
      <c r="N37" s="7">
        <f t="shared" si="25"/>
        <v>39.533333333674818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-30T06:39:34-0600',mode:absolute,to:'2017-10-30T09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23.296900000000001</v>
      </c>
      <c r="Z37" s="204">
        <f t="shared" si="8"/>
        <v>1.6899999999999998E-2</v>
      </c>
      <c r="AA37" s="204">
        <f t="shared" si="9"/>
        <v>23.28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126</v>
      </c>
      <c r="AE37" s="77" t="str">
        <f t="shared" si="1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37" s="74" t="str">
        <f t="shared" si="12"/>
        <v>"C:\Program Files (x86)\AstroGrep\AstroGrep.exe" /e /r /s /spath="%USERPROFILE%\AppData\Local\Temp\OnboardLogs" /stypes="app*4031*20171030*"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126-30 --locoid 4031 --swversion DE.1.0.9.0 --startMP 204:232969 --initTime 2017-10-30T07:39:34 --startdatetime 2017-10-30T07:42:33 --delay 54 --endMP 204:169 --enddatetime 2017-10-30T08:22:05 --enforcementcount 0 &gt;&gt;%USERPROFILE%\Documents\GitHub\eaglep3-reporting\EC\2017-10-30-refined-times.txt</v>
      </c>
      <c r="AI37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{"issue":{"subject":"","project_id":79,"tracker_id":40,"status_id":1,"priority_id":2,"assigned_to_id":338,"start_date":"2017-10-30","description":"","custom_fields":[{"id":1,"name":"Subdivision","value":"EC"},{"id":4,"name":"Milepost","value":"0.0169"},{"id":17,"name":"Train ID","value":"126-30"},{"id":16,"name":"Locomotive ID","value":"4031"},{"id":130,"name":"Impact","value":""},{"id":150,"name":"Time of Event (Mountain Time)","value":"08:22:05"},{"id":151,"name":"Denver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4031 --day 2017-10-30</v>
      </c>
      <c r="AN37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-30T06:39:34-0600',mode:absolute,to:'2017-10-30T09:22:05-0600'))&amp;_a=(columns:!('Message%20ID',Summary),filters:!(),index:'emp_*',interval:auto,query:(query_string:(analyze_wildcard:!t,query:'%22rtdc.l.rtdc.4031%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722</v>
      </c>
      <c r="B38" s="7">
        <v>4054</v>
      </c>
      <c r="C38" s="21" t="s">
        <v>194</v>
      </c>
      <c r="D38" s="21" t="s">
        <v>912</v>
      </c>
      <c r="E38" s="13">
        <v>43038.288217592592</v>
      </c>
      <c r="F38" s="13">
        <v>43038.291817129626</v>
      </c>
      <c r="G38" s="7">
        <v>122</v>
      </c>
      <c r="H38" s="21" t="s">
        <v>585</v>
      </c>
      <c r="I38" s="13">
        <v>43038.317800925928</v>
      </c>
      <c r="J38" s="7">
        <v>0</v>
      </c>
      <c r="K38" s="89" t="str">
        <f t="shared" si="0"/>
        <v>4053/4054</v>
      </c>
      <c r="L38" s="185" t="str">
        <f>VLOOKUP(A38,'Trips&amp;Operators'!$C$1:$G$99911,5,FALSE)</f>
        <v>BROWN JACOB</v>
      </c>
      <c r="M38" s="6">
        <f t="shared" si="1"/>
        <v>2.5983796302170958E-2</v>
      </c>
      <c r="N38" s="7">
        <f t="shared" si="25"/>
        <v>37.41666667512618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-30T05:55:02-0600',mode:absolute,to:'2017-10-30T08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4.6399999999999997E-2</v>
      </c>
      <c r="Z38" s="204">
        <f t="shared" si="8"/>
        <v>23.331499999999998</v>
      </c>
      <c r="AA38" s="204">
        <f t="shared" si="9"/>
        <v>23.2851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127</v>
      </c>
      <c r="AE38" s="77" t="str">
        <f t="shared" si="1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38" s="74" t="str">
        <f t="shared" si="12"/>
        <v>"C:\Program Files (x86)\AstroGrep\AstroGrep.exe" /e /r /s /spath="%USERPROFILE%\AppData\Local\Temp\OnboardLogs" /stypes="app*4054*20171030*"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127-30 --locoid 4054 --swversion DE.1.0.9.0 --startMP 204:464 --initTime 2017-10-30T06:55:02 --startdatetime 2017-10-30T07:00:13 --delay 122 --endMP 204:233315 --enddatetime 2017-10-30T07:37:38 --enforcementcount 0 &gt;&gt;%USERPROFILE%\Documents\GitHub\eaglep3-reporting\EC\2017-10-30-refined-times.txt</v>
      </c>
      <c r="AI3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{"issue":{"subject":"","project_id":79,"tracker_id":40,"status_id":1,"priority_id":2,"assigned_to_id":338,"start_date":"2017-10-30","description":"","custom_fields":[{"id":1,"name":"Subdivision","value":"EC"},{"id":4,"name":"Milepost","value":"23.3315"},{"id":17,"name":"Train ID","value":"127-30"},{"id":16,"name":"Locomotive ID","value":"4054"},{"id":130,"name":"Impact","value":""},{"id":150,"name":"Time of Event (Mountain Time)","value":"07:37:38"},{"id":151,"name":"Denver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4054 --day 2017-10-30</v>
      </c>
      <c r="AN3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-30T05:55:02-0600',mode:absolute,to:'2017-10-30T08:37:38-0600'))&amp;_a=(columns:!('Message%20ID',Summary),filters:!(),index:'emp_*',interval:auto,query:(query_string:(analyze_wildcard:!t,query:'%22rtdc.l.rtdc.4054%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732</v>
      </c>
      <c r="B39" s="7">
        <v>4053</v>
      </c>
      <c r="C39" s="21" t="s">
        <v>194</v>
      </c>
      <c r="D39" s="21" t="s">
        <v>925</v>
      </c>
      <c r="E39" s="13">
        <v>43038.327256944445</v>
      </c>
      <c r="F39" s="13">
        <v>43038.331388888888</v>
      </c>
      <c r="G39" s="7">
        <v>56</v>
      </c>
      <c r="H39" s="21" t="s">
        <v>511</v>
      </c>
      <c r="I39" s="13">
        <v>43038.358564814815</v>
      </c>
      <c r="J39" s="7">
        <v>0</v>
      </c>
      <c r="K39" s="89" t="str">
        <f t="shared" si="0"/>
        <v>4053/4054</v>
      </c>
      <c r="L39" s="185" t="str">
        <f>VLOOKUP(A39,'Trips&amp;Operators'!$C$1:$G$99911,5,FALSE)</f>
        <v>BROWN JACOB</v>
      </c>
      <c r="M39" s="6">
        <f t="shared" si="1"/>
        <v>2.7175925926712807E-2</v>
      </c>
      <c r="N39" s="7">
        <f t="shared" si="25"/>
        <v>39.133333334466442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-30T06:51:15-0600',mode:absolute,to:'2017-10-30T09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23.3004</v>
      </c>
      <c r="Z39" s="204">
        <f t="shared" si="8"/>
        <v>1.61E-2</v>
      </c>
      <c r="AA39" s="204">
        <f t="shared" si="9"/>
        <v>23.284299999999998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128</v>
      </c>
      <c r="AE39" s="77" t="str">
        <f t="shared" si="1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39" s="74" t="str">
        <f t="shared" si="12"/>
        <v>"C:\Program Files (x86)\AstroGrep\AstroGrep.exe" /e /r /s /spath="%USERPROFILE%\AppData\Local\Temp\OnboardLogs" /stypes="app*4053*20171030*"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128-30 --locoid 4053 --swversion DE.1.0.9.0 --startMP 204:233004 --initTime 2017-10-30T07:51:15 --startdatetime 2017-10-30T07:57:12 --delay 56 --endMP 204:161 --enddatetime 2017-10-30T08:36:20 --enforcementcount 0 &gt;&gt;%USERPROFILE%\Documents\GitHub\eaglep3-reporting\EC\2017-10-30-refined-times.txt</v>
      </c>
      <c r="AI39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{"issue":{"subject":"","project_id":79,"tracker_id":40,"status_id":1,"priority_id":2,"assigned_to_id":338,"start_date":"2017-10-30","description":"","custom_fields":[{"id":1,"name":"Subdivision","value":"EC"},{"id":4,"name":"Milepost","value":"0.0161"},{"id":17,"name":"Train ID","value":"128-30"},{"id":16,"name":"Locomotive ID","value":"4053"},{"id":130,"name":"Impact","value":""},{"id":150,"name":"Time of Event (Mountain Time)","value":"08:36:20"},{"id":151,"name":"Denver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4053 --day 2017-10-30</v>
      </c>
      <c r="AN39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-30T06:51:15-0600',mode:absolute,to:'2017-10-30T09:36:20-0600'))&amp;_a=(columns:!('Message%20ID',Summary),filters:!(),index:'emp_*',interval:auto,query:(query_string:(analyze_wildcard:!t,query:'%22rtdc.l.rtdc.4053%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725</v>
      </c>
      <c r="B40" s="7">
        <v>4024</v>
      </c>
      <c r="C40" s="21" t="s">
        <v>194</v>
      </c>
      <c r="D40" s="21" t="s">
        <v>594</v>
      </c>
      <c r="E40" s="13">
        <v>43038.299571759257</v>
      </c>
      <c r="F40" s="13">
        <v>43038.302314814813</v>
      </c>
      <c r="G40" s="7">
        <v>68</v>
      </c>
      <c r="H40" s="21" t="s">
        <v>926</v>
      </c>
      <c r="I40" s="13">
        <v>43038.327118055553</v>
      </c>
      <c r="J40" s="7">
        <v>0</v>
      </c>
      <c r="K40" s="89" t="str">
        <f t="shared" si="0"/>
        <v>4023/4024</v>
      </c>
      <c r="L40" s="185" t="str">
        <f>VLOOKUP(A40,'Trips&amp;Operators'!$C$1:$G$99911,5,FALSE)</f>
        <v>BONDS REYNALDO</v>
      </c>
      <c r="M40" s="6">
        <f t="shared" si="1"/>
        <v>2.4803240739856847E-2</v>
      </c>
      <c r="N40" s="7">
        <f t="shared" si="25"/>
        <v>35.716666665393859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-30T06:11:23-0600',mode:absolute,to:'2017-10-30T08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4.3700000000000003E-2</v>
      </c>
      <c r="Z40" s="204">
        <f t="shared" si="8"/>
        <v>23.325099999999999</v>
      </c>
      <c r="AA40" s="204">
        <f t="shared" si="9"/>
        <v>23.281399999999998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129</v>
      </c>
      <c r="AE40" s="77" t="str">
        <f t="shared" si="1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40" s="74" t="str">
        <f t="shared" si="12"/>
        <v>"C:\Program Files (x86)\AstroGrep\AstroGrep.exe" /e /r /s /spath="%USERPROFILE%\AppData\Local\Temp\OnboardLogs" /stypes="app*4024*20171030*"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129-30 --locoid 4024 --swversion DE.1.0.9.0 --startMP 204:437 --initTime 2017-10-30T07:11:23 --startdatetime 2017-10-30T07:15:20 --delay 68 --endMP 204:233251 --enddatetime 2017-10-30T07:51:03 --enforcementcount 0 &gt;&gt;%USERPROFILE%\Documents\GitHub\eaglep3-reporting\EC\2017-10-30-refined-times.txt</v>
      </c>
      <c r="AI4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{"issue":{"subject":"","project_id":79,"tracker_id":40,"status_id":1,"priority_id":2,"assigned_to_id":338,"start_date":"2017-10-30","description":"","custom_fields":[{"id":1,"name":"Subdivision","value":"EC"},{"id":4,"name":"Milepost","value":"23.3251"},{"id":17,"name":"Train ID","value":"129-30"},{"id":16,"name":"Locomotive ID","value":"4024"},{"id":130,"name":"Impact","value":""},{"id":150,"name":"Time of Event (Mountain Time)","value":"07:51:03"},{"id":151,"name":"Denver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4024 --day 2017-10-30</v>
      </c>
      <c r="AN4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-30T06:11:23-0600',mode:absolute,to:'2017-10-30T08:51:03-0600'))&amp;_a=(columns:!('Message%20ID',Summary),filters:!(),index:'emp_*',interval:auto,query:(query_string:(analyze_wildcard:!t,query:'%22rtdc.l.rtdc.4024%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736</v>
      </c>
      <c r="B41" s="7">
        <v>4023</v>
      </c>
      <c r="C41" s="21" t="s">
        <v>194</v>
      </c>
      <c r="D41" s="21" t="s">
        <v>927</v>
      </c>
      <c r="E41" s="13">
        <v>43038.335868055554</v>
      </c>
      <c r="F41" s="13">
        <v>43038.341886574075</v>
      </c>
      <c r="G41" s="7">
        <v>61</v>
      </c>
      <c r="H41" s="21" t="s">
        <v>357</v>
      </c>
      <c r="I41" s="13">
        <v>43038.368750000001</v>
      </c>
      <c r="J41" s="7">
        <v>0</v>
      </c>
      <c r="K41" s="89" t="str">
        <f t="shared" si="0"/>
        <v>4023/4024</v>
      </c>
      <c r="L41" s="185" t="str">
        <f>VLOOKUP(A41,'Trips&amp;Operators'!$C$1:$G$99911,5,FALSE)</f>
        <v>BONDS REYNALDO</v>
      </c>
      <c r="M41" s="6">
        <f t="shared" si="1"/>
        <v>2.6863425926421769E-2</v>
      </c>
      <c r="N41" s="7">
        <f t="shared" si="25"/>
        <v>38.683333334047347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-30T07:03:39-0600',mode:absolute,to:'2017-10-30T09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23.2942</v>
      </c>
      <c r="Z41" s="204">
        <f t="shared" si="8"/>
        <v>1.3899999999999999E-2</v>
      </c>
      <c r="AA41" s="204">
        <f t="shared" si="9"/>
        <v>23.2803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130</v>
      </c>
      <c r="AE41" s="77" t="str">
        <f t="shared" si="1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41" s="74" t="str">
        <f t="shared" si="12"/>
        <v>"C:\Program Files (x86)\AstroGrep\AstroGrep.exe" /e /r /s /spath="%USERPROFILE%\AppData\Local\Temp\OnboardLogs" /stypes="app*4023*20171030*"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130-30 --locoid 4023 --swversion DE.1.0.9.0 --startMP 204:232942 --initTime 2017-10-30T08:03:39 --startdatetime 2017-10-30T08:12:19 --delay 61 --endMP 204:139 --enddatetime 2017-10-30T08:51:00 --enforcementcount 0 &gt;&gt;%USERPROFILE%\Documents\GitHub\eaglep3-reporting\EC\2017-10-30-refined-times.txt</v>
      </c>
      <c r="AI4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{"issue":{"subject":"","project_id":79,"tracker_id":40,"status_id":1,"priority_id":2,"assigned_to_id":338,"start_date":"2017-10-30","description":"","custom_fields":[{"id":1,"name":"Subdivision","value":"EC"},{"id":4,"name":"Milepost","value":"0.0139"},{"id":17,"name":"Train ID","value":"130-30"},{"id":16,"name":"Locomotive ID","value":"4023"},{"id":130,"name":"Impact","value":""},{"id":150,"name":"Time of Event (Mountain Time)","value":"08:51:00"},{"id":151,"name":"Denver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4023 --day 2017-10-30</v>
      </c>
      <c r="AN4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-30T07:03:39-0600',mode:absolute,to:'2017-10-30T09:51:00-0600'))&amp;_a=(columns:!('Message%20ID',Summary),filters:!(),index:'emp_*',interval:auto,query:(query_string:(analyze_wildcard:!t,query:'%22rtdc.l.rtdc.4023%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726</v>
      </c>
      <c r="B42" s="7">
        <v>4002</v>
      </c>
      <c r="C42" s="21" t="s">
        <v>194</v>
      </c>
      <c r="D42" s="21" t="s">
        <v>584</v>
      </c>
      <c r="E42" s="13">
        <v>43038.308148148149</v>
      </c>
      <c r="F42" s="13">
        <v>43038.313333333332</v>
      </c>
      <c r="G42" s="7">
        <v>96</v>
      </c>
      <c r="H42" s="21" t="s">
        <v>595</v>
      </c>
      <c r="I42" s="13">
        <v>43038.338414351849</v>
      </c>
      <c r="J42" s="7">
        <v>0</v>
      </c>
      <c r="K42" s="89" t="str">
        <f t="shared" si="0"/>
        <v>4001/4002</v>
      </c>
      <c r="L42" s="185" t="str">
        <f>VLOOKUP(A42,'Trips&amp;Operators'!$C$1:$G$99911,5,FALSE)</f>
        <v>LAMAR NEKESHA</v>
      </c>
      <c r="M42" s="6">
        <f t="shared" si="1"/>
        <v>2.5081018517084885E-2</v>
      </c>
      <c r="N42" s="7">
        <f t="shared" si="25"/>
        <v>36.116666664602235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-30T06:23:44-0600',mode:absolute,to:'2017-10-30T09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4.5499999999999999E-2</v>
      </c>
      <c r="Z42" s="204">
        <f t="shared" si="8"/>
        <v>23.325700000000001</v>
      </c>
      <c r="AA42" s="204">
        <f t="shared" si="9"/>
        <v>23.280200000000001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131</v>
      </c>
      <c r="AE42" s="77" t="str">
        <f t="shared" si="1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42" s="74" t="str">
        <f t="shared" si="12"/>
        <v>"C:\Program Files (x86)\AstroGrep\AstroGrep.exe" /e /r /s /spath="%USERPROFILE%\AppData\Local\Temp\OnboardLogs" /stypes="app*4002*20171030*"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131-30 --locoid 4002 --swversion DE.1.0.9.0 --startMP 204:455 --initTime 2017-10-30T07:23:44 --startdatetime 2017-10-30T07:31:12 --delay 96 --endMP 204:233257 --enddatetime 2017-10-30T08:07:19 --enforcementcount 0 &gt;&gt;%USERPROFILE%\Documents\GitHub\eaglep3-reporting\EC\2017-10-30-refined-times.txt</v>
      </c>
      <c r="AI42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{"issue":{"subject":"","project_id":79,"tracker_id":40,"status_id":1,"priority_id":2,"assigned_to_id":338,"start_date":"2017-10-30","description":"","custom_fields":[{"id":1,"name":"Subdivision","value":"EC"},{"id":4,"name":"Milepost","value":"23.3257"},{"id":17,"name":"Train ID","value":"131-30"},{"id":16,"name":"Locomotive ID","value":"4002"},{"id":130,"name":"Impact","value":""},{"id":150,"name":"Time of Event (Mountain Time)","value":"08:07:19"},{"id":151,"name":"Denver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4002 --day 2017-10-30</v>
      </c>
      <c r="AN42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-30T06:23:44-0600',mode:absolute,to:'2017-10-30T09:07:19-0600'))&amp;_a=(columns:!('Message%20ID',Summary),filters:!(),index:'emp_*',interval:auto,query:(query_string:(analyze_wildcard:!t,query:'%22rtdc.l.rtdc.4002%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738</v>
      </c>
      <c r="B43" s="7">
        <v>4001</v>
      </c>
      <c r="C43" s="21" t="s">
        <v>194</v>
      </c>
      <c r="D43" s="21" t="s">
        <v>927</v>
      </c>
      <c r="E43" s="13">
        <v>43038.340729166666</v>
      </c>
      <c r="F43" s="13">
        <v>43038.352268518516</v>
      </c>
      <c r="G43" s="7">
        <v>68</v>
      </c>
      <c r="H43" s="21" t="s">
        <v>356</v>
      </c>
      <c r="I43" s="13">
        <v>43038.37945601852</v>
      </c>
      <c r="J43" s="7">
        <v>0</v>
      </c>
      <c r="K43" s="89" t="str">
        <f t="shared" si="0"/>
        <v>4001/4002</v>
      </c>
      <c r="L43" s="185" t="str">
        <f>VLOOKUP(A43,'Trips&amp;Operators'!$C$1:$G$99911,5,FALSE)</f>
        <v>LAMAR NEKESHA</v>
      </c>
      <c r="M43" s="6">
        <f t="shared" si="1"/>
        <v>2.718750000349246E-2</v>
      </c>
      <c r="N43" s="7">
        <f t="shared" si="25"/>
        <v>39.150000005029142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-30T07:10:39-0600',mode:absolute,to:'2017-10-30T10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23.2942</v>
      </c>
      <c r="Z43" s="204">
        <f t="shared" si="8"/>
        <v>1.5800000000000002E-2</v>
      </c>
      <c r="AA43" s="204">
        <f t="shared" si="9"/>
        <v>23.278400000000001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132</v>
      </c>
      <c r="AE43" s="77" t="str">
        <f t="shared" si="1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43" s="74" t="str">
        <f t="shared" si="12"/>
        <v>"C:\Program Files (x86)\AstroGrep\AstroGrep.exe" /e /r /s /spath="%USERPROFILE%\AppData\Local\Temp\OnboardLogs" /stypes="app*4001*20171030*" /stext=" 15:.+((SYSTEM_STATE.+slice.+state.+changed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132-30 --locoid 4001 --swversion DE.1.0.9.0 --startMP 204:232942 --initTime 2017-10-30T08:10:39 --startdatetime 2017-10-30T08:27:16 --delay 68 --endMP 204:158 --enddatetime 2017-10-30T09:06:25 --enforcementcount 0 &gt;&gt;%USERPROFILE%\Documents\GitHub\eaglep3-reporting\EC\2017-10-30-refined-times.txt</v>
      </c>
      <c r="AI43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{"issue":{"subject":"","project_id":79,"tracker_id":40,"status_id":1,"priority_id":2,"assigned_to_id":338,"start_date":"2017-10-30","description":"","custom_fields":[{"id":1,"name":"Subdivision","value":"EC"},{"id":4,"name":"Milepost","value":"0.0158"},{"id":17,"name":"Train ID","value":"132-30"},{"id":16,"name":"Locomotive ID","value":"4001"},{"id":130,"name":"Impact","value":""},{"id":150,"name":"Time of Event (Mountain Time)","value":"09:06:25"},{"id":151,"name":"Denver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4001 --day 2017-10-30</v>
      </c>
      <c r="AN43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-30T07:10:39-0600',mode:absolute,to:'2017-10-30T10:06:25-0600'))&amp;_a=(columns:!('Message%20ID',Summary),filters:!(),index:'emp_*',interval:auto,query:(query_string:(analyze_wildcard:!t,query:'%22rtdc.l.rtdc.4001%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730</v>
      </c>
      <c r="B44" s="7">
        <v>4012</v>
      </c>
      <c r="C44" s="21" t="s">
        <v>194</v>
      </c>
      <c r="D44" s="21" t="s">
        <v>928</v>
      </c>
      <c r="E44" s="13">
        <v>43038.318912037037</v>
      </c>
      <c r="F44" s="13">
        <v>43038.323136574072</v>
      </c>
      <c r="G44" s="7">
        <v>42</v>
      </c>
      <c r="H44" s="21" t="s">
        <v>923</v>
      </c>
      <c r="I44" s="13">
        <v>43038.346898148149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YORK EDGAR</v>
      </c>
      <c r="M44" s="6">
        <f t="shared" si="1"/>
        <v>2.3761574077070691E-2</v>
      </c>
      <c r="N44" s="7">
        <f t="shared" si="25"/>
        <v>34.216666670981795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-30T06:39:14-0600',mode:absolute,to:'2017-10-30T09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4.7300000000000002E-2</v>
      </c>
      <c r="Z44" s="204">
        <f t="shared" si="8"/>
        <v>23.329499999999999</v>
      </c>
      <c r="AA44" s="204">
        <f t="shared" si="9"/>
        <v>23.2822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133</v>
      </c>
      <c r="AE44" s="77" t="str">
        <f t="shared" si="1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44" s="74" t="str">
        <f t="shared" si="12"/>
        <v>"C:\Program Files (x86)\AstroGrep\AstroGrep.exe" /e /r /s /spath="%USERPROFILE%\AppData\Local\Temp\OnboardLogs" /stypes="app*4012*20171030*"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133-30 --locoid 4012 --swversion DE.1.0.9.0 --startMP 204:473 --initTime 2017-10-30T07:39:14 --startdatetime 2017-10-30T07:45:19 --delay 42 --endMP 204:233295 --enddatetime 2017-10-30T08:19:32 --enforcementcount 0 &gt;&gt;%USERPROFILE%\Documents\GitHub\eaglep3-reporting\EC\2017-10-30-refined-times.txt</v>
      </c>
      <c r="AI44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{"issue":{"subject":"","project_id":79,"tracker_id":40,"status_id":1,"priority_id":2,"assigned_to_id":338,"start_date":"2017-10-30","description":"","custom_fields":[{"id":1,"name":"Subdivision","value":"EC"},{"id":4,"name":"Milepost","value":"23.3295"},{"id":17,"name":"Train ID","value":"133-30"},{"id":16,"name":"Locomotive ID","value":"4012"},{"id":130,"name":"Impact","value":""},{"id":150,"name":"Time of Event (Mountain Time)","value":"08:19:32"},{"id":151,"name":"Denver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4012 --day 2017-10-30</v>
      </c>
      <c r="AN44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-30T06:39:14-0600',mode:absolute,to:'2017-10-30T09:19:32-0600'))&amp;_a=(columns:!('Message%20ID',Summary),filters:!(),index:'emp_*',interval:auto,query:(query_string:(analyze_wildcard:!t,query:'%22rtdc.l.rtdc.4012%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739</v>
      </c>
      <c r="B45" s="7">
        <v>4011</v>
      </c>
      <c r="C45" s="21" t="s">
        <v>194</v>
      </c>
      <c r="D45" s="21" t="s">
        <v>577</v>
      </c>
      <c r="E45" s="13">
        <v>43038.347708333335</v>
      </c>
      <c r="F45" s="13">
        <v>43038.362754629627</v>
      </c>
      <c r="G45" s="7">
        <v>55</v>
      </c>
      <c r="H45" s="21" t="s">
        <v>906</v>
      </c>
      <c r="I45" s="13">
        <v>43038.388229166667</v>
      </c>
      <c r="J45" s="7">
        <v>0</v>
      </c>
      <c r="K45" s="89" t="str">
        <f t="shared" si="0"/>
        <v>4011/4012</v>
      </c>
      <c r="L45" s="185" t="str">
        <f>VLOOKUP(A45,'Trips&amp;Operators'!$C$1:$G$99911,5,FALSE)</f>
        <v>YORK EDGAR</v>
      </c>
      <c r="M45" s="6">
        <f t="shared" si="1"/>
        <v>2.5474537040281575E-2</v>
      </c>
      <c r="N45" s="7">
        <f t="shared" si="25"/>
        <v>36.683333338005468</v>
      </c>
      <c r="O45" s="7"/>
      <c r="P45" s="7"/>
      <c r="Q45" s="22"/>
      <c r="R45" s="174"/>
      <c r="S45" s="221">
        <f t="shared" ref="S45:S76" si="26">1/IF(AG45="EC",12,1)*SUM(U45:U45)</f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-30T07:20:42-0600',mode:absolute,to:'2017-10-30T10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ref="Y45:Y76" si="27">RIGHT(D45,LEN(D45)-4)/10000</f>
        <v>23.297999999999998</v>
      </c>
      <c r="Z45" s="204">
        <f t="shared" ref="Z45:Z76" si="28">RIGHT(H45,LEN(H45)-4)/10000</f>
        <v>1.67E-2</v>
      </c>
      <c r="AA45" s="204">
        <f t="shared" si="9"/>
        <v>23.281299999999998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134</v>
      </c>
      <c r="AE45" s="77" t="str">
        <f t="shared" si="1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45" s="74" t="str">
        <f t="shared" si="12"/>
        <v>"C:\Program Files (x86)\AstroGrep\AstroGrep.exe" /e /r /s /spath="%USERPROFILE%\AppData\Local\Temp\OnboardLogs" /stypes="app*4011*20171030*"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134-30 --locoid 4011 --swversion DE.1.0.9.0 --startMP 204:232980 --initTime 2017-10-30T08:20:42 --startdatetime 2017-10-30T08:42:22 --delay 55 --endMP 204:167 --enddatetime 2017-10-30T09:19:03 --enforcementcount 0 &gt;&gt;%USERPROFILE%\Documents\GitHub\eaglep3-reporting\EC\2017-10-30-refined-times.txt</v>
      </c>
      <c r="AI4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{"issue":{"subject":"","project_id":79,"tracker_id":40,"status_id":1,"priority_id":2,"assigned_to_id":338,"start_date":"2017-10-30","description":"","custom_fields":[{"id":1,"name":"Subdivision","value":"EC"},{"id":4,"name":"Milepost","value":"0.0167"},{"id":17,"name":"Train ID","value":"134-30"},{"id":16,"name":"Locomotive ID","value":"4011"},{"id":130,"name":"Impact","value":""},{"id":150,"name":"Time of Event (Mountain Time)","value":"09:19:03"},{"id":151,"name":"Denver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4011 --day 2017-10-30</v>
      </c>
      <c r="AN4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-30T07:20:42-0600',mode:absolute,to:'2017-10-30T10:19:03-0600'))&amp;_a=(columns:!('Message%20ID',Summary),filters:!(),index:'emp_*',interval:auto,query:(query_string:(analyze_wildcard:!t,query:'%22rtdc.l.rtdc.4011%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734</v>
      </c>
      <c r="B46" s="7">
        <v>4004</v>
      </c>
      <c r="C46" s="21" t="s">
        <v>194</v>
      </c>
      <c r="D46" s="21" t="s">
        <v>512</v>
      </c>
      <c r="E46" s="13">
        <v>43038.330740740741</v>
      </c>
      <c r="F46" s="13">
        <v>43038.333506944444</v>
      </c>
      <c r="G46" s="7">
        <v>95</v>
      </c>
      <c r="H46" s="21" t="s">
        <v>929</v>
      </c>
      <c r="I46" s="13">
        <v>43038.358738425923</v>
      </c>
      <c r="J46" s="7">
        <v>0</v>
      </c>
      <c r="K46" s="89" t="str">
        <f t="shared" si="0"/>
        <v>4003/4004</v>
      </c>
      <c r="L46" s="185" t="str">
        <f>VLOOKUP(A46,'Trips&amp;Operators'!$C$1:$G$99911,5,FALSE)</f>
        <v>BARRON PERLA</v>
      </c>
      <c r="M46" s="6">
        <f t="shared" si="1"/>
        <v>2.5231481478840578E-2</v>
      </c>
      <c r="N46" s="7">
        <f t="shared" si="25"/>
        <v>36.333333329530433</v>
      </c>
      <c r="O46" s="7"/>
      <c r="P46" s="7"/>
      <c r="Q46" s="22"/>
      <c r="R46" s="174"/>
      <c r="S46" s="221">
        <f t="shared" si="26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-30T06:56:16-0600',mode:absolute,to:'2017-10-30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27"/>
        <v>4.5100000000000001E-2</v>
      </c>
      <c r="Z46" s="204">
        <f t="shared" si="28"/>
        <v>23.33</v>
      </c>
      <c r="AA46" s="204">
        <f t="shared" si="9"/>
        <v>23.284899999999997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135</v>
      </c>
      <c r="AE46" s="77" t="str">
        <f t="shared" si="1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46" s="74" t="str">
        <f t="shared" si="12"/>
        <v>"C:\Program Files (x86)\AstroGrep\AstroGrep.exe" /e /r /s /spath="%USERPROFILE%\AppData\Local\Temp\OnboardLogs" /stypes="app*4004*20171030*"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135-30 --locoid 4004 --swversion DE.1.0.9.0 --startMP 204:451 --initTime 2017-10-30T07:56:16 --startdatetime 2017-10-30T08:00:15 --delay 95 --endMP 204:233300 --enddatetime 2017-10-30T08:36:35 --enforcementcount 0 &gt;&gt;%USERPROFILE%\Documents\GitHub\eaglep3-reporting\EC\2017-10-30-refined-times.txt</v>
      </c>
      <c r="AI4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{"issue":{"subject":"","project_id":79,"tracker_id":40,"status_id":1,"priority_id":2,"assigned_to_id":338,"start_date":"2017-10-30","description":"","custom_fields":[{"id":1,"name":"Subdivision","value":"EC"},{"id":4,"name":"Milepost","value":"23.33"},{"id":17,"name":"Train ID","value":"135-30"},{"id":16,"name":"Locomotive ID","value":"4004"},{"id":130,"name":"Impact","value":""},{"id":150,"name":"Time of Event (Mountain Time)","value":"08:36:35"},{"id":151,"name":"Denver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4004 --day 2017-10-30</v>
      </c>
      <c r="AN4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-30T06:56:16-0600',mode:absolute,to:'2017-10-30T09:36:35-0600'))&amp;_a=(columns:!('Message%20ID',Summary),filters:!(),index:'emp_*',interval:auto,query:(query_string:(analyze_wildcard:!t,query:'%22rtdc.l.rtdc.4004%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743</v>
      </c>
      <c r="B47" s="7">
        <v>4003</v>
      </c>
      <c r="C47" s="21" t="s">
        <v>194</v>
      </c>
      <c r="D47" s="21" t="s">
        <v>633</v>
      </c>
      <c r="E47" s="13">
        <v>43038.360069444447</v>
      </c>
      <c r="F47" s="13">
        <v>43038.373078703706</v>
      </c>
      <c r="G47" s="7">
        <v>66</v>
      </c>
      <c r="H47" s="21" t="s">
        <v>338</v>
      </c>
      <c r="I47" s="13">
        <v>43038.399606481478</v>
      </c>
      <c r="J47" s="7">
        <v>0</v>
      </c>
      <c r="K47" s="89" t="str">
        <f t="shared" si="0"/>
        <v>4003/4004</v>
      </c>
      <c r="L47" s="185" t="str">
        <f>VLOOKUP(A47,'Trips&amp;Operators'!$C$1:$G$99911,5,FALSE)</f>
        <v>BARRON PERLA</v>
      </c>
      <c r="M47" s="6">
        <f t="shared" si="1"/>
        <v>2.6527777772571426E-2</v>
      </c>
      <c r="N47" s="7">
        <f t="shared" si="25"/>
        <v>38.199999992502853</v>
      </c>
      <c r="O47" s="7"/>
      <c r="P47" s="7"/>
      <c r="Q47" s="22"/>
      <c r="R47" s="174"/>
      <c r="S47" s="221">
        <f t="shared" si="26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-30T07:38:30-0600',mode:absolute,to:'2017-10-30T10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27"/>
        <v>23.299399999999999</v>
      </c>
      <c r="Z47" s="204">
        <f t="shared" si="28"/>
        <v>1.47E-2</v>
      </c>
      <c r="AA47" s="204">
        <f t="shared" si="9"/>
        <v>23.284699999999997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136</v>
      </c>
      <c r="AE47" s="77" t="str">
        <f t="shared" si="1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47" s="74" t="str">
        <f t="shared" si="12"/>
        <v>"C:\Program Files (x86)\AstroGrep\AstroGrep.exe" /e /r /s /spath="%USERPROFILE%\AppData\Local\Temp\OnboardLogs" /stypes="app*4003*20171030*"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136-30 --locoid 4003 --swversion DE.1.0.9.0 --startMP 204:232994 --initTime 2017-10-30T08:38:30 --startdatetime 2017-10-30T08:57:14 --delay 66 --endMP 204:147 --enddatetime 2017-10-30T09:35:26 --enforcementcount 0 &gt;&gt;%USERPROFILE%\Documents\GitHub\eaglep3-reporting\EC\2017-10-30-refined-times.txt</v>
      </c>
      <c r="AI47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{"issue":{"subject":"","project_id":79,"tracker_id":40,"status_id":1,"priority_id":2,"assigned_to_id":338,"start_date":"2017-10-30","description":"","custom_fields":[{"id":1,"name":"Subdivision","value":"EC"},{"id":4,"name":"Milepost","value":"0.0147"},{"id":17,"name":"Train ID","value":"136-30"},{"id":16,"name":"Locomotive ID","value":"4003"},{"id":130,"name":"Impact","value":""},{"id":150,"name":"Time of Event (Mountain Time)","value":"09:35:26"},{"id":151,"name":"Denver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4003 --day 2017-10-30</v>
      </c>
      <c r="AN47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-30T07:38:30-0600',mode:absolute,to:'2017-10-30T10:35:26-0600'))&amp;_a=(columns:!('Message%20ID',Summary),filters:!(),index:'emp_*',interval:auto,query:(query_string:(analyze_wildcard:!t,query:'%22rtdc.l.rtdc.4003%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737</v>
      </c>
      <c r="B48" s="7">
        <v>4042</v>
      </c>
      <c r="C48" s="21" t="s">
        <v>194</v>
      </c>
      <c r="D48" s="21" t="s">
        <v>930</v>
      </c>
      <c r="E48" s="13">
        <v>43038.339085648149</v>
      </c>
      <c r="F48" s="13">
        <v>43038.343935185185</v>
      </c>
      <c r="G48" s="7">
        <v>120</v>
      </c>
      <c r="H48" s="21" t="s">
        <v>638</v>
      </c>
      <c r="I48" s="13">
        <v>43038.368541666663</v>
      </c>
      <c r="J48" s="7">
        <v>0</v>
      </c>
      <c r="K48" s="89" t="str">
        <f t="shared" si="0"/>
        <v>4041/4042</v>
      </c>
      <c r="L48" s="185" t="str">
        <f>VLOOKUP(A48,'Trips&amp;Operators'!$C$1:$G$99911,5,FALSE)</f>
        <v>MAELZER KURT</v>
      </c>
      <c r="M48" s="6">
        <f t="shared" si="1"/>
        <v>2.4606481478258502E-2</v>
      </c>
      <c r="N48" s="7">
        <f t="shared" si="25"/>
        <v>35.433333328692243</v>
      </c>
      <c r="O48" s="7"/>
      <c r="P48" s="7"/>
      <c r="Q48" s="22"/>
      <c r="R48" s="174"/>
      <c r="S48" s="221">
        <f t="shared" si="26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-30T07:08:17-0600',mode:absolute,to:'2017-10-30T09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27"/>
        <v>4.7100000000000003E-2</v>
      </c>
      <c r="Z48" s="204">
        <f t="shared" si="28"/>
        <v>23.328600000000002</v>
      </c>
      <c r="AA48" s="204">
        <f t="shared" si="9"/>
        <v>23.281500000000001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137</v>
      </c>
      <c r="AE48" s="77" t="str">
        <f t="shared" si="11"/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AF48" s="74" t="str">
        <f t="shared" si="12"/>
        <v>"C:\Program Files (x86)\AstroGrep\AstroGrep.exe" /e /r /s /spath="%USERPROFILE%\AppData\Local\Temp\OnboardLogs" /stypes="app*4042*20171030*"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137-30 --locoid 4042 --swversion DE.1.0.9.0 --startMP 204:471 --initTime 2017-10-30T08:08:17 --startdatetime 2017-10-30T08:15:16 --delay 120 --endMP 204:233286 --enddatetime 2017-10-30T08:50:42 --enforcementcount 0 &gt;&gt;%USERPROFILE%\Documents\GitHub\eaglep3-reporting\EC\2017-10-30-refined-times.txt</v>
      </c>
      <c r="AI4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{"issue":{"subject":"","project_id":79,"tracker_id":40,"status_id":1,"priority_id":2,"assigned_to_id":338,"start_date":"2017-10-30","description":"","custom_fields":[{"id":1,"name":"Subdivision","value":"EC"},{"id":4,"name":"Milepost","value":"23.3286"},{"id":17,"name":"Train ID","value":"137-30"},{"id":16,"name":"Locomotive ID","value":"4042"},{"id":130,"name":"Impact","value":""},{"id":150,"name":"Time of Event (Mountain Time)","value":"08:50:42"},{"id":151,"name":"Denver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4042 --day 2017-10-30</v>
      </c>
      <c r="AN4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-30T07:08:17-0600',mode:absolute,to:'2017-10-30T09:50:42-0600'))&amp;_a=(columns:!('Message%20ID',Summary),filters:!(),index:'emp_*',interval:auto,query:(query_string:(analyze_wildcard:!t,query:'%22rtdc.l.rtdc.4042%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746</v>
      </c>
      <c r="B49" s="7">
        <v>4041</v>
      </c>
      <c r="C49" s="21" t="s">
        <v>194</v>
      </c>
      <c r="D49" s="21" t="s">
        <v>510</v>
      </c>
      <c r="E49" s="13">
        <v>43038.375567129631</v>
      </c>
      <c r="F49" s="13">
        <v>43038.383530092593</v>
      </c>
      <c r="G49" s="7">
        <v>48</v>
      </c>
      <c r="H49" s="21" t="s">
        <v>931</v>
      </c>
      <c r="I49" s="13">
        <v>43038.409467592595</v>
      </c>
      <c r="J49" s="7">
        <v>0</v>
      </c>
      <c r="K49" s="89" t="str">
        <f t="shared" si="0"/>
        <v>4041/4042</v>
      </c>
      <c r="L49" s="185" t="str">
        <f>VLOOKUP(A49,'Trips&amp;Operators'!$C$1:$G$99911,5,FALSE)</f>
        <v>MAELZER KURT</v>
      </c>
      <c r="M49" s="6">
        <f t="shared" si="1"/>
        <v>2.5937500002328306E-2</v>
      </c>
      <c r="N49" s="7">
        <f t="shared" si="25"/>
        <v>37.350000003352761</v>
      </c>
      <c r="O49" s="7"/>
      <c r="P49" s="7"/>
      <c r="Q49" s="22"/>
      <c r="R49" s="174"/>
      <c r="S49" s="221">
        <f t="shared" si="26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-30T08:00:49-0600',mode:absolute,to:'2017-10-30T10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27"/>
        <v>23.297799999999999</v>
      </c>
      <c r="Z49" s="204">
        <f t="shared" si="28"/>
        <v>0.16389999999999999</v>
      </c>
      <c r="AA49" s="204">
        <f t="shared" si="9"/>
        <v>23.133899999999997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138</v>
      </c>
      <c r="AE49" s="77" t="str">
        <f t="shared" si="11"/>
        <v>aws s3 cp s3://rtdc.mdm.uploadarchive.raw/RTDC4041/ "%USERPROFILE%\AppData\Local\Temp\OnboardLogs"\RTDC4041\2017-10-30 --exclude "*" --recursive --include "*20171030*" &amp; "%USERPROFILE%\Documents\GitHub\mrs-test-scripts\Headless Mode &amp; Sideloading\WalkAndUnGZ.bat" "%USERPROFILE%\AppData\Local\Temp\OnboardLogs"\RTDC4041\2017-10-30 &amp; aws s3 cp s3://rtdc.mdm.uploadarchive.raw/RTDC4041/ "%USERPROFILE%\AppData\Local\Temp\OnboardLogs"\RTDC4041\2017-10-31 --exclude "*" --recursive --include "*20171031*" &amp; "%USERPROFILE%\Documents\GitHub\mrs-test-scripts\Headless Mode &amp; Sideloading\WalkAndUnGZ.bat" "%USERPROFILE%\AppData\Local\Temp\OnboardLogs"\RTDC4041\2017-10-31</v>
      </c>
      <c r="AF49" s="74" t="str">
        <f t="shared" si="12"/>
        <v>"C:\Program Files (x86)\AstroGrep\AstroGrep.exe" /e /r /s /spath="%USERPROFILE%\AppData\Local\Temp\OnboardLogs" /stypes="app*4041*20171030*"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138-30 --locoid 4041 --swversion DE.1.0.9.0 --startMP 204:232978 --initTime 2017-10-30T09:00:49 --startdatetime 2017-10-30T09:12:17 --delay 48 --endMP 204:1639 --enddatetime 2017-10-30T09:49:38 --enforcementcount 0 &gt;&gt;%USERPROFILE%\Documents\GitHub\eaglep3-reporting\EC\2017-10-30-refined-times.txt</v>
      </c>
      <c r="AI49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{"issue":{"subject":"","project_id":79,"tracker_id":40,"status_id":1,"priority_id":2,"assigned_to_id":338,"start_date":"2017-10-30","description":"","custom_fields":[{"id":1,"name":"Subdivision","value":"EC"},{"id":4,"name":"Milepost","value":"0.1639"},{"id":17,"name":"Train ID","value":"138-30"},{"id":16,"name":"Locomotive ID","value":"4041"},{"id":130,"name":"Impact","value":""},{"id":150,"name":"Time of Event (Mountain Time)","value":"09:49:38"},{"id":151,"name":"Denver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4041 --day 2017-10-30</v>
      </c>
      <c r="AN49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-30T08:00:49-0600',mode:absolute,to:'2017-10-30T10:49:38-0600'))&amp;_a=(columns:!('Message%20ID',Summary),filters:!(),index:'emp_*',interval:auto,query:(query_string:(analyze_wildcard:!t,query:'%22rtdc.l.rtdc.4041%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740</v>
      </c>
      <c r="B50" s="7">
        <v>4032</v>
      </c>
      <c r="C50" s="21" t="s">
        <v>194</v>
      </c>
      <c r="D50" s="21" t="s">
        <v>930</v>
      </c>
      <c r="E50" s="13">
        <v>43038.351030092592</v>
      </c>
      <c r="F50" s="13">
        <v>43038.354467592595</v>
      </c>
      <c r="G50" s="7">
        <v>67</v>
      </c>
      <c r="H50" s="21" t="s">
        <v>932</v>
      </c>
      <c r="I50" s="13">
        <v>43038.380057870374</v>
      </c>
      <c r="J50" s="7">
        <v>0</v>
      </c>
      <c r="K50" s="89" t="str">
        <f t="shared" si="0"/>
        <v>4031/4032</v>
      </c>
      <c r="L50" s="185" t="str">
        <f>VLOOKUP(A50,'Trips&amp;Operators'!$C$1:$G$99911,5,FALSE)</f>
        <v>THOMPSON LESTER</v>
      </c>
      <c r="M50" s="6">
        <f t="shared" si="1"/>
        <v>2.5590277778974269E-2</v>
      </c>
      <c r="N50" s="7">
        <f t="shared" si="25"/>
        <v>36.850000001722947</v>
      </c>
      <c r="O50" s="7"/>
      <c r="P50" s="7"/>
      <c r="Q50" s="22"/>
      <c r="R50" s="174"/>
      <c r="S50" s="221">
        <f t="shared" si="26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-30T07:25:29-0600',mode:absolute,to:'2017-10-30T10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27"/>
        <v>4.7100000000000003E-2</v>
      </c>
      <c r="Z50" s="204">
        <f t="shared" si="28"/>
        <v>23.328299999999999</v>
      </c>
      <c r="AA50" s="204">
        <f t="shared" si="9"/>
        <v>23.281199999999998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139</v>
      </c>
      <c r="AE50" s="77" t="str">
        <f t="shared" si="1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50" s="74" t="str">
        <f t="shared" si="12"/>
        <v>"C:\Program Files (x86)\AstroGrep\AstroGrep.exe" /e /r /s /spath="%USERPROFILE%\AppData\Local\Temp\OnboardLogs" /stypes="app*4032*20171030*"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139-30 --locoid 4032 --swversion DE.1.0.9.0 --startMP 204:471 --initTime 2017-10-30T08:25:29 --startdatetime 2017-10-30T08:30:26 --delay 67 --endMP 204:233283 --enddatetime 2017-10-30T09:07:17 --enforcementcount 0 &gt;&gt;%USERPROFILE%\Documents\GitHub\eaglep3-reporting\EC\2017-10-30-refined-times.txt</v>
      </c>
      <c r="AI5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{"issue":{"subject":"","project_id":79,"tracker_id":40,"status_id":1,"priority_id":2,"assigned_to_id":338,"start_date":"2017-10-30","description":"","custom_fields":[{"id":1,"name":"Subdivision","value":"EC"},{"id":4,"name":"Milepost","value":"23.3283"},{"id":17,"name":"Train ID","value":"139-30"},{"id":16,"name":"Locomotive ID","value":"4032"},{"id":130,"name":"Impact","value":""},{"id":150,"name":"Time of Event (Mountain Time)","value":"09:07:17"},{"id":151,"name":"Denver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4032 --day 2017-10-30</v>
      </c>
      <c r="AN5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-30T07:25:29-0600',mode:absolute,to:'2017-10-30T10:07:17-0600'))&amp;_a=(columns:!('Message%20ID',Summary),filters:!(),index:'emp_*',interval:auto,query:(query_string:(analyze_wildcard:!t,query:'%22rtdc.l.rtdc.4032%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751</v>
      </c>
      <c r="B51" s="7">
        <v>4031</v>
      </c>
      <c r="C51" s="21" t="s">
        <v>194</v>
      </c>
      <c r="D51" s="21" t="s">
        <v>590</v>
      </c>
      <c r="E51" s="13">
        <v>43038.391886574071</v>
      </c>
      <c r="F51" s="13">
        <v>43038.394085648149</v>
      </c>
      <c r="G51" s="7">
        <v>62</v>
      </c>
      <c r="H51" s="21" t="s">
        <v>922</v>
      </c>
      <c r="I51" s="13">
        <v>43038.421770833331</v>
      </c>
      <c r="J51" s="7">
        <v>0</v>
      </c>
      <c r="K51" s="89" t="str">
        <f t="shared" si="0"/>
        <v>4031/4032</v>
      </c>
      <c r="L51" s="185" t="str">
        <f>VLOOKUP(A51,'Trips&amp;Operators'!$C$1:$G$99911,5,FALSE)</f>
        <v>THOMPSON LESTER</v>
      </c>
      <c r="M51" s="6">
        <f t="shared" si="1"/>
        <v>2.7685185181326233E-2</v>
      </c>
      <c r="N51" s="7">
        <f t="shared" si="25"/>
        <v>39.866666661109775</v>
      </c>
      <c r="O51" s="7"/>
      <c r="P51" s="7"/>
      <c r="Q51" s="22"/>
      <c r="R51" s="174"/>
      <c r="S51" s="221">
        <f t="shared" si="26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-30T08:24:19-0600',mode:absolute,to:'2017-10-30T11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27"/>
        <v>23.2959</v>
      </c>
      <c r="Z51" s="204">
        <f t="shared" si="28"/>
        <v>1.34E-2</v>
      </c>
      <c r="AA51" s="204">
        <f t="shared" si="9"/>
        <v>23.282499999999999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140</v>
      </c>
      <c r="AE51" s="77" t="str">
        <f t="shared" si="1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51" s="74" t="str">
        <f t="shared" si="12"/>
        <v>"C:\Program Files (x86)\AstroGrep\AstroGrep.exe" /e /r /s /spath="%USERPROFILE%\AppData\Local\Temp\OnboardLogs" /stypes="app*4031*20171030*" /stext=" 16:.+((SYSTEM_STATE.+slice.+state.+changed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140-30 --locoid 4031 --swversion DE.1.0.9.0 --startMP 204:232959 --initTime 2017-10-30T09:24:19 --startdatetime 2017-10-30T09:27:29 --delay 62 --endMP 204:134 --enddatetime 2017-10-30T10:07:21 --enforcementcount 0 &gt;&gt;%USERPROFILE%\Documents\GitHub\eaglep3-reporting\EC\2017-10-30-refined-times.txt</v>
      </c>
      <c r="AI5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{"issue":{"subject":"","project_id":79,"tracker_id":40,"status_id":1,"priority_id":2,"assigned_to_id":338,"start_date":"2017-10-30","description":"","custom_fields":[{"id":1,"name":"Subdivision","value":"EC"},{"id":4,"name":"Milepost","value":"0.0134"},{"id":17,"name":"Train ID","value":"140-30"},{"id":16,"name":"Locomotive ID","value":"4031"},{"id":130,"name":"Impact","value":""},{"id":150,"name":"Time of Event (Mountain Time)","value":"10:07:21"},{"id":151,"name":"Denver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4031 --day 2017-10-30</v>
      </c>
      <c r="AN5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-30T08:24:19-0600',mode:absolute,to:'2017-10-30T11:07:21-0600'))&amp;_a=(columns:!('Message%20ID',Summary),filters:!(),index:'emp_*',interval:auto,query:(query_string:(analyze_wildcard:!t,query:'%22rtdc.l.rtdc.4031%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744</v>
      </c>
      <c r="B52" s="7">
        <v>4054</v>
      </c>
      <c r="C52" s="21" t="s">
        <v>194</v>
      </c>
      <c r="D52" s="21" t="s">
        <v>933</v>
      </c>
      <c r="E52" s="13">
        <v>43038.360300925924</v>
      </c>
      <c r="F52" s="13">
        <v>43038.364837962959</v>
      </c>
      <c r="G52" s="7">
        <v>49</v>
      </c>
      <c r="H52" s="21" t="s">
        <v>934</v>
      </c>
      <c r="I52" s="13">
        <v>43038.389143518521</v>
      </c>
      <c r="J52" s="7">
        <v>0</v>
      </c>
      <c r="K52" s="89" t="str">
        <f t="shared" si="0"/>
        <v>4053/4054</v>
      </c>
      <c r="L52" s="185" t="str">
        <f>VLOOKUP(A52,'Trips&amp;Operators'!$C$1:$G$99911,5,FALSE)</f>
        <v>BROWN JACOB</v>
      </c>
      <c r="M52" s="6">
        <f t="shared" si="1"/>
        <v>2.4305555562023073E-2</v>
      </c>
      <c r="N52" s="7">
        <f t="shared" si="25"/>
        <v>35.000000009313226</v>
      </c>
      <c r="O52" s="7"/>
      <c r="P52" s="7"/>
      <c r="Q52" s="22"/>
      <c r="R52" s="174"/>
      <c r="S52" s="221">
        <f t="shared" si="26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-30T07:38:50-0600',mode:absolute,to:'2017-10-30T10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27"/>
        <v>4.6600000000000003E-2</v>
      </c>
      <c r="Z52" s="204">
        <f t="shared" si="28"/>
        <v>23.331099999999999</v>
      </c>
      <c r="AA52" s="204">
        <f t="shared" si="9"/>
        <v>23.284499999999998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141</v>
      </c>
      <c r="AE52" s="77" t="str">
        <f t="shared" si="1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52" s="74" t="str">
        <f t="shared" si="12"/>
        <v>"C:\Program Files (x86)\AstroGrep\AstroGrep.exe" /e /r /s /spath="%USERPROFILE%\AppData\Local\Temp\OnboardLogs" /stypes="app*4054*20171030*"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141-30 --locoid 4054 --swversion DE.1.0.9.0 --startMP 204:466 --initTime 2017-10-30T08:38:50 --startdatetime 2017-10-30T08:45:22 --delay 49 --endMP 204:233311 --enddatetime 2017-10-30T09:20:22 --enforcementcount 0 &gt;&gt;%USERPROFILE%\Documents\GitHub\eaglep3-reporting\EC\2017-10-30-refined-times.txt</v>
      </c>
      <c r="AI52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{"issue":{"subject":"","project_id":79,"tracker_id":40,"status_id":1,"priority_id":2,"assigned_to_id":338,"start_date":"2017-10-30","description":"","custom_fields":[{"id":1,"name":"Subdivision","value":"EC"},{"id":4,"name":"Milepost","value":"23.3311"},{"id":17,"name":"Train ID","value":"141-30"},{"id":16,"name":"Locomotive ID","value":"4054"},{"id":130,"name":"Impact","value":""},{"id":150,"name":"Time of Event (Mountain Time)","value":"09:20:22"},{"id":151,"name":"Denver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4054 --day 2017-10-30</v>
      </c>
      <c r="AN52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-30T07:38:50-0600',mode:absolute,to:'2017-10-30T10:20:22-0600'))&amp;_a=(columns:!('Message%20ID',Summary),filters:!(),index:'emp_*',interval:auto,query:(query_string:(analyze_wildcard:!t,query:'%22rtdc.l.rtdc.4054%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750</v>
      </c>
      <c r="B53" s="7">
        <v>4053</v>
      </c>
      <c r="C53" s="21" t="s">
        <v>194</v>
      </c>
      <c r="D53" s="21" t="s">
        <v>935</v>
      </c>
      <c r="E53" s="13">
        <v>43038.395312499997</v>
      </c>
      <c r="F53" s="13">
        <v>43038.404456018521</v>
      </c>
      <c r="G53" s="7">
        <v>61</v>
      </c>
      <c r="H53" s="21" t="s">
        <v>358</v>
      </c>
      <c r="I53" s="13">
        <v>43038.431342592594</v>
      </c>
      <c r="J53" s="7">
        <v>0</v>
      </c>
      <c r="K53" s="89" t="str">
        <f t="shared" si="0"/>
        <v>4053/4054</v>
      </c>
      <c r="L53" s="185" t="str">
        <f>VLOOKUP(A53,'Trips&amp;Operators'!$C$1:$G$99911,5,FALSE)</f>
        <v>BROWN JACOB</v>
      </c>
      <c r="M53" s="6">
        <f t="shared" si="1"/>
        <v>2.6886574072705116E-2</v>
      </c>
      <c r="N53" s="7">
        <f t="shared" si="25"/>
        <v>38.716666664695367</v>
      </c>
      <c r="O53" s="7"/>
      <c r="P53" s="7"/>
      <c r="Q53" s="22"/>
      <c r="R53" s="174"/>
      <c r="S53" s="221">
        <f t="shared" si="26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-30T08:29:15-0600',mode:absolute,to:'2017-10-30T11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27"/>
        <v>23.2988</v>
      </c>
      <c r="Z53" s="204">
        <f t="shared" si="28"/>
        <v>1.54E-2</v>
      </c>
      <c r="AA53" s="204">
        <f t="shared" si="9"/>
        <v>23.2834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142</v>
      </c>
      <c r="AE53" s="77" t="str">
        <f t="shared" si="1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53" s="74" t="str">
        <f t="shared" si="12"/>
        <v>"C:\Program Files (x86)\AstroGrep\AstroGrep.exe" /e /r /s /spath="%USERPROFILE%\AppData\Local\Temp\OnboardLogs" /stypes="app*4053*20171030*"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142-30 --locoid 4053 --swversion DE.1.0.9.0 --startMP 204:232988 --initTime 2017-10-30T09:29:15 --startdatetime 2017-10-30T09:42:25 --delay 61 --endMP 204:154 --enddatetime 2017-10-30T10:21:08 --enforcementcount 0 &gt;&gt;%USERPROFILE%\Documents\GitHub\eaglep3-reporting\EC\2017-10-30-refined-times.txt</v>
      </c>
      <c r="AI53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{"issue":{"subject":"","project_id":79,"tracker_id":40,"status_id":1,"priority_id":2,"assigned_to_id":338,"start_date":"2017-10-30","description":"","custom_fields":[{"id":1,"name":"Subdivision","value":"EC"},{"id":4,"name":"Milepost","value":"0.0154"},{"id":17,"name":"Train ID","value":"142-30"},{"id":16,"name":"Locomotive ID","value":"4053"},{"id":130,"name":"Impact","value":""},{"id":150,"name":"Time of Event (Mountain Time)","value":"10:21:08"},{"id":151,"name":"Denver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4053 --day 2017-10-30</v>
      </c>
      <c r="AN53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-30T08:29:15-0600',mode:absolute,to:'2017-10-30T11:21:08-0600'))&amp;_a=(columns:!('Message%20ID',Summary),filters:!(),index:'emp_*',interval:auto,query:(query_string:(analyze_wildcard:!t,query:'%22rtdc.l.rtdc.4053%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745</v>
      </c>
      <c r="B54" s="7">
        <v>4024</v>
      </c>
      <c r="C54" s="21" t="s">
        <v>194</v>
      </c>
      <c r="D54" s="21" t="s">
        <v>594</v>
      </c>
      <c r="E54" s="13">
        <v>43038.370833333334</v>
      </c>
      <c r="F54" s="13">
        <v>43038.3753125</v>
      </c>
      <c r="G54" s="7">
        <v>48</v>
      </c>
      <c r="H54" s="21" t="s">
        <v>587</v>
      </c>
      <c r="I54" s="13">
        <v>43038.400509259256</v>
      </c>
      <c r="J54" s="7">
        <v>0</v>
      </c>
      <c r="K54" s="89" t="str">
        <f t="shared" si="0"/>
        <v>4023/4024</v>
      </c>
      <c r="L54" s="185" t="str">
        <f>VLOOKUP(A54,'Trips&amp;Operators'!$C$1:$G$99911,5,FALSE)</f>
        <v>BONDS REYNALDO</v>
      </c>
      <c r="M54" s="6">
        <f t="shared" si="1"/>
        <v>2.5196759255777579E-2</v>
      </c>
      <c r="N54" s="7">
        <f t="shared" si="25"/>
        <v>36.283333328319713</v>
      </c>
      <c r="O54" s="7"/>
      <c r="P54" s="7"/>
      <c r="Q54" s="22"/>
      <c r="R54" s="174"/>
      <c r="S54" s="221">
        <f t="shared" si="26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-30T07:54:00-0600',mode:absolute,to:'2017-10-30T10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204" t="str">
        <f>IF(AA54&lt;VLOOKUP(AG54,Variables!$AC$3:$AD$8,2,FALSE),"Y","N")</f>
        <v>N</v>
      </c>
      <c r="X54" s="204">
        <f t="shared" ref="X54:X55" si="29">VALUE(LEFT(AD54,4))-VALUE(LEFT(AD53,4))</f>
        <v>1</v>
      </c>
      <c r="Y54" s="204">
        <f t="shared" si="27"/>
        <v>4.3700000000000003E-2</v>
      </c>
      <c r="Z54" s="204">
        <f t="shared" si="28"/>
        <v>23.328099999999999</v>
      </c>
      <c r="AA54" s="204">
        <f t="shared" si="9"/>
        <v>23.284399999999998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143</v>
      </c>
      <c r="AE54" s="77" t="str">
        <f t="shared" si="1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54" s="74" t="str">
        <f t="shared" si="12"/>
        <v>"C:\Program Files (x86)\AstroGrep\AstroGrep.exe" /e /r /s /spath="%USERPROFILE%\AppData\Local\Temp\OnboardLogs" /stypes="app*4024*20171030*"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143-30 --locoid 4024 --swversion DE.1.0.9.0 --startMP 204:437 --initTime 2017-10-30T08:54:00 --startdatetime 2017-10-30T09:00:27 --delay 48 --endMP 204:233281 --enddatetime 2017-10-30T09:36:44 --enforcementcount 0 &gt;&gt;%USERPROFILE%\Documents\GitHub\eaglep3-reporting\EC\2017-10-30-refined-times.txt</v>
      </c>
      <c r="AI54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{"issue":{"subject":"","project_id":79,"tracker_id":40,"status_id":1,"priority_id":2,"assigned_to_id":338,"start_date":"2017-10-30","description":"","custom_fields":[{"id":1,"name":"Subdivision","value":"EC"},{"id":4,"name":"Milepost","value":"23.3281"},{"id":17,"name":"Train ID","value":"143-30"},{"id":16,"name":"Locomotive ID","value":"4024"},{"id":130,"name":"Impact","value":""},{"id":150,"name":"Time of Event (Mountain Time)","value":"09:36:44"},{"id":151,"name":"Denver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4024 --day 2017-10-30</v>
      </c>
      <c r="AN54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-30T07:54:00-0600',mode:absolute,to:'2017-10-30T10:36:44-0600'))&amp;_a=(columns:!('Message%20ID',Summary),filters:!(),index:'emp_*',interval:auto,query:(query_string:(analyze_wildcard:!t,query:'%22rtdc.l.rtdc.4024%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755</v>
      </c>
      <c r="B55" s="7">
        <v>4023</v>
      </c>
      <c r="C55" s="21" t="s">
        <v>194</v>
      </c>
      <c r="D55" s="21" t="s">
        <v>509</v>
      </c>
      <c r="E55" s="13">
        <v>43038.409872685188</v>
      </c>
      <c r="F55" s="13">
        <v>43038.414861111109</v>
      </c>
      <c r="G55" s="7">
        <v>55</v>
      </c>
      <c r="H55" s="21" t="s">
        <v>358</v>
      </c>
      <c r="I55" s="13">
        <v>43038.440775462965</v>
      </c>
      <c r="J55" s="7">
        <v>0</v>
      </c>
      <c r="K55" s="89" t="str">
        <f t="shared" si="0"/>
        <v>4023/4024</v>
      </c>
      <c r="L55" s="185" t="str">
        <f>VLOOKUP(A55,'Trips&amp;Operators'!$C$1:$G$99911,5,FALSE)</f>
        <v>BONDS REYNALDO</v>
      </c>
      <c r="M55" s="6">
        <f t="shared" si="1"/>
        <v>2.5914351856044959E-2</v>
      </c>
      <c r="N55" s="7">
        <f t="shared" si="25"/>
        <v>37.316666672704741</v>
      </c>
      <c r="O55" s="7"/>
      <c r="P55" s="7"/>
      <c r="Q55" s="22"/>
      <c r="R55" s="174"/>
      <c r="S55" s="221">
        <f t="shared" si="26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-30T08:50:13-0600',mode:absolute,to:'2017-10-30T11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204" t="str">
        <f>IF(AA55&lt;VLOOKUP(AG55,Variables!$AC$3:$AD$8,2,FALSE),"Y","N")</f>
        <v>N</v>
      </c>
      <c r="X55" s="204">
        <f t="shared" si="29"/>
        <v>1</v>
      </c>
      <c r="Y55" s="204">
        <f t="shared" si="27"/>
        <v>23.2972</v>
      </c>
      <c r="Z55" s="204">
        <f t="shared" si="28"/>
        <v>1.54E-2</v>
      </c>
      <c r="AA55" s="204">
        <f t="shared" si="9"/>
        <v>23.2818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144</v>
      </c>
      <c r="AE55" s="77" t="str">
        <f t="shared" si="1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55" s="74" t="str">
        <f t="shared" si="12"/>
        <v>"C:\Program Files (x86)\AstroGrep\AstroGrep.exe" /e /r /s /spath="%USERPROFILE%\AppData\Local\Temp\OnboardLogs" /stypes="app*4023*20171030*"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144-30 --locoid 4023 --swversion DE.1.0.9.0 --startMP 204:232972 --initTime 2017-10-30T09:50:13 --startdatetime 2017-10-30T09:57:24 --delay 55 --endMP 204:154 --enddatetime 2017-10-30T10:34:43 --enforcementcount 0 &gt;&gt;%USERPROFILE%\Documents\GitHub\eaglep3-reporting\EC\2017-10-30-refined-times.txt</v>
      </c>
      <c r="AI5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{"issue":{"subject":"","project_id":79,"tracker_id":40,"status_id":1,"priority_id":2,"assigned_to_id":338,"start_date":"2017-10-30","description":"","custom_fields":[{"id":1,"name":"Subdivision","value":"EC"},{"id":4,"name":"Milepost","value":"0.0154"},{"id":17,"name":"Train ID","value":"144-30"},{"id":16,"name":"Locomotive ID","value":"4023"},{"id":130,"name":"Impact","value":""},{"id":150,"name":"Time of Event (Mountain Time)","value":"10:34:43"},{"id":151,"name":"Denver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4023 --day 2017-10-30</v>
      </c>
      <c r="AN5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-30T08:50:13-0600',mode:absolute,to:'2017-10-30T11:34:43-0600'))&amp;_a=(columns:!('Message%20ID',Summary),filters:!(),index:'emp_*',interval:auto,query:(query_string:(analyze_wildcard:!t,query:'%22rtdc.l.rtdc.4023%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748</v>
      </c>
      <c r="B56" s="7">
        <v>4002</v>
      </c>
      <c r="C56" s="21" t="s">
        <v>194</v>
      </c>
      <c r="D56" s="21" t="s">
        <v>936</v>
      </c>
      <c r="E56" s="13">
        <v>43038.383090277777</v>
      </c>
      <c r="F56" s="13">
        <v>43038.385601851849</v>
      </c>
      <c r="G56" s="7">
        <v>73</v>
      </c>
      <c r="H56" s="21" t="s">
        <v>506</v>
      </c>
      <c r="I56" s="13">
        <v>43038.409629629627</v>
      </c>
      <c r="J56" s="7">
        <v>0</v>
      </c>
      <c r="K56" s="89" t="str">
        <f t="shared" si="0"/>
        <v>4001/4002</v>
      </c>
      <c r="L56" s="185" t="str">
        <f>VLOOKUP(A56,'Trips&amp;Operators'!$C$1:$G$99911,5,FALSE)</f>
        <v>LAMAR NEKESHA</v>
      </c>
      <c r="M56" s="6">
        <f t="shared" si="1"/>
        <v>2.4027777777519077E-2</v>
      </c>
      <c r="N56" s="7">
        <f t="shared" si="25"/>
        <v>34.599999999627471</v>
      </c>
      <c r="O56" s="7"/>
      <c r="P56" s="7"/>
      <c r="Q56" s="22"/>
      <c r="R56" s="174"/>
      <c r="S56" s="221">
        <f t="shared" si="26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-30T08:11:39-0600',mode:absolute,to:'2017-10-30T10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6" s="204" t="str">
        <f>IF(AA56&lt;VLOOKUP(AG56,Variables!$AC$3:$AD$8,2,FALSE),"Y","N")</f>
        <v>N</v>
      </c>
      <c r="X56" s="204">
        <f t="shared" ref="X56:X87" si="30">VALUE(LEFT(AD56,4))-VALUE(LEFT(AD55,4))</f>
        <v>1</v>
      </c>
      <c r="Y56" s="204">
        <f t="shared" si="27"/>
        <v>4.9500000000000002E-2</v>
      </c>
      <c r="Z56" s="204">
        <f t="shared" si="28"/>
        <v>23.3264</v>
      </c>
      <c r="AA56" s="204">
        <f t="shared" si="9"/>
        <v>23.276900000000001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145</v>
      </c>
      <c r="AE56" s="77" t="str">
        <f t="shared" si="1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56" s="74" t="str">
        <f t="shared" si="12"/>
        <v>"C:\Program Files (x86)\AstroGrep\AstroGrep.exe" /e /r /s /spath="%USERPROFILE%\AppData\Local\Temp\OnboardLogs" /stypes="app*4002*20171030*"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145-30 --locoid 4002 --swversion DE.1.0.9.0 --startMP 204:495 --initTime 2017-10-30T09:11:39 --startdatetime 2017-10-30T09:15:16 --delay 73 --endMP 204:233264 --enddatetime 2017-10-30T09:49:52 --enforcementcount 0 &gt;&gt;%USERPROFILE%\Documents\GitHub\eaglep3-reporting\EC\2017-10-30-refined-times.txt</v>
      </c>
      <c r="AI5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{"issue":{"subject":"","project_id":79,"tracker_id":40,"status_id":1,"priority_id":2,"assigned_to_id":338,"start_date":"2017-10-30","description":"","custom_fields":[{"id":1,"name":"Subdivision","value":"EC"},{"id":4,"name":"Milepost","value":"23.3264"},{"id":17,"name":"Train ID","value":"145-30"},{"id":16,"name":"Locomotive ID","value":"4002"},{"id":130,"name":"Impact","value":""},{"id":150,"name":"Time of Event (Mountain Time)","value":"09:49:52"},{"id":151,"name":"Denver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4002 --day 2017-10-30</v>
      </c>
      <c r="AN5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-30T08:11:39-0600',mode:absolute,to:'2017-10-30T10:49:52-0600'))&amp;_a=(columns:!('Message%20ID',Summary),filters:!(),index:'emp_*',interval:auto,query:(query_string:(analyze_wildcard:!t,query:'%22rtdc.l.rtdc.4002%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758</v>
      </c>
      <c r="B57" s="7">
        <v>4001</v>
      </c>
      <c r="C57" s="21" t="s">
        <v>194</v>
      </c>
      <c r="D57" s="21" t="s">
        <v>484</v>
      </c>
      <c r="E57" s="13">
        <v>43038.420057870368</v>
      </c>
      <c r="F57" s="13">
        <v>43038.42528935185</v>
      </c>
      <c r="G57" s="7">
        <v>57</v>
      </c>
      <c r="H57" s="21" t="s">
        <v>338</v>
      </c>
      <c r="I57" s="13">
        <v>43038.451319444444</v>
      </c>
      <c r="J57" s="7">
        <v>0</v>
      </c>
      <c r="K57" s="89" t="str">
        <f t="shared" si="0"/>
        <v>4001/4002</v>
      </c>
      <c r="L57" s="185" t="str">
        <f>VLOOKUP(A57,'Trips&amp;Operators'!$C$1:$G$99911,5,FALSE)</f>
        <v>LAMAR NEKESHA</v>
      </c>
      <c r="M57" s="6">
        <f t="shared" si="1"/>
        <v>2.6030092594737653E-2</v>
      </c>
      <c r="N57" s="7">
        <f t="shared" si="25"/>
        <v>37.48333333642222</v>
      </c>
      <c r="O57" s="7"/>
      <c r="P57" s="7"/>
      <c r="Q57" s="22"/>
      <c r="R57" s="174"/>
      <c r="S57" s="221">
        <f t="shared" si="26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-30T09:04:53-0600',mode:absolute,to:'2017-10-30T11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7" s="204" t="str">
        <f>IF(AA57&lt;VLOOKUP(AG57,Variables!$AC$3:$AD$8,2,FALSE),"Y","N")</f>
        <v>N</v>
      </c>
      <c r="X57" s="204">
        <f t="shared" si="30"/>
        <v>1</v>
      </c>
      <c r="Y57" s="204">
        <f t="shared" si="27"/>
        <v>23.293800000000001</v>
      </c>
      <c r="Z57" s="204">
        <f t="shared" si="28"/>
        <v>1.47E-2</v>
      </c>
      <c r="AA57" s="204">
        <f t="shared" si="9"/>
        <v>23.2791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146</v>
      </c>
      <c r="AE57" s="77" t="str">
        <f t="shared" si="1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57" s="74" t="str">
        <f t="shared" si="12"/>
        <v>"C:\Program Files (x86)\AstroGrep\AstroGrep.exe" /e /r /s /spath="%USERPROFILE%\AppData\Local\Temp\OnboardLogs" /stypes="app*4001*20171030*"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146-30 --locoid 4001 --swversion DE.1.0.9.0 --startMP 204:232938 --initTime 2017-10-30T10:04:53 --startdatetime 2017-10-30T10:12:25 --delay 57 --endMP 204:147 --enddatetime 2017-10-30T10:49:54 --enforcementcount 0 &gt;&gt;%USERPROFILE%\Documents\GitHub\eaglep3-reporting\EC\2017-10-30-refined-times.txt</v>
      </c>
      <c r="AI57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{"issue":{"subject":"","project_id":79,"tracker_id":40,"status_id":1,"priority_id":2,"assigned_to_id":338,"start_date":"2017-10-30","description":"","custom_fields":[{"id":1,"name":"Subdivision","value":"EC"},{"id":4,"name":"Milepost","value":"0.0147"},{"id":17,"name":"Train ID","value":"146-30"},{"id":16,"name":"Locomotive ID","value":"4001"},{"id":130,"name":"Impact","value":""},{"id":150,"name":"Time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4001 --day 2017-10-30</v>
      </c>
      <c r="AN57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-30T09:04:53-0600',mode:absolute,to:'2017-10-30T11:49:54-0600'))&amp;_a=(columns:!('Message%20ID',Summary),filters:!(),index:'emp_*',interval:auto,query:(query_string:(analyze_wildcard:!t,query:'%22rtdc.l.rtdc.4001%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749</v>
      </c>
      <c r="B58" s="7">
        <v>4012</v>
      </c>
      <c r="C58" s="21" t="s">
        <v>194</v>
      </c>
      <c r="D58" s="21" t="s">
        <v>584</v>
      </c>
      <c r="E58" s="13">
        <v>43038.389837962961</v>
      </c>
      <c r="F58" s="13">
        <v>43038.396226851852</v>
      </c>
      <c r="G58" s="7">
        <v>47</v>
      </c>
      <c r="H58" s="21" t="s">
        <v>937</v>
      </c>
      <c r="I58" s="13">
        <v>43038.420486111114</v>
      </c>
      <c r="J58" s="7">
        <v>0</v>
      </c>
      <c r="K58" s="89" t="str">
        <f t="shared" si="0"/>
        <v>4011/4012</v>
      </c>
      <c r="L58" s="185" t="str">
        <f>VLOOKUP(A58,'Trips&amp;Operators'!$C$1:$G$99911,5,FALSE)</f>
        <v>YORK EDGAR</v>
      </c>
      <c r="M58" s="6">
        <f t="shared" si="1"/>
        <v>2.4259259262180422E-2</v>
      </c>
      <c r="N58" s="7">
        <f t="shared" si="25"/>
        <v>34.933333337539807</v>
      </c>
      <c r="O58" s="7"/>
      <c r="P58" s="7"/>
      <c r="Q58" s="22"/>
      <c r="R58" s="174"/>
      <c r="S58" s="221">
        <f t="shared" si="26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-30T08:21:22-0600',mode:absolute,to:'2017-10-30T11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204" t="str">
        <f>IF(AA58&lt;VLOOKUP(AG58,Variables!$AC$3:$AD$8,2,FALSE),"Y","N")</f>
        <v>N</v>
      </c>
      <c r="X58" s="204">
        <f t="shared" si="30"/>
        <v>1</v>
      </c>
      <c r="Y58" s="204">
        <f t="shared" si="27"/>
        <v>4.5499999999999999E-2</v>
      </c>
      <c r="Z58" s="204">
        <f t="shared" si="28"/>
        <v>23.3308</v>
      </c>
      <c r="AA58" s="204">
        <f t="shared" si="9"/>
        <v>23.285299999999999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147</v>
      </c>
      <c r="AE58" s="77" t="str">
        <f t="shared" si="1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58" s="74" t="str">
        <f t="shared" si="12"/>
        <v>"C:\Program Files (x86)\AstroGrep\AstroGrep.exe" /e /r /s /spath="%USERPROFILE%\AppData\Local\Temp\OnboardLogs" /stypes="app*4012*20171030*"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147-30 --locoid 4012 --swversion DE.1.0.9.0 --startMP 204:455 --initTime 2017-10-30T09:21:22 --startdatetime 2017-10-30T09:30:34 --delay 47 --endMP 204:233308 --enddatetime 2017-10-30T10:05:30 --enforcementcount 0 &gt;&gt;%USERPROFILE%\Documents\GitHub\eaglep3-reporting\EC\2017-10-30-refined-times.txt</v>
      </c>
      <c r="AI5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{"issue":{"subject":"","project_id":79,"tracker_id":40,"status_id":1,"priority_id":2,"assigned_to_id":338,"start_date":"2017-10-30","description":"","custom_fields":[{"id":1,"name":"Subdivision","value":"EC"},{"id":4,"name":"Milepost","value":"23.3308"},{"id":17,"name":"Train ID","value":"147-30"},{"id":16,"name":"Locomotive ID","value":"4012"},{"id":130,"name":"Impact","value":""},{"id":150,"name":"Time of Event (Mountain Time)","value":"10:05:30"},{"id":151,"name":"Denver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4012 --day 2017-10-30</v>
      </c>
      <c r="AN5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-30T08:21:22-0600',mode:absolute,to:'2017-10-30T11:05:30-0600'))&amp;_a=(columns:!('Message%20ID',Summary),filters:!(),index:'emp_*',interval:auto,query:(query_string:(analyze_wildcard:!t,query:'%22rtdc.l.rtdc.4012%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759</v>
      </c>
      <c r="B59" s="7">
        <v>4011</v>
      </c>
      <c r="C59" s="21" t="s">
        <v>194</v>
      </c>
      <c r="D59" s="21" t="s">
        <v>938</v>
      </c>
      <c r="E59" s="13">
        <v>43038.421469907407</v>
      </c>
      <c r="F59" s="13">
        <v>43038.435706018521</v>
      </c>
      <c r="G59" s="7">
        <v>55</v>
      </c>
      <c r="H59" s="21" t="s">
        <v>511</v>
      </c>
      <c r="I59" s="13">
        <v>43038.460659722223</v>
      </c>
      <c r="J59" s="7">
        <v>0</v>
      </c>
      <c r="K59" s="89" t="str">
        <f t="shared" si="0"/>
        <v>4011/4012</v>
      </c>
      <c r="L59" s="185" t="str">
        <f>VLOOKUP(A59,'Trips&amp;Operators'!$C$1:$G$99911,5,FALSE)</f>
        <v>YORK EDGAR</v>
      </c>
      <c r="M59" s="6">
        <f t="shared" si="1"/>
        <v>2.495370370161254E-2</v>
      </c>
      <c r="N59" s="7">
        <f t="shared" si="25"/>
        <v>35.933333330322057</v>
      </c>
      <c r="O59" s="7"/>
      <c r="P59" s="7"/>
      <c r="Q59" s="22"/>
      <c r="R59" s="174"/>
      <c r="S59" s="221">
        <f t="shared" si="26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-30T09:06:55-0600',mode:absolute,to:'2017-10-30T12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204" t="str">
        <f>IF(AA59&lt;VLOOKUP(AG59,Variables!$AC$3:$AD$8,2,FALSE),"Y","N")</f>
        <v>N</v>
      </c>
      <c r="X59" s="204">
        <f t="shared" si="30"/>
        <v>1</v>
      </c>
      <c r="Y59" s="204">
        <f t="shared" si="27"/>
        <v>23.2974</v>
      </c>
      <c r="Z59" s="204">
        <f t="shared" si="28"/>
        <v>1.61E-2</v>
      </c>
      <c r="AA59" s="204">
        <f t="shared" si="9"/>
        <v>23.281299999999998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148</v>
      </c>
      <c r="AE59" s="77" t="str">
        <f t="shared" si="1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59" s="74" t="str">
        <f t="shared" si="12"/>
        <v>"C:\Program Files (x86)\AstroGrep\AstroGrep.exe" /e /r /s /spath="%USERPROFILE%\AppData\Local\Temp\OnboardLogs" /stypes="app*4011*20171030*"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148-30 --locoid 4011 --swversion DE.1.0.9.0 --startMP 204:232974 --initTime 2017-10-30T10:06:55 --startdatetime 2017-10-30T10:27:25 --delay 55 --endMP 204:161 --enddatetime 2017-10-30T11:03:21 --enforcementcount 0 &gt;&gt;%USERPROFILE%\Documents\GitHub\eaglep3-reporting\EC\2017-10-30-refined-times.txt</v>
      </c>
      <c r="AI59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{"issue":{"subject":"","project_id":79,"tracker_id":40,"status_id":1,"priority_id":2,"assigned_to_id":338,"start_date":"2017-10-30","description":"","custom_fields":[{"id":1,"name":"Subdivision","value":"EC"},{"id":4,"name":"Milepost","value":"0.0161"},{"id":17,"name":"Train ID","value":"148-30"},{"id":16,"name":"Locomotive ID","value":"4011"},{"id":130,"name":"Impact","value":""},{"id":150,"name":"Time of Event (Mountain Time)","value":"11:03:21"},{"id":151,"name":"Denver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4011 --day 2017-10-30</v>
      </c>
      <c r="AN59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-30T09:06:55-0600',mode:absolute,to:'2017-10-30T12:03:21-0600'))&amp;_a=(columns:!('Message%20ID',Summary),filters:!(),index:'emp_*',interval:auto,query:(query_string:(analyze_wildcard:!t,query:'%22rtdc.l.rtdc.4011%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754</v>
      </c>
      <c r="B60" s="7">
        <v>4004</v>
      </c>
      <c r="C60" s="21" t="s">
        <v>194</v>
      </c>
      <c r="D60" s="21" t="s">
        <v>939</v>
      </c>
      <c r="E60" s="13">
        <v>43038.401689814818</v>
      </c>
      <c r="F60" s="13">
        <v>43038.406412037039</v>
      </c>
      <c r="G60" s="7">
        <v>82</v>
      </c>
      <c r="H60" s="21" t="s">
        <v>934</v>
      </c>
      <c r="I60" s="13">
        <v>43038.431168981479</v>
      </c>
      <c r="J60" s="7">
        <v>0</v>
      </c>
      <c r="K60" s="89" t="str">
        <f t="shared" si="0"/>
        <v>4003/4004</v>
      </c>
      <c r="L60" s="185" t="str">
        <f>VLOOKUP(A60,'Trips&amp;Operators'!$C$1:$G$99911,5,FALSE)</f>
        <v>BARRON PERLA</v>
      </c>
      <c r="M60" s="6">
        <f t="shared" si="1"/>
        <v>2.4756944440014195E-2</v>
      </c>
      <c r="N60" s="7">
        <f t="shared" si="25"/>
        <v>35.64999999362044</v>
      </c>
      <c r="O60" s="7"/>
      <c r="P60" s="7"/>
      <c r="Q60" s="22"/>
      <c r="R60" s="174"/>
      <c r="S60" s="221">
        <f t="shared" si="26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-30T08:38:26-0600',mode:absolute,to:'2017-10-30T11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204" t="str">
        <f>IF(AA60&lt;VLOOKUP(AG60,Variables!$AC$3:$AD$8,2,FALSE),"Y","N")</f>
        <v>N</v>
      </c>
      <c r="X60" s="204">
        <f t="shared" si="30"/>
        <v>1</v>
      </c>
      <c r="Y60" s="204">
        <f t="shared" si="27"/>
        <v>4.3099999999999999E-2</v>
      </c>
      <c r="Z60" s="204">
        <f t="shared" si="28"/>
        <v>23.331099999999999</v>
      </c>
      <c r="AA60" s="204">
        <f t="shared" si="9"/>
        <v>23.288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149</v>
      </c>
      <c r="AE60" s="77" t="str">
        <f t="shared" si="1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60" s="74" t="str">
        <f t="shared" si="12"/>
        <v>"C:\Program Files (x86)\AstroGrep\AstroGrep.exe" /e /r /s /spath="%USERPROFILE%\AppData\Local\Temp\OnboardLogs" /stypes="app*4004*20171030*"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149-30 --locoid 4004 --swversion DE.1.0.9.0 --startMP 204:431 --initTime 2017-10-30T09:38:26 --startdatetime 2017-10-30T09:45:14 --delay 82 --endMP 204:233311 --enddatetime 2017-10-30T10:20:53 --enforcementcount 0 &gt;&gt;%USERPROFILE%\Documents\GitHub\eaglep3-reporting\EC\2017-10-30-refined-times.txt</v>
      </c>
      <c r="AI6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{"issue":{"subject":"","project_id":79,"tracker_id":40,"status_id":1,"priority_id":2,"assigned_to_id":338,"start_date":"2017-10-30","description":"","custom_fields":[{"id":1,"name":"Subdivision","value":"EC"},{"id":4,"name":"Milepost","value":"23.3311"},{"id":17,"name":"Train ID","value":"149-30"},{"id":16,"name":"Locomotive ID","value":"4004"},{"id":130,"name":"Impact","value":""},{"id":150,"name":"Time of Event (Mountain Time)","value":"10:20:53"},{"id":151,"name":"Denver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4004 --day 2017-10-30</v>
      </c>
      <c r="AN6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-30T08:38:26-0600',mode:absolute,to:'2017-10-30T11:20:53-0600'))&amp;_a=(columns:!('Message%20ID',Summary),filters:!(),index:'emp_*',interval:auto,query:(query_string:(analyze_wildcard:!t,query:'%22rtdc.l.rtdc.4004%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761</v>
      </c>
      <c r="B61" s="7">
        <v>4003</v>
      </c>
      <c r="C61" s="21" t="s">
        <v>194</v>
      </c>
      <c r="D61" s="21" t="s">
        <v>935</v>
      </c>
      <c r="E61" s="13">
        <v>43038.432592592595</v>
      </c>
      <c r="F61" s="13">
        <v>43038.445983796293</v>
      </c>
      <c r="G61" s="7">
        <v>67</v>
      </c>
      <c r="H61" s="21" t="s">
        <v>468</v>
      </c>
      <c r="I61" s="13">
        <v>43038.472638888888</v>
      </c>
      <c r="J61" s="7">
        <v>0</v>
      </c>
      <c r="K61" s="89" t="str">
        <f t="shared" si="0"/>
        <v>4003/4004</v>
      </c>
      <c r="L61" s="185" t="str">
        <f>VLOOKUP(A61,'Trips&amp;Operators'!$C$1:$G$99911,5,FALSE)</f>
        <v>BARRON PERLA</v>
      </c>
      <c r="M61" s="6">
        <f t="shared" si="1"/>
        <v>2.6655092595319729E-2</v>
      </c>
      <c r="N61" s="7">
        <f t="shared" si="25"/>
        <v>38.38333333726041</v>
      </c>
      <c r="O61" s="7"/>
      <c r="P61" s="7"/>
      <c r="Q61" s="22"/>
      <c r="R61" s="174"/>
      <c r="S61" s="221">
        <f t="shared" si="26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-30T09:22:56-0600',mode:absolute,to:'2017-10-30T12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204" t="str">
        <f>IF(AA61&lt;VLOOKUP(AG61,Variables!$AC$3:$AD$8,2,FALSE),"Y","N")</f>
        <v>N</v>
      </c>
      <c r="X61" s="204">
        <f t="shared" si="30"/>
        <v>1</v>
      </c>
      <c r="Y61" s="204">
        <f t="shared" si="27"/>
        <v>23.2988</v>
      </c>
      <c r="Z61" s="204">
        <f t="shared" si="28"/>
        <v>1.6E-2</v>
      </c>
      <c r="AA61" s="204">
        <f t="shared" si="9"/>
        <v>23.282800000000002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150</v>
      </c>
      <c r="AE61" s="77" t="str">
        <f t="shared" si="1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61" s="74" t="str">
        <f t="shared" si="12"/>
        <v>"C:\Program Files (x86)\AstroGrep\AstroGrep.exe" /e /r /s /spath="%USERPROFILE%\AppData\Local\Temp\OnboardLogs" /stypes="app*4003*20171030*"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150-30 --locoid 4003 --swversion DE.1.0.9.0 --startMP 204:232988 --initTime 2017-10-30T10:22:56 --startdatetime 2017-10-30T10:42:13 --delay 67 --endMP 204:160 --enddatetime 2017-10-30T11:20:36 --enforcementcount 0 &gt;&gt;%USERPROFILE%\Documents\GitHub\eaglep3-reporting\EC\2017-10-30-refined-times.txt</v>
      </c>
      <c r="AI6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{"issue":{"subject":"","project_id":79,"tracker_id":40,"status_id":1,"priority_id":2,"assigned_to_id":338,"start_date":"2017-10-30","description":"","custom_fields":[{"id":1,"name":"Subdivision","value":"EC"},{"id":4,"name":"Milepost","value":"0.016"},{"id":17,"name":"Train ID","value":"150-30"},{"id":16,"name":"Locomotive ID","value":"4003"},{"id":130,"name":"Impact","value":""},{"id":150,"name":"Time of Event (Mountain Time)","value":"11:20:36"},{"id":151,"name":"Denver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4003 --day 2017-10-30</v>
      </c>
      <c r="AN6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-30T09:22:56-0600',mode:absolute,to:'2017-10-30T12:20:36-0600'))&amp;_a=(columns:!('Message%20ID',Summary),filters:!(),index:'emp_*',interval:auto,query:(query_string:(analyze_wildcard:!t,query:'%22rtdc.l.rtdc.4003%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756</v>
      </c>
      <c r="B62" s="7">
        <v>4058</v>
      </c>
      <c r="C62" s="21" t="s">
        <v>194</v>
      </c>
      <c r="D62" s="21" t="s">
        <v>351</v>
      </c>
      <c r="E62" s="13">
        <v>43038.413402777776</v>
      </c>
      <c r="F62" s="13">
        <v>43038.416875000003</v>
      </c>
      <c r="G62" s="7">
        <v>79</v>
      </c>
      <c r="H62" s="21" t="s">
        <v>940</v>
      </c>
      <c r="I62" s="13">
        <v>43038.442025462966</v>
      </c>
      <c r="J62" s="7">
        <v>0</v>
      </c>
      <c r="K62" s="89" t="str">
        <f t="shared" si="0"/>
        <v>4057/4058</v>
      </c>
      <c r="L62" s="185" t="str">
        <f>VLOOKUP(A62,'Trips&amp;Operators'!$C$1:$G$99911,5,FALSE)</f>
        <v>MAELZER KURT</v>
      </c>
      <c r="M62" s="6">
        <f t="shared" si="1"/>
        <v>2.5150462963210884E-2</v>
      </c>
      <c r="N62" s="7">
        <f t="shared" si="25"/>
        <v>36.216666667023674</v>
      </c>
      <c r="O62" s="7"/>
      <c r="P62" s="7"/>
      <c r="Q62" s="22"/>
      <c r="R62" s="174"/>
      <c r="S62" s="221">
        <f t="shared" si="26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-30T08:55:18-0600',mode:absolute,to:'2017-10-30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2" s="204" t="str">
        <f>IF(AA62&lt;VLOOKUP(AG62,Variables!$AC$3:$AD$8,2,FALSE),"Y","N")</f>
        <v>N</v>
      </c>
      <c r="X62" s="204">
        <f t="shared" si="30"/>
        <v>1</v>
      </c>
      <c r="Y62" s="204">
        <f t="shared" si="27"/>
        <v>4.58E-2</v>
      </c>
      <c r="Z62" s="204">
        <f t="shared" si="28"/>
        <v>23.331</v>
      </c>
      <c r="AA62" s="204">
        <f t="shared" si="9"/>
        <v>23.2852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151</v>
      </c>
      <c r="AE62" s="77" t="str">
        <f t="shared" si="11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62" s="74" t="str">
        <f t="shared" si="12"/>
        <v>"C:\Program Files (x86)\AstroGrep\AstroGrep.exe" /e /r /s /spath="%USERPROFILE%\AppData\Local\Temp\OnboardLogs" /stypes="app*4058*20171030*"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151-30 --locoid 4058 --swversion DE.1.0.9.0 --startMP 204:458 --initTime 2017-10-30T09:55:18 --startdatetime 2017-10-30T10:00:18 --delay 79 --endMP 204:233310 --enddatetime 2017-10-30T10:36:31 --enforcementcount 0 &gt;&gt;%USERPROFILE%\Documents\GitHub\eaglep3-reporting\EC\2017-10-30-refined-times.txt</v>
      </c>
      <c r="AI62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{"issue":{"subject":"","project_id":79,"tracker_id":40,"status_id":1,"priority_id":2,"assigned_to_id":338,"start_date":"2017-10-30","description":"","custom_fields":[{"id":1,"name":"Subdivision","value":"EC"},{"id":4,"name":"Milepost","value":"23.331"},{"id":17,"name":"Train ID","value":"151-30"},{"id":16,"name":"Locomotive ID","value":"4058"},{"id":130,"name":"Impact","value":""},{"id":150,"name":"Time of Event (Mountain Time)","value":"10:36:31"},{"id":151,"name":"Denver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4058 --day 2017-10-30</v>
      </c>
      <c r="AN62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-30T08:55:18-0600',mode:absolute,to:'2017-10-30T11:36:31-0600'))&amp;_a=(columns:!('Message%20ID',Summary),filters:!(),index:'emp_*',interval:auto,query:(query_string:(analyze_wildcard:!t,query:'%22rtdc.l.rtdc.4058%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766</v>
      </c>
      <c r="B63" s="7">
        <v>4057</v>
      </c>
      <c r="C63" s="21" t="s">
        <v>194</v>
      </c>
      <c r="D63" s="21" t="s">
        <v>941</v>
      </c>
      <c r="E63" s="13">
        <v>43038.450173611112</v>
      </c>
      <c r="F63" s="13">
        <v>43038.456469907411</v>
      </c>
      <c r="G63" s="7">
        <v>56</v>
      </c>
      <c r="H63" s="21" t="s">
        <v>358</v>
      </c>
      <c r="I63" s="13">
        <v>43038.48269675926</v>
      </c>
      <c r="J63" s="7">
        <v>0</v>
      </c>
      <c r="K63" s="89" t="str">
        <f t="shared" si="0"/>
        <v>4057/4058</v>
      </c>
      <c r="L63" s="185" t="str">
        <f>VLOOKUP(A63,'Trips&amp;Operators'!$C$1:$G$99911,5,FALSE)</f>
        <v>MAELZER KURT</v>
      </c>
      <c r="M63" s="6">
        <f t="shared" si="1"/>
        <v>2.622685184906004E-2</v>
      </c>
      <c r="N63" s="7">
        <f t="shared" si="25"/>
        <v>37.766666662646458</v>
      </c>
      <c r="O63" s="7"/>
      <c r="P63" s="7"/>
      <c r="Q63" s="22"/>
      <c r="R63" s="174"/>
      <c r="S63" s="221">
        <f t="shared" si="26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-30T09:48:15-0600',mode:absolute,to:'2017-10-30T12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3" s="204" t="str">
        <f>IF(AA63&lt;VLOOKUP(AG63,Variables!$AC$3:$AD$8,2,FALSE),"Y","N")</f>
        <v>N</v>
      </c>
      <c r="X63" s="204">
        <f t="shared" si="30"/>
        <v>1</v>
      </c>
      <c r="Y63" s="204">
        <f t="shared" si="27"/>
        <v>23.299099999999999</v>
      </c>
      <c r="Z63" s="204">
        <f t="shared" si="28"/>
        <v>1.54E-2</v>
      </c>
      <c r="AA63" s="204">
        <f t="shared" si="9"/>
        <v>23.2837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152</v>
      </c>
      <c r="AE63" s="77" t="str">
        <f t="shared" si="11"/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63" s="74" t="str">
        <f t="shared" si="12"/>
        <v>"C:\Program Files (x86)\AstroGrep\AstroGrep.exe" /e /r /s /spath="%USERPROFILE%\AppData\Local\Temp\OnboardLogs" /stypes="app*4057*20171030*"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152-30 --locoid 4057 --swversion DE.1.0.9.0 --startMP 204:232991 --initTime 2017-10-30T10:48:15 --startdatetime 2017-10-30T10:57:19 --delay 56 --endMP 204:154 --enddatetime 2017-10-30T11:35:05 --enforcementcount 0 &gt;&gt;%USERPROFILE%\Documents\GitHub\eaglep3-reporting\EC\2017-10-30-refined-times.txt</v>
      </c>
      <c r="AI63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{"issue":{"subject":"","project_id":79,"tracker_id":40,"status_id":1,"priority_id":2,"assigned_to_id":338,"start_date":"2017-10-30","description":"","custom_fields":[{"id":1,"name":"Subdivision","value":"EC"},{"id":4,"name":"Milepost","value":"0.0154"},{"id":17,"name":"Train ID","value":"152-30"},{"id":16,"name":"Locomotive ID","value":"4057"},{"id":130,"name":"Impact","value":""},{"id":150,"name":"Time of Event (Mountain Time)","value":"11:35:05"},{"id":151,"name":"Denver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4057 --day 2017-10-30</v>
      </c>
      <c r="AN63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-30T09:48:15-0600',mode:absolute,to:'2017-10-30T12:35:05-0600'))&amp;_a=(columns:!('Message%20ID',Summary),filters:!(),index:'emp_*',interval:auto,query:(query_string:(analyze_wildcard:!t,query:'%22rtdc.l.rtdc.4057%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760</v>
      </c>
      <c r="B64" s="7">
        <v>4032</v>
      </c>
      <c r="C64" s="21" t="s">
        <v>194</v>
      </c>
      <c r="D64" s="21" t="s">
        <v>373</v>
      </c>
      <c r="E64" s="13">
        <v>43038.423645833333</v>
      </c>
      <c r="F64" s="13">
        <v>43038.42728009259</v>
      </c>
      <c r="G64" s="7">
        <v>82</v>
      </c>
      <c r="H64" s="21" t="s">
        <v>525</v>
      </c>
      <c r="I64" s="13">
        <v>43038.451423611114</v>
      </c>
      <c r="J64" s="7">
        <v>0</v>
      </c>
      <c r="K64" s="89" t="str">
        <f t="shared" si="0"/>
        <v>4031/4032</v>
      </c>
      <c r="L64" s="185" t="str">
        <f>VLOOKUP(A64,'Trips&amp;Operators'!$C$1:$G$99911,5,FALSE)</f>
        <v>MACDONALD THOMAS</v>
      </c>
      <c r="M64" s="6">
        <f t="shared" si="1"/>
        <v>2.4143518523487728E-2</v>
      </c>
      <c r="N64" s="7">
        <f t="shared" si="25"/>
        <v>34.766666673822328</v>
      </c>
      <c r="O64" s="7"/>
      <c r="P64" s="7"/>
      <c r="Q64" s="22"/>
      <c r="R64" s="174"/>
      <c r="S64" s="221">
        <f t="shared" si="26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-30T09:10:03-0600',mode:absolute,to:'2017-10-30T11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04" t="str">
        <f>IF(AA64&lt;VLOOKUP(AG64,Variables!$AC$3:$AD$8,2,FALSE),"Y","N")</f>
        <v>N</v>
      </c>
      <c r="X64" s="204">
        <f t="shared" si="30"/>
        <v>1</v>
      </c>
      <c r="Y64" s="204">
        <f t="shared" si="27"/>
        <v>4.4200000000000003E-2</v>
      </c>
      <c r="Z64" s="204">
        <f t="shared" si="28"/>
        <v>23.323</v>
      </c>
      <c r="AA64" s="204">
        <f t="shared" si="9"/>
        <v>23.2788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153</v>
      </c>
      <c r="AE64" s="77" t="str">
        <f t="shared" si="1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64" s="74" t="str">
        <f t="shared" si="12"/>
        <v>"C:\Program Files (x86)\AstroGrep\AstroGrep.exe" /e /r /s /spath="%USERPROFILE%\AppData\Local\Temp\OnboardLogs" /stypes="app*4032*20171030*"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153-30 --locoid 4032 --swversion DE.1.0.9.0 --startMP 204:442 --initTime 2017-10-30T10:10:03 --startdatetime 2017-10-30T10:15:17 --delay 82 --endMP 204:233230 --enddatetime 2017-10-30T10:50:03 --enforcementcount 0 &gt;&gt;%USERPROFILE%\Documents\GitHub\eaglep3-reporting\EC\2017-10-30-refined-times.txt</v>
      </c>
      <c r="AI64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{"issue":{"subject":"","project_id":79,"tracker_id":40,"status_id":1,"priority_id":2,"assigned_to_id":338,"start_date":"2017-10-30","description":"","custom_fields":[{"id":1,"name":"Subdivision","value":"EC"},{"id":4,"name":"Milepost","value":"23.323"},{"id":17,"name":"Train ID","value":"153-30"},{"id":16,"name":"Locomotive ID","value":"4032"},{"id":130,"name":"Impact","value":""},{"id":150,"name":"Time of Event (Mountain Time)","value":"10:50:03"},{"id":151,"name":"Denver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4032 --day 2017-10-30</v>
      </c>
      <c r="AN64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-30T09:10:03-0600',mode:absolute,to:'2017-10-30T11:50:03-0600'))&amp;_a=(columns:!('Message%20ID',Summary),filters:!(),index:'emp_*',interval:auto,query:(query_string:(analyze_wildcard:!t,query:'%22rtdc.l.rtdc.4032%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772</v>
      </c>
      <c r="B65" s="7">
        <v>4031</v>
      </c>
      <c r="C65" s="21" t="s">
        <v>194</v>
      </c>
      <c r="D65" s="21" t="s">
        <v>518</v>
      </c>
      <c r="E65" s="13">
        <v>43038.463796296295</v>
      </c>
      <c r="F65" s="13">
        <v>43038.467557870368</v>
      </c>
      <c r="G65" s="7">
        <v>236</v>
      </c>
      <c r="H65" s="21" t="s">
        <v>596</v>
      </c>
      <c r="I65" s="13">
        <v>43038.493541666663</v>
      </c>
      <c r="J65" s="7">
        <v>0</v>
      </c>
      <c r="K65" s="89" t="str">
        <f t="shared" si="0"/>
        <v>4031/4032</v>
      </c>
      <c r="L65" s="185" t="str">
        <f>VLOOKUP(A65,'Trips&amp;Operators'!$C$1:$G$99911,5,FALSE)</f>
        <v>MACDONALD THOMAS</v>
      </c>
      <c r="M65" s="6">
        <f t="shared" si="1"/>
        <v>2.5983796294895001E-2</v>
      </c>
      <c r="N65" s="7">
        <f t="shared" si="25"/>
        <v>37.416666664648801</v>
      </c>
      <c r="O65" s="7"/>
      <c r="P65" s="7"/>
      <c r="Q65" s="22"/>
      <c r="R65" s="174"/>
      <c r="S65" s="221">
        <f t="shared" si="26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-30T10:07:52-0600',mode:absolute,to:'2017-10-30T12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04" t="str">
        <f>IF(AA65&lt;VLOOKUP(AG65,Variables!$AC$3:$AD$8,2,FALSE),"Y","N")</f>
        <v>N</v>
      </c>
      <c r="X65" s="204">
        <f t="shared" si="30"/>
        <v>1</v>
      </c>
      <c r="Y65" s="204">
        <f t="shared" si="27"/>
        <v>23.290400000000002</v>
      </c>
      <c r="Z65" s="204">
        <f t="shared" si="28"/>
        <v>2.0299999999999999E-2</v>
      </c>
      <c r="AA65" s="204">
        <f t="shared" si="9"/>
        <v>23.270100000000003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154</v>
      </c>
      <c r="AE65" s="77" t="str">
        <f t="shared" si="1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65" s="74" t="str">
        <f t="shared" si="12"/>
        <v>"C:\Program Files (x86)\AstroGrep\AstroGrep.exe" /e /r /s /spath="%USERPROFILE%\AppData\Local\Temp\OnboardLogs" /stypes="app*4031*20171030*"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154-30 --locoid 4031 --swversion DE.1.0.9.0 --startMP 204:232904 --initTime 2017-10-30T11:07:52 --startdatetime 2017-10-30T11:13:17 --delay 236 --endMP 204:203 --enddatetime 2017-10-30T11:50:42 --enforcementcount 0 &gt;&gt;%USERPROFILE%\Documents\GitHub\eaglep3-reporting\EC\2017-10-30-refined-times.txt</v>
      </c>
      <c r="AI6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{"issue":{"subject":"","project_id":79,"tracker_id":40,"status_id":1,"priority_id":2,"assigned_to_id":338,"start_date":"2017-10-30","description":"","custom_fields":[{"id":1,"name":"Subdivision","value":"EC"},{"id":4,"name":"Milepost","value":"0.0203"},{"id":17,"name":"Train ID","value":"154-30"},{"id":16,"name":"Locomotive ID","value":"4031"},{"id":130,"name":"Impact","value":""},{"id":150,"name":"Time of Event (Mountain Time)","value":"11:50:42"},{"id":151,"name":"Denver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4031 --day 2017-10-30</v>
      </c>
      <c r="AN6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-30T10:07:52-0600',mode:absolute,to:'2017-10-30T12:50:42-0600'))&amp;_a=(columns:!('Message%20ID',Summary),filters:!(),index:'emp_*',interval:auto,query:(query_string:(analyze_wildcard:!t,query:'%22rtdc.l.rtdc.4031%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763</v>
      </c>
      <c r="B66" s="7">
        <v>4054</v>
      </c>
      <c r="C66" s="21" t="s">
        <v>194</v>
      </c>
      <c r="D66" s="21" t="s">
        <v>576</v>
      </c>
      <c r="E66" s="13">
        <v>43038.434629629628</v>
      </c>
      <c r="F66" s="13">
        <v>43038.437754629631</v>
      </c>
      <c r="G66" s="7">
        <v>58</v>
      </c>
      <c r="H66" s="21" t="s">
        <v>942</v>
      </c>
      <c r="I66" s="13">
        <v>43038.462418981479</v>
      </c>
      <c r="J66" s="7">
        <v>0</v>
      </c>
      <c r="K66" s="89" t="str">
        <f t="shared" si="0"/>
        <v>4053/4054</v>
      </c>
      <c r="L66" s="185" t="str">
        <f>VLOOKUP(A66,'Trips&amp;Operators'!$C$1:$G$99911,5,FALSE)</f>
        <v>BROWN JACOB</v>
      </c>
      <c r="M66" s="6">
        <f t="shared" si="1"/>
        <v>2.4664351847604848E-2</v>
      </c>
      <c r="N66" s="7">
        <f t="shared" si="25"/>
        <v>35.516666660550982</v>
      </c>
      <c r="O66" s="7"/>
      <c r="P66" s="7"/>
      <c r="Q66" s="22"/>
      <c r="R66" s="174"/>
      <c r="S66" s="221">
        <f t="shared" si="26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-30T09:25:52-0600',mode:absolute,to:'2017-10-30T12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04" t="str">
        <f>IF(AA66&lt;VLOOKUP(AG66,Variables!$AC$3:$AD$8,2,FALSE),"Y","N")</f>
        <v>N</v>
      </c>
      <c r="X66" s="204">
        <f t="shared" si="30"/>
        <v>1</v>
      </c>
      <c r="Y66" s="204">
        <f t="shared" si="27"/>
        <v>4.6699999999999998E-2</v>
      </c>
      <c r="Z66" s="204">
        <f t="shared" si="28"/>
        <v>23.332699999999999</v>
      </c>
      <c r="AA66" s="204">
        <f t="shared" si="9"/>
        <v>23.285999999999998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155</v>
      </c>
      <c r="AE66" s="77" t="str">
        <f t="shared" si="1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66" s="74" t="str">
        <f t="shared" si="12"/>
        <v>"C:\Program Files (x86)\AstroGrep\AstroGrep.exe" /e /r /s /spath="%USERPROFILE%\AppData\Local\Temp\OnboardLogs" /stypes="app*4054*20171030*"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155-30 --locoid 4054 --swversion DE.1.0.9.0 --startMP 204:467 --initTime 2017-10-30T10:25:52 --startdatetime 2017-10-30T10:30:22 --delay 58 --endMP 204:233327 --enddatetime 2017-10-30T11:05:53 --enforcementcount 0 &gt;&gt;%USERPROFILE%\Documents\GitHub\eaglep3-reporting\EC\2017-10-30-refined-times.txt</v>
      </c>
      <c r="AI6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{"issue":{"subject":"","project_id":79,"tracker_id":40,"status_id":1,"priority_id":2,"assigned_to_id":338,"start_date":"2017-10-30","description":"","custom_fields":[{"id":1,"name":"Subdivision","value":"EC"},{"id":4,"name":"Milepost","value":"23.3327"},{"id":17,"name":"Train ID","value":"155-30"},{"id":16,"name":"Locomotive ID","value":"4054"},{"id":130,"name":"Impact","value":""},{"id":150,"name":"Time of Event (Mountain Time)","value":"11:05:53"},{"id":151,"name":"Denver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4054 --day 2017-10-30</v>
      </c>
      <c r="AN6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-30T09:25:52-0600',mode:absolute,to:'2017-10-30T12:05:53-0600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657</v>
      </c>
      <c r="B67" s="7">
        <v>4053</v>
      </c>
      <c r="C67" s="21" t="s">
        <v>194</v>
      </c>
      <c r="D67" s="21" t="s">
        <v>943</v>
      </c>
      <c r="E67" s="13">
        <v>43038.471631944441</v>
      </c>
      <c r="F67" s="13">
        <v>43038.47724537037</v>
      </c>
      <c r="G67" s="7">
        <v>73</v>
      </c>
      <c r="H67" s="21" t="s">
        <v>573</v>
      </c>
      <c r="I67" s="13">
        <v>43038.504027777781</v>
      </c>
      <c r="J67" s="7">
        <v>0</v>
      </c>
      <c r="K67" s="89" t="str">
        <f t="shared" si="0"/>
        <v>4053/4054</v>
      </c>
      <c r="L67" s="185" t="str">
        <f>VLOOKUP(A67,'Trips&amp;Operators'!$C$1:$G$99911,5,FALSE)</f>
        <v>BROWN JACOB</v>
      </c>
      <c r="M67" s="6">
        <f t="shared" si="1"/>
        <v>2.6782407410792075E-2</v>
      </c>
      <c r="N67" s="7">
        <f t="shared" ref="N67:N86" si="31">24*60*SUM($M67:$M67)</f>
        <v>38.566666671540588</v>
      </c>
      <c r="O67" s="7"/>
      <c r="P67" s="7"/>
      <c r="Q67" s="22"/>
      <c r="R67" s="174"/>
      <c r="S67" s="221">
        <f t="shared" si="26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-30T10:19:09-0600',mode:absolute,to:'2017-10-30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04" t="str">
        <f>IF(AA67&lt;VLOOKUP(AG67,Variables!$AC$3:$AD$8,2,FALSE),"Y","N")</f>
        <v>N</v>
      </c>
      <c r="X67" s="204">
        <f t="shared" si="30"/>
        <v>1</v>
      </c>
      <c r="Y67" s="204">
        <f t="shared" si="27"/>
        <v>23.301300000000001</v>
      </c>
      <c r="Z67" s="204">
        <f t="shared" si="28"/>
        <v>1.83E-2</v>
      </c>
      <c r="AA67" s="204">
        <f t="shared" si="9"/>
        <v>23.283000000000001</v>
      </c>
      <c r="AB67" s="54" t="str">
        <f>VLOOKUP(A67,Enforcements!$C$7:$K$11,8,0)</f>
        <v>Bulletin (2)</v>
      </c>
      <c r="AC67" s="51" t="str">
        <f>VLOOKUP(A67,Enforcements!$C$7:$E$11,3,0)</f>
        <v>GRADE CROSSING</v>
      </c>
      <c r="AD67" s="179">
        <f t="shared" si="10"/>
        <v>156</v>
      </c>
      <c r="AE67" s="77" t="str">
        <f t="shared" si="1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67" s="74" t="str">
        <f t="shared" si="12"/>
        <v>"C:\Program Files (x86)\AstroGrep\AstroGrep.exe" /e /r /s /spath="%USERPROFILE%\AppData\Local\Temp\OnboardLogs" /stypes="app*4053*20171030*" /stext=" 18:.+((SYSTEM_STATE.+slice.+state.+changed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156-30 --locoid 4053 --swversion DE.1.0.9.0 --startMP 204:233013 --initTime 2017-10-30T11:19:09 --startdatetime 2017-10-30T11:27:14 --delay 73 --endMP 204:183 --enddatetime 2017-10-30T12:05:48 --enforcementcount 0 &gt;&gt;%USERPROFILE%\Documents\GitHub\eaglep3-reporting\EC\2017-10-30-refined-times.txt</v>
      </c>
      <c r="AI67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{"issue":{"subject":"","project_id":79,"tracker_id":40,"status_id":1,"priority_id":2,"assigned_to_id":338,"start_date":"2017-10-30","description":"","custom_fields":[{"id":1,"name":"Subdivision","value":"EC"},{"id":4,"name":"Milepost","value":"0.0183"},{"id":17,"name":"Train ID","value":"156-30"},{"id":16,"name":"Locomotive ID","value":"4053"},{"id":130,"name":"Impact","value":""},{"id":150,"name":"Time of Event (Mountain Time)","value":"12:05:48"},{"id":151,"name":"Denver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4053 --day 2017-10-30</v>
      </c>
      <c r="AN67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-30T10:19:09-0600',mode:absolute,to:'2017-10-30T13:05:48-0600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764</v>
      </c>
      <c r="B68" s="7">
        <v>4024</v>
      </c>
      <c r="C68" s="21" t="s">
        <v>194</v>
      </c>
      <c r="D68" s="21" t="s">
        <v>944</v>
      </c>
      <c r="E68" s="13">
        <v>43038.442615740743</v>
      </c>
      <c r="F68" s="13">
        <v>43038.44809027778</v>
      </c>
      <c r="G68" s="7">
        <v>94</v>
      </c>
      <c r="H68" s="21" t="s">
        <v>945</v>
      </c>
      <c r="I68" s="13">
        <v>43038.472824074073</v>
      </c>
      <c r="J68" s="7">
        <v>0</v>
      </c>
      <c r="K68" s="89" t="str">
        <f t="shared" si="0"/>
        <v>4023/4024</v>
      </c>
      <c r="L68" s="185" t="str">
        <f>VLOOKUP(A68,'Trips&amp;Operators'!$C$1:$G$99911,5,FALSE)</f>
        <v>BADERTSCHER DIANE</v>
      </c>
      <c r="M68" s="6">
        <f t="shared" si="1"/>
        <v>2.4733796293730848E-2</v>
      </c>
      <c r="N68" s="7">
        <f t="shared" si="31"/>
        <v>35.61666666297242</v>
      </c>
      <c r="O68" s="7"/>
      <c r="P68" s="7"/>
      <c r="Q68" s="22"/>
      <c r="R68" s="174"/>
      <c r="S68" s="221">
        <f t="shared" si="26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-30T09:37:22-0600',mode:absolute,to:'2017-10-30T12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204" t="str">
        <f>IF(AA68&lt;VLOOKUP(AG68,Variables!$AC$3:$AD$8,2,FALSE),"Y","N")</f>
        <v>N</v>
      </c>
      <c r="X68" s="204">
        <f t="shared" si="30"/>
        <v>1</v>
      </c>
      <c r="Y68" s="204">
        <f t="shared" si="27"/>
        <v>4.3299999999999998E-2</v>
      </c>
      <c r="Z68" s="204">
        <f t="shared" si="28"/>
        <v>23.331800000000001</v>
      </c>
      <c r="AA68" s="204">
        <f t="shared" si="9"/>
        <v>23.288500000000003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157</v>
      </c>
      <c r="AE68" s="77" t="str">
        <f t="shared" si="1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68" s="74" t="str">
        <f t="shared" si="12"/>
        <v>"C:\Program Files (x86)\AstroGrep\AstroGrep.exe" /e /r /s /spath="%USERPROFILE%\AppData\Local\Temp\OnboardLogs" /stypes="app*4024*20171030*"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157-30 --locoid 4024 --swversion DE.1.0.9.0 --startMP 204:433 --initTime 2017-10-30T10:37:22 --startdatetime 2017-10-30T10:45:15 --delay 94 --endMP 204:233318 --enddatetime 2017-10-30T11:20:52 --enforcementcount 0 &gt;&gt;%USERPROFILE%\Documents\GitHub\eaglep3-reporting\EC\2017-10-30-refined-times.txt</v>
      </c>
      <c r="AI68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{"issue":{"subject":"","project_id":79,"tracker_id":40,"status_id":1,"priority_id":2,"assigned_to_id":338,"start_date":"2017-10-30","description":"","custom_fields":[{"id":1,"name":"Subdivision","value":"EC"},{"id":4,"name":"Milepost","value":"23.3318"},{"id":17,"name":"Train ID","value":"157-30"},{"id":16,"name":"Locomotive ID","value":"4024"},{"id":130,"name":"Impact","value":""},{"id":150,"name":"Time of Event (Mountain Time)","value":"11:20:52"},{"id":151,"name":"Denver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4024 --day 2017-10-30</v>
      </c>
      <c r="AN68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-30T09:37:22-0600',mode:absolute,to:'2017-10-30T12:20:52-0600'))&amp;_a=(columns:!('Message%20ID',Summary),filters:!(),index:'emp_*',interval:auto,query:(query_string:(analyze_wildcard:!t,query:'%22rtdc.l.rtdc.4024%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778</v>
      </c>
      <c r="B69" s="7">
        <v>4023</v>
      </c>
      <c r="C69" s="21" t="s">
        <v>194</v>
      </c>
      <c r="D69" s="21" t="s">
        <v>593</v>
      </c>
      <c r="E69" s="13">
        <v>43038.481145833335</v>
      </c>
      <c r="F69" s="13">
        <v>43038.487673611111</v>
      </c>
      <c r="G69" s="7">
        <v>99</v>
      </c>
      <c r="H69" s="21" t="s">
        <v>946</v>
      </c>
      <c r="I69" s="13">
        <v>43038.515185185184</v>
      </c>
      <c r="J69" s="7">
        <v>0</v>
      </c>
      <c r="K69" s="89" t="str">
        <f t="shared" si="0"/>
        <v>4023/4024</v>
      </c>
      <c r="L69" s="185" t="str">
        <f>VLOOKUP(A69,'Trips&amp;Operators'!$C$1:$G$99911,5,FALSE)</f>
        <v>BADERTSCHER DIANE</v>
      </c>
      <c r="M69" s="6">
        <f t="shared" si="1"/>
        <v>2.7511574073287193E-2</v>
      </c>
      <c r="N69" s="7">
        <f t="shared" si="31"/>
        <v>39.616666665533558</v>
      </c>
      <c r="O69" s="7"/>
      <c r="P69" s="7"/>
      <c r="Q69" s="22"/>
      <c r="R69" s="174"/>
      <c r="S69" s="221">
        <f t="shared" si="26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-30T10:32:51-0600',mode:absolute,to:'2017-10-30T13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204" t="str">
        <f>IF(AA69&lt;VLOOKUP(AG69,Variables!$AC$3:$AD$8,2,FALSE),"Y","N")</f>
        <v>N</v>
      </c>
      <c r="X69" s="204">
        <f t="shared" si="30"/>
        <v>1</v>
      </c>
      <c r="Y69" s="204">
        <f t="shared" si="27"/>
        <v>23.3003</v>
      </c>
      <c r="Z69" s="204">
        <f t="shared" si="28"/>
        <v>2.2499999999999999E-2</v>
      </c>
      <c r="AA69" s="204">
        <f t="shared" si="9"/>
        <v>23.277799999999999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158</v>
      </c>
      <c r="AE69" s="77" t="str">
        <f t="shared" si="1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69" s="74" t="str">
        <f t="shared" si="12"/>
        <v>"C:\Program Files (x86)\AstroGrep\AstroGrep.exe" /e /r /s /spath="%USERPROFILE%\AppData\Local\Temp\OnboardLogs" /stypes="app*4023*20171030*"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158-30 --locoid 4023 --swversion DE.1.0.9.0 --startMP 204:233003 --initTime 2017-10-30T11:32:51 --startdatetime 2017-10-30T11:42:15 --delay 99 --endMP 204:225 --enddatetime 2017-10-30T12:21:52 --enforcementcount 0 &gt;&gt;%USERPROFILE%\Documents\GitHub\eaglep3-reporting\EC\2017-10-30-refined-times.txt</v>
      </c>
      <c r="AI69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{"issue":{"subject":"","project_id":79,"tracker_id":40,"status_id":1,"priority_id":2,"assigned_to_id":338,"start_date":"2017-10-30","description":"","custom_fields":[{"id":1,"name":"Subdivision","value":"EC"},{"id":4,"name":"Milepost","value":"0.0225"},{"id":17,"name":"Train ID","value":"158-30"},{"id":16,"name":"Locomotive ID","value":"4023"},{"id":130,"name":"Impact","value":""},{"id":150,"name":"Time of Event (Mountain Time)","value":"12:21:52"},{"id":151,"name":"Denver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4023 --day 2017-10-30</v>
      </c>
      <c r="AN69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-30T10:32:51-0600',mode:absolute,to:'2017-10-30T13:21:52-0600'))&amp;_a=(columns:!('Message%20ID',Summary),filters:!(),index:'emp_*',interval:auto,query:(query_string:(analyze_wildcard:!t,query:'%22rtdc.l.rtdc.4023%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770</v>
      </c>
      <c r="B70" s="7">
        <v>4002</v>
      </c>
      <c r="C70" s="21" t="s">
        <v>194</v>
      </c>
      <c r="D70" s="21" t="s">
        <v>519</v>
      </c>
      <c r="E70" s="13">
        <v>43038.456226851849</v>
      </c>
      <c r="F70" s="13">
        <v>43038.458541666667</v>
      </c>
      <c r="G70" s="7">
        <v>58</v>
      </c>
      <c r="H70" s="21" t="s">
        <v>947</v>
      </c>
      <c r="I70" s="13">
        <v>43038.48332175926</v>
      </c>
      <c r="J70" s="7">
        <v>0</v>
      </c>
      <c r="K70" s="89" t="str">
        <f t="shared" si="0"/>
        <v>4001/4002</v>
      </c>
      <c r="L70" s="185" t="str">
        <f>VLOOKUP(A70,'Trips&amp;Operators'!$C$1:$G$99911,5,FALSE)</f>
        <v>LAMAR NEKESHA</v>
      </c>
      <c r="M70" s="6">
        <f t="shared" si="1"/>
        <v>2.4780092593573499E-2</v>
      </c>
      <c r="N70" s="7">
        <f t="shared" si="31"/>
        <v>35.683333334745839</v>
      </c>
      <c r="O70" s="7"/>
      <c r="P70" s="7"/>
      <c r="Q70" s="22"/>
      <c r="R70" s="174"/>
      <c r="S70" s="221">
        <f t="shared" si="26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-30T09:56:58-0600',mode:absolute,to:'2017-10-30T12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204" t="str">
        <f>IF(AA70&lt;VLOOKUP(AG70,Variables!$AC$3:$AD$8,2,FALSE),"Y","N")</f>
        <v>N</v>
      </c>
      <c r="X70" s="204">
        <f t="shared" si="30"/>
        <v>1</v>
      </c>
      <c r="Y70" s="204">
        <f t="shared" si="27"/>
        <v>4.7699999999999999E-2</v>
      </c>
      <c r="Z70" s="204">
        <f t="shared" si="28"/>
        <v>23.327400000000001</v>
      </c>
      <c r="AA70" s="204">
        <f t="shared" si="9"/>
        <v>23.279700000000002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159</v>
      </c>
      <c r="AE70" s="77" t="str">
        <f t="shared" si="1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70" s="74" t="str">
        <f t="shared" si="12"/>
        <v>"C:\Program Files (x86)\AstroGrep\AstroGrep.exe" /e /r /s /spath="%USERPROFILE%\AppData\Local\Temp\OnboardLogs" /stypes="app*4002*20171030*"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159-30 --locoid 4002 --swversion DE.1.0.9.0 --startMP 204:477 --initTime 2017-10-30T10:56:58 --startdatetime 2017-10-30T11:00:18 --delay 58 --endMP 204:233274 --enddatetime 2017-10-30T11:35:59 --enforcementcount 0 &gt;&gt;%USERPROFILE%\Documents\GitHub\eaglep3-reporting\EC\2017-10-30-refined-times.txt</v>
      </c>
      <c r="AI70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{"issue":{"subject":"","project_id":79,"tracker_id":40,"status_id":1,"priority_id":2,"assigned_to_id":338,"start_date":"2017-10-30","description":"","custom_fields":[{"id":1,"name":"Subdivision","value":"EC"},{"id":4,"name":"Milepost","value":"23.3274"},{"id":17,"name":"Train ID","value":"159-30"},{"id":16,"name":"Locomotive ID","value":"4002"},{"id":130,"name":"Impact","value":""},{"id":150,"name":"Time of Event (Mountain Time)","value":"11:35:59"},{"id":151,"name":"Denver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4002 --day 2017-10-30</v>
      </c>
      <c r="AN70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-30T09:56:58-0600',mode:absolute,to:'2017-10-30T12:35:59-0600'))&amp;_a=(columns:!('Message%20ID',Summary),filters:!(),index:'emp_*',interval:auto,query:(query_string:(analyze_wildcard:!t,query:'%22rtdc.l.rtdc.4002%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779</v>
      </c>
      <c r="B71" s="7">
        <v>4001</v>
      </c>
      <c r="C71" s="21" t="s">
        <v>194</v>
      </c>
      <c r="D71" s="21" t="s">
        <v>520</v>
      </c>
      <c r="E71" s="13">
        <v>43038.485578703701</v>
      </c>
      <c r="F71" s="13">
        <v>43038.498124999998</v>
      </c>
      <c r="G71" s="7">
        <v>50</v>
      </c>
      <c r="H71" s="21" t="s">
        <v>358</v>
      </c>
      <c r="I71" s="13">
        <v>43038.524074074077</v>
      </c>
      <c r="J71" s="7">
        <v>0</v>
      </c>
      <c r="K71" s="89" t="str">
        <f t="shared" si="0"/>
        <v>4001/4002</v>
      </c>
      <c r="L71" s="185" t="str">
        <f>VLOOKUP(A71,'Trips&amp;Operators'!$C$1:$G$99911,5,FALSE)</f>
        <v>LAMAR NEKESHA</v>
      </c>
      <c r="M71" s="6">
        <f t="shared" si="1"/>
        <v>2.5949074079107959E-2</v>
      </c>
      <c r="N71" s="7">
        <f t="shared" si="31"/>
        <v>37.366666673915461</v>
      </c>
      <c r="O71" s="7"/>
      <c r="P71" s="7"/>
      <c r="Q71" s="22"/>
      <c r="R71" s="174"/>
      <c r="S71" s="221">
        <f t="shared" si="26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-30T10:39:14-0600',mode:absolute,to:'2017-10-30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204" t="str">
        <f>IF(AA71&lt;VLOOKUP(AG71,Variables!$AC$3:$AD$8,2,FALSE),"Y","N")</f>
        <v>N</v>
      </c>
      <c r="X71" s="204">
        <f t="shared" si="30"/>
        <v>1</v>
      </c>
      <c r="Y71" s="204">
        <f t="shared" si="27"/>
        <v>23.296800000000001</v>
      </c>
      <c r="Z71" s="204">
        <f t="shared" si="28"/>
        <v>1.54E-2</v>
      </c>
      <c r="AA71" s="204">
        <f t="shared" si="9"/>
        <v>23.281400000000001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160</v>
      </c>
      <c r="AE71" s="77" t="str">
        <f t="shared" si="1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71" s="74" t="str">
        <f t="shared" si="12"/>
        <v>"C:\Program Files (x86)\AstroGrep\AstroGrep.exe" /e /r /s /spath="%USERPROFILE%\AppData\Local\Temp\OnboardLogs" /stypes="app*4001*20171030*"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160-30 --locoid 4001 --swversion DE.1.0.9.0 --startMP 204:232968 --initTime 2017-10-30T11:39:14 --startdatetime 2017-10-30T11:57:18 --delay 50 --endMP 204:154 --enddatetime 2017-10-30T12:34:40 --enforcementcount 0 &gt;&gt;%USERPROFILE%\Documents\GitHub\eaglep3-reporting\EC\2017-10-30-refined-times.txt</v>
      </c>
      <c r="AI71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{"issue":{"subject":"","project_id":79,"tracker_id":40,"status_id":1,"priority_id":2,"assigned_to_id":338,"start_date":"2017-10-30","description":"","custom_fields":[{"id":1,"name":"Subdivision","value":"EC"},{"id":4,"name":"Milepost","value":"0.0154"},{"id":17,"name":"Train ID","value":"160-30"},{"id":16,"name":"Locomotive ID","value":"4001"},{"id":130,"name":"Impact","value":""},{"id":150,"name":"Time of Event (Mountain Time)","value":"12:34:40"},{"id":151,"name":"Denver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4001 --day 2017-10-30</v>
      </c>
      <c r="AN71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-30T10:39:14-0600',mode:absolute,to:'2017-10-30T13:34:40-0600'))&amp;_a=(columns:!('Message%20ID',Summary),filters:!(),index:'emp_*',interval:auto,query:(query_string:(analyze_wildcard:!t,query:'%22rtdc.l.rtdc.4001%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773</v>
      </c>
      <c r="B72" s="7">
        <v>4012</v>
      </c>
      <c r="C72" s="21" t="s">
        <v>194</v>
      </c>
      <c r="D72" s="21" t="s">
        <v>574</v>
      </c>
      <c r="E72" s="13">
        <v>43038.466307870367</v>
      </c>
      <c r="F72" s="13">
        <v>43038.469189814816</v>
      </c>
      <c r="G72" s="7">
        <v>95</v>
      </c>
      <c r="H72" s="21" t="s">
        <v>948</v>
      </c>
      <c r="I72" s="13">
        <v>43038.494409722225</v>
      </c>
      <c r="J72" s="7">
        <v>0</v>
      </c>
      <c r="K72" s="89" t="str">
        <f t="shared" si="0"/>
        <v>4011/4012</v>
      </c>
      <c r="L72" s="185" t="str">
        <f>VLOOKUP(A72,'Trips&amp;Operators'!$C$1:$G$99911,5,FALSE)</f>
        <v>DAVIS MICHAEL</v>
      </c>
      <c r="M72" s="6">
        <f t="shared" si="1"/>
        <v>2.5219907409336884E-2</v>
      </c>
      <c r="N72" s="7">
        <f t="shared" si="31"/>
        <v>36.316666669445112</v>
      </c>
      <c r="O72" s="7"/>
      <c r="P72" s="7"/>
      <c r="Q72" s="22"/>
      <c r="R72" s="174"/>
      <c r="S72" s="221">
        <f t="shared" si="26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-30T10:11:29-0600',mode:absolute,to:'2017-10-30T12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204" t="str">
        <f>IF(AA72&lt;VLOOKUP(AG72,Variables!$AC$3:$AD$8,2,FALSE),"Y","N")</f>
        <v>N</v>
      </c>
      <c r="X72" s="204">
        <f t="shared" si="30"/>
        <v>1</v>
      </c>
      <c r="Y72" s="204">
        <f t="shared" si="27"/>
        <v>4.8000000000000001E-2</v>
      </c>
      <c r="Z72" s="204">
        <f t="shared" si="28"/>
        <v>23.326599999999999</v>
      </c>
      <c r="AA72" s="204">
        <f t="shared" si="9"/>
        <v>23.278600000000001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161</v>
      </c>
      <c r="AE72" s="77" t="str">
        <f t="shared" si="1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72" s="74" t="str">
        <f t="shared" si="12"/>
        <v>"C:\Program Files (x86)\AstroGrep\AstroGrep.exe" /e /r /s /spath="%USERPROFILE%\AppData\Local\Temp\OnboardLogs" /stypes="app*4012*20171030*"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161-30 --locoid 4012 --swversion DE.1.0.9.0 --startMP 204:480 --initTime 2017-10-30T11:11:29 --startdatetime 2017-10-30T11:15:38 --delay 95 --endMP 204:233266 --enddatetime 2017-10-30T11:51:57 --enforcementcount 0 &gt;&gt;%USERPROFILE%\Documents\GitHub\eaglep3-reporting\EC\2017-10-30-refined-times.txt</v>
      </c>
      <c r="AI72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{"issue":{"subject":"","project_id":79,"tracker_id":40,"status_id":1,"priority_id":2,"assigned_to_id":338,"start_date":"2017-10-30","description":"","custom_fields":[{"id":1,"name":"Subdivision","value":"EC"},{"id":4,"name":"Milepost","value":"23.3266"},{"id":17,"name":"Train ID","value":"161-30"},{"id":16,"name":"Locomotive ID","value":"4012"},{"id":130,"name":"Impact","value":""},{"id":150,"name":"Time of Event (Mountain Time)","value":"11:51:57"},{"id":151,"name":"Denver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4012 --day 2017-10-30</v>
      </c>
      <c r="AN72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-30T10:11:29-0600',mode:absolute,to:'2017-10-30T12:51:57-0600'))&amp;_a=(columns:!('Message%20ID',Summary),filters:!(),index:'emp_*',interval:auto,query:(query_string:(analyze_wildcard:!t,query:'%22rtdc.l.rtdc.4012%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783</v>
      </c>
      <c r="B73" s="7">
        <v>4011</v>
      </c>
      <c r="C73" s="21" t="s">
        <v>194</v>
      </c>
      <c r="D73" s="21" t="s">
        <v>949</v>
      </c>
      <c r="E73" s="13">
        <v>43038.506284722222</v>
      </c>
      <c r="F73" s="13">
        <v>43038.508668981478</v>
      </c>
      <c r="G73" s="7">
        <v>73</v>
      </c>
      <c r="H73" s="21" t="s">
        <v>950</v>
      </c>
      <c r="I73" s="13">
        <v>43038.53638888889</v>
      </c>
      <c r="J73" s="7">
        <v>0</v>
      </c>
      <c r="K73" s="89" t="str">
        <f t="shared" si="0"/>
        <v>4011/4012</v>
      </c>
      <c r="L73" s="185" t="str">
        <f>VLOOKUP(A73,'Trips&amp;Operators'!$C$1:$G$99911,5,FALSE)</f>
        <v>DAVIS MICHAEL</v>
      </c>
      <c r="M73" s="6">
        <f t="shared" si="1"/>
        <v>2.771990741166519E-2</v>
      </c>
      <c r="N73" s="7">
        <f t="shared" si="31"/>
        <v>39.916666672797874</v>
      </c>
      <c r="O73" s="7"/>
      <c r="P73" s="7"/>
      <c r="Q73" s="22"/>
      <c r="R73" s="174" t="s">
        <v>1134</v>
      </c>
      <c r="S73" s="221">
        <f t="shared" si="26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-30T11:09:03-0600',mode:absolute,to:'2017-10-30T13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204" t="str">
        <f>IF(AA73&lt;VLOOKUP(AG73,Variables!$AC$3:$AD$8,2,FALSE),"Y","N")</f>
        <v>N</v>
      </c>
      <c r="X73" s="204">
        <f t="shared" si="30"/>
        <v>1</v>
      </c>
      <c r="Y73" s="204">
        <f t="shared" si="27"/>
        <v>23.2898</v>
      </c>
      <c r="Z73" s="204">
        <f t="shared" si="28"/>
        <v>2.01E-2</v>
      </c>
      <c r="AA73" s="204">
        <f t="shared" si="9"/>
        <v>23.2697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162</v>
      </c>
      <c r="AE73" s="77" t="str">
        <f t="shared" si="1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73" s="74" t="str">
        <f t="shared" si="12"/>
        <v>"C:\Program Files (x86)\AstroGrep\AstroGrep.exe" /e /r /s /spath="%USERPROFILE%\AppData\Local\Temp\OnboardLogs" /stypes="app*4011*20171030*"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162-30 --locoid 4011 --swversion DE.1.0.9.0 --startMP 204:232898 --initTime 2017-10-30T12:09:03 --startdatetime 2017-10-30T12:12:29 --delay 73 --endMP 204:201 --enddatetime 2017-10-30T12:52:24 --enforcementcount 0 &gt;&gt;%USERPROFILE%\Documents\GitHub\eaglep3-reporting\EC\2017-10-30-refined-times.txt</v>
      </c>
      <c r="AI73" s="96" t="str">
        <f t="shared" si="20"/>
        <v>echo {"issue":{"subject":"Observed unhealthy xing banner at Chambers due to 40th station stop","project_id":79,"tracker_id":40,"status_id":1,"priority_id":2,"assigned_to_id":338,"start_date":"2017-10-30","description":"","custom_fields":[{"id":1,"name":"Subdivision","value":"EC"},{"id":4,"name":"Milepost","value":"0.0201"},{"id":17,"name":"Train ID","value":"162-30"},{"id":16,"name":"Locomotive ID","value":"4011"},{"id":130,"name":"Impact","value":""},{"id":150,"name":"Time of Event (Mountain Time)","value":"12:52:24"},{"id":151,"name":"Denver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4011 --day 2017-10-30</v>
      </c>
      <c r="AN73" s="151" t="str">
        <f t="shared" si="22"/>
        <v>echo {"issue":{"subject":"Observed unhealthy xing banner at Chambers due to 40th station stop","project_id":30,"tracker_id":4,"status_id":1,"priority_id":1,"assigned_to_id":10,"start_date":"2017-10-30","description":"","custom_fields":[{"id":30,"name":"Category","value":"Issue"},{"id":3,"name":"Functional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-30T11:09:03-0600',mode:absolute,to:'2017-10-30T13:52:24-0600'))&amp;_a=(columns:!('Message%20ID',Summary),filters:!(),index:'emp_*',interval:auto,query:(query_string:(analyze_wildcard:!t,query:'%22rtdc.l.rtdc.4011%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774</v>
      </c>
      <c r="B74" s="7">
        <v>4004</v>
      </c>
      <c r="C74" s="21" t="s">
        <v>194</v>
      </c>
      <c r="D74" s="21" t="s">
        <v>507</v>
      </c>
      <c r="E74" s="13">
        <v>43038.475162037037</v>
      </c>
      <c r="F74" s="13">
        <v>43038.479490740741</v>
      </c>
      <c r="G74" s="7">
        <v>73</v>
      </c>
      <c r="H74" s="21" t="s">
        <v>951</v>
      </c>
      <c r="I74" s="13">
        <v>43038.50445601852</v>
      </c>
      <c r="J74" s="7">
        <v>0</v>
      </c>
      <c r="K74" s="89" t="str">
        <f t="shared" si="0"/>
        <v>4003/4004</v>
      </c>
      <c r="L74" s="185" t="str">
        <f>VLOOKUP(A74,'Trips&amp;Operators'!$C$1:$G$99911,5,FALSE)</f>
        <v>STEWART MICHAEL</v>
      </c>
      <c r="M74" s="6">
        <f t="shared" si="1"/>
        <v>2.4965277778392192E-2</v>
      </c>
      <c r="N74" s="7">
        <f t="shared" si="31"/>
        <v>35.950000000884756</v>
      </c>
      <c r="O74" s="7"/>
      <c r="P74" s="7"/>
      <c r="Q74" s="22"/>
      <c r="R74" s="174"/>
      <c r="S74" s="221">
        <f t="shared" si="26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-30T10:24:14-0600',mode:absolute,to:'2017-10-30T13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204" t="str">
        <f>IF(AA74&lt;VLOOKUP(AG74,Variables!$AC$3:$AD$8,2,FALSE),"Y","N")</f>
        <v>N</v>
      </c>
      <c r="X74" s="204">
        <f t="shared" si="30"/>
        <v>1</v>
      </c>
      <c r="Y74" s="204">
        <f t="shared" si="27"/>
        <v>4.6899999999999997E-2</v>
      </c>
      <c r="Z74" s="204">
        <f t="shared" si="28"/>
        <v>23.3232</v>
      </c>
      <c r="AA74" s="204">
        <f t="shared" si="9"/>
        <v>23.276299999999999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163</v>
      </c>
      <c r="AE74" s="77" t="str">
        <f t="shared" si="1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74" s="74" t="str">
        <f t="shared" si="12"/>
        <v>"C:\Program Files (x86)\AstroGrep\AstroGrep.exe" /e /r /s /spath="%USERPROFILE%\AppData\Local\Temp\OnboardLogs" /stypes="app*4004*20171030*"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163-30 --locoid 4004 --swversion DE.1.0.9.0 --startMP 204:469 --initTime 2017-10-30T11:24:14 --startdatetime 2017-10-30T11:30:28 --delay 73 --endMP 204:233232 --enddatetime 2017-10-30T12:06:25 --enforcementcount 0 &gt;&gt;%USERPROFILE%\Documents\GitHub\eaglep3-reporting\EC\2017-10-30-refined-times.txt</v>
      </c>
      <c r="AI74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{"issue":{"subject":"","project_id":79,"tracker_id":40,"status_id":1,"priority_id":2,"assigned_to_id":338,"start_date":"2017-10-30","description":"","custom_fields":[{"id":1,"name":"Subdivision","value":"EC"},{"id":4,"name":"Milepost","value":"23.3232"},{"id":17,"name":"Train ID","value":"163-30"},{"id":16,"name":"Locomotive ID","value":"4004"},{"id":130,"name":"Impact","value":""},{"id":150,"name":"Time of Event (Mountain Time)","value":"12:06:25"},{"id":151,"name":"Denver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4004 --day 2017-10-30</v>
      </c>
      <c r="AN74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-30T10:24:14-0600',mode:absolute,to:'2017-10-30T13:06:25-0600'))&amp;_a=(columns:!('Message%20ID',Summary),filters:!(),index:'emp_*',interval:auto,query:(query_string:(analyze_wildcard:!t,query:'%22rtdc.l.rtdc.4004%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785</v>
      </c>
      <c r="B75" s="7">
        <v>4003</v>
      </c>
      <c r="C75" s="21" t="s">
        <v>194</v>
      </c>
      <c r="D75" s="21" t="s">
        <v>952</v>
      </c>
      <c r="E75" s="13">
        <v>43038.514305555553</v>
      </c>
      <c r="F75" s="13">
        <v>43038.518993055557</v>
      </c>
      <c r="G75" s="7">
        <v>70</v>
      </c>
      <c r="H75" s="21" t="s">
        <v>604</v>
      </c>
      <c r="I75" s="13">
        <v>43038.545219907406</v>
      </c>
      <c r="J75" s="7">
        <v>0</v>
      </c>
      <c r="K75" s="89" t="str">
        <f t="shared" si="0"/>
        <v>4003/4004</v>
      </c>
      <c r="L75" s="185" t="str">
        <f>VLOOKUP(A75,'Trips&amp;Operators'!$C$1:$G$99911,5,FALSE)</f>
        <v>STEWART MICHAEL</v>
      </c>
      <c r="M75" s="6">
        <f t="shared" si="1"/>
        <v>2.622685184906004E-2</v>
      </c>
      <c r="N75" s="7">
        <f t="shared" si="31"/>
        <v>37.766666662646458</v>
      </c>
      <c r="O75" s="7"/>
      <c r="P75" s="7"/>
      <c r="Q75" s="22"/>
      <c r="R75" s="174"/>
      <c r="S75" s="221">
        <f t="shared" si="26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-30T11:20:36-0600',mode:absolute,to:'2017-10-30T14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204" t="str">
        <f>IF(AA75&lt;VLOOKUP(AG75,Variables!$AC$3:$AD$8,2,FALSE),"Y","N")</f>
        <v>N</v>
      </c>
      <c r="X75" s="204">
        <f t="shared" si="30"/>
        <v>1</v>
      </c>
      <c r="Y75" s="204">
        <f t="shared" si="27"/>
        <v>23.2913</v>
      </c>
      <c r="Z75" s="204">
        <f t="shared" si="28"/>
        <v>2.5600000000000001E-2</v>
      </c>
      <c r="AA75" s="204">
        <f t="shared" si="9"/>
        <v>23.265699999999999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164</v>
      </c>
      <c r="AE75" s="77" t="str">
        <f t="shared" si="1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75" s="74" t="str">
        <f t="shared" si="12"/>
        <v>"C:\Program Files (x86)\AstroGrep\AstroGrep.exe" /e /r /s /spath="%USERPROFILE%\AppData\Local\Temp\OnboardLogs" /stypes="app*4003*20171030*" /stext=" 19:.+((SYSTEM_STATE.+slice.+state.+changed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164-30 --locoid 4003 --swversion DE.1.0.9.0 --startMP 204:232913 --initTime 2017-10-30T12:20:36 --startdatetime 2017-10-30T12:27:21 --delay 70 --endMP 204:256 --enddatetime 2017-10-30T13:05:07 --enforcementcount 0 &gt;&gt;%USERPROFILE%\Documents\GitHub\eaglep3-reporting\EC\2017-10-30-refined-times.txt</v>
      </c>
      <c r="AI75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{"issue":{"subject":"","project_id":79,"tracker_id":40,"status_id":1,"priority_id":2,"assigned_to_id":338,"start_date":"2017-10-30","description":"","custom_fields":[{"id":1,"name":"Subdivision","value":"EC"},{"id":4,"name":"Milepost","value":"0.0256"},{"id":17,"name":"Train ID","value":"164-30"},{"id":16,"name":"Locomotive ID","value":"4003"},{"id":130,"name":"Impact","value":""},{"id":150,"name":"Time of Event (Mountain Time)","value":"13:05:07"},{"id":151,"name":"Denver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4003 --day 2017-10-30</v>
      </c>
      <c r="AN75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-30T11:20:36-0600',mode:absolute,to:'2017-10-30T14:05:07-0600'))&amp;_a=(columns:!('Message%20ID',Summary),filters:!(),index:'emp_*',interval:auto,query:(query_string:(analyze_wildcard:!t,query:'%22rtdc.l.rtdc.4003%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780</v>
      </c>
      <c r="B76" s="7">
        <v>4058</v>
      </c>
      <c r="C76" s="21" t="s">
        <v>194</v>
      </c>
      <c r="D76" s="21" t="s">
        <v>465</v>
      </c>
      <c r="E76" s="13">
        <v>43038.485347222224</v>
      </c>
      <c r="F76" s="13">
        <v>43038.489849537036</v>
      </c>
      <c r="G76" s="7">
        <v>215</v>
      </c>
      <c r="H76" s="21" t="s">
        <v>641</v>
      </c>
      <c r="I76" s="13">
        <v>43038.515520833331</v>
      </c>
      <c r="J76" s="7">
        <v>0</v>
      </c>
      <c r="K76" s="89" t="str">
        <f t="shared" si="0"/>
        <v>4057/4058</v>
      </c>
      <c r="L76" s="185" t="str">
        <f>VLOOKUP(A76,'Trips&amp;Operators'!$C$1:$G$99911,5,FALSE)</f>
        <v>LEVERE CRAIG</v>
      </c>
      <c r="M76" s="6">
        <f t="shared" si="1"/>
        <v>2.5671296294603962E-2</v>
      </c>
      <c r="N76" s="7">
        <f t="shared" si="31"/>
        <v>36.966666664229706</v>
      </c>
      <c r="O76" s="7"/>
      <c r="P76" s="7"/>
      <c r="Q76" s="22"/>
      <c r="R76" s="174"/>
      <c r="S76" s="221">
        <f t="shared" si="26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-30T10:38:54-0600',mode:absolute,to:'2017-10-30T13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6" s="204" t="str">
        <f>IF(AA76&lt;VLOOKUP(AG76,Variables!$AC$3:$AD$8,2,FALSE),"Y","N")</f>
        <v>N</v>
      </c>
      <c r="X76" s="204">
        <f t="shared" si="30"/>
        <v>1</v>
      </c>
      <c r="Y76" s="204">
        <f t="shared" si="27"/>
        <v>4.4900000000000002E-2</v>
      </c>
      <c r="Z76" s="204">
        <f t="shared" si="28"/>
        <v>23.319500000000001</v>
      </c>
      <c r="AA76" s="204">
        <f t="shared" si="9"/>
        <v>23.274600000000003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165</v>
      </c>
      <c r="AE76" s="77" t="str">
        <f t="shared" si="11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76" s="74" t="str">
        <f t="shared" si="12"/>
        <v>"C:\Program Files (x86)\AstroGrep\AstroGrep.exe" /e /r /s /spath="%USERPROFILE%\AppData\Local\Temp\OnboardLogs" /stypes="app*4058*20171030*"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165-30 --locoid 4058 --swversion DE.1.0.9.0 --startMP 204:449 --initTime 2017-10-30T11:38:54 --startdatetime 2017-10-30T11:45:23 --delay 215 --endMP 204:233195 --enddatetime 2017-10-30T12:22:21 --enforcementcount 0 &gt;&gt;%USERPROFILE%\Documents\GitHub\eaglep3-reporting\EC\2017-10-30-refined-times.txt</v>
      </c>
      <c r="AI76" s="96" t="str">
        <f t="shared" si="20"/>
        <v>echo {"issue":{"subject":"","project_id":79,"tracker_id":40,"status_id":1,"priority_id":2,"assigned_to_id":338,"start_date":"2017-10-30","description":"","custom_fields":[{"id":1,"name":"Subdivision","value":"EC"},{"id":4,"name":"Milepost","value":"23.3195"},{"id":17,"name":"Train ID","value":"165-30"},{"id":16,"name":"Locomotive ID","value":"4058"},{"id":130,"name":"Impact","value":""},{"id":150,"name":"Time of Event (Mountain Time)","value":"12:22:21"},{"id":151,"name":"Denver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4058 --day 2017-10-30</v>
      </c>
      <c r="AN76" s="151" t="str">
        <f t="shared" si="22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-30T10:38:54-0600',mode:absolute,to:'2017-10-30T13:22:21-0600'))&amp;_a=(columns:!('Message%20ID',Summary),filters:!(),index:'emp_*',interval:auto,query:(query_string:(analyze_wildcard:!t,query:'%22rtdc.l.rtdc.4058%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788</v>
      </c>
      <c r="B77" s="7">
        <v>4057</v>
      </c>
      <c r="C77" s="21" t="s">
        <v>194</v>
      </c>
      <c r="D77" s="21" t="s">
        <v>487</v>
      </c>
      <c r="E77" s="13">
        <v>43038.521666666667</v>
      </c>
      <c r="F77" s="13">
        <v>43038.529386574075</v>
      </c>
      <c r="G77" s="7">
        <v>83</v>
      </c>
      <c r="H77" s="21" t="s">
        <v>953</v>
      </c>
      <c r="I77" s="13">
        <v>43038.556875000002</v>
      </c>
      <c r="J77" s="7">
        <v>0</v>
      </c>
      <c r="K77" s="89" t="str">
        <f t="shared" ref="K77:K140" si="32">IF(ISEVEN(B77),(B77-1)&amp;"/"&amp;B77,B77&amp;"/"&amp;(B77+1))</f>
        <v>4057/4058</v>
      </c>
      <c r="L77" s="185" t="str">
        <f>VLOOKUP(A77,'Trips&amp;Operators'!$C$1:$G$99911,5,FALSE)</f>
        <v>LEVERE CRAIG</v>
      </c>
      <c r="M77" s="6">
        <f t="shared" ref="M77:M140" si="33">I77-F77</f>
        <v>2.7488425927003846E-2</v>
      </c>
      <c r="N77" s="7">
        <f t="shared" si="31"/>
        <v>39.583333334885538</v>
      </c>
      <c r="O77" s="7"/>
      <c r="P77" s="7"/>
      <c r="Q77" s="22"/>
      <c r="R77" s="174"/>
      <c r="S77" s="221">
        <f t="shared" ref="S77:S86" si="34">1/IF(AG77="EC",12,1)*SUM(U77:U77)</f>
        <v>1</v>
      </c>
      <c r="T77" s="174" t="str">
        <f t="shared" ref="T77:T140" si="35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-30T11:31:12-0600',mode:absolute,to:'2017-10-30T14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7" s="204" t="str">
        <f>IF(AA77&lt;VLOOKUP(AG77,Variables!$AC$3:$AD$8,2,FALSE),"Y","N")</f>
        <v>N</v>
      </c>
      <c r="X77" s="204">
        <f t="shared" si="30"/>
        <v>1</v>
      </c>
      <c r="Y77" s="204">
        <f t="shared" ref="Y77:Y108" si="37">RIGHT(D77,LEN(D77)-4)/10000</f>
        <v>23.2881</v>
      </c>
      <c r="Z77" s="204">
        <f t="shared" ref="Z77:Z108" si="38">RIGHT(H77,LEN(H77)-4)/10000</f>
        <v>2.6700000000000002E-2</v>
      </c>
      <c r="AA77" s="204">
        <f t="shared" ref="AA77:AA140" si="39">ABS(Z77-Y77)</f>
        <v>23.261399999999998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0">VALUE(LEFT(A77,LEN(A77)-3))</f>
        <v>166</v>
      </c>
      <c r="AE77" s="77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77" s="74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/stypes="app*4057*20171030*"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3">DetSubdiv(A77)</f>
        <v>EC</v>
      </c>
      <c r="AH77" s="78" t="str">
        <f t="shared" ref="AH77:AH140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166-30 --locoid 4057 --swversion DE.1.0.9.0 --startMP 204:232881 --initTime 2017-10-30T12:31:12 --startdatetime 2017-10-30T12:42:19 --delay 83 --endMP 204:267 --enddatetime 2017-10-30T13:21:54 --enforcementcount 0 &gt;&gt;%USERPROFILE%\Documents\GitHub\eaglep3-reporting\EC\2017-10-30-refined-times.txt</v>
      </c>
      <c r="AI77" s="96" t="str">
        <f t="shared" ref="AI77:AI140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{"issue":{"subject":"","project_id":79,"tracker_id":40,"status_id":1,"priority_id":2,"assigned_to_id":338,"start_date":"2017-10-30","description":"","custom_fields":[{"id":1,"name":"Subdivision","value":"EC"},{"id":4,"name":"Milepost","value":"0.0267"},{"id":17,"name":"Train ID","value":"166-30"},{"id":16,"name":"Locomotive ID","value":"4057"},{"id":130,"name":"Impact","value":""},{"id":150,"name":"Time of Event (Mountain Time)","value":"13:21:54"},{"id":151,"name":"Denver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0" si="46">"start /low /b "&amp;dls3logs&amp;" --loco "&amp;B77&amp;" --day "&amp;TEXT(F77,"YYYY-MM-DD")</f>
        <v>start /low /b %USERPROFILE%\Documents\GitHub\eaglep3\Utilities\DownloadLogsFromS3.py --loco 4057 --day 2017-10-30</v>
      </c>
      <c r="AN77" s="151" t="str">
        <f t="shared" ref="AN77:AN140" si="47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0" si="4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-30T11:31:12-0600',mode:absolute,to:'2017-10-30T14:21:54-0600'))&amp;_a=(columns:!('Message%20ID',Summary),filters:!(),index:'emp_*',interval:auto,query:(query_string:(analyze_wildcard:!t,query:'%22rtdc.l.rtdc.4057%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781</v>
      </c>
      <c r="B78" s="7">
        <v>4032</v>
      </c>
      <c r="C78" s="21" t="s">
        <v>194</v>
      </c>
      <c r="D78" s="21" t="s">
        <v>954</v>
      </c>
      <c r="E78" s="13">
        <v>43038.496145833335</v>
      </c>
      <c r="F78" s="13">
        <v>43038.500185185185</v>
      </c>
      <c r="G78" s="7">
        <v>64</v>
      </c>
      <c r="H78" s="21" t="s">
        <v>955</v>
      </c>
      <c r="I78" s="13">
        <v>43038.525069444448</v>
      </c>
      <c r="J78" s="7">
        <v>0</v>
      </c>
      <c r="K78" s="89" t="str">
        <f t="shared" si="32"/>
        <v>4031/4032</v>
      </c>
      <c r="L78" s="185" t="str">
        <f>VLOOKUP(A78,'Trips&amp;Operators'!$C$1:$G$99911,5,FALSE)</f>
        <v>GUZMAN DANNY</v>
      </c>
      <c r="M78" s="6">
        <f t="shared" si="33"/>
        <v>2.4884259262762498E-2</v>
      </c>
      <c r="N78" s="7">
        <f t="shared" si="31"/>
        <v>35.833333338377997</v>
      </c>
      <c r="O78" s="7"/>
      <c r="P78" s="7"/>
      <c r="Q78" s="22"/>
      <c r="R78" s="174"/>
      <c r="S78" s="221">
        <f t="shared" si="34"/>
        <v>1</v>
      </c>
      <c r="T78" s="174" t="str">
        <f t="shared" si="35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6"/>
        <v>https://d0f6bd738d7f1b3e5a7ca70fe4ff75f0.us-east-1.aws.found.io/app/kibana#/discover/Steve-Slow-Train-Analysis-(2080s-and-2083s)?_g=(refreshInterval:(display:Off,pause:!f,section:0,value:0),time:(from:'2017-10-30T10:54:27-0600',mode:absolute,to:'2017-10-30T13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204" t="str">
        <f>IF(AA78&lt;VLOOKUP(AG78,Variables!$AC$3:$AD$8,2,FALSE),"Y","N")</f>
        <v>N</v>
      </c>
      <c r="X78" s="204">
        <f t="shared" si="30"/>
        <v>1</v>
      </c>
      <c r="Y78" s="204">
        <f t="shared" si="37"/>
        <v>5.0799999999999998E-2</v>
      </c>
      <c r="Z78" s="204">
        <f t="shared" si="38"/>
        <v>23.32</v>
      </c>
      <c r="AA78" s="204">
        <f t="shared" si="39"/>
        <v>23.269200000000001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0"/>
        <v>167</v>
      </c>
      <c r="AE78" s="77" t="str">
        <f t="shared" si="4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78" s="74" t="str">
        <f t="shared" si="42"/>
        <v>"C:\Program Files (x86)\AstroGrep\AstroGrep.exe" /e /r /s /spath="%USERPROFILE%\AppData\Local\Temp\OnboardLogs" /stypes="app*4032*20171030*" /stext=" 18:.+((SYSTEM_STATE.+slice.+state.+changed )|(ment ac)|(multiple cpu faults)|(system.+state.+changed )|(\[timeout)|(PRM\|1\|D)|(kpr)|(kdp)|(train st.+moving)|(\|lc)|(penalty))"</v>
      </c>
      <c r="AG78" s="182" t="str">
        <f t="shared" si="43"/>
        <v>EC</v>
      </c>
      <c r="AH78" s="78" t="str">
        <f t="shared" si="44"/>
        <v>"%USERPROFILE%\Documents\GitHub\eaglep3\Utilities\RefineRTDCRunTimes.py" --tripid 167-30 --locoid 4032 --swversion DE.1.0.9.0 --startMP 204:508 --initTime 2017-10-30T11:54:27 --startdatetime 2017-10-30T12:00:16 --delay 64 --endMP 204:233200 --enddatetime 2017-10-30T12:36:06 --enforcementcount 0 &gt;&gt;%USERPROFILE%\Documents\GitHub\eaglep3-reporting\EC\2017-10-30-refined-times.txt</v>
      </c>
      <c r="AI7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{"issue":{"subject":"","project_id":79,"tracker_id":40,"status_id":1,"priority_id":2,"assigned_to_id":338,"start_date":"2017-10-30","description":"","custom_fields":[{"id":1,"name":"Subdivision","value":"EC"},{"id":4,"name":"Milepost","value":"23.32"},{"id":17,"name":"Train ID","value":"167-30"},{"id":16,"name":"Locomotive ID","value":"4032"},{"id":130,"name":"Impact","value":""},{"id":150,"name":"Time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6"/>
        <v>start /low /b %USERPROFILE%\Documents\GitHub\eaglep3\Utilities\DownloadLogsFromS3.py --loco 4032 --day 2017-10-30</v>
      </c>
      <c r="AN78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8"/>
        <v>https://d0f6bd738d7f1b3e5a7ca70fe4ff75f0.us-east-1.aws.found.io/app/kibana#/discover/Steve-Slow-Train-Analysis-(2080s-and-2083s)?_g=(refreshInterval:(display:Off,pause:!f,section:0,value:0),time:(from:'2017-10-30T10:54:27-0600',mode:absolute,to:'2017-10-30T13:36:06-0600'))&amp;_a=(columns:!('Message%20ID',Summary),filters:!(),index:'emp_*',interval:auto,query:(query_string:(analyze_wildcard:!t,query:'%22rtdc.l.rtdc.4032%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789</v>
      </c>
      <c r="B79" s="7">
        <v>4031</v>
      </c>
      <c r="C79" s="21" t="s">
        <v>194</v>
      </c>
      <c r="D79" s="21" t="s">
        <v>956</v>
      </c>
      <c r="E79" s="13">
        <v>43038.526226851849</v>
      </c>
      <c r="F79" s="13">
        <v>43038.53974537037</v>
      </c>
      <c r="G79" s="7">
        <v>60</v>
      </c>
      <c r="H79" s="21" t="s">
        <v>646</v>
      </c>
      <c r="I79" s="13">
        <v>43038.566076388888</v>
      </c>
      <c r="J79" s="7">
        <v>0</v>
      </c>
      <c r="K79" s="89" t="str">
        <f t="shared" si="32"/>
        <v>4031/4032</v>
      </c>
      <c r="L79" s="185" t="str">
        <f>VLOOKUP(A79,'Trips&amp;Operators'!$C$1:$G$99911,5,FALSE)</f>
        <v>GUZMAN DANNY</v>
      </c>
      <c r="M79" s="6">
        <f t="shared" si="33"/>
        <v>2.6331018518249039E-2</v>
      </c>
      <c r="N79" s="7">
        <f t="shared" si="31"/>
        <v>37.916666666278616</v>
      </c>
      <c r="O79" s="7"/>
      <c r="P79" s="7"/>
      <c r="Q79" s="22"/>
      <c r="R79" s="174"/>
      <c r="S79" s="221">
        <f t="shared" si="34"/>
        <v>1</v>
      </c>
      <c r="T79" s="174" t="str">
        <f t="shared" si="35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6"/>
        <v>https://d0f6bd738d7f1b3e5a7ca70fe4ff75f0.us-east-1.aws.found.io/app/kibana#/discover/Steve-Slow-Train-Analysis-(2080s-and-2083s)?_g=(refreshInterval:(display:Off,pause:!f,section:0,value:0),time:(from:'2017-10-30T11:37:46-0600',mode:absolute,to:'2017-10-30T14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204" t="str">
        <f>IF(AA79&lt;VLOOKUP(AG79,Variables!$AC$3:$AD$8,2,FALSE),"Y","N")</f>
        <v>N</v>
      </c>
      <c r="X79" s="204">
        <f t="shared" si="30"/>
        <v>1</v>
      </c>
      <c r="Y79" s="204">
        <f t="shared" si="37"/>
        <v>23.288699999999999</v>
      </c>
      <c r="Z79" s="204">
        <f t="shared" si="38"/>
        <v>2.6499999999999999E-2</v>
      </c>
      <c r="AA79" s="204">
        <f t="shared" si="39"/>
        <v>23.2622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0"/>
        <v>168</v>
      </c>
      <c r="AE79" s="77" t="str">
        <f t="shared" si="4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79" s="74" t="str">
        <f t="shared" si="42"/>
        <v>"C:\Program Files (x86)\AstroGrep\AstroGrep.exe" /e /r /s /spath="%USERPROFILE%\AppData\Local\Temp\OnboardLogs" /stypes="app*4031*20171030*" /stext=" 19:.+((SYSTEM_STATE.+slice.+state.+changed )|(ment ac)|(multiple cpu faults)|(system.+state.+changed )|(\[timeout)|(PRM\|1\|D)|(kpr)|(kdp)|(train st.+moving)|(\|lc)|(penalty))"</v>
      </c>
      <c r="AG79" s="182" t="str">
        <f t="shared" si="43"/>
        <v>EC</v>
      </c>
      <c r="AH79" s="78" t="str">
        <f t="shared" si="44"/>
        <v>"%USERPROFILE%\Documents\GitHub\eaglep3\Utilities\RefineRTDCRunTimes.py" --tripid 168-30 --locoid 4031 --swversion DE.1.0.9.0 --startMP 204:232887 --initTime 2017-10-30T12:37:46 --startdatetime 2017-10-30T12:57:14 --delay 60 --endMP 204:265 --enddatetime 2017-10-30T13:35:09 --enforcementcount 0 &gt;&gt;%USERPROFILE%\Documents\GitHub\eaglep3-reporting\EC\2017-10-30-refined-times.txt</v>
      </c>
      <c r="AI7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{"issue":{"subject":"","project_id":79,"tracker_id":40,"status_id":1,"priority_id":2,"assigned_to_id":338,"start_date":"2017-10-30","description":"","custom_fields":[{"id":1,"name":"Subdivision","value":"EC"},{"id":4,"name":"Milepost","value":"0.0265"},{"id":17,"name":"Train ID","value":"168-30"},{"id":16,"name":"Locomotive ID","value":"4031"},{"id":130,"name":"Impact","value":""},{"id":150,"name":"Time of Event (Mountain Time)","value":"13:35:09"},{"id":151,"name":"Denver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6"/>
        <v>start /low /b %USERPROFILE%\Documents\GitHub\eaglep3\Utilities\DownloadLogsFromS3.py --loco 4031 --day 2017-10-30</v>
      </c>
      <c r="AN79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8"/>
        <v>https://d0f6bd738d7f1b3e5a7ca70fe4ff75f0.us-east-1.aws.found.io/app/kibana#/discover/Steve-Slow-Train-Analysis-(2080s-and-2083s)?_g=(refreshInterval:(display:Off,pause:!f,section:0,value:0),time:(from:'2017-10-30T11:37:46-0600',mode:absolute,to:'2017-10-30T14:35:09-0600'))&amp;_a=(columns:!('Message%20ID',Summary),filters:!(),index:'emp_*',interval:auto,query:(query_string:(analyze_wildcard:!t,query:'%22rtdc.l.rtdc.4031%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784</v>
      </c>
      <c r="B80" s="7">
        <v>4054</v>
      </c>
      <c r="C80" s="21" t="s">
        <v>194</v>
      </c>
      <c r="D80" s="21" t="s">
        <v>592</v>
      </c>
      <c r="E80" s="13">
        <v>43038.506249999999</v>
      </c>
      <c r="F80" s="13">
        <v>43038.510706018518</v>
      </c>
      <c r="G80" s="7">
        <v>177</v>
      </c>
      <c r="H80" s="21" t="s">
        <v>957</v>
      </c>
      <c r="I80" s="13">
        <v>43038.534479166665</v>
      </c>
      <c r="J80" s="7">
        <v>0</v>
      </c>
      <c r="K80" s="89" t="str">
        <f t="shared" si="32"/>
        <v>4053/4054</v>
      </c>
      <c r="L80" s="185" t="str">
        <f>VLOOKUP(A80,'Trips&amp;Operators'!$C$1:$G$99911,5,FALSE)</f>
        <v>SAFIEF AEIMEN</v>
      </c>
      <c r="M80" s="6">
        <f t="shared" si="33"/>
        <v>2.3773148146574385E-2</v>
      </c>
      <c r="N80" s="7">
        <f t="shared" si="31"/>
        <v>34.233333331067115</v>
      </c>
      <c r="O80" s="7"/>
      <c r="P80" s="7"/>
      <c r="Q80" s="22"/>
      <c r="R80" s="174"/>
      <c r="S80" s="221">
        <f t="shared" si="34"/>
        <v>1</v>
      </c>
      <c r="T80" s="174" t="str">
        <f t="shared" si="35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6"/>
        <v>https://d0f6bd738d7f1b3e5a7ca70fe4ff75f0.us-east-1.aws.found.io/app/kibana#/discover/Steve-Slow-Train-Analysis-(2080s-and-2083s)?_g=(refreshInterval:(display:Off,pause:!f,section:0,value:0),time:(from:'2017-10-30T11:09:00-0600',mode:absolute,to:'2017-10-30T13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04" t="str">
        <f>IF(AA80&lt;VLOOKUP(AG80,Variables!$AC$3:$AD$8,2,FALSE),"Y","N")</f>
        <v>N</v>
      </c>
      <c r="X80" s="204">
        <f t="shared" si="30"/>
        <v>1</v>
      </c>
      <c r="Y80" s="204">
        <f t="shared" si="37"/>
        <v>4.7500000000000001E-2</v>
      </c>
      <c r="Z80" s="204">
        <f t="shared" si="38"/>
        <v>23.318200000000001</v>
      </c>
      <c r="AA80" s="204">
        <f t="shared" si="39"/>
        <v>23.270700000000001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0"/>
        <v>169</v>
      </c>
      <c r="AE80" s="77" t="str">
        <f t="shared" si="4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80" s="74" t="str">
        <f t="shared" si="42"/>
        <v>"C:\Program Files (x86)\AstroGrep\AstroGrep.exe" /e /r /s /spath="%USERPROFILE%\AppData\Local\Temp\OnboardLogs" /stypes="app*4054*20171030*" /stext=" 18:.+((SYSTEM_STATE.+slice.+state.+changed )|(ment ac)|(multiple cpu faults)|(system.+state.+changed )|(\[timeout)|(PRM\|1\|D)|(kpr)|(kdp)|(train st.+moving)|(\|lc)|(penalty))"</v>
      </c>
      <c r="AG80" s="182" t="str">
        <f t="shared" si="43"/>
        <v>EC</v>
      </c>
      <c r="AH80" s="78" t="str">
        <f t="shared" si="44"/>
        <v>"%USERPROFILE%\Documents\GitHub\eaglep3\Utilities\RefineRTDCRunTimes.py" --tripid 169-30 --locoid 4054 --swversion DE.1.0.9.0 --startMP 204:475 --initTime 2017-10-30T12:09:00 --startdatetime 2017-10-30T12:15:25 --delay 177 --endMP 204:233182 --enddatetime 2017-10-30T12:49:39 --enforcementcount 0 &gt;&gt;%USERPROFILE%\Documents\GitHub\eaglep3-reporting\EC\2017-10-30-refined-times.txt</v>
      </c>
      <c r="AI8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{"issue":{"subject":"","project_id":79,"tracker_id":40,"status_id":1,"priority_id":2,"assigned_to_id":338,"start_date":"2017-10-30","description":"","custom_fields":[{"id":1,"name":"Subdivision","value":"EC"},{"id":4,"name":"Milepost","value":"23.3182"},{"id":17,"name":"Train ID","value":"169-30"},{"id":16,"name":"Locomotive ID","value":"4054"},{"id":130,"name":"Impact","value":""},{"id":150,"name":"Time of Event (Mountain Time)","value":"12:49:39"},{"id":151,"name":"Denver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6"/>
        <v>start /low /b %USERPROFILE%\Documents\GitHub\eaglep3\Utilities\DownloadLogsFromS3.py --loco 4054 --day 2017-10-30</v>
      </c>
      <c r="AN80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8"/>
        <v>https://d0f6bd738d7f1b3e5a7ca70fe4ff75f0.us-east-1.aws.found.io/app/kibana#/discover/Steve-Slow-Train-Analysis-(2080s-and-2083s)?_g=(refreshInterval:(display:Off,pause:!f,section:0,value:0),time:(from:'2017-10-30T11:09:00-0600',mode:absolute,to:'2017-10-30T13:49:39-0600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793</v>
      </c>
      <c r="B81" s="7">
        <v>4053</v>
      </c>
      <c r="C81" s="21" t="s">
        <v>194</v>
      </c>
      <c r="D81" s="21" t="s">
        <v>627</v>
      </c>
      <c r="E81" s="13">
        <v>43038.536898148152</v>
      </c>
      <c r="F81" s="13">
        <v>43038.550300925926</v>
      </c>
      <c r="G81" s="7">
        <v>76</v>
      </c>
      <c r="H81" s="21" t="s">
        <v>528</v>
      </c>
      <c r="I81" s="13">
        <v>43038.576689814814</v>
      </c>
      <c r="J81" s="7">
        <v>0</v>
      </c>
      <c r="K81" s="89" t="str">
        <f t="shared" si="32"/>
        <v>4053/4054</v>
      </c>
      <c r="L81" s="185" t="str">
        <f>VLOOKUP(A81,'Trips&amp;Operators'!$C$1:$G$99911,5,FALSE)</f>
        <v>SAFIEF AEIMEN</v>
      </c>
      <c r="M81" s="6">
        <f t="shared" si="33"/>
        <v>2.6388888887595385E-2</v>
      </c>
      <c r="N81" s="7">
        <f t="shared" si="31"/>
        <v>37.999999998137355</v>
      </c>
      <c r="O81" s="7"/>
      <c r="P81" s="7"/>
      <c r="Q81" s="22"/>
      <c r="R81" s="174"/>
      <c r="S81" s="221">
        <f t="shared" si="34"/>
        <v>1</v>
      </c>
      <c r="T81" s="174" t="str">
        <f t="shared" si="35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6"/>
        <v>https://d0f6bd738d7f1b3e5a7ca70fe4ff75f0.us-east-1.aws.found.io/app/kibana#/discover/Steve-Slow-Train-Analysis-(2080s-and-2083s)?_g=(refreshInterval:(display:Off,pause:!f,section:0,value:0),time:(from:'2017-10-30T11:53:08-0600',mode:absolute,to:'2017-10-30T14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04" t="str">
        <f>IF(AA81&lt;VLOOKUP(AG81,Variables!$AC$3:$AD$8,2,FALSE),"Y","N")</f>
        <v>N</v>
      </c>
      <c r="X81" s="204">
        <f t="shared" si="30"/>
        <v>1</v>
      </c>
      <c r="Y81" s="204">
        <f t="shared" si="37"/>
        <v>23.288399999999999</v>
      </c>
      <c r="Z81" s="204">
        <f t="shared" si="38"/>
        <v>2.3099999999999999E-2</v>
      </c>
      <c r="AA81" s="204">
        <f t="shared" si="39"/>
        <v>23.2653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0"/>
        <v>170</v>
      </c>
      <c r="AE81" s="77" t="str">
        <f t="shared" si="4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81" s="74" t="str">
        <f t="shared" si="42"/>
        <v>"C:\Program Files (x86)\AstroGrep\AstroGrep.exe" /e /r /s /spath="%USERPROFILE%\AppData\Local\Temp\OnboardLogs" /stypes="app*4053*20171030*" /stext=" 19:.+((SYSTEM_STATE.+slice.+state.+changed )|(ment ac)|(multiple cpu faults)|(system.+state.+changed )|(\[timeout)|(PRM\|1\|D)|(kpr)|(kdp)|(train st.+moving)|(\|lc)|(penalty))"</v>
      </c>
      <c r="AG81" s="182" t="str">
        <f t="shared" si="43"/>
        <v>EC</v>
      </c>
      <c r="AH81" s="78" t="str">
        <f t="shared" si="44"/>
        <v>"%USERPROFILE%\Documents\GitHub\eaglep3\Utilities\RefineRTDCRunTimes.py" --tripid 170-30 --locoid 4053 --swversion DE.1.0.9.0 --startMP 204:232884 --initTime 2017-10-30T12:53:08 --startdatetime 2017-10-30T13:12:26 --delay 76 --endMP 204:231 --enddatetime 2017-10-30T13:50:26 --enforcementcount 0 &gt;&gt;%USERPROFILE%\Documents\GitHub\eaglep3-reporting\EC\2017-10-30-refined-times.txt</v>
      </c>
      <c r="AI8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{"issue":{"subject":"","project_id":79,"tracker_id":40,"status_id":1,"priority_id":2,"assigned_to_id":338,"start_date":"2017-10-30","description":"","custom_fields":[{"id":1,"name":"Subdivision","value":"EC"},{"id":4,"name":"Milepost","value":"0.0231"},{"id":17,"name":"Train ID","value":"170-30"},{"id":16,"name":"Locomotive ID","value":"4053"},{"id":130,"name":"Impact","value":""},{"id":150,"name":"Time of Event (Mountain Time)","value":"13:50:26"},{"id":151,"name":"Denver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6"/>
        <v>start /low /b %USERPROFILE%\Documents\GitHub\eaglep3\Utilities\DownloadLogsFromS3.py --loco 4053 --day 2017-10-30</v>
      </c>
      <c r="AN81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8"/>
        <v>https://d0f6bd738d7f1b3e5a7ca70fe4ff75f0.us-east-1.aws.found.io/app/kibana#/discover/Steve-Slow-Train-Analysis-(2080s-and-2083s)?_g=(refreshInterval:(display:Off,pause:!f,section:0,value:0),time:(from:'2017-10-30T11:53:08-0600',mode:absolute,to:'2017-10-30T14:50:26-0600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786</v>
      </c>
      <c r="B82" s="7">
        <v>4024</v>
      </c>
      <c r="C82" s="21" t="s">
        <v>194</v>
      </c>
      <c r="D82" s="21" t="s">
        <v>533</v>
      </c>
      <c r="E82" s="13">
        <v>43038.516863425924</v>
      </c>
      <c r="F82" s="13">
        <v>43038.521018518521</v>
      </c>
      <c r="G82" s="7">
        <v>74</v>
      </c>
      <c r="H82" s="21" t="s">
        <v>958</v>
      </c>
      <c r="I82" s="13">
        <v>43038.546620370369</v>
      </c>
      <c r="J82" s="7">
        <v>0</v>
      </c>
      <c r="K82" s="89" t="str">
        <f t="shared" si="32"/>
        <v>4023/4024</v>
      </c>
      <c r="L82" s="185" t="str">
        <f>VLOOKUP(A82,'Trips&amp;Operators'!$C$1:$G$99911,5,FALSE)</f>
        <v>BADERTSCHER DIANE</v>
      </c>
      <c r="M82" s="6">
        <f t="shared" si="33"/>
        <v>2.5601851848477963E-2</v>
      </c>
      <c r="N82" s="7">
        <f t="shared" si="31"/>
        <v>36.866666661808267</v>
      </c>
      <c r="O82" s="7"/>
      <c r="P82" s="7"/>
      <c r="Q82" s="22"/>
      <c r="R82" s="174"/>
      <c r="S82" s="221">
        <f t="shared" si="34"/>
        <v>1</v>
      </c>
      <c r="T82" s="174" t="str">
        <f t="shared" si="35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6"/>
        <v>https://d0f6bd738d7f1b3e5a7ca70fe4ff75f0.us-east-1.aws.found.io/app/kibana#/discover/Steve-Slow-Train-Analysis-(2080s-and-2083s)?_g=(refreshInterval:(display:Off,pause:!f,section:0,value:0),time:(from:'2017-10-30T11:24:17-0600',mode:absolute,to:'2017-10-30T14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204" t="str">
        <f>IF(AA82&lt;VLOOKUP(AG82,Variables!$AC$3:$AD$8,2,FALSE),"Y","N")</f>
        <v>N</v>
      </c>
      <c r="X82" s="204">
        <f t="shared" si="30"/>
        <v>1</v>
      </c>
      <c r="Y82" s="204">
        <f t="shared" si="37"/>
        <v>5.3499999999999999E-2</v>
      </c>
      <c r="Z82" s="204">
        <f t="shared" si="38"/>
        <v>23.3263</v>
      </c>
      <c r="AA82" s="204">
        <f t="shared" si="39"/>
        <v>23.2728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0"/>
        <v>171</v>
      </c>
      <c r="AE82" s="77" t="str">
        <f t="shared" si="4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82" s="74" t="str">
        <f t="shared" si="42"/>
        <v>"C:\Program Files (x86)\AstroGrep\AstroGrep.exe" /e /r /s /spath="%USERPROFILE%\AppData\Local\Temp\OnboardLogs" /stypes="app*4024*20171030*" /stext=" 19:.+((SYSTEM_STATE.+slice.+state.+changed )|(ment ac)|(multiple cpu faults)|(system.+state.+changed )|(\[timeout)|(PRM\|1\|D)|(kpr)|(kdp)|(train st.+moving)|(\|lc)|(penalty))"</v>
      </c>
      <c r="AG82" s="182" t="str">
        <f t="shared" si="43"/>
        <v>EC</v>
      </c>
      <c r="AH82" s="78" t="str">
        <f t="shared" si="44"/>
        <v>"%USERPROFILE%\Documents\GitHub\eaglep3\Utilities\RefineRTDCRunTimes.py" --tripid 171-30 --locoid 4024 --swversion DE.1.0.9.0 --startMP 204:535 --initTime 2017-10-30T12:24:17 --startdatetime 2017-10-30T12:30:16 --delay 74 --endMP 204:233263 --enddatetime 2017-10-30T13:07:08 --enforcementcount 0 &gt;&gt;%USERPROFILE%\Documents\GitHub\eaglep3-reporting\EC\2017-10-30-refined-times.txt</v>
      </c>
      <c r="AI8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{"issue":{"subject":"","project_id":79,"tracker_id":40,"status_id":1,"priority_id":2,"assigned_to_id":338,"start_date":"2017-10-30","description":"","custom_fields":[{"id":1,"name":"Subdivision","value":"EC"},{"id":4,"name":"Milepost","value":"23.3263"},{"id":17,"name":"Train ID","value":"171-30"},{"id":16,"name":"Locomotive ID","value":"4024"},{"id":130,"name":"Impact","value":""},{"id":150,"name":"Time of Event (Mountain Time)","value":"13:07:08"},{"id":151,"name":"Denver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6"/>
        <v>start /low /b %USERPROFILE%\Documents\GitHub\eaglep3\Utilities\DownloadLogsFromS3.py --loco 4024 --day 2017-10-30</v>
      </c>
      <c r="AN82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8"/>
        <v>https://d0f6bd738d7f1b3e5a7ca70fe4ff75f0.us-east-1.aws.found.io/app/kibana#/discover/Steve-Slow-Train-Analysis-(2080s-and-2083s)?_g=(refreshInterval:(display:Off,pause:!f,section:0,value:0),time:(from:'2017-10-30T11:24:17-0600',mode:absolute,to:'2017-10-30T14:07:08-0600'))&amp;_a=(columns:!('Message%20ID',Summary),filters:!(),index:'emp_*',interval:auto,query:(query_string:(analyze_wildcard:!t,query:'%22rtdc.l.rtdc.4024%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797</v>
      </c>
      <c r="B83" s="7">
        <v>4023</v>
      </c>
      <c r="C83" s="21" t="s">
        <v>194</v>
      </c>
      <c r="D83" s="21" t="s">
        <v>600</v>
      </c>
      <c r="E83" s="13">
        <v>43038.554930555554</v>
      </c>
      <c r="F83" s="13">
        <v>43038.560590277775</v>
      </c>
      <c r="G83" s="7">
        <v>76</v>
      </c>
      <c r="H83" s="21" t="s">
        <v>959</v>
      </c>
      <c r="I83" s="13">
        <v>43038.587650462963</v>
      </c>
      <c r="J83" s="7">
        <v>0</v>
      </c>
      <c r="K83" s="89" t="str">
        <f t="shared" si="32"/>
        <v>4023/4024</v>
      </c>
      <c r="L83" s="185" t="str">
        <f>VLOOKUP(A83,'Trips&amp;Operators'!$C$1:$G$99911,5,FALSE)</f>
        <v>BADERTSCHER DIANE</v>
      </c>
      <c r="M83" s="6">
        <f t="shared" si="33"/>
        <v>2.7060185188020114E-2</v>
      </c>
      <c r="N83" s="7">
        <f t="shared" si="31"/>
        <v>38.966666670748964</v>
      </c>
      <c r="O83" s="7"/>
      <c r="P83" s="7"/>
      <c r="Q83" s="22"/>
      <c r="R83" s="174"/>
      <c r="S83" s="221">
        <f t="shared" si="34"/>
        <v>1</v>
      </c>
      <c r="T83" s="174" t="str">
        <f t="shared" si="35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6"/>
        <v>https://d0f6bd738d7f1b3e5a7ca70fe4ff75f0.us-east-1.aws.found.io/app/kibana#/discover/Steve-Slow-Train-Analysis-(2080s-and-2083s)?_g=(refreshInterval:(display:Off,pause:!f,section:0,value:0),time:(from:'2017-10-30T12:19:06-0600',mode:absolute,to:'2017-10-30T15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204" t="str">
        <f>IF(AA83&lt;VLOOKUP(AG83,Variables!$AC$3:$AD$8,2,FALSE),"Y","N")</f>
        <v>N</v>
      </c>
      <c r="X83" s="204">
        <f t="shared" si="30"/>
        <v>1</v>
      </c>
      <c r="Y83" s="204">
        <f t="shared" si="37"/>
        <v>23.294699999999999</v>
      </c>
      <c r="Z83" s="204">
        <f t="shared" si="38"/>
        <v>1.7999999999999999E-2</v>
      </c>
      <c r="AA83" s="204">
        <f t="shared" si="39"/>
        <v>23.276699999999998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0"/>
        <v>172</v>
      </c>
      <c r="AE83" s="77" t="str">
        <f t="shared" si="4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83" s="74" t="str">
        <f t="shared" si="42"/>
        <v>"C:\Program Files (x86)\AstroGrep\AstroGrep.exe" /e /r /s /spath="%USERPROFILE%\AppData\Local\Temp\OnboardLogs" /stypes="app*4023*20171030*" /stext=" 20:.+((SYSTEM_STATE.+slice.+state.+changed )|(ment ac)|(multiple cpu faults)|(system.+state.+changed )|(\[timeout)|(PRM\|1\|D)|(kpr)|(kdp)|(train st.+moving)|(\|lc)|(penalty))"</v>
      </c>
      <c r="AG83" s="182" t="str">
        <f t="shared" si="43"/>
        <v>EC</v>
      </c>
      <c r="AH83" s="78" t="str">
        <f t="shared" si="44"/>
        <v>"%USERPROFILE%\Documents\GitHub\eaglep3\Utilities\RefineRTDCRunTimes.py" --tripid 172-30 --locoid 4023 --swversion DE.1.0.9.0 --startMP 204:232947 --initTime 2017-10-30T13:19:06 --startdatetime 2017-10-30T13:27:15 --delay 76 --endMP 204:180 --enddatetime 2017-10-30T14:06:13 --enforcementcount 0 &gt;&gt;%USERPROFILE%\Documents\GitHub\eaglep3-reporting\EC\2017-10-30-refined-times.txt</v>
      </c>
      <c r="AI8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{"issue":{"subject":"","project_id":79,"tracker_id":40,"status_id":1,"priority_id":2,"assigned_to_id":338,"start_date":"2017-10-30","description":"","custom_fields":[{"id":1,"name":"Subdivision","value":"EC"},{"id":4,"name":"Milepost","value":"0.018"},{"id":17,"name":"Train ID","value":"172-30"},{"id":16,"name":"Locomotive ID","value":"4023"},{"id":130,"name":"Impact","value":""},{"id":150,"name":"Time of Event (Mountain Time)","value":"14:06:13"},{"id":151,"name":"Denver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6"/>
        <v>start /low /b %USERPROFILE%\Documents\GitHub\eaglep3\Utilities\DownloadLogsFromS3.py --loco 4023 --day 2017-10-30</v>
      </c>
      <c r="AN83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8"/>
        <v>https://d0f6bd738d7f1b3e5a7ca70fe4ff75f0.us-east-1.aws.found.io/app/kibana#/discover/Steve-Slow-Train-Analysis-(2080s-and-2083s)?_g=(refreshInterval:(display:Off,pause:!f,section:0,value:0),time:(from:'2017-10-30T12:19:06-0600',mode:absolute,to:'2017-10-30T15:06:13-0600'))&amp;_a=(columns:!('Message%20ID',Summary),filters:!(),index:'emp_*',interval:auto,query:(query_string:(analyze_wildcard:!t,query:'%22rtdc.l.rtdc.4023%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790</v>
      </c>
      <c r="B84" s="7">
        <v>4002</v>
      </c>
      <c r="C84" s="21" t="s">
        <v>194</v>
      </c>
      <c r="D84" s="21" t="s">
        <v>909</v>
      </c>
      <c r="E84" s="13">
        <v>43038.526631944442</v>
      </c>
      <c r="F84" s="13">
        <v>43038.531631944446</v>
      </c>
      <c r="G84" s="7">
        <v>179</v>
      </c>
      <c r="H84" s="21" t="s">
        <v>581</v>
      </c>
      <c r="I84" s="13">
        <v>43038.556666666664</v>
      </c>
      <c r="J84" s="7">
        <v>0</v>
      </c>
      <c r="K84" s="89" t="str">
        <f t="shared" si="32"/>
        <v>4001/4002</v>
      </c>
      <c r="L84" s="185" t="str">
        <f>VLOOKUP(A84,'Trips&amp;Operators'!$C$1:$G$99911,5,FALSE)</f>
        <v>STRICKLAND EVAN</v>
      </c>
      <c r="M84" s="6">
        <f t="shared" si="33"/>
        <v>2.5034722217242233E-2</v>
      </c>
      <c r="N84" s="7">
        <f t="shared" si="31"/>
        <v>36.049999992828816</v>
      </c>
      <c r="O84" s="7"/>
      <c r="P84" s="7"/>
      <c r="Q84" s="22"/>
      <c r="R84" s="174"/>
      <c r="S84" s="221">
        <f t="shared" si="34"/>
        <v>1</v>
      </c>
      <c r="T84" s="174" t="str">
        <f t="shared" si="35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6"/>
        <v>https://d0f6bd738d7f1b3e5a7ca70fe4ff75f0.us-east-1.aws.found.io/app/kibana#/discover/Steve-Slow-Train-Analysis-(2080s-and-2083s)?_g=(refreshInterval:(display:Off,pause:!f,section:0,value:0),time:(from:'2017-10-30T11:38:21-0600',mode:absolute,to:'2017-10-30T14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204" t="str">
        <f>IF(AA84&lt;VLOOKUP(AG84,Variables!$AC$3:$AD$8,2,FALSE),"Y","N")</f>
        <v>N</v>
      </c>
      <c r="X84" s="204">
        <f t="shared" si="30"/>
        <v>1</v>
      </c>
      <c r="Y84" s="204">
        <f t="shared" si="37"/>
        <v>4.53E-2</v>
      </c>
      <c r="Z84" s="204">
        <f t="shared" si="38"/>
        <v>23.3216</v>
      </c>
      <c r="AA84" s="204">
        <f t="shared" si="39"/>
        <v>23.276299999999999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0"/>
        <v>173</v>
      </c>
      <c r="AE84" s="77" t="str">
        <f t="shared" si="4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84" s="74" t="str">
        <f t="shared" si="42"/>
        <v>"C:\Program Files (x86)\AstroGrep\AstroGrep.exe" /e /r /s /spath="%USERPROFILE%\AppData\Local\Temp\OnboardLogs" /stypes="app*4002*20171030*" /stext=" 19:.+((SYSTEM_STATE.+slice.+state.+changed )|(ment ac)|(multiple cpu faults)|(system.+state.+changed )|(\[timeout)|(PRM\|1\|D)|(kpr)|(kdp)|(train st.+moving)|(\|lc)|(penalty))"</v>
      </c>
      <c r="AG84" s="182" t="str">
        <f t="shared" si="43"/>
        <v>EC</v>
      </c>
      <c r="AH84" s="78" t="str">
        <f t="shared" si="44"/>
        <v>"%USERPROFILE%\Documents\GitHub\eaglep3\Utilities\RefineRTDCRunTimes.py" --tripid 173-30 --locoid 4002 --swversion DE.1.0.9.0 --startMP 204:453 --initTime 2017-10-30T12:38:21 --startdatetime 2017-10-30T12:45:33 --delay 179 --endMP 204:233216 --enddatetime 2017-10-30T13:21:36 --enforcementcount 0 &gt;&gt;%USERPROFILE%\Documents\GitHub\eaglep3-reporting\EC\2017-10-30-refined-times.txt</v>
      </c>
      <c r="AI8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{"issue":{"subject":"","project_id":79,"tracker_id":40,"status_id":1,"priority_id":2,"assigned_to_id":338,"start_date":"2017-10-30","description":"","custom_fields":[{"id":1,"name":"Subdivision","value":"EC"},{"id":4,"name":"Milepost","value":"23.3216"},{"id":17,"name":"Train ID","value":"173-30"},{"id":16,"name":"Locomotive ID","value":"4002"},{"id":130,"name":"Impact","value":""},{"id":150,"name":"Time of Event (Mountain Time)","value":"13:21:36"},{"id":151,"name":"Denver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6"/>
        <v>start /low /b %USERPROFILE%\Documents\GitHub\eaglep3\Utilities\DownloadLogsFromS3.py --loco 4002 --day 2017-10-30</v>
      </c>
      <c r="AN84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8"/>
        <v>https://d0f6bd738d7f1b3e5a7ca70fe4ff75f0.us-east-1.aws.found.io/app/kibana#/discover/Steve-Slow-Train-Analysis-(2080s-and-2083s)?_g=(refreshInterval:(display:Off,pause:!f,section:0,value:0),time:(from:'2017-10-30T11:38:21-0600',mode:absolute,to:'2017-10-30T14:21:36-0600'))&amp;_a=(columns:!('Message%20ID',Summary),filters:!(),index:'emp_*',interval:auto,query:(query_string:(analyze_wildcard:!t,query:'%22rtdc.l.rtdc.4002%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800</v>
      </c>
      <c r="B85" s="7">
        <v>4001</v>
      </c>
      <c r="C85" s="21" t="s">
        <v>194</v>
      </c>
      <c r="D85" s="21" t="s">
        <v>960</v>
      </c>
      <c r="E85" s="13">
        <v>43038.563842592594</v>
      </c>
      <c r="F85" s="13">
        <v>43038.571076388886</v>
      </c>
      <c r="G85" s="7">
        <v>89</v>
      </c>
      <c r="H85" s="21" t="s">
        <v>588</v>
      </c>
      <c r="I85" s="13">
        <v>43038.598819444444</v>
      </c>
      <c r="J85" s="7">
        <v>0</v>
      </c>
      <c r="K85" s="89" t="str">
        <f t="shared" si="32"/>
        <v>4001/4002</v>
      </c>
      <c r="L85" s="185" t="str">
        <f>VLOOKUP(A85,'Trips&amp;Operators'!$C$1:$G$99911,5,FALSE)</f>
        <v>STRICKLAND EVAN</v>
      </c>
      <c r="M85" s="6">
        <f t="shared" si="33"/>
        <v>2.7743055557948537E-2</v>
      </c>
      <c r="N85" s="7">
        <f t="shared" si="31"/>
        <v>39.950000003445894</v>
      </c>
      <c r="O85" s="7"/>
      <c r="P85" s="7"/>
      <c r="Q85" s="22"/>
      <c r="R85" s="174"/>
      <c r="S85" s="221">
        <f t="shared" si="34"/>
        <v>1</v>
      </c>
      <c r="T85" s="174" t="str">
        <f t="shared" si="35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6"/>
        <v>https://d0f6bd738d7f1b3e5a7ca70fe4ff75f0.us-east-1.aws.found.io/app/kibana#/discover/Steve-Slow-Train-Analysis-(2080s-and-2083s)?_g=(refreshInterval:(display:Off,pause:!f,section:0,value:0),time:(from:'2017-10-30T12:31:56-0600',mode:absolute,to:'2017-10-30T15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204" t="str">
        <f>IF(AA85&lt;VLOOKUP(AG85,Variables!$AC$3:$AD$8,2,FALSE),"Y","N")</f>
        <v>N</v>
      </c>
      <c r="X85" s="204">
        <f t="shared" si="30"/>
        <v>1</v>
      </c>
      <c r="Y85" s="204">
        <f t="shared" si="37"/>
        <v>23.290500000000002</v>
      </c>
      <c r="Z85" s="204">
        <f t="shared" si="38"/>
        <v>2.3199999999999998E-2</v>
      </c>
      <c r="AA85" s="204">
        <f t="shared" si="39"/>
        <v>23.267300000000002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0"/>
        <v>174</v>
      </c>
      <c r="AE85" s="77" t="str">
        <f t="shared" si="4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85" s="74" t="str">
        <f t="shared" si="42"/>
        <v>"C:\Program Files (x86)\AstroGrep\AstroGrep.exe" /e /r /s /spath="%USERPROFILE%\AppData\Local\Temp\OnboardLogs" /stypes="app*4001*20171030*" /stext=" 20:.+((SYSTEM_STATE.+slice.+state.+changed )|(ment ac)|(multiple cpu faults)|(system.+state.+changed )|(\[timeout)|(PRM\|1\|D)|(kpr)|(kdp)|(train st.+moving)|(\|lc)|(penalty))"</v>
      </c>
      <c r="AG85" s="182" t="str">
        <f t="shared" si="43"/>
        <v>EC</v>
      </c>
      <c r="AH85" s="78" t="str">
        <f t="shared" si="44"/>
        <v>"%USERPROFILE%\Documents\GitHub\eaglep3\Utilities\RefineRTDCRunTimes.py" --tripid 174-30 --locoid 4001 --swversion DE.1.0.9.0 --startMP 204:232905 --initTime 2017-10-30T13:31:56 --startdatetime 2017-10-30T13:42:21 --delay 89 --endMP 204:232 --enddatetime 2017-10-30T14:22:18 --enforcementcount 0 &gt;&gt;%USERPROFILE%\Documents\GitHub\eaglep3-reporting\EC\2017-10-30-refined-times.txt</v>
      </c>
      <c r="AI8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{"issue":{"subject":"","project_id":79,"tracker_id":40,"status_id":1,"priority_id":2,"assigned_to_id":338,"start_date":"2017-10-30","description":"","custom_fields":[{"id":1,"name":"Subdivision","value":"EC"},{"id":4,"name":"Milepost","value":"0.0232"},{"id":17,"name":"Train ID","value":"174-30"},{"id":16,"name":"Locomotive ID","value":"4001"},{"id":130,"name":"Impact","value":""},{"id":150,"name":"Time of Event (Mountain Time)","value":"14:22:18"},{"id":151,"name":"Denver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6"/>
        <v>start /low /b %USERPROFILE%\Documents\GitHub\eaglep3\Utilities\DownloadLogsFromS3.py --loco 4001 --day 2017-10-30</v>
      </c>
      <c r="AN85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8"/>
        <v>https://d0f6bd738d7f1b3e5a7ca70fe4ff75f0.us-east-1.aws.found.io/app/kibana#/discover/Steve-Slow-Train-Analysis-(2080s-and-2083s)?_g=(refreshInterval:(display:Off,pause:!f,section:0,value:0),time:(from:'2017-10-30T12:31:56-0600',mode:absolute,to:'2017-10-30T15:22:18-0600'))&amp;_a=(columns:!('Message%20ID',Summary),filters:!(),index:'emp_*',interval:auto,query:(query_string:(analyze_wildcard:!t,query:'%22rtdc.l.rtdc.4001%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794</v>
      </c>
      <c r="B86" s="7">
        <v>4012</v>
      </c>
      <c r="C86" s="21" t="s">
        <v>194</v>
      </c>
      <c r="D86" s="21" t="s">
        <v>631</v>
      </c>
      <c r="E86" s="13">
        <v>43038.539479166669</v>
      </c>
      <c r="F86" s="13">
        <v>43038.542048611111</v>
      </c>
      <c r="G86" s="7">
        <v>65</v>
      </c>
      <c r="H86" s="21" t="s">
        <v>513</v>
      </c>
      <c r="I86" s="13">
        <v>43038.568078703705</v>
      </c>
      <c r="J86" s="7">
        <v>0</v>
      </c>
      <c r="K86" s="89" t="str">
        <f t="shared" si="32"/>
        <v>4011/4012</v>
      </c>
      <c r="L86" s="185" t="str">
        <f>VLOOKUP(A86,'Trips&amp;Operators'!$C$1:$G$99911,5,FALSE)</f>
        <v>DAVIS MICHAEL</v>
      </c>
      <c r="M86" s="6">
        <f t="shared" si="33"/>
        <v>2.6030092594737653E-2</v>
      </c>
      <c r="N86" s="7">
        <f t="shared" si="31"/>
        <v>37.48333333642222</v>
      </c>
      <c r="O86" s="7"/>
      <c r="P86" s="7"/>
      <c r="Q86" s="22"/>
      <c r="R86" s="174"/>
      <c r="S86" s="221">
        <f t="shared" si="34"/>
        <v>1</v>
      </c>
      <c r="T86" s="174" t="str">
        <f t="shared" si="35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6"/>
        <v>https://d0f6bd738d7f1b3e5a7ca70fe4ff75f0.us-east-1.aws.found.io/app/kibana#/discover/Steve-Slow-Train-Analysis-(2080s-and-2083s)?_g=(refreshInterval:(display:Off,pause:!f,section:0,value:0),time:(from:'2017-10-30T11:56:51-0600',mode:absolute,to:'2017-10-30T14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6" s="204" t="str">
        <f>IF(AA86&lt;VLOOKUP(AG86,Variables!$AC$3:$AD$8,2,FALSE),"Y","N")</f>
        <v>N</v>
      </c>
      <c r="X86" s="204">
        <f t="shared" si="30"/>
        <v>1</v>
      </c>
      <c r="Y86" s="204">
        <f t="shared" si="37"/>
        <v>5.5300000000000002E-2</v>
      </c>
      <c r="Z86" s="204">
        <f t="shared" si="38"/>
        <v>23.318899999999999</v>
      </c>
      <c r="AA86" s="204">
        <f t="shared" si="39"/>
        <v>23.2636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0"/>
        <v>175</v>
      </c>
      <c r="AE86" s="77" t="str">
        <f t="shared" si="41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86" s="74" t="str">
        <f t="shared" si="42"/>
        <v>"C:\Program Files (x86)\AstroGrep\AstroGrep.exe" /e /r /s /spath="%USERPROFILE%\AppData\Local\Temp\OnboardLogs" /stypes="app*4012*20171030*" /stext=" 19:.+((SYSTEM_STATE.+slice.+state.+changed )|(ment ac)|(multiple cpu faults)|(system.+state.+changed )|(\[timeout)|(PRM\|1\|D)|(kpr)|(kdp)|(train st.+moving)|(\|lc)|(penalty))"</v>
      </c>
      <c r="AG86" s="182" t="str">
        <f t="shared" si="43"/>
        <v>EC</v>
      </c>
      <c r="AH86" s="78" t="str">
        <f t="shared" si="44"/>
        <v>"%USERPROFILE%\Documents\GitHub\eaglep3\Utilities\RefineRTDCRunTimes.py" --tripid 175-30 --locoid 4012 --swversion DE.1.0.9.0 --startMP 204:553 --initTime 2017-10-30T12:56:51 --startdatetime 2017-10-30T13:00:33 --delay 65 --endMP 204:233189 --enddatetime 2017-10-30T13:38:02 --enforcementcount 0 &gt;&gt;%USERPROFILE%\Documents\GitHub\eaglep3-reporting\EC\2017-10-30-refined-times.txt</v>
      </c>
      <c r="AI8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{"issue":{"subject":"","project_id":79,"tracker_id":40,"status_id":1,"priority_id":2,"assigned_to_id":338,"start_date":"2017-10-30","description":"","custom_fields":[{"id":1,"name":"Subdivision","value":"EC"},{"id":4,"name":"Milepost","value":"23.3189"},{"id":17,"name":"Train ID","value":"175-30"},{"id":16,"name":"Locomotive ID","value":"4012"},{"id":130,"name":"Impact","value":""},{"id":150,"name":"Time of Event (Mountain Time)","value":"13:38:02"},{"id":151,"name":"Denver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6"/>
        <v>start /low /b %USERPROFILE%\Documents\GitHub\eaglep3\Utilities\DownloadLogsFromS3.py --loco 4012 --day 2017-10-30</v>
      </c>
      <c r="AN86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8"/>
        <v>https://d0f6bd738d7f1b3e5a7ca70fe4ff75f0.us-east-1.aws.found.io/app/kibana#/discover/Steve-Slow-Train-Analysis-(2080s-and-2083s)?_g=(refreshInterval:(display:Off,pause:!f,section:0,value:0),time:(from:'2017-10-30T11:56:51-0600',mode:absolute,to:'2017-10-30T14:38:02-0600'))&amp;_a=(columns:!('Message%20ID',Summary),filters:!(),index:'emp_*',interval:auto,query:(query_string:(analyze_wildcard:!t,query:'%22rtdc.l.rtdc.4012%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802</v>
      </c>
      <c r="B87" s="7">
        <v>4011</v>
      </c>
      <c r="C87" s="21" t="s">
        <v>194</v>
      </c>
      <c r="D87" s="21" t="s">
        <v>518</v>
      </c>
      <c r="E87" s="13">
        <v>43038.578900462962</v>
      </c>
      <c r="F87" s="13">
        <v>43038.606041666666</v>
      </c>
      <c r="G87" s="7">
        <v>67</v>
      </c>
      <c r="H87" s="21" t="s">
        <v>961</v>
      </c>
      <c r="I87" s="13">
        <v>43038.620555555557</v>
      </c>
      <c r="J87" s="7">
        <v>0</v>
      </c>
      <c r="K87" s="89" t="str">
        <f t="shared" si="32"/>
        <v>4011/4012</v>
      </c>
      <c r="L87" s="185" t="str">
        <f>VLOOKUP(A87,'Trips&amp;Operators'!$C$1:$G$99911,5,FALSE)</f>
        <v>DAVIS MICHAEL</v>
      </c>
      <c r="M87" s="6">
        <f t="shared" si="33"/>
        <v>1.4513888891087845E-2</v>
      </c>
      <c r="N87" s="7"/>
      <c r="O87" s="7"/>
      <c r="P87" s="7">
        <f>24*60*SUM($M87:$M87)</f>
        <v>20.900000003166497</v>
      </c>
      <c r="Q87" s="22"/>
      <c r="R87" s="174" t="s">
        <v>1132</v>
      </c>
      <c r="S87" s="221">
        <f>1/IF(AG87="EC",12,1)*SUM(U87:U88)</f>
        <v>0.75</v>
      </c>
      <c r="T87" s="174" t="str">
        <f t="shared" si="35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216" t="str">
        <f t="shared" si="36"/>
        <v>https://d0f6bd738d7f1b3e5a7ca70fe4ff75f0.us-east-1.aws.found.io/app/kibana#/discover/Steve-Slow-Train-Analysis-(2080s-and-2083s)?_g=(refreshInterval:(display:Off,pause:!f,section:0,value:0),time:(from:'2017-10-30T12:53:37-0600',mode:absolute,to:'2017-10-30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204" t="str">
        <f>IF(AA87&lt;VLOOKUP(AG87,Variables!$AC$3:$AD$8,2,FALSE),"Y","N")</f>
        <v>Y</v>
      </c>
      <c r="X87" s="204">
        <f t="shared" si="30"/>
        <v>1</v>
      </c>
      <c r="Y87" s="204">
        <f t="shared" si="37"/>
        <v>23.290400000000002</v>
      </c>
      <c r="Z87" s="204">
        <f t="shared" si="38"/>
        <v>12.4217</v>
      </c>
      <c r="AA87" s="204">
        <f t="shared" si="39"/>
        <v>10.868700000000002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0"/>
        <v>176</v>
      </c>
      <c r="AE87" s="77" t="str">
        <f t="shared" si="4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87" s="74" t="str">
        <f t="shared" si="42"/>
        <v>"C:\Program Files (x86)\AstroGrep\AstroGrep.exe" /e /r /s /spath="%USERPROFILE%\AppData\Local\Temp\OnboardLogs" /stypes="app*4011*20171030*" /stext=" 20:.+((SYSTEM_STATE.+slice.+state.+changed )|(ment ac)|(multiple cpu faults)|(system.+state.+changed )|(\[timeout)|(PRM\|1\|D)|(kpr)|(kdp)|(train st.+moving)|(\|lc)|(penalty))"</v>
      </c>
      <c r="AG87" s="182" t="str">
        <f t="shared" si="43"/>
        <v>EC</v>
      </c>
      <c r="AH87" s="78" t="str">
        <f t="shared" si="44"/>
        <v>"%USERPROFILE%\Documents\GitHub\eaglep3\Utilities\RefineRTDCRunTimes.py" --tripid 176-30 --locoid 4011 --swversion DE.1.0.9.0 --startMP 204:232904 --initTime 2017-10-30T13:53:37 --startdatetime 2017-10-30T14:32:42 --delay 67 --endMP 204:124217 --enddatetime 2017-10-30T14:53:36 --enforcementcount 0 &gt;&gt;%USERPROFILE%\Documents\GitHub\eaglep3-reporting\EC\2017-10-30-refined-times.txt</v>
      </c>
      <c r="AI87" s="96" t="str">
        <f t="shared" si="45"/>
        <v>echo {"issue":{"subject":"Onboard enroute failure","project_id":79,"tracker_id":40,"status_id":1,"priority_id":2,"assigned_to_id":338,"start_date":"2017-10-30","description":"","custom_fields":[{"id":1,"name":"Subdivision","value":"EC"},{"id":4,"name":"Milepost","value":"12.4217"},{"id":17,"name":"Train ID","value":"176-30"},{"id":16,"name":"Locomotive ID","value":"4011"},{"id":130,"name":"Impact","value":""},{"id":150,"name":"Time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6"/>
        <v>start /low /b %USERPROFILE%\Documents\GitHub\eaglep3\Utilities\DownloadLogsFromS3.py --loco 4011 --day 2017-10-30</v>
      </c>
      <c r="AN87" s="151" t="str">
        <f t="shared" si="47"/>
        <v>echo {"issue":{"subject":"Onboard enroute failure","project_id":30,"tracker_id":4,"status_id":1,"priority_id":1,"assigned_to_id":10,"start_date":"2017-10-30","description":"","custom_fields":[{"id":30,"name":"Category","value":"Issue"},{"id":3,"name":"Functional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8"/>
        <v>https://d0f6bd738d7f1b3e5a7ca70fe4ff75f0.us-east-1.aws.found.io/app/kibana#/discover/Steve-Slow-Train-Analysis-(2080s-and-2083s)?_g=(refreshInterval:(display:Off,pause:!f,section:0,value:0),time:(from:'2017-10-30T12:53:37-0600',mode:absolute,to:'2017-10-30T15:53:36-0600'))&amp;_a=(columns:!('Message%20ID',Summary),filters:!(),index:'emp_*',interval:auto,query:(query_string:(analyze_wildcard:!t,query:'%22rtdc.l.rtdc.4011%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802</v>
      </c>
      <c r="B88" s="7">
        <v>4011</v>
      </c>
      <c r="C88" s="21" t="s">
        <v>194</v>
      </c>
      <c r="D88" s="21" t="s">
        <v>962</v>
      </c>
      <c r="E88" s="13">
        <v>43038.603576388887</v>
      </c>
      <c r="F88" s="13">
        <v>43038.606041666666</v>
      </c>
      <c r="G88" s="7">
        <v>108</v>
      </c>
      <c r="H88" s="21" t="s">
        <v>963</v>
      </c>
      <c r="I88" s="13">
        <v>43038.620555555557</v>
      </c>
      <c r="J88" s="7">
        <v>0</v>
      </c>
      <c r="K88" s="89" t="str">
        <f t="shared" si="32"/>
        <v>4011/4012</v>
      </c>
      <c r="L88" s="185" t="str">
        <f>VLOOKUP(A88,'Trips&amp;Operators'!$C$1:$G$99911,5,FALSE)</f>
        <v>DAVIS MICHAEL</v>
      </c>
      <c r="M88" s="6">
        <f t="shared" si="33"/>
        <v>1.4513888891087845E-2</v>
      </c>
      <c r="N88" s="7"/>
      <c r="O88" s="7"/>
      <c r="P88" s="7"/>
      <c r="Q88" s="22"/>
      <c r="R88" s="174"/>
      <c r="S88" s="221"/>
      <c r="T88" s="174" t="str">
        <f t="shared" si="3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9</v>
      </c>
      <c r="V88" s="216" t="str">
        <f t="shared" si="36"/>
        <v>https://d0f6bd738d7f1b3e5a7ca70fe4ff75f0.us-east-1.aws.found.io/app/kibana#/discover/Steve-Slow-Train-Analysis-(2080s-and-2083s)?_g=(refreshInterval:(display:Off,pause:!f,section:0,value:0),time:(from:'2017-10-30T13:29:09-0600',mode:absolute,to:'2017-10-30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04" t="str">
        <f>IF(AA88&lt;VLOOKUP(AG88,Variables!$AC$3:$AD$8,2,FALSE),"Y","N")</f>
        <v>Y</v>
      </c>
      <c r="X88" s="204">
        <f t="shared" ref="X88:X119" si="49">VALUE(LEFT(AD88,4))-VALUE(LEFT(AD87,4))</f>
        <v>0</v>
      </c>
      <c r="Y88" s="204">
        <f t="shared" si="37"/>
        <v>6.4172000000000002</v>
      </c>
      <c r="Z88" s="204">
        <f t="shared" si="38"/>
        <v>0.1799</v>
      </c>
      <c r="AA88" s="204">
        <f t="shared" si="39"/>
        <v>6.2373000000000003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0"/>
        <v>176</v>
      </c>
      <c r="AE88" s="77" t="str">
        <f t="shared" si="41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88" s="74" t="str">
        <f t="shared" si="42"/>
        <v>"C:\Program Files (x86)\AstroGrep\AstroGrep.exe" /e /r /s /spath="%USERPROFILE%\AppData\Local\Temp\OnboardLogs" /stypes="app*4011*20171030*" /stext=" 20:.+((SYSTEM_STATE.+slice.+state.+changed )|(ment ac)|(multiple cpu faults)|(system.+state.+changed )|(\[timeout)|(PRM\|1\|D)|(kpr)|(kdp)|(train st.+moving)|(\|lc)|(penalty))"</v>
      </c>
      <c r="AG88" s="182" t="str">
        <f t="shared" si="43"/>
        <v>EC</v>
      </c>
      <c r="AH88" s="78" t="str">
        <f t="shared" si="44"/>
        <v>"%USERPROFILE%\Documents\GitHub\eaglep3\Utilities\RefineRTDCRunTimes.py" --tripid 176-30 --locoid 4011 --swversion DE.1.0.9.0 --startMP 204:64172 --initTime 2017-10-30T14:29:09 --startdatetime 2017-10-30T14:32:42 --delay 108 --endMP 204:1799 --enddatetime 2017-10-30T14:53:36 --enforcementcount 0 &gt;&gt;%USERPROFILE%\Documents\GitHub\eaglep3-reporting\EC\2017-10-30-refined-times.txt</v>
      </c>
      <c r="AI8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{"issue":{"subject":"","project_id":79,"tracker_id":40,"status_id":1,"priority_id":2,"assigned_to_id":338,"start_date":"2017-10-30","description":"","custom_fields":[{"id":1,"name":"Subdivision","value":"EC"},{"id":4,"name":"Milepost","value":"0.1799"},{"id":17,"name":"Train ID","value":"176-30"},{"id":16,"name":"Locomotive ID","value":"4011"},{"id":130,"name":"Impact","value":""},{"id":150,"name":"Time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6"/>
        <v>start /low /b %USERPROFILE%\Documents\GitHub\eaglep3\Utilities\DownloadLogsFromS3.py --loco 4011 --day 2017-10-30</v>
      </c>
      <c r="AN88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8"/>
        <v>https://d0f6bd738d7f1b3e5a7ca70fe4ff75f0.us-east-1.aws.found.io/app/kibana#/discover/Steve-Slow-Train-Analysis-(2080s-and-2083s)?_g=(refreshInterval:(display:Off,pause:!f,section:0,value:0),time:(from:'2017-10-30T13:29:09-0600',mode:absolute,to:'2017-10-30T15:53:36-0600'))&amp;_a=(columns:!('Message%20ID',Summary),filters:!(),index:'emp_*',interval:auto,query:(query_string:(analyze_wildcard:!t,query:'%22rtdc.l.rtdc.4011%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796</v>
      </c>
      <c r="B89" s="7">
        <v>4004</v>
      </c>
      <c r="C89" s="21" t="s">
        <v>194</v>
      </c>
      <c r="D89" s="21" t="s">
        <v>535</v>
      </c>
      <c r="E89" s="13">
        <v>43038.547731481478</v>
      </c>
      <c r="F89" s="13">
        <v>43038.552291666667</v>
      </c>
      <c r="G89" s="7">
        <v>53</v>
      </c>
      <c r="H89" s="21" t="s">
        <v>964</v>
      </c>
      <c r="I89" s="13">
        <v>43038.576516203706</v>
      </c>
      <c r="J89" s="7">
        <v>0</v>
      </c>
      <c r="K89" s="89" t="str">
        <f t="shared" si="32"/>
        <v>4003/4004</v>
      </c>
      <c r="L89" s="185" t="str">
        <f>VLOOKUP(A89,'Trips&amp;Operators'!$C$1:$G$99911,5,FALSE)</f>
        <v>STEWART MICHAEL</v>
      </c>
      <c r="M89" s="6">
        <f t="shared" si="33"/>
        <v>2.4224537039117422E-2</v>
      </c>
      <c r="N89" s="7">
        <f t="shared" ref="N89:N120" si="50">24*60*SUM($M89:$M89)</f>
        <v>34.883333336329088</v>
      </c>
      <c r="O89" s="7"/>
      <c r="P89" s="7"/>
      <c r="Q89" s="22"/>
      <c r="R89" s="174"/>
      <c r="S89" s="221">
        <f t="shared" ref="S89:S120" si="51">1/IF(AG89="EC",12,1)*SUM(U89:U89)</f>
        <v>1</v>
      </c>
      <c r="T89" s="174" t="str">
        <f t="shared" si="3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6"/>
        <v>https://d0f6bd738d7f1b3e5a7ca70fe4ff75f0.us-east-1.aws.found.io/app/kibana#/discover/Steve-Slow-Train-Analysis-(2080s-and-2083s)?_g=(refreshInterval:(display:Off,pause:!f,section:0,value:0),time:(from:'2017-10-30T12:08:44-0600',mode:absolute,to:'2017-10-30T14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204" t="str">
        <f>IF(AA89&lt;VLOOKUP(AG89,Variables!$AC$3:$AD$8,2,FALSE),"Y","N")</f>
        <v>N</v>
      </c>
      <c r="X89" s="204">
        <f t="shared" si="49"/>
        <v>1</v>
      </c>
      <c r="Y89" s="204">
        <f t="shared" si="37"/>
        <v>5.7099999999999998E-2</v>
      </c>
      <c r="Z89" s="204">
        <f t="shared" si="38"/>
        <v>23.317799999999998</v>
      </c>
      <c r="AA89" s="204">
        <f t="shared" si="39"/>
        <v>23.2607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0"/>
        <v>177</v>
      </c>
      <c r="AE89" s="77" t="str">
        <f t="shared" si="4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89" s="74" t="str">
        <f t="shared" si="42"/>
        <v>"C:\Program Files (x86)\AstroGrep\AstroGrep.exe" /e /r /s /spath="%USERPROFILE%\AppData\Local\Temp\OnboardLogs" /stypes="app*4004*20171030*" /stext=" 19:.+((SYSTEM_STATE.+slice.+state.+changed )|(ment ac)|(multiple cpu faults)|(system.+state.+changed )|(\[timeout)|(PRM\|1\|D)|(kpr)|(kdp)|(train st.+moving)|(\|lc)|(penalty))"</v>
      </c>
      <c r="AG89" s="182" t="str">
        <f t="shared" si="43"/>
        <v>EC</v>
      </c>
      <c r="AH89" s="78" t="str">
        <f t="shared" si="44"/>
        <v>"%USERPROFILE%\Documents\GitHub\eaglep3\Utilities\RefineRTDCRunTimes.py" --tripid 177-30 --locoid 4004 --swversion DE.1.0.9.0 --startMP 204:571 --initTime 2017-10-30T13:08:44 --startdatetime 2017-10-30T13:15:18 --delay 53 --endMP 204:233178 --enddatetime 2017-10-30T13:50:11 --enforcementcount 0 &gt;&gt;%USERPROFILE%\Documents\GitHub\eaglep3-reporting\EC\2017-10-30-refined-times.txt</v>
      </c>
      <c r="AI8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{"issue":{"subject":"","project_id":79,"tracker_id":40,"status_id":1,"priority_id":2,"assigned_to_id":338,"start_date":"2017-10-30","description":"","custom_fields":[{"id":1,"name":"Subdivision","value":"EC"},{"id":4,"name":"Milepost","value":"23.3178"},{"id":17,"name":"Train ID","value":"177-30"},{"id":16,"name":"Locomotive ID","value":"4004"},{"id":130,"name":"Impact","value":""},{"id":150,"name":"Time of Event (Mountain Time)","value":"13:50:11"},{"id":151,"name":"Denver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6"/>
        <v>start /low /b %USERPROFILE%\Documents\GitHub\eaglep3\Utilities\DownloadLogsFromS3.py --loco 4004 --day 2017-10-30</v>
      </c>
      <c r="AN89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8"/>
        <v>https://d0f6bd738d7f1b3e5a7ca70fe4ff75f0.us-east-1.aws.found.io/app/kibana#/discover/Steve-Slow-Train-Analysis-(2080s-and-2083s)?_g=(refreshInterval:(display:Off,pause:!f,section:0,value:0),time:(from:'2017-10-30T12:08:44-0600',mode:absolute,to:'2017-10-30T14:50:11-0600'))&amp;_a=(columns:!('Message%20ID',Summary),filters:!(),index:'emp_*',interval:auto,query:(query_string:(analyze_wildcard:!t,query:'%22rtdc.l.rtdc.4004%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804</v>
      </c>
      <c r="B90" s="7">
        <v>4003</v>
      </c>
      <c r="C90" s="21" t="s">
        <v>194</v>
      </c>
      <c r="D90" s="21" t="s">
        <v>627</v>
      </c>
      <c r="E90" s="13">
        <v>43038.587025462963</v>
      </c>
      <c r="F90" s="13">
        <v>43038.591874999998</v>
      </c>
      <c r="G90" s="7">
        <v>51</v>
      </c>
      <c r="H90" s="21" t="s">
        <v>965</v>
      </c>
      <c r="I90" s="13">
        <v>43038.621099537035</v>
      </c>
      <c r="J90" s="7">
        <v>0</v>
      </c>
      <c r="K90" s="89" t="str">
        <f t="shared" si="32"/>
        <v>4003/4004</v>
      </c>
      <c r="L90" s="185" t="str">
        <f>VLOOKUP(A90,'Trips&amp;Operators'!$C$1:$G$99911,5,FALSE)</f>
        <v>STEWART MICHAEL</v>
      </c>
      <c r="M90" s="6">
        <f t="shared" si="33"/>
        <v>2.9224537036498077E-2</v>
      </c>
      <c r="N90" s="7">
        <f t="shared" si="50"/>
        <v>42.083333332557231</v>
      </c>
      <c r="O90" s="7"/>
      <c r="P90" s="7"/>
      <c r="Q90" s="22"/>
      <c r="R90" s="174"/>
      <c r="S90" s="221">
        <f t="shared" si="51"/>
        <v>1</v>
      </c>
      <c r="T90" s="174" t="str">
        <f t="shared" si="3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6"/>
        <v>https://d0f6bd738d7f1b3e5a7ca70fe4ff75f0.us-east-1.aws.found.io/app/kibana#/discover/Steve-Slow-Train-Analysis-(2080s-and-2083s)?_g=(refreshInterval:(display:Off,pause:!f,section:0,value:0),time:(from:'2017-10-30T13:05:19-0600',mode:absolute,to:'2017-10-30T15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204" t="str">
        <f>IF(AA90&lt;VLOOKUP(AG90,Variables!$AC$3:$AD$8,2,FALSE),"Y","N")</f>
        <v>N</v>
      </c>
      <c r="X90" s="204">
        <f t="shared" si="49"/>
        <v>1</v>
      </c>
      <c r="Y90" s="204">
        <f t="shared" si="37"/>
        <v>23.288399999999999</v>
      </c>
      <c r="Z90" s="204">
        <f t="shared" si="38"/>
        <v>2.5100000000000001E-2</v>
      </c>
      <c r="AA90" s="204">
        <f t="shared" si="39"/>
        <v>23.263300000000001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0"/>
        <v>178</v>
      </c>
      <c r="AE90" s="77" t="str">
        <f t="shared" si="4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90" s="74" t="str">
        <f t="shared" si="42"/>
        <v>"C:\Program Files (x86)\AstroGrep\AstroGrep.exe" /e /r /s /spath="%USERPROFILE%\AppData\Local\Temp\OnboardLogs" /stypes="app*4003*20171030*" /stext=" 20:.+((SYSTEM_STATE.+slice.+state.+changed )|(ment ac)|(multiple cpu faults)|(system.+state.+changed )|(\[timeout)|(PRM\|1\|D)|(kpr)|(kdp)|(train st.+moving)|(\|lc)|(penalty))"</v>
      </c>
      <c r="AG90" s="182" t="str">
        <f t="shared" si="43"/>
        <v>EC</v>
      </c>
      <c r="AH90" s="78" t="str">
        <f t="shared" si="44"/>
        <v>"%USERPROFILE%\Documents\GitHub\eaglep3\Utilities\RefineRTDCRunTimes.py" --tripid 178-30 --locoid 4003 --swversion DE.1.0.9.0 --startMP 204:232884 --initTime 2017-10-30T14:05:19 --startdatetime 2017-10-30T14:12:18 --delay 51 --endMP 204:251 --enddatetime 2017-10-30T14:54:23 --enforcementcount 0 &gt;&gt;%USERPROFILE%\Documents\GitHub\eaglep3-reporting\EC\2017-10-30-refined-times.txt</v>
      </c>
      <c r="AI9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{"issue":{"subject":"","project_id":79,"tracker_id":40,"status_id":1,"priority_id":2,"assigned_to_id":338,"start_date":"2017-10-30","description":"","custom_fields":[{"id":1,"name":"Subdivision","value":"EC"},{"id":4,"name":"Milepost","value":"0.0251"},{"id":17,"name":"Train ID","value":"178-30"},{"id":16,"name":"Locomotive ID","value":"4003"},{"id":130,"name":"Impact","value":""},{"id":150,"name":"Time of Event (Mountain Time)","value":"14:54:23"},{"id":151,"name":"Denver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6"/>
        <v>start /low /b %USERPROFILE%\Documents\GitHub\eaglep3\Utilities\DownloadLogsFromS3.py --loco 4003 --day 2017-10-30</v>
      </c>
      <c r="AN90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8"/>
        <v>https://d0f6bd738d7f1b3e5a7ca70fe4ff75f0.us-east-1.aws.found.io/app/kibana#/discover/Steve-Slow-Train-Analysis-(2080s-and-2083s)?_g=(refreshInterval:(display:Off,pause:!f,section:0,value:0),time:(from:'2017-10-30T13:05:19-0600',mode:absolute,to:'2017-10-30T15:54:23-0600'))&amp;_a=(columns:!('Message%20ID',Summary),filters:!(),index:'emp_*',interval:auto,query:(query_string:(analyze_wildcard:!t,query:'%22rtdc.l.rtdc.4003%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798</v>
      </c>
      <c r="B91" s="7">
        <v>4058</v>
      </c>
      <c r="C91" s="21" t="s">
        <v>194</v>
      </c>
      <c r="D91" s="21" t="s">
        <v>485</v>
      </c>
      <c r="E91" s="13">
        <v>43038.558923611112</v>
      </c>
      <c r="F91" s="13">
        <v>43038.5627662037</v>
      </c>
      <c r="G91" s="7">
        <v>78</v>
      </c>
      <c r="H91" s="21" t="s">
        <v>966</v>
      </c>
      <c r="I91" s="13">
        <v>43038.589467592596</v>
      </c>
      <c r="J91" s="7">
        <v>0</v>
      </c>
      <c r="K91" s="89" t="str">
        <f t="shared" si="32"/>
        <v>4057/4058</v>
      </c>
      <c r="L91" s="185" t="str">
        <f>VLOOKUP(A91,'Trips&amp;Operators'!$C$1:$G$99911,5,FALSE)</f>
        <v>LEVERE CRAIG</v>
      </c>
      <c r="M91" s="6">
        <f t="shared" si="33"/>
        <v>2.6701388895162381E-2</v>
      </c>
      <c r="N91" s="7">
        <f t="shared" si="50"/>
        <v>38.450000009033829</v>
      </c>
      <c r="O91" s="7"/>
      <c r="P91" s="7"/>
      <c r="Q91" s="22"/>
      <c r="R91" s="174"/>
      <c r="S91" s="221">
        <f t="shared" si="51"/>
        <v>1</v>
      </c>
      <c r="T91" s="174" t="str">
        <f t="shared" si="3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6"/>
        <v>https://d0f6bd738d7f1b3e5a7ca70fe4ff75f0.us-east-1.aws.found.io/app/kibana#/discover/Steve-Slow-Train-Analysis-(2080s-and-2083s)?_g=(refreshInterval:(display:Off,pause:!f,section:0,value:0),time:(from:'2017-10-30T12:24:51-0600',mode:absolute,to:'2017-10-30T15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04" t="str">
        <f>IF(AA91&lt;VLOOKUP(AG91,Variables!$AC$3:$AD$8,2,FALSE),"Y","N")</f>
        <v>N</v>
      </c>
      <c r="X91" s="204">
        <f t="shared" si="49"/>
        <v>1</v>
      </c>
      <c r="Y91" s="204">
        <f t="shared" si="37"/>
        <v>5.62E-2</v>
      </c>
      <c r="Z91" s="204">
        <f t="shared" si="38"/>
        <v>23.319600000000001</v>
      </c>
      <c r="AA91" s="204">
        <f t="shared" si="39"/>
        <v>23.263400000000001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0"/>
        <v>179</v>
      </c>
      <c r="AE91" s="77" t="str">
        <f t="shared" si="41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91" s="74" t="str">
        <f t="shared" si="42"/>
        <v>"C:\Program Files (x86)\AstroGrep\AstroGrep.exe" /e /r /s /spath="%USERPROFILE%\AppData\Local\Temp\OnboardLogs" /stypes="app*4058*20171030*" /stext=" 20:.+((SYSTEM_STATE.+slice.+state.+changed )|(ment ac)|(multiple cpu faults)|(system.+state.+changed )|(\[timeout)|(PRM\|1\|D)|(kpr)|(kdp)|(train st.+moving)|(\|lc)|(penalty))"</v>
      </c>
      <c r="AG91" s="182" t="str">
        <f t="shared" si="43"/>
        <v>EC</v>
      </c>
      <c r="AH91" s="78" t="str">
        <f t="shared" si="44"/>
        <v>"%USERPROFILE%\Documents\GitHub\eaglep3\Utilities\RefineRTDCRunTimes.py" --tripid 179-30 --locoid 4058 --swversion DE.1.0.9.0 --startMP 204:562 --initTime 2017-10-30T13:24:51 --startdatetime 2017-10-30T13:30:23 --delay 78 --endMP 204:233196 --enddatetime 2017-10-30T14:08:50 --enforcementcount 0 &gt;&gt;%USERPROFILE%\Documents\GitHub\eaglep3-reporting\EC\2017-10-30-refined-times.txt</v>
      </c>
      <c r="AI9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{"issue":{"subject":"","project_id":79,"tracker_id":40,"status_id":1,"priority_id":2,"assigned_to_id":338,"start_date":"2017-10-30","description":"","custom_fields":[{"id":1,"name":"Subdivision","value":"EC"},{"id":4,"name":"Milepost","value":"23.3196"},{"id":17,"name":"Train ID","value":"179-30"},{"id":16,"name":"Locomotive ID","value":"4058"},{"id":130,"name":"Impact","value":""},{"id":150,"name":"Time of Event (Mountain Time)","value":"14:08:50"},{"id":151,"name":"Denver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6"/>
        <v>start /low /b %USERPROFILE%\Documents\GitHub\eaglep3\Utilities\DownloadLogsFromS3.py --loco 4058 --day 2017-10-30</v>
      </c>
      <c r="AN91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8"/>
        <v>https://d0f6bd738d7f1b3e5a7ca70fe4ff75f0.us-east-1.aws.found.io/app/kibana#/discover/Steve-Slow-Train-Analysis-(2080s-and-2083s)?_g=(refreshInterval:(display:Off,pause:!f,section:0,value:0),time:(from:'2017-10-30T12:24:51-0600',mode:absolute,to:'2017-10-30T15:08:50-0600'))&amp;_a=(columns:!('Message%20ID',Summary),filters:!(),index:'emp_*',interval:auto,query:(query_string:(analyze_wildcard:!t,query:'%22rtdc.l.rtdc.4058%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806</v>
      </c>
      <c r="B92" s="7">
        <v>4057</v>
      </c>
      <c r="C92" s="21" t="s">
        <v>194</v>
      </c>
      <c r="D92" s="21" t="s">
        <v>956</v>
      </c>
      <c r="E92" s="13">
        <v>43038.596319444441</v>
      </c>
      <c r="F92" s="13">
        <v>43038.602361111109</v>
      </c>
      <c r="G92" s="7">
        <v>91</v>
      </c>
      <c r="H92" s="21" t="s">
        <v>967</v>
      </c>
      <c r="I92" s="13">
        <v>43038.631886574076</v>
      </c>
      <c r="J92" s="7">
        <v>0</v>
      </c>
      <c r="K92" s="89" t="str">
        <f t="shared" si="32"/>
        <v>4057/4058</v>
      </c>
      <c r="L92" s="185" t="str">
        <f>VLOOKUP(A92,'Trips&amp;Operators'!$C$1:$G$99911,5,FALSE)</f>
        <v>LEVERE CRAIG</v>
      </c>
      <c r="M92" s="6">
        <f t="shared" si="33"/>
        <v>2.9525462967285421E-2</v>
      </c>
      <c r="N92" s="7">
        <f t="shared" si="50"/>
        <v>42.516666672891006</v>
      </c>
      <c r="O92" s="7"/>
      <c r="P92" s="7"/>
      <c r="Q92" s="22"/>
      <c r="R92" s="174"/>
      <c r="S92" s="221">
        <f t="shared" si="51"/>
        <v>1</v>
      </c>
      <c r="T92" s="174" t="str">
        <f t="shared" si="3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6"/>
        <v>https://d0f6bd738d7f1b3e5a7ca70fe4ff75f0.us-east-1.aws.found.io/app/kibana#/discover/Steve-Slow-Train-Analysis-(2080s-and-2083s)?_g=(refreshInterval:(display:Off,pause:!f,section:0,value:0),time:(from:'2017-10-30T13:18:42-0600',mode:absolute,to:'2017-10-30T16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04" t="str">
        <f>IF(AA92&lt;VLOOKUP(AG92,Variables!$AC$3:$AD$8,2,FALSE),"Y","N")</f>
        <v>N</v>
      </c>
      <c r="X92" s="204">
        <f t="shared" si="49"/>
        <v>1</v>
      </c>
      <c r="Y92" s="204">
        <f t="shared" si="37"/>
        <v>23.288699999999999</v>
      </c>
      <c r="Z92" s="204">
        <f t="shared" si="38"/>
        <v>2.52E-2</v>
      </c>
      <c r="AA92" s="204">
        <f t="shared" si="39"/>
        <v>23.263499999999997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0"/>
        <v>180</v>
      </c>
      <c r="AE92" s="77" t="str">
        <f t="shared" si="41"/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92" s="74" t="str">
        <f t="shared" si="42"/>
        <v>"C:\Program Files (x86)\AstroGrep\AstroGrep.exe" /e /r /s /spath="%USERPROFILE%\AppData\Local\Temp\OnboardLogs" /stypes="app*4057*20171030*" /stext=" 21:.+((SYSTEM_STATE.+slice.+state.+changed )|(ment ac)|(multiple cpu faults)|(system.+state.+changed )|(\[timeout)|(PRM\|1\|D)|(kpr)|(kdp)|(train st.+moving)|(\|lc)|(penalty))"</v>
      </c>
      <c r="AG92" s="182" t="str">
        <f t="shared" si="43"/>
        <v>EC</v>
      </c>
      <c r="AH92" s="78" t="str">
        <f t="shared" si="44"/>
        <v>"%USERPROFILE%\Documents\GitHub\eaglep3\Utilities\RefineRTDCRunTimes.py" --tripid 180-30 --locoid 4057 --swversion DE.1.0.9.0 --startMP 204:232887 --initTime 2017-10-30T14:18:42 --startdatetime 2017-10-30T14:27:24 --delay 91 --endMP 204:252 --enddatetime 2017-10-30T15:09:55 --enforcementcount 0 &gt;&gt;%USERPROFILE%\Documents\GitHub\eaglep3-reporting\EC\2017-10-30-refined-times.txt</v>
      </c>
      <c r="AI9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{"issue":{"subject":"","project_id":79,"tracker_id":40,"status_id":1,"priority_id":2,"assigned_to_id":338,"start_date":"2017-10-30","description":"","custom_fields":[{"id":1,"name":"Subdivision","value":"EC"},{"id":4,"name":"Milepost","value":"0.0252"},{"id":17,"name":"Train ID","value":"180-30"},{"id":16,"name":"Locomotive ID","value":"4057"},{"id":130,"name":"Impact","value":""},{"id":150,"name":"Time of Event (Mountain Time)","value":"15:09:55"},{"id":151,"name":"Denver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6"/>
        <v>start /low /b %USERPROFILE%\Documents\GitHub\eaglep3\Utilities\DownloadLogsFromS3.py --loco 4057 --day 2017-10-30</v>
      </c>
      <c r="AN92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8"/>
        <v>https://d0f6bd738d7f1b3e5a7ca70fe4ff75f0.us-east-1.aws.found.io/app/kibana#/discover/Steve-Slow-Train-Analysis-(2080s-and-2083s)?_g=(refreshInterval:(display:Off,pause:!f,section:0,value:0),time:(from:'2017-10-30T13:18:42-0600',mode:absolute,to:'2017-10-30T16:09:55-0600'))&amp;_a=(columns:!('Message%20ID',Summary),filters:!(),index:'emp_*',interval:auto,query:(query_string:(analyze_wildcard:!t,query:'%22rtdc.l.rtdc.4057%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801</v>
      </c>
      <c r="B93" s="7">
        <v>4032</v>
      </c>
      <c r="C93" s="21" t="s">
        <v>194</v>
      </c>
      <c r="D93" s="21" t="s">
        <v>532</v>
      </c>
      <c r="E93" s="13">
        <v>43038.568668981483</v>
      </c>
      <c r="F93" s="13">
        <v>43038.57309027778</v>
      </c>
      <c r="G93" s="7">
        <v>51</v>
      </c>
      <c r="H93" s="21" t="s">
        <v>968</v>
      </c>
      <c r="I93" s="13">
        <v>43038.598252314812</v>
      </c>
      <c r="J93" s="7">
        <v>0</v>
      </c>
      <c r="K93" s="89" t="str">
        <f t="shared" si="32"/>
        <v>4031/4032</v>
      </c>
      <c r="L93" s="185" t="str">
        <f>VLOOKUP(A93,'Trips&amp;Operators'!$C$1:$G$99911,5,FALSE)</f>
        <v>GUZMAN DANNY</v>
      </c>
      <c r="M93" s="6">
        <f t="shared" si="33"/>
        <v>2.5162037032714579E-2</v>
      </c>
      <c r="N93" s="7">
        <f t="shared" si="50"/>
        <v>36.233333327108994</v>
      </c>
      <c r="O93" s="7"/>
      <c r="P93" s="7"/>
      <c r="Q93" s="22"/>
      <c r="R93" s="174"/>
      <c r="S93" s="221">
        <f t="shared" si="51"/>
        <v>1</v>
      </c>
      <c r="T93" s="174" t="str">
        <f t="shared" si="3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6"/>
        <v>https://d0f6bd738d7f1b3e5a7ca70fe4ff75f0.us-east-1.aws.found.io/app/kibana#/discover/Steve-Slow-Train-Analysis-(2080s-and-2083s)?_g=(refreshInterval:(display:Off,pause:!f,section:0,value:0),time:(from:'2017-10-30T12:38:53-0600',mode:absolute,to:'2017-10-30T15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204" t="str">
        <f>IF(AA93&lt;VLOOKUP(AG93,Variables!$AC$3:$AD$8,2,FALSE),"Y","N")</f>
        <v>N</v>
      </c>
      <c r="X93" s="204">
        <f t="shared" si="49"/>
        <v>1</v>
      </c>
      <c r="Y93" s="204">
        <f t="shared" si="37"/>
        <v>5.7299999999999997E-2</v>
      </c>
      <c r="Z93" s="204">
        <f t="shared" si="38"/>
        <v>23.322800000000001</v>
      </c>
      <c r="AA93" s="204">
        <f t="shared" si="39"/>
        <v>23.265499999999999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0"/>
        <v>181</v>
      </c>
      <c r="AE93" s="77" t="str">
        <f t="shared" si="4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93" s="74" t="str">
        <f t="shared" si="42"/>
        <v>"C:\Program Files (x86)\AstroGrep\AstroGrep.exe" /e /r /s /spath="%USERPROFILE%\AppData\Local\Temp\OnboardLogs" /stypes="app*4032*20171030*" /stext=" 20:.+((SYSTEM_STATE.+slice.+state.+changed )|(ment ac)|(multiple cpu faults)|(system.+state.+changed )|(\[timeout)|(PRM\|1\|D)|(kpr)|(kdp)|(train st.+moving)|(\|lc)|(penalty))"</v>
      </c>
      <c r="AG93" s="182" t="str">
        <f t="shared" si="43"/>
        <v>EC</v>
      </c>
      <c r="AH93" s="78" t="str">
        <f t="shared" si="44"/>
        <v>"%USERPROFILE%\Documents\GitHub\eaglep3\Utilities\RefineRTDCRunTimes.py" --tripid 181-30 --locoid 4032 --swversion DE.1.0.9.0 --startMP 204:573 --initTime 2017-10-30T13:38:53 --startdatetime 2017-10-30T13:45:15 --delay 51 --endMP 204:233228 --enddatetime 2017-10-30T14:21:29 --enforcementcount 0 &gt;&gt;%USERPROFILE%\Documents\GitHub\eaglep3-reporting\EC\2017-10-30-refined-times.txt</v>
      </c>
      <c r="AI9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{"issue":{"subject":"","project_id":79,"tracker_id":40,"status_id":1,"priority_id":2,"assigned_to_id":338,"start_date":"2017-10-30","description":"","custom_fields":[{"id":1,"name":"Subdivision","value":"EC"},{"id":4,"name":"Milepost","value":"23.3228"},{"id":17,"name":"Train ID","value":"181-30"},{"id":16,"name":"Locomotive ID","value":"4032"},{"id":130,"name":"Impact","value":""},{"id":150,"name":"Time of Event (Mountain Time)","value":"14:21:29"},{"id":151,"name":"Denver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6"/>
        <v>start /low /b %USERPROFILE%\Documents\GitHub\eaglep3\Utilities\DownloadLogsFromS3.py --loco 4032 --day 2017-10-30</v>
      </c>
      <c r="AN93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8"/>
        <v>https://d0f6bd738d7f1b3e5a7ca70fe4ff75f0.us-east-1.aws.found.io/app/kibana#/discover/Steve-Slow-Train-Analysis-(2080s-and-2083s)?_g=(refreshInterval:(display:Off,pause:!f,section:0,value:0),time:(from:'2017-10-30T12:38:53-0600',mode:absolute,to:'2017-10-30T15:21:29-0600'))&amp;_a=(columns:!('Message%20ID',Summary),filters:!(),index:'emp_*',interval:auto,query:(query_string:(analyze_wildcard:!t,query:'%22rtdc.l.rtdc.4032%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807</v>
      </c>
      <c r="B94" s="7">
        <v>4031</v>
      </c>
      <c r="C94" s="21" t="s">
        <v>194</v>
      </c>
      <c r="D94" s="21" t="s">
        <v>529</v>
      </c>
      <c r="E94" s="13">
        <v>43038.599490740744</v>
      </c>
      <c r="F94" s="13">
        <v>43038.612662037034</v>
      </c>
      <c r="G94" s="7">
        <v>50</v>
      </c>
      <c r="H94" s="21" t="s">
        <v>965</v>
      </c>
      <c r="I94" s="13">
        <v>43038.63890046296</v>
      </c>
      <c r="J94" s="7">
        <v>0</v>
      </c>
      <c r="K94" s="89" t="str">
        <f t="shared" si="32"/>
        <v>4031/4032</v>
      </c>
      <c r="L94" s="185" t="str">
        <f>VLOOKUP(A94,'Trips&amp;Operators'!$C$1:$G$99911,5,FALSE)</f>
        <v>GUZMAN DANNY</v>
      </c>
      <c r="M94" s="6">
        <f t="shared" si="33"/>
        <v>2.6238425925839692E-2</v>
      </c>
      <c r="N94" s="7">
        <f t="shared" si="50"/>
        <v>37.783333333209157</v>
      </c>
      <c r="O94" s="7"/>
      <c r="P94" s="7"/>
      <c r="Q94" s="22"/>
      <c r="R94" s="174"/>
      <c r="S94" s="221">
        <f t="shared" si="51"/>
        <v>1</v>
      </c>
      <c r="T94" s="174" t="str">
        <f t="shared" si="3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6"/>
        <v>https://d0f6bd738d7f1b3e5a7ca70fe4ff75f0.us-east-1.aws.found.io/app/kibana#/discover/Steve-Slow-Train-Analysis-(2080s-and-2083s)?_g=(refreshInterval:(display:Off,pause:!f,section:0,value:0),time:(from:'2017-10-30T13:23:16-0600',mode:absolute,to:'2017-10-30T16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204" t="str">
        <f>IF(AA94&lt;VLOOKUP(AG94,Variables!$AC$3:$AD$8,2,FALSE),"Y","N")</f>
        <v>N</v>
      </c>
      <c r="X94" s="204">
        <f t="shared" si="49"/>
        <v>1</v>
      </c>
      <c r="Y94" s="204">
        <f t="shared" si="37"/>
        <v>23.290900000000001</v>
      </c>
      <c r="Z94" s="204">
        <f t="shared" si="38"/>
        <v>2.5100000000000001E-2</v>
      </c>
      <c r="AA94" s="204">
        <f t="shared" si="39"/>
        <v>23.265800000000002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0"/>
        <v>182</v>
      </c>
      <c r="AE94" s="77" t="str">
        <f t="shared" si="4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94" s="74" t="str">
        <f t="shared" si="42"/>
        <v>"C:\Program Files (x86)\AstroGrep\AstroGrep.exe" /e /r /s /spath="%USERPROFILE%\AppData\Local\Temp\OnboardLogs" /stypes="app*4031*20171030*" /stext=" 21:.+((SYSTEM_STATE.+slice.+state.+changed )|(ment ac)|(multiple cpu faults)|(system.+state.+changed )|(\[timeout)|(PRM\|1\|D)|(kpr)|(kdp)|(train st.+moving)|(\|lc)|(penalty))"</v>
      </c>
      <c r="AG94" s="182" t="str">
        <f t="shared" si="43"/>
        <v>EC</v>
      </c>
      <c r="AH94" s="78" t="str">
        <f t="shared" si="44"/>
        <v>"%USERPROFILE%\Documents\GitHub\eaglep3\Utilities\RefineRTDCRunTimes.py" --tripid 182-30 --locoid 4031 --swversion DE.1.0.9.0 --startMP 204:232909 --initTime 2017-10-30T14:23:16 --startdatetime 2017-10-30T14:42:14 --delay 50 --endMP 204:251 --enddatetime 2017-10-30T15:20:01 --enforcementcount 0 &gt;&gt;%USERPROFILE%\Documents\GitHub\eaglep3-reporting\EC\2017-10-30-refined-times.txt</v>
      </c>
      <c r="AI9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{"issue":{"subject":"","project_id":79,"tracker_id":40,"status_id":1,"priority_id":2,"assigned_to_id":338,"start_date":"2017-10-30","description":"","custom_fields":[{"id":1,"name":"Subdivision","value":"EC"},{"id":4,"name":"Milepost","value":"0.0251"},{"id":17,"name":"Train ID","value":"182-30"},{"id":16,"name":"Locomotive ID","value":"4031"},{"id":130,"name":"Impact","value":""},{"id":150,"name":"Time of Event (Mountain Time)","value":"15:20:01"},{"id":151,"name":"Denver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6"/>
        <v>start /low /b %USERPROFILE%\Documents\GitHub\eaglep3\Utilities\DownloadLogsFromS3.py --loco 4031 --day 2017-10-30</v>
      </c>
      <c r="AN94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8"/>
        <v>https://d0f6bd738d7f1b3e5a7ca70fe4ff75f0.us-east-1.aws.found.io/app/kibana#/discover/Steve-Slow-Train-Analysis-(2080s-and-2083s)?_g=(refreshInterval:(display:Off,pause:!f,section:0,value:0),time:(from:'2017-10-30T13:23:16-0600',mode:absolute,to:'2017-10-30T16:20:01-0600'))&amp;_a=(columns:!('Message%20ID',Summary),filters:!(),index:'emp_*',interval:auto,query:(query_string:(analyze_wildcard:!t,query:'%22rtdc.l.rtdc.4031%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803</v>
      </c>
      <c r="B95" s="7">
        <v>4054</v>
      </c>
      <c r="C95" s="21" t="s">
        <v>194</v>
      </c>
      <c r="D95" s="21" t="s">
        <v>531</v>
      </c>
      <c r="E95" s="13">
        <v>43038.579745370371</v>
      </c>
      <c r="F95" s="13">
        <v>43038.583506944444</v>
      </c>
      <c r="G95" s="7">
        <v>100</v>
      </c>
      <c r="H95" s="21" t="s">
        <v>603</v>
      </c>
      <c r="I95" s="13">
        <v>43038.609965277778</v>
      </c>
      <c r="J95" s="7">
        <v>0</v>
      </c>
      <c r="K95" s="89" t="str">
        <f t="shared" si="32"/>
        <v>4053/4054</v>
      </c>
      <c r="L95" s="185" t="str">
        <f>VLOOKUP(A95,'Trips&amp;Operators'!$C$1:$G$99911,5,FALSE)</f>
        <v>SAFIEF AEIMEN</v>
      </c>
      <c r="M95" s="6">
        <f t="shared" si="33"/>
        <v>2.6458333333721384E-2</v>
      </c>
      <c r="N95" s="7">
        <f t="shared" si="50"/>
        <v>38.100000000558794</v>
      </c>
      <c r="O95" s="7"/>
      <c r="P95" s="7"/>
      <c r="Q95" s="22"/>
      <c r="R95" s="174"/>
      <c r="S95" s="221">
        <f t="shared" si="51"/>
        <v>1</v>
      </c>
      <c r="T95" s="174" t="str">
        <f t="shared" si="3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6"/>
        <v>https://d0f6bd738d7f1b3e5a7ca70fe4ff75f0.us-east-1.aws.found.io/app/kibana#/discover/Steve-Slow-Train-Analysis-(2080s-and-2083s)?_g=(refreshInterval:(display:Off,pause:!f,section:0,value:0),time:(from:'2017-10-30T12:54:50-0600',mode:absolute,to:'2017-10-30T15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204" t="str">
        <f>IF(AA95&lt;VLOOKUP(AG95,Variables!$AC$3:$AD$8,2,FALSE),"Y","N")</f>
        <v>N</v>
      </c>
      <c r="X95" s="204">
        <f t="shared" si="49"/>
        <v>1</v>
      </c>
      <c r="Y95" s="204">
        <f t="shared" si="37"/>
        <v>5.1499999999999997E-2</v>
      </c>
      <c r="Z95" s="204">
        <f t="shared" si="38"/>
        <v>23.323599999999999</v>
      </c>
      <c r="AA95" s="204">
        <f t="shared" si="39"/>
        <v>23.272099999999998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0"/>
        <v>183</v>
      </c>
      <c r="AE95" s="77" t="str">
        <f t="shared" si="4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95" s="74" t="str">
        <f t="shared" si="42"/>
        <v>"C:\Program Files (x86)\AstroGrep\AstroGrep.exe" /e /r /s /spath="%USERPROFILE%\AppData\Local\Temp\OnboardLogs" /stypes="app*4054*20171030*" /stext=" 20:.+((SYSTEM_STATE.+slice.+state.+changed )|(ment ac)|(multiple cpu faults)|(system.+state.+changed )|(\[timeout)|(PRM\|1\|D)|(kpr)|(kdp)|(train st.+moving)|(\|lc)|(penalty))"</v>
      </c>
      <c r="AG95" s="182" t="str">
        <f t="shared" si="43"/>
        <v>EC</v>
      </c>
      <c r="AH95" s="78" t="str">
        <f t="shared" si="44"/>
        <v>"%USERPROFILE%\Documents\GitHub\eaglep3\Utilities\RefineRTDCRunTimes.py" --tripid 183-30 --locoid 4054 --swversion DE.1.0.9.0 --startMP 204:515 --initTime 2017-10-30T13:54:50 --startdatetime 2017-10-30T14:00:15 --delay 100 --endMP 204:233236 --enddatetime 2017-10-30T14:38:21 --enforcementcount 0 &gt;&gt;%USERPROFILE%\Documents\GitHub\eaglep3-reporting\EC\2017-10-30-refined-times.txt</v>
      </c>
      <c r="AI9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{"issue":{"subject":"","project_id":79,"tracker_id":40,"status_id":1,"priority_id":2,"assigned_to_id":338,"start_date":"2017-10-30","description":"","custom_fields":[{"id":1,"name":"Subdivision","value":"EC"},{"id":4,"name":"Milepost","value":"23.3236"},{"id":17,"name":"Train ID","value":"183-30"},{"id":16,"name":"Locomotive ID","value":"4054"},{"id":130,"name":"Impact","value":""},{"id":150,"name":"Time of Event (Mountain Time)","value":"14:38:21"},{"id":151,"name":"Denver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6"/>
        <v>start /low /b %USERPROFILE%\Documents\GitHub\eaglep3\Utilities\DownloadLogsFromS3.py --loco 4054 --day 2017-10-30</v>
      </c>
      <c r="AN95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8"/>
        <v>https://d0f6bd738d7f1b3e5a7ca70fe4ff75f0.us-east-1.aws.found.io/app/kibana#/discover/Steve-Slow-Train-Analysis-(2080s-and-2083s)?_g=(refreshInterval:(display:Off,pause:!f,section:0,value:0),time:(from:'2017-10-30T12:54:50-0600',mode:absolute,to:'2017-10-30T15:38:21-0600'))&amp;_a=(columns:!('Message%20ID',Summary),filters:!(),index:'emp_*',interval:auto,query:(query_string:(analyze_wildcard:!t,query:'%22rtdc.l.rtdc.4054%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810</v>
      </c>
      <c r="B96" s="7">
        <v>4053</v>
      </c>
      <c r="C96" s="21" t="s">
        <v>194</v>
      </c>
      <c r="D96" s="21" t="s">
        <v>630</v>
      </c>
      <c r="E96" s="13">
        <v>43038.61341435185</v>
      </c>
      <c r="F96" s="13">
        <v>43038.623090277775</v>
      </c>
      <c r="G96" s="7">
        <v>186</v>
      </c>
      <c r="H96" s="21" t="s">
        <v>969</v>
      </c>
      <c r="I96" s="13">
        <v>43038.649745370371</v>
      </c>
      <c r="J96" s="7">
        <v>0</v>
      </c>
      <c r="K96" s="89" t="str">
        <f t="shared" si="32"/>
        <v>4053/4054</v>
      </c>
      <c r="L96" s="185" t="str">
        <f>VLOOKUP(A96,'Trips&amp;Operators'!$C$1:$G$99911,5,FALSE)</f>
        <v>SAFIEF AEIMEN</v>
      </c>
      <c r="M96" s="6">
        <f t="shared" si="33"/>
        <v>2.6655092595319729E-2</v>
      </c>
      <c r="N96" s="7">
        <f t="shared" si="50"/>
        <v>38.38333333726041</v>
      </c>
      <c r="O96" s="7"/>
      <c r="P96" s="7"/>
      <c r="Q96" s="22"/>
      <c r="R96" s="174"/>
      <c r="S96" s="221">
        <f t="shared" si="51"/>
        <v>1</v>
      </c>
      <c r="T96" s="174" t="str">
        <f t="shared" si="3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6"/>
        <v>https://d0f6bd738d7f1b3e5a7ca70fe4ff75f0.us-east-1.aws.found.io/app/kibana#/discover/Steve-Slow-Train-Analysis-(2080s-and-2083s)?_g=(refreshInterval:(display:Off,pause:!f,section:0,value:0),time:(from:'2017-10-30T13:43:19-0600',mode:absolute,to:'2017-10-30T16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204" t="str">
        <f>IF(AA96&lt;VLOOKUP(AG96,Variables!$AC$3:$AD$8,2,FALSE),"Y","N")</f>
        <v>N</v>
      </c>
      <c r="X96" s="204">
        <f t="shared" si="49"/>
        <v>1</v>
      </c>
      <c r="Y96" s="204">
        <f t="shared" si="37"/>
        <v>23.291499999999999</v>
      </c>
      <c r="Z96" s="204">
        <f t="shared" si="38"/>
        <v>1.9800000000000002E-2</v>
      </c>
      <c r="AA96" s="204">
        <f t="shared" si="39"/>
        <v>23.271699999999999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0"/>
        <v>184</v>
      </c>
      <c r="AE96" s="77" t="str">
        <f t="shared" si="4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96" s="74" t="str">
        <f t="shared" si="42"/>
        <v>"C:\Program Files (x86)\AstroGrep\AstroGrep.exe" /e /r /s /spath="%USERPROFILE%\AppData\Local\Temp\OnboardLogs" /stypes="app*4053*20171030*" /stext=" 21:.+((SYSTEM_STATE.+slice.+state.+changed )|(ment ac)|(multiple cpu faults)|(system.+state.+changed )|(\[timeout)|(PRM\|1\|D)|(kpr)|(kdp)|(train st.+moving)|(\|lc)|(penalty))"</v>
      </c>
      <c r="AG96" s="182" t="str">
        <f t="shared" si="43"/>
        <v>EC</v>
      </c>
      <c r="AH96" s="78" t="str">
        <f t="shared" si="44"/>
        <v>"%USERPROFILE%\Documents\GitHub\eaglep3\Utilities\RefineRTDCRunTimes.py" --tripid 184-30 --locoid 4053 --swversion DE.1.0.9.0 --startMP 204:232915 --initTime 2017-10-30T14:43:19 --startdatetime 2017-10-30T14:57:15 --delay 186 --endMP 204:198 --enddatetime 2017-10-30T15:35:38 --enforcementcount 0 &gt;&gt;%USERPROFILE%\Documents\GitHub\eaglep3-reporting\EC\2017-10-30-refined-times.txt</v>
      </c>
      <c r="AI9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{"issue":{"subject":"","project_id":79,"tracker_id":40,"status_id":1,"priority_id":2,"assigned_to_id":338,"start_date":"2017-10-30","description":"","custom_fields":[{"id":1,"name":"Subdivision","value":"EC"},{"id":4,"name":"Milepost","value":"0.0198"},{"id":17,"name":"Train ID","value":"184-30"},{"id":16,"name":"Locomotive ID","value":"4053"},{"id":130,"name":"Impact","value":""},{"id":150,"name":"Time of Event (Mountain Time)","value":"15:35:38"},{"id":151,"name":"Denver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6"/>
        <v>start /low /b %USERPROFILE%\Documents\GitHub\eaglep3\Utilities\DownloadLogsFromS3.py --loco 4053 --day 2017-10-30</v>
      </c>
      <c r="AN96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8"/>
        <v>https://d0f6bd738d7f1b3e5a7ca70fe4ff75f0.us-east-1.aws.found.io/app/kibana#/discover/Steve-Slow-Train-Analysis-(2080s-and-2083s)?_g=(refreshInterval:(display:Off,pause:!f,section:0,value:0),time:(from:'2017-10-30T13:43:19-0600',mode:absolute,to:'2017-10-30T16:35:38-0600'))&amp;_a=(columns:!('Message%20ID',Summary),filters:!(),index:'emp_*',interval:auto,query:(query_string:(analyze_wildcard:!t,query:'%22rtdc.l.rtdc.4053%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805</v>
      </c>
      <c r="B97" s="7">
        <v>4024</v>
      </c>
      <c r="C97" s="21" t="s">
        <v>194</v>
      </c>
      <c r="D97" s="21" t="s">
        <v>523</v>
      </c>
      <c r="E97" s="13">
        <v>43038.589166666665</v>
      </c>
      <c r="F97" s="13">
        <v>43038.593923611108</v>
      </c>
      <c r="G97" s="7">
        <v>66</v>
      </c>
      <c r="H97" s="21" t="s">
        <v>910</v>
      </c>
      <c r="I97" s="13">
        <v>43038.619803240741</v>
      </c>
      <c r="J97" s="7">
        <v>0</v>
      </c>
      <c r="K97" s="89" t="str">
        <f t="shared" si="32"/>
        <v>4023/4024</v>
      </c>
      <c r="L97" s="185" t="str">
        <f>VLOOKUP(A97,'Trips&amp;Operators'!$C$1:$G$99911,5,FALSE)</f>
        <v>BADERTSCHER DIANE</v>
      </c>
      <c r="M97" s="6">
        <f t="shared" si="33"/>
        <v>2.587962963298196E-2</v>
      </c>
      <c r="N97" s="7">
        <f t="shared" si="50"/>
        <v>37.266666671494022</v>
      </c>
      <c r="O97" s="7"/>
      <c r="P97" s="7"/>
      <c r="Q97" s="22"/>
      <c r="R97" s="174"/>
      <c r="S97" s="221">
        <f t="shared" si="51"/>
        <v>1</v>
      </c>
      <c r="T97" s="174" t="str">
        <f t="shared" si="3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6"/>
        <v>https://d0f6bd738d7f1b3e5a7ca70fe4ff75f0.us-east-1.aws.found.io/app/kibana#/discover/Steve-Slow-Train-Analysis-(2080s-and-2083s)?_g=(refreshInterval:(display:Off,pause:!f,section:0,value:0),time:(from:'2017-10-30T13:08:24-0600',mode:absolute,to:'2017-10-30T15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204" t="str">
        <f>IF(AA97&lt;VLOOKUP(AG97,Variables!$AC$3:$AD$8,2,FALSE),"Y","N")</f>
        <v>N</v>
      </c>
      <c r="X97" s="204">
        <f t="shared" si="49"/>
        <v>1</v>
      </c>
      <c r="Y97" s="204">
        <f t="shared" si="37"/>
        <v>5.1999999999999998E-2</v>
      </c>
      <c r="Z97" s="204">
        <f t="shared" si="38"/>
        <v>23.3276</v>
      </c>
      <c r="AA97" s="204">
        <f t="shared" si="39"/>
        <v>23.275600000000001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0"/>
        <v>185</v>
      </c>
      <c r="AE97" s="77" t="str">
        <f t="shared" si="4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97" s="74" t="str">
        <f t="shared" si="42"/>
        <v>"C:\Program Files (x86)\AstroGrep\AstroGrep.exe" /e /r /s /spath="%USERPROFILE%\AppData\Local\Temp\OnboardLogs" /stypes="app*4024*20171030*" /stext=" 20:.+((SYSTEM_STATE.+slice.+state.+changed )|(ment ac)|(multiple cpu faults)|(system.+state.+changed )|(\[timeout)|(PRM\|1\|D)|(kpr)|(kdp)|(train st.+moving)|(\|lc)|(penalty))"</v>
      </c>
      <c r="AG97" s="182" t="str">
        <f t="shared" si="43"/>
        <v>EC</v>
      </c>
      <c r="AH97" s="78" t="str">
        <f t="shared" si="44"/>
        <v>"%USERPROFILE%\Documents\GitHub\eaglep3\Utilities\RefineRTDCRunTimes.py" --tripid 185-30 --locoid 4024 --swversion DE.1.0.9.0 --startMP 204:520 --initTime 2017-10-30T14:08:24 --startdatetime 2017-10-30T14:15:15 --delay 66 --endMP 204:233276 --enddatetime 2017-10-30T14:52:31 --enforcementcount 0 &gt;&gt;%USERPROFILE%\Documents\GitHub\eaglep3-reporting\EC\2017-10-30-refined-times.txt</v>
      </c>
      <c r="AI97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{"issue":{"subject":"","project_id":79,"tracker_id":40,"status_id":1,"priority_id":2,"assigned_to_id":338,"start_date":"2017-10-30","description":"","custom_fields":[{"id":1,"name":"Subdivision","value":"EC"},{"id":4,"name":"Milepost","value":"23.3276"},{"id":17,"name":"Train ID","value":"185-30"},{"id":16,"name":"Locomotive ID","value":"4024"},{"id":130,"name":"Impact","value":""},{"id":150,"name":"Time of Event (Mountain Time)","value":"14:52:31"},{"id":151,"name":"Denver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6"/>
        <v>start /low /b %USERPROFILE%\Documents\GitHub\eaglep3\Utilities\DownloadLogsFromS3.py --loco 4024 --day 2017-10-30</v>
      </c>
      <c r="AN97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8"/>
        <v>https://d0f6bd738d7f1b3e5a7ca70fe4ff75f0.us-east-1.aws.found.io/app/kibana#/discover/Steve-Slow-Train-Analysis-(2080s-and-2083s)?_g=(refreshInterval:(display:Off,pause:!f,section:0,value:0),time:(from:'2017-10-30T13:08:24-0600',mode:absolute,to:'2017-10-30T15:52:31-0600'))&amp;_a=(columns:!('Message%20ID',Summary),filters:!(),index:'emp_*',interval:auto,query:(query_string:(analyze_wildcard:!t,query:'%22rtdc.l.rtdc.4024%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813</v>
      </c>
      <c r="B98" s="7">
        <v>4023</v>
      </c>
      <c r="C98" s="21" t="s">
        <v>194</v>
      </c>
      <c r="D98" s="21" t="s">
        <v>970</v>
      </c>
      <c r="E98" s="13">
        <v>43038.627766203703</v>
      </c>
      <c r="F98" s="13">
        <v>43038.633506944447</v>
      </c>
      <c r="G98" s="7">
        <v>61</v>
      </c>
      <c r="H98" s="21" t="s">
        <v>971</v>
      </c>
      <c r="I98" s="13">
        <v>43038.660208333335</v>
      </c>
      <c r="J98" s="7">
        <v>0</v>
      </c>
      <c r="K98" s="89" t="str">
        <f t="shared" si="32"/>
        <v>4023/4024</v>
      </c>
      <c r="L98" s="185" t="str">
        <f>VLOOKUP(A98,'Trips&amp;Operators'!$C$1:$G$99911,5,FALSE)</f>
        <v>BADERTSCHER DIANE</v>
      </c>
      <c r="M98" s="6">
        <f t="shared" si="33"/>
        <v>2.6701388887886424E-2</v>
      </c>
      <c r="N98" s="7">
        <f t="shared" si="50"/>
        <v>38.44999999855645</v>
      </c>
      <c r="O98" s="7"/>
      <c r="P98" s="7"/>
      <c r="Q98" s="22"/>
      <c r="R98" s="174"/>
      <c r="S98" s="221">
        <f t="shared" si="51"/>
        <v>1</v>
      </c>
      <c r="T98" s="174" t="str">
        <f t="shared" si="3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6"/>
        <v>https://d0f6bd738d7f1b3e5a7ca70fe4ff75f0.us-east-1.aws.found.io/app/kibana#/discover/Steve-Slow-Train-Analysis-(2080s-and-2083s)?_g=(refreshInterval:(display:Off,pause:!f,section:0,value:0),time:(from:'2017-10-30T14:03:59-0600',mode:absolute,to:'2017-10-30T16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204" t="str">
        <f>IF(AA98&lt;VLOOKUP(AG98,Variables!$AC$3:$AD$8,2,FALSE),"Y","N")</f>
        <v>N</v>
      </c>
      <c r="X98" s="204">
        <f t="shared" si="49"/>
        <v>1</v>
      </c>
      <c r="Y98" s="204">
        <f t="shared" si="37"/>
        <v>23.295500000000001</v>
      </c>
      <c r="Z98" s="204">
        <f t="shared" si="38"/>
        <v>2.2100000000000002E-2</v>
      </c>
      <c r="AA98" s="204">
        <f t="shared" si="39"/>
        <v>23.273400000000002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0"/>
        <v>186</v>
      </c>
      <c r="AE98" s="77" t="str">
        <f t="shared" si="4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98" s="74" t="str">
        <f t="shared" si="42"/>
        <v>"C:\Program Files (x86)\AstroGrep\AstroGrep.exe" /e /r /s /spath="%USERPROFILE%\AppData\Local\Temp\OnboardLogs" /stypes="app*4023*20171030*" /stext=" 21:.+((SYSTEM_STATE.+slice.+state.+changed )|(ment ac)|(multiple cpu faults)|(system.+state.+changed )|(\[timeout)|(PRM\|1\|D)|(kpr)|(kdp)|(train st.+moving)|(\|lc)|(penalty))"</v>
      </c>
      <c r="AG98" s="182" t="str">
        <f t="shared" si="43"/>
        <v>EC</v>
      </c>
      <c r="AH98" s="78" t="str">
        <f t="shared" si="44"/>
        <v>"%USERPROFILE%\Documents\GitHub\eaglep3\Utilities\RefineRTDCRunTimes.py" --tripid 186-30 --locoid 4023 --swversion DE.1.0.9.0 --startMP 204:232955 --initTime 2017-10-30T15:03:59 --startdatetime 2017-10-30T15:12:15 --delay 61 --endMP 204:221 --enddatetime 2017-10-30T15:50:42 --enforcementcount 0 &gt;&gt;%USERPROFILE%\Documents\GitHub\eaglep3-reporting\EC\2017-10-30-refined-times.txt</v>
      </c>
      <c r="AI9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{"issue":{"subject":"","project_id":79,"tracker_id":40,"status_id":1,"priority_id":2,"assigned_to_id":338,"start_date":"2017-10-30","description":"","custom_fields":[{"id":1,"name":"Subdivision","value":"EC"},{"id":4,"name":"Milepost","value":"0.0221"},{"id":17,"name":"Train ID","value":"186-30"},{"id":16,"name":"Locomotive ID","value":"4023"},{"id":130,"name":"Impact","value":""},{"id":150,"name":"Time of Event (Mountain Time)","value":"15:50:42"},{"id":151,"name":"Denver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6"/>
        <v>start /low /b %USERPROFILE%\Documents\GitHub\eaglep3\Utilities\DownloadLogsFromS3.py --loco 4023 --day 2017-10-30</v>
      </c>
      <c r="AN98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8"/>
        <v>https://d0f6bd738d7f1b3e5a7ca70fe4ff75f0.us-east-1.aws.found.io/app/kibana#/discover/Steve-Slow-Train-Analysis-(2080s-and-2083s)?_g=(refreshInterval:(display:Off,pause:!f,section:0,value:0),time:(from:'2017-10-30T14:03:59-0600',mode:absolute,to:'2017-10-30T16:50:42-0600'))&amp;_a=(columns:!('Message%20ID',Summary),filters:!(),index:'emp_*',interval:auto,query:(query_string:(analyze_wildcard:!t,query:'%22rtdc.l.rtdc.4023%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661</v>
      </c>
      <c r="B99" s="7">
        <v>4002</v>
      </c>
      <c r="C99" s="21" t="s">
        <v>194</v>
      </c>
      <c r="D99" s="21" t="s">
        <v>972</v>
      </c>
      <c r="E99" s="13">
        <v>43038.600543981483</v>
      </c>
      <c r="F99" s="13">
        <v>43038.604386574072</v>
      </c>
      <c r="G99" s="7">
        <v>76</v>
      </c>
      <c r="H99" s="21" t="s">
        <v>513</v>
      </c>
      <c r="I99" s="13">
        <v>43038.630844907406</v>
      </c>
      <c r="J99" s="7">
        <v>0</v>
      </c>
      <c r="K99" s="89" t="str">
        <f t="shared" si="32"/>
        <v>4001/4002</v>
      </c>
      <c r="L99" s="185" t="str">
        <f>VLOOKUP(A99,'Trips&amp;Operators'!$C$1:$G$99911,5,FALSE)</f>
        <v>STRICKLAND EVAN</v>
      </c>
      <c r="M99" s="6">
        <f t="shared" si="33"/>
        <v>2.6458333333721384E-2</v>
      </c>
      <c r="N99" s="7">
        <f t="shared" si="50"/>
        <v>38.100000000558794</v>
      </c>
      <c r="O99" s="7"/>
      <c r="P99" s="7"/>
      <c r="Q99" s="22"/>
      <c r="R99" s="174"/>
      <c r="S99" s="221">
        <f t="shared" si="51"/>
        <v>1</v>
      </c>
      <c r="T99" s="174" t="str">
        <f t="shared" si="3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6"/>
        <v>https://d0f6bd738d7f1b3e5a7ca70fe4ff75f0.us-east-1.aws.found.io/app/kibana#/discover/Steve-Slow-Train-Analysis-(2080s-and-2083s)?_g=(refreshInterval:(display:Off,pause:!f,section:0,value:0),time:(from:'2017-10-30T13:24:47-0600',mode:absolute,to:'2017-10-30T16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04" t="str">
        <f>IF(AA99&lt;VLOOKUP(AG99,Variables!$AC$3:$AD$8,2,FALSE),"Y","N")</f>
        <v>N</v>
      </c>
      <c r="X99" s="204">
        <f t="shared" si="49"/>
        <v>1</v>
      </c>
      <c r="Y99" s="204">
        <f t="shared" si="37"/>
        <v>5.3699999999999998E-2</v>
      </c>
      <c r="Z99" s="204">
        <f t="shared" si="38"/>
        <v>23.318899999999999</v>
      </c>
      <c r="AA99" s="204">
        <f t="shared" si="39"/>
        <v>23.2652</v>
      </c>
      <c r="AB99" s="54" t="str">
        <f>VLOOKUP(A99,Enforcements!$C$7:$K$11,8,0)</f>
        <v>Bulletin (2)</v>
      </c>
      <c r="AC99" s="51" t="str">
        <f>VLOOKUP(A99,Enforcements!$C$7:$E$11,3,0)</f>
        <v>GRADE CROSSING</v>
      </c>
      <c r="AD99" s="179">
        <f t="shared" si="40"/>
        <v>187</v>
      </c>
      <c r="AE99" s="77" t="str">
        <f t="shared" si="4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99" s="74" t="str">
        <f t="shared" si="42"/>
        <v>"C:\Program Files (x86)\AstroGrep\AstroGrep.exe" /e /r /s /spath="%USERPROFILE%\AppData\Local\Temp\OnboardLogs" /stypes="app*4002*20171030*" /stext=" 21:.+((SYSTEM_STATE.+slice.+state.+changed )|(ment ac)|(multiple cpu faults)|(system.+state.+changed )|(\[timeout)|(PRM\|1\|D)|(kpr)|(kdp)|(train st.+moving)|(\|lc)|(penalty))"</v>
      </c>
      <c r="AG99" s="182" t="str">
        <f t="shared" si="43"/>
        <v>EC</v>
      </c>
      <c r="AH99" s="78" t="str">
        <f t="shared" si="44"/>
        <v>"%USERPROFILE%\Documents\GitHub\eaglep3\Utilities\RefineRTDCRunTimes.py" --tripid 187-30 --locoid 4002 --swversion DE.1.0.9.0 --startMP 204:537 --initTime 2017-10-30T14:24:47 --startdatetime 2017-10-30T14:30:19 --delay 76 --endMP 204:233189 --enddatetime 2017-10-30T15:08:25 --enforcementcount 0 &gt;&gt;%USERPROFILE%\Documents\GitHub\eaglep3-reporting\EC\2017-10-30-refined-times.txt</v>
      </c>
      <c r="AI9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{"issue":{"subject":"","project_id":79,"tracker_id":40,"status_id":1,"priority_id":2,"assigned_to_id":338,"start_date":"2017-10-30","description":"","custom_fields":[{"id":1,"name":"Subdivision","value":"EC"},{"id":4,"name":"Milepost","value":"23.3189"},{"id":17,"name":"Train ID","value":"187-30"},{"id":16,"name":"Locomotive ID","value":"4002"},{"id":130,"name":"Impact","value":""},{"id":150,"name":"Time of Event (Mountain Time)","value":"15:08:25"},{"id":151,"name":"Denver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6"/>
        <v>start /low /b %USERPROFILE%\Documents\GitHub\eaglep3\Utilities\DownloadLogsFromS3.py --loco 4002 --day 2017-10-30</v>
      </c>
      <c r="AN99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8"/>
        <v>https://d0f6bd738d7f1b3e5a7ca70fe4ff75f0.us-east-1.aws.found.io/app/kibana#/discover/Steve-Slow-Train-Analysis-(2080s-and-2083s)?_g=(refreshInterval:(display:Off,pause:!f,section:0,value:0),time:(from:'2017-10-30T13:24:47-0600',mode:absolute,to:'2017-10-30T16:08:25-0600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815</v>
      </c>
      <c r="B100" s="7">
        <v>4001</v>
      </c>
      <c r="C100" s="21" t="s">
        <v>194</v>
      </c>
      <c r="D100" s="21" t="s">
        <v>973</v>
      </c>
      <c r="E100" s="13">
        <v>43038.638726851852</v>
      </c>
      <c r="F100" s="13">
        <v>43038.644224537034</v>
      </c>
      <c r="G100" s="7">
        <v>81</v>
      </c>
      <c r="H100" s="21" t="s">
        <v>517</v>
      </c>
      <c r="I100" s="13">
        <v>43038.671736111108</v>
      </c>
      <c r="J100" s="7">
        <v>0</v>
      </c>
      <c r="K100" s="89" t="str">
        <f t="shared" si="32"/>
        <v>4001/4002</v>
      </c>
      <c r="L100" s="185" t="str">
        <f>VLOOKUP(A100,'Trips&amp;Operators'!$C$1:$G$99911,5,FALSE)</f>
        <v>STRICKLAND EVAN</v>
      </c>
      <c r="M100" s="6">
        <f t="shared" si="33"/>
        <v>2.7511574073287193E-2</v>
      </c>
      <c r="N100" s="7">
        <f t="shared" si="50"/>
        <v>39.616666665533558</v>
      </c>
      <c r="O100" s="7"/>
      <c r="P100" s="7"/>
      <c r="Q100" s="22"/>
      <c r="R100" s="174"/>
      <c r="S100" s="221">
        <f t="shared" si="51"/>
        <v>1</v>
      </c>
      <c r="T100" s="174" t="str">
        <f t="shared" si="3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6"/>
        <v>https://d0f6bd738d7f1b3e5a7ca70fe4ff75f0.us-east-1.aws.found.io/app/kibana#/discover/Steve-Slow-Train-Analysis-(2080s-and-2083s)?_g=(refreshInterval:(display:Off,pause:!f,section:0,value:0),time:(from:'2017-10-30T14:19:46-0600',mode:absolute,to:'2017-10-30T17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04" t="str">
        <f>IF(AA100&lt;VLOOKUP(AG100,Variables!$AC$3:$AD$8,2,FALSE),"Y","N")</f>
        <v>N</v>
      </c>
      <c r="X100" s="204">
        <f t="shared" si="49"/>
        <v>1</v>
      </c>
      <c r="Y100" s="204">
        <f t="shared" si="37"/>
        <v>23.286999999999999</v>
      </c>
      <c r="Z100" s="204">
        <f t="shared" si="38"/>
        <v>2.4899999999999999E-2</v>
      </c>
      <c r="AA100" s="204">
        <f t="shared" si="39"/>
        <v>23.2621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0"/>
        <v>188</v>
      </c>
      <c r="AE100" s="77" t="str">
        <f t="shared" si="4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100" s="74" t="str">
        <f t="shared" si="42"/>
        <v>"C:\Program Files (x86)\AstroGrep\AstroGrep.exe" /e /r /s /spath="%USERPROFILE%\AppData\Local\Temp\OnboardLogs" /stypes="app*4001*20171030*" /stext=" 22:.+((SYSTEM_STATE.+slice.+state.+changed )|(ment ac)|(multiple cpu faults)|(system.+state.+changed )|(\[timeout)|(PRM\|1\|D)|(kpr)|(kdp)|(train st.+moving)|(\|lc)|(penalty))"</v>
      </c>
      <c r="AG100" s="182" t="str">
        <f t="shared" si="43"/>
        <v>EC</v>
      </c>
      <c r="AH100" s="78" t="str">
        <f t="shared" si="44"/>
        <v>"%USERPROFILE%\Documents\GitHub\eaglep3\Utilities\RefineRTDCRunTimes.py" --tripid 188-30 --locoid 4001 --swversion DE.1.0.9.0 --startMP 204:232870 --initTime 2017-10-30T15:19:46 --startdatetime 2017-10-30T15:27:41 --delay 81 --endMP 204:249 --enddatetime 2017-10-30T16:07:18 --enforcementcount 0 &gt;&gt;%USERPROFILE%\Documents\GitHub\eaglep3-reporting\EC\2017-10-30-refined-times.txt</v>
      </c>
      <c r="AI10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{"issue":{"subject":"","project_id":79,"tracker_id":40,"status_id":1,"priority_id":2,"assigned_to_id":338,"start_date":"2017-10-30","description":"","custom_fields":[{"id":1,"name":"Subdivision","value":"EC"},{"id":4,"name":"Milepost","value":"0.0249"},{"id":17,"name":"Train ID","value":"188-30"},{"id":16,"name":"Locomotive ID","value":"4001"},{"id":130,"name":"Impact","value":""},{"id":150,"name":"Time of Event (Mountain Time)","value":"16:07:18"},{"id":151,"name":"Denver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6"/>
        <v>start /low /b %USERPROFILE%\Documents\GitHub\eaglep3\Utilities\DownloadLogsFromS3.py --loco 4001 --day 2017-10-30</v>
      </c>
      <c r="AN100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8"/>
        <v>https://d0f6bd738d7f1b3e5a7ca70fe4ff75f0.us-east-1.aws.found.io/app/kibana#/discover/Steve-Slow-Train-Analysis-(2080s-and-2083s)?_g=(refreshInterval:(display:Off,pause:!f,section:0,value:0),time:(from:'2017-10-30T14:19:46-0600',mode:absolute,to:'2017-10-30T17:07:18-0600'))&amp;_a=(columns:!('Message%20ID',Summary),filters:!(),index:'emp_*',interval:auto,query:(query_string:(analyze_wildcard:!t,query:'%22rtdc.l.rtdc.4001%22')),sort:!(Time.ISO8601,asc))</v>
      </c>
    </row>
    <row r="101" spans="1:91" s="20" customFormat="1" x14ac:dyDescent="0.3">
      <c r="A101" s="32" t="s">
        <v>809</v>
      </c>
      <c r="B101" s="7">
        <v>4050</v>
      </c>
      <c r="C101" s="21" t="s">
        <v>194</v>
      </c>
      <c r="D101" s="21" t="s">
        <v>974</v>
      </c>
      <c r="E101" s="13">
        <v>43038.606782407405</v>
      </c>
      <c r="F101" s="13">
        <v>43038.614803240744</v>
      </c>
      <c r="G101" s="7">
        <v>261</v>
      </c>
      <c r="H101" s="21" t="s">
        <v>975</v>
      </c>
      <c r="I101" s="13">
        <v>43038.643043981479</v>
      </c>
      <c r="J101" s="7">
        <v>0</v>
      </c>
      <c r="K101" s="89" t="str">
        <f t="shared" si="32"/>
        <v>4049/4050</v>
      </c>
      <c r="L101" s="185" t="str">
        <f>VLOOKUP(A101,'Trips&amp;Operators'!$C$1:$G$99911,5,FALSE)</f>
        <v>ROBINSON KADDIBA</v>
      </c>
      <c r="M101" s="6">
        <f t="shared" si="33"/>
        <v>2.824074073578231E-2</v>
      </c>
      <c r="N101" s="7">
        <f t="shared" si="50"/>
        <v>40.666666659526527</v>
      </c>
      <c r="O101" s="7"/>
      <c r="P101" s="7"/>
      <c r="Q101" s="22"/>
      <c r="R101" s="174"/>
      <c r="S101" s="221">
        <f t="shared" si="51"/>
        <v>1</v>
      </c>
      <c r="T101" s="174" t="str">
        <f t="shared" si="3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6"/>
        <v>https://d0f6bd738d7f1b3e5a7ca70fe4ff75f0.us-east-1.aws.found.io/app/kibana#/discover/Steve-Slow-Train-Analysis-(2080s-and-2083s)?_g=(refreshInterval:(display:Off,pause:!f,section:0,value:0),time:(from:'2017-10-30T13:33:46-0600',mode:absolute,to:'2017-10-30T16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 t="shared" si="49"/>
        <v>1</v>
      </c>
      <c r="Y101" s="204">
        <f t="shared" si="37"/>
        <v>5.4199999999999998E-2</v>
      </c>
      <c r="Z101" s="204">
        <f t="shared" si="38"/>
        <v>23.3203</v>
      </c>
      <c r="AA101" s="204">
        <f t="shared" si="39"/>
        <v>23.266099999999998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0"/>
        <v>189</v>
      </c>
      <c r="AE101" s="77" t="str">
        <f t="shared" si="41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01" s="74" t="str">
        <f t="shared" si="42"/>
        <v>"C:\Program Files (x86)\AstroGrep\AstroGrep.exe" /e /r /s /spath="%USERPROFILE%\AppData\Local\Temp\OnboardLogs" /stypes="app*4050*20171030*" /stext=" 21:.+((SYSTEM_STATE.+slice.+state.+changed )|(ment ac)|(multiple cpu faults)|(system.+state.+changed )|(\[timeout)|(PRM\|1\|D)|(kpr)|(kdp)|(train st.+moving)|(\|lc)|(penalty))"</v>
      </c>
      <c r="AG101" s="182" t="str">
        <f t="shared" si="43"/>
        <v>EC</v>
      </c>
      <c r="AH101" s="78" t="str">
        <f t="shared" si="44"/>
        <v>"%USERPROFILE%\Documents\GitHub\eaglep3\Utilities\RefineRTDCRunTimes.py" --tripid 189-30 --locoid 4050 --swversion DE.1.0.9.0 --startMP 204:542 --initTime 2017-10-30T14:33:46 --startdatetime 2017-10-30T14:45:19 --delay 261 --endMP 204:233203 --enddatetime 2017-10-30T15:25:59 --enforcementcount 0 &gt;&gt;%USERPROFILE%\Documents\GitHub\eaglep3-reporting\EC\2017-10-30-refined-times.txt</v>
      </c>
      <c r="AI10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{"issue":{"subject":"","project_id":79,"tracker_id":40,"status_id":1,"priority_id":2,"assigned_to_id":338,"start_date":"2017-10-30","description":"","custom_fields":[{"id":1,"name":"Subdivision","value":"EC"},{"id":4,"name":"Milepost","value":"23.3203"},{"id":17,"name":"Train ID","value":"189-30"},{"id":16,"name":"Locomotive ID","value":"4050"},{"id":130,"name":"Impact","value":""},{"id":150,"name":"Time of Event (Mountain Time)","value":"15:25:59"},{"id":151,"name":"Denver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6"/>
        <v>start /low /b %USERPROFILE%\Documents\GitHub\eaglep3\Utilities\DownloadLogsFromS3.py --loco 4050 --day 2017-10-30</v>
      </c>
      <c r="AN101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8"/>
        <v>https://d0f6bd738d7f1b3e5a7ca70fe4ff75f0.us-east-1.aws.found.io/app/kibana#/discover/Steve-Slow-Train-Analysis-(2080s-and-2083s)?_g=(refreshInterval:(display:Off,pause:!f,section:0,value:0),time:(from:'2017-10-30T13:33:46-0600',mode:absolute,to:'2017-10-30T16:25:59-0600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820</v>
      </c>
      <c r="B102" s="7">
        <v>4049</v>
      </c>
      <c r="C102" s="21" t="s">
        <v>194</v>
      </c>
      <c r="D102" s="21" t="s">
        <v>976</v>
      </c>
      <c r="E102" s="13">
        <v>43038.651608796295</v>
      </c>
      <c r="F102" s="13">
        <v>43038.654328703706</v>
      </c>
      <c r="G102" s="7">
        <v>90</v>
      </c>
      <c r="H102" s="21" t="s">
        <v>580</v>
      </c>
      <c r="I102" s="13">
        <v>43038.680763888886</v>
      </c>
      <c r="J102" s="7">
        <v>0</v>
      </c>
      <c r="K102" s="89" t="str">
        <f t="shared" si="32"/>
        <v>4049/4050</v>
      </c>
      <c r="L102" s="185" t="str">
        <f>VLOOKUP(A102,'Trips&amp;Operators'!$C$1:$G$99911,5,FALSE)</f>
        <v>ROBINSON KADDIBA</v>
      </c>
      <c r="M102" s="6">
        <f t="shared" si="33"/>
        <v>2.643518518016208E-2</v>
      </c>
      <c r="N102" s="7">
        <f t="shared" si="50"/>
        <v>38.066666659433395</v>
      </c>
      <c r="O102" s="7"/>
      <c r="P102" s="7"/>
      <c r="Q102" s="22"/>
      <c r="R102" s="174"/>
      <c r="S102" s="221">
        <f t="shared" si="51"/>
        <v>1</v>
      </c>
      <c r="T102" s="174" t="str">
        <f t="shared" si="3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6"/>
        <v>https://d0f6bd738d7f1b3e5a7ca70fe4ff75f0.us-east-1.aws.found.io/app/kibana#/discover/Steve-Slow-Train-Analysis-(2080s-and-2083s)?_g=(refreshInterval:(display:Off,pause:!f,section:0,value:0),time:(from:'2017-10-30T14:38:19-0600',mode:absolute,to:'2017-10-30T17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 t="shared" si="49"/>
        <v>1</v>
      </c>
      <c r="Y102" s="204">
        <f t="shared" si="37"/>
        <v>23.286899999999999</v>
      </c>
      <c r="Z102" s="204">
        <f t="shared" si="38"/>
        <v>2.29E-2</v>
      </c>
      <c r="AA102" s="204">
        <f t="shared" si="39"/>
        <v>23.263999999999999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0"/>
        <v>190</v>
      </c>
      <c r="AE102" s="77" t="str">
        <f t="shared" si="41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102" s="74" t="str">
        <f t="shared" si="42"/>
        <v>"C:\Program Files (x86)\AstroGrep\AstroGrep.exe" /e /r /s /spath="%USERPROFILE%\AppData\Local\Temp\OnboardLogs" /stypes="app*4049*20171030*" /stext=" 22:.+((SYSTEM_STATE.+slice.+state.+changed )|(ment ac)|(multiple cpu faults)|(system.+state.+changed )|(\[timeout)|(PRM\|1\|D)|(kpr)|(kdp)|(train st.+moving)|(\|lc)|(penalty))"</v>
      </c>
      <c r="AG102" s="182" t="str">
        <f t="shared" si="43"/>
        <v>EC</v>
      </c>
      <c r="AH102" s="78" t="str">
        <f t="shared" si="44"/>
        <v>"%USERPROFILE%\Documents\GitHub\eaglep3\Utilities\RefineRTDCRunTimes.py" --tripid 190-30 --locoid 4049 --swversion DE.1.0.9.0 --startMP 204:232869 --initTime 2017-10-30T15:38:19 --startdatetime 2017-10-30T15:42:14 --delay 90 --endMP 204:229 --enddatetime 2017-10-30T16:20:18 --enforcementcount 0 &gt;&gt;%USERPROFILE%\Documents\GitHub\eaglep3-reporting\EC\2017-10-30-refined-times.txt</v>
      </c>
      <c r="AI10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{"issue":{"subject":"","project_id":79,"tracker_id":40,"status_id":1,"priority_id":2,"assigned_to_id":338,"start_date":"2017-10-30","description":"","custom_fields":[{"id":1,"name":"Subdivision","value":"EC"},{"id":4,"name":"Milepost","value":"0.0229"},{"id":17,"name":"Train ID","value":"190-30"},{"id":16,"name":"Locomotive ID","value":"4049"},{"id":130,"name":"Impact","value":""},{"id":150,"name":"Time of Event (Mountain Time)","value":"16:20:18"},{"id":151,"name":"Denver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6"/>
        <v>start /low /b %USERPROFILE%\Documents\GitHub\eaglep3\Utilities\DownloadLogsFromS3.py --loco 4049 --day 2017-10-30</v>
      </c>
      <c r="AN102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8"/>
        <v>https://d0f6bd738d7f1b3e5a7ca70fe4ff75f0.us-east-1.aws.found.io/app/kibana#/discover/Steve-Slow-Train-Analysis-(2080s-and-2083s)?_g=(refreshInterval:(display:Off,pause:!f,section:0,value:0),time:(from:'2017-10-30T14:38:19-0600',mode:absolute,to:'2017-10-30T17:20:18-0600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811</v>
      </c>
      <c r="B103" s="7">
        <v>4004</v>
      </c>
      <c r="C103" s="21" t="s">
        <v>194</v>
      </c>
      <c r="D103" s="21" t="s">
        <v>631</v>
      </c>
      <c r="E103" s="13">
        <v>43038.623067129629</v>
      </c>
      <c r="F103" s="13">
        <v>43038.625335648147</v>
      </c>
      <c r="G103" s="7">
        <v>54</v>
      </c>
      <c r="H103" s="21" t="s">
        <v>515</v>
      </c>
      <c r="I103" s="13">
        <v>43038.650138888886</v>
      </c>
      <c r="J103" s="7">
        <v>0</v>
      </c>
      <c r="K103" s="89" t="str">
        <f t="shared" si="32"/>
        <v>4003/4004</v>
      </c>
      <c r="L103" s="185" t="str">
        <f>VLOOKUP(A103,'Trips&amp;Operators'!$C$1:$G$99911,5,FALSE)</f>
        <v>STEWART MICHAEL</v>
      </c>
      <c r="M103" s="6">
        <f t="shared" si="33"/>
        <v>2.4803240739856847E-2</v>
      </c>
      <c r="N103" s="7">
        <f t="shared" si="50"/>
        <v>35.716666665393859</v>
      </c>
      <c r="O103" s="7"/>
      <c r="P103" s="7"/>
      <c r="Q103" s="22"/>
      <c r="R103" s="174"/>
      <c r="S103" s="221">
        <f t="shared" si="51"/>
        <v>1</v>
      </c>
      <c r="T103" s="174" t="str">
        <f t="shared" si="3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6"/>
        <v>https://d0f6bd738d7f1b3e5a7ca70fe4ff75f0.us-east-1.aws.found.io/app/kibana#/discover/Steve-Slow-Train-Analysis-(2080s-and-2083s)?_g=(refreshInterval:(display:Off,pause:!f,section:0,value:0),time:(from:'2017-10-30T13:57:13-0600',mode:absolute,to:'2017-10-30T16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204" t="str">
        <f>IF(AA103&lt;VLOOKUP(AG103,Variables!$AC$3:$AD$8,2,FALSE),"Y","N")</f>
        <v>N</v>
      </c>
      <c r="X103" s="204">
        <f t="shared" si="49"/>
        <v>1</v>
      </c>
      <c r="Y103" s="204">
        <f t="shared" si="37"/>
        <v>5.5300000000000002E-2</v>
      </c>
      <c r="Z103" s="204">
        <f t="shared" si="38"/>
        <v>23.3215</v>
      </c>
      <c r="AA103" s="204">
        <f t="shared" si="39"/>
        <v>23.266200000000001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0"/>
        <v>191</v>
      </c>
      <c r="AE103" s="77" t="str">
        <f t="shared" si="4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103" s="74" t="str">
        <f t="shared" si="42"/>
        <v>"C:\Program Files (x86)\AstroGrep\AstroGrep.exe" /e /r /s /spath="%USERPROFILE%\AppData\Local\Temp\OnboardLogs" /stypes="app*4004*20171030*" /stext=" 21:.+((SYSTEM_STATE.+slice.+state.+changed )|(ment ac)|(multiple cpu faults)|(system.+state.+changed )|(\[timeout)|(PRM\|1\|D)|(kpr)|(kdp)|(train st.+moving)|(\|lc)|(penalty))"</v>
      </c>
      <c r="AG103" s="182" t="str">
        <f t="shared" si="43"/>
        <v>EC</v>
      </c>
      <c r="AH103" s="78" t="str">
        <f t="shared" si="44"/>
        <v>"%USERPROFILE%\Documents\GitHub\eaglep3\Utilities\RefineRTDCRunTimes.py" --tripid 191-30 --locoid 4004 --swversion DE.1.0.9.0 --startMP 204:553 --initTime 2017-10-30T14:57:13 --startdatetime 2017-10-30T15:00:29 --delay 54 --endMP 204:233215 --enddatetime 2017-10-30T15:36:12 --enforcementcount 0 &gt;&gt;%USERPROFILE%\Documents\GitHub\eaglep3-reporting\EC\2017-10-30-refined-times.txt</v>
      </c>
      <c r="AI10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{"issue":{"subject":"","project_id":79,"tracker_id":40,"status_id":1,"priority_id":2,"assigned_to_id":338,"start_date":"2017-10-30","description":"","custom_fields":[{"id":1,"name":"Subdivision","value":"EC"},{"id":4,"name":"Milepost","value":"23.3215"},{"id":17,"name":"Train ID","value":"191-30"},{"id":16,"name":"Locomotive ID","value":"4004"},{"id":130,"name":"Impact","value":""},{"id":150,"name":"Time of Event (Mountain Time)","value":"15:36:12"},{"id":151,"name":"Denver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6"/>
        <v>start /low /b %USERPROFILE%\Documents\GitHub\eaglep3\Utilities\DownloadLogsFromS3.py --loco 4004 --day 2017-10-30</v>
      </c>
      <c r="AN103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8"/>
        <v>https://d0f6bd738d7f1b3e5a7ca70fe4ff75f0.us-east-1.aws.found.io/app/kibana#/discover/Steve-Slow-Train-Analysis-(2080s-and-2083s)?_g=(refreshInterval:(display:Off,pause:!f,section:0,value:0),time:(from:'2017-10-30T13:57:13-0600',mode:absolute,to:'2017-10-30T16:36:12-0600'))&amp;_a=(columns:!('Message%20ID',Summary),filters:!(),index:'emp_*',interval:auto,query:(query_string:(analyze_wildcard:!t,query:'%22rtdc.l.rtdc.4004%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823</v>
      </c>
      <c r="B104" s="7">
        <v>4003</v>
      </c>
      <c r="C104" s="21" t="s">
        <v>194</v>
      </c>
      <c r="D104" s="21" t="s">
        <v>977</v>
      </c>
      <c r="E104" s="13">
        <v>43038.66165509259</v>
      </c>
      <c r="F104" s="13">
        <v>43038.664965277778</v>
      </c>
      <c r="G104" s="7">
        <v>61</v>
      </c>
      <c r="H104" s="21" t="s">
        <v>642</v>
      </c>
      <c r="I104" s="13">
        <v>43038.690937500003</v>
      </c>
      <c r="J104" s="7">
        <v>0</v>
      </c>
      <c r="K104" s="89" t="str">
        <f t="shared" si="32"/>
        <v>4003/4004</v>
      </c>
      <c r="L104" s="185" t="str">
        <f>VLOOKUP(A104,'Trips&amp;Operators'!$C$1:$G$99911,5,FALSE)</f>
        <v>STEWART MICHAEL</v>
      </c>
      <c r="M104" s="6">
        <f t="shared" si="33"/>
        <v>2.5972222225391306E-2</v>
      </c>
      <c r="N104" s="7">
        <f t="shared" si="50"/>
        <v>37.400000004563481</v>
      </c>
      <c r="O104" s="7"/>
      <c r="P104" s="7"/>
      <c r="Q104" s="22"/>
      <c r="R104" s="174"/>
      <c r="S104" s="221">
        <f t="shared" si="51"/>
        <v>1</v>
      </c>
      <c r="T104" s="174" t="str">
        <f t="shared" si="35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6"/>
        <v>https://d0f6bd738d7f1b3e5a7ca70fe4ff75f0.us-east-1.aws.found.io/app/kibana#/discover/Steve-Slow-Train-Analysis-(2080s-and-2083s)?_g=(refreshInterval:(display:Off,pause:!f,section:0,value:0),time:(from:'2017-10-30T14:52:47-0600',mode:absolute,to:'2017-10-30T17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204" t="str">
        <f>IF(AA104&lt;VLOOKUP(AG104,Variables!$AC$3:$AD$8,2,FALSE),"Y","N")</f>
        <v>N</v>
      </c>
      <c r="X104" s="204">
        <f t="shared" si="49"/>
        <v>1</v>
      </c>
      <c r="Y104" s="204">
        <f t="shared" si="37"/>
        <v>23.2883</v>
      </c>
      <c r="Z104" s="204">
        <f t="shared" si="38"/>
        <v>2.58E-2</v>
      </c>
      <c r="AA104" s="204">
        <f t="shared" si="39"/>
        <v>23.262499999999999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0"/>
        <v>192</v>
      </c>
      <c r="AE104" s="77" t="str">
        <f t="shared" si="4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104" s="74" t="str">
        <f t="shared" si="42"/>
        <v>"C:\Program Files (x86)\AstroGrep\AstroGrep.exe" /e /r /s /spath="%USERPROFILE%\AppData\Local\Temp\OnboardLogs" /stypes="app*4003*20171030*" /stext=" 22:.+((SYSTEM_STATE.+slice.+state.+changed )|(ment ac)|(multiple cpu faults)|(system.+state.+changed )|(\[timeout)|(PRM\|1\|D)|(kpr)|(kdp)|(train st.+moving)|(\|lc)|(penalty))"</v>
      </c>
      <c r="AG104" s="182" t="str">
        <f t="shared" si="43"/>
        <v>EC</v>
      </c>
      <c r="AH104" s="78" t="str">
        <f t="shared" si="44"/>
        <v>"%USERPROFILE%\Documents\GitHub\eaglep3\Utilities\RefineRTDCRunTimes.py" --tripid 192-30 --locoid 4003 --swversion DE.1.0.9.0 --startMP 204:232883 --initTime 2017-10-30T15:52:47 --startdatetime 2017-10-30T15:57:33 --delay 61 --endMP 204:258 --enddatetime 2017-10-30T16:34:57 --enforcementcount 0 &gt;&gt;%USERPROFILE%\Documents\GitHub\eaglep3-reporting\EC\2017-10-30-refined-times.txt</v>
      </c>
      <c r="AI10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{"issue":{"subject":"","project_id":79,"tracker_id":40,"status_id":1,"priority_id":2,"assigned_to_id":338,"start_date":"2017-10-30","description":"","custom_fields":[{"id":1,"name":"Subdivision","value":"EC"},{"id":4,"name":"Milepost","value":"0.0258"},{"id":17,"name":"Train ID","value":"192-30"},{"id":16,"name":"Locomotive ID","value":"4003"},{"id":130,"name":"Impact","value":""},{"id":150,"name":"Time of Event (Mountain Time)","value":"16:34:57"},{"id":151,"name":"Denver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6"/>
        <v>start /low /b %USERPROFILE%\Documents\GitHub\eaglep3\Utilities\DownloadLogsFromS3.py --loco 4003 --day 2017-10-30</v>
      </c>
      <c r="AN104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8"/>
        <v>https://d0f6bd738d7f1b3e5a7ca70fe4ff75f0.us-east-1.aws.found.io/app/kibana#/discover/Steve-Slow-Train-Analysis-(2080s-and-2083s)?_g=(refreshInterval:(display:Off,pause:!f,section:0,value:0),time:(from:'2017-10-30T14:52:47-0600',mode:absolute,to:'2017-10-30T17:34:57-0600'))&amp;_a=(columns:!('Message%20ID',Summary),filters:!(),index:'emp_*',interval:auto,query:(query_string:(analyze_wildcard:!t,query:'%22rtdc.l.rtdc.4003%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814</v>
      </c>
      <c r="B105" s="7">
        <v>4058</v>
      </c>
      <c r="C105" s="21" t="s">
        <v>194</v>
      </c>
      <c r="D105" s="21" t="s">
        <v>527</v>
      </c>
      <c r="E105" s="13">
        <v>43038.633067129631</v>
      </c>
      <c r="F105" s="13">
        <v>43038.63559027778</v>
      </c>
      <c r="G105" s="7">
        <v>66</v>
      </c>
      <c r="H105" s="21" t="s">
        <v>915</v>
      </c>
      <c r="I105" s="13">
        <v>43038.661747685182</v>
      </c>
      <c r="J105" s="7">
        <v>0</v>
      </c>
      <c r="K105" s="89" t="str">
        <f t="shared" si="32"/>
        <v>4057/4058</v>
      </c>
      <c r="L105" s="185" t="str">
        <f>VLOOKUP(A105,'Trips&amp;Operators'!$C$1:$G$99911,5,FALSE)</f>
        <v>LEVERE CRAIG</v>
      </c>
      <c r="M105" s="6">
        <f t="shared" si="33"/>
        <v>2.6157407402934041E-2</v>
      </c>
      <c r="N105" s="7">
        <f t="shared" si="50"/>
        <v>37.666666660225019</v>
      </c>
      <c r="O105" s="7"/>
      <c r="P105" s="7"/>
      <c r="Q105" s="22"/>
      <c r="R105" s="174"/>
      <c r="S105" s="221">
        <f t="shared" si="51"/>
        <v>1</v>
      </c>
      <c r="T105" s="174" t="str">
        <f t="shared" si="35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6"/>
        <v>https://d0f6bd738d7f1b3e5a7ca70fe4ff75f0.us-east-1.aws.found.io/app/kibana#/discover/Steve-Slow-Train-Analysis-(2080s-and-2083s)?_g=(refreshInterval:(display:Off,pause:!f,section:0,value:0),time:(from:'2017-10-30T14:11:37-0600',mode:absolute,to:'2017-10-30T16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04" t="str">
        <f>IF(AA105&lt;VLOOKUP(AG105,Variables!$AC$3:$AD$8,2,FALSE),"Y","N")</f>
        <v>N</v>
      </c>
      <c r="X105" s="204">
        <f t="shared" si="49"/>
        <v>1</v>
      </c>
      <c r="Y105" s="204">
        <f t="shared" si="37"/>
        <v>5.5100000000000003E-2</v>
      </c>
      <c r="Z105" s="204">
        <f t="shared" si="38"/>
        <v>23.3188</v>
      </c>
      <c r="AA105" s="204">
        <f t="shared" si="39"/>
        <v>23.2637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0"/>
        <v>193</v>
      </c>
      <c r="AE105" s="77" t="str">
        <f t="shared" si="41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105" s="74" t="str">
        <f t="shared" si="42"/>
        <v>"C:\Program Files (x86)\AstroGrep\AstroGrep.exe" /e /r /s /spath="%USERPROFILE%\AppData\Local\Temp\OnboardLogs" /stypes="app*4058*20171030*" /stext=" 21:.+((SYSTEM_STATE.+slice.+state.+changed )|(ment ac)|(multiple cpu faults)|(system.+state.+changed )|(\[timeout)|(PRM\|1\|D)|(kpr)|(kdp)|(train st.+moving)|(\|lc)|(penalty))"</v>
      </c>
      <c r="AG105" s="182" t="str">
        <f t="shared" si="43"/>
        <v>EC</v>
      </c>
      <c r="AH105" s="78" t="str">
        <f t="shared" si="44"/>
        <v>"%USERPROFILE%\Documents\GitHub\eaglep3\Utilities\RefineRTDCRunTimes.py" --tripid 193-30 --locoid 4058 --swversion DE.1.0.9.0 --startMP 204:551 --initTime 2017-10-30T15:11:37 --startdatetime 2017-10-30T15:15:15 --delay 66 --endMP 204:233188 --enddatetime 2017-10-30T15:52:55 --enforcementcount 0 &gt;&gt;%USERPROFILE%\Documents\GitHub\eaglep3-reporting\EC\2017-10-30-refined-times.txt</v>
      </c>
      <c r="AI10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{"issue":{"subject":"","project_id":79,"tracker_id":40,"status_id":1,"priority_id":2,"assigned_to_id":338,"start_date":"2017-10-30","description":"","custom_fields":[{"id":1,"name":"Subdivision","value":"EC"},{"id":4,"name":"Milepost","value":"23.3188"},{"id":17,"name":"Train ID","value":"193-30"},{"id":16,"name":"Locomotive ID","value":"4058"},{"id":130,"name":"Impact","value":""},{"id":150,"name":"Time of Event (Mountain Time)","value":"15:52:55"},{"id":151,"name":"Denver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6"/>
        <v>start /low /b %USERPROFILE%\Documents\GitHub\eaglep3\Utilities\DownloadLogsFromS3.py --loco 4058 --day 2017-10-30</v>
      </c>
      <c r="AN105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8"/>
        <v>https://d0f6bd738d7f1b3e5a7ca70fe4ff75f0.us-east-1.aws.found.io/app/kibana#/discover/Steve-Slow-Train-Analysis-(2080s-and-2083s)?_g=(refreshInterval:(display:Off,pause:!f,section:0,value:0),time:(from:'2017-10-30T14:11:37-0600',mode:absolute,to:'2017-10-30T16:52:55-0600'))&amp;_a=(columns:!('Message%20ID',Summary),filters:!(),index:'emp_*',interval:auto,query:(query_string:(analyze_wildcard:!t,query:'%22rtdc.l.rtdc.4058%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827</v>
      </c>
      <c r="B106" s="7">
        <v>4057</v>
      </c>
      <c r="C106" s="21" t="s">
        <v>194</v>
      </c>
      <c r="D106" s="21" t="s">
        <v>632</v>
      </c>
      <c r="E106" s="13">
        <v>43038.669074074074</v>
      </c>
      <c r="F106" s="13">
        <v>43038.67527777778</v>
      </c>
      <c r="G106" s="7">
        <v>131</v>
      </c>
      <c r="H106" s="21" t="s">
        <v>517</v>
      </c>
      <c r="I106" s="13">
        <v>43038.701874999999</v>
      </c>
      <c r="J106" s="7">
        <v>0</v>
      </c>
      <c r="K106" s="89" t="str">
        <f t="shared" si="32"/>
        <v>4057/4058</v>
      </c>
      <c r="L106" s="185" t="str">
        <f>VLOOKUP(A106,'Trips&amp;Operators'!$C$1:$G$99911,5,FALSE)</f>
        <v>LEVERE CRAIG</v>
      </c>
      <c r="M106" s="6">
        <f t="shared" si="33"/>
        <v>2.6597222218697425E-2</v>
      </c>
      <c r="N106" s="7">
        <f t="shared" si="50"/>
        <v>38.299999994924292</v>
      </c>
      <c r="O106" s="7"/>
      <c r="P106" s="7"/>
      <c r="Q106" s="22"/>
      <c r="R106" s="174"/>
      <c r="S106" s="221">
        <f t="shared" si="51"/>
        <v>1</v>
      </c>
      <c r="T106" s="174" t="str">
        <f t="shared" si="35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6"/>
        <v>https://d0f6bd738d7f1b3e5a7ca70fe4ff75f0.us-east-1.aws.found.io/app/kibana#/discover/Steve-Slow-Train-Analysis-(2080s-and-2083s)?_g=(refreshInterval:(display:Off,pause:!f,section:0,value:0),time:(from:'2017-10-30T15:03:28-0600',mode:absolute,to:'2017-10-30T17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04" t="str">
        <f>IF(AA106&lt;VLOOKUP(AG106,Variables!$AC$3:$AD$8,2,FALSE),"Y","N")</f>
        <v>N</v>
      </c>
      <c r="X106" s="204">
        <f t="shared" si="49"/>
        <v>1</v>
      </c>
      <c r="Y106" s="204">
        <f t="shared" si="37"/>
        <v>23.286300000000001</v>
      </c>
      <c r="Z106" s="204">
        <f t="shared" si="38"/>
        <v>2.4899999999999999E-2</v>
      </c>
      <c r="AA106" s="204">
        <f t="shared" si="39"/>
        <v>23.261400000000002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0"/>
        <v>194</v>
      </c>
      <c r="AE106" s="77" t="str">
        <f t="shared" si="41"/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106" s="74" t="str">
        <f t="shared" si="42"/>
        <v>"C:\Program Files (x86)\AstroGrep\AstroGrep.exe" /e /r /s /spath="%USERPROFILE%\AppData\Local\Temp\OnboardLogs" /stypes="app*4057*20171030*" /stext=" 22:.+((SYSTEM_STATE.+slice.+state.+changed )|(ment ac)|(multiple cpu faults)|(system.+state.+changed )|(\[timeout)|(PRM\|1\|D)|(kpr)|(kdp)|(train st.+moving)|(\|lc)|(penalty))"</v>
      </c>
      <c r="AG106" s="182" t="str">
        <f t="shared" si="43"/>
        <v>EC</v>
      </c>
      <c r="AH106" s="78" t="str">
        <f t="shared" si="44"/>
        <v>"%USERPROFILE%\Documents\GitHub\eaglep3\Utilities\RefineRTDCRunTimes.py" --tripid 194-30 --locoid 4057 --swversion DE.1.0.9.0 --startMP 204:232863 --initTime 2017-10-30T16:03:28 --startdatetime 2017-10-30T16:12:24 --delay 131 --endMP 204:249 --enddatetime 2017-10-30T16:50:42 --enforcementcount 0 &gt;&gt;%USERPROFILE%\Documents\GitHub\eaglep3-reporting\EC\2017-10-30-refined-times.txt</v>
      </c>
      <c r="AI10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{"issue":{"subject":"","project_id":79,"tracker_id":40,"status_id":1,"priority_id":2,"assigned_to_id":338,"start_date":"2017-10-30","description":"","custom_fields":[{"id":1,"name":"Subdivision","value":"EC"},{"id":4,"name":"Milepost","value":"0.0249"},{"id":17,"name":"Train ID","value":"194-30"},{"id":16,"name":"Locomotive ID","value":"4057"},{"id":130,"name":"Impact","value":""},{"id":150,"name":"Time of Event (Mountain Time)","value":"16:50:42"},{"id":151,"name":"Denver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6"/>
        <v>start /low /b %USERPROFILE%\Documents\GitHub\eaglep3\Utilities\DownloadLogsFromS3.py --loco 4057 --day 2017-10-30</v>
      </c>
      <c r="AN106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8"/>
        <v>https://d0f6bd738d7f1b3e5a7ca70fe4ff75f0.us-east-1.aws.found.io/app/kibana#/discover/Steve-Slow-Train-Analysis-(2080s-and-2083s)?_g=(refreshInterval:(display:Off,pause:!f,section:0,value:0),time:(from:'2017-10-30T15:03:28-0600',mode:absolute,to:'2017-10-30T17:50:42-0600'))&amp;_a=(columns:!('Message%20ID',Summary),filters:!(),index:'emp_*',interval:auto,query:(query_string:(analyze_wildcard:!t,query:'%22rtdc.l.rtdc.4057%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818</v>
      </c>
      <c r="B107" s="7">
        <v>4032</v>
      </c>
      <c r="C107" s="21" t="s">
        <v>194</v>
      </c>
      <c r="D107" s="21" t="s">
        <v>586</v>
      </c>
      <c r="E107" s="13">
        <v>43038.642627314817</v>
      </c>
      <c r="F107" s="13">
        <v>43038.646006944444</v>
      </c>
      <c r="G107" s="7">
        <v>58</v>
      </c>
      <c r="H107" s="21" t="s">
        <v>629</v>
      </c>
      <c r="I107" s="13">
        <v>43038.670694444445</v>
      </c>
      <c r="J107" s="7">
        <v>0</v>
      </c>
      <c r="K107" s="89" t="str">
        <f t="shared" si="32"/>
        <v>4031/4032</v>
      </c>
      <c r="L107" s="185" t="str">
        <f>VLOOKUP(A107,'Trips&amp;Operators'!$C$1:$G$99911,5,FALSE)</f>
        <v>GUZMAN DANNY</v>
      </c>
      <c r="M107" s="6">
        <f t="shared" si="33"/>
        <v>2.4687500001164153E-2</v>
      </c>
      <c r="N107" s="7">
        <f t="shared" si="50"/>
        <v>35.550000001676381</v>
      </c>
      <c r="O107" s="7"/>
      <c r="P107" s="7"/>
      <c r="Q107" s="22"/>
      <c r="R107" s="174"/>
      <c r="S107" s="221">
        <f t="shared" si="51"/>
        <v>1</v>
      </c>
      <c r="T107" s="174" t="str">
        <f t="shared" si="35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6"/>
        <v>https://d0f6bd738d7f1b3e5a7ca70fe4ff75f0.us-east-1.aws.found.io/app/kibana#/discover/Steve-Slow-Train-Analysis-(2080s-and-2083s)?_g=(refreshInterval:(display:Off,pause:!f,section:0,value:0),time:(from:'2017-10-30T14:25:23-0600',mode:absolute,to:'2017-10-30T17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204" t="str">
        <f>IF(AA107&lt;VLOOKUP(AG107,Variables!$AC$3:$AD$8,2,FALSE),"Y","N")</f>
        <v>N</v>
      </c>
      <c r="X107" s="204">
        <f t="shared" si="49"/>
        <v>1</v>
      </c>
      <c r="Y107" s="204">
        <f t="shared" si="37"/>
        <v>5.5500000000000001E-2</v>
      </c>
      <c r="Z107" s="204">
        <f t="shared" si="38"/>
        <v>23.317399999999999</v>
      </c>
      <c r="AA107" s="204">
        <f t="shared" si="39"/>
        <v>23.261900000000001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0"/>
        <v>195</v>
      </c>
      <c r="AE107" s="77" t="str">
        <f t="shared" si="4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07" s="74" t="str">
        <f t="shared" si="42"/>
        <v>"C:\Program Files (x86)\AstroGrep\AstroGrep.exe" /e /r /s /spath="%USERPROFILE%\AppData\Local\Temp\OnboardLogs" /stypes="app*4032*20171030*" /stext=" 22:.+((SYSTEM_STATE.+slice.+state.+changed )|(ment ac)|(multiple cpu faults)|(system.+state.+changed )|(\[timeout)|(PRM\|1\|D)|(kpr)|(kdp)|(train st.+moving)|(\|lc)|(penalty))"</v>
      </c>
      <c r="AG107" s="182" t="str">
        <f t="shared" si="43"/>
        <v>EC</v>
      </c>
      <c r="AH107" s="78" t="str">
        <f t="shared" si="44"/>
        <v>"%USERPROFILE%\Documents\GitHub\eaglep3\Utilities\RefineRTDCRunTimes.py" --tripid 195-30 --locoid 4032 --swversion DE.1.0.9.0 --startMP 204:555 --initTime 2017-10-30T15:25:23 --startdatetime 2017-10-30T15:30:15 --delay 58 --endMP 204:233174 --enddatetime 2017-10-30T16:05:48 --enforcementcount 0 &gt;&gt;%USERPROFILE%\Documents\GitHub\eaglep3-reporting\EC\2017-10-30-refined-times.txt</v>
      </c>
      <c r="AI107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{"issue":{"subject":"","project_id":79,"tracker_id":40,"status_id":1,"priority_id":2,"assigned_to_id":338,"start_date":"2017-10-30","description":"","custom_fields":[{"id":1,"name":"Subdivision","value":"EC"},{"id":4,"name":"Milepost","value":"23.3174"},{"id":17,"name":"Train ID","value":"195-30"},{"id":16,"name":"Locomotive ID","value":"4032"},{"id":130,"name":"Impact","value":""},{"id":150,"name":"Time of Event (Mountain Time)","value":"16:05:48"},{"id":151,"name":"Denver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6"/>
        <v>start /low /b %USERPROFILE%\Documents\GitHub\eaglep3\Utilities\DownloadLogsFromS3.py --loco 4032 --day 2017-10-30</v>
      </c>
      <c r="AN107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8"/>
        <v>https://d0f6bd738d7f1b3e5a7ca70fe4ff75f0.us-east-1.aws.found.io/app/kibana#/discover/Steve-Slow-Train-Analysis-(2080s-and-2083s)?_g=(refreshInterval:(display:Off,pause:!f,section:0,value:0),time:(from:'2017-10-30T14:25:23-0600',mode:absolute,to:'2017-10-30T17:05:48-0600'))&amp;_a=(columns:!('Message%20ID',Summary),filters:!(),index:'emp_*',interval:auto,query:(query_string:(analyze_wildcard:!t,query:'%22rtdc.l.rtdc.4032%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828</v>
      </c>
      <c r="B108" s="7">
        <v>4031</v>
      </c>
      <c r="C108" s="21" t="s">
        <v>194</v>
      </c>
      <c r="D108" s="21" t="s">
        <v>978</v>
      </c>
      <c r="E108" s="13">
        <v>43038.673703703702</v>
      </c>
      <c r="F108" s="13">
        <v>43038.685601851852</v>
      </c>
      <c r="G108" s="7">
        <v>62</v>
      </c>
      <c r="H108" s="21" t="s">
        <v>517</v>
      </c>
      <c r="I108" s="13">
        <v>43038.711469907408</v>
      </c>
      <c r="J108" s="7">
        <v>0</v>
      </c>
      <c r="K108" s="89" t="str">
        <f t="shared" si="32"/>
        <v>4031/4032</v>
      </c>
      <c r="L108" s="185" t="str">
        <f>VLOOKUP(A108,'Trips&amp;Operators'!$C$1:$G$99911,5,FALSE)</f>
        <v>GUZMAN DANNY</v>
      </c>
      <c r="M108" s="6">
        <f t="shared" si="33"/>
        <v>2.5868055556202307E-2</v>
      </c>
      <c r="N108" s="7">
        <f t="shared" si="50"/>
        <v>37.250000000931323</v>
      </c>
      <c r="O108" s="7"/>
      <c r="P108" s="7"/>
      <c r="Q108" s="22"/>
      <c r="R108" s="174"/>
      <c r="S108" s="221">
        <f t="shared" si="51"/>
        <v>1</v>
      </c>
      <c r="T108" s="174" t="str">
        <f t="shared" si="35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6"/>
        <v>https://d0f6bd738d7f1b3e5a7ca70fe4ff75f0.us-east-1.aws.found.io/app/kibana#/discover/Steve-Slow-Train-Analysis-(2080s-and-2083s)?_g=(refreshInterval:(display:Off,pause:!f,section:0,value:0),time:(from:'2017-10-30T15:10:08-0600',mode:absolute,to:'2017-10-30T18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204" t="str">
        <f>IF(AA108&lt;VLOOKUP(AG108,Variables!$AC$3:$AD$8,2,FALSE),"Y","N")</f>
        <v>N</v>
      </c>
      <c r="X108" s="204">
        <f t="shared" si="49"/>
        <v>1</v>
      </c>
      <c r="Y108" s="204">
        <f t="shared" si="37"/>
        <v>23.2866</v>
      </c>
      <c r="Z108" s="204">
        <f t="shared" si="38"/>
        <v>2.4899999999999999E-2</v>
      </c>
      <c r="AA108" s="204">
        <f t="shared" si="39"/>
        <v>23.261700000000001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0"/>
        <v>196</v>
      </c>
      <c r="AE108" s="77" t="str">
        <f t="shared" si="4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08" s="74" t="str">
        <f t="shared" si="42"/>
        <v>"C:\Program Files (x86)\AstroGrep\AstroGrep.exe" /e /r /s /spath="%USERPROFILE%\AppData\Local\Temp\OnboardLogs" /stypes="app*4031*20171030*" /stext=" 23:.+((SYSTEM_STATE.+slice.+state.+changed )|(ment ac)|(multiple cpu faults)|(system.+state.+changed )|(\[timeout)|(PRM\|1\|D)|(kpr)|(kdp)|(train st.+moving)|(\|lc)|(penalty))"</v>
      </c>
      <c r="AG108" s="182" t="str">
        <f t="shared" si="43"/>
        <v>EC</v>
      </c>
      <c r="AH108" s="78" t="str">
        <f t="shared" si="44"/>
        <v>"%USERPROFILE%\Documents\GitHub\eaglep3\Utilities\RefineRTDCRunTimes.py" --tripid 196-30 --locoid 4031 --swversion DE.1.0.9.0 --startMP 204:232866 --initTime 2017-10-30T16:10:08 --startdatetime 2017-10-30T16:27:16 --delay 62 --endMP 204:249 --enddatetime 2017-10-30T17:04:31 --enforcementcount 0 &gt;&gt;%USERPROFILE%\Documents\GitHub\eaglep3-reporting\EC\2017-10-30-refined-times.txt</v>
      </c>
      <c r="AI10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{"issue":{"subject":"","project_id":79,"tracker_id":40,"status_id":1,"priority_id":2,"assigned_to_id":338,"start_date":"2017-10-30","description":"","custom_fields":[{"id":1,"name":"Subdivision","value":"EC"},{"id":4,"name":"Milepost","value":"0.0249"},{"id":17,"name":"Train ID","value":"196-30"},{"id":16,"name":"Locomotive ID","value":"4031"},{"id":130,"name":"Impact","value":""},{"id":150,"name":"Time of Event (Mountain Time)","value":"17:04:31"},{"id":151,"name":"Denver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6"/>
        <v>start /low /b %USERPROFILE%\Documents\GitHub\eaglep3\Utilities\DownloadLogsFromS3.py --loco 4031 --day 2017-10-30</v>
      </c>
      <c r="AN108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8"/>
        <v>https://d0f6bd738d7f1b3e5a7ca70fe4ff75f0.us-east-1.aws.found.io/app/kibana#/discover/Steve-Slow-Train-Analysis-(2080s-and-2083s)?_g=(refreshInterval:(display:Off,pause:!f,section:0,value:0),time:(from:'2017-10-30T15:10:08-0600',mode:absolute,to:'2017-10-30T18:04:31-0600'))&amp;_a=(columns:!('Message%20ID',Summary),filters:!(),index:'emp_*',interval:auto,query:(query_string:(analyze_wildcard:!t,query:'%22rtdc.l.rtdc.4031%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822</v>
      </c>
      <c r="B109" s="7">
        <v>4054</v>
      </c>
      <c r="C109" s="21" t="s">
        <v>194</v>
      </c>
      <c r="D109" s="21" t="s">
        <v>979</v>
      </c>
      <c r="E109" s="13">
        <v>43038.654444444444</v>
      </c>
      <c r="F109" s="13">
        <v>43038.656423611108</v>
      </c>
      <c r="G109" s="7">
        <v>93</v>
      </c>
      <c r="H109" s="21" t="s">
        <v>980</v>
      </c>
      <c r="I109" s="13">
        <v>43038.681527777779</v>
      </c>
      <c r="J109" s="7">
        <v>0</v>
      </c>
      <c r="K109" s="89" t="str">
        <f t="shared" si="32"/>
        <v>4053/4054</v>
      </c>
      <c r="L109" s="185" t="str">
        <f>VLOOKUP(A109,'Trips&amp;Operators'!$C$1:$G$99911,5,FALSE)</f>
        <v>SAFIEF AEIMEN</v>
      </c>
      <c r="M109" s="6">
        <f t="shared" si="33"/>
        <v>2.510416667064419E-2</v>
      </c>
      <c r="N109" s="7">
        <f t="shared" si="50"/>
        <v>36.150000005727634</v>
      </c>
      <c r="O109" s="7"/>
      <c r="P109" s="7"/>
      <c r="Q109" s="22"/>
      <c r="R109" s="174"/>
      <c r="S109" s="221">
        <f t="shared" si="51"/>
        <v>1</v>
      </c>
      <c r="T109" s="174" t="str">
        <f t="shared" si="35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6"/>
        <v>https://d0f6bd738d7f1b3e5a7ca70fe4ff75f0.us-east-1.aws.found.io/app/kibana#/discover/Steve-Slow-Train-Analysis-(2080s-and-2083s)?_g=(refreshInterval:(display:Off,pause:!f,section:0,value:0),time:(from:'2017-10-30T14:42:24-0600',mode:absolute,to:'2017-10-30T17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204" t="str">
        <f>IF(AA109&lt;VLOOKUP(AG109,Variables!$AC$3:$AD$8,2,FALSE),"Y","N")</f>
        <v>N</v>
      </c>
      <c r="X109" s="204">
        <f t="shared" si="49"/>
        <v>1</v>
      </c>
      <c r="Y109" s="204">
        <f t="shared" ref="Y109:Y140" si="52">RIGHT(D109,LEN(D109)-4)/10000</f>
        <v>4.8800000000000003E-2</v>
      </c>
      <c r="Z109" s="204">
        <f t="shared" ref="Z109:Z140" si="53">RIGHT(H109,LEN(H109)-4)/10000</f>
        <v>23.319299999999998</v>
      </c>
      <c r="AA109" s="204">
        <f t="shared" si="39"/>
        <v>23.270499999999998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0"/>
        <v>197</v>
      </c>
      <c r="AE109" s="77" t="str">
        <f t="shared" si="4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109" s="74" t="str">
        <f t="shared" si="42"/>
        <v>"C:\Program Files (x86)\AstroGrep\AstroGrep.exe" /e /r /s /spath="%USERPROFILE%\AppData\Local\Temp\OnboardLogs" /stypes="app*4054*20171030*" /stext=" 22:.+((SYSTEM_STATE.+slice.+state.+changed )|(ment ac)|(multiple cpu faults)|(system.+state.+changed )|(\[timeout)|(PRM\|1\|D)|(kpr)|(kdp)|(train st.+moving)|(\|lc)|(penalty))"</v>
      </c>
      <c r="AG109" s="182" t="str">
        <f t="shared" si="43"/>
        <v>EC</v>
      </c>
      <c r="AH109" s="78" t="str">
        <f t="shared" si="44"/>
        <v>"%USERPROFILE%\Documents\GitHub\eaglep3\Utilities\RefineRTDCRunTimes.py" --tripid 197-30 --locoid 4054 --swversion DE.1.0.9.0 --startMP 204:488 --initTime 2017-10-30T15:42:24 --startdatetime 2017-10-30T15:45:15 --delay 93 --endMP 204:233193 --enddatetime 2017-10-30T16:21:24 --enforcementcount 0 &gt;&gt;%USERPROFILE%\Documents\GitHub\eaglep3-reporting\EC\2017-10-30-refined-times.txt</v>
      </c>
      <c r="AI10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{"issue":{"subject":"","project_id":79,"tracker_id":40,"status_id":1,"priority_id":2,"assigned_to_id":338,"start_date":"2017-10-30","description":"","custom_fields":[{"id":1,"name":"Subdivision","value":"EC"},{"id":4,"name":"Milepost","value":"23.3193"},{"id":17,"name":"Train ID","value":"197-30"},{"id":16,"name":"Locomotive ID","value":"4054"},{"id":130,"name":"Impact","value":""},{"id":150,"name":"Time of Event (Mountain Time)","value":"16:21:24"},{"id":151,"name":"Denver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6"/>
        <v>start /low /b %USERPROFILE%\Documents\GitHub\eaglep3\Utilities\DownloadLogsFromS3.py --loco 4054 --day 2017-10-30</v>
      </c>
      <c r="AN109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8"/>
        <v>https://d0f6bd738d7f1b3e5a7ca70fe4ff75f0.us-east-1.aws.found.io/app/kibana#/discover/Steve-Slow-Train-Analysis-(2080s-and-2083s)?_g=(refreshInterval:(display:Off,pause:!f,section:0,value:0),time:(from:'2017-10-30T14:42:24-0600',mode:absolute,to:'2017-10-30T17:21:24-0600'))&amp;_a=(columns:!('Message%20ID',Summary),filters:!(),index:'emp_*',interval:auto,query:(query_string:(analyze_wildcard:!t,query:'%22rtdc.l.rtdc.4054%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831</v>
      </c>
      <c r="B110" s="7">
        <v>4053</v>
      </c>
      <c r="C110" s="21" t="s">
        <v>194</v>
      </c>
      <c r="D110" s="21" t="s">
        <v>474</v>
      </c>
      <c r="E110" s="13">
        <v>43038.683310185188</v>
      </c>
      <c r="F110" s="13">
        <v>43038.696087962962</v>
      </c>
      <c r="G110" s="7">
        <v>77</v>
      </c>
      <c r="H110" s="21" t="s">
        <v>971</v>
      </c>
      <c r="I110" s="13">
        <v>43038.722581018519</v>
      </c>
      <c r="J110" s="7">
        <v>0</v>
      </c>
      <c r="K110" s="89" t="str">
        <f t="shared" si="32"/>
        <v>4053/4054</v>
      </c>
      <c r="L110" s="185" t="str">
        <f>VLOOKUP(A110,'Trips&amp;Operators'!$C$1:$G$99911,5,FALSE)</f>
        <v>SAFIEF AEIMEN</v>
      </c>
      <c r="M110" s="6">
        <f t="shared" si="33"/>
        <v>2.6493055556784384E-2</v>
      </c>
      <c r="N110" s="7">
        <f t="shared" si="50"/>
        <v>38.150000001769513</v>
      </c>
      <c r="O110" s="7"/>
      <c r="P110" s="7"/>
      <c r="Q110" s="22"/>
      <c r="R110" s="174"/>
      <c r="S110" s="221">
        <f t="shared" si="51"/>
        <v>1</v>
      </c>
      <c r="T110" s="174" t="str">
        <f t="shared" si="35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6"/>
        <v>https://d0f6bd738d7f1b3e5a7ca70fe4ff75f0.us-east-1.aws.found.io/app/kibana#/discover/Steve-Slow-Train-Analysis-(2080s-and-2083s)?_g=(refreshInterval:(display:Off,pause:!f,section:0,value:0),time:(from:'2017-10-30T15:23:58-0600',mode:absolute,to:'2017-10-30T18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204" t="str">
        <f>IF(AA110&lt;VLOOKUP(AG110,Variables!$AC$3:$AD$8,2,FALSE),"Y","N")</f>
        <v>N</v>
      </c>
      <c r="X110" s="204">
        <f t="shared" si="49"/>
        <v>1</v>
      </c>
      <c r="Y110" s="204">
        <f t="shared" si="52"/>
        <v>23.2879</v>
      </c>
      <c r="Z110" s="204">
        <f t="shared" si="53"/>
        <v>2.2100000000000002E-2</v>
      </c>
      <c r="AA110" s="204">
        <f t="shared" si="39"/>
        <v>23.265800000000002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0"/>
        <v>198</v>
      </c>
      <c r="AE110" s="77" t="str">
        <f t="shared" si="4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110" s="74" t="str">
        <f t="shared" si="42"/>
        <v>"C:\Program Files (x86)\AstroGrep\AstroGrep.exe" /e /r /s /spath="%USERPROFILE%\AppData\Local\Temp\OnboardLogs" /stypes="app*4053*20171030*" /stext=" 23:.+((SYSTEM_STATE.+slice.+state.+changed )|(ment ac)|(multiple cpu faults)|(system.+state.+changed )|(\[timeout)|(PRM\|1\|D)|(kpr)|(kdp)|(train st.+moving)|(\|lc)|(penalty))"</v>
      </c>
      <c r="AG110" s="182" t="str">
        <f t="shared" si="43"/>
        <v>EC</v>
      </c>
      <c r="AH110" s="78" t="str">
        <f t="shared" si="44"/>
        <v>"%USERPROFILE%\Documents\GitHub\eaglep3\Utilities\RefineRTDCRunTimes.py" --tripid 198-30 --locoid 4053 --swversion DE.1.0.9.0 --startMP 204:232879 --initTime 2017-10-30T16:23:58 --startdatetime 2017-10-30T16:42:22 --delay 77 --endMP 204:221 --enddatetime 2017-10-30T17:20:31 --enforcementcount 0 &gt;&gt;%USERPROFILE%\Documents\GitHub\eaglep3-reporting\EC\2017-10-30-refined-times.txt</v>
      </c>
      <c r="AI11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{"issue":{"subject":"","project_id":79,"tracker_id":40,"status_id":1,"priority_id":2,"assigned_to_id":338,"start_date":"2017-10-30","description":"","custom_fields":[{"id":1,"name":"Subdivision","value":"EC"},{"id":4,"name":"Milepost","value":"0.0221"},{"id":17,"name":"Train ID","value":"198-30"},{"id":16,"name":"Locomotive ID","value":"4053"},{"id":130,"name":"Impact","value":""},{"id":150,"name":"Time of Event (Mountain Time)","value":"17:20:31"},{"id":151,"name":"Denver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6"/>
        <v>start /low /b %USERPROFILE%\Documents\GitHub\eaglep3\Utilities\DownloadLogsFromS3.py --loco 4053 --day 2017-10-30</v>
      </c>
      <c r="AN110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8"/>
        <v>https://d0f6bd738d7f1b3e5a7ca70fe4ff75f0.us-east-1.aws.found.io/app/kibana#/discover/Steve-Slow-Train-Analysis-(2080s-and-2083s)?_g=(refreshInterval:(display:Off,pause:!f,section:0,value:0),time:(from:'2017-10-30T15:23:58-0600',mode:absolute,to:'2017-10-30T18:20:31-0600'))&amp;_a=(columns:!('Message%20ID',Summary),filters:!(),index:'emp_*',interval:auto,query:(query_string:(analyze_wildcard:!t,query:'%22rtdc.l.rtdc.4053%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824</v>
      </c>
      <c r="B111" s="7">
        <v>4024</v>
      </c>
      <c r="C111" s="21" t="s">
        <v>194</v>
      </c>
      <c r="D111" s="21" t="s">
        <v>981</v>
      </c>
      <c r="E111" s="13">
        <v>43038.661944444444</v>
      </c>
      <c r="F111" s="13">
        <v>43038.667025462964</v>
      </c>
      <c r="G111" s="7">
        <v>80</v>
      </c>
      <c r="H111" s="21" t="s">
        <v>982</v>
      </c>
      <c r="I111" s="13">
        <v>43038.692511574074</v>
      </c>
      <c r="J111" s="7">
        <v>0</v>
      </c>
      <c r="K111" s="89" t="str">
        <f t="shared" si="32"/>
        <v>4023/4024</v>
      </c>
      <c r="L111" s="185" t="str">
        <f>VLOOKUP(A111,'Trips&amp;Operators'!$C$1:$G$99911,5,FALSE)</f>
        <v>BADERTSCHER DIANE</v>
      </c>
      <c r="M111" s="6">
        <f t="shared" si="33"/>
        <v>2.548611110978527E-2</v>
      </c>
      <c r="N111" s="7">
        <f t="shared" si="50"/>
        <v>36.699999998090789</v>
      </c>
      <c r="O111" s="7"/>
      <c r="P111" s="7"/>
      <c r="Q111" s="22"/>
      <c r="R111" s="174"/>
      <c r="S111" s="221">
        <f t="shared" si="51"/>
        <v>1</v>
      </c>
      <c r="T111" s="174" t="str">
        <f t="shared" si="35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6"/>
        <v>https://d0f6bd738d7f1b3e5a7ca70fe4ff75f0.us-east-1.aws.found.io/app/kibana#/discover/Steve-Slow-Train-Analysis-(2080s-and-2083s)?_g=(refreshInterval:(display:Off,pause:!f,section:0,value:0),time:(from:'2017-10-30T14:53:12-0600',mode:absolute,to:'2017-10-30T17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204" t="str">
        <f>IF(AA111&lt;VLOOKUP(AG111,Variables!$AC$3:$AD$8,2,FALSE),"Y","N")</f>
        <v>N</v>
      </c>
      <c r="X111" s="204">
        <f t="shared" si="49"/>
        <v>1</v>
      </c>
      <c r="Y111" s="204">
        <f t="shared" si="52"/>
        <v>4.9700000000000001E-2</v>
      </c>
      <c r="Z111" s="204">
        <f t="shared" si="53"/>
        <v>23.3187</v>
      </c>
      <c r="AA111" s="204">
        <f t="shared" si="39"/>
        <v>23.268999999999998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0"/>
        <v>199</v>
      </c>
      <c r="AE111" s="77" t="str">
        <f t="shared" si="4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11" s="74" t="str">
        <f t="shared" si="42"/>
        <v>"C:\Program Files (x86)\AstroGrep\AstroGrep.exe" /e /r /s /spath="%USERPROFILE%\AppData\Local\Temp\OnboardLogs" /stypes="app*4024*20171030*" /stext=" 22:.+((SYSTEM_STATE.+slice.+state.+changed )|(ment ac)|(multiple cpu faults)|(system.+state.+changed )|(\[timeout)|(PRM\|1\|D)|(kpr)|(kdp)|(train st.+moving)|(\|lc)|(penalty))"</v>
      </c>
      <c r="AG111" s="182" t="str">
        <f t="shared" si="43"/>
        <v>EC</v>
      </c>
      <c r="AH111" s="78" t="str">
        <f t="shared" si="44"/>
        <v>"%USERPROFILE%\Documents\GitHub\eaglep3\Utilities\RefineRTDCRunTimes.py" --tripid 199-30 --locoid 4024 --swversion DE.1.0.9.0 --startMP 204:497 --initTime 2017-10-30T15:53:12 --startdatetime 2017-10-30T16:00:31 --delay 80 --endMP 204:233187 --enddatetime 2017-10-30T16:37:13 --enforcementcount 0 &gt;&gt;%USERPROFILE%\Documents\GitHub\eaglep3-reporting\EC\2017-10-30-refined-times.txt</v>
      </c>
      <c r="AI11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{"issue":{"subject":"","project_id":79,"tracker_id":40,"status_id":1,"priority_id":2,"assigned_to_id":338,"start_date":"2017-10-30","description":"","custom_fields":[{"id":1,"name":"Subdivision","value":"EC"},{"id":4,"name":"Milepost","value":"23.3187"},{"id":17,"name":"Train ID","value":"199-30"},{"id":16,"name":"Locomotive ID","value":"4024"},{"id":130,"name":"Impact","value":""},{"id":150,"name":"Time of Event (Mountain Time)","value":"16:37:13"},{"id":151,"name":"Denver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6"/>
        <v>start /low /b %USERPROFILE%\Documents\GitHub\eaglep3\Utilities\DownloadLogsFromS3.py --loco 4024 --day 2017-10-30</v>
      </c>
      <c r="AN111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8"/>
        <v>https://d0f6bd738d7f1b3e5a7ca70fe4ff75f0.us-east-1.aws.found.io/app/kibana#/discover/Steve-Slow-Train-Analysis-(2080s-and-2083s)?_g=(refreshInterval:(display:Off,pause:!f,section:0,value:0),time:(from:'2017-10-30T14:53:12-0600',mode:absolute,to:'2017-10-30T17:37:13-0600'))&amp;_a=(columns:!('Message%20ID',Summary),filters:!(),index:'emp_*',interval:auto,query:(query_string:(analyze_wildcard:!t,query:'%22rtdc.l.rtdc.4024%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834</v>
      </c>
      <c r="B112" s="7">
        <v>4023</v>
      </c>
      <c r="C112" s="21" t="s">
        <v>194</v>
      </c>
      <c r="D112" s="21" t="s">
        <v>983</v>
      </c>
      <c r="E112" s="13">
        <v>43038.698680555557</v>
      </c>
      <c r="F112" s="13">
        <v>43038.706493055557</v>
      </c>
      <c r="G112" s="7">
        <v>52</v>
      </c>
      <c r="H112" s="21" t="s">
        <v>522</v>
      </c>
      <c r="I112" s="13">
        <v>43038.734305555554</v>
      </c>
      <c r="J112" s="7">
        <v>0</v>
      </c>
      <c r="K112" s="89" t="str">
        <f t="shared" si="32"/>
        <v>4023/4024</v>
      </c>
      <c r="L112" s="185" t="str">
        <f>VLOOKUP(A112,'Trips&amp;Operators'!$C$1:$G$99911,5,FALSE)</f>
        <v>BADERTSCHER DIANE</v>
      </c>
      <c r="M112" s="6">
        <f t="shared" si="33"/>
        <v>2.7812499996798579E-2</v>
      </c>
      <c r="N112" s="7">
        <f t="shared" si="50"/>
        <v>40.049999995389953</v>
      </c>
      <c r="O112" s="7"/>
      <c r="P112" s="7"/>
      <c r="Q112" s="22"/>
      <c r="R112" s="174"/>
      <c r="S112" s="221">
        <f t="shared" si="51"/>
        <v>1</v>
      </c>
      <c r="T112" s="174" t="str">
        <f t="shared" si="35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6"/>
        <v>https://d0f6bd738d7f1b3e5a7ca70fe4ff75f0.us-east-1.aws.found.io/app/kibana#/discover/Steve-Slow-Train-Analysis-(2080s-and-2083s)?_g=(refreshInterval:(display:Off,pause:!f,section:0,value:0),time:(from:'2017-10-30T15:46:06-0600',mode:absolute,to:'2017-10-30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204" t="str">
        <f>IF(AA112&lt;VLOOKUP(AG112,Variables!$AC$3:$AD$8,2,FALSE),"Y","N")</f>
        <v>N</v>
      </c>
      <c r="X112" s="204">
        <f t="shared" si="49"/>
        <v>1</v>
      </c>
      <c r="Y112" s="204">
        <f t="shared" si="52"/>
        <v>23.285499999999999</v>
      </c>
      <c r="Z112" s="204">
        <f t="shared" si="53"/>
        <v>2.1999999999999999E-2</v>
      </c>
      <c r="AA112" s="204">
        <f t="shared" si="39"/>
        <v>23.263500000000001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0"/>
        <v>200</v>
      </c>
      <c r="AE112" s="77" t="str">
        <f t="shared" si="4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112" s="74" t="str">
        <f t="shared" si="42"/>
        <v>"C:\Program Files (x86)\AstroGrep\AstroGrep.exe" /e /r /s /spath="%USERPROFILE%\AppData\Local\Temp\OnboardLogs" /stypes="app*4023*20171030*" /stext=" 23:.+((SYSTEM_STATE.+slice.+state.+changed )|(ment ac)|(multiple cpu faults)|(system.+state.+changed )|(\[timeout)|(PRM\|1\|D)|(kpr)|(kdp)|(train st.+moving)|(\|lc)|(penalty))"</v>
      </c>
      <c r="AG112" s="182" t="str">
        <f t="shared" si="43"/>
        <v>EC</v>
      </c>
      <c r="AH112" s="78" t="str">
        <f t="shared" si="44"/>
        <v>"%USERPROFILE%\Documents\GitHub\eaglep3\Utilities\RefineRTDCRunTimes.py" --tripid 200-30 --locoid 4023 --swversion DE.1.0.9.0 --startMP 204:232855 --initTime 2017-10-30T16:46:06 --startdatetime 2017-10-30T16:57:21 --delay 52 --endMP 204:220 --enddatetime 2017-10-30T17:37:24 --enforcementcount 0 &gt;&gt;%USERPROFILE%\Documents\GitHub\eaglep3-reporting\EC\2017-10-30-refined-times.txt</v>
      </c>
      <c r="AI11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{"issue":{"subject":"","project_id":79,"tracker_id":40,"status_id":1,"priority_id":2,"assigned_to_id":338,"start_date":"2017-10-30","description":"","custom_fields":[{"id":1,"name":"Subdivision","value":"EC"},{"id":4,"name":"Milepost","value":"0.022"},{"id":17,"name":"Train ID","value":"200-30"},{"id":16,"name":"Locomotive ID","value":"4023"},{"id":130,"name":"Impact","value":""},{"id":150,"name":"Time of Event (Mountain Time)","value":"17:37:24"},{"id":151,"name":"Denver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6"/>
        <v>start /low /b %USERPROFILE%\Documents\GitHub\eaglep3\Utilities\DownloadLogsFromS3.py --loco 4023 --day 2017-10-30</v>
      </c>
      <c r="AN112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8"/>
        <v>https://d0f6bd738d7f1b3e5a7ca70fe4ff75f0.us-east-1.aws.found.io/app/kibana#/discover/Steve-Slow-Train-Analysis-(2080s-and-2083s)?_g=(refreshInterval:(display:Off,pause:!f,section:0,value:0),time:(from:'2017-10-30T15:46:06-0600',mode:absolute,to:'2017-10-30T18:37:24-0600'))&amp;_a=(columns:!('Message%20ID',Summary),filters:!(),index:'emp_*',interval:auto,query:(query_string:(analyze_wildcard:!t,query:'%22rtdc.l.rtdc.4023%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829</v>
      </c>
      <c r="B113" s="7">
        <v>4002</v>
      </c>
      <c r="C113" s="21" t="s">
        <v>194</v>
      </c>
      <c r="D113" s="21" t="s">
        <v>533</v>
      </c>
      <c r="E113" s="13">
        <v>43038.673946759256</v>
      </c>
      <c r="F113" s="13">
        <v>43038.677430555559</v>
      </c>
      <c r="G113" s="7">
        <v>79</v>
      </c>
      <c r="H113" s="21" t="s">
        <v>915</v>
      </c>
      <c r="I113" s="13">
        <v>43038.706562500003</v>
      </c>
      <c r="J113" s="7">
        <v>0</v>
      </c>
      <c r="K113" s="89" t="str">
        <f t="shared" si="32"/>
        <v>4001/4002</v>
      </c>
      <c r="L113" s="185" t="str">
        <f>VLOOKUP(A113,'Trips&amp;Operators'!$C$1:$G$99911,5,FALSE)</f>
        <v>STRICKLAND EVAN</v>
      </c>
      <c r="M113" s="6">
        <f t="shared" si="33"/>
        <v>2.9131944444088731E-2</v>
      </c>
      <c r="N113" s="7">
        <f t="shared" si="50"/>
        <v>41.949999999487773</v>
      </c>
      <c r="O113" s="7"/>
      <c r="P113" s="7"/>
      <c r="Q113" s="22"/>
      <c r="R113" s="174"/>
      <c r="S113" s="221">
        <f t="shared" si="51"/>
        <v>1</v>
      </c>
      <c r="T113" s="174" t="str">
        <f t="shared" si="35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6"/>
        <v>https://d0f6bd738d7f1b3e5a7ca70fe4ff75f0.us-east-1.aws.found.io/app/kibana#/discover/Steve-Slow-Train-Analysis-(2080s-and-2083s)?_g=(refreshInterval:(display:Off,pause:!f,section:0,value:0),time:(from:'2017-10-30T15:10:29-0600',mode:absolute,to:'2017-10-30T17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04" t="str">
        <f>IF(AA113&lt;VLOOKUP(AG113,Variables!$AC$3:$AD$8,2,FALSE),"Y","N")</f>
        <v>N</v>
      </c>
      <c r="X113" s="204">
        <f t="shared" si="49"/>
        <v>1</v>
      </c>
      <c r="Y113" s="204">
        <f t="shared" si="52"/>
        <v>5.3499999999999999E-2</v>
      </c>
      <c r="Z113" s="204">
        <f t="shared" si="53"/>
        <v>23.3188</v>
      </c>
      <c r="AA113" s="204">
        <f t="shared" si="39"/>
        <v>23.2653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0"/>
        <v>201</v>
      </c>
      <c r="AE113" s="77" t="str">
        <f t="shared" si="4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113" s="74" t="str">
        <f t="shared" si="42"/>
        <v>"C:\Program Files (x86)\AstroGrep\AstroGrep.exe" /e /r /s /spath="%USERPROFILE%\AppData\Local\Temp\OnboardLogs" /stypes="app*4002*20171030*" /stext=" 22:.+((SYSTEM_STATE.+slice.+state.+changed )|(ment ac)|(multiple cpu faults)|(system.+state.+changed )|(\[timeout)|(PRM\|1\|D)|(kpr)|(kdp)|(train st.+moving)|(\|lc)|(penalty))"</v>
      </c>
      <c r="AG113" s="182" t="str">
        <f t="shared" si="43"/>
        <v>EC</v>
      </c>
      <c r="AH113" s="78" t="str">
        <f t="shared" si="44"/>
        <v>"%USERPROFILE%\Documents\GitHub\eaglep3\Utilities\RefineRTDCRunTimes.py" --tripid 201-30 --locoid 4002 --swversion DE.1.0.9.0 --startMP 204:535 --initTime 2017-10-30T16:10:29 --startdatetime 2017-10-30T16:15:30 --delay 79 --endMP 204:233188 --enddatetime 2017-10-30T16:57:27 --enforcementcount 0 &gt;&gt;%USERPROFILE%\Documents\GitHub\eaglep3-reporting\EC\2017-10-30-refined-times.txt</v>
      </c>
      <c r="AI11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{"issue":{"subject":"","project_id":79,"tracker_id":40,"status_id":1,"priority_id":2,"assigned_to_id":338,"start_date":"2017-10-30","description":"","custom_fields":[{"id":1,"name":"Subdivision","value":"EC"},{"id":4,"name":"Milepost","value":"23.3188"},{"id":17,"name":"Train ID","value":"201-30"},{"id":16,"name":"Locomotive ID","value":"4002"},{"id":130,"name":"Impact","value":""},{"id":150,"name":"Time of Event (Mountain Time)","value":"16:57:27"},{"id":151,"name":"Denver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6"/>
        <v>start /low /b %USERPROFILE%\Documents\GitHub\eaglep3\Utilities\DownloadLogsFromS3.py --loco 4002 --day 2017-10-30</v>
      </c>
      <c r="AN113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8"/>
        <v>https://d0f6bd738d7f1b3e5a7ca70fe4ff75f0.us-east-1.aws.found.io/app/kibana#/discover/Steve-Slow-Train-Analysis-(2080s-and-2083s)?_g=(refreshInterval:(display:Off,pause:!f,section:0,value:0),time:(from:'2017-10-30T15:10:29-0600',mode:absolute,to:'2017-10-30T17:57:27-0600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837</v>
      </c>
      <c r="B114" s="7">
        <v>4001</v>
      </c>
      <c r="C114" s="21" t="s">
        <v>194</v>
      </c>
      <c r="D114" s="21" t="s">
        <v>916</v>
      </c>
      <c r="E114" s="13">
        <v>43038.714189814818</v>
      </c>
      <c r="F114" s="13">
        <v>43038.716898148145</v>
      </c>
      <c r="G114" s="7">
        <v>62</v>
      </c>
      <c r="H114" s="21" t="s">
        <v>984</v>
      </c>
      <c r="I114" s="13">
        <v>43038.744201388887</v>
      </c>
      <c r="J114" s="7">
        <v>0</v>
      </c>
      <c r="K114" s="89" t="str">
        <f t="shared" si="32"/>
        <v>4001/4002</v>
      </c>
      <c r="L114" s="185" t="str">
        <f>VLOOKUP(A114,'Trips&amp;Operators'!$C$1:$G$99911,5,FALSE)</f>
        <v>STRICKLAND EVAN</v>
      </c>
      <c r="M114" s="6">
        <f t="shared" si="33"/>
        <v>2.7303240742185153E-2</v>
      </c>
      <c r="N114" s="7">
        <f t="shared" si="50"/>
        <v>39.31666666874662</v>
      </c>
      <c r="O114" s="7"/>
      <c r="P114" s="7"/>
      <c r="Q114" s="22"/>
      <c r="R114" s="174"/>
      <c r="S114" s="221">
        <f t="shared" si="51"/>
        <v>1</v>
      </c>
      <c r="T114" s="174" t="str">
        <f t="shared" si="35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6"/>
        <v>https://d0f6bd738d7f1b3e5a7ca70fe4ff75f0.us-east-1.aws.found.io/app/kibana#/discover/Steve-Slow-Train-Analysis-(2080s-and-2083s)?_g=(refreshInterval:(display:Off,pause:!f,section:0,value:0),time:(from:'2017-10-30T16:08:26-0600',mode:absolute,to:'2017-10-30T18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04" t="str">
        <f>IF(AA114&lt;VLOOKUP(AG114,Variables!$AC$3:$AD$8,2,FALSE),"Y","N")</f>
        <v>N</v>
      </c>
      <c r="X114" s="204">
        <f t="shared" si="49"/>
        <v>1</v>
      </c>
      <c r="Y114" s="204">
        <f t="shared" si="52"/>
        <v>23.287099999999999</v>
      </c>
      <c r="Z114" s="204">
        <f t="shared" si="53"/>
        <v>2.4299999999999999E-2</v>
      </c>
      <c r="AA114" s="204">
        <f t="shared" si="39"/>
        <v>23.262799999999999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0"/>
        <v>202</v>
      </c>
      <c r="AE114" s="77" t="str">
        <f t="shared" si="4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114" s="74" t="str">
        <f t="shared" si="42"/>
        <v>"C:\Program Files (x86)\AstroGrep\AstroGrep.exe" /e /r /s /spath="%USERPROFILE%\AppData\Local\Temp\OnboardLogs" /stypes="app*4001*20171030*" /stext=" 23:.+((SYSTEM_STATE.+slice.+state.+changed )|(ment ac)|(multiple cpu faults)|(system.+state.+changed )|(\[timeout)|(PRM\|1\|D)|(kpr)|(kdp)|(train st.+moving)|(\|lc)|(penalty))"</v>
      </c>
      <c r="AG114" s="182" t="str">
        <f t="shared" si="43"/>
        <v>EC</v>
      </c>
      <c r="AH114" s="78" t="str">
        <f t="shared" si="44"/>
        <v>"%USERPROFILE%\Documents\GitHub\eaglep3\Utilities\RefineRTDCRunTimes.py" --tripid 202-30 --locoid 4001 --swversion DE.1.0.9.0 --startMP 204:232871 --initTime 2017-10-30T17:08:26 --startdatetime 2017-10-30T17:12:20 --delay 62 --endMP 204:243 --enddatetime 2017-10-30T17:51:39 --enforcementcount 0 &gt;&gt;%USERPROFILE%\Documents\GitHub\eaglep3-reporting\EC\2017-10-30-refined-times.txt</v>
      </c>
      <c r="AI11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{"issue":{"subject":"","project_id":79,"tracker_id":40,"status_id":1,"priority_id":2,"assigned_to_id":338,"start_date":"2017-10-30","description":"","custom_fields":[{"id":1,"name":"Subdivision","value":"EC"},{"id":4,"name":"Milepost","value":"0.0243"},{"id":17,"name":"Train ID","value":"202-30"},{"id":16,"name":"Locomotive ID","value":"4001"},{"id":130,"name":"Impact","value":""},{"id":150,"name":"Time of Event (Mountain Time)","value":"17:51:39"},{"id":151,"name":"Denver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6"/>
        <v>start /low /b %USERPROFILE%\Documents\GitHub\eaglep3\Utilities\DownloadLogsFromS3.py --loco 4001 --day 2017-10-30</v>
      </c>
      <c r="AN114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8"/>
        <v>https://d0f6bd738d7f1b3e5a7ca70fe4ff75f0.us-east-1.aws.found.io/app/kibana#/discover/Steve-Slow-Train-Analysis-(2080s-and-2083s)?_g=(refreshInterval:(display:Off,pause:!f,section:0,value:0),time:(from:'2017-10-30T16:08:26-0600',mode:absolute,to:'2017-10-30T18:51:39-0600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830</v>
      </c>
      <c r="B115" s="7">
        <v>4050</v>
      </c>
      <c r="C115" s="21" t="s">
        <v>194</v>
      </c>
      <c r="D115" s="21" t="s">
        <v>531</v>
      </c>
      <c r="E115" s="13">
        <v>43038.682511574072</v>
      </c>
      <c r="F115" s="13">
        <v>43038.68787037037</v>
      </c>
      <c r="G115" s="7">
        <v>105</v>
      </c>
      <c r="H115" s="21" t="s">
        <v>591</v>
      </c>
      <c r="I115" s="13">
        <v>43038.714456018519</v>
      </c>
      <c r="J115" s="7">
        <v>0</v>
      </c>
      <c r="K115" s="89" t="str">
        <f t="shared" si="32"/>
        <v>4049/4050</v>
      </c>
      <c r="L115" s="185" t="str">
        <f>VLOOKUP(A115,'Trips&amp;Operators'!$C$1:$G$99911,5,FALSE)</f>
        <v>DAVIS MICHAEL</v>
      </c>
      <c r="M115" s="6">
        <f t="shared" si="33"/>
        <v>2.658564814919373E-2</v>
      </c>
      <c r="N115" s="7">
        <f t="shared" si="50"/>
        <v>38.283333334838971</v>
      </c>
      <c r="O115" s="7"/>
      <c r="P115" s="7"/>
      <c r="Q115" s="22"/>
      <c r="R115" s="174"/>
      <c r="S115" s="221">
        <f t="shared" si="51"/>
        <v>1</v>
      </c>
      <c r="T115" s="174" t="str">
        <f t="shared" si="35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6"/>
        <v>https://d0f6bd738d7f1b3e5a7ca70fe4ff75f0.us-east-1.aws.found.io/app/kibana#/discover/Steve-Slow-Train-Analysis-(2080s-and-2083s)?_g=(refreshInterval:(display:Off,pause:!f,section:0,value:0),time:(from:'2017-10-30T15:22:49-0600',mode:absolute,to:'2017-10-30T18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N</v>
      </c>
      <c r="X115" s="204">
        <f t="shared" si="49"/>
        <v>1</v>
      </c>
      <c r="Y115" s="204">
        <f t="shared" si="52"/>
        <v>5.1499999999999997E-2</v>
      </c>
      <c r="Z115" s="204">
        <f t="shared" si="53"/>
        <v>23.322900000000001</v>
      </c>
      <c r="AA115" s="204">
        <f t="shared" si="39"/>
        <v>23.2714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0"/>
        <v>203</v>
      </c>
      <c r="AE115" s="77" t="str">
        <f t="shared" si="41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15" s="74" t="str">
        <f t="shared" si="42"/>
        <v>"C:\Program Files (x86)\AstroGrep\AstroGrep.exe" /e /r /s /spath="%USERPROFILE%\AppData\Local\Temp\OnboardLogs" /stypes="app*4050*20171030*" /stext=" 23:.+((SYSTEM_STATE.+slice.+state.+changed )|(ment ac)|(multiple cpu faults)|(system.+state.+changed )|(\[timeout)|(PRM\|1\|D)|(kpr)|(kdp)|(train st.+moving)|(\|lc)|(penalty))"</v>
      </c>
      <c r="AG115" s="182" t="str">
        <f t="shared" si="43"/>
        <v>EC</v>
      </c>
      <c r="AH115" s="78" t="str">
        <f t="shared" si="44"/>
        <v>"%USERPROFILE%\Documents\GitHub\eaglep3\Utilities\RefineRTDCRunTimes.py" --tripid 203-30 --locoid 4050 --swversion DE.1.0.9.0 --startMP 204:515 --initTime 2017-10-30T16:22:49 --startdatetime 2017-10-30T16:30:32 --delay 105 --endMP 204:233229 --enddatetime 2017-10-30T17:08:49 --enforcementcount 0 &gt;&gt;%USERPROFILE%\Documents\GitHub\eaglep3-reporting\EC\2017-10-30-refined-times.txt</v>
      </c>
      <c r="AI11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{"issue":{"subject":"","project_id":79,"tracker_id":40,"status_id":1,"priority_id":2,"assigned_to_id":338,"start_date":"2017-10-30","description":"","custom_fields":[{"id":1,"name":"Subdivision","value":"EC"},{"id":4,"name":"Milepost","value":"23.3229"},{"id":17,"name":"Train ID","value":"203-30"},{"id":16,"name":"Locomotive ID","value":"4050"},{"id":130,"name":"Impact","value":""},{"id":150,"name":"Time of Event (Mountain Time)","value":"17:08:49"},{"id":151,"name":"Denver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6"/>
        <v>start /low /b %USERPROFILE%\Documents\GitHub\eaglep3\Utilities\DownloadLogsFromS3.py --loco 4050 --day 2017-10-30</v>
      </c>
      <c r="AN115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8"/>
        <v>https://d0f6bd738d7f1b3e5a7ca70fe4ff75f0.us-east-1.aws.found.io/app/kibana#/discover/Steve-Slow-Train-Analysis-(2080s-and-2083s)?_g=(refreshInterval:(display:Off,pause:!f,section:0,value:0),time:(from:'2017-10-30T15:22:49-0600',mode:absolute,to:'2017-10-30T18:08:49-0600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841</v>
      </c>
      <c r="B116" s="7">
        <v>4049</v>
      </c>
      <c r="C116" s="21" t="s">
        <v>194</v>
      </c>
      <c r="D116" s="21" t="s">
        <v>949</v>
      </c>
      <c r="E116" s="13">
        <v>43038.726261574076</v>
      </c>
      <c r="F116" s="13">
        <v>43038.727754629632</v>
      </c>
      <c r="G116" s="7">
        <v>64</v>
      </c>
      <c r="H116" s="21" t="s">
        <v>486</v>
      </c>
      <c r="I116" s="13">
        <v>43038.756226851852</v>
      </c>
      <c r="J116" s="7">
        <v>0</v>
      </c>
      <c r="K116" s="89" t="str">
        <f t="shared" si="32"/>
        <v>4049/4050</v>
      </c>
      <c r="L116" s="185" t="str">
        <f>VLOOKUP(A116,'Trips&amp;Operators'!$C$1:$G$99911,5,FALSE)</f>
        <v>DAVIS MICHAEL</v>
      </c>
      <c r="M116" s="6">
        <f t="shared" si="33"/>
        <v>2.8472222220443655E-2</v>
      </c>
      <c r="N116" s="7">
        <f t="shared" si="50"/>
        <v>40.999999997438863</v>
      </c>
      <c r="O116" s="7"/>
      <c r="P116" s="7"/>
      <c r="Q116" s="22"/>
      <c r="R116" s="174"/>
      <c r="S116" s="221">
        <f t="shared" si="51"/>
        <v>1</v>
      </c>
      <c r="T116" s="174" t="str">
        <f t="shared" si="35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6"/>
        <v>https://d0f6bd738d7f1b3e5a7ca70fe4ff75f0.us-east-1.aws.found.io/app/kibana#/discover/Steve-Slow-Train-Analysis-(2080s-and-2083s)?_g=(refreshInterval:(display:Off,pause:!f,section:0,value:0),time:(from:'2017-10-30T16:25:49-0600',mode:absolute,to:'2017-10-30T19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04" t="str">
        <f>IF(AA116&lt;VLOOKUP(AG116,Variables!$AC$3:$AD$8,2,FALSE),"Y","N")</f>
        <v>N</v>
      </c>
      <c r="X116" s="204">
        <f t="shared" si="49"/>
        <v>1</v>
      </c>
      <c r="Y116" s="204">
        <f t="shared" si="52"/>
        <v>23.2898</v>
      </c>
      <c r="Z116" s="204">
        <f t="shared" si="53"/>
        <v>2.1100000000000001E-2</v>
      </c>
      <c r="AA116" s="204">
        <f t="shared" si="39"/>
        <v>23.268699999999999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0"/>
        <v>204</v>
      </c>
      <c r="AE116" s="77" t="str">
        <f t="shared" si="41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116" s="74" t="str">
        <f t="shared" si="42"/>
        <v>"C:\Program Files (x86)\AstroGrep\AstroGrep.exe" /e /r /s /spath="%USERPROFILE%\AppData\Local\Temp\OnboardLogs" /stypes="app*4049*20171031*" /stext=" 00:.+((SYSTEM_STATE.+slice.+state.+changed )|(ment ac)|(multiple cpu faults)|(system.+state.+changed )|(\[timeout)|(PRM\|1\|D)|(kpr)|(kdp)|(train st.+moving)|(\|lc)|(penalty))"</v>
      </c>
      <c r="AG116" s="182" t="str">
        <f t="shared" si="43"/>
        <v>EC</v>
      </c>
      <c r="AH116" s="78" t="str">
        <f t="shared" si="44"/>
        <v>"%USERPROFILE%\Documents\GitHub\eaglep3\Utilities\RefineRTDCRunTimes.py" --tripid 204-30 --locoid 4049 --swversion DE.1.0.9.0 --startMP 204:232898 --initTime 2017-10-30T17:25:49 --startdatetime 2017-10-30T17:27:58 --delay 64 --endMP 204:211 --enddatetime 2017-10-30T18:08:58 --enforcementcount 0 &gt;&gt;%USERPROFILE%\Documents\GitHub\eaglep3-reporting\EC\2017-10-30-refined-times.txt</v>
      </c>
      <c r="AI11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{"issue":{"subject":"","project_id":79,"tracker_id":40,"status_id":1,"priority_id":2,"assigned_to_id":338,"start_date":"2017-10-30","description":"","custom_fields":[{"id":1,"name":"Subdivision","value":"EC"},{"id":4,"name":"Milepost","value":"0.0211"},{"id":17,"name":"Train ID","value":"204-30"},{"id":16,"name":"Locomotive ID","value":"4049"},{"id":130,"name":"Impact","value":""},{"id":150,"name":"Time of Event (Mountain Time)","value":"18:08:58"},{"id":151,"name":"Denver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6"/>
        <v>start /low /b %USERPROFILE%\Documents\GitHub\eaglep3\Utilities\DownloadLogsFromS3.py --loco 4049 --day 2017-10-30</v>
      </c>
      <c r="AN116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8"/>
        <v>https://d0f6bd738d7f1b3e5a7ca70fe4ff75f0.us-east-1.aws.found.io/app/kibana#/discover/Steve-Slow-Train-Analysis-(2080s-and-2083s)?_g=(refreshInterval:(display:Off,pause:!f,section:0,value:0),time:(from:'2017-10-30T16:25:49-0600',mode:absolute,to:'2017-10-30T19:08:58-0600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833</v>
      </c>
      <c r="B117" s="7">
        <v>4004</v>
      </c>
      <c r="C117" s="21" t="s">
        <v>194</v>
      </c>
      <c r="D117" s="21" t="s">
        <v>586</v>
      </c>
      <c r="E117" s="13">
        <v>43038.693368055552</v>
      </c>
      <c r="F117" s="13">
        <v>43038.698391203703</v>
      </c>
      <c r="G117" s="7">
        <v>71</v>
      </c>
      <c r="H117" s="21" t="s">
        <v>985</v>
      </c>
      <c r="I117" s="13">
        <v>43038.722939814812</v>
      </c>
      <c r="J117" s="7">
        <v>0</v>
      </c>
      <c r="K117" s="89" t="str">
        <f t="shared" si="32"/>
        <v>4003/4004</v>
      </c>
      <c r="L117" s="185" t="str">
        <f>VLOOKUP(A117,'Trips&amp;Operators'!$C$1:$G$99911,5,FALSE)</f>
        <v>STEWART MICHAEL</v>
      </c>
      <c r="M117" s="6">
        <f t="shared" si="33"/>
        <v>2.4548611108912155E-2</v>
      </c>
      <c r="N117" s="7">
        <f t="shared" si="50"/>
        <v>35.349999996833503</v>
      </c>
      <c r="O117" s="7"/>
      <c r="P117" s="7"/>
      <c r="Q117" s="22"/>
      <c r="R117" s="174"/>
      <c r="S117" s="221">
        <f t="shared" si="51"/>
        <v>1</v>
      </c>
      <c r="T117" s="174" t="str">
        <f t="shared" si="35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6"/>
        <v>https://d0f6bd738d7f1b3e5a7ca70fe4ff75f0.us-east-1.aws.found.io/app/kibana#/discover/Steve-Slow-Train-Analysis-(2080s-and-2083s)?_g=(refreshInterval:(display:Off,pause:!f,section:0,value:0),time:(from:'2017-10-30T15:38:27-0600',mode:absolute,to:'2017-10-30T18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204" t="str">
        <f>IF(AA117&lt;VLOOKUP(AG117,Variables!$AC$3:$AD$8,2,FALSE),"Y","N")</f>
        <v>N</v>
      </c>
      <c r="X117" s="204">
        <f t="shared" si="49"/>
        <v>1</v>
      </c>
      <c r="Y117" s="204">
        <f t="shared" si="52"/>
        <v>5.5500000000000001E-2</v>
      </c>
      <c r="Z117" s="204">
        <f t="shared" si="53"/>
        <v>23.319900000000001</v>
      </c>
      <c r="AA117" s="204">
        <f t="shared" si="39"/>
        <v>23.264400000000002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0"/>
        <v>205</v>
      </c>
      <c r="AE117" s="77" t="str">
        <f t="shared" si="4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117" s="74" t="str">
        <f t="shared" si="42"/>
        <v>"C:\Program Files (x86)\AstroGrep\AstroGrep.exe" /e /r /s /spath="%USERPROFILE%\AppData\Local\Temp\OnboardLogs" /stypes="app*4004*20171030*" /stext=" 23:.+((SYSTEM_STATE.+slice.+state.+changed )|(ment ac)|(multiple cpu faults)|(system.+state.+changed )|(\[timeout)|(PRM\|1\|D)|(kpr)|(kdp)|(train st.+moving)|(\|lc)|(penalty))"</v>
      </c>
      <c r="AG117" s="182" t="str">
        <f t="shared" si="43"/>
        <v>EC</v>
      </c>
      <c r="AH117" s="78" t="str">
        <f t="shared" si="44"/>
        <v>"%USERPROFILE%\Documents\GitHub\eaglep3\Utilities\RefineRTDCRunTimes.py" --tripid 205-30 --locoid 4004 --swversion DE.1.0.9.0 --startMP 204:555 --initTime 2017-10-30T16:38:27 --startdatetime 2017-10-30T16:45:41 --delay 71 --endMP 204:233199 --enddatetime 2017-10-30T17:21:02 --enforcementcount 0 &gt;&gt;%USERPROFILE%\Documents\GitHub\eaglep3-reporting\EC\2017-10-30-refined-times.txt</v>
      </c>
      <c r="AI117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{"issue":{"subject":"","project_id":79,"tracker_id":40,"status_id":1,"priority_id":2,"assigned_to_id":338,"start_date":"2017-10-30","description":"","custom_fields":[{"id":1,"name":"Subdivision","value":"EC"},{"id":4,"name":"Milepost","value":"23.3199"},{"id":17,"name":"Train ID","value":"205-30"},{"id":16,"name":"Locomotive ID","value":"4004"},{"id":130,"name":"Impact","value":""},{"id":150,"name":"Time of Event (Mountain Time)","value":"17:21:02"},{"id":151,"name":"Denver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6"/>
        <v>start /low /b %USERPROFILE%\Documents\GitHub\eaglep3\Utilities\DownloadLogsFromS3.py --loco 4004 --day 2017-10-30</v>
      </c>
      <c r="AN117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8"/>
        <v>https://d0f6bd738d7f1b3e5a7ca70fe4ff75f0.us-east-1.aws.found.io/app/kibana#/discover/Steve-Slow-Train-Analysis-(2080s-and-2083s)?_g=(refreshInterval:(display:Off,pause:!f,section:0,value:0),time:(from:'2017-10-30T15:38:27-0600',mode:absolute,to:'2017-10-30T18:21:02-0600'))&amp;_a=(columns:!('Message%20ID',Summary),filters:!(),index:'emp_*',interval:auto,query:(query_string:(analyze_wildcard:!t,query:'%22rtdc.l.rtdc.4004%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844</v>
      </c>
      <c r="B118" s="7">
        <v>4003</v>
      </c>
      <c r="C118" s="21" t="s">
        <v>194</v>
      </c>
      <c r="D118" s="21" t="s">
        <v>986</v>
      </c>
      <c r="E118" s="13">
        <v>43038.733206018522</v>
      </c>
      <c r="F118" s="13">
        <v>43038.737743055557</v>
      </c>
      <c r="G118" s="7">
        <v>60</v>
      </c>
      <c r="H118" s="21" t="s">
        <v>987</v>
      </c>
      <c r="I118" s="13">
        <v>43038.764791666668</v>
      </c>
      <c r="J118" s="7">
        <v>0</v>
      </c>
      <c r="K118" s="89" t="str">
        <f t="shared" si="32"/>
        <v>4003/4004</v>
      </c>
      <c r="L118" s="185" t="str">
        <f>VLOOKUP(A118,'Trips&amp;Operators'!$C$1:$G$99911,5,FALSE)</f>
        <v>STEWART MICHAEL</v>
      </c>
      <c r="M118" s="6">
        <f t="shared" si="33"/>
        <v>2.7048611111240461E-2</v>
      </c>
      <c r="N118" s="7">
        <f t="shared" si="50"/>
        <v>38.950000000186265</v>
      </c>
      <c r="O118" s="7"/>
      <c r="P118" s="7"/>
      <c r="Q118" s="22"/>
      <c r="R118" s="174" t="s">
        <v>1135</v>
      </c>
      <c r="S118" s="221">
        <f t="shared" si="51"/>
        <v>1</v>
      </c>
      <c r="T118" s="174" t="str">
        <f t="shared" si="35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6"/>
        <v>https://d0f6bd738d7f1b3e5a7ca70fe4ff75f0.us-east-1.aws.found.io/app/kibana#/discover/Steve-Slow-Train-Analysis-(2080s-and-2083s)?_g=(refreshInterval:(display:Off,pause:!f,section:0,value:0),time:(from:'2017-10-30T16:35:49-0600',mode:absolute,to:'2017-10-30T19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204" t="str">
        <f>IF(AA118&lt;VLOOKUP(AG118,Variables!$AC$3:$AD$8,2,FALSE),"Y","N")</f>
        <v>N</v>
      </c>
      <c r="X118" s="204">
        <f t="shared" si="49"/>
        <v>1</v>
      </c>
      <c r="Y118" s="204">
        <f t="shared" si="52"/>
        <v>23.288799999999998</v>
      </c>
      <c r="Z118" s="204">
        <f t="shared" si="53"/>
        <v>2.9399999999999999E-2</v>
      </c>
      <c r="AA118" s="204">
        <f t="shared" si="39"/>
        <v>23.259399999999999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0"/>
        <v>206</v>
      </c>
      <c r="AE118" s="77" t="str">
        <f t="shared" si="4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118" s="74" t="str">
        <f t="shared" si="42"/>
        <v>"C:\Program Files (x86)\AstroGrep\AstroGrep.exe" /e /r /s /spath="%USERPROFILE%\AppData\Local\Temp\OnboardLogs" /stypes="app*4003*20171031*" /stext=" 00:.+((SYSTEM_STATE.+slice.+state.+changed )|(ment ac)|(multiple cpu faults)|(system.+state.+changed )|(\[timeout)|(PRM\|1\|D)|(kpr)|(kdp)|(train st.+moving)|(\|lc)|(penalty))"</v>
      </c>
      <c r="AG118" s="182" t="str">
        <f t="shared" si="43"/>
        <v>EC</v>
      </c>
      <c r="AH118" s="78" t="str">
        <f t="shared" si="44"/>
        <v>"%USERPROFILE%\Documents\GitHub\eaglep3\Utilities\RefineRTDCRunTimes.py" --tripid 206-30 --locoid 4003 --swversion DE.1.0.9.0 --startMP 204:232888 --initTime 2017-10-30T17:35:49 --startdatetime 2017-10-30T17:42:21 --delay 60 --endMP 204:294 --enddatetime 2017-10-30T18:21:18 --enforcementcount 0 &gt;&gt;%USERPROFILE%\Documents\GitHub\eaglep3-reporting\EC\2017-10-30-refined-times.txt</v>
      </c>
      <c r="AI118" s="96" t="str">
        <f t="shared" si="45"/>
        <v>echo {"issue":{"subject":"Observed Wi-MAX data drop, no enforcement","project_id":79,"tracker_id":40,"status_id":1,"priority_id":2,"assigned_to_id":338,"start_date":"2017-10-30","description":"","custom_fields":[{"id":1,"name":"Subdivision","value":"EC"},{"id":4,"name":"Milepost","value":"0.0294"},{"id":17,"name":"Train ID","value":"206-30"},{"id":16,"name":"Locomotive ID","value":"4003"},{"id":130,"name":"Impact","value":""},{"id":150,"name":"Time of Event (Mountain Time)","value":"18:21:18"},{"id":151,"name":"Denver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6"/>
        <v>start /low /b %USERPROFILE%\Documents\GitHub\eaglep3\Utilities\DownloadLogsFromS3.py --loco 4003 --day 2017-10-30</v>
      </c>
      <c r="AN118" s="151" t="str">
        <f t="shared" si="47"/>
        <v>echo {"issue":{"subject":"Observed Wi-MAX data drop, no enforcement","project_id":30,"tracker_id":4,"status_id":1,"priority_id":1,"assigned_to_id":10,"start_date":"2017-10-31","description":"","custom_fields":[{"id":30,"name":"Category","value":"Issue"},{"id":3,"name":"Functional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8"/>
        <v>https://d0f6bd738d7f1b3e5a7ca70fe4ff75f0.us-east-1.aws.found.io/app/kibana#/discover/Steve-Slow-Train-Analysis-(2080s-and-2083s)?_g=(refreshInterval:(display:Off,pause:!f,section:0,value:0),time:(from:'2017-10-30T16:35:49-0600',mode:absolute,to:'2017-10-30T19:21:18-0600'))&amp;_a=(columns:!('Message%20ID',Summary),filters:!(),index:'emp_*',interval:auto,query:(query_string:(analyze_wildcard:!t,query:'%22rtdc.l.rtdc.4003%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835</v>
      </c>
      <c r="B119" s="7">
        <v>4058</v>
      </c>
      <c r="C119" s="21" t="s">
        <v>194</v>
      </c>
      <c r="D119" s="21" t="s">
        <v>609</v>
      </c>
      <c r="E119" s="13">
        <v>43038.703703703701</v>
      </c>
      <c r="F119" s="13">
        <v>43038.708668981482</v>
      </c>
      <c r="G119" s="7">
        <v>69</v>
      </c>
      <c r="H119" s="21" t="s">
        <v>988</v>
      </c>
      <c r="I119" s="13">
        <v>43038.735312500001</v>
      </c>
      <c r="J119" s="7">
        <v>0</v>
      </c>
      <c r="K119" s="89" t="str">
        <f t="shared" si="32"/>
        <v>4057/4058</v>
      </c>
      <c r="L119" s="185" t="str">
        <f>VLOOKUP(A119,'Trips&amp;Operators'!$C$1:$G$99911,5,FALSE)</f>
        <v>LEVERE CRAIG</v>
      </c>
      <c r="M119" s="6">
        <f t="shared" si="33"/>
        <v>2.6643518518540077E-2</v>
      </c>
      <c r="N119" s="7">
        <f t="shared" si="50"/>
        <v>38.366666666697711</v>
      </c>
      <c r="O119" s="7"/>
      <c r="P119" s="7"/>
      <c r="Q119" s="22"/>
      <c r="R119" s="174"/>
      <c r="S119" s="221">
        <f t="shared" si="51"/>
        <v>1</v>
      </c>
      <c r="T119" s="174" t="str">
        <f t="shared" si="35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6"/>
        <v>https://d0f6bd738d7f1b3e5a7ca70fe4ff75f0.us-east-1.aws.found.io/app/kibana#/discover/Steve-Slow-Train-Analysis-(2080s-and-2083s)?_g=(refreshInterval:(display:Off,pause:!f,section:0,value:0),time:(from:'2017-10-30T15:53:20-0600',mode:absolute,to:'2017-10-30T18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204" t="str">
        <f>IF(AA119&lt;VLOOKUP(AG119,Variables!$AC$3:$AD$8,2,FALSE),"Y","N")</f>
        <v>N</v>
      </c>
      <c r="X119" s="204">
        <f t="shared" si="49"/>
        <v>1</v>
      </c>
      <c r="Y119" s="204">
        <f t="shared" si="52"/>
        <v>5.1299999999999998E-2</v>
      </c>
      <c r="Z119" s="204">
        <f t="shared" si="53"/>
        <v>23.321000000000002</v>
      </c>
      <c r="AA119" s="204">
        <f t="shared" si="39"/>
        <v>23.2697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0"/>
        <v>207</v>
      </c>
      <c r="AE119" s="77" t="str">
        <f t="shared" si="41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119" s="74" t="str">
        <f t="shared" si="42"/>
        <v>"C:\Program Files (x86)\AstroGrep\AstroGrep.exe" /e /r /s /spath="%USERPROFILE%\AppData\Local\Temp\OnboardLogs" /stypes="app*4058*20171030*" /stext=" 23:.+((SYSTEM_STATE.+slice.+state.+changed )|(ment ac)|(multiple cpu faults)|(system.+state.+changed )|(\[timeout)|(PRM\|1\|D)|(kpr)|(kdp)|(train st.+moving)|(\|lc)|(penalty))"</v>
      </c>
      <c r="AG119" s="182" t="str">
        <f t="shared" si="43"/>
        <v>EC</v>
      </c>
      <c r="AH119" s="78" t="str">
        <f t="shared" si="44"/>
        <v>"%USERPROFILE%\Documents\GitHub\eaglep3\Utilities\RefineRTDCRunTimes.py" --tripid 207-30 --locoid 4058 --swversion DE.1.0.9.0 --startMP 204:513 --initTime 2017-10-30T16:53:20 --startdatetime 2017-10-30T17:00:29 --delay 69 --endMP 204:233210 --enddatetime 2017-10-30T17:38:51 --enforcementcount 0 &gt;&gt;%USERPROFILE%\Documents\GitHub\eaglep3-reporting\EC\2017-10-30-refined-times.txt</v>
      </c>
      <c r="AI11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{"issue":{"subject":"","project_id":79,"tracker_id":40,"status_id":1,"priority_id":2,"assigned_to_id":338,"start_date":"2017-10-30","description":"","custom_fields":[{"id":1,"name":"Subdivision","value":"EC"},{"id":4,"name":"Milepost","value":"23.321"},{"id":17,"name":"Train ID","value":"207-30"},{"id":16,"name":"Locomotive ID","value":"4058"},{"id":130,"name":"Impact","value":""},{"id":150,"name":"Time of Event (Mountain Time)","value":"17:38:51"},{"id":151,"name":"Denver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6"/>
        <v>start /low /b %USERPROFILE%\Documents\GitHub\eaglep3\Utilities\DownloadLogsFromS3.py --loco 4058 --day 2017-10-30</v>
      </c>
      <c r="AN119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8"/>
        <v>https://d0f6bd738d7f1b3e5a7ca70fe4ff75f0.us-east-1.aws.found.io/app/kibana#/discover/Steve-Slow-Train-Analysis-(2080s-and-2083s)?_g=(refreshInterval:(display:Off,pause:!f,section:0,value:0),time:(from:'2017-10-30T15:53:20-0600',mode:absolute,to:'2017-10-30T18:38:51-0600'))&amp;_a=(columns:!('Message%20ID',Summary),filters:!(),index:'emp_*',interval:auto,query:(query_string:(analyze_wildcard:!t,query:'%22rtdc.l.rtdc.4058%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848</v>
      </c>
      <c r="B120" s="7">
        <v>4057</v>
      </c>
      <c r="C120" s="21" t="s">
        <v>194</v>
      </c>
      <c r="D120" s="21" t="s">
        <v>989</v>
      </c>
      <c r="E120" s="13">
        <v>43038.742928240739</v>
      </c>
      <c r="F120" s="13">
        <v>43038.748310185183</v>
      </c>
      <c r="G120" s="7">
        <v>71</v>
      </c>
      <c r="H120" s="21" t="s">
        <v>965</v>
      </c>
      <c r="I120" s="13">
        <v>43038.776805555557</v>
      </c>
      <c r="J120" s="7">
        <v>0</v>
      </c>
      <c r="K120" s="89" t="str">
        <f t="shared" si="32"/>
        <v>4057/4058</v>
      </c>
      <c r="L120" s="185" t="str">
        <f>VLOOKUP(A120,'Trips&amp;Operators'!$C$1:$G$99911,5,FALSE)</f>
        <v>LEVERE CRAIG</v>
      </c>
      <c r="M120" s="6">
        <f t="shared" si="33"/>
        <v>2.849537037400296E-2</v>
      </c>
      <c r="N120" s="7">
        <f t="shared" si="50"/>
        <v>41.033333338564262</v>
      </c>
      <c r="O120" s="7"/>
      <c r="P120" s="7"/>
      <c r="Q120" s="22"/>
      <c r="R120" s="174"/>
      <c r="S120" s="221">
        <f t="shared" si="51"/>
        <v>1</v>
      </c>
      <c r="T120" s="174" t="str">
        <f t="shared" si="35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6"/>
        <v>https://d0f6bd738d7f1b3e5a7ca70fe4ff75f0.us-east-1.aws.found.io/app/kibana#/discover/Steve-Slow-Train-Analysis-(2080s-and-2083s)?_g=(refreshInterval:(display:Off,pause:!f,section:0,value:0),time:(from:'2017-10-30T16:49:49-0600',mode:absolute,to:'2017-10-30T19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204" t="str">
        <f>IF(AA120&lt;VLOOKUP(AG120,Variables!$AC$3:$AD$8,2,FALSE),"Y","N")</f>
        <v>N</v>
      </c>
      <c r="X120" s="204">
        <f t="shared" ref="X120:X141" si="54">VALUE(LEFT(AD120,4))-VALUE(LEFT(AD119,4))</f>
        <v>1</v>
      </c>
      <c r="Y120" s="204">
        <f t="shared" si="52"/>
        <v>23.288900000000002</v>
      </c>
      <c r="Z120" s="204">
        <f t="shared" si="53"/>
        <v>2.5100000000000001E-2</v>
      </c>
      <c r="AA120" s="204">
        <f t="shared" si="39"/>
        <v>23.263800000000003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0"/>
        <v>208</v>
      </c>
      <c r="AE120" s="77" t="str">
        <f t="shared" si="41"/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120" s="74" t="str">
        <f t="shared" si="42"/>
        <v>"C:\Program Files (x86)\AstroGrep\AstroGrep.exe" /e /r /s /spath="%USERPROFILE%\AppData\Local\Temp\OnboardLogs" /stypes="app*4057*20171031*" /stext=" 00:.+((SYSTEM_STATE.+slice.+state.+changed )|(ment ac)|(multiple cpu faults)|(system.+state.+changed )|(\[timeout)|(PRM\|1\|D)|(kpr)|(kdp)|(train st.+moving)|(\|lc)|(penalty))"</v>
      </c>
      <c r="AG120" s="182" t="str">
        <f t="shared" si="43"/>
        <v>EC</v>
      </c>
      <c r="AH120" s="78" t="str">
        <f t="shared" si="44"/>
        <v>"%USERPROFILE%\Documents\GitHub\eaglep3\Utilities\RefineRTDCRunTimes.py" --tripid 208-30 --locoid 4057 --swversion DE.1.0.9.0 --startMP 204:232889 --initTime 2017-10-30T17:49:49 --startdatetime 2017-10-30T17:57:34 --delay 71 --endMP 204:251 --enddatetime 2017-10-30T18:38:36 --enforcementcount 0 &gt;&gt;%USERPROFILE%\Documents\GitHub\eaglep3-reporting\EC\2017-10-30-refined-times.txt</v>
      </c>
      <c r="AI12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{"issue":{"subject":"","project_id":79,"tracker_id":40,"status_id":1,"priority_id":2,"assigned_to_id":338,"start_date":"2017-10-30","description":"","custom_fields":[{"id":1,"name":"Subdivision","value":"EC"},{"id":4,"name":"Milepost","value":"0.0251"},{"id":17,"name":"Train ID","value":"208-30"},{"id":16,"name":"Locomotive ID","value":"4057"},{"id":130,"name":"Impact","value":""},{"id":150,"name":"Time of Event (Mountain Time)","value":"18:38:36"},{"id":151,"name":"Denver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6"/>
        <v>start /low /b %USERPROFILE%\Documents\GitHub\eaglep3\Utilities\DownloadLogsFromS3.py --loco 4057 --day 2017-10-30</v>
      </c>
      <c r="AN120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8"/>
        <v>https://d0f6bd738d7f1b3e5a7ca70fe4ff75f0.us-east-1.aws.found.io/app/kibana#/discover/Steve-Slow-Train-Analysis-(2080s-and-2083s)?_g=(refreshInterval:(display:Off,pause:!f,section:0,value:0),time:(from:'2017-10-30T16:49:49-0600',mode:absolute,to:'2017-10-30T19:38:36-0600'))&amp;_a=(columns:!('Message%20ID',Summary),filters:!(),index:'emp_*',interval:auto,query:(query_string:(analyze_wildcard:!t,query:'%22rtdc.l.rtdc.4057%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839</v>
      </c>
      <c r="B121" s="7">
        <v>4032</v>
      </c>
      <c r="C121" s="21" t="s">
        <v>194</v>
      </c>
      <c r="D121" s="21" t="s">
        <v>990</v>
      </c>
      <c r="E121" s="13">
        <v>43038.714780092596</v>
      </c>
      <c r="F121" s="13">
        <v>43038.718912037039</v>
      </c>
      <c r="G121" s="7">
        <v>47</v>
      </c>
      <c r="H121" s="21" t="s">
        <v>991</v>
      </c>
      <c r="I121" s="13">
        <v>43038.744513888887</v>
      </c>
      <c r="J121" s="7">
        <v>0</v>
      </c>
      <c r="K121" s="89" t="str">
        <f t="shared" si="32"/>
        <v>4031/4032</v>
      </c>
      <c r="L121" s="185" t="str">
        <f>VLOOKUP(A121,'Trips&amp;Operators'!$C$1:$G$99911,5,FALSE)</f>
        <v>GUZMAN DANNY</v>
      </c>
      <c r="M121" s="6">
        <f t="shared" si="33"/>
        <v>2.5601851848477963E-2</v>
      </c>
      <c r="N121" s="7">
        <f t="shared" ref="N121:N152" si="55">24*60*SUM($M121:$M121)</f>
        <v>36.866666661808267</v>
      </c>
      <c r="O121" s="7"/>
      <c r="P121" s="7"/>
      <c r="Q121" s="22"/>
      <c r="R121" s="174"/>
      <c r="S121" s="221">
        <f t="shared" ref="S121:S152" si="56">1/IF(AG121="EC",12,1)*SUM(U121:U121)</f>
        <v>1</v>
      </c>
      <c r="T121" s="174" t="str">
        <f t="shared" si="35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6"/>
        <v>https://d0f6bd738d7f1b3e5a7ca70fe4ff75f0.us-east-1.aws.found.io/app/kibana#/discover/Steve-Slow-Train-Analysis-(2080s-and-2083s)?_g=(refreshInterval:(display:Off,pause:!f,section:0,value:0),time:(from:'2017-10-30T16:09:17-0600',mode:absolute,to:'2017-10-30T18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204" t="str">
        <f>IF(AA121&lt;VLOOKUP(AG121,Variables!$AC$3:$AD$8,2,FALSE),"Y","N")</f>
        <v>N</v>
      </c>
      <c r="X121" s="204">
        <f t="shared" si="54"/>
        <v>1</v>
      </c>
      <c r="Y121" s="204">
        <f t="shared" si="52"/>
        <v>5.4800000000000001E-2</v>
      </c>
      <c r="Z121" s="204">
        <f t="shared" si="53"/>
        <v>23.317599999999999</v>
      </c>
      <c r="AA121" s="204">
        <f t="shared" si="39"/>
        <v>23.262799999999999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0"/>
        <v>209</v>
      </c>
      <c r="AE121" s="77" t="str">
        <f t="shared" si="4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21" s="74" t="str">
        <f t="shared" si="42"/>
        <v>"C:\Program Files (x86)\AstroGrep\AstroGrep.exe" /e /r /s /spath="%USERPROFILE%\AppData\Local\Temp\OnboardLogs" /stypes="app*4032*20171030*" /stext=" 23:.+((SYSTEM_STATE.+slice.+state.+changed )|(ment ac)|(multiple cpu faults)|(system.+state.+changed )|(\[timeout)|(PRM\|1\|D)|(kpr)|(kdp)|(train st.+moving)|(\|lc)|(penalty))"</v>
      </c>
      <c r="AG121" s="182" t="str">
        <f t="shared" si="43"/>
        <v>EC</v>
      </c>
      <c r="AH121" s="78" t="str">
        <f t="shared" si="44"/>
        <v>"%USERPROFILE%\Documents\GitHub\eaglep3\Utilities\RefineRTDCRunTimes.py" --tripid 209-30 --locoid 4032 --swversion DE.1.0.9.0 --startMP 204:548 --initTime 2017-10-30T17:09:17 --startdatetime 2017-10-30T17:15:14 --delay 47 --endMP 204:233176 --enddatetime 2017-10-30T17:52:06 --enforcementcount 0 &gt;&gt;%USERPROFILE%\Documents\GitHub\eaglep3-reporting\EC\2017-10-30-refined-times.txt</v>
      </c>
      <c r="AI12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{"issue":{"subject":"","project_id":79,"tracker_id":40,"status_id":1,"priority_id":2,"assigned_to_id":338,"start_date":"2017-10-30","description":"","custom_fields":[{"id":1,"name":"Subdivision","value":"EC"},{"id":4,"name":"Milepost","value":"23.3176"},{"id":17,"name":"Train ID","value":"209-30"},{"id":16,"name":"Locomotive ID","value":"4032"},{"id":130,"name":"Impact","value":""},{"id":150,"name":"Time of Event (Mountain Time)","value":"17:52:06"},{"id":151,"name":"Denver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6"/>
        <v>start /low /b %USERPROFILE%\Documents\GitHub\eaglep3\Utilities\DownloadLogsFromS3.py --loco 4032 --day 2017-10-30</v>
      </c>
      <c r="AN121" s="151" t="str">
        <f t="shared" si="4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8"/>
        <v>https://d0f6bd738d7f1b3e5a7ca70fe4ff75f0.us-east-1.aws.found.io/app/kibana#/discover/Steve-Slow-Train-Analysis-(2080s-and-2083s)?_g=(refreshInterval:(display:Off,pause:!f,section:0,value:0),time:(from:'2017-10-30T16:09:17-0600',mode:absolute,to:'2017-10-30T18:52:06-0600'))&amp;_a=(columns:!('Message%20ID',Summary),filters:!(),index:'emp_*',interval:auto,query:(query_string:(analyze_wildcard:!t,query:'%22rtdc.l.rtdc.4032%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849</v>
      </c>
      <c r="B122" s="7">
        <v>4031</v>
      </c>
      <c r="C122" s="21" t="s">
        <v>194</v>
      </c>
      <c r="D122" s="21" t="s">
        <v>635</v>
      </c>
      <c r="E122" s="13">
        <v>43038.745613425926</v>
      </c>
      <c r="F122" s="13">
        <v>43038.75849537037</v>
      </c>
      <c r="G122" s="7">
        <v>56</v>
      </c>
      <c r="H122" s="21" t="s">
        <v>517</v>
      </c>
      <c r="I122" s="13">
        <v>43038.78528935185</v>
      </c>
      <c r="J122" s="7">
        <v>0</v>
      </c>
      <c r="K122" s="89" t="str">
        <f t="shared" si="32"/>
        <v>4031/4032</v>
      </c>
      <c r="L122" s="185" t="str">
        <f>VLOOKUP(A122,'Trips&amp;Operators'!$C$1:$G$99911,5,FALSE)</f>
        <v>GUZMAN DANNY</v>
      </c>
      <c r="M122" s="6">
        <f t="shared" si="33"/>
        <v>2.679398148029577E-2</v>
      </c>
      <c r="N122" s="7">
        <f t="shared" si="55"/>
        <v>38.583333331625909</v>
      </c>
      <c r="O122" s="7"/>
      <c r="P122" s="7"/>
      <c r="Q122" s="22"/>
      <c r="R122" s="174"/>
      <c r="S122" s="221">
        <f t="shared" si="56"/>
        <v>1</v>
      </c>
      <c r="T122" s="174" t="str">
        <f t="shared" si="35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6"/>
        <v>https://d0f6bd738d7f1b3e5a7ca70fe4ff75f0.us-east-1.aws.found.io/app/kibana#/discover/Steve-Slow-Train-Analysis-(2080s-and-2083s)?_g=(refreshInterval:(display:Off,pause:!f,section:0,value:0),time:(from:'2017-10-30T16:53:41-0600',mode:absolute,to:'2017-10-30T19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204" t="str">
        <f>IF(AA122&lt;VLOOKUP(AG122,Variables!$AC$3:$AD$8,2,FALSE),"Y","N")</f>
        <v>N</v>
      </c>
      <c r="X122" s="204">
        <f t="shared" si="54"/>
        <v>1</v>
      </c>
      <c r="Y122" s="204">
        <f t="shared" si="52"/>
        <v>23.2867</v>
      </c>
      <c r="Z122" s="204">
        <f t="shared" si="53"/>
        <v>2.4899999999999999E-2</v>
      </c>
      <c r="AA122" s="204">
        <f t="shared" si="39"/>
        <v>23.261800000000001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0"/>
        <v>210</v>
      </c>
      <c r="AE122" s="77" t="str">
        <f t="shared" si="4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22" s="74" t="str">
        <f t="shared" si="42"/>
        <v>"C:\Program Files (x86)\AstroGrep\AstroGrep.exe" /e /r /s /spath="%USERPROFILE%\AppData\Local\Temp\OnboardLogs" /stypes="app*4031*20171031*" /stext=" 00:.+((SYSTEM_STATE.+slice.+state.+changed )|(ment ac)|(multiple cpu faults)|(system.+state.+changed )|(\[timeout)|(PRM\|1\|D)|(kpr)|(kdp)|(train st.+moving)|(\|lc)|(penalty))"</v>
      </c>
      <c r="AG122" s="182" t="str">
        <f t="shared" si="43"/>
        <v>EC</v>
      </c>
      <c r="AH122" s="78" t="str">
        <f t="shared" si="44"/>
        <v>"%USERPROFILE%\Documents\GitHub\eaglep3\Utilities\RefineRTDCRunTimes.py" --tripid 210-30 --locoid 4031 --swversion DE.1.0.9.0 --startMP 204:232867 --initTime 2017-10-30T17:53:41 --startdatetime 2017-10-30T18:12:14 --delay 56 --endMP 204:249 --enddatetime 2017-10-30T18:50:49 --enforcementcount 0 &gt;&gt;%USERPROFILE%\Documents\GitHub\eaglep3-reporting\EC\2017-10-30-refined-times.txt</v>
      </c>
      <c r="AI12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{"issue":{"subject":"","project_id":79,"tracker_id":40,"status_id":1,"priority_id":2,"assigned_to_id":338,"start_date":"2017-10-30","description":"","custom_fields":[{"id":1,"name":"Subdivision","value":"EC"},{"id":4,"name":"Milepost","value":"0.0249"},{"id":17,"name":"Train ID","value":"210-30"},{"id":16,"name":"Locomotive ID","value":"4031"},{"id":130,"name":"Impact","value":""},{"id":150,"name":"Time of Event (Mountain Time)","value":"18:50:49"},{"id":151,"name":"Denver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6"/>
        <v>start /low /b %USERPROFILE%\Documents\GitHub\eaglep3\Utilities\DownloadLogsFromS3.py --loco 4031 --day 2017-10-30</v>
      </c>
      <c r="AN122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8"/>
        <v>https://d0f6bd738d7f1b3e5a7ca70fe4ff75f0.us-east-1.aws.found.io/app/kibana#/discover/Steve-Slow-Train-Analysis-(2080s-and-2083s)?_g=(refreshInterval:(display:Off,pause:!f,section:0,value:0),time:(from:'2017-10-30T16:53:41-0600',mode:absolute,to:'2017-10-30T19:50:49-0600'))&amp;_a=(columns:!('Message%20ID',Summary),filters:!(),index:'emp_*',interval:auto,query:(query_string:(analyze_wildcard:!t,query:'%22rtdc.l.rtdc.4031%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842</v>
      </c>
      <c r="B123" s="7">
        <v>4054</v>
      </c>
      <c r="C123" s="21" t="s">
        <v>194</v>
      </c>
      <c r="D123" s="21" t="s">
        <v>992</v>
      </c>
      <c r="E123" s="13">
        <v>43038.727210648147</v>
      </c>
      <c r="F123" s="13">
        <v>43038.729502314818</v>
      </c>
      <c r="G123" s="7">
        <v>60</v>
      </c>
      <c r="H123" s="21" t="s">
        <v>643</v>
      </c>
      <c r="I123" s="13">
        <v>43038.754212962966</v>
      </c>
      <c r="J123" s="7">
        <v>0</v>
      </c>
      <c r="K123" s="89" t="str">
        <f t="shared" si="32"/>
        <v>4053/4054</v>
      </c>
      <c r="L123" s="185" t="str">
        <f>VLOOKUP(A123,'Trips&amp;Operators'!$C$1:$G$99911,5,FALSE)</f>
        <v>SAFIEF AEIMEN</v>
      </c>
      <c r="M123" s="6">
        <f t="shared" si="33"/>
        <v>2.47106481474475E-2</v>
      </c>
      <c r="N123" s="7">
        <f t="shared" si="55"/>
        <v>35.583333332324401</v>
      </c>
      <c r="O123" s="7"/>
      <c r="P123" s="7"/>
      <c r="Q123" s="22"/>
      <c r="R123" s="174"/>
      <c r="S123" s="221">
        <f t="shared" si="56"/>
        <v>1</v>
      </c>
      <c r="T123" s="174" t="str">
        <f t="shared" si="35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6"/>
        <v>https://d0f6bd738d7f1b3e5a7ca70fe4ff75f0.us-east-1.aws.found.io/app/kibana#/discover/Steve-Slow-Train-Analysis-(2080s-and-2083s)?_g=(refreshInterval:(display:Off,pause:!f,section:0,value:0),time:(from:'2017-10-30T16:27:11-0600',mode:absolute,to:'2017-10-30T19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204" t="str">
        <f>IF(AA123&lt;VLOOKUP(AG123,Variables!$AC$3:$AD$8,2,FALSE),"Y","N")</f>
        <v>N</v>
      </c>
      <c r="X123" s="204">
        <f t="shared" si="54"/>
        <v>1</v>
      </c>
      <c r="Y123" s="204">
        <f t="shared" si="52"/>
        <v>5.3900000000000003E-2</v>
      </c>
      <c r="Z123" s="204">
        <f t="shared" si="53"/>
        <v>23.320799999999998</v>
      </c>
      <c r="AA123" s="204">
        <f t="shared" si="39"/>
        <v>23.2669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0"/>
        <v>211</v>
      </c>
      <c r="AE123" s="77" t="str">
        <f t="shared" si="41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123" s="74" t="str">
        <f t="shared" si="42"/>
        <v>"C:\Program Files (x86)\AstroGrep\AstroGrep.exe" /e /r /s /spath="%USERPROFILE%\AppData\Local\Temp\OnboardLogs" /stypes="app*4054*20171031*" /stext=" 00:.+((SYSTEM_STATE.+slice.+state.+changed )|(ment ac)|(multiple cpu faults)|(system.+state.+changed )|(\[timeout)|(PRM\|1\|D)|(kpr)|(kdp)|(train st.+moving)|(\|lc)|(penalty))"</v>
      </c>
      <c r="AG123" s="182" t="str">
        <f t="shared" si="43"/>
        <v>EC</v>
      </c>
      <c r="AH123" s="78" t="str">
        <f t="shared" si="44"/>
        <v>"%USERPROFILE%\Documents\GitHub\eaglep3\Utilities\RefineRTDCRunTimes.py" --tripid 211-30 --locoid 4054 --swversion DE.1.0.9.0 --startMP 204:539 --initTime 2017-10-30T17:27:11 --startdatetime 2017-10-30T17:30:29 --delay 60 --endMP 204:233208 --enddatetime 2017-10-30T18:06:04 --enforcementcount 0 &gt;&gt;%USERPROFILE%\Documents\GitHub\eaglep3-reporting\EC\2017-10-30-refined-times.txt</v>
      </c>
      <c r="AI12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{"issue":{"subject":"","project_id":79,"tracker_id":40,"status_id":1,"priority_id":2,"assigned_to_id":338,"start_date":"2017-10-30","description":"","custom_fields":[{"id":1,"name":"Subdivision","value":"EC"},{"id":4,"name":"Milepost","value":"23.3208"},{"id":17,"name":"Train ID","value":"211-30"},{"id":16,"name":"Locomotive ID","value":"4054"},{"id":130,"name":"Impact","value":""},{"id":150,"name":"Time of Event (Mountain Time)","value":"18:06:04"},{"id":151,"name":"Denver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6"/>
        <v>start /low /b %USERPROFILE%\Documents\GitHub\eaglep3\Utilities\DownloadLogsFromS3.py --loco 4054 --day 2017-10-30</v>
      </c>
      <c r="AN123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8"/>
        <v>https://d0f6bd738d7f1b3e5a7ca70fe4ff75f0.us-east-1.aws.found.io/app/kibana#/discover/Steve-Slow-Train-Analysis-(2080s-and-2083s)?_g=(refreshInterval:(display:Off,pause:!f,section:0,value:0),time:(from:'2017-10-30T16:27:11-0600',mode:absolute,to:'2017-10-30T19:06:04-0600'))&amp;_a=(columns:!('Message%20ID',Summary),filters:!(),index:'emp_*',interval:auto,query:(query_string:(analyze_wildcard:!t,query:'%22rtdc.l.rtdc.4054%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854</v>
      </c>
      <c r="B124" s="7">
        <v>4053</v>
      </c>
      <c r="C124" s="21" t="s">
        <v>194</v>
      </c>
      <c r="D124" s="21" t="s">
        <v>993</v>
      </c>
      <c r="E124" s="13">
        <v>43038.758703703701</v>
      </c>
      <c r="F124" s="13">
        <v>43038.768958333334</v>
      </c>
      <c r="G124" s="7">
        <v>72</v>
      </c>
      <c r="H124" s="21" t="s">
        <v>522</v>
      </c>
      <c r="I124" s="13">
        <v>43038.795983796299</v>
      </c>
      <c r="J124" s="7">
        <v>0</v>
      </c>
      <c r="K124" s="89" t="str">
        <f t="shared" si="32"/>
        <v>4053/4054</v>
      </c>
      <c r="L124" s="185" t="str">
        <f>VLOOKUP(A124,'Trips&amp;Operators'!$C$1:$G$99911,5,FALSE)</f>
        <v>SAFIEF AEIMEN</v>
      </c>
      <c r="M124" s="6">
        <f t="shared" si="33"/>
        <v>2.7025462964957114E-2</v>
      </c>
      <c r="N124" s="7">
        <f t="shared" si="55"/>
        <v>38.916666669538245</v>
      </c>
      <c r="O124" s="7"/>
      <c r="P124" s="7"/>
      <c r="Q124" s="22"/>
      <c r="R124" s="174"/>
      <c r="S124" s="221">
        <f t="shared" si="56"/>
        <v>1</v>
      </c>
      <c r="T124" s="174" t="str">
        <f t="shared" si="35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6"/>
        <v>https://d0f6bd738d7f1b3e5a7ca70fe4ff75f0.us-east-1.aws.found.io/app/kibana#/discover/Steve-Slow-Train-Analysis-(2080s-and-2083s)?_g=(refreshInterval:(display:Off,pause:!f,section:0,value:0),time:(from:'2017-10-30T17:12:32-0600',mode:absolute,to:'2017-10-30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204" t="str">
        <f>IF(AA124&lt;VLOOKUP(AG124,Variables!$AC$3:$AD$8,2,FALSE),"Y","N")</f>
        <v>N</v>
      </c>
      <c r="X124" s="204">
        <f t="shared" si="54"/>
        <v>1</v>
      </c>
      <c r="Y124" s="204">
        <f t="shared" si="52"/>
        <v>23.289200000000001</v>
      </c>
      <c r="Z124" s="204">
        <f t="shared" si="53"/>
        <v>2.1999999999999999E-2</v>
      </c>
      <c r="AA124" s="204">
        <f t="shared" si="39"/>
        <v>23.267200000000003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0"/>
        <v>212</v>
      </c>
      <c r="AE124" s="77" t="str">
        <f t="shared" si="41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124" s="74" t="str">
        <f t="shared" si="42"/>
        <v>"C:\Program Files (x86)\AstroGrep\AstroGrep.exe" /e /r /s /spath="%USERPROFILE%\AppData\Local\Temp\OnboardLogs" /stypes="app*4053*20171031*" /stext=" 01:.+((SYSTEM_STATE.+slice.+state.+changed )|(ment ac)|(multiple cpu faults)|(system.+state.+changed )|(\[timeout)|(PRM\|1\|D)|(kpr)|(kdp)|(train st.+moving)|(\|lc)|(penalty))"</v>
      </c>
      <c r="AG124" s="182" t="str">
        <f t="shared" si="43"/>
        <v>EC</v>
      </c>
      <c r="AH124" s="78" t="str">
        <f t="shared" si="44"/>
        <v>"%USERPROFILE%\Documents\GitHub\eaglep3\Utilities\RefineRTDCRunTimes.py" --tripid 212-30 --locoid 4053 --swversion DE.1.0.9.0 --startMP 204:232892 --initTime 2017-10-30T18:12:32 --startdatetime 2017-10-30T18:27:18 --delay 72 --endMP 204:220 --enddatetime 2017-10-30T19:06:13 --enforcementcount 0 &gt;&gt;%USERPROFILE%\Documents\GitHub\eaglep3-reporting\EC\2017-10-30-refined-times.txt</v>
      </c>
      <c r="AI12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{"issue":{"subject":"","project_id":79,"tracker_id":40,"status_id":1,"priority_id":2,"assigned_to_id":338,"start_date":"2017-10-30","description":"","custom_fields":[{"id":1,"name":"Subdivision","value":"EC"},{"id":4,"name":"Milepost","value":"0.022"},{"id":17,"name":"Train ID","value":"212-30"},{"id":16,"name":"Locomotive ID","value":"4053"},{"id":130,"name":"Impact","value":""},{"id":150,"name":"Time of Event (Mountain Time)","value":"19:06:13"},{"id":151,"name":"Denver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6"/>
        <v>start /low /b %USERPROFILE%\Documents\GitHub\eaglep3\Utilities\DownloadLogsFromS3.py --loco 4053 --day 2017-10-30</v>
      </c>
      <c r="AN124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8"/>
        <v>https://d0f6bd738d7f1b3e5a7ca70fe4ff75f0.us-east-1.aws.found.io/app/kibana#/discover/Steve-Slow-Train-Analysis-(2080s-and-2083s)?_g=(refreshInterval:(display:Off,pause:!f,section:0,value:0),time:(from:'2017-10-30T17:12:32-0600',mode:absolute,to:'2017-10-30T20:06:13-0600'))&amp;_a=(columns:!('Message%20ID',Summary),filters:!(),index:'emp_*',interval:auto,query:(query_string:(analyze_wildcard:!t,query:'%22rtdc.l.rtdc.4053%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665</v>
      </c>
      <c r="B125" s="7">
        <v>4024</v>
      </c>
      <c r="C125" s="21" t="s">
        <v>194</v>
      </c>
      <c r="D125" s="21" t="s">
        <v>994</v>
      </c>
      <c r="E125" s="13">
        <v>43038.73814814815</v>
      </c>
      <c r="F125" s="13">
        <v>43038.740231481483</v>
      </c>
      <c r="G125" s="7">
        <v>85</v>
      </c>
      <c r="H125" s="21" t="s">
        <v>926</v>
      </c>
      <c r="I125" s="13">
        <v>43038.765821759262</v>
      </c>
      <c r="J125" s="7">
        <v>0</v>
      </c>
      <c r="K125" s="89" t="str">
        <f t="shared" si="32"/>
        <v>4023/4024</v>
      </c>
      <c r="L125" s="185" t="str">
        <f>VLOOKUP(A125,'Trips&amp;Operators'!$C$1:$G$99911,5,FALSE)</f>
        <v>LOZA FIDEL</v>
      </c>
      <c r="M125" s="6">
        <f t="shared" si="33"/>
        <v>2.5590277778974269E-2</v>
      </c>
      <c r="N125" s="7">
        <f t="shared" si="55"/>
        <v>36.850000001722947</v>
      </c>
      <c r="O125" s="7"/>
      <c r="P125" s="7"/>
      <c r="Q125" s="22"/>
      <c r="R125" s="174"/>
      <c r="S125" s="221">
        <f t="shared" si="56"/>
        <v>1</v>
      </c>
      <c r="T125" s="174" t="str">
        <f t="shared" si="35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6"/>
        <v>https://d0f6bd738d7f1b3e5a7ca70fe4ff75f0.us-east-1.aws.found.io/app/kibana#/discover/Steve-Slow-Train-Analysis-(2080s-and-2083s)?_g=(refreshInterval:(display:Off,pause:!f,section:0,value:0),time:(from:'2017-10-30T16:42:56-0600',mode:absolute,to:'2017-10-30T19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204" t="str">
        <f>IF(AA125&lt;VLOOKUP(AG125,Variables!$AC$3:$AD$8,2,FALSE),"Y","N")</f>
        <v>N</v>
      </c>
      <c r="X125" s="204">
        <f t="shared" si="54"/>
        <v>1</v>
      </c>
      <c r="Y125" s="204">
        <f t="shared" si="52"/>
        <v>5.2200000000000003E-2</v>
      </c>
      <c r="Z125" s="204">
        <f t="shared" si="53"/>
        <v>23.325099999999999</v>
      </c>
      <c r="AA125" s="204">
        <f t="shared" si="39"/>
        <v>23.2729</v>
      </c>
      <c r="AB125" s="54" t="str">
        <f>VLOOKUP(A125,Enforcements!$C$7:$K$11,8,0)</f>
        <v>Bulletin (2)</v>
      </c>
      <c r="AC125" s="51" t="str">
        <f>VLOOKUP(A125,Enforcements!$C$7:$E$11,3,0)</f>
        <v>GRADE CROSSING</v>
      </c>
      <c r="AD125" s="179">
        <f t="shared" si="40"/>
        <v>213</v>
      </c>
      <c r="AE125" s="77" t="str">
        <f t="shared" si="4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25" s="74" t="str">
        <f t="shared" si="42"/>
        <v>"C:\Program Files (x86)\AstroGrep\AstroGrep.exe" /e /r /s /spath="%USERPROFILE%\AppData\Local\Temp\OnboardLogs" /stypes="app*4024*20171031*" /stext=" 00:.+((SYSTEM_STATE.+slice.+state.+changed )|(ment ac)|(multiple cpu faults)|(system.+state.+changed )|(\[timeout)|(PRM\|1\|D)|(kpr)|(kdp)|(train st.+moving)|(\|lc)|(penalty))"</v>
      </c>
      <c r="AG125" s="182" t="str">
        <f t="shared" si="43"/>
        <v>EC</v>
      </c>
      <c r="AH125" s="78" t="str">
        <f t="shared" si="44"/>
        <v>"%USERPROFILE%\Documents\GitHub\eaglep3\Utilities\RefineRTDCRunTimes.py" --tripid 213-30 --locoid 4024 --swversion DE.1.0.9.0 --startMP 204:522 --initTime 2017-10-30T17:42:56 --startdatetime 2017-10-30T17:45:56 --delay 85 --endMP 204:233251 --enddatetime 2017-10-30T18:22:47 --enforcementcount 0 &gt;&gt;%USERPROFILE%\Documents\GitHub\eaglep3-reporting\EC\2017-10-30-refined-times.txt</v>
      </c>
      <c r="AI12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{"issue":{"subject":"","project_id":79,"tracker_id":40,"status_id":1,"priority_id":2,"assigned_to_id":338,"start_date":"2017-10-30","description":"","custom_fields":[{"id":1,"name":"Subdivision","value":"EC"},{"id":4,"name":"Milepost","value":"23.3251"},{"id":17,"name":"Train ID","value":"213-30"},{"id":16,"name":"Locomotive ID","value":"4024"},{"id":130,"name":"Impact","value":""},{"id":150,"name":"Time of Event (Mountain Time)","value":"18:22:47"},{"id":151,"name":"Denver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6"/>
        <v>start /low /b %USERPROFILE%\Documents\GitHub\eaglep3\Utilities\DownloadLogsFromS3.py --loco 4024 --day 2017-10-30</v>
      </c>
      <c r="AN125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8"/>
        <v>https://d0f6bd738d7f1b3e5a7ca70fe4ff75f0.us-east-1.aws.found.io/app/kibana#/discover/Steve-Slow-Train-Analysis-(2080s-and-2083s)?_g=(refreshInterval:(display:Off,pause:!f,section:0,value:0),time:(from:'2017-10-30T16:42:56-0600',mode:absolute,to:'2017-10-30T19:22:47-0600'))&amp;_a=(columns:!('Message%20ID',Summary),filters:!(),index:'emp_*',interval:auto,query:(query_string:(analyze_wildcard:!t,query:'%22rtdc.l.rtdc.4024%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858</v>
      </c>
      <c r="B126" s="7">
        <v>4023</v>
      </c>
      <c r="C126" s="21" t="s">
        <v>194</v>
      </c>
      <c r="D126" s="21" t="s">
        <v>597</v>
      </c>
      <c r="E126" s="13">
        <v>43038.776909722219</v>
      </c>
      <c r="F126" s="13">
        <v>43038.779374999998</v>
      </c>
      <c r="G126" s="7">
        <v>99</v>
      </c>
      <c r="H126" s="21" t="s">
        <v>636</v>
      </c>
      <c r="I126" s="13">
        <v>43038.805185185185</v>
      </c>
      <c r="J126" s="7">
        <v>0</v>
      </c>
      <c r="K126" s="89" t="str">
        <f t="shared" si="32"/>
        <v>4023/4024</v>
      </c>
      <c r="L126" s="185" t="str">
        <f>VLOOKUP(A126,'Trips&amp;Operators'!$C$1:$G$99911,5,FALSE)</f>
        <v>LOZA FIDEL</v>
      </c>
      <c r="M126" s="6">
        <f t="shared" si="33"/>
        <v>2.5810185186855961E-2</v>
      </c>
      <c r="N126" s="7">
        <f t="shared" si="55"/>
        <v>37.166666669072583</v>
      </c>
      <c r="O126" s="7"/>
      <c r="P126" s="7"/>
      <c r="Q126" s="22"/>
      <c r="R126" s="174"/>
      <c r="S126" s="221">
        <f t="shared" si="56"/>
        <v>1</v>
      </c>
      <c r="T126" s="174" t="str">
        <f t="shared" si="35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6"/>
        <v>https://d0f6bd738d7f1b3e5a7ca70fe4ff75f0.us-east-1.aws.found.io/app/kibana#/discover/Steve-Slow-Train-Analysis-(2080s-and-2083s)?_g=(refreshInterval:(display:Off,pause:!f,section:0,value:0),time:(from:'2017-10-30T17:38:45-0600',mode:absolute,to:'2017-10-30T20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204" t="str">
        <f>IF(AA126&lt;VLOOKUP(AG126,Variables!$AC$3:$AD$8,2,FALSE),"Y","N")</f>
        <v>N</v>
      </c>
      <c r="X126" s="204">
        <f t="shared" si="54"/>
        <v>1</v>
      </c>
      <c r="Y126" s="204">
        <f t="shared" si="52"/>
        <v>23.2925</v>
      </c>
      <c r="Z126" s="204">
        <f t="shared" si="53"/>
        <v>2.23E-2</v>
      </c>
      <c r="AA126" s="204">
        <f t="shared" si="39"/>
        <v>23.270199999999999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0"/>
        <v>214</v>
      </c>
      <c r="AE126" s="77" t="str">
        <f t="shared" si="4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126" s="74" t="str">
        <f t="shared" si="42"/>
        <v>"C:\Program Files (x86)\AstroGrep\AstroGrep.exe" /e /r /s /spath="%USERPROFILE%\AppData\Local\Temp\OnboardLogs" /stypes="app*4023*20171031*" /stext=" 01:.+((SYSTEM_STATE.+slice.+state.+changed )|(ment ac)|(multiple cpu faults)|(system.+state.+changed )|(\[timeout)|(PRM\|1\|D)|(kpr)|(kdp)|(train st.+moving)|(\|lc)|(penalty))"</v>
      </c>
      <c r="AG126" s="182" t="str">
        <f t="shared" si="43"/>
        <v>EC</v>
      </c>
      <c r="AH126" s="78" t="str">
        <f t="shared" si="44"/>
        <v>"%USERPROFILE%\Documents\GitHub\eaglep3\Utilities\RefineRTDCRunTimes.py" --tripid 214-30 --locoid 4023 --swversion DE.1.0.9.0 --startMP 204:232925 --initTime 2017-10-30T18:38:45 --startdatetime 2017-10-30T18:42:18 --delay 99 --endMP 204:223 --enddatetime 2017-10-30T19:19:28 --enforcementcount 0 &gt;&gt;%USERPROFILE%\Documents\GitHub\eaglep3-reporting\EC\2017-10-30-refined-times.txt</v>
      </c>
      <c r="AI12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{"issue":{"subject":"","project_id":79,"tracker_id":40,"status_id":1,"priority_id":2,"assigned_to_id":338,"start_date":"2017-10-30","description":"","custom_fields":[{"id":1,"name":"Subdivision","value":"EC"},{"id":4,"name":"Milepost","value":"0.0223"},{"id":17,"name":"Train ID","value":"214-30"},{"id":16,"name":"Locomotive ID","value":"4023"},{"id":130,"name":"Impact","value":""},{"id":150,"name":"Time of Event (Mountain Time)","value":"19:19:28"},{"id":151,"name":"Denver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6"/>
        <v>start /low /b %USERPROFILE%\Documents\GitHub\eaglep3\Utilities\DownloadLogsFromS3.py --loco 4023 --day 2017-10-30</v>
      </c>
      <c r="AN126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8"/>
        <v>https://d0f6bd738d7f1b3e5a7ca70fe4ff75f0.us-east-1.aws.found.io/app/kibana#/discover/Steve-Slow-Train-Analysis-(2080s-and-2083s)?_g=(refreshInterval:(display:Off,pause:!f,section:0,value:0),time:(from:'2017-10-30T17:38:45-0600',mode:absolute,to:'2017-10-30T20:19:28-0600'))&amp;_a=(columns:!('Message%20ID',Summary),filters:!(),index:'emp_*',interval:auto,query:(query_string:(analyze_wildcard:!t,query:'%22rtdc.l.rtdc.4023%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850</v>
      </c>
      <c r="B127" s="7">
        <v>4002</v>
      </c>
      <c r="C127" s="21" t="s">
        <v>194</v>
      </c>
      <c r="D127" s="21" t="s">
        <v>992</v>
      </c>
      <c r="E127" s="13">
        <v>43038.745833333334</v>
      </c>
      <c r="F127" s="13">
        <v>43038.750254629631</v>
      </c>
      <c r="G127" s="7">
        <v>67</v>
      </c>
      <c r="H127" s="21" t="s">
        <v>995</v>
      </c>
      <c r="I127" s="13">
        <v>43038.77652777778</v>
      </c>
      <c r="J127" s="7">
        <v>0</v>
      </c>
      <c r="K127" s="89" t="str">
        <f t="shared" si="32"/>
        <v>4001/4002</v>
      </c>
      <c r="L127" s="185" t="str">
        <f>VLOOKUP(A127,'Trips&amp;Operators'!$C$1:$G$99911,5,FALSE)</f>
        <v>STRICKLAND EVAN</v>
      </c>
      <c r="M127" s="6">
        <f t="shared" si="33"/>
        <v>2.6273148148902692E-2</v>
      </c>
      <c r="N127" s="7">
        <f t="shared" si="55"/>
        <v>37.833333334419876</v>
      </c>
      <c r="O127" s="7"/>
      <c r="P127" s="7"/>
      <c r="Q127" s="22"/>
      <c r="R127" s="174"/>
      <c r="S127" s="221">
        <f t="shared" si="56"/>
        <v>1</v>
      </c>
      <c r="T127" s="174" t="str">
        <f t="shared" si="35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6"/>
        <v>https://d0f6bd738d7f1b3e5a7ca70fe4ff75f0.us-east-1.aws.found.io/app/kibana#/discover/Steve-Slow-Train-Analysis-(2080s-and-2083s)?_g=(refreshInterval:(display:Off,pause:!f,section:0,value:0),time:(from:'2017-10-30T16:54:00-0600',mode:absolute,to:'2017-10-30T19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04" t="str">
        <f>IF(AA127&lt;VLOOKUP(AG127,Variables!$AC$3:$AD$8,2,FALSE),"Y","N")</f>
        <v>N</v>
      </c>
      <c r="X127" s="204">
        <f t="shared" si="54"/>
        <v>1</v>
      </c>
      <c r="Y127" s="204">
        <f t="shared" si="52"/>
        <v>5.3900000000000003E-2</v>
      </c>
      <c r="Z127" s="204">
        <f t="shared" si="53"/>
        <v>23.323799999999999</v>
      </c>
      <c r="AA127" s="204">
        <f t="shared" si="39"/>
        <v>23.2699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0"/>
        <v>215</v>
      </c>
      <c r="AE127" s="77" t="str">
        <f t="shared" si="41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127" s="74" t="str">
        <f t="shared" si="42"/>
        <v>"C:\Program Files (x86)\AstroGrep\AstroGrep.exe" /e /r /s /spath="%USERPROFILE%\AppData\Local\Temp\OnboardLogs" /stypes="app*4002*20171031*" /stext=" 00:.+((SYSTEM_STATE.+slice.+state.+changed )|(ment ac)|(multiple cpu faults)|(system.+state.+changed )|(\[timeout)|(PRM\|1\|D)|(kpr)|(kdp)|(train st.+moving)|(\|lc)|(penalty))"</v>
      </c>
      <c r="AG127" s="182" t="str">
        <f t="shared" si="43"/>
        <v>EC</v>
      </c>
      <c r="AH127" s="78" t="str">
        <f t="shared" si="44"/>
        <v>"%USERPROFILE%\Documents\GitHub\eaglep3\Utilities\RefineRTDCRunTimes.py" --tripid 215-30 --locoid 4002 --swversion DE.1.0.9.0 --startMP 204:539 --initTime 2017-10-30T17:54:00 --startdatetime 2017-10-30T18:00:22 --delay 67 --endMP 204:233238 --enddatetime 2017-10-30T18:38:12 --enforcementcount 0 &gt;&gt;%USERPROFILE%\Documents\GitHub\eaglep3-reporting\EC\2017-10-30-refined-times.txt</v>
      </c>
      <c r="AI127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{"issue":{"subject":"","project_id":79,"tracker_id":40,"status_id":1,"priority_id":2,"assigned_to_id":338,"start_date":"2017-10-30","description":"","custom_fields":[{"id":1,"name":"Subdivision","value":"EC"},{"id":4,"name":"Milepost","value":"23.3238"},{"id":17,"name":"Train ID","value":"215-30"},{"id":16,"name":"Locomotive ID","value":"4002"},{"id":130,"name":"Impact","value":""},{"id":150,"name":"Time of Event (Mountain Time)","value":"18:38:12"},{"id":151,"name":"Denver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6"/>
        <v>start /low /b %USERPROFILE%\Documents\GitHub\eaglep3\Utilities\DownloadLogsFromS3.py --loco 4002 --day 2017-10-30</v>
      </c>
      <c r="AN127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8"/>
        <v>https://d0f6bd738d7f1b3e5a7ca70fe4ff75f0.us-east-1.aws.found.io/app/kibana#/discover/Steve-Slow-Train-Analysis-(2080s-and-2083s)?_g=(refreshInterval:(display:Off,pause:!f,section:0,value:0),time:(from:'2017-10-30T16:54:00-0600',mode:absolute,to:'2017-10-30T19:38:12-0600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860</v>
      </c>
      <c r="B128" s="7">
        <v>4001</v>
      </c>
      <c r="C128" s="21" t="s">
        <v>194</v>
      </c>
      <c r="D128" s="21" t="s">
        <v>582</v>
      </c>
      <c r="E128" s="13">
        <v>43038.781273148146</v>
      </c>
      <c r="F128" s="13">
        <v>43038.78974537037</v>
      </c>
      <c r="G128" s="7">
        <v>62</v>
      </c>
      <c r="H128" s="21" t="s">
        <v>583</v>
      </c>
      <c r="I128" s="13">
        <v>43038.818020833336</v>
      </c>
      <c r="J128" s="7">
        <v>0</v>
      </c>
      <c r="K128" s="89" t="str">
        <f t="shared" si="32"/>
        <v>4001/4002</v>
      </c>
      <c r="L128" s="185" t="str">
        <f>VLOOKUP(A128,'Trips&amp;Operators'!$C$1:$G$99911,5,FALSE)</f>
        <v>STRICKLAND EVAN</v>
      </c>
      <c r="M128" s="6">
        <f t="shared" si="33"/>
        <v>2.8275462966121268E-2</v>
      </c>
      <c r="N128" s="7">
        <f t="shared" si="55"/>
        <v>40.716666671214625</v>
      </c>
      <c r="O128" s="7"/>
      <c r="P128" s="7"/>
      <c r="Q128" s="22"/>
      <c r="R128" s="174"/>
      <c r="S128" s="221">
        <f t="shared" si="56"/>
        <v>1</v>
      </c>
      <c r="T128" s="174" t="str">
        <f t="shared" si="35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6"/>
        <v>https://d0f6bd738d7f1b3e5a7ca70fe4ff75f0.us-east-1.aws.found.io/app/kibana#/discover/Steve-Slow-Train-Analysis-(2080s-and-2083s)?_g=(refreshInterval:(display:Off,pause:!f,section:0,value:0),time:(from:'2017-10-30T17:45:02-0600',mode:absolute,to:'2017-10-30T20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04" t="str">
        <f>IF(AA128&lt;VLOOKUP(AG128,Variables!$AC$3:$AD$8,2,FALSE),"Y","N")</f>
        <v>N</v>
      </c>
      <c r="X128" s="204">
        <f t="shared" si="54"/>
        <v>1</v>
      </c>
      <c r="Y128" s="204">
        <f t="shared" si="52"/>
        <v>23.2911</v>
      </c>
      <c r="Z128" s="204">
        <f t="shared" si="53"/>
        <v>2.4E-2</v>
      </c>
      <c r="AA128" s="204">
        <f t="shared" si="39"/>
        <v>23.267099999999999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0"/>
        <v>216</v>
      </c>
      <c r="AE128" s="77" t="str">
        <f t="shared" si="41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128" s="74" t="str">
        <f t="shared" si="42"/>
        <v>"C:\Program Files (x86)\AstroGrep\AstroGrep.exe" /e /r /s /spath="%USERPROFILE%\AppData\Local\Temp\OnboardLogs" /stypes="app*4001*20171031*" /stext=" 01:.+((SYSTEM_STATE.+slice.+state.+changed )|(ment ac)|(multiple cpu faults)|(system.+state.+changed )|(\[timeout)|(PRM\|1\|D)|(kpr)|(kdp)|(train st.+moving)|(\|lc)|(penalty))"</v>
      </c>
      <c r="AG128" s="182" t="str">
        <f t="shared" si="43"/>
        <v>EC</v>
      </c>
      <c r="AH128" s="78" t="str">
        <f t="shared" si="44"/>
        <v>"%USERPROFILE%\Documents\GitHub\eaglep3\Utilities\RefineRTDCRunTimes.py" --tripid 216-30 --locoid 4001 --swversion DE.1.0.9.0 --startMP 204:232911 --initTime 2017-10-30T18:45:02 --startdatetime 2017-10-30T18:57:14 --delay 62 --endMP 204:240 --enddatetime 2017-10-30T19:37:57 --enforcementcount 0 &gt;&gt;%USERPROFILE%\Documents\GitHub\eaglep3-reporting\EC\2017-10-30-refined-times.txt</v>
      </c>
      <c r="AI12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{"issue":{"subject":"","project_id":79,"tracker_id":40,"status_id":1,"priority_id":2,"assigned_to_id":338,"start_date":"2017-10-30","description":"","custom_fields":[{"id":1,"name":"Subdivision","value":"EC"},{"id":4,"name":"Milepost","value":"0.024"},{"id":17,"name":"Train ID","value":"216-30"},{"id":16,"name":"Locomotive ID","value":"4001"},{"id":130,"name":"Impact","value":""},{"id":150,"name":"Time of Event (Mountain Time)","value":"19:37:57"},{"id":151,"name":"Denver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6"/>
        <v>start /low /b %USERPROFILE%\Documents\GitHub\eaglep3\Utilities\DownloadLogsFromS3.py --loco 4001 --day 2017-10-30</v>
      </c>
      <c r="AN128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8"/>
        <v>https://d0f6bd738d7f1b3e5a7ca70fe4ff75f0.us-east-1.aws.found.io/app/kibana#/discover/Steve-Slow-Train-Analysis-(2080s-and-2083s)?_g=(refreshInterval:(display:Off,pause:!f,section:0,value:0),time:(from:'2017-10-30T17:45:02-0600',mode:absolute,to:'2017-10-30T20:37:57-0600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853</v>
      </c>
      <c r="B129" s="7">
        <v>4050</v>
      </c>
      <c r="C129" s="21" t="s">
        <v>194</v>
      </c>
      <c r="D129" s="21" t="s">
        <v>526</v>
      </c>
      <c r="E129" s="13">
        <v>43038.758009259262</v>
      </c>
      <c r="F129" s="13">
        <v>43038.760752314818</v>
      </c>
      <c r="G129" s="7">
        <v>70</v>
      </c>
      <c r="H129" s="21" t="s">
        <v>601</v>
      </c>
      <c r="I129" s="13">
        <v>43038.786493055559</v>
      </c>
      <c r="J129" s="7">
        <v>0</v>
      </c>
      <c r="K129" s="89" t="str">
        <f t="shared" si="32"/>
        <v>4049/4050</v>
      </c>
      <c r="L129" s="185" t="str">
        <f>VLOOKUP(A129,'Trips&amp;Operators'!$C$1:$G$99911,5,FALSE)</f>
        <v>RESPASS AARON</v>
      </c>
      <c r="M129" s="6">
        <f t="shared" si="33"/>
        <v>2.5740740740729962E-2</v>
      </c>
      <c r="N129" s="7">
        <f t="shared" si="55"/>
        <v>37.066666666651145</v>
      </c>
      <c r="O129" s="7"/>
      <c r="P129" s="7"/>
      <c r="Q129" s="22"/>
      <c r="R129" s="174"/>
      <c r="S129" s="221">
        <f t="shared" si="56"/>
        <v>1</v>
      </c>
      <c r="T129" s="174" t="str">
        <f t="shared" si="35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6"/>
        <v>https://d0f6bd738d7f1b3e5a7ca70fe4ff75f0.us-east-1.aws.found.io/app/kibana#/discover/Steve-Slow-Train-Analysis-(2080s-and-2083s)?_g=(refreshInterval:(display:Off,pause:!f,section:0,value:0),time:(from:'2017-10-30T17:11:32-0600',mode:absolute,to:'2017-10-30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04" t="str">
        <f>IF(AA129&lt;VLOOKUP(AG129,Variables!$AC$3:$AD$8,2,FALSE),"Y","N")</f>
        <v>N</v>
      </c>
      <c r="X129" s="204">
        <f t="shared" si="54"/>
        <v>1</v>
      </c>
      <c r="Y129" s="204">
        <f t="shared" si="52"/>
        <v>5.11E-2</v>
      </c>
      <c r="Z129" s="204">
        <f t="shared" si="53"/>
        <v>23.320900000000002</v>
      </c>
      <c r="AA129" s="204">
        <f t="shared" si="39"/>
        <v>23.2698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0"/>
        <v>217</v>
      </c>
      <c r="AE129" s="77" t="str">
        <f t="shared" si="41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29" s="74" t="str">
        <f t="shared" si="42"/>
        <v>"C:\Program Files (x86)\AstroGrep\AstroGrep.exe" /e /r /s /spath="%USERPROFILE%\AppData\Local\Temp\OnboardLogs" /stypes="app*4050*20171031*" /stext=" 00:.+((SYSTEM_STATE.+slice.+state.+changed )|(ment ac)|(multiple cpu faults)|(system.+state.+changed )|(\[timeout)|(PRM\|1\|D)|(kpr)|(kdp)|(train st.+moving)|(\|lc)|(penalty))"</v>
      </c>
      <c r="AG129" s="182" t="str">
        <f t="shared" si="43"/>
        <v>EC</v>
      </c>
      <c r="AH129" s="78" t="str">
        <f t="shared" si="44"/>
        <v>"%USERPROFILE%\Documents\GitHub\eaglep3\Utilities\RefineRTDCRunTimes.py" --tripid 217-30 --locoid 4050 --swversion DE.1.0.9.0 --startMP 204:511 --initTime 2017-10-30T18:11:32 --startdatetime 2017-10-30T18:15:29 --delay 70 --endMP 204:233209 --enddatetime 2017-10-30T18:52:33 --enforcementcount 0 &gt;&gt;%USERPROFILE%\Documents\GitHub\eaglep3-reporting\EC\2017-10-30-refined-times.txt</v>
      </c>
      <c r="AI12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{"issue":{"subject":"","project_id":79,"tracker_id":40,"status_id":1,"priority_id":2,"assigned_to_id":338,"start_date":"2017-10-30","description":"","custom_fields":[{"id":1,"name":"Subdivision","value":"EC"},{"id":4,"name":"Milepost","value":"23.3209"},{"id":17,"name":"Train ID","value":"217-30"},{"id":16,"name":"Locomotive ID","value":"4050"},{"id":130,"name":"Impact","value":""},{"id":150,"name":"Time of Event (Mountain Time)","value":"18:52:33"},{"id":151,"name":"Denver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6"/>
        <v>start /low /b %USERPROFILE%\Documents\GitHub\eaglep3\Utilities\DownloadLogsFromS3.py --loco 4050 --day 2017-10-30</v>
      </c>
      <c r="AN129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8"/>
        <v>https://d0f6bd738d7f1b3e5a7ca70fe4ff75f0.us-east-1.aws.found.io/app/kibana#/discover/Steve-Slow-Train-Analysis-(2080s-and-2083s)?_g=(refreshInterval:(display:Off,pause:!f,section:0,value:0),time:(from:'2017-10-30T17:11:32-0600',mode:absolute,to:'2017-10-30T19:52:33-0600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864</v>
      </c>
      <c r="B130" s="7">
        <v>4049</v>
      </c>
      <c r="C130" s="21" t="s">
        <v>194</v>
      </c>
      <c r="D130" s="21" t="s">
        <v>986</v>
      </c>
      <c r="E130" s="13">
        <v>43038.796550925923</v>
      </c>
      <c r="F130" s="13">
        <v>43038.800208333334</v>
      </c>
      <c r="G130" s="7">
        <v>130</v>
      </c>
      <c r="H130" s="21" t="s">
        <v>634</v>
      </c>
      <c r="I130" s="13">
        <v>43038.825613425928</v>
      </c>
      <c r="J130" s="7">
        <v>0</v>
      </c>
      <c r="K130" s="89" t="str">
        <f t="shared" si="32"/>
        <v>4049/4050</v>
      </c>
      <c r="L130" s="185" t="str">
        <f>VLOOKUP(A130,'Trips&amp;Operators'!$C$1:$G$99911,5,FALSE)</f>
        <v>RESPASS AARON</v>
      </c>
      <c r="M130" s="6">
        <f t="shared" si="33"/>
        <v>2.5405092594155576E-2</v>
      </c>
      <c r="N130" s="7">
        <f t="shared" si="55"/>
        <v>36.58333333558403</v>
      </c>
      <c r="O130" s="7"/>
      <c r="P130" s="7"/>
      <c r="Q130" s="22"/>
      <c r="R130" s="174"/>
      <c r="S130" s="221">
        <f t="shared" si="56"/>
        <v>1</v>
      </c>
      <c r="T130" s="174" t="str">
        <f t="shared" si="35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6"/>
        <v>https://d0f6bd738d7f1b3e5a7ca70fe4ff75f0.us-east-1.aws.found.io/app/kibana#/discover/Steve-Slow-Train-Analysis-(2080s-and-2083s)?_g=(refreshInterval:(display:Off,pause:!f,section:0,value:0),time:(from:'2017-10-30T18:07:02-0600',mode:absolute,to:'2017-10-30T20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04" t="str">
        <f>IF(AA130&lt;VLOOKUP(AG130,Variables!$AC$3:$AD$8,2,FALSE),"Y","N")</f>
        <v>N</v>
      </c>
      <c r="X130" s="204">
        <f t="shared" si="54"/>
        <v>1</v>
      </c>
      <c r="Y130" s="204">
        <f t="shared" si="52"/>
        <v>23.288799999999998</v>
      </c>
      <c r="Z130" s="204">
        <f t="shared" si="53"/>
        <v>2.69E-2</v>
      </c>
      <c r="AA130" s="204">
        <f t="shared" si="39"/>
        <v>23.261899999999997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0"/>
        <v>218</v>
      </c>
      <c r="AE130" s="77" t="str">
        <f t="shared" si="41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130" s="74" t="str">
        <f t="shared" si="42"/>
        <v>"C:\Program Files (x86)\AstroGrep\AstroGrep.exe" /e /r /s /spath="%USERPROFILE%\AppData\Local\Temp\OnboardLogs" /stypes="app*4049*20171031*" /stext=" 01:.+((SYSTEM_STATE.+slice.+state.+changed )|(ment ac)|(multiple cpu faults)|(system.+state.+changed )|(\[timeout)|(PRM\|1\|D)|(kpr)|(kdp)|(train st.+moving)|(\|lc)|(penalty))"</v>
      </c>
      <c r="AG130" s="182" t="str">
        <f t="shared" si="43"/>
        <v>EC</v>
      </c>
      <c r="AH130" s="78" t="str">
        <f t="shared" si="44"/>
        <v>"%USERPROFILE%\Documents\GitHub\eaglep3\Utilities\RefineRTDCRunTimes.py" --tripid 218-30 --locoid 4049 --swversion DE.1.0.9.0 --startMP 204:232888 --initTime 2017-10-30T19:07:02 --startdatetime 2017-10-30T19:12:18 --delay 130 --endMP 204:269 --enddatetime 2017-10-30T19:48:53 --enforcementcount 0 &gt;&gt;%USERPROFILE%\Documents\GitHub\eaglep3-reporting\EC\2017-10-30-refined-times.txt</v>
      </c>
      <c r="AI13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{"issue":{"subject":"","project_id":79,"tracker_id":40,"status_id":1,"priority_id":2,"assigned_to_id":338,"start_date":"2017-10-30","description":"","custom_fields":[{"id":1,"name":"Subdivision","value":"EC"},{"id":4,"name":"Milepost","value":"0.0269"},{"id":17,"name":"Train ID","value":"218-30"},{"id":16,"name":"Locomotive ID","value":"4049"},{"id":130,"name":"Impact","value":""},{"id":150,"name":"Time of Event (Mountain Time)","value":"19:48:53"},{"id":151,"name":"Denver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6"/>
        <v>start /low /b %USERPROFILE%\Documents\GitHub\eaglep3\Utilities\DownloadLogsFromS3.py --loco 4049 --day 2017-10-30</v>
      </c>
      <c r="AN130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8"/>
        <v>https://d0f6bd738d7f1b3e5a7ca70fe4ff75f0.us-east-1.aws.found.io/app/kibana#/discover/Steve-Slow-Train-Analysis-(2080s-and-2083s)?_g=(refreshInterval:(display:Off,pause:!f,section:0,value:0),time:(from:'2017-10-30T18:07:02-0600',mode:absolute,to:'2017-10-30T20:48:53-0600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855</v>
      </c>
      <c r="B131" s="7">
        <v>4004</v>
      </c>
      <c r="C131" s="21" t="s">
        <v>194</v>
      </c>
      <c r="D131" s="21" t="s">
        <v>598</v>
      </c>
      <c r="E131" s="13">
        <v>43038.768796296295</v>
      </c>
      <c r="F131" s="13">
        <v>43038.771111111113</v>
      </c>
      <c r="G131" s="7">
        <v>73</v>
      </c>
      <c r="H131" s="21" t="s">
        <v>610</v>
      </c>
      <c r="I131" s="13">
        <v>43038.796863425923</v>
      </c>
      <c r="J131" s="7">
        <v>0</v>
      </c>
      <c r="K131" s="89" t="str">
        <f t="shared" si="32"/>
        <v>4003/4004</v>
      </c>
      <c r="L131" s="185" t="str">
        <f>VLOOKUP(A131,'Trips&amp;Operators'!$C$1:$G$99911,5,FALSE)</f>
        <v>WILLIAMS DONTE</v>
      </c>
      <c r="M131" s="6">
        <f t="shared" si="33"/>
        <v>2.5752314810233656E-2</v>
      </c>
      <c r="N131" s="7">
        <f t="shared" si="55"/>
        <v>37.083333326736465</v>
      </c>
      <c r="O131" s="7"/>
      <c r="P131" s="7"/>
      <c r="Q131" s="22"/>
      <c r="R131" s="174"/>
      <c r="S131" s="221">
        <f t="shared" si="56"/>
        <v>1</v>
      </c>
      <c r="T131" s="174" t="str">
        <f t="shared" si="35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6"/>
        <v>https://d0f6bd738d7f1b3e5a7ca70fe4ff75f0.us-east-1.aws.found.io/app/kibana#/discover/Steve-Slow-Train-Analysis-(2080s-and-2083s)?_g=(refreshInterval:(display:Off,pause:!f,section:0,value:0),time:(from:'2017-10-30T17:27:04-0600',mode:absolute,to:'2017-10-30T20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204" t="str">
        <f>IF(AA131&lt;VLOOKUP(AG131,Variables!$AC$3:$AD$8,2,FALSE),"Y","N")</f>
        <v>N</v>
      </c>
      <c r="X131" s="204">
        <f t="shared" si="54"/>
        <v>1</v>
      </c>
      <c r="Y131" s="204">
        <f t="shared" si="52"/>
        <v>5.7500000000000002E-2</v>
      </c>
      <c r="Z131" s="204">
        <f t="shared" si="53"/>
        <v>23.323399999999999</v>
      </c>
      <c r="AA131" s="204">
        <f t="shared" si="39"/>
        <v>23.265899999999998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0"/>
        <v>219</v>
      </c>
      <c r="AE131" s="77" t="str">
        <f t="shared" si="4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131" s="74" t="str">
        <f t="shared" si="42"/>
        <v>"C:\Program Files (x86)\AstroGrep\AstroGrep.exe" /e /r /s /spath="%USERPROFILE%\AppData\Local\Temp\OnboardLogs" /stypes="app*4004*20171031*" /stext=" 01:.+((SYSTEM_STATE.+slice.+state.+changed )|(ment ac)|(multiple cpu faults)|(system.+state.+changed )|(\[timeout)|(PRM\|1\|D)|(kpr)|(kdp)|(train st.+moving)|(\|lc)|(penalty))"</v>
      </c>
      <c r="AG131" s="182" t="str">
        <f t="shared" si="43"/>
        <v>EC</v>
      </c>
      <c r="AH131" s="78" t="str">
        <f t="shared" si="44"/>
        <v>"%USERPROFILE%\Documents\GitHub\eaglep3\Utilities\RefineRTDCRunTimes.py" --tripid 219-30 --locoid 4004 --swversion DE.1.0.9.0 --startMP 204:575 --initTime 2017-10-30T18:27:04 --startdatetime 2017-10-30T18:30:24 --delay 73 --endMP 204:233234 --enddatetime 2017-10-30T19:07:29 --enforcementcount 0 &gt;&gt;%USERPROFILE%\Documents\GitHub\eaglep3-reporting\EC\2017-10-30-refined-times.txt</v>
      </c>
      <c r="AI131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{"issue":{"subject":"","project_id":79,"tracker_id":40,"status_id":1,"priority_id":2,"assigned_to_id":338,"start_date":"2017-10-30","description":"","custom_fields":[{"id":1,"name":"Subdivision","value":"EC"},{"id":4,"name":"Milepost","value":"23.3234"},{"id":17,"name":"Train ID","value":"219-30"},{"id":16,"name":"Locomotive ID","value":"4004"},{"id":130,"name":"Impact","value":""},{"id":150,"name":"Time of Event (Mountain Time)","value":"19:07:29"},{"id":151,"name":"Denver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6"/>
        <v>start /low /b %USERPROFILE%\Documents\GitHub\eaglep3\Utilities\DownloadLogsFromS3.py --loco 4004 --day 2017-10-30</v>
      </c>
      <c r="AN131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8"/>
        <v>https://d0f6bd738d7f1b3e5a7ca70fe4ff75f0.us-east-1.aws.found.io/app/kibana#/discover/Steve-Slow-Train-Analysis-(2080s-and-2083s)?_g=(refreshInterval:(display:Off,pause:!f,section:0,value:0),time:(from:'2017-10-30T17:27:04-0600',mode:absolute,to:'2017-10-30T20:07:29-0600'))&amp;_a=(columns:!('Message%20ID',Summary),filters:!(),index:'emp_*',interval:auto,query:(query_string:(analyze_wildcard:!t,query:'%22rtdc.l.rtdc.4004%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866</v>
      </c>
      <c r="B132" s="7">
        <v>4003</v>
      </c>
      <c r="C132" s="21" t="s">
        <v>194</v>
      </c>
      <c r="D132" s="21" t="s">
        <v>996</v>
      </c>
      <c r="E132" s="13">
        <v>43038.804571759261</v>
      </c>
      <c r="F132" s="13">
        <v>43038.810659722221</v>
      </c>
      <c r="G132" s="7">
        <v>92</v>
      </c>
      <c r="H132" s="21" t="s">
        <v>997</v>
      </c>
      <c r="I132" s="13">
        <v>43038.838437500002</v>
      </c>
      <c r="J132" s="7">
        <v>0</v>
      </c>
      <c r="K132" s="89" t="str">
        <f t="shared" si="32"/>
        <v>4003/4004</v>
      </c>
      <c r="L132" s="185" t="str">
        <f>VLOOKUP(A132,'Trips&amp;Operators'!$C$1:$G$99911,5,FALSE)</f>
        <v>WILLIAMS DONTE</v>
      </c>
      <c r="M132" s="6">
        <f t="shared" si="33"/>
        <v>2.7777777781011537E-2</v>
      </c>
      <c r="N132" s="7">
        <f t="shared" si="55"/>
        <v>40.000000004656613</v>
      </c>
      <c r="O132" s="7"/>
      <c r="P132" s="7"/>
      <c r="Q132" s="22"/>
      <c r="R132" s="174"/>
      <c r="S132" s="221">
        <f t="shared" si="56"/>
        <v>1</v>
      </c>
      <c r="T132" s="174" t="str">
        <f t="shared" si="35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6"/>
        <v>https://d0f6bd738d7f1b3e5a7ca70fe4ff75f0.us-east-1.aws.found.io/app/kibana#/discover/Steve-Slow-Train-Analysis-(2080s-and-2083s)?_g=(refreshInterval:(display:Off,pause:!f,section:0,value:0),time:(from:'2017-10-30T18:18:35-0600',mode:absolute,to:'2017-10-30T21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204" t="str">
        <f>IF(AA132&lt;VLOOKUP(AG132,Variables!$AC$3:$AD$8,2,FALSE),"Y","N")</f>
        <v>N</v>
      </c>
      <c r="X132" s="204">
        <f t="shared" si="54"/>
        <v>1</v>
      </c>
      <c r="Y132" s="204">
        <f t="shared" si="52"/>
        <v>23.294499999999999</v>
      </c>
      <c r="Z132" s="204">
        <f t="shared" si="53"/>
        <v>1.8499999999999999E-2</v>
      </c>
      <c r="AA132" s="204">
        <f t="shared" si="39"/>
        <v>23.276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0"/>
        <v>220</v>
      </c>
      <c r="AE132" s="77" t="str">
        <f t="shared" si="4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132" s="74" t="str">
        <f t="shared" si="42"/>
        <v>"C:\Program Files (x86)\AstroGrep\AstroGrep.exe" /e /r /s /spath="%USERPROFILE%\AppData\Local\Temp\OnboardLogs" /stypes="app*4003*20171031*" /stext=" 02:.+((SYSTEM_STATE.+slice.+state.+changed )|(ment ac)|(multiple cpu faults)|(system.+state.+changed )|(\[timeout)|(PRM\|1\|D)|(kpr)|(kdp)|(train st.+moving)|(\|lc)|(penalty))"</v>
      </c>
      <c r="AG132" s="182" t="str">
        <f t="shared" si="43"/>
        <v>EC</v>
      </c>
      <c r="AH132" s="78" t="str">
        <f t="shared" si="44"/>
        <v>"%USERPROFILE%\Documents\GitHub\eaglep3\Utilities\RefineRTDCRunTimes.py" --tripid 220-30 --locoid 4003 --swversion DE.1.0.9.0 --startMP 204:232945 --initTime 2017-10-30T19:18:35 --startdatetime 2017-10-30T19:27:21 --delay 92 --endMP 204:185 --enddatetime 2017-10-30T20:07:21 --enforcementcount 0 &gt;&gt;%USERPROFILE%\Documents\GitHub\eaglep3-reporting\EC\2017-10-30-refined-times.txt</v>
      </c>
      <c r="AI132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{"issue":{"subject":"","project_id":79,"tracker_id":40,"status_id":1,"priority_id":2,"assigned_to_id":338,"start_date":"2017-10-30","description":"","custom_fields":[{"id":1,"name":"Subdivision","value":"EC"},{"id":4,"name":"Milepost","value":"0.0185"},{"id":17,"name":"Train ID","value":"220-30"},{"id":16,"name":"Locomotive ID","value":"4003"},{"id":130,"name":"Impact","value":""},{"id":150,"name":"Time of Event (Mountain Time)","value":"20:07:21"},{"id":151,"name":"Denver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6"/>
        <v>start /low /b %USERPROFILE%\Documents\GitHub\eaglep3\Utilities\DownloadLogsFromS3.py --loco 4003 --day 2017-10-30</v>
      </c>
      <c r="AN132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8"/>
        <v>https://d0f6bd738d7f1b3e5a7ca70fe4ff75f0.us-east-1.aws.found.io/app/kibana#/discover/Steve-Slow-Train-Analysis-(2080s-and-2083s)?_g=(refreshInterval:(display:Off,pause:!f,section:0,value:0),time:(from:'2017-10-30T18:18:35-0600',mode:absolute,to:'2017-10-30T21:07:21-0600'))&amp;_a=(columns:!('Message%20ID',Summary),filters:!(),index:'emp_*',interval:auto,query:(query_string:(analyze_wildcard:!t,query:'%22rtdc.l.rtdc.4003%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861</v>
      </c>
      <c r="B133" s="7">
        <v>4032</v>
      </c>
      <c r="C133" s="21" t="s">
        <v>194</v>
      </c>
      <c r="D133" s="21" t="s">
        <v>578</v>
      </c>
      <c r="E133" s="13">
        <v>43038.786782407406</v>
      </c>
      <c r="F133" s="13">
        <v>43038.792442129627</v>
      </c>
      <c r="G133" s="7">
        <v>95</v>
      </c>
      <c r="H133" s="21" t="s">
        <v>645</v>
      </c>
      <c r="I133" s="13">
        <v>43038.816331018519</v>
      </c>
      <c r="J133" s="7">
        <v>0</v>
      </c>
      <c r="K133" s="89" t="str">
        <f t="shared" si="32"/>
        <v>4031/4032</v>
      </c>
      <c r="L133" s="185" t="str">
        <f>VLOOKUP(A133,'Trips&amp;Operators'!$C$1:$G$99911,5,FALSE)</f>
        <v>ELBAUM MIKE</v>
      </c>
      <c r="M133" s="6">
        <f t="shared" si="33"/>
        <v>2.3888888892543036E-2</v>
      </c>
      <c r="N133" s="7">
        <f t="shared" si="55"/>
        <v>34.400000005261973</v>
      </c>
      <c r="O133" s="7"/>
      <c r="P133" s="7"/>
      <c r="Q133" s="22"/>
      <c r="R133" s="174"/>
      <c r="S133" s="221">
        <f t="shared" si="56"/>
        <v>1</v>
      </c>
      <c r="T133" s="174" t="str">
        <f t="shared" si="35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6"/>
        <v>https://d0f6bd738d7f1b3e5a7ca70fe4ff75f0.us-east-1.aws.found.io/app/kibana#/discover/Steve-Slow-Train-Analysis-(2080s-and-2083s)?_g=(refreshInterval:(display:Off,pause:!f,section:0,value:0),time:(from:'2017-10-30T17:52:58-0600',mode:absolute,to:'2017-10-30T20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204" t="str">
        <f>IF(AA133&lt;VLOOKUP(AG133,Variables!$AC$3:$AD$8,2,FALSE),"Y","N")</f>
        <v>N</v>
      </c>
      <c r="X133" s="204">
        <f t="shared" si="54"/>
        <v>1</v>
      </c>
      <c r="Y133" s="204">
        <f t="shared" si="52"/>
        <v>5.4899999999999997E-2</v>
      </c>
      <c r="Z133" s="204">
        <f t="shared" si="53"/>
        <v>23.331199999999999</v>
      </c>
      <c r="AA133" s="204">
        <f t="shared" si="39"/>
        <v>23.276299999999999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0"/>
        <v>221</v>
      </c>
      <c r="AE133" s="77" t="str">
        <f t="shared" si="41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33" s="74" t="str">
        <f t="shared" si="42"/>
        <v>"C:\Program Files (x86)\AstroGrep\AstroGrep.exe" /e /r /s /spath="%USERPROFILE%\AppData\Local\Temp\OnboardLogs" /stypes="app*4032*20171031*" /stext=" 01:.+((SYSTEM_STATE.+slice.+state.+changed )|(ment ac)|(multiple cpu faults)|(system.+state.+changed )|(\[timeout)|(PRM\|1\|D)|(kpr)|(kdp)|(train st.+moving)|(\|lc)|(penalty))"</v>
      </c>
      <c r="AG133" s="182" t="str">
        <f t="shared" si="43"/>
        <v>EC</v>
      </c>
      <c r="AH133" s="78" t="str">
        <f t="shared" si="44"/>
        <v>"%USERPROFILE%\Documents\GitHub\eaglep3\Utilities\RefineRTDCRunTimes.py" --tripid 221-30 --locoid 4032 --swversion DE.1.0.9.0 --startMP 204:549 --initTime 2017-10-30T18:52:58 --startdatetime 2017-10-30T19:01:07 --delay 95 --endMP 204:233312 --enddatetime 2017-10-30T19:35:31 --enforcementcount 0 &gt;&gt;%USERPROFILE%\Documents\GitHub\eaglep3-reporting\EC\2017-10-30-refined-times.txt</v>
      </c>
      <c r="AI133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{"issue":{"subject":"","project_id":79,"tracker_id":40,"status_id":1,"priority_id":2,"assigned_to_id":338,"start_date":"2017-10-30","description":"","custom_fields":[{"id":1,"name":"Subdivision","value":"EC"},{"id":4,"name":"Milepost","value":"23.3312"},{"id":17,"name":"Train ID","value":"221-30"},{"id":16,"name":"Locomotive ID","value":"4032"},{"id":130,"name":"Impact","value":""},{"id":150,"name":"Time of Event (Mountain Time)","value":"19:35:31"},{"id":151,"name":"Denver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6"/>
        <v>start /low /b %USERPROFILE%\Documents\GitHub\eaglep3\Utilities\DownloadLogsFromS3.py --loco 4032 --day 2017-10-30</v>
      </c>
      <c r="AN133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8"/>
        <v>https://d0f6bd738d7f1b3e5a7ca70fe4ff75f0.us-east-1.aws.found.io/app/kibana#/discover/Steve-Slow-Train-Analysis-(2080s-and-2083s)?_g=(refreshInterval:(display:Off,pause:!f,section:0,value:0),time:(from:'2017-10-30T17:52:58-0600',mode:absolute,to:'2017-10-30T20:35:31-0600'))&amp;_a=(columns:!('Message%20ID',Summary),filters:!(),index:'emp_*',interval:auto,query:(query_string:(analyze_wildcard:!t,query:'%22rtdc.l.rtdc.4032%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868</v>
      </c>
      <c r="B134" s="7">
        <v>4031</v>
      </c>
      <c r="C134" s="21" t="s">
        <v>194</v>
      </c>
      <c r="D134" s="21" t="s">
        <v>648</v>
      </c>
      <c r="E134" s="13">
        <v>43038.817361111112</v>
      </c>
      <c r="F134" s="13">
        <v>43038.831400462965</v>
      </c>
      <c r="G134" s="7">
        <v>77</v>
      </c>
      <c r="H134" s="21" t="s">
        <v>640</v>
      </c>
      <c r="I134" s="13">
        <v>43038.856863425928</v>
      </c>
      <c r="J134" s="7">
        <v>0</v>
      </c>
      <c r="K134" s="89" t="str">
        <f t="shared" si="32"/>
        <v>4031/4032</v>
      </c>
      <c r="L134" s="185" t="str">
        <f>VLOOKUP(A134,'Trips&amp;Operators'!$C$1:$G$99911,5,FALSE)</f>
        <v>ELBAUM MIKE</v>
      </c>
      <c r="M134" s="6">
        <f t="shared" si="33"/>
        <v>2.5462962963501923E-2</v>
      </c>
      <c r="N134" s="7">
        <f t="shared" si="55"/>
        <v>36.666666667442769</v>
      </c>
      <c r="O134" s="7"/>
      <c r="P134" s="7"/>
      <c r="Q134" s="22"/>
      <c r="R134" s="174"/>
      <c r="S134" s="221">
        <f t="shared" si="56"/>
        <v>1</v>
      </c>
      <c r="T134" s="174" t="str">
        <f t="shared" si="35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6"/>
        <v>https://d0f6bd738d7f1b3e5a7ca70fe4ff75f0.us-east-1.aws.found.io/app/kibana#/discover/Steve-Slow-Train-Analysis-(2080s-and-2083s)?_g=(refreshInterval:(display:Off,pause:!f,section:0,value:0),time:(from:'2017-10-30T18:37:00-0600',mode:absolute,to:'2017-10-30T21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204" t="str">
        <f>IF(AA134&lt;VLOOKUP(AG134,Variables!$AC$3:$AD$8,2,FALSE),"Y","N")</f>
        <v>N</v>
      </c>
      <c r="X134" s="204">
        <f t="shared" si="54"/>
        <v>1</v>
      </c>
      <c r="Y134" s="204">
        <f t="shared" si="52"/>
        <v>23.299600000000002</v>
      </c>
      <c r="Z134" s="204">
        <f t="shared" si="53"/>
        <v>2.5999999999999999E-2</v>
      </c>
      <c r="AA134" s="204">
        <f t="shared" si="39"/>
        <v>23.273600000000002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0"/>
        <v>222</v>
      </c>
      <c r="AE134" s="77" t="str">
        <f t="shared" si="41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34" s="74" t="str">
        <f t="shared" si="42"/>
        <v>"C:\Program Files (x86)\AstroGrep\AstroGrep.exe" /e /r /s /spath="%USERPROFILE%\AppData\Local\Temp\OnboardLogs" /stypes="app*4031*20171031*" /stext=" 02:.+((SYSTEM_STATE.+slice.+state.+changed )|(ment ac)|(multiple cpu faults)|(system.+state.+changed )|(\[timeout)|(PRM\|1\|D)|(kpr)|(kdp)|(train st.+moving)|(\|lc)|(penalty))"</v>
      </c>
      <c r="AG134" s="182" t="str">
        <f t="shared" si="43"/>
        <v>EC</v>
      </c>
      <c r="AH134" s="78" t="str">
        <f t="shared" si="44"/>
        <v>"%USERPROFILE%\Documents\GitHub\eaglep3\Utilities\RefineRTDCRunTimes.py" --tripid 222-30 --locoid 4031 --swversion DE.1.0.9.0 --startMP 204:232996 --initTime 2017-10-30T19:37:00 --startdatetime 2017-10-30T19:57:13 --delay 77 --endMP 204:260 --enddatetime 2017-10-30T20:33:53 --enforcementcount 0 &gt;&gt;%USERPROFILE%\Documents\GitHub\eaglep3-reporting\EC\2017-10-30-refined-times.txt</v>
      </c>
      <c r="AI134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{"issue":{"subject":"","project_id":79,"tracker_id":40,"status_id":1,"priority_id":2,"assigned_to_id":338,"start_date":"2017-10-30","description":"","custom_fields":[{"id":1,"name":"Subdivision","value":"EC"},{"id":4,"name":"Milepost","value":"0.026"},{"id":17,"name":"Train ID","value":"222-30"},{"id":16,"name":"Locomotive ID","value":"4031"},{"id":130,"name":"Impact","value":""},{"id":150,"name":"Time of Event (Mountain Time)","value":"20:33:53"},{"id":151,"name":"Denver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6"/>
        <v>start /low /b %USERPROFILE%\Documents\GitHub\eaglep3\Utilities\DownloadLogsFromS3.py --loco 4031 --day 2017-10-30</v>
      </c>
      <c r="AN134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8"/>
        <v>https://d0f6bd738d7f1b3e5a7ca70fe4ff75f0.us-east-1.aws.found.io/app/kibana#/discover/Steve-Slow-Train-Analysis-(2080s-and-2083s)?_g=(refreshInterval:(display:Off,pause:!f,section:0,value:0),time:(from:'2017-10-30T18:37:00-0600',mode:absolute,to:'2017-10-30T21:33:53-0600'))&amp;_a=(columns:!('Message%20ID',Summary),filters:!(),index:'emp_*',interval:auto,query:(query_string:(analyze_wildcard:!t,query:'%22rtdc.l.rtdc.4031%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667</v>
      </c>
      <c r="B135" s="7">
        <v>4024</v>
      </c>
      <c r="C135" s="21" t="s">
        <v>194</v>
      </c>
      <c r="D135" s="21" t="s">
        <v>998</v>
      </c>
      <c r="E135" s="13">
        <v>43038.808275462965</v>
      </c>
      <c r="F135" s="13">
        <v>43038.812893518516</v>
      </c>
      <c r="G135" s="7">
        <v>104</v>
      </c>
      <c r="H135" s="21" t="s">
        <v>641</v>
      </c>
      <c r="I135" s="13">
        <v>43038.83865740741</v>
      </c>
      <c r="J135" s="7">
        <v>0</v>
      </c>
      <c r="K135" s="89" t="str">
        <f t="shared" si="32"/>
        <v>4023/4024</v>
      </c>
      <c r="L135" s="185" t="str">
        <f>VLOOKUP(A135,'Trips&amp;Operators'!$C$1:$G$99911,5,FALSE)</f>
        <v>ANDREA WILLIAMS</v>
      </c>
      <c r="M135" s="6">
        <f t="shared" si="33"/>
        <v>2.5763888894289266E-2</v>
      </c>
      <c r="N135" s="7">
        <f t="shared" si="55"/>
        <v>37.100000007776543</v>
      </c>
      <c r="O135" s="7"/>
      <c r="P135" s="7"/>
      <c r="Q135" s="22"/>
      <c r="R135" s="174"/>
      <c r="S135" s="221">
        <f t="shared" si="56"/>
        <v>1</v>
      </c>
      <c r="T135" s="174" t="str">
        <f t="shared" si="35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6"/>
        <v>https://d0f6bd738d7f1b3e5a7ca70fe4ff75f0.us-east-1.aws.found.io/app/kibana#/discover/Steve-Slow-Train-Analysis-(2080s-and-2083s)?_g=(refreshInterval:(display:Off,pause:!f,section:0,value:0),time:(from:'2017-10-30T18:23:55-0600',mode:absolute,to:'2017-10-30T21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5" s="204" t="str">
        <f>IF(AA135&lt;VLOOKUP(AG135,Variables!$AC$3:$AD$8,2,FALSE),"Y","N")</f>
        <v>N</v>
      </c>
      <c r="X135" s="204">
        <f t="shared" si="54"/>
        <v>1</v>
      </c>
      <c r="Y135" s="204">
        <f t="shared" si="52"/>
        <v>5.33E-2</v>
      </c>
      <c r="Z135" s="204">
        <f t="shared" si="53"/>
        <v>23.319500000000001</v>
      </c>
      <c r="AA135" s="204">
        <f t="shared" si="39"/>
        <v>23.266200000000001</v>
      </c>
      <c r="AB135" s="54" t="str">
        <f>VLOOKUP(A135,Enforcements!$C$7:$K$11,8,0)</f>
        <v>Speed (6)</v>
      </c>
      <c r="AC135" s="51" t="str">
        <f>VLOOKUP(A135,Enforcements!$C$7:$E$11,3,0)</f>
        <v>PERMANENT SPEED RESTRICTION</v>
      </c>
      <c r="AD135" s="179">
        <f t="shared" si="40"/>
        <v>223</v>
      </c>
      <c r="AE135" s="77" t="str">
        <f t="shared" si="41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35" s="74" t="str">
        <f t="shared" si="42"/>
        <v>"C:\Program Files (x86)\AstroGrep\AstroGrep.exe" /e /r /s /spath="%USERPROFILE%\AppData\Local\Temp\OnboardLogs" /stypes="app*4024*20171031*" /stext=" 02:.+((SYSTEM_STATE.+slice.+state.+changed )|(ment ac)|(multiple cpu faults)|(system.+state.+changed )|(\[timeout)|(PRM\|1\|D)|(kpr)|(kdp)|(train st.+moving)|(\|lc)|(penalty))"</v>
      </c>
      <c r="AG135" s="182" t="str">
        <f t="shared" si="43"/>
        <v>EC</v>
      </c>
      <c r="AH135" s="78" t="str">
        <f t="shared" si="44"/>
        <v>"%USERPROFILE%\Documents\GitHub\eaglep3\Utilities\RefineRTDCRunTimes.py" --tripid 223-30 --locoid 4024 --swversion DE.1.0.9.0 --startMP 204:533 --initTime 2017-10-30T19:23:55 --startdatetime 2017-10-30T19:30:34 --delay 104 --endMP 204:233195 --enddatetime 2017-10-30T20:07:40 --enforcementcount 0 &gt;&gt;%USERPROFILE%\Documents\GitHub\eaglep3-reporting\EC\2017-10-30-refined-times.txt</v>
      </c>
      <c r="AI135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{"issue":{"subject":"","project_id":79,"tracker_id":40,"status_id":1,"priority_id":2,"assigned_to_id":338,"start_date":"2017-10-30","description":"","custom_fields":[{"id":1,"name":"Subdivision","value":"EC"},{"id":4,"name":"Milepost","value":"23.3195"},{"id":17,"name":"Train ID","value":"223-30"},{"id":16,"name":"Locomotive ID","value":"4024"},{"id":130,"name":"Impact","value":""},{"id":150,"name":"Time of Event (Mountain Time)","value":"20:07:40"},{"id":151,"name":"Denver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6"/>
        <v>start /low /b %USERPROFILE%\Documents\GitHub\eaglep3\Utilities\DownloadLogsFromS3.py --loco 4024 --day 2017-10-30</v>
      </c>
      <c r="AN135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8"/>
        <v>https://d0f6bd738d7f1b3e5a7ca70fe4ff75f0.us-east-1.aws.found.io/app/kibana#/discover/Steve-Slow-Train-Analysis-(2080s-and-2083s)?_g=(refreshInterval:(display:Off,pause:!f,section:0,value:0),time:(from:'2017-10-30T18:23:55-0600',mode:absolute,to:'2017-10-30T21:07:40-0600'))&amp;_a=(columns:!('Message%20ID',Summary),filters:!(),index:'emp_*',interval:auto,query:(query_string:(analyze_wildcard:!t,query:'%22rtdc.l.rtdc.4024%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873</v>
      </c>
      <c r="B136" s="7">
        <v>4023</v>
      </c>
      <c r="C136" s="21" t="s">
        <v>194</v>
      </c>
      <c r="D136" s="21" t="s">
        <v>989</v>
      </c>
      <c r="E136" s="13">
        <v>43038.849490740744</v>
      </c>
      <c r="F136" s="13">
        <v>43038.852465277778</v>
      </c>
      <c r="G136" s="7">
        <v>84</v>
      </c>
      <c r="H136" s="21" t="s">
        <v>524</v>
      </c>
      <c r="I136" s="13">
        <v>43038.879027777781</v>
      </c>
      <c r="J136" s="7">
        <v>0</v>
      </c>
      <c r="K136" s="89" t="str">
        <f t="shared" si="32"/>
        <v>4023/4024</v>
      </c>
      <c r="L136" s="185" t="str">
        <f>VLOOKUP(A136,'Trips&amp;Operators'!$C$1:$G$99911,5,FALSE)</f>
        <v>LOZA FIDEL</v>
      </c>
      <c r="M136" s="6">
        <f t="shared" si="33"/>
        <v>2.6562500002910383E-2</v>
      </c>
      <c r="N136" s="7">
        <f t="shared" si="55"/>
        <v>38.250000004190952</v>
      </c>
      <c r="O136" s="7"/>
      <c r="P136" s="7"/>
      <c r="Q136" s="22"/>
      <c r="R136" s="174"/>
      <c r="S136" s="221">
        <f t="shared" si="56"/>
        <v>1</v>
      </c>
      <c r="T136" s="174" t="str">
        <f t="shared" si="35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6"/>
        <v>https://d0f6bd738d7f1b3e5a7ca70fe4ff75f0.us-east-1.aws.found.io/app/kibana#/discover/Steve-Slow-Train-Analysis-(2080s-and-2083s)?_g=(refreshInterval:(display:Off,pause:!f,section:0,value:0),time:(from:'2017-10-30T19:23:16-0600',mode:absolute,to:'2017-10-30T22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6" s="204" t="str">
        <f>IF(AA136&lt;VLOOKUP(AG136,Variables!$AC$3:$AD$8,2,FALSE),"Y","N")</f>
        <v>N</v>
      </c>
      <c r="X136" s="204">
        <f t="shared" si="54"/>
        <v>1</v>
      </c>
      <c r="Y136" s="204">
        <f t="shared" si="52"/>
        <v>23.288900000000002</v>
      </c>
      <c r="Z136" s="204">
        <f t="shared" si="53"/>
        <v>2.2700000000000001E-2</v>
      </c>
      <c r="AA136" s="204">
        <f t="shared" si="39"/>
        <v>23.266200000000001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0"/>
        <v>224</v>
      </c>
      <c r="AE136" s="77" t="str">
        <f t="shared" si="41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136" s="74" t="str">
        <f t="shared" si="42"/>
        <v>"C:\Program Files (x86)\AstroGrep\AstroGrep.exe" /e /r /s /spath="%USERPROFILE%\AppData\Local\Temp\OnboardLogs" /stypes="app*4023*20171031*" /stext=" 03:.+((SYSTEM_STATE.+slice.+state.+changed )|(ment ac)|(multiple cpu faults)|(system.+state.+changed )|(\[timeout)|(PRM\|1\|D)|(kpr)|(kdp)|(train st.+moving)|(\|lc)|(penalty))"</v>
      </c>
      <c r="AG136" s="182" t="str">
        <f t="shared" si="43"/>
        <v>EC</v>
      </c>
      <c r="AH136" s="78" t="str">
        <f t="shared" si="44"/>
        <v>"%USERPROFILE%\Documents\GitHub\eaglep3\Utilities\RefineRTDCRunTimes.py" --tripid 224-30 --locoid 4023 --swversion DE.1.0.9.0 --startMP 204:232889 --initTime 2017-10-30T20:23:16 --startdatetime 2017-10-30T20:27:33 --delay 84 --endMP 204:227 --enddatetime 2017-10-30T21:05:48 --enforcementcount 0 &gt;&gt;%USERPROFILE%\Documents\GitHub\eaglep3-reporting\EC\2017-10-30-refined-times.txt</v>
      </c>
      <c r="AI136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{"issue":{"subject":"","project_id":79,"tracker_id":40,"status_id":1,"priority_id":2,"assigned_to_id":338,"start_date":"2017-10-30","description":"","custom_fields":[{"id":1,"name":"Subdivision","value":"EC"},{"id":4,"name":"Milepost","value":"0.0227"},{"id":17,"name":"Train ID","value":"224-30"},{"id":16,"name":"Locomotive ID","value":"4023"},{"id":130,"name":"Impact","value":""},{"id":150,"name":"Time of Event (Mountain Time)","value":"21:05:48"},{"id":151,"name":"Denver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6"/>
        <v>start /low /b %USERPROFILE%\Documents\GitHub\eaglep3\Utilities\DownloadLogsFromS3.py --loco 4023 --day 2017-10-30</v>
      </c>
      <c r="AN136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8"/>
        <v>https://d0f6bd738d7f1b3e5a7ca70fe4ff75f0.us-east-1.aws.found.io/app/kibana#/discover/Steve-Slow-Train-Analysis-(2080s-and-2083s)?_g=(refreshInterval:(display:Off,pause:!f,section:0,value:0),time:(from:'2017-10-30T19:23:16-0600',mode:absolute,to:'2017-10-30T22:05:48-0600'))&amp;_a=(columns:!('Message%20ID',Summary),filters:!(),index:'emp_*',interval:auto,query:(query_string:(analyze_wildcard:!t,query:'%22rtdc.l.rtdc.4023%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870</v>
      </c>
      <c r="B137" s="7">
        <v>4050</v>
      </c>
      <c r="C137" s="21" t="s">
        <v>194</v>
      </c>
      <c r="D137" s="21" t="s">
        <v>999</v>
      </c>
      <c r="E137" s="13">
        <v>43038.828333333331</v>
      </c>
      <c r="F137" s="13">
        <v>43038.833495370367</v>
      </c>
      <c r="G137" s="7">
        <v>66</v>
      </c>
      <c r="H137" s="21" t="s">
        <v>1000</v>
      </c>
      <c r="I137" s="13">
        <v>43038.858055555553</v>
      </c>
      <c r="J137" s="7">
        <v>0</v>
      </c>
      <c r="K137" s="89" t="str">
        <f t="shared" si="32"/>
        <v>4049/4050</v>
      </c>
      <c r="L137" s="185" t="str">
        <f>VLOOKUP(A137,'Trips&amp;Operators'!$C$1:$G$99911,5,FALSE)</f>
        <v>RESPASS AARON</v>
      </c>
      <c r="M137" s="6">
        <f t="shared" si="33"/>
        <v>2.4560185185691807E-2</v>
      </c>
      <c r="N137" s="7">
        <f t="shared" si="55"/>
        <v>35.366666667396203</v>
      </c>
      <c r="O137" s="7"/>
      <c r="P137" s="7"/>
      <c r="Q137" s="22"/>
      <c r="R137" s="174"/>
      <c r="S137" s="221">
        <f t="shared" si="56"/>
        <v>1</v>
      </c>
      <c r="T137" s="174" t="str">
        <f t="shared" si="35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6"/>
        <v>https://d0f6bd738d7f1b3e5a7ca70fe4ff75f0.us-east-1.aws.found.io/app/kibana#/discover/Steve-Slow-Train-Analysis-(2080s-and-2083s)?_g=(refreshInterval:(display:Off,pause:!f,section:0,value:0),time:(from:'2017-10-30T18:52:48-0600',mode:absolute,to:'2017-10-30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04" t="str">
        <f>IF(AA137&lt;VLOOKUP(AG137,Variables!$AC$3:$AD$8,2,FALSE),"Y","N")</f>
        <v>N</v>
      </c>
      <c r="X137" s="204">
        <f t="shared" si="54"/>
        <v>1</v>
      </c>
      <c r="Y137" s="204">
        <f t="shared" si="52"/>
        <v>5.6599999999999998E-2</v>
      </c>
      <c r="Z137" s="204">
        <f t="shared" si="53"/>
        <v>23.3246</v>
      </c>
      <c r="AA137" s="204">
        <f t="shared" si="39"/>
        <v>23.268000000000001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0"/>
        <v>225</v>
      </c>
      <c r="AE137" s="77" t="str">
        <f t="shared" si="41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37" s="74" t="str">
        <f t="shared" si="42"/>
        <v>"C:\Program Files (x86)\AstroGrep\AstroGrep.exe" /e /r /s /spath="%USERPROFILE%\AppData\Local\Temp\OnboardLogs" /stypes="app*4050*20171031*" /stext=" 02:.+((SYSTEM_STATE.+slice.+state.+changed )|(ment ac)|(multiple cpu faults)|(system.+state.+changed )|(\[timeout)|(PRM\|1\|D)|(kpr)|(kdp)|(train st.+moving)|(\|lc)|(penalty))"</v>
      </c>
      <c r="AG137" s="182" t="str">
        <f t="shared" si="43"/>
        <v>EC</v>
      </c>
      <c r="AH137" s="78" t="str">
        <f t="shared" si="44"/>
        <v>"%USERPROFILE%\Documents\GitHub\eaglep3\Utilities\RefineRTDCRunTimes.py" --tripid 225-30 --locoid 4050 --swversion DE.1.0.9.0 --startMP 204:566 --initTime 2017-10-30T19:52:48 --startdatetime 2017-10-30T20:00:14 --delay 66 --endMP 204:233246 --enddatetime 2017-10-30T20:35:36 --enforcementcount 0 &gt;&gt;%USERPROFILE%\Documents\GitHub\eaglep3-reporting\EC\2017-10-30-refined-times.txt</v>
      </c>
      <c r="AI137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{"issue":{"subject":"","project_id":79,"tracker_id":40,"status_id":1,"priority_id":2,"assigned_to_id":338,"start_date":"2017-10-30","description":"","custom_fields":[{"id":1,"name":"Subdivision","value":"EC"},{"id":4,"name":"Milepost","value":"23.3246"},{"id":17,"name":"Train ID","value":"225-30"},{"id":16,"name":"Locomotive ID","value":"4050"},{"id":130,"name":"Impact","value":""},{"id":150,"name":"Time of Event (Mountain Time)","value":"20:35:36"},{"id":151,"name":"Denver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6"/>
        <v>start /low /b %USERPROFILE%\Documents\GitHub\eaglep3\Utilities\DownloadLogsFromS3.py --loco 4050 --day 2017-10-30</v>
      </c>
      <c r="AN137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8"/>
        <v>https://d0f6bd738d7f1b3e5a7ca70fe4ff75f0.us-east-1.aws.found.io/app/kibana#/discover/Steve-Slow-Train-Analysis-(2080s-and-2083s)?_g=(refreshInterval:(display:Off,pause:!f,section:0,value:0),time:(from:'2017-10-30T18:52:48-0600',mode:absolute,to:'2017-10-30T21:35:36-0600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876</v>
      </c>
      <c r="B138" s="7">
        <v>4049</v>
      </c>
      <c r="C138" s="21" t="s">
        <v>194</v>
      </c>
      <c r="D138" s="21" t="s">
        <v>630</v>
      </c>
      <c r="E138" s="13">
        <v>43038.869525462964</v>
      </c>
      <c r="F138" s="13">
        <v>43038.873113425929</v>
      </c>
      <c r="G138" s="7">
        <v>77</v>
      </c>
      <c r="H138" s="21" t="s">
        <v>1001</v>
      </c>
      <c r="I138" s="13">
        <v>43038.899872685186</v>
      </c>
      <c r="J138" s="7">
        <v>0</v>
      </c>
      <c r="K138" s="89" t="str">
        <f t="shared" si="32"/>
        <v>4049/4050</v>
      </c>
      <c r="L138" s="185" t="str">
        <f>VLOOKUP(A138,'Trips&amp;Operators'!$C$1:$G$99911,5,FALSE)</f>
        <v>RESPASS AARON</v>
      </c>
      <c r="M138" s="6">
        <f t="shared" si="33"/>
        <v>2.675925925723277E-2</v>
      </c>
      <c r="N138" s="7">
        <f t="shared" si="55"/>
        <v>38.533333330415189</v>
      </c>
      <c r="O138" s="7"/>
      <c r="P138" s="7"/>
      <c r="Q138" s="22"/>
      <c r="R138" s="174"/>
      <c r="S138" s="221">
        <f t="shared" si="56"/>
        <v>1</v>
      </c>
      <c r="T138" s="174" t="str">
        <f t="shared" si="35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6"/>
        <v>https://d0f6bd738d7f1b3e5a7ca70fe4ff75f0.us-east-1.aws.found.io/app/kibana#/discover/Steve-Slow-Train-Analysis-(2080s-and-2083s)?_g=(refreshInterval:(display:Off,pause:!f,section:0,value:0),time:(from:'2017-10-30T19:52:07-0600',mode:absolute,to:'2017-10-30T22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04" t="str">
        <f>IF(AA138&lt;VLOOKUP(AG138,Variables!$AC$3:$AD$8,2,FALSE),"Y","N")</f>
        <v>N</v>
      </c>
      <c r="X138" s="204">
        <f t="shared" si="54"/>
        <v>1</v>
      </c>
      <c r="Y138" s="204">
        <f t="shared" si="52"/>
        <v>23.291499999999999</v>
      </c>
      <c r="Z138" s="204">
        <f t="shared" si="53"/>
        <v>2.63E-2</v>
      </c>
      <c r="AA138" s="204">
        <f t="shared" si="39"/>
        <v>23.2652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0"/>
        <v>226</v>
      </c>
      <c r="AE138" s="77" t="str">
        <f t="shared" si="41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138" s="74" t="str">
        <f t="shared" si="42"/>
        <v>"C:\Program Files (x86)\AstroGrep\AstroGrep.exe" /e /r /s /spath="%USERPROFILE%\AppData\Local\Temp\OnboardLogs" /stypes="app*4049*20171031*" /stext=" 03:.+((SYSTEM_STATE.+slice.+state.+changed )|(ment ac)|(multiple cpu faults)|(system.+state.+changed )|(\[timeout)|(PRM\|1\|D)|(kpr)|(kdp)|(train st.+moving)|(\|lc)|(penalty))"</v>
      </c>
      <c r="AG138" s="182" t="str">
        <f t="shared" si="43"/>
        <v>EC</v>
      </c>
      <c r="AH138" s="78" t="str">
        <f t="shared" si="44"/>
        <v>"%USERPROFILE%\Documents\GitHub\eaglep3\Utilities\RefineRTDCRunTimes.py" --tripid 226-30 --locoid 4049 --swversion DE.1.0.9.0 --startMP 204:232915 --initTime 2017-10-30T20:52:07 --startdatetime 2017-10-30T20:57:17 --delay 77 --endMP 204:263 --enddatetime 2017-10-30T21:35:49 --enforcementcount 0 &gt;&gt;%USERPROFILE%\Documents\GitHub\eaglep3-reporting\EC\2017-10-30-refined-times.txt</v>
      </c>
      <c r="AI138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{"issue":{"subject":"","project_id":79,"tracker_id":40,"status_id":1,"priority_id":2,"assigned_to_id":338,"start_date":"2017-10-30","description":"","custom_fields":[{"id":1,"name":"Subdivision","value":"EC"},{"id":4,"name":"Milepost","value":"0.0263"},{"id":17,"name":"Train ID","value":"226-30"},{"id":16,"name":"Locomotive ID","value":"4049"},{"id":130,"name":"Impact","value":""},{"id":150,"name":"Time of Event (Mountain Time)","value":"21:35:49"},{"id":151,"name":"Denver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6"/>
        <v>start /low /b %USERPROFILE%\Documents\GitHub\eaglep3\Utilities\DownloadLogsFromS3.py --loco 4049 --day 2017-10-30</v>
      </c>
      <c r="AN138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8"/>
        <v>https://d0f6bd738d7f1b3e5a7ca70fe4ff75f0.us-east-1.aws.found.io/app/kibana#/discover/Steve-Slow-Train-Analysis-(2080s-and-2083s)?_g=(refreshInterval:(display:Off,pause:!f,section:0,value:0),time:(from:'2017-10-30T19:52:07-0600',mode:absolute,to:'2017-10-30T22:35:49-0600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872</v>
      </c>
      <c r="B139" s="7">
        <v>4004</v>
      </c>
      <c r="C139" s="21" t="s">
        <v>194</v>
      </c>
      <c r="D139" s="21" t="s">
        <v>523</v>
      </c>
      <c r="E139" s="13">
        <v>43038.849166666667</v>
      </c>
      <c r="F139" s="13">
        <v>43038.854398148149</v>
      </c>
      <c r="G139" s="7">
        <v>81</v>
      </c>
      <c r="H139" s="21" t="s">
        <v>530</v>
      </c>
      <c r="I139" s="13">
        <v>43038.880439814813</v>
      </c>
      <c r="J139" s="7">
        <v>0</v>
      </c>
      <c r="K139" s="89" t="str">
        <f t="shared" si="32"/>
        <v>4003/4004</v>
      </c>
      <c r="L139" s="185" t="str">
        <f>VLOOKUP(A139,'Trips&amp;Operators'!$C$1:$G$99911,5,FALSE)</f>
        <v>WILLIAMS DONTE</v>
      </c>
      <c r="M139" s="6">
        <f t="shared" si="33"/>
        <v>2.6041666664241347E-2</v>
      </c>
      <c r="N139" s="7">
        <f t="shared" si="55"/>
        <v>37.49999999650754</v>
      </c>
      <c r="O139" s="7"/>
      <c r="P139" s="7"/>
      <c r="Q139" s="22"/>
      <c r="R139" s="174"/>
      <c r="S139" s="221">
        <f t="shared" si="56"/>
        <v>1</v>
      </c>
      <c r="T139" s="174" t="str">
        <f t="shared" si="35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6"/>
        <v>https://d0f6bd738d7f1b3e5a7ca70fe4ff75f0.us-east-1.aws.found.io/app/kibana#/discover/Steve-Slow-Train-Analysis-(2080s-and-2083s)?_g=(refreshInterval:(display:Off,pause:!f,section:0,value:0),time:(from:'2017-10-30T19:22:48-0600',mode:absolute,to:'2017-10-30T22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204" t="str">
        <f>IF(AA139&lt;VLOOKUP(AG139,Variables!$AC$3:$AD$8,2,FALSE),"Y","N")</f>
        <v>N</v>
      </c>
      <c r="X139" s="204">
        <f t="shared" si="54"/>
        <v>1</v>
      </c>
      <c r="Y139" s="204">
        <f t="shared" si="52"/>
        <v>5.1999999999999998E-2</v>
      </c>
      <c r="Z139" s="204">
        <f t="shared" si="53"/>
        <v>23.325900000000001</v>
      </c>
      <c r="AA139" s="204">
        <f t="shared" si="39"/>
        <v>23.273900000000001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0"/>
        <v>227</v>
      </c>
      <c r="AE139" s="77" t="str">
        <f t="shared" si="41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139" s="74" t="str">
        <f t="shared" si="42"/>
        <v>"C:\Program Files (x86)\AstroGrep\AstroGrep.exe" /e /r /s /spath="%USERPROFILE%\AppData\Local\Temp\OnboardLogs" /stypes="app*4004*20171031*" /stext=" 03:.+((SYSTEM_STATE.+slice.+state.+changed )|(ment ac)|(multiple cpu faults)|(system.+state.+changed )|(\[timeout)|(PRM\|1\|D)|(kpr)|(kdp)|(train st.+moving)|(\|lc)|(penalty))"</v>
      </c>
      <c r="AG139" s="182" t="str">
        <f t="shared" si="43"/>
        <v>EC</v>
      </c>
      <c r="AH139" s="78" t="str">
        <f t="shared" si="44"/>
        <v>"%USERPROFILE%\Documents\GitHub\eaglep3\Utilities\RefineRTDCRunTimes.py" --tripid 227-30 --locoid 4004 --swversion DE.1.0.9.0 --startMP 204:520 --initTime 2017-10-30T20:22:48 --startdatetime 2017-10-30T20:30:20 --delay 81 --endMP 204:233259 --enddatetime 2017-10-30T21:07:50 --enforcementcount 0 &gt;&gt;%USERPROFILE%\Documents\GitHub\eaglep3-reporting\EC\2017-10-30-refined-times.txt</v>
      </c>
      <c r="AI139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{"issue":{"subject":"","project_id":79,"tracker_id":40,"status_id":1,"priority_id":2,"assigned_to_id":338,"start_date":"2017-10-30","description":"","custom_fields":[{"id":1,"name":"Subdivision","value":"EC"},{"id":4,"name":"Milepost","value":"23.3259"},{"id":17,"name":"Train ID","value":"227-30"},{"id":16,"name":"Locomotive ID","value":"4004"},{"id":130,"name":"Impact","value":""},{"id":150,"name":"Time of Event (Mountain Time)","value":"21:07:50"},{"id":151,"name":"Denver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6"/>
        <v>start /low /b %USERPROFILE%\Documents\GitHub\eaglep3\Utilities\DownloadLogsFromS3.py --loco 4004 --day 2017-10-30</v>
      </c>
      <c r="AN139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8"/>
        <v>https://d0f6bd738d7f1b3e5a7ca70fe4ff75f0.us-east-1.aws.found.io/app/kibana#/discover/Steve-Slow-Train-Analysis-(2080s-and-2083s)?_g=(refreshInterval:(display:Off,pause:!f,section:0,value:0),time:(from:'2017-10-30T19:22:48-0600',mode:absolute,to:'2017-10-30T22:07:50-0600'))&amp;_a=(columns:!('Message%20ID',Summary),filters:!(),index:'emp_*',interval:auto,query:(query_string:(analyze_wildcard:!t,query:'%22rtdc.l.rtdc.4004%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877</v>
      </c>
      <c r="B140" s="7">
        <v>4003</v>
      </c>
      <c r="C140" s="21" t="s">
        <v>194</v>
      </c>
      <c r="D140" s="21" t="s">
        <v>589</v>
      </c>
      <c r="E140" s="13">
        <v>43038.890439814815</v>
      </c>
      <c r="F140" s="13">
        <v>43038.893969907411</v>
      </c>
      <c r="G140" s="7">
        <v>67</v>
      </c>
      <c r="H140" s="21" t="s">
        <v>596</v>
      </c>
      <c r="I140" s="13">
        <v>43038.922951388886</v>
      </c>
      <c r="J140" s="7">
        <v>0</v>
      </c>
      <c r="K140" s="89" t="str">
        <f t="shared" si="32"/>
        <v>4003/4004</v>
      </c>
      <c r="L140" s="185" t="str">
        <f>VLOOKUP(A140,'Trips&amp;Operators'!$C$1:$G$99911,5,FALSE)</f>
        <v>WILLIAMS DONTE</v>
      </c>
      <c r="M140" s="6">
        <f t="shared" si="33"/>
        <v>2.898148147505708E-2</v>
      </c>
      <c r="N140" s="7">
        <f t="shared" si="55"/>
        <v>41.733333324082196</v>
      </c>
      <c r="O140" s="7"/>
      <c r="P140" s="7"/>
      <c r="Q140" s="22"/>
      <c r="R140" s="174"/>
      <c r="S140" s="221">
        <f t="shared" si="56"/>
        <v>1</v>
      </c>
      <c r="T140" s="174" t="str">
        <f t="shared" si="35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6"/>
        <v>https://d0f6bd738d7f1b3e5a7ca70fe4ff75f0.us-east-1.aws.found.io/app/kibana#/discover/Steve-Slow-Train-Analysis-(2080s-and-2083s)?_g=(refreshInterval:(display:Off,pause:!f,section:0,value:0),time:(from:'2017-10-30T20:22:14-0600',mode:absolute,to:'2017-10-30T23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204" t="str">
        <f>IF(AA140&lt;VLOOKUP(AG140,Variables!$AC$3:$AD$8,2,FALSE),"Y","N")</f>
        <v>N</v>
      </c>
      <c r="X140" s="204">
        <f t="shared" si="54"/>
        <v>1</v>
      </c>
      <c r="Y140" s="204">
        <f t="shared" si="52"/>
        <v>23.293600000000001</v>
      </c>
      <c r="Z140" s="204">
        <f t="shared" si="53"/>
        <v>2.0299999999999999E-2</v>
      </c>
      <c r="AA140" s="204">
        <f t="shared" si="39"/>
        <v>23.273300000000003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0"/>
        <v>228</v>
      </c>
      <c r="AE140" s="77" t="str">
        <f t="shared" si="41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140" s="74" t="str">
        <f t="shared" si="42"/>
        <v>"C:\Program Files (x86)\AstroGrep\AstroGrep.exe" /e /r /s /spath="%USERPROFILE%\AppData\Local\Temp\OnboardLogs" /stypes="app*4003*20171031*" /stext=" 04:.+((SYSTEM_STATE.+slice.+state.+changed )|(ment ac)|(multiple cpu faults)|(system.+state.+changed )|(\[timeout)|(PRM\|1\|D)|(kpr)|(kdp)|(train st.+moving)|(\|lc)|(penalty))"</v>
      </c>
      <c r="AG140" s="182" t="str">
        <f t="shared" si="43"/>
        <v>EC</v>
      </c>
      <c r="AH140" s="78" t="str">
        <f t="shared" si="44"/>
        <v>"%USERPROFILE%\Documents\GitHub\eaglep3\Utilities\RefineRTDCRunTimes.py" --tripid 228-30 --locoid 4003 --swversion DE.1.0.9.0 --startMP 204:232936 --initTime 2017-10-30T21:22:14 --startdatetime 2017-10-30T21:27:19 --delay 67 --endMP 204:203 --enddatetime 2017-10-30T22:09:03 --enforcementcount 0 &gt;&gt;%USERPROFILE%\Documents\GitHub\eaglep3-reporting\EC\2017-10-30-refined-times.txt</v>
      </c>
      <c r="AI140" s="96" t="str">
        <f t="shared" si="45"/>
        <v>echo {"issue":{"subject":"","project_id":79,"tracker_id":40,"status_id":1,"priority_id":2,"assigned_to_id":338,"start_date":"2017-10-30","description":"","custom_fields":[{"id":1,"name":"Subdivision","value":"EC"},{"id":4,"name":"Milepost","value":"0.0203"},{"id":17,"name":"Train ID","value":"228-30"},{"id":16,"name":"Locomotive ID","value":"4003"},{"id":130,"name":"Impact","value":""},{"id":150,"name":"Time of Event (Mountain Time)","value":"22:09:03"},{"id":151,"name":"Denver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6"/>
        <v>start /low /b %USERPROFILE%\Documents\GitHub\eaglep3\Utilities\DownloadLogsFromS3.py --loco 4003 --day 2017-10-30</v>
      </c>
      <c r="AN140" s="151" t="str">
        <f t="shared" si="4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8"/>
        <v>https://d0f6bd738d7f1b3e5a7ca70fe4ff75f0.us-east-1.aws.found.io/app/kibana#/discover/Steve-Slow-Train-Analysis-(2080s-and-2083s)?_g=(refreshInterval:(display:Off,pause:!f,section:0,value:0),time:(from:'2017-10-30T20:22:14-0600',mode:absolute,to:'2017-10-30T23:09:03-0600'))&amp;_a=(columns:!('Message%20ID',Summary),filters:!(),index:'emp_*',interval:auto,query:(query_string:(analyze_wildcard:!t,query:'%22rtdc.l.rtdc.4003%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875</v>
      </c>
      <c r="B141" s="7">
        <v>4032</v>
      </c>
      <c r="C141" s="21" t="s">
        <v>194</v>
      </c>
      <c r="D141" s="21" t="s">
        <v>589</v>
      </c>
      <c r="E141" s="13">
        <v>43038.890439814815</v>
      </c>
      <c r="F141" s="13">
        <v>43038.875150462962</v>
      </c>
      <c r="G141" s="7">
        <v>67</v>
      </c>
      <c r="H141" s="21" t="s">
        <v>596</v>
      </c>
      <c r="I141" s="13">
        <v>43038.899756944447</v>
      </c>
      <c r="J141" s="7">
        <v>0</v>
      </c>
      <c r="K141" s="89" t="str">
        <f t="shared" ref="K141:K204" si="57">IF(ISEVEN(B141),(B141-1)&amp;"/"&amp;B141,B141&amp;"/"&amp;(B141+1))</f>
        <v>4031/4032</v>
      </c>
      <c r="L141" s="185" t="str">
        <f>VLOOKUP(A141,'Trips&amp;Operators'!$C$1:$G$99911,5,FALSE)</f>
        <v>ELBAUM MIKE</v>
      </c>
      <c r="M141" s="6">
        <f t="shared" ref="M141:M204" si="58">I141-F141</f>
        <v>2.4606481485534459E-2</v>
      </c>
      <c r="N141" s="7">
        <f t="shared" si="55"/>
        <v>35.433333339169621</v>
      </c>
      <c r="O141" s="7"/>
      <c r="P141" s="7"/>
      <c r="Q141" s="22"/>
      <c r="R141" s="174"/>
      <c r="S141" s="221">
        <f t="shared" si="56"/>
        <v>1</v>
      </c>
      <c r="T141" s="174" t="str">
        <f t="shared" ref="T141:T204" si="59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-30T20:22:14-0600',mode:absolute,to:'2017-10-30T22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204" t="str">
        <f>IF(AA141&lt;VLOOKUP(AG141,Variables!$AC$3:$AD$8,2,FALSE),"Y","N")</f>
        <v>N</v>
      </c>
      <c r="X141" s="204">
        <f t="shared" si="54"/>
        <v>1</v>
      </c>
      <c r="Y141" s="204">
        <v>5.1999999999999998E-2</v>
      </c>
      <c r="Z141" s="204">
        <v>23.325900000000001</v>
      </c>
      <c r="AA141" s="204">
        <f t="shared" ref="AA141:AA204" si="61">ABS(Z141-Y141)</f>
        <v>23.273900000000001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2">VALUE(LEFT(A141,LEN(A141)-3))</f>
        <v>229</v>
      </c>
      <c r="AE141" s="77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41" s="74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/stypes="app*4032*20171031*"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65">DetSubdiv(A141)</f>
        <v>EC</v>
      </c>
      <c r="AH141" s="78" t="str">
        <f t="shared" ref="AH141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229-30 --locoid 4032 --swversion DE.1.0.9.0 --startMP 204:232936 --initTime 2017-10-30T21:22:14 --startdatetime 2017-10-30T21:00:13 --delay 67 --endMP 204:203 --enddatetime 2017-10-30T21:35:39 --enforcementcount 0 &gt;&gt;%USERPROFILE%\Documents\GitHub\eaglep3-reporting\EC\2017-10-30-refined-times.txt</v>
      </c>
      <c r="AI141" s="96" t="str">
        <f t="shared" ref="AI141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{"issue":{"subject":"","project_id":79,"tracker_id":40,"status_id":1,"priority_id":2,"assigned_to_id":338,"start_date":"2017-10-30","description":"","custom_fields":[{"id":1,"name":"Subdivision","value":"EC"},{"id":4,"name":"Milepost","value":"23.3259"},{"id":17,"name":"Train ID","value":"229-30"},{"id":16,"name":"Locomotive ID","value":"4032"},{"id":130,"name":"Impact","value":""},{"id":150,"name":"Time of Event (Mountain Time)","value":"21:35:39"},{"id":151,"name":"Denver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" si="68">"start /low /b "&amp;dls3logs&amp;" --loco "&amp;B141&amp;" --day "&amp;TEXT(F141,"YYYY-MM-DD")</f>
        <v>start /low /b %USERPROFILE%\Documents\GitHub\eaglep3\Utilities\DownloadLogsFromS3.py --loco 4032 --day 2017-10-30</v>
      </c>
      <c r="AN141" s="151" t="str">
        <f t="shared" ref="AN141" si="6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" si="7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-30T20:22:14-0600',mode:absolute,to:'2017-10-30T22:35:39-0600'))&amp;_a=(columns:!('Message%20ID',Summary),filters:!(),index:'emp_*',interval:auto,query:(query_string:(analyze_wildcard:!t,query:'%22rtdc.l.rtdc.4032%22')),sort:!(Time.ISO8601,asc))</v>
      </c>
    </row>
    <row r="142" spans="1:91" s="20" customFormat="1" x14ac:dyDescent="0.3">
      <c r="A142" s="32" t="s">
        <v>880</v>
      </c>
      <c r="B142" s="7">
        <v>4031</v>
      </c>
      <c r="C142" s="21" t="s">
        <v>194</v>
      </c>
      <c r="D142" s="21" t="s">
        <v>508</v>
      </c>
      <c r="E142" s="13">
        <v>43038.90084490741</v>
      </c>
      <c r="F142" s="13">
        <v>43038.914733796293</v>
      </c>
      <c r="G142" s="7">
        <v>67</v>
      </c>
      <c r="H142" s="21" t="s">
        <v>953</v>
      </c>
      <c r="I142" s="13">
        <v>43038.942025462966</v>
      </c>
      <c r="J142" s="7">
        <v>0</v>
      </c>
      <c r="K142" s="89" t="str">
        <f t="shared" si="57"/>
        <v>4031/4032</v>
      </c>
      <c r="L142" s="185" t="str">
        <f>VLOOKUP(A142,'Trips&amp;Operators'!$C$1:$G$99911,5,FALSE)</f>
        <v>ELBAUM MIKE</v>
      </c>
      <c r="M142" s="6">
        <f t="shared" si="58"/>
        <v>2.7291666672681458E-2</v>
      </c>
      <c r="N142" s="7">
        <f t="shared" si="55"/>
        <v>39.3000000086613</v>
      </c>
      <c r="O142" s="7"/>
      <c r="P142" s="7"/>
      <c r="Q142" s="22"/>
      <c r="R142" s="174"/>
      <c r="S142" s="221">
        <f t="shared" si="56"/>
        <v>1</v>
      </c>
      <c r="T142" s="174" t="str">
        <f t="shared" si="59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0"/>
        <v>https://d0f6bd738d7f1b3e5a7ca70fe4ff75f0.us-east-1.aws.found.io/app/kibana#/discover/Steve-Slow-Train-Analysis-(2080s-and-2083s)?_g=(refreshInterval:(display:Off,pause:!f,section:0,value:0),time:(from:'2017-10-30T20:37:13-0600',mode:absolute,to:'2017-10-30T23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204" t="str">
        <f>IF(AA142&lt;VLOOKUP(AG142,Variables!$AC$3:$AD$8,2,FALSE),"Y","N")</f>
        <v>N</v>
      </c>
      <c r="X142" s="204">
        <f t="shared" ref="X142:X143" si="71">VALUE(LEFT(AD142,4))-VALUE(LEFT(AD141,4))</f>
        <v>1</v>
      </c>
      <c r="Y142" s="204">
        <f t="shared" ref="Y142:Y155" si="72">RIGHT(D142,LEN(D142)-4)/10000</f>
        <v>23.299800000000001</v>
      </c>
      <c r="Z142" s="204">
        <f t="shared" ref="Z142:Z155" si="73">RIGHT(H142,LEN(H142)-4)/10000</f>
        <v>2.6700000000000002E-2</v>
      </c>
      <c r="AA142" s="204">
        <f t="shared" si="61"/>
        <v>23.273099999999999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2"/>
        <v>230</v>
      </c>
      <c r="AE142" s="77" t="str">
        <f t="shared" si="63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42" s="74" t="str">
        <f t="shared" si="64"/>
        <v>"C:\Program Files (x86)\AstroGrep\AstroGrep.exe" /e /r /s /spath="%USERPROFILE%\AppData\Local\Temp\OnboardLogs" /stypes="app*4031*20171031*" /stext=" 04:.+((SYSTEM_STATE.+slice.+state.+changed )|(ment ac)|(multiple cpu faults)|(system.+state.+changed )|(\[timeout)|(PRM\|1\|D)|(kpr)|(kdp)|(train st.+moving)|(\|lc)|(penalty))"</v>
      </c>
      <c r="AG142" s="182" t="str">
        <f t="shared" si="65"/>
        <v>EC</v>
      </c>
      <c r="AH142" s="78" t="str">
        <f t="shared" ref="AH142:AH206" si="7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230-30 --locoid 4031 --swversion DE.1.0.9.0 --startMP 204:232998 --initTime 2017-10-30T21:37:13 --startdatetime 2017-10-30T21:57:13 --delay 67 --endMP 204:267 --enddatetime 2017-10-30T22:36:31 --enforcementcount 0 &gt;&gt;%USERPROFILE%\Documents\GitHub\eaglep3-reporting\EC\2017-10-30-refined-times.txt</v>
      </c>
      <c r="AI142" s="96" t="str">
        <f t="shared" ref="AI142:AI206" si="7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{"issue":{"subject":"","project_id":79,"tracker_id":40,"status_id":1,"priority_id":2,"assigned_to_id":338,"start_date":"2017-10-30","description":"","custom_fields":[{"id":1,"name":"Subdivision","value":"EC"},{"id":4,"name":"Milepost","value":"0.0267"},{"id":17,"name":"Train ID","value":"230-30"},{"id":16,"name":"Locomotive ID","value":"4031"},{"id":130,"name":"Impact","value":""},{"id":150,"name":"Time of Event (Mountain Time)","value":"22:36:31"},{"id":151,"name":"Denver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6" si="76">"start /low /b "&amp;dls3logs&amp;" --loco "&amp;B142&amp;" --day "&amp;TEXT(F142,"YYYY-MM-DD")</f>
        <v>start /low /b %USERPROFILE%\Documents\GitHub\eaglep3\Utilities\DownloadLogsFromS3.py --loco 4031 --day 2017-10-30</v>
      </c>
      <c r="AN142" s="151" t="str">
        <f t="shared" ref="AN142:AN206" si="7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6" si="7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-30T20:37:13-0600',mode:absolute,to:'2017-10-30T23:36:31-0600'))&amp;_a=(columns:!('Message%20ID',Summary),filters:!(),index:'emp_*',interval:auto,query:(query_string:(analyze_wildcard:!t,query:'%22rtdc.l.rtdc.4031%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878</v>
      </c>
      <c r="B143" s="7">
        <v>4024</v>
      </c>
      <c r="C143" s="21" t="s">
        <v>194</v>
      </c>
      <c r="D143" s="21" t="s">
        <v>992</v>
      </c>
      <c r="E143" s="13">
        <v>43038.89162037037</v>
      </c>
      <c r="F143" s="13">
        <v>43038.89607638889</v>
      </c>
      <c r="G143" s="7">
        <v>65</v>
      </c>
      <c r="H143" s="21" t="s">
        <v>988</v>
      </c>
      <c r="I143" s="13">
        <v>43038.922986111109</v>
      </c>
      <c r="J143" s="7">
        <v>0</v>
      </c>
      <c r="K143" s="89" t="str">
        <f t="shared" si="57"/>
        <v>4023/4024</v>
      </c>
      <c r="L143" s="185" t="str">
        <f>VLOOKUP(A143,'Trips&amp;Operators'!$C$1:$G$99911,5,FALSE)</f>
        <v>ANDREA WILLIAMS</v>
      </c>
      <c r="M143" s="6">
        <f t="shared" si="58"/>
        <v>2.6909722218988463E-2</v>
      </c>
      <c r="N143" s="7">
        <f t="shared" si="55"/>
        <v>38.749999995343387</v>
      </c>
      <c r="O143" s="7"/>
      <c r="P143" s="7"/>
      <c r="Q143" s="22"/>
      <c r="R143" s="174"/>
      <c r="S143" s="221">
        <f t="shared" si="56"/>
        <v>1</v>
      </c>
      <c r="T143" s="174" t="str">
        <f t="shared" si="59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0"/>
        <v>https://d0f6bd738d7f1b3e5a7ca70fe4ff75f0.us-east-1.aws.found.io/app/kibana#/discover/Steve-Slow-Train-Analysis-(2080s-and-2083s)?_g=(refreshInterval:(display:Off,pause:!f,section:0,value:0),time:(from:'2017-10-30T20:23:56-0600',mode:absolute,to:'2017-10-30T23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204" t="str">
        <f>IF(AA143&lt;VLOOKUP(AG143,Variables!$AC$3:$AD$8,2,FALSE),"Y","N")</f>
        <v>N</v>
      </c>
      <c r="X143" s="204">
        <f t="shared" si="71"/>
        <v>1</v>
      </c>
      <c r="Y143" s="204">
        <f t="shared" si="72"/>
        <v>5.3900000000000003E-2</v>
      </c>
      <c r="Z143" s="204">
        <f t="shared" si="73"/>
        <v>23.321000000000002</v>
      </c>
      <c r="AA143" s="204">
        <f t="shared" si="61"/>
        <v>23.267100000000003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2"/>
        <v>231</v>
      </c>
      <c r="AE143" s="77" t="str">
        <f t="shared" si="63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43" s="74" t="str">
        <f t="shared" si="64"/>
        <v>"C:\Program Files (x86)\AstroGrep\AstroGrep.exe" /e /r /s /spath="%USERPROFILE%\AppData\Local\Temp\OnboardLogs" /stypes="app*4024*20171031*" /stext=" 04:.+((SYSTEM_STATE.+slice.+state.+changed )|(ment ac)|(multiple cpu faults)|(system.+state.+changed )|(\[timeout)|(PRM\|1\|D)|(kpr)|(kdp)|(train st.+moving)|(\|lc)|(penalty))"</v>
      </c>
      <c r="AG143" s="182" t="str">
        <f t="shared" si="65"/>
        <v>EC</v>
      </c>
      <c r="AH143" s="78" t="str">
        <f t="shared" si="74"/>
        <v>"%USERPROFILE%\Documents\GitHub\eaglep3\Utilities\RefineRTDCRunTimes.py" --tripid 231-30 --locoid 4024 --swversion DE.1.0.9.0 --startMP 204:539 --initTime 2017-10-30T21:23:56 --startdatetime 2017-10-30T21:30:21 --delay 65 --endMP 204:233210 --enddatetime 2017-10-30T22:09:06 --enforcementcount 0 &gt;&gt;%USERPROFILE%\Documents\GitHub\eaglep3-reporting\EC\2017-10-30-refined-times.txt</v>
      </c>
      <c r="AI143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{"issue":{"subject":"","project_id":79,"tracker_id":40,"status_id":1,"priority_id":2,"assigned_to_id":338,"start_date":"2017-10-30","description":"","custom_fields":[{"id":1,"name":"Subdivision","value":"EC"},{"id":4,"name":"Milepost","value":"23.321"},{"id":17,"name":"Train ID","value":"231-30"},{"id":16,"name":"Locomotive ID","value":"4024"},{"id":130,"name":"Impact","value":""},{"id":150,"name":"Time of Event (Mountain Time)","value":"22:09:06"},{"id":151,"name":"Denver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76"/>
        <v>start /low /b %USERPROFILE%\Documents\GitHub\eaglep3\Utilities\DownloadLogsFromS3.py --loco 4024 --day 2017-10-30</v>
      </c>
      <c r="AN143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8"/>
        <v>https://d0f6bd738d7f1b3e5a7ca70fe4ff75f0.us-east-1.aws.found.io/app/kibana#/discover/Steve-Slow-Train-Analysis-(2080s-and-2083s)?_g=(refreshInterval:(display:Off,pause:!f,section:0,value:0),time:(from:'2017-10-30T20:23:56-0600',mode:absolute,to:'2017-10-30T23:09:06-0600'))&amp;_a=(columns:!('Message%20ID',Summary),filters:!(),index:'emp_*',interval:auto,query:(query_string:(analyze_wildcard:!t,query:'%22rtdc.l.rtdc.4024%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883</v>
      </c>
      <c r="B144" s="7">
        <v>4023</v>
      </c>
      <c r="C144" s="21" t="s">
        <v>194</v>
      </c>
      <c r="D144" s="21" t="s">
        <v>1002</v>
      </c>
      <c r="E144" s="13">
        <v>43038.932500000003</v>
      </c>
      <c r="F144" s="13">
        <v>43038.935613425929</v>
      </c>
      <c r="G144" s="7">
        <v>94</v>
      </c>
      <c r="H144" s="21" t="s">
        <v>1003</v>
      </c>
      <c r="I144" s="13">
        <v>43038.961076388892</v>
      </c>
      <c r="J144" s="7">
        <v>0</v>
      </c>
      <c r="K144" s="89" t="str">
        <f t="shared" si="57"/>
        <v>4023/4024</v>
      </c>
      <c r="L144" s="185" t="str">
        <f>VLOOKUP(A144,'Trips&amp;Operators'!$C$1:$G$99911,5,FALSE)</f>
        <v>LOZA FIDEL</v>
      </c>
      <c r="M144" s="6">
        <f t="shared" si="58"/>
        <v>2.5462962963501923E-2</v>
      </c>
      <c r="N144" s="7">
        <f t="shared" si="55"/>
        <v>36.666666667442769</v>
      </c>
      <c r="O144" s="7"/>
      <c r="P144" s="7"/>
      <c r="Q144" s="22"/>
      <c r="R144" s="174"/>
      <c r="S144" s="221">
        <f t="shared" si="56"/>
        <v>1</v>
      </c>
      <c r="T144" s="174" t="str">
        <f t="shared" si="59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0"/>
        <v>https://d0f6bd738d7f1b3e5a7ca70fe4ff75f0.us-east-1.aws.found.io/app/kibana#/discover/Steve-Slow-Train-Analysis-(2080s-and-2083s)?_g=(refreshInterval:(display:Off,pause:!f,section:0,value:0),time:(from:'2017-10-30T21:22:48-0600',mode:absolute,to:'2017-10-31T00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204" t="str">
        <f>IF(AA144&lt;VLOOKUP(AG144,Variables!$AC$3:$AD$8,2,FALSE),"Y","N")</f>
        <v>N</v>
      </c>
      <c r="X144" s="204">
        <f t="shared" ref="X144:X155" si="79">VALUE(LEFT(AD144,4))-VALUE(LEFT(AD143,4))</f>
        <v>1</v>
      </c>
      <c r="Y144" s="204">
        <f t="shared" si="72"/>
        <v>23.289100000000001</v>
      </c>
      <c r="Z144" s="204">
        <f t="shared" si="73"/>
        <v>2.07E-2</v>
      </c>
      <c r="AA144" s="204">
        <f t="shared" si="61"/>
        <v>23.2684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2"/>
        <v>232</v>
      </c>
      <c r="AE144" s="77" t="str">
        <f t="shared" si="63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144" s="74" t="str">
        <f t="shared" si="64"/>
        <v>"C:\Program Files (x86)\AstroGrep\AstroGrep.exe" /e /r /s /spath="%USERPROFILE%\AppData\Local\Temp\OnboardLogs" /stypes="app*4023*20171031*" /stext=" 05:.+((SYSTEM_STATE.+slice.+state.+changed )|(ment ac)|(multiple cpu faults)|(system.+state.+changed )|(\[timeout)|(PRM\|1\|D)|(kpr)|(kdp)|(train st.+moving)|(\|lc)|(penalty))"</v>
      </c>
      <c r="AG144" s="182" t="str">
        <f t="shared" si="65"/>
        <v>EC</v>
      </c>
      <c r="AH144" s="78" t="str">
        <f t="shared" si="74"/>
        <v>"%USERPROFILE%\Documents\GitHub\eaglep3\Utilities\RefineRTDCRunTimes.py" --tripid 232-30 --locoid 4023 --swversion DE.1.0.9.0 --startMP 204:232891 --initTime 2017-10-30T22:22:48 --startdatetime 2017-10-30T22:27:17 --delay 94 --endMP 204:207 --enddatetime 2017-10-30T23:03:57 --enforcementcount 0 &gt;&gt;%USERPROFILE%\Documents\GitHub\eaglep3-reporting\EC\2017-10-30-refined-times.txt</v>
      </c>
      <c r="AI144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{"issue":{"subject":"","project_id":79,"tracker_id":40,"status_id":1,"priority_id":2,"assigned_to_id":338,"start_date":"2017-10-30","description":"","custom_fields":[{"id":1,"name":"Subdivision","value":"EC"},{"id":4,"name":"Milepost","value":"0.0207"},{"id":17,"name":"Train ID","value":"232-30"},{"id":16,"name":"Locomotive ID","value":"4023"},{"id":130,"name":"Impact","value":""},{"id":150,"name":"Time of Event (Mountain Time)","value":"23:03:57"},{"id":151,"name":"Denver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6"/>
        <v>start /low /b %USERPROFILE%\Documents\GitHub\eaglep3\Utilities\DownloadLogsFromS3.py --loco 4023 --day 2017-10-30</v>
      </c>
      <c r="AN144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05:03:57"},{"id":29,"name":"Sharepoint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8"/>
        <v>https://d0f6bd738d7f1b3e5a7ca70fe4ff75f0.us-east-1.aws.found.io/app/kibana#/discover/Steve-Slow-Train-Analysis-(2080s-and-2083s)?_g=(refreshInterval:(display:Off,pause:!f,section:0,value:0),time:(from:'2017-10-30T21:22:48-0600',mode:absolute,to:'2017-10-31T00:03:57-0600'))&amp;_a=(columns:!('Message%20ID',Summary),filters:!(),index:'emp_*',interval:auto,query:(query_string:(analyze_wildcard:!t,query:'%22rtdc.l.rtdc.4023%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881</v>
      </c>
      <c r="B145" s="7">
        <v>4050</v>
      </c>
      <c r="C145" s="21" t="s">
        <v>194</v>
      </c>
      <c r="D145" s="21" t="s">
        <v>475</v>
      </c>
      <c r="E145" s="13">
        <v>43038.912152777775</v>
      </c>
      <c r="F145" s="13">
        <v>43038.916828703703</v>
      </c>
      <c r="G145" s="7">
        <v>65</v>
      </c>
      <c r="H145" s="21" t="s">
        <v>581</v>
      </c>
      <c r="I145" s="13">
        <v>43038.940671296295</v>
      </c>
      <c r="J145" s="7">
        <v>0</v>
      </c>
      <c r="K145" s="89" t="str">
        <f t="shared" si="57"/>
        <v>4049/4050</v>
      </c>
      <c r="L145" s="185" t="str">
        <f>VLOOKUP(A145,'Trips&amp;Operators'!$C$1:$G$99911,5,FALSE)</f>
        <v>RESPASS AARON</v>
      </c>
      <c r="M145" s="6">
        <f t="shared" si="58"/>
        <v>2.3842592592700385E-2</v>
      </c>
      <c r="N145" s="7">
        <f t="shared" si="55"/>
        <v>34.333333333488554</v>
      </c>
      <c r="O145" s="7"/>
      <c r="P145" s="7"/>
      <c r="Q145" s="22"/>
      <c r="R145" s="174"/>
      <c r="S145" s="221">
        <f t="shared" si="56"/>
        <v>1</v>
      </c>
      <c r="T145" s="174" t="str">
        <f t="shared" si="59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0"/>
        <v>https://d0f6bd738d7f1b3e5a7ca70fe4ff75f0.us-east-1.aws.found.io/app/kibana#/discover/Steve-Slow-Train-Analysis-(2080s-and-2083s)?_g=(refreshInterval:(display:Off,pause:!f,section:0,value:0),time:(from:'2017-10-30T20:53:30-0600',mode:absolute,to:'2017-10-30T23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04" t="str">
        <f>IF(AA145&lt;VLOOKUP(AG145,Variables!$AC$3:$AD$8,2,FALSE),"Y","N")</f>
        <v>N</v>
      </c>
      <c r="X145" s="204">
        <f t="shared" si="79"/>
        <v>1</v>
      </c>
      <c r="Y145" s="204">
        <f t="shared" si="72"/>
        <v>5.4600000000000003E-2</v>
      </c>
      <c r="Z145" s="204">
        <f t="shared" si="73"/>
        <v>23.3216</v>
      </c>
      <c r="AA145" s="204">
        <f t="shared" si="61"/>
        <v>23.266999999999999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2"/>
        <v>233</v>
      </c>
      <c r="AE145" s="77" t="str">
        <f t="shared" si="63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145" s="74" t="str">
        <f t="shared" si="64"/>
        <v>"C:\Program Files (x86)\AstroGrep\AstroGrep.exe" /e /r /s /spath="%USERPROFILE%\AppData\Local\Temp\OnboardLogs" /stypes="app*4050*20171031*" /stext=" 04:.+((SYSTEM_STATE.+slice.+state.+changed )|(ment ac)|(multiple cpu faults)|(system.+state.+changed )|(\[timeout)|(PRM\|1\|D)|(kpr)|(kdp)|(train st.+moving)|(\|lc)|(penalty))"</v>
      </c>
      <c r="AG145" s="182" t="str">
        <f t="shared" si="65"/>
        <v>EC</v>
      </c>
      <c r="AH145" s="78" t="str">
        <f t="shared" si="74"/>
        <v>"%USERPROFILE%\Documents\GitHub\eaglep3\Utilities\RefineRTDCRunTimes.py" --tripid 233-30 --locoid 4050 --swversion DE.1.0.9.0 --startMP 204:546 --initTime 2017-10-30T21:53:30 --startdatetime 2017-10-30T22:00:14 --delay 65 --endMP 204:233216 --enddatetime 2017-10-30T22:34:34 --enforcementcount 0 &gt;&gt;%USERPROFILE%\Documents\GitHub\eaglep3-reporting\EC\2017-10-30-refined-times.txt</v>
      </c>
      <c r="AI145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{"issue":{"subject":"","project_id":79,"tracker_id":40,"status_id":1,"priority_id":2,"assigned_to_id":338,"start_date":"2017-10-30","description":"","custom_fields":[{"id":1,"name":"Subdivision","value":"EC"},{"id":4,"name":"Milepost","value":"23.3216"},{"id":17,"name":"Train ID","value":"233-30"},{"id":16,"name":"Locomotive ID","value":"4050"},{"id":130,"name":"Impact","value":""},{"id":150,"name":"Time of Event (Mountain Time)","value":"22:34:34"},{"id":151,"name":"Denver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6"/>
        <v>start /low /b %USERPROFILE%\Documents\GitHub\eaglep3\Utilities\DownloadLogsFromS3.py --loco 4050 --day 2017-10-30</v>
      </c>
      <c r="AN145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8"/>
        <v>https://d0f6bd738d7f1b3e5a7ca70fe4ff75f0.us-east-1.aws.found.io/app/kibana#/discover/Steve-Slow-Train-Analysis-(2080s-and-2083s)?_g=(refreshInterval:(display:Off,pause:!f,section:0,value:0),time:(from:'2017-10-30T20:53:30-0600',mode:absolute,to:'2017-10-30T23:34:34-0600'))&amp;_a=(columns:!('Message%20ID',Summary),filters:!(),index:'emp_*',interval:auto,query:(query_string:(analyze_wildcard:!t,query:'%22rtdc.l.rtdc.4050%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886</v>
      </c>
      <c r="B146" s="7">
        <v>4049</v>
      </c>
      <c r="C146" s="21" t="s">
        <v>194</v>
      </c>
      <c r="D146" s="21" t="s">
        <v>1004</v>
      </c>
      <c r="E146" s="13">
        <v>43038.950046296297</v>
      </c>
      <c r="F146" s="13">
        <v>43038.956400462965</v>
      </c>
      <c r="G146" s="7">
        <v>63</v>
      </c>
      <c r="H146" s="21" t="s">
        <v>953</v>
      </c>
      <c r="I146" s="13">
        <v>43038.983495370368</v>
      </c>
      <c r="J146" s="7">
        <v>0</v>
      </c>
      <c r="K146" s="89" t="str">
        <f t="shared" si="57"/>
        <v>4049/4050</v>
      </c>
      <c r="L146" s="185" t="str">
        <f>VLOOKUP(A146,'Trips&amp;Operators'!$C$1:$G$99911,5,FALSE)</f>
        <v>RESPASS AARON</v>
      </c>
      <c r="M146" s="6">
        <f t="shared" si="58"/>
        <v>2.7094907403807156E-2</v>
      </c>
      <c r="N146" s="7">
        <f t="shared" si="55"/>
        <v>39.016666661482304</v>
      </c>
      <c r="O146" s="7"/>
      <c r="P146" s="7"/>
      <c r="Q146" s="22"/>
      <c r="R146" s="174"/>
      <c r="S146" s="221">
        <f t="shared" si="56"/>
        <v>1</v>
      </c>
      <c r="T146" s="174" t="str">
        <f t="shared" si="59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0"/>
        <v>https://d0f6bd738d7f1b3e5a7ca70fe4ff75f0.us-east-1.aws.found.io/app/kibana#/discover/Steve-Slow-Train-Analysis-(2080s-and-2083s)?_g=(refreshInterval:(display:Off,pause:!f,section:0,value:0),time:(from:'2017-10-30T21:48:04-0600',mode:absolute,to:'2017-10-31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04" t="str">
        <f>IF(AA146&lt;VLOOKUP(AG146,Variables!$AC$3:$AD$8,2,FALSE),"Y","N")</f>
        <v>N</v>
      </c>
      <c r="X146" s="204">
        <f t="shared" si="79"/>
        <v>1</v>
      </c>
      <c r="Y146" s="204">
        <f t="shared" si="72"/>
        <v>23.291899999999998</v>
      </c>
      <c r="Z146" s="204">
        <f t="shared" si="73"/>
        <v>2.6700000000000002E-2</v>
      </c>
      <c r="AA146" s="204">
        <f t="shared" si="61"/>
        <v>23.265199999999997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2"/>
        <v>234</v>
      </c>
      <c r="AE146" s="77" t="str">
        <f t="shared" si="63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146" s="74" t="str">
        <f t="shared" si="64"/>
        <v>"C:\Program Files (x86)\AstroGrep\AstroGrep.exe" /e /r /s /spath="%USERPROFILE%\AppData\Local\Temp\OnboardLogs" /stypes="app*4049*20171031*" /stext=" 05:.+((SYSTEM_STATE.+slice.+state.+changed )|(ment ac)|(multiple cpu faults)|(system.+state.+changed )|(\[timeout)|(PRM\|1\|D)|(kpr)|(kdp)|(train st.+moving)|(\|lc)|(penalty))"</v>
      </c>
      <c r="AG146" s="182" t="str">
        <f t="shared" si="65"/>
        <v>EC</v>
      </c>
      <c r="AH146" s="78" t="str">
        <f t="shared" si="74"/>
        <v>"%USERPROFILE%\Documents\GitHub\eaglep3\Utilities\RefineRTDCRunTimes.py" --tripid 234-30 --locoid 4049 --swversion DE.1.0.9.0 --startMP 204:232919 --initTime 2017-10-30T22:48:04 --startdatetime 2017-10-30T22:57:13 --delay 63 --endMP 204:267 --enddatetime 2017-10-30T23:36:14 --enforcementcount 0 &gt;&gt;%USERPROFILE%\Documents\GitHub\eaglep3-reporting\EC\2017-10-30-refined-times.txt</v>
      </c>
      <c r="AI146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{"issue":{"subject":"","project_id":79,"tracker_id":40,"status_id":1,"priority_id":2,"assigned_to_id":338,"start_date":"2017-10-30","description":"","custom_fields":[{"id":1,"name":"Subdivision","value":"EC"},{"id":4,"name":"Milepost","value":"0.0267"},{"id":17,"name":"Train ID","value":"234-30"},{"id":16,"name":"Locomotive ID","value":"4049"},{"id":130,"name":"Impact","value":""},{"id":150,"name":"Time of Event (Mountain Time)","value":"23:36:14"},{"id":151,"name":"Denver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6"/>
        <v>start /low /b %USERPROFILE%\Documents\GitHub\eaglep3\Utilities\DownloadLogsFromS3.py --loco 4049 --day 2017-10-30</v>
      </c>
      <c r="AN146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05:36:14"},{"id":29,"name":"Sharepoint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8"/>
        <v>https://d0f6bd738d7f1b3e5a7ca70fe4ff75f0.us-east-1.aws.found.io/app/kibana#/discover/Steve-Slow-Train-Analysis-(2080s-and-2083s)?_g=(refreshInterval:(display:Off,pause:!f,section:0,value:0),time:(from:'2017-10-30T21:48:04-0600',mode:absolute,to:'2017-10-31T00:36:14-0600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884</v>
      </c>
      <c r="B147" s="7">
        <v>4004</v>
      </c>
      <c r="C147" s="21" t="s">
        <v>194</v>
      </c>
      <c r="D147" s="21" t="s">
        <v>1005</v>
      </c>
      <c r="E147" s="13">
        <v>43038.93304398148</v>
      </c>
      <c r="F147" s="13">
        <v>43038.937997685185</v>
      </c>
      <c r="G147" s="7">
        <v>71</v>
      </c>
      <c r="H147" s="21" t="s">
        <v>1006</v>
      </c>
      <c r="I147" s="13">
        <v>43038.963969907411</v>
      </c>
      <c r="J147" s="7">
        <v>0</v>
      </c>
      <c r="K147" s="89" t="str">
        <f t="shared" si="57"/>
        <v>4003/4004</v>
      </c>
      <c r="L147" s="185" t="str">
        <f>VLOOKUP(A147,'Trips&amp;Operators'!$C$1:$G$99911,5,FALSE)</f>
        <v>WILLIAMS DONTE</v>
      </c>
      <c r="M147" s="6">
        <f t="shared" si="58"/>
        <v>2.5972222225391306E-2</v>
      </c>
      <c r="N147" s="7">
        <f t="shared" si="55"/>
        <v>37.400000004563481</v>
      </c>
      <c r="O147" s="7"/>
      <c r="P147" s="7"/>
      <c r="Q147" s="22"/>
      <c r="R147" s="174"/>
      <c r="S147" s="221">
        <f t="shared" si="56"/>
        <v>1</v>
      </c>
      <c r="T147" s="174" t="str">
        <f t="shared" si="59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0"/>
        <v>https://d0f6bd738d7f1b3e5a7ca70fe4ff75f0.us-east-1.aws.found.io/app/kibana#/discover/Steve-Slow-Train-Analysis-(2080s-and-2083s)?_g=(refreshInterval:(display:Off,pause:!f,section:0,value:0),time:(from:'2017-10-30T21:23:35-0600',mode:absolute,to:'2017-10-31T00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204" t="str">
        <f>IF(AA147&lt;VLOOKUP(AG147,Variables!$AC$3:$AD$8,2,FALSE),"Y","N")</f>
        <v>N</v>
      </c>
      <c r="X147" s="204">
        <f t="shared" si="79"/>
        <v>1</v>
      </c>
      <c r="Y147" s="204">
        <f t="shared" si="72"/>
        <v>4.9299999999999997E-2</v>
      </c>
      <c r="Z147" s="204">
        <f t="shared" si="73"/>
        <v>23.321899999999999</v>
      </c>
      <c r="AA147" s="204">
        <f t="shared" si="61"/>
        <v>23.272600000000001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2"/>
        <v>235</v>
      </c>
      <c r="AE147" s="77" t="str">
        <f t="shared" si="63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147" s="74" t="str">
        <f t="shared" si="64"/>
        <v>"C:\Program Files (x86)\AstroGrep\AstroGrep.exe" /e /r /s /spath="%USERPROFILE%\AppData\Local\Temp\OnboardLogs" /stypes="app*4004*20171031*" /stext=" 05:.+((SYSTEM_STATE.+slice.+state.+changed )|(ment ac)|(multiple cpu faults)|(system.+state.+changed )|(\[timeout)|(PRM\|1\|D)|(kpr)|(kdp)|(train st.+moving)|(\|lc)|(penalty))"</v>
      </c>
      <c r="AG147" s="182" t="str">
        <f t="shared" si="65"/>
        <v>EC</v>
      </c>
      <c r="AH147" s="78" t="str">
        <f t="shared" si="74"/>
        <v>"%USERPROFILE%\Documents\GitHub\eaglep3\Utilities\RefineRTDCRunTimes.py" --tripid 235-30 --locoid 4004 --swversion DE.1.0.9.0 --startMP 204:493 --initTime 2017-10-30T22:23:35 --startdatetime 2017-10-30T22:30:43 --delay 71 --endMP 204:233219 --enddatetime 2017-10-30T23:08:07 --enforcementcount 0 &gt;&gt;%USERPROFILE%\Documents\GitHub\eaglep3-reporting\EC\2017-10-30-refined-times.txt</v>
      </c>
      <c r="AI147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{"issue":{"subject":"","project_id":79,"tracker_id":40,"status_id":1,"priority_id":2,"assigned_to_id":338,"start_date":"2017-10-30","description":"","custom_fields":[{"id":1,"name":"Subdivision","value":"EC"},{"id":4,"name":"Milepost","value":"23.3219"},{"id":17,"name":"Train ID","value":"235-30"},{"id":16,"name":"Locomotive ID","value":"4004"},{"id":130,"name":"Impact","value":""},{"id":150,"name":"Time of Event (Mountain Time)","value":"23:08:07"},{"id":151,"name":"Denver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6"/>
        <v>start /low /b %USERPROFILE%\Documents\GitHub\eaglep3\Utilities\DownloadLogsFromS3.py --loco 4004 --day 2017-10-30</v>
      </c>
      <c r="AN147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05:08:07"},{"id":29,"name":"Sharepoint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8"/>
        <v>https://d0f6bd738d7f1b3e5a7ca70fe4ff75f0.us-east-1.aws.found.io/app/kibana#/discover/Steve-Slow-Train-Analysis-(2080s-and-2083s)?_g=(refreshInterval:(display:Off,pause:!f,section:0,value:0),time:(from:'2017-10-30T21:23:35-0600',mode:absolute,to:'2017-10-31T00:08:07-0600'))&amp;_a=(columns:!('Message%20ID',Summary),filters:!(),index:'emp_*',interval:auto,query:(query_string:(analyze_wildcard:!t,query:'%22rtdc.l.rtdc.4004%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888</v>
      </c>
      <c r="B148" s="7">
        <v>4003</v>
      </c>
      <c r="C148" s="21" t="s">
        <v>194</v>
      </c>
      <c r="D148" s="21" t="s">
        <v>927</v>
      </c>
      <c r="E148" s="13">
        <v>43038.972430555557</v>
      </c>
      <c r="F148" s="13">
        <v>43038.977442129632</v>
      </c>
      <c r="G148" s="7">
        <v>72</v>
      </c>
      <c r="H148" s="21" t="s">
        <v>516</v>
      </c>
      <c r="I148" s="13">
        <v>43039.005358796298</v>
      </c>
      <c r="J148" s="7">
        <v>0</v>
      </c>
      <c r="K148" s="89" t="str">
        <f t="shared" si="57"/>
        <v>4003/4004</v>
      </c>
      <c r="L148" s="185" t="str">
        <f>VLOOKUP(A148,'Trips&amp;Operators'!$C$1:$G$99911,5,FALSE)</f>
        <v>WILLIAMS DONTE</v>
      </c>
      <c r="M148" s="6">
        <f t="shared" si="58"/>
        <v>2.7916666665987577E-2</v>
      </c>
      <c r="N148" s="7">
        <f t="shared" si="55"/>
        <v>40.199999999022111</v>
      </c>
      <c r="O148" s="7"/>
      <c r="P148" s="7"/>
      <c r="Q148" s="22"/>
      <c r="R148" s="174"/>
      <c r="S148" s="221">
        <f t="shared" si="56"/>
        <v>1</v>
      </c>
      <c r="T148" s="174" t="str">
        <f t="shared" si="59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0"/>
        <v>https://d0f6bd738d7f1b3e5a7ca70fe4ff75f0.us-east-1.aws.found.io/app/kibana#/discover/Steve-Slow-Train-Analysis-(2080s-and-2083s)?_g=(refreshInterval:(display:Off,pause:!f,section:0,value:0),time:(from:'2017-10-30T22:20:18-0600',mode:absolute,to:'2017-10-31T01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204" t="str">
        <f>IF(AA148&lt;VLOOKUP(AG148,Variables!$AC$3:$AD$8,2,FALSE),"Y","N")</f>
        <v>N</v>
      </c>
      <c r="X148" s="204">
        <f t="shared" si="79"/>
        <v>1</v>
      </c>
      <c r="Y148" s="204">
        <f t="shared" si="72"/>
        <v>23.2942</v>
      </c>
      <c r="Z148" s="204">
        <f t="shared" si="73"/>
        <v>1.7399999999999999E-2</v>
      </c>
      <c r="AA148" s="204">
        <f t="shared" si="61"/>
        <v>23.276800000000001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2"/>
        <v>236</v>
      </c>
      <c r="AE148" s="77" t="str">
        <f t="shared" si="63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148" s="74" t="str">
        <f t="shared" si="64"/>
        <v>"C:\Program Files (x86)\AstroGrep\AstroGrep.exe" /e /r /s /spath="%USERPROFILE%\AppData\Local\Temp\OnboardLogs" /stypes="app*4003*20171031*" /stext=" 06:.+((SYSTEM_STATE.+slice.+state.+changed )|(ment ac)|(multiple cpu faults)|(system.+state.+changed )|(\[timeout)|(PRM\|1\|D)|(kpr)|(kdp)|(train st.+moving)|(\|lc)|(penalty))"</v>
      </c>
      <c r="AG148" s="182" t="str">
        <f t="shared" si="65"/>
        <v>EC</v>
      </c>
      <c r="AH148" s="78" t="str">
        <f t="shared" si="74"/>
        <v>"%USERPROFILE%\Documents\GitHub\eaglep3\Utilities\RefineRTDCRunTimes.py" --tripid 236-30 --locoid 4003 --swversion DE.1.0.9.0 --startMP 204:232942 --initTime 2017-10-30T23:20:18 --startdatetime 2017-10-30T23:27:31 --delay 72 --endMP 204:174 --enddatetime 2017-10-31T00:07:43 --enforcementcount 0 &gt;&gt;%USERPROFILE%\Documents\GitHub\eaglep3-reporting\EC\2017-10-30-refined-times.txt</v>
      </c>
      <c r="AI148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{"issue":{"subject":"","project_id":79,"tracker_id":40,"status_id":1,"priority_id":2,"assigned_to_id":338,"start_date":"2017-10-31","description":"","custom_fields":[{"id":1,"name":"Subdivision","value":"EC"},{"id":4,"name":"Milepost","value":"0.0174"},{"id":17,"name":"Train ID","value":"236-30"},{"id":16,"name":"Locomotive ID","value":"4003"},{"id":130,"name":"Impact","value":""},{"id":150,"name":"Time of Event (Mountain Time)","value":"00:07:43"},{"id":151,"name":"Denver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6"/>
        <v>start /low /b %USERPROFILE%\Documents\GitHub\eaglep3\Utilities\DownloadLogsFromS3.py --loco 4003 --day 2017-10-30</v>
      </c>
      <c r="AN148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06:07:43"},{"id":29,"name":"Sharepoint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8"/>
        <v>https://d0f6bd738d7f1b3e5a7ca70fe4ff75f0.us-east-1.aws.found.io/app/kibana#/discover/Steve-Slow-Train-Analysis-(2080s-and-2083s)?_g=(refreshInterval:(display:Off,pause:!f,section:0,value:0),time:(from:'2017-10-30T22:20:18-0600',mode:absolute,to:'2017-10-31T01:07:43-0600'))&amp;_a=(columns:!('Message%20ID',Summary),filters:!(),index:'emp_*',interval:auto,query:(query_string:(analyze_wildcard:!t,query:'%22rtdc.l.rtdc.4003%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885</v>
      </c>
      <c r="B149" s="7">
        <v>4032</v>
      </c>
      <c r="C149" s="21" t="s">
        <v>194</v>
      </c>
      <c r="D149" s="21" t="s">
        <v>637</v>
      </c>
      <c r="E149" s="13">
        <v>43038.945949074077</v>
      </c>
      <c r="F149" s="13">
        <v>43038.958483796298</v>
      </c>
      <c r="G149" s="7">
        <v>48</v>
      </c>
      <c r="H149" s="21" t="s">
        <v>1007</v>
      </c>
      <c r="I149" s="13">
        <v>43038.982210648152</v>
      </c>
      <c r="J149" s="7">
        <v>0</v>
      </c>
      <c r="K149" s="89" t="str">
        <f t="shared" si="57"/>
        <v>4031/4032</v>
      </c>
      <c r="L149" s="185" t="str">
        <f>VLOOKUP(A149,'Trips&amp;Operators'!$C$1:$G$99911,5,FALSE)</f>
        <v>ELBAUM MIKE</v>
      </c>
      <c r="M149" s="6">
        <f t="shared" si="58"/>
        <v>2.3726851854007691E-2</v>
      </c>
      <c r="N149" s="7">
        <f t="shared" si="55"/>
        <v>34.166666669771075</v>
      </c>
      <c r="O149" s="7"/>
      <c r="P149" s="7"/>
      <c r="Q149" s="22"/>
      <c r="R149" s="174"/>
      <c r="S149" s="221">
        <f t="shared" si="56"/>
        <v>1</v>
      </c>
      <c r="T149" s="174" t="str">
        <f t="shared" si="59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0"/>
        <v>https://d0f6bd738d7f1b3e5a7ca70fe4ff75f0.us-east-1.aws.found.io/app/kibana#/discover/Steve-Slow-Train-Analysis-(2080s-and-2083s)?_g=(refreshInterval:(display:Off,pause:!f,section:0,value:0),time:(from:'2017-10-30T21:42:10-0600',mode:absolute,to:'2017-10-31T00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204" t="str">
        <f>IF(AA149&lt;VLOOKUP(AG149,Variables!$AC$3:$AD$8,2,FALSE),"Y","N")</f>
        <v>N</v>
      </c>
      <c r="X149" s="204">
        <f t="shared" si="79"/>
        <v>1</v>
      </c>
      <c r="Y149" s="204">
        <f t="shared" si="72"/>
        <v>5.57E-2</v>
      </c>
      <c r="Z149" s="204">
        <f t="shared" si="73"/>
        <v>23.331399999999999</v>
      </c>
      <c r="AA149" s="204">
        <f t="shared" si="61"/>
        <v>23.275699999999997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2"/>
        <v>237</v>
      </c>
      <c r="AE149" s="77" t="str">
        <f t="shared" si="63"/>
        <v>aws s3 cp s3://rtdc.mdm.uploadarchive.raw/RTDC4032/ "%USERPROFILE%\AppData\Local\Temp\OnboardLogs"\RTDC4032\2017-10-30 --exclude "*" --recursive --include "*20171030*" &amp; "%USERPROFILE%\Documents\GitHub\mrs-test-scripts\Headless Mode &amp; Sideloading\WalkAndUnGZ.bat" "%USERPROFILE%\AppData\Local\Temp\OnboardLogs"\RTDC4032\2017-10-30 &amp; aws s3 cp s3://rtdc.mdm.uploadarchive.raw/RTDC4032/ "%USERPROFILE%\AppData\Local\Temp\OnboardLogs"\RTDC4032\2017-10-31 --exclude "*" --recursive --include "*20171031*" &amp; "%USERPROFILE%\Documents\GitHub\mrs-test-scripts\Headless Mode &amp; Sideloading\WalkAndUnGZ.bat" "%USERPROFILE%\AppData\Local\Temp\OnboardLogs"\RTDC4032\2017-10-31</v>
      </c>
      <c r="AF149" s="74" t="str">
        <f t="shared" si="64"/>
        <v>"C:\Program Files (x86)\AstroGrep\AstroGrep.exe" /e /r /s /spath="%USERPROFILE%\AppData\Local\Temp\OnboardLogs" /stypes="app*4032*20171031*" /stext=" 05:.+((SYSTEM_STATE.+slice.+state.+changed )|(ment ac)|(multiple cpu faults)|(system.+state.+changed )|(\[timeout)|(PRM\|1\|D)|(kpr)|(kdp)|(train st.+moving)|(\|lc)|(penalty))"</v>
      </c>
      <c r="AG149" s="182" t="str">
        <f t="shared" si="65"/>
        <v>EC</v>
      </c>
      <c r="AH149" s="78" t="str">
        <f t="shared" si="74"/>
        <v>"%USERPROFILE%\Documents\GitHub\eaglep3\Utilities\RefineRTDCRunTimes.py" --tripid 237-30 --locoid 4032 --swversion DE.1.0.9.0 --startMP 204:557 --initTime 2017-10-30T22:42:10 --startdatetime 2017-10-30T23:00:13 --delay 48 --endMP 204:233314 --enddatetime 2017-10-30T23:34:23 --enforcementcount 0 &gt;&gt;%USERPROFILE%\Documents\GitHub\eaglep3-reporting\EC\2017-10-30-refined-times.txt</v>
      </c>
      <c r="AI149" s="96" t="str">
        <f t="shared" si="75"/>
        <v>echo {"issue":{"subject":"","project_id":79,"tracker_id":40,"status_id":1,"priority_id":2,"assigned_to_id":338,"start_date":"2017-10-30","description":"","custom_fields":[{"id":1,"name":"Subdivision","value":"EC"},{"id":4,"name":"Milepost","value":"23.3314"},{"id":17,"name":"Train ID","value":"237-30"},{"id":16,"name":"Locomotive ID","value":"4032"},{"id":130,"name":"Impact","value":""},{"id":150,"name":"Time of Event (Mountain Time)","value":"23:34:23"},{"id":151,"name":"Denver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6"/>
        <v>start /low /b %USERPROFILE%\Documents\GitHub\eaglep3\Utilities\DownloadLogsFromS3.py --loco 4032 --day 2017-10-30</v>
      </c>
      <c r="AN149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05:34:23"},{"id":29,"name":"Sharepoint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8"/>
        <v>https://d0f6bd738d7f1b3e5a7ca70fe4ff75f0.us-east-1.aws.found.io/app/kibana#/discover/Steve-Slow-Train-Analysis-(2080s-and-2083s)?_g=(refreshInterval:(display:Off,pause:!f,section:0,value:0),time:(from:'2017-10-30T21:42:10-0600',mode:absolute,to:'2017-10-31T00:34:23-0600'))&amp;_a=(columns:!('Message%20ID',Summary),filters:!(),index:'emp_*',interval:auto,query:(query_string:(analyze_wildcard:!t,query:'%22rtdc.l.rtdc.4032%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890</v>
      </c>
      <c r="B150" s="7">
        <v>4031</v>
      </c>
      <c r="C150" s="21" t="s">
        <v>194</v>
      </c>
      <c r="D150" s="21" t="s">
        <v>510</v>
      </c>
      <c r="E150" s="13">
        <v>43038.986122685186</v>
      </c>
      <c r="F150" s="13">
        <v>43038.998067129629</v>
      </c>
      <c r="G150" s="7">
        <v>55</v>
      </c>
      <c r="H150" s="21" t="s">
        <v>640</v>
      </c>
      <c r="I150" s="13">
        <v>43039.024618055555</v>
      </c>
      <c r="J150" s="7">
        <v>0</v>
      </c>
      <c r="K150" s="89" t="str">
        <f t="shared" si="57"/>
        <v>4031/4032</v>
      </c>
      <c r="L150" s="185" t="str">
        <f>VLOOKUP(A150,'Trips&amp;Operators'!$C$1:$G$99911,5,FALSE)</f>
        <v>ELBAUM MIKE</v>
      </c>
      <c r="M150" s="6">
        <f t="shared" si="58"/>
        <v>2.6550925926130731E-2</v>
      </c>
      <c r="N150" s="7">
        <f t="shared" si="55"/>
        <v>38.233333333628252</v>
      </c>
      <c r="O150" s="7"/>
      <c r="P150" s="7"/>
      <c r="Q150" s="22"/>
      <c r="R150" s="174"/>
      <c r="S150" s="221">
        <f t="shared" si="56"/>
        <v>1</v>
      </c>
      <c r="T150" s="174" t="str">
        <f t="shared" si="59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0"/>
        <v>https://d0f6bd738d7f1b3e5a7ca70fe4ff75f0.us-east-1.aws.found.io/app/kibana#/discover/Steve-Slow-Train-Analysis-(2080s-and-2083s)?_g=(refreshInterval:(display:Off,pause:!f,section:0,value:0),time:(from:'2017-10-30T22:40:01-0600',mode:absolute,to:'2017-10-31T01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204" t="str">
        <f>IF(AA150&lt;VLOOKUP(AG150,Variables!$AC$3:$AD$8,2,FALSE),"Y","N")</f>
        <v>N</v>
      </c>
      <c r="X150" s="204">
        <f t="shared" si="79"/>
        <v>1</v>
      </c>
      <c r="Y150" s="204">
        <f t="shared" si="72"/>
        <v>23.297799999999999</v>
      </c>
      <c r="Z150" s="204">
        <f t="shared" si="73"/>
        <v>2.5999999999999999E-2</v>
      </c>
      <c r="AA150" s="204">
        <f t="shared" si="61"/>
        <v>23.271799999999999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2"/>
        <v>238</v>
      </c>
      <c r="AE150" s="77" t="str">
        <f t="shared" si="63"/>
        <v>aws s3 cp s3://rtdc.mdm.uploadarchive.raw/RTDC4031/ "%USERPROFILE%\AppData\Local\Temp\OnboardLogs"\RTDC4031\2017-10-30 --exclude "*" --recursive --include "*20171030*" &amp; "%USERPROFILE%\Documents\GitHub\mrs-test-scripts\Headless Mode &amp; Sideloading\WalkAndUnGZ.bat" "%USERPROFILE%\AppData\Local\Temp\OnboardLogs"\RTDC4031\2017-10-30 &amp; aws s3 cp s3://rtdc.mdm.uploadarchive.raw/RTDC4031/ "%USERPROFILE%\AppData\Local\Temp\OnboardLogs"\RTDC4031\2017-10-31 --exclude "*" --recursive --include "*20171031*" &amp; "%USERPROFILE%\Documents\GitHub\mrs-test-scripts\Headless Mode &amp; Sideloading\WalkAndUnGZ.bat" "%USERPROFILE%\AppData\Local\Temp\OnboardLogs"\RTDC4031\2017-10-31</v>
      </c>
      <c r="AF150" s="74" t="str">
        <f t="shared" si="64"/>
        <v>"C:\Program Files (x86)\AstroGrep\AstroGrep.exe" /e /r /s /spath="%USERPROFILE%\AppData\Local\Temp\OnboardLogs" /stypes="app*4031*20171031*" /stext=" 06:.+((SYSTEM_STATE.+slice.+state.+changed )|(ment ac)|(multiple cpu faults)|(system.+state.+changed )|(\[timeout)|(PRM\|1\|D)|(kpr)|(kdp)|(train st.+moving)|(\|lc)|(penalty))"</v>
      </c>
      <c r="AG150" s="182" t="str">
        <f t="shared" si="65"/>
        <v>EC</v>
      </c>
      <c r="AH150" s="78" t="str">
        <f t="shared" si="74"/>
        <v>"%USERPROFILE%\Documents\GitHub\eaglep3\Utilities\RefineRTDCRunTimes.py" --tripid 238-30 --locoid 4031 --swversion DE.1.0.9.0 --startMP 204:232978 --initTime 2017-10-30T23:40:01 --startdatetime 2017-10-30T23:57:13 --delay 55 --endMP 204:260 --enddatetime 2017-10-31T00:35:27 --enforcementcount 0 &gt;&gt;%USERPROFILE%\Documents\GitHub\eaglep3-reporting\EC\2017-10-30-refined-times.txt</v>
      </c>
      <c r="AI150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{"issue":{"subject":"","project_id":79,"tracker_id":40,"status_id":1,"priority_id":2,"assigned_to_id":338,"start_date":"2017-10-31","description":"","custom_fields":[{"id":1,"name":"Subdivision","value":"EC"},{"id":4,"name":"Milepost","value":"0.026"},{"id":17,"name":"Train ID","value":"238-30"},{"id":16,"name":"Locomotive ID","value":"4031"},{"id":130,"name":"Impact","value":""},{"id":150,"name":"Time of Event (Mountain Time)","value":"00:35:27"},{"id":151,"name":"Denver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6"/>
        <v>start /low /b %USERPROFILE%\Documents\GitHub\eaglep3\Utilities\DownloadLogsFromS3.py --loco 4031 --day 2017-10-30</v>
      </c>
      <c r="AN150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06:35:27"},{"id":29,"name":"Sharepoint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8"/>
        <v>https://d0f6bd738d7f1b3e5a7ca70fe4ff75f0.us-east-1.aws.found.io/app/kibana#/discover/Steve-Slow-Train-Analysis-(2080s-and-2083s)?_g=(refreshInterval:(display:Off,pause:!f,section:0,value:0),time:(from:'2017-10-30T22:40:01-0600',mode:absolute,to:'2017-10-31T01:35:27-0600'))&amp;_a=(columns:!('Message%20ID',Summary),filters:!(),index:'emp_*',interval:auto,query:(query_string:(analyze_wildcard:!t,query:'%22rtdc.l.rtdc.4031%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887</v>
      </c>
      <c r="B151" s="7">
        <v>4024</v>
      </c>
      <c r="C151" s="21" t="s">
        <v>194</v>
      </c>
      <c r="D151" s="21" t="s">
        <v>523</v>
      </c>
      <c r="E151" s="13">
        <v>43038.967326388891</v>
      </c>
      <c r="F151" s="13">
        <v>43038.979386574072</v>
      </c>
      <c r="G151" s="7">
        <v>107</v>
      </c>
      <c r="H151" s="21" t="s">
        <v>620</v>
      </c>
      <c r="I151" s="13">
        <v>43039.004074074073</v>
      </c>
      <c r="J151" s="7">
        <v>0</v>
      </c>
      <c r="K151" s="89" t="str">
        <f t="shared" si="57"/>
        <v>4023/4024</v>
      </c>
      <c r="L151" s="185" t="str">
        <f>VLOOKUP(A151,'Trips&amp;Operators'!$C$1:$G$99911,5,FALSE)</f>
        <v>ANDREA WILLIAMS</v>
      </c>
      <c r="M151" s="6">
        <f t="shared" si="58"/>
        <v>2.4687500001164153E-2</v>
      </c>
      <c r="N151" s="7">
        <f t="shared" si="55"/>
        <v>35.550000001676381</v>
      </c>
      <c r="O151" s="7"/>
      <c r="P151" s="7"/>
      <c r="Q151" s="22"/>
      <c r="R151" s="174"/>
      <c r="S151" s="221">
        <f t="shared" si="56"/>
        <v>1</v>
      </c>
      <c r="T151" s="174" t="str">
        <f t="shared" si="59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0"/>
        <v>https://d0f6bd738d7f1b3e5a7ca70fe4ff75f0.us-east-1.aws.found.io/app/kibana#/discover/Steve-Slow-Train-Analysis-(2080s-and-2083s)?_g=(refreshInterval:(display:Off,pause:!f,section:0,value:0),time:(from:'2017-10-30T22:12:57-0600',mode:absolute,to:'2017-10-31T01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204" t="str">
        <f>IF(AA151&lt;VLOOKUP(AG151,Variables!$AC$3:$AD$8,2,FALSE),"Y","N")</f>
        <v>N</v>
      </c>
      <c r="X151" s="204">
        <f t="shared" si="79"/>
        <v>1</v>
      </c>
      <c r="Y151" s="204">
        <f t="shared" si="72"/>
        <v>5.1999999999999998E-2</v>
      </c>
      <c r="Z151" s="204">
        <f t="shared" si="73"/>
        <v>23.325500000000002</v>
      </c>
      <c r="AA151" s="204">
        <f t="shared" si="61"/>
        <v>23.273500000000002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2"/>
        <v>239</v>
      </c>
      <c r="AE151" s="77" t="str">
        <f t="shared" si="63"/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AF151" s="74" t="str">
        <f t="shared" si="64"/>
        <v>"C:\Program Files (x86)\AstroGrep\AstroGrep.exe" /e /r /s /spath="%USERPROFILE%\AppData\Local\Temp\OnboardLogs" /stypes="app*4024*20171031*" /stext=" 06:.+((SYSTEM_STATE.+slice.+state.+changed )|(ment ac)|(multiple cpu faults)|(system.+state.+changed )|(\[timeout)|(PRM\|1\|D)|(kpr)|(kdp)|(train st.+moving)|(\|lc)|(penalty))"</v>
      </c>
      <c r="AG151" s="182" t="str">
        <f t="shared" si="65"/>
        <v>EC</v>
      </c>
      <c r="AH151" s="78" t="str">
        <f t="shared" si="74"/>
        <v>"%USERPROFILE%\Documents\GitHub\eaglep3\Utilities\RefineRTDCRunTimes.py" --tripid 239-30 --locoid 4024 --swversion DE.1.0.9.0 --startMP 204:520 --initTime 2017-10-30T23:12:57 --startdatetime 2017-10-30T23:30:19 --delay 107 --endMP 204:233255 --enddatetime 2017-10-31T00:05:52 --enforcementcount 0 &gt;&gt;%USERPROFILE%\Documents\GitHub\eaglep3-reporting\EC\2017-10-30-refined-times.txt</v>
      </c>
      <c r="AI151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{"issue":{"subject":"","project_id":79,"tracker_id":40,"status_id":1,"priority_id":2,"assigned_to_id":338,"start_date":"2017-10-31","description":"","custom_fields":[{"id":1,"name":"Subdivision","value":"EC"},{"id":4,"name":"Milepost","value":"23.3255"},{"id":17,"name":"Train ID","value":"239-30"},{"id":16,"name":"Locomotive ID","value":"4024"},{"id":130,"name":"Impact","value":""},{"id":150,"name":"Time of Event (Mountain Time)","value":"00:05:52"},{"id":151,"name":"Denver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6"/>
        <v>start /low /b %USERPROFILE%\Documents\GitHub\eaglep3\Utilities\DownloadLogsFromS3.py --loco 4024 --day 2017-10-30</v>
      </c>
      <c r="AN151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8"/>
        <v>https://d0f6bd738d7f1b3e5a7ca70fe4ff75f0.us-east-1.aws.found.io/app/kibana#/discover/Steve-Slow-Train-Analysis-(2080s-and-2083s)?_g=(refreshInterval:(display:Off,pause:!f,section:0,value:0),time:(from:'2017-10-30T22:12:57-0600',mode:absolute,to:'2017-10-31T01:05:52-0600'))&amp;_a=(columns:!('Message%20ID',Summary),filters:!(),index:'emp_*',interval:auto,query:(query_string:(analyze_wildcard:!t,query:'%22rtdc.l.rtdc.4024%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893</v>
      </c>
      <c r="B152" s="7">
        <v>4023</v>
      </c>
      <c r="C152" s="21" t="s">
        <v>194</v>
      </c>
      <c r="D152" s="21" t="s">
        <v>579</v>
      </c>
      <c r="E152" s="13">
        <v>43039.017152777778</v>
      </c>
      <c r="F152" s="13">
        <v>43039.018935185188</v>
      </c>
      <c r="G152" s="7">
        <v>50</v>
      </c>
      <c r="H152" s="21" t="s">
        <v>1003</v>
      </c>
      <c r="I152" s="13">
        <v>43039.044293981482</v>
      </c>
      <c r="J152" s="7">
        <v>0</v>
      </c>
      <c r="K152" s="89" t="str">
        <f t="shared" si="57"/>
        <v>4023/4024</v>
      </c>
      <c r="L152" s="185" t="str">
        <f>VLOOKUP(A152,'Trips&amp;Operators'!$C$1:$G$99911,5,FALSE)</f>
        <v>LOZA FIDEL</v>
      </c>
      <c r="M152" s="6">
        <f t="shared" si="58"/>
        <v>2.5358796294312924E-2</v>
      </c>
      <c r="N152" s="7">
        <f t="shared" si="55"/>
        <v>36.516666663810611</v>
      </c>
      <c r="O152" s="7"/>
      <c r="P152" s="7"/>
      <c r="Q152" s="22"/>
      <c r="R152" s="174" t="s">
        <v>1134</v>
      </c>
      <c r="S152" s="221">
        <f t="shared" si="56"/>
        <v>1</v>
      </c>
      <c r="T152" s="174" t="str">
        <f t="shared" si="59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0"/>
        <v>https://d0f6bd738d7f1b3e5a7ca70fe4ff75f0.us-east-1.aws.found.io/app/kibana#/discover/Steve-Slow-Train-Analysis-(2080s-and-2083s)?_g=(refreshInterval:(display:Off,pause:!f,section:0,value:0),time:(from:'2017-10-30T23:24:42-0600',mode:absolute,to:'2017-10-31T02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204" t="str">
        <f>IF(AA152&lt;VLOOKUP(AG152,Variables!$AC$3:$AD$8,2,FALSE),"Y","N")</f>
        <v>N</v>
      </c>
      <c r="X152" s="204">
        <f t="shared" si="79"/>
        <v>1</v>
      </c>
      <c r="Y152" s="204">
        <f t="shared" si="72"/>
        <v>23.294</v>
      </c>
      <c r="Z152" s="204">
        <f t="shared" si="73"/>
        <v>2.07E-2</v>
      </c>
      <c r="AA152" s="204">
        <f t="shared" si="61"/>
        <v>23.273299999999999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2"/>
        <v>240</v>
      </c>
      <c r="AE152" s="77" t="str">
        <f t="shared" si="63"/>
        <v>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 &amp; aws s3 cp s3://rtdc.mdm.uploadarchive.raw/RTDC4023/ "%USERPROFILE%\AppData\Local\Temp\OnboardLogs"\RTDC4023\2017-11-01 --exclude "*" --recursive --include "*20171101*" &amp; "%USERPROFILE%\Documents\GitHub\mrs-test-scripts\Headless Mode &amp; Sideloading\WalkAndUnGZ.bat" "%USERPROFILE%\AppData\Local\Temp\OnboardLogs"\RTDC4023\2017-11-01</v>
      </c>
      <c r="AF152" s="74" t="str">
        <f t="shared" si="64"/>
        <v>"C:\Program Files (x86)\AstroGrep\AstroGrep.exe" /e /r /s /spath="%USERPROFILE%\AppData\Local\Temp\OnboardLogs" /stypes="app*4023*20171031*" /stext=" 07:.+((SYSTEM_STATE.+slice.+state.+changed )|(ment ac)|(multiple cpu faults)|(system.+state.+changed )|(\[timeout)|(PRM\|1\|D)|(kpr)|(kdp)|(train st.+moving)|(\|lc)|(penalty))"</v>
      </c>
      <c r="AG152" s="182" t="str">
        <f t="shared" si="65"/>
        <v>EC</v>
      </c>
      <c r="AH152" s="78" t="str">
        <f t="shared" si="74"/>
        <v>"%USERPROFILE%\Documents\GitHub\eaglep3\Utilities\RefineRTDCRunTimes.py" --tripid 240-30 --locoid 4023 --swversion DE.1.0.9.0 --startMP 204:232940 --initTime 2017-10-31T00:24:42 --startdatetime 2017-10-31T00:27:16 --delay 50 --endMP 204:207 --enddatetime 2017-10-31T01:03:47 --enforcementcount 0 &gt;&gt;%USERPROFILE%\Documents\GitHub\eaglep3-reporting\EC\2017-10-30-refined-times.txt</v>
      </c>
      <c r="AI152" s="96" t="str">
        <f t="shared" si="75"/>
        <v>echo {"issue":{"subject":"Observed unhealthy xing banner at Chambers due to 40th station stop","project_id":79,"tracker_id":40,"status_id":1,"priority_id":2,"assigned_to_id":338,"start_date":"2017-10-31","description":"","custom_fields":[{"id":1,"name":"Subdivision","value":"EC"},{"id":4,"name":"Milepost","value":"0.0207"},{"id":17,"name":"Train ID","value":"240-30"},{"id":16,"name":"Locomotive ID","value":"4023"},{"id":130,"name":"Impact","value":""},{"id":150,"name":"Time of Event (Mountain Time)","value":"01:03:47"},{"id":151,"name":"Denver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6"/>
        <v>start /low /b %USERPROFILE%\Documents\GitHub\eaglep3\Utilities\DownloadLogsFromS3.py --loco 4023 --day 2017-10-31</v>
      </c>
      <c r="AN152" s="151" t="str">
        <f t="shared" si="77"/>
        <v>echo {"issue":{"subject":"Observed unhealthy xing banner at Chambers due to 40th station stop","project_id":30,"tracker_id":4,"status_id":1,"priority_id":1,"assigned_to_id":10,"start_date":"2017-10-31","description":"","custom_fields":[{"id":30,"name":"Category","value":"Issue"},{"id":3,"name":"Functional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07:03:47"},{"id":29,"name":"Sharepoint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8"/>
        <v>https://d0f6bd738d7f1b3e5a7ca70fe4ff75f0.us-east-1.aws.found.io/app/kibana#/discover/Steve-Slow-Train-Analysis-(2080s-and-2083s)?_g=(refreshInterval:(display:Off,pause:!f,section:0,value:0),time:(from:'2017-10-30T23:24:42-0600',mode:absolute,to:'2017-10-31T02:03:47-0600'))&amp;_a=(columns:!('Message%20ID',Summary),filters:!(),index:'emp_*',interval:auto,query:(query_string:(analyze_wildcard:!t,query:'%22rtdc.l.rtdc.4023%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891</v>
      </c>
      <c r="B153" s="7">
        <v>4050</v>
      </c>
      <c r="C153" s="21" t="s">
        <v>194</v>
      </c>
      <c r="D153" s="21" t="s">
        <v>527</v>
      </c>
      <c r="E153" s="13">
        <v>43038.993935185186</v>
      </c>
      <c r="F153" s="13">
        <v>43039.000208333331</v>
      </c>
      <c r="G153" s="7">
        <v>52</v>
      </c>
      <c r="H153" s="21" t="s">
        <v>1006</v>
      </c>
      <c r="I153" s="13">
        <v>43039.024710648147</v>
      </c>
      <c r="J153" s="7">
        <v>0</v>
      </c>
      <c r="K153" s="89" t="str">
        <f t="shared" si="57"/>
        <v>4049/4050</v>
      </c>
      <c r="L153" s="185" t="str">
        <f>VLOOKUP(A153,'Trips&amp;Operators'!$C$1:$G$99911,5,FALSE)</f>
        <v>RESPASS AARON</v>
      </c>
      <c r="M153" s="6">
        <f t="shared" si="58"/>
        <v>2.4502314816345461E-2</v>
      </c>
      <c r="N153" s="7">
        <f t="shared" ref="N153:N184" si="80">24*60*SUM($M153:$M153)</f>
        <v>35.283333335537463</v>
      </c>
      <c r="O153" s="7"/>
      <c r="P153" s="7"/>
      <c r="Q153" s="22"/>
      <c r="R153" s="174"/>
      <c r="S153" s="221">
        <f t="shared" ref="S153:S184" si="81">1/IF(AG153="EC",12,1)*SUM(U153:U153)</f>
        <v>1</v>
      </c>
      <c r="T153" s="174" t="str">
        <f t="shared" si="59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0"/>
        <v>https://d0f6bd738d7f1b3e5a7ca70fe4ff75f0.us-east-1.aws.found.io/app/kibana#/discover/Steve-Slow-Train-Analysis-(2080s-and-2083s)?_g=(refreshInterval:(display:Off,pause:!f,section:0,value:0),time:(from:'2017-10-30T22:51:16-0600',mode:absolute,to:'2017-10-31T01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04" t="str">
        <f>IF(AA153&lt;VLOOKUP(AG153,Variables!$AC$3:$AD$8,2,FALSE),"Y","N")</f>
        <v>N</v>
      </c>
      <c r="X153" s="204">
        <f t="shared" si="79"/>
        <v>1</v>
      </c>
      <c r="Y153" s="204">
        <f t="shared" si="72"/>
        <v>5.5100000000000003E-2</v>
      </c>
      <c r="Z153" s="204">
        <f t="shared" si="73"/>
        <v>23.321899999999999</v>
      </c>
      <c r="AA153" s="204">
        <f t="shared" si="61"/>
        <v>23.2668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2"/>
        <v>241</v>
      </c>
      <c r="AE153" s="77" t="str">
        <f t="shared" si="63"/>
        <v>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 &amp; 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</v>
      </c>
      <c r="AF153" s="74" t="str">
        <f t="shared" si="64"/>
        <v>"C:\Program Files (x86)\AstroGrep\AstroGrep.exe" /e /r /s /spath="%USERPROFILE%\AppData\Local\Temp\OnboardLogs" /stypes="app*4050*20171031*" /stext=" 06:.+((SYSTEM_STATE.+slice.+state.+changed )|(ment ac)|(multiple cpu faults)|(system.+state.+changed )|(\[timeout)|(PRM\|1\|D)|(kpr)|(kdp)|(train st.+moving)|(\|lc)|(penalty))"</v>
      </c>
      <c r="AG153" s="182" t="str">
        <f t="shared" si="65"/>
        <v>EC</v>
      </c>
      <c r="AH153" s="78" t="str">
        <f t="shared" si="74"/>
        <v>"%USERPROFILE%\Documents\GitHub\eaglep3\Utilities\RefineRTDCRunTimes.py" --tripid 241-30 --locoid 4050 --swversion DE.1.0.9.0 --startMP 204:551 --initTime 2017-10-30T23:51:16 --startdatetime 2017-10-31T00:00:18 --delay 52 --endMP 204:233219 --enddatetime 2017-10-31T00:35:35 --enforcementcount 0 &gt;&gt;%USERPROFILE%\Documents\GitHub\eaglep3-reporting\EC\2017-10-30-refined-times.txt</v>
      </c>
      <c r="AI153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{"issue":{"subject":"","project_id":79,"tracker_id":40,"status_id":1,"priority_id":2,"assigned_to_id":338,"start_date":"2017-10-31","description":"","custom_fields":[{"id":1,"name":"Subdivision","value":"EC"},{"id":4,"name":"Milepost","value":"23.3219"},{"id":17,"name":"Train ID","value":"241-30"},{"id":16,"name":"Locomotive ID","value":"4050"},{"id":130,"name":"Impact","value":""},{"id":150,"name":"Time of Event (Mountain Time)","value":"00:35:35"},{"id":151,"name":"Denver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6"/>
        <v>start /low /b %USERPROFILE%\Documents\GitHub\eaglep3\Utilities\DownloadLogsFromS3.py --loco 4050 --day 2017-10-31</v>
      </c>
      <c r="AN153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8"/>
        <v>https://d0f6bd738d7f1b3e5a7ca70fe4ff75f0.us-east-1.aws.found.io/app/kibana#/discover/Steve-Slow-Train-Analysis-(2080s-and-2083s)?_g=(refreshInterval:(display:Off,pause:!f,section:0,value:0),time:(from:'2017-10-30T22:51:16-0600',mode:absolute,to:'2017-10-31T01:35:35-0600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895</v>
      </c>
      <c r="B154" s="7">
        <v>4049</v>
      </c>
      <c r="C154" s="21" t="s">
        <v>194</v>
      </c>
      <c r="D154" s="21" t="s">
        <v>1004</v>
      </c>
      <c r="E154" s="13">
        <v>43039.036724537036</v>
      </c>
      <c r="F154" s="13">
        <v>43039.039988425924</v>
      </c>
      <c r="G154" s="7">
        <v>58</v>
      </c>
      <c r="H154" s="21" t="s">
        <v>646</v>
      </c>
      <c r="I154" s="13">
        <v>43039.066817129627</v>
      </c>
      <c r="J154" s="7">
        <v>0</v>
      </c>
      <c r="K154" s="89" t="str">
        <f t="shared" si="57"/>
        <v>4049/4050</v>
      </c>
      <c r="L154" s="185" t="str">
        <f>VLOOKUP(A154,'Trips&amp;Operators'!$C$1:$G$99911,5,FALSE)</f>
        <v>RESPASS AARON</v>
      </c>
      <c r="M154" s="6">
        <f t="shared" si="58"/>
        <v>2.6828703703358769E-2</v>
      </c>
      <c r="N154" s="7">
        <f t="shared" si="80"/>
        <v>38.633333332836628</v>
      </c>
      <c r="O154" s="7"/>
      <c r="P154" s="7"/>
      <c r="Q154" s="22"/>
      <c r="R154" s="174"/>
      <c r="S154" s="221">
        <f t="shared" si="81"/>
        <v>1</v>
      </c>
      <c r="T154" s="174" t="str">
        <f t="shared" si="59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0"/>
        <v>https://d0f6bd738d7f1b3e5a7ca70fe4ff75f0.us-east-1.aws.found.io/app/kibana#/discover/Steve-Slow-Train-Analysis-(2080s-and-2083s)?_g=(refreshInterval:(display:Off,pause:!f,section:0,value:0),time:(from:'2017-10-30T23:52:53-0600',mode:absolute,to:'2017-10-31T02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04" t="str">
        <f>IF(AA154&lt;VLOOKUP(AG154,Variables!$AC$3:$AD$8,2,FALSE),"Y","N")</f>
        <v>N</v>
      </c>
      <c r="X154" s="204">
        <f t="shared" si="79"/>
        <v>1</v>
      </c>
      <c r="Y154" s="204">
        <f t="shared" si="72"/>
        <v>23.291899999999998</v>
      </c>
      <c r="Z154" s="204">
        <f t="shared" si="73"/>
        <v>2.6499999999999999E-2</v>
      </c>
      <c r="AA154" s="204">
        <f t="shared" si="61"/>
        <v>23.2654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2"/>
        <v>242</v>
      </c>
      <c r="AE154" s="77" t="str">
        <f t="shared" si="63"/>
        <v>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 &amp; aws s3 cp s3://rtdc.mdm.uploadarchive.raw/RTDC4049/ "%USERPROFILE%\AppData\Local\Temp\OnboardLogs"\RTDC4049\2017-11-01 --exclude "*" --recursive --include "*20171101*" &amp; "%USERPROFILE%\Documents\GitHub\mrs-test-scripts\Headless Mode &amp; Sideloading\WalkAndUnGZ.bat" "%USERPROFILE%\AppData\Local\Temp\OnboardLogs"\RTDC4049\2017-11-01</v>
      </c>
      <c r="AF154" s="74" t="str">
        <f t="shared" si="64"/>
        <v>"C:\Program Files (x86)\AstroGrep\AstroGrep.exe" /e /r /s /spath="%USERPROFILE%\AppData\Local\Temp\OnboardLogs" /stypes="app*4049*20171031*" /stext=" 07:.+((SYSTEM_STATE.+slice.+state.+changed )|(ment ac)|(multiple cpu faults)|(system.+state.+changed )|(\[timeout)|(PRM\|1\|D)|(kpr)|(kdp)|(train st.+moving)|(\|lc)|(penalty))"</v>
      </c>
      <c r="AG154" s="182" t="str">
        <f t="shared" si="65"/>
        <v>EC</v>
      </c>
      <c r="AH154" s="78" t="str">
        <f t="shared" si="74"/>
        <v>"%USERPROFILE%\Documents\GitHub\eaglep3\Utilities\RefineRTDCRunTimes.py" --tripid 242-30 --locoid 4049 --swversion DE.1.0.9.0 --startMP 204:232919 --initTime 2017-10-31T00:52:53 --startdatetime 2017-10-31T00:57:35 --delay 58 --endMP 204:265 --enddatetime 2017-10-31T01:36:13 --enforcementcount 0 &gt;&gt;%USERPROFILE%\Documents\GitHub\eaglep3-reporting\EC\2017-10-30-refined-times.txt</v>
      </c>
      <c r="AI154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{"issue":{"subject":"","project_id":79,"tracker_id":40,"status_id":1,"priority_id":2,"assigned_to_id":338,"start_date":"2017-10-31","description":"","custom_fields":[{"id":1,"name":"Subdivision","value":"EC"},{"id":4,"name":"Milepost","value":"0.0265"},{"id":17,"name":"Train ID","value":"242-30"},{"id":16,"name":"Locomotive ID","value":"4049"},{"id":130,"name":"Impact","value":""},{"id":150,"name":"Time of Event (Mountain Time)","value":"01:36:13"},{"id":151,"name":"Denver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6"/>
        <v>start /low /b %USERPROFILE%\Documents\GitHub\eaglep3\Utilities\DownloadLogsFromS3.py --loco 4049 --day 2017-10-31</v>
      </c>
      <c r="AN154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07:36:13"},{"id":29,"name":"Sharepoint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8"/>
        <v>https://d0f6bd738d7f1b3e5a7ca70fe4ff75f0.us-east-1.aws.found.io/app/kibana#/discover/Steve-Slow-Train-Analysis-(2080s-and-2083s)?_g=(refreshInterval:(display:Off,pause:!f,section:0,value:0),time:(from:'2017-10-30T23:52:53-0600',mode:absolute,to:'2017-10-31T02:36:13-0600'))&amp;_a=(columns:!('Message%20ID',Summary),filters:!(),index:'emp_*',interval:auto,query:(query_string:(analyze_wildcard:!t,query:'%22rtdc.l.rtdc.4049%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892</v>
      </c>
      <c r="B155" s="7">
        <v>4004</v>
      </c>
      <c r="C155" s="21" t="s">
        <v>194</v>
      </c>
      <c r="D155" s="21" t="s">
        <v>1008</v>
      </c>
      <c r="E155" s="13">
        <v>43039.0153587963</v>
      </c>
      <c r="F155" s="13">
        <v>43039.021053240744</v>
      </c>
      <c r="G155" s="7">
        <v>69</v>
      </c>
      <c r="H155" s="21" t="s">
        <v>610</v>
      </c>
      <c r="I155" s="13">
        <v>43039.046620370369</v>
      </c>
      <c r="J155" s="7">
        <v>0</v>
      </c>
      <c r="K155" s="89" t="str">
        <f t="shared" si="57"/>
        <v>4003/4004</v>
      </c>
      <c r="L155" s="185" t="str">
        <f>VLOOKUP(A155,'Trips&amp;Operators'!$C$1:$G$99911,5,FALSE)</f>
        <v>WILLIAMS DONTE</v>
      </c>
      <c r="M155" s="6">
        <f t="shared" si="58"/>
        <v>2.5567129625414964E-2</v>
      </c>
      <c r="N155" s="7">
        <f t="shared" si="80"/>
        <v>36.816666660597548</v>
      </c>
      <c r="O155" s="7"/>
      <c r="P155" s="7"/>
      <c r="Q155" s="22"/>
      <c r="R155" s="174"/>
      <c r="S155" s="221">
        <f t="shared" si="81"/>
        <v>1</v>
      </c>
      <c r="T155" s="174" t="str">
        <f t="shared" si="59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0"/>
        <v>https://d0f6bd738d7f1b3e5a7ca70fe4ff75f0.us-east-1.aws.found.io/app/kibana#/discover/Steve-Slow-Train-Analysis-(2080s-and-2083s)?_g=(refreshInterval:(display:Off,pause:!f,section:0,value:0),time:(from:'2017-10-30T23:22:07-0600',mode:absolute,to:'2017-10-31T02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204" t="str">
        <f>IF(AA155&lt;VLOOKUP(AG155,Variables!$AC$3:$AD$8,2,FALSE),"Y","N")</f>
        <v>N</v>
      </c>
      <c r="X155" s="204">
        <f t="shared" si="79"/>
        <v>1</v>
      </c>
      <c r="Y155" s="204">
        <f t="shared" si="72"/>
        <v>4.8599999999999997E-2</v>
      </c>
      <c r="Z155" s="204">
        <f t="shared" si="73"/>
        <v>23.323399999999999</v>
      </c>
      <c r="AA155" s="204">
        <f t="shared" si="61"/>
        <v>23.274799999999999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2"/>
        <v>243</v>
      </c>
      <c r="AE155" s="77" t="str">
        <f t="shared" si="63"/>
        <v>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 &amp; 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</v>
      </c>
      <c r="AF155" s="74" t="str">
        <f t="shared" si="64"/>
        <v>"C:\Program Files (x86)\AstroGrep\AstroGrep.exe" /e /r /s /spath="%USERPROFILE%\AppData\Local\Temp\OnboardLogs" /stypes="app*4004*20171031*" /stext=" 07:.+((SYSTEM_STATE.+slice.+state.+changed )|(ment ac)|(multiple cpu faults)|(system.+state.+changed )|(\[timeout)|(PRM\|1\|D)|(kpr)|(kdp)|(train st.+moving)|(\|lc)|(penalty))"</v>
      </c>
      <c r="AG155" s="182" t="str">
        <f t="shared" si="65"/>
        <v>EC</v>
      </c>
      <c r="AH155" s="78" t="str">
        <f t="shared" si="74"/>
        <v>"%USERPROFILE%\Documents\GitHub\eaglep3\Utilities\RefineRTDCRunTimes.py" --tripid 243-30 --locoid 4004 --swversion DE.1.0.9.0 --startMP 204:486 --initTime 2017-10-31T00:22:07 --startdatetime 2017-10-31T00:30:19 --delay 69 --endMP 204:233234 --enddatetime 2017-10-31T01:07:08 --enforcementcount 0 &gt;&gt;%USERPROFILE%\Documents\GitHub\eaglep3-reporting\EC\2017-10-30-refined-times.txt</v>
      </c>
      <c r="AI155" s="96" t="str">
        <f t="shared" si="75"/>
        <v>echo {"issue":{"subject":"","project_id":79,"tracker_id":40,"status_id":1,"priority_id":2,"assigned_to_id":338,"start_date":"2017-10-31","description":"","custom_fields":[{"id":1,"name":"Subdivision","value":"EC"},{"id":4,"name":"Milepost","value":"23.3234"},{"id":17,"name":"Train ID","value":"243-30"},{"id":16,"name":"Locomotive ID","value":"4004"},{"id":130,"name":"Impact","value":""},{"id":150,"name":"Time of Event (Mountain Time)","value":"01:07:08"},{"id":151,"name":"Denver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6"/>
        <v>start /low /b %USERPROFILE%\Documents\GitHub\eaglep3\Utilities\DownloadLogsFromS3.py --loco 4004 --day 2017-10-31</v>
      </c>
      <c r="AN155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07:07:08"},{"id":29,"name":"Sharepoint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8"/>
        <v>https://d0f6bd738d7f1b3e5a7ca70fe4ff75f0.us-east-1.aws.found.io/app/kibana#/discover/Steve-Slow-Train-Analysis-(2080s-and-2083s)?_g=(refreshInterval:(display:Off,pause:!f,section:0,value:0),time:(from:'2017-10-30T23:22:07-0600',mode:absolute,to:'2017-10-31T02:07:08-0600'))&amp;_a=(columns:!('Message%20ID',Summary),filters:!(),index:'emp_*',interval:auto,query:(query_string:(analyze_wildcard:!t,query:'%22rtdc.l.rtdc.4004%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897</v>
      </c>
      <c r="B156" s="7">
        <v>4003</v>
      </c>
      <c r="C156" s="21" t="s">
        <v>194</v>
      </c>
      <c r="D156" s="21" t="s">
        <v>1008</v>
      </c>
      <c r="E156" s="13">
        <v>43039.0153587963</v>
      </c>
      <c r="F156" s="13">
        <v>43039.060590277775</v>
      </c>
      <c r="G156" s="7">
        <v>69</v>
      </c>
      <c r="H156" s="21" t="s">
        <v>610</v>
      </c>
      <c r="I156" s="13">
        <v>43039.088171296295</v>
      </c>
      <c r="J156" s="7">
        <v>0</v>
      </c>
      <c r="K156" s="89" t="str">
        <f t="shared" si="57"/>
        <v>4003/4004</v>
      </c>
      <c r="L156" s="185" t="str">
        <f>VLOOKUP(A156,'Trips&amp;Operators'!$C$1:$G$99911,5,FALSE)</f>
        <v>WILLIAMS DONTE</v>
      </c>
      <c r="M156" s="6">
        <f t="shared" si="58"/>
        <v>2.7581018519413192E-2</v>
      </c>
      <c r="N156" s="7">
        <f t="shared" si="80"/>
        <v>39.716666667954996</v>
      </c>
      <c r="O156" s="7"/>
      <c r="P156" s="7"/>
      <c r="Q156" s="22"/>
      <c r="R156" s="174"/>
      <c r="S156" s="221">
        <f t="shared" si="81"/>
        <v>1</v>
      </c>
      <c r="T156" s="174" t="str">
        <f t="shared" si="59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0"/>
        <v>https://d0f6bd738d7f1b3e5a7ca70fe4ff75f0.us-east-1.aws.found.io/app/kibana#/discover/Steve-Slow-Train-Analysis-(2080s-and-2083s)?_g=(refreshInterval:(display:Off,pause:!f,section:0,value:0),time:(from:'2017-10-30T23:22:07-0600',mode:absolute,to:'2017-10-31T03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204" t="str">
        <f>IF(AA156&lt;VLOOKUP(AG156,Variables!$AC$3:$AD$8,2,FALSE),"Y","N")</f>
        <v>N</v>
      </c>
      <c r="X156" s="204">
        <f t="shared" ref="X156:X158" si="82">VALUE(LEFT(AD156,4))-VALUE(LEFT(AD155,4))</f>
        <v>1</v>
      </c>
      <c r="Y156" s="204">
        <v>23.291899999999998</v>
      </c>
      <c r="Z156" s="204">
        <v>2.6499999999999999E-2</v>
      </c>
      <c r="AA156" s="204">
        <f t="shared" si="61"/>
        <v>23.2654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2"/>
        <v>244</v>
      </c>
      <c r="AE156" s="77" t="str">
        <f t="shared" si="63"/>
        <v>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 &amp; aws s3 cp s3://rtdc.mdm.uploadarchive.raw/RTDC4003/ "%USERPROFILE%\AppData\Local\Temp\OnboardLogs"\RTDC4003\2017-11-01 --exclude "*" --recursive --include "*20171101*" &amp; "%USERPROFILE%\Documents\GitHub\mrs-test-scripts\Headless Mode &amp; Sideloading\WalkAndUnGZ.bat" "%USERPROFILE%\AppData\Local\Temp\OnboardLogs"\RTDC4003\2017-11-01</v>
      </c>
      <c r="AF156" s="74" t="str">
        <f t="shared" si="64"/>
        <v>"C:\Program Files (x86)\AstroGrep\AstroGrep.exe" /e /r /s /spath="%USERPROFILE%\AppData\Local\Temp\OnboardLogs" /stypes="app*4003*20171031*" /stext=" 08:.+((SYSTEM_STATE.+slice.+state.+changed )|(ment ac)|(multiple cpu faults)|(system.+state.+changed )|(\[timeout)|(PRM\|1\|D)|(kpr)|(kdp)|(train st.+moving)|(\|lc)|(penalty))"</v>
      </c>
      <c r="AG156" s="182" t="str">
        <f t="shared" si="65"/>
        <v>EC</v>
      </c>
      <c r="AH156" s="78" t="str">
        <f t="shared" ref="AH156" si="83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244-30 --locoid 4003 --swversion DE.1.0.9.0 --startMP 204:486 --initTime 2017-10-31T00:22:07 --startdatetime 2017-10-31T01:27:15 --delay 69 --endMP 204:233234 --enddatetime 2017-10-31T02:06:58 --enforcementcount 0 &gt;&gt;%USERPROFILE%\Documents\GitHub\eaglep3-reporting\EC\2017-10-30-refined-times.txt</v>
      </c>
      <c r="AI156" s="96" t="str">
        <f t="shared" ref="AI156" si="84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{"issue":{"subject":"","project_id":79,"tracker_id":40,"status_id":1,"priority_id":2,"assigned_to_id":338,"start_date":"2017-10-31","description":"","custom_fields":[{"id":1,"name":"Subdivision","value":"EC"},{"id":4,"name":"Milepost","value":"0.0265"},{"id":17,"name":"Train ID","value":"244-30"},{"id":16,"name":"Locomotive ID","value":"4003"},{"id":130,"name":"Impact","value":""},{"id":150,"name":"Time of Event (Mountain Time)","value":"02:06:58"},{"id":151,"name":"Denver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85">"start /low /b "&amp;dls3logs&amp;" --loco "&amp;B156&amp;" --day "&amp;TEXT(F156,"YYYY-MM-DD")</f>
        <v>start /low /b %USERPROFILE%\Documents\GitHub\eaglep3\Utilities\DownloadLogsFromS3.py --loco 4003 --day 2017-10-31</v>
      </c>
      <c r="AN156" s="151" t="str">
        <f t="shared" ref="AN156" si="86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87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-30T23:22:07-0600',mode:absolute,to:'2017-10-31T03:06:58-0600'))&amp;_a=(columns:!('Message%20ID',Summary),filters:!(),index:'emp_*',interval:auto,query:(query_string:(analyze_wildcard:!t,query:'%22rtdc.l.rtdc.4003%22')),sort:!(Time.ISO8601,asc))</v>
      </c>
    </row>
    <row r="157" spans="1:91" s="20" customFormat="1" x14ac:dyDescent="0.3">
      <c r="A157" s="32" t="s">
        <v>702</v>
      </c>
      <c r="B157" s="7">
        <v>4063</v>
      </c>
      <c r="C157" s="21" t="s">
        <v>194</v>
      </c>
      <c r="D157" s="21" t="s">
        <v>1048</v>
      </c>
      <c r="E157" s="13">
        <v>43038.207002314812</v>
      </c>
      <c r="F157" s="13">
        <v>43038.217766203707</v>
      </c>
      <c r="G157" s="7">
        <v>122</v>
      </c>
      <c r="H157" s="21" t="s">
        <v>1049</v>
      </c>
      <c r="I157" s="13">
        <v>43038.226458333331</v>
      </c>
      <c r="J157" s="7">
        <v>0</v>
      </c>
      <c r="K157" s="89" t="str">
        <f t="shared" si="57"/>
        <v>4063/4064</v>
      </c>
      <c r="L157" s="185" t="str">
        <f>VLOOKUP(A157,'Trips&amp;Operators'!$C$1:$G$99911,5,FALSE)</f>
        <v>MACDONALD THOMAS</v>
      </c>
      <c r="M157" s="6">
        <f t="shared" si="58"/>
        <v>8.6921296242508106E-3</v>
      </c>
      <c r="N157" s="7">
        <f t="shared" si="80"/>
        <v>12.516666658921167</v>
      </c>
      <c r="O157" s="7"/>
      <c r="P157" s="7"/>
      <c r="Q157" s="22"/>
      <c r="R157" s="174"/>
      <c r="S157" s="221">
        <f t="shared" si="81"/>
        <v>1</v>
      </c>
      <c r="T157" s="174" t="str">
        <f t="shared" si="59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60"/>
        <v>https://d0f6bd738d7f1b3e5a7ca70fe4ff75f0.us-east-1.aws.found.io/app/kibana#/discover/Steve-Slow-Train-Analysis-(2080s-and-2083s)?_g=(refreshInterval:(display:Off,pause:!f,section:0,value:0),time:(from:'2017-10-30T03:58:05-0600',mode:absolute,to:'2017-10-30T06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7" s="204" t="str">
        <f>IF(AA157&lt;VLOOKUP(AG157,Variables!$AC$3:$AD$8,2,FALSE),"Y","N")</f>
        <v>N</v>
      </c>
      <c r="X157" s="204">
        <f t="shared" si="82"/>
        <v>556</v>
      </c>
      <c r="Y157" s="204">
        <f t="shared" ref="Y157:Y179" si="88">RIGHT(D157,LEN(D157)-4)/10000</f>
        <v>5.8625999999999996</v>
      </c>
      <c r="Z157" s="204">
        <f t="shared" ref="Z157:Z179" si="89">RIGHT(H157,LEN(H157)-4)/10000</f>
        <v>7.6899999999999996E-2</v>
      </c>
      <c r="AA157" s="204">
        <f t="shared" si="61"/>
        <v>5.7856999999999994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2"/>
        <v>800</v>
      </c>
      <c r="AE157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57" s="74" t="str">
        <f t="shared" si="64"/>
        <v>"C:\Program Files (x86)\AstroGrep\AstroGrep.exe" /e /r /s /spath="%USERPROFILE%\AppData\Local\Temp\OnboardLogs" /stypes="app*4063*20171030*" /stext=" 11:.+((SYSTEM_STATE.+slice.+state.+changed )|(ment ac)|(multiple cpu faults)|(system.+state.+changed )|(\[timeout)|(PRM\|1\|D)|(kpr)|(kdp)|(train st.+moving)|(\|lc)|(penalty))"</v>
      </c>
      <c r="AG157" s="182" t="str">
        <f t="shared" si="65"/>
        <v>NW</v>
      </c>
      <c r="AH157" s="78" t="str">
        <f t="shared" si="74"/>
        <v>"%USERPROFILE%\Documents\GitHub\eaglep3\Utilities\RefineRTDCRunTimes.py" --tripid 800-30 --locoid 4063 --swversion DE.1.0.9.0 --startMP 300:58626 --initTime 2017-10-30T04:58:05 --startdatetime 2017-10-30T05:13:35 --delay 122 --endMP 204:769 --enddatetime 2017-10-30T05:26:06 --enforcementcount 0 &gt;&gt;%USERPROFILE%\Documents\GitHub\eaglep3-reporting\EC\2017-10-30-refined-times.txt</v>
      </c>
      <c r="AI157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{"issue":{"subject":"","project_id":79,"tracker_id":40,"status_id":1,"priority_id":2,"assigned_to_id":338,"start_date":"2017-10-30","description":"","custom_fields":[{"id":1,"name":"Subdivision","value":"NW"},{"id":4,"name":"Milepost","value":"0.0769"},{"id":17,"name":"Train ID","value":"800-30"},{"id":16,"name":"Locomotive ID","value":"4063"},{"id":130,"name":"Impact","value":""},{"id":150,"name":"Time of Event (Mountain Time)","value":"05:26:06"},{"id":151,"name":"Denver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6"/>
        <v>start /low /b %USERPROFILE%\Documents\GitHub\eaglep3\Utilities\DownloadLogsFromS3.py --loco 4063 --day 2017-10-30</v>
      </c>
      <c r="AN157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8"/>
        <v>https://d0f6bd738d7f1b3e5a7ca70fe4ff75f0.us-east-1.aws.found.io/app/kibana#/discover/Steve-Slow-Train-Analysis-(2080s-and-2083s)?_g=(refreshInterval:(display:Off,pause:!f,section:0,value:0),time:(from:'2017-10-30T03:58:05-0600',mode:absolute,to:'2017-10-30T06:26:06-0600'))&amp;_a=(columns:!('Message%20ID',Summary),filters:!(),index:'emp_*',interval:auto,query:(query_string:(analyze_wildcard:!t,query:'%22rtdc.l.rtdc.4063%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704</v>
      </c>
      <c r="B158" s="7">
        <v>4064</v>
      </c>
      <c r="C158" s="21" t="s">
        <v>194</v>
      </c>
      <c r="D158" s="21" t="s">
        <v>1050</v>
      </c>
      <c r="E158" s="13">
        <v>43038.234363425923</v>
      </c>
      <c r="F158" s="13">
        <v>43038.236134259256</v>
      </c>
      <c r="G158" s="7">
        <v>52</v>
      </c>
      <c r="H158" s="21" t="s">
        <v>624</v>
      </c>
      <c r="I158" s="13">
        <v>43038.246412037035</v>
      </c>
      <c r="J158" s="7">
        <v>0</v>
      </c>
      <c r="K158" s="89" t="str">
        <f t="shared" si="57"/>
        <v>4063/4064</v>
      </c>
      <c r="L158" s="185" t="str">
        <f>VLOOKUP(A158,'Trips&amp;Operators'!$C$1:$G$99911,5,FALSE)</f>
        <v>MACDONALD THOMAS</v>
      </c>
      <c r="M158" s="6">
        <f t="shared" si="58"/>
        <v>1.0277777779265307E-2</v>
      </c>
      <c r="N158" s="7">
        <f t="shared" si="80"/>
        <v>14.800000002142042</v>
      </c>
      <c r="O158" s="7"/>
      <c r="P158" s="7"/>
      <c r="Q158" s="22"/>
      <c r="R158" s="174"/>
      <c r="S158" s="221">
        <f t="shared" si="81"/>
        <v>1</v>
      </c>
      <c r="T158" s="174" t="str">
        <f t="shared" si="59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60"/>
        <v>https://d0f6bd738d7f1b3e5a7ca70fe4ff75f0.us-east-1.aws.found.io/app/kibana#/discover/Steve-Slow-Train-Analysis-(2080s-and-2083s)?_g=(refreshInterval:(display:Off,pause:!f,section:0,value:0),time:(from:'2017-10-30T04:37:29-0600',mode:absolute,to:'2017-10-30T06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204" t="str">
        <f>IF(AA158&lt;VLOOKUP(AG158,Variables!$AC$3:$AD$8,2,FALSE),"Y","N")</f>
        <v>N</v>
      </c>
      <c r="X158" s="204">
        <f t="shared" si="82"/>
        <v>1</v>
      </c>
      <c r="Y158" s="204">
        <f t="shared" si="88"/>
        <v>0.1014</v>
      </c>
      <c r="Z158" s="204">
        <f t="shared" si="89"/>
        <v>5.8930999999999996</v>
      </c>
      <c r="AA158" s="204">
        <f t="shared" si="61"/>
        <v>5.7916999999999996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2"/>
        <v>801</v>
      </c>
      <c r="AE158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58" s="74" t="str">
        <f t="shared" si="64"/>
        <v>"C:\Program Files (x86)\AstroGrep\AstroGrep.exe" /e /r /s /spath="%USERPROFILE%\AppData\Local\Temp\OnboardLogs" /stypes="app*4064*20171030*" /stext=" 11:.+((SYSTEM_STATE.+slice.+state.+changed )|(ment ac)|(multiple cpu faults)|(system.+state.+changed )|(\[timeout)|(PRM\|1\|D)|(kpr)|(kdp)|(train st.+moving)|(\|lc)|(penalty))"</v>
      </c>
      <c r="AG158" s="182" t="str">
        <f t="shared" si="65"/>
        <v>NW</v>
      </c>
      <c r="AH158" s="78" t="str">
        <f t="shared" si="74"/>
        <v>"%USERPROFILE%\Documents\GitHub\eaglep3\Utilities\RefineRTDCRunTimes.py" --tripid 801-30 --locoid 4064 --swversion DE.1.0.9.0 --startMP 204:1014 --initTime 2017-10-30T05:37:29 --startdatetime 2017-10-30T05:40:02 --delay 52 --endMP 300:58931 --enddatetime 2017-10-30T05:54:50 --enforcementcount 0 &gt;&gt;%USERPROFILE%\Documents\GitHub\eaglep3-reporting\EC\2017-10-30-refined-times.txt</v>
      </c>
      <c r="AI158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{"issue":{"subject":"","project_id":79,"tracker_id":40,"status_id":1,"priority_id":2,"assigned_to_id":338,"start_date":"2017-10-30","description":"","custom_fields":[{"id":1,"name":"Subdivision","value":"NW"},{"id":4,"name":"Milepost","value":"5.8931"},{"id":17,"name":"Train ID","value":"801-30"},{"id":16,"name":"Locomotive ID","value":"4064"},{"id":130,"name":"Impact","value":""},{"id":150,"name":"Time of Event (Mountain Time)","value":"05:54:50"},{"id":151,"name":"Denver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6"/>
        <v>start /low /b %USERPROFILE%\Documents\GitHub\eaglep3\Utilities\DownloadLogsFromS3.py --loco 4064 --day 2017-10-30</v>
      </c>
      <c r="AN158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8"/>
        <v>https://d0f6bd738d7f1b3e5a7ca70fe4ff75f0.us-east-1.aws.found.io/app/kibana#/discover/Steve-Slow-Train-Analysis-(2080s-and-2083s)?_g=(refreshInterval:(display:Off,pause:!f,section:0,value:0),time:(from:'2017-10-30T04:37:29-0600',mode:absolute,to:'2017-10-30T06:54:50-0600'))&amp;_a=(columns:!('Message%20ID',Summary),filters:!(),index:'emp_*',interval:auto,query:(query_string:(analyze_wildcard:!t,query:'%22rtdc.l.rtdc.4064%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712</v>
      </c>
      <c r="B159" s="7">
        <v>4063</v>
      </c>
      <c r="C159" s="21" t="s">
        <v>194</v>
      </c>
      <c r="D159" s="21" t="s">
        <v>1051</v>
      </c>
      <c r="E159" s="13">
        <v>43038.247037037036</v>
      </c>
      <c r="F159" s="13">
        <v>43038.259305555555</v>
      </c>
      <c r="G159" s="7">
        <v>51</v>
      </c>
      <c r="H159" s="21" t="s">
        <v>1052</v>
      </c>
      <c r="I159" s="13">
        <v>43038.267581018517</v>
      </c>
      <c r="J159" s="7">
        <v>0</v>
      </c>
      <c r="K159" s="89" t="str">
        <f t="shared" si="57"/>
        <v>4063/4064</v>
      </c>
      <c r="L159" s="185" t="str">
        <f>VLOOKUP(A159,'Trips&amp;Operators'!$C$1:$G$99911,5,FALSE)</f>
        <v>MACDONALD THOMAS</v>
      </c>
      <c r="M159" s="6">
        <f t="shared" si="58"/>
        <v>8.2754629620467313E-3</v>
      </c>
      <c r="N159" s="7">
        <f t="shared" si="80"/>
        <v>11.916666665347293</v>
      </c>
      <c r="O159" s="7"/>
      <c r="P159" s="7"/>
      <c r="Q159" s="22"/>
      <c r="R159" s="174"/>
      <c r="S159" s="221">
        <f t="shared" si="81"/>
        <v>1</v>
      </c>
      <c r="T159" s="174" t="str">
        <f t="shared" si="59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0"/>
        <v>https://d0f6bd738d7f1b3e5a7ca70fe4ff75f0.us-east-1.aws.found.io/app/kibana#/discover/Steve-Slow-Train-Analysis-(2080s-and-2083s)?_g=(refreshInterval:(display:Off,pause:!f,section:0,value:0),time:(from:'2017-10-30T04:55:44-0600',mode:absolute,to:'2017-10-30T07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 t="shared" si="88"/>
        <v>5.8619000000000003</v>
      </c>
      <c r="Z159" s="204">
        <f t="shared" si="89"/>
        <v>7.7100000000000002E-2</v>
      </c>
      <c r="AA159" s="204">
        <f t="shared" si="61"/>
        <v>5.7848000000000006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2"/>
        <v>802</v>
      </c>
      <c r="AE159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59" s="74" t="str">
        <f t="shared" si="64"/>
        <v>"C:\Program Files (x86)\AstroGrep\AstroGrep.exe" /e /r /s /spath="%USERPROFILE%\AppData\Local\Temp\OnboardLogs" /stypes="app*4063*20171030*" /stext=" 12:.+((SYSTEM_STATE.+slice.+state.+changed )|(ment ac)|(multiple cpu faults)|(system.+state.+changed )|(\[timeout)|(PRM\|1\|D)|(kpr)|(kdp)|(train st.+moving)|(\|lc)|(penalty))"</v>
      </c>
      <c r="AG159" s="182" t="str">
        <f t="shared" si="65"/>
        <v>NW</v>
      </c>
      <c r="AH159" s="78" t="str">
        <f t="shared" si="74"/>
        <v>"%USERPROFILE%\Documents\GitHub\eaglep3\Utilities\RefineRTDCRunTimes.py" --tripid 802-30 --locoid 4063 --swversion DE.1.0.9.0 --startMP 300:58619 --initTime 2017-10-30T05:55:44 --startdatetime 2017-10-30T06:13:24 --delay 51 --endMP 204:771 --enddatetime 2017-10-30T06:25:19 --enforcementcount 0 &gt;&gt;%USERPROFILE%\Documents\GitHub\eaglep3-reporting\EC\2017-10-30-refined-times.txt</v>
      </c>
      <c r="AI159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{"issue":{"subject":"","project_id":79,"tracker_id":40,"status_id":1,"priority_id":2,"assigned_to_id":338,"start_date":"2017-10-30","description":"","custom_fields":[{"id":1,"name":"Subdivision","value":"NW"},{"id":4,"name":"Milepost","value":"0.0771"},{"id":17,"name":"Train ID","value":"802-30"},{"id":16,"name":"Locomotive ID","value":"4063"},{"id":130,"name":"Impact","value":""},{"id":150,"name":"Time of Event (Mountain Time)","value":"06:25:19"},{"id":151,"name":"Denver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76"/>
        <v>start /low /b %USERPROFILE%\Documents\GitHub\eaglep3\Utilities\DownloadLogsFromS3.py --loco 4063 --day 2017-10-30</v>
      </c>
      <c r="AN159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8"/>
        <v>https://d0f6bd738d7f1b3e5a7ca70fe4ff75f0.us-east-1.aws.found.io/app/kibana#/discover/Steve-Slow-Train-Analysis-(2080s-and-2083s)?_g=(refreshInterval:(display:Off,pause:!f,section:0,value:0),time:(from:'2017-10-30T04:55:44-0600',mode:absolute,to:'2017-10-30T07:25:19-0600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653</v>
      </c>
      <c r="B160" s="7">
        <v>4036</v>
      </c>
      <c r="C160" s="21" t="s">
        <v>194</v>
      </c>
      <c r="D160" s="21" t="s">
        <v>605</v>
      </c>
      <c r="E160" s="13">
        <v>43038.246516203704</v>
      </c>
      <c r="F160" s="13">
        <v>43038.256481481483</v>
      </c>
      <c r="G160" s="7">
        <v>81</v>
      </c>
      <c r="H160" s="21" t="s">
        <v>1053</v>
      </c>
      <c r="I160" s="13">
        <v>43038.267118055555</v>
      </c>
      <c r="J160" s="7">
        <v>0</v>
      </c>
      <c r="K160" s="89" t="str">
        <f t="shared" si="57"/>
        <v>4035/4036</v>
      </c>
      <c r="L160" s="185" t="str">
        <f>VLOOKUP(A160,'Trips&amp;Operators'!$C$1:$G$99911,5,FALSE)</f>
        <v>YANAI IAN</v>
      </c>
      <c r="M160" s="6">
        <f t="shared" si="58"/>
        <v>1.063657407212304E-2</v>
      </c>
      <c r="N160" s="7">
        <f t="shared" si="80"/>
        <v>15.316666663857177</v>
      </c>
      <c r="O160" s="7"/>
      <c r="P160" s="7"/>
      <c r="Q160" s="22"/>
      <c r="R160" s="174"/>
      <c r="S160" s="221">
        <f t="shared" si="81"/>
        <v>1</v>
      </c>
      <c r="T160" s="174" t="str">
        <f t="shared" si="59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0"/>
        <v>https://d0f6bd738d7f1b3e5a7ca70fe4ff75f0.us-east-1.aws.found.io/app/kibana#/discover/Steve-Slow-Train-Analysis-(2080s-and-2083s)?_g=(refreshInterval:(display:Off,pause:!f,section:0,value:0),time:(from:'2017-10-30T04:54:59-0600',mode:absolute,to:'2017-10-30T07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 t="shared" si="88"/>
        <v>9.8599999999999993E-2</v>
      </c>
      <c r="Z160" s="204">
        <f t="shared" si="89"/>
        <v>5.8933</v>
      </c>
      <c r="AA160" s="204">
        <f t="shared" si="61"/>
        <v>5.7946999999999997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2"/>
        <v>803</v>
      </c>
      <c r="AE160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60" s="74" t="str">
        <f t="shared" si="64"/>
        <v>"C:\Program Files (x86)\AstroGrep\AstroGrep.exe" /e /r /s /spath="%USERPROFILE%\AppData\Local\Temp\OnboardLogs" /stypes="app*4036*20171030*" /stext=" 12:.+((SYSTEM_STATE.+slice.+state.+changed )|(ment ac)|(multiple cpu faults)|(system.+state.+changed )|(\[timeout)|(PRM\|1\|D)|(kpr)|(kdp)|(train st.+moving)|(\|lc)|(penalty))"</v>
      </c>
      <c r="AG160" s="182" t="str">
        <f t="shared" si="65"/>
        <v>NW</v>
      </c>
      <c r="AH160" s="78" t="str">
        <f t="shared" si="74"/>
        <v>"%USERPROFILE%\Documents\GitHub\eaglep3\Utilities\RefineRTDCRunTimes.py" --tripid 803-30 --locoid 4036 --swversion DE.1.0.9.0 --startMP 204:986 --initTime 2017-10-30T05:54:59 --startdatetime 2017-10-30T06:09:20 --delay 81 --endMP 300:58933 --enddatetime 2017-10-30T06:24:39 --enforcementcount 0 &gt;&gt;%USERPROFILE%\Documents\GitHub\eaglep3-reporting\EC\2017-10-30-refined-times.txt</v>
      </c>
      <c r="AI160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{"issue":{"subject":"","project_id":79,"tracker_id":40,"status_id":1,"priority_id":2,"assigned_to_id":338,"start_date":"2017-10-30","description":"","custom_fields":[{"id":1,"name":"Subdivision","value":"NW"},{"id":4,"name":"Milepost","value":"5.8933"},{"id":17,"name":"Train ID","value":"803-30"},{"id":16,"name":"Locomotive ID","value":"4036"},{"id":130,"name":"Impact","value":""},{"id":150,"name":"Time of Event (Mountain Time)","value":"06:24:39"},{"id":151,"name":"Denver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6"/>
        <v>start /low /b %USERPROFILE%\Documents\GitHub\eaglep3\Utilities\DownloadLogsFromS3.py --loco 4036 --day 2017-10-30</v>
      </c>
      <c r="AN160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8"/>
        <v>https://d0f6bd738d7f1b3e5a7ca70fe4ff75f0.us-east-1.aws.found.io/app/kibana#/discover/Steve-Slow-Train-Analysis-(2080s-and-2083s)?_g=(refreshInterval:(display:Off,pause:!f,section:0,value:0),time:(from:'2017-10-30T04:54:59-0600',mode:absolute,to:'2017-10-30T07:24:39-0600'))&amp;_a=(columns:!('Message%20ID',Summary),filters:!(),index:'emp_*',interval:auto,query:(query_string:(analyze_wildcard:!t,query:'%22rtdc.l.rtdc.4036%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718</v>
      </c>
      <c r="B161" s="7">
        <v>4035</v>
      </c>
      <c r="C161" s="21" t="s">
        <v>194</v>
      </c>
      <c r="D161" s="21" t="s">
        <v>1054</v>
      </c>
      <c r="E161" s="13">
        <v>43038.267997685187</v>
      </c>
      <c r="F161" s="13">
        <v>43038.279548611114</v>
      </c>
      <c r="G161" s="7">
        <v>50</v>
      </c>
      <c r="H161" s="21" t="s">
        <v>1055</v>
      </c>
      <c r="I161" s="13">
        <v>43038.288645833331</v>
      </c>
      <c r="J161" s="7">
        <v>0</v>
      </c>
      <c r="K161" s="89" t="str">
        <f t="shared" si="57"/>
        <v>4035/4036</v>
      </c>
      <c r="L161" s="185" t="str">
        <f>VLOOKUP(A161,'Trips&amp;Operators'!$C$1:$G$99911,5,FALSE)</f>
        <v>YANAI IAN</v>
      </c>
      <c r="M161" s="6">
        <f t="shared" si="58"/>
        <v>9.0972222169511952E-3</v>
      </c>
      <c r="N161" s="7">
        <f t="shared" si="80"/>
        <v>13.099999992409721</v>
      </c>
      <c r="O161" s="7"/>
      <c r="P161" s="7"/>
      <c r="Q161" s="22"/>
      <c r="R161" s="174"/>
      <c r="S161" s="221">
        <f t="shared" si="81"/>
        <v>1</v>
      </c>
      <c r="T161" s="174" t="str">
        <f t="shared" si="59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0"/>
        <v>https://d0f6bd738d7f1b3e5a7ca70fe4ff75f0.us-east-1.aws.found.io/app/kibana#/discover/Steve-Slow-Train-Analysis-(2080s-and-2083s)?_g=(refreshInterval:(display:Off,pause:!f,section:0,value:0),time:(from:'2017-10-30T05:25:55-0600',mode:absolute,to:'2017-10-30T07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 t="shared" si="88"/>
        <v>5.8620999999999999</v>
      </c>
      <c r="Z161" s="204">
        <f t="shared" si="89"/>
        <v>7.0300000000000001E-2</v>
      </c>
      <c r="AA161" s="204">
        <f t="shared" si="61"/>
        <v>5.7918000000000003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2"/>
        <v>804</v>
      </c>
      <c r="AE161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61" s="74" t="str">
        <f t="shared" si="64"/>
        <v>"C:\Program Files (x86)\AstroGrep\AstroGrep.exe" /e /r /s /spath="%USERPROFILE%\AppData\Local\Temp\OnboardLogs" /stypes="app*4035*20171030*" /stext=" 12:.+((SYSTEM_STATE.+slice.+state.+changed )|(ment ac)|(multiple cpu faults)|(system.+state.+changed )|(\[timeout)|(PRM\|1\|D)|(kpr)|(kdp)|(train st.+moving)|(\|lc)|(penalty))"</v>
      </c>
      <c r="AG161" s="182" t="str">
        <f t="shared" si="65"/>
        <v>NW</v>
      </c>
      <c r="AH161" s="78" t="str">
        <f t="shared" si="74"/>
        <v>"%USERPROFILE%\Documents\GitHub\eaglep3\Utilities\RefineRTDCRunTimes.py" --tripid 804-30 --locoid 4035 --swversion DE.1.0.9.0 --startMP 300:58621 --initTime 2017-10-30T06:25:55 --startdatetime 2017-10-30T06:42:33 --delay 50 --endMP 204:703 --enddatetime 2017-10-30T06:55:39 --enforcementcount 0 &gt;&gt;%USERPROFILE%\Documents\GitHub\eaglep3-reporting\EC\2017-10-30-refined-times.txt</v>
      </c>
      <c r="AI161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{"issue":{"subject":"","project_id":79,"tracker_id":40,"status_id":1,"priority_id":2,"assigned_to_id":338,"start_date":"2017-10-30","description":"","custom_fields":[{"id":1,"name":"Subdivision","value":"NW"},{"id":4,"name":"Milepost","value":"0.0703"},{"id":17,"name":"Train ID","value":"804-30"},{"id":16,"name":"Locomotive ID","value":"4035"},{"id":130,"name":"Impact","value":""},{"id":150,"name":"Time of Event (Mountain Time)","value":"06:55:39"},{"id":151,"name":"Denver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6"/>
        <v>start /low /b %USERPROFILE%\Documents\GitHub\eaglep3\Utilities\DownloadLogsFromS3.py --loco 4035 --day 2017-10-30</v>
      </c>
      <c r="AN161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8"/>
        <v>https://d0f6bd738d7f1b3e5a7ca70fe4ff75f0.us-east-1.aws.found.io/app/kibana#/discover/Steve-Slow-Train-Analysis-(2080s-and-2083s)?_g=(refreshInterval:(display:Off,pause:!f,section:0,value:0),time:(from:'2017-10-30T05:25:55-0600',mode:absolute,to:'2017-10-30T07:55:39-0600'))&amp;_a=(columns:!('Message%20ID',Summary),filters:!(),index:'emp_*',interval:auto,query:(query_string:(analyze_wildcard:!t,query:'%22rtdc.l.rtdc.4035%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720</v>
      </c>
      <c r="B162" s="7">
        <v>4064</v>
      </c>
      <c r="C162" s="21" t="s">
        <v>194</v>
      </c>
      <c r="D162" s="21" t="s">
        <v>1056</v>
      </c>
      <c r="E162" s="13">
        <v>43038.275717592594</v>
      </c>
      <c r="F162" s="13">
        <v>43038.277291666665</v>
      </c>
      <c r="G162" s="7">
        <v>74</v>
      </c>
      <c r="H162" s="21" t="s">
        <v>1057</v>
      </c>
      <c r="I162" s="13">
        <v>43038.288101851853</v>
      </c>
      <c r="J162" s="7">
        <v>0</v>
      </c>
      <c r="K162" s="89" t="str">
        <f t="shared" si="57"/>
        <v>4063/4064</v>
      </c>
      <c r="L162" s="185" t="str">
        <f>VLOOKUP(A162,'Trips&amp;Operators'!$C$1:$G$99911,5,FALSE)</f>
        <v>MACDONALD THOMAS</v>
      </c>
      <c r="M162" s="6">
        <f t="shared" si="58"/>
        <v>1.0810185187438037E-2</v>
      </c>
      <c r="N162" s="7">
        <f t="shared" si="80"/>
        <v>15.566666669910774</v>
      </c>
      <c r="O162" s="7"/>
      <c r="P162" s="7"/>
      <c r="Q162" s="22"/>
      <c r="R162" s="174"/>
      <c r="S162" s="221">
        <f t="shared" si="81"/>
        <v>1</v>
      </c>
      <c r="T162" s="174" t="str">
        <f t="shared" si="59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0"/>
        <v>https://d0f6bd738d7f1b3e5a7ca70fe4ff75f0.us-east-1.aws.found.io/app/kibana#/discover/Steve-Slow-Train-Analysis-(2080s-and-2083s)?_g=(refreshInterval:(display:Off,pause:!f,section:0,value:0),time:(from:'2017-10-30T05:37:02-0600',mode:absolute,to:'2017-10-30T07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 t="shared" si="88"/>
        <v>0.1051</v>
      </c>
      <c r="Z162" s="204">
        <f t="shared" si="89"/>
        <v>5.8935000000000004</v>
      </c>
      <c r="AA162" s="204">
        <f t="shared" si="61"/>
        <v>5.7884000000000002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2"/>
        <v>805</v>
      </c>
      <c r="AE162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62" s="74" t="str">
        <f t="shared" si="64"/>
        <v>"C:\Program Files (x86)\AstroGrep\AstroGrep.exe" /e /r /s /spath="%USERPROFILE%\AppData\Local\Temp\OnboardLogs" /stypes="app*4064*20171030*" /stext=" 12:.+((SYSTEM_STATE.+slice.+state.+changed )|(ment ac)|(multiple cpu faults)|(system.+state.+changed )|(\[timeout)|(PRM\|1\|D)|(kpr)|(kdp)|(train st.+moving)|(\|lc)|(penalty))"</v>
      </c>
      <c r="AG162" s="182" t="str">
        <f t="shared" si="65"/>
        <v>NW</v>
      </c>
      <c r="AH162" s="78" t="str">
        <f t="shared" si="74"/>
        <v>"%USERPROFILE%\Documents\GitHub\eaglep3\Utilities\RefineRTDCRunTimes.py" --tripid 805-30 --locoid 4064 --swversion DE.1.0.9.0 --startMP 204:1051 --initTime 2017-10-30T06:37:02 --startdatetime 2017-10-30T06:39:18 --delay 74 --endMP 300:58935 --enddatetime 2017-10-30T06:54:52 --enforcementcount 0 &gt;&gt;%USERPROFILE%\Documents\GitHub\eaglep3-reporting\EC\2017-10-30-refined-times.txt</v>
      </c>
      <c r="AI162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{"issue":{"subject":"","project_id":79,"tracker_id":40,"status_id":1,"priority_id":2,"assigned_to_id":338,"start_date":"2017-10-30","description":"","custom_fields":[{"id":1,"name":"Subdivision","value":"NW"},{"id":4,"name":"Milepost","value":"5.8935"},{"id":17,"name":"Train ID","value":"805-30"},{"id":16,"name":"Locomotive ID","value":"4064"},{"id":130,"name":"Impact","value":""},{"id":150,"name":"Time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6"/>
        <v>start /low /b %USERPROFILE%\Documents\GitHub\eaglep3\Utilities\DownloadLogsFromS3.py --loco 4064 --day 2017-10-30</v>
      </c>
      <c r="AN162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8"/>
        <v>https://d0f6bd738d7f1b3e5a7ca70fe4ff75f0.us-east-1.aws.found.io/app/kibana#/discover/Steve-Slow-Train-Analysis-(2080s-and-2083s)?_g=(refreshInterval:(display:Off,pause:!f,section:0,value:0),time:(from:'2017-10-30T05:37:02-0600',mode:absolute,to:'2017-10-30T07:54:52-0600'))&amp;_a=(columns:!('Message%20ID',Summary),filters:!(),index:'emp_*',interval:auto,query:(query_string:(analyze_wildcard:!t,query:'%22rtdc.l.rtdc.4064%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723</v>
      </c>
      <c r="B163" s="7">
        <v>4063</v>
      </c>
      <c r="C163" s="21" t="s">
        <v>194</v>
      </c>
      <c r="D163" s="21" t="s">
        <v>1058</v>
      </c>
      <c r="E163" s="13">
        <v>43038.291921296295</v>
      </c>
      <c r="F163" s="13">
        <v>43038.301157407404</v>
      </c>
      <c r="G163" s="7">
        <v>37</v>
      </c>
      <c r="H163" s="21" t="s">
        <v>1059</v>
      </c>
      <c r="I163" s="13">
        <v>43038.31144675926</v>
      </c>
      <c r="J163" s="7">
        <v>0</v>
      </c>
      <c r="K163" s="89" t="str">
        <f t="shared" si="57"/>
        <v>4063/4064</v>
      </c>
      <c r="L163" s="185" t="str">
        <f>VLOOKUP(A163,'Trips&amp;Operators'!$C$1:$G$99911,5,FALSE)</f>
        <v>MACDONALD THOMAS</v>
      </c>
      <c r="M163" s="6">
        <f t="shared" si="58"/>
        <v>1.0289351856044959E-2</v>
      </c>
      <c r="N163" s="7">
        <f t="shared" si="80"/>
        <v>14.816666672704741</v>
      </c>
      <c r="O163" s="7"/>
      <c r="P163" s="7"/>
      <c r="Q163" s="22"/>
      <c r="R163" s="174" t="s">
        <v>1133</v>
      </c>
      <c r="S163" s="221">
        <f t="shared" si="81"/>
        <v>1</v>
      </c>
      <c r="T163" s="174" t="str">
        <f t="shared" si="59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0"/>
        <v>https://d0f6bd738d7f1b3e5a7ca70fe4ff75f0.us-east-1.aws.found.io/app/kibana#/discover/Steve-Slow-Train-Analysis-(2080s-and-2083s)?_g=(refreshInterval:(display:Off,pause:!f,section:0,value:0),time:(from:'2017-10-30T06:00:22-0600',mode:absolute,to:'2017-10-30T08:28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3" s="204" t="str">
        <f>IF(AA163&lt;VLOOKUP(AG163,Variables!$AC$3:$AD$8,2,FALSE),"Y","N")</f>
        <v>Y</v>
      </c>
      <c r="X163" s="204">
        <f t="shared" ref="X163:X164" si="90">VALUE(LEFT(AD163,4))-VALUE(LEFT(AD162,4))</f>
        <v>1</v>
      </c>
      <c r="Y163" s="204">
        <f t="shared" si="88"/>
        <v>5.7248000000000001</v>
      </c>
      <c r="Z163" s="204">
        <f t="shared" si="89"/>
        <v>8.1299999999999997E-2</v>
      </c>
      <c r="AA163" s="204">
        <f t="shared" si="61"/>
        <v>5.6435000000000004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2"/>
        <v>806</v>
      </c>
      <c r="AE163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63" s="74" t="str">
        <f t="shared" si="64"/>
        <v>"C:\Program Files (x86)\AstroGrep\AstroGrep.exe" /e /r /s /spath="%USERPROFILE%\AppData\Local\Temp\OnboardLogs" /stypes="app*4063*20171030*" /stext=" 13:.+((SYSTEM_STATE.+slice.+state.+changed )|(ment ac)|(multiple cpu faults)|(system.+state.+changed )|(\[timeout)|(PRM\|1\|D)|(kpr)|(kdp)|(train st.+moving)|(\|lc)|(penalty))"</v>
      </c>
      <c r="AG163" s="182" t="str">
        <f t="shared" si="65"/>
        <v>NW</v>
      </c>
      <c r="AH163" s="78" t="str">
        <f t="shared" si="74"/>
        <v>"%USERPROFILE%\Documents\GitHub\eaglep3\Utilities\RefineRTDCRunTimes.py" --tripid 806-30 --locoid 4063 --swversion DE.1.0.9.0 --startMP 300:57248 --initTime 2017-10-30T07:00:22 --startdatetime 2017-10-30T07:13:40 --delay 37 --endMP 204:813 --enddatetime 2017-10-30T07:28:29 --enforcementcount 0 &gt;&gt;%USERPROFILE%\Documents\GitHub\eaglep3-reporting\EC\2017-10-30-refined-times.txt</v>
      </c>
      <c r="AI163" s="96" t="str">
        <f t="shared" si="75"/>
        <v>echo {"issue":{"subject":"Reverser handle in wrong position during first init","project_id":79,"tracker_id":40,"status_id":1,"priority_id":2,"assigned_to_id":338,"start_date":"2017-10-30","description":"","custom_fields":[{"id":1,"name":"Subdivision","value":"NW"},{"id":4,"name":"Milepost","value":"0.0813"},{"id":17,"name":"Train ID","value":"806-30"},{"id":16,"name":"Locomotive ID","value":"4063"},{"id":130,"name":"Impact","value":""},{"id":150,"name":"Time of Event (Mountain Time)","value":"07:28:29"},{"id":151,"name":"Denver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6"/>
        <v>start /low /b %USERPROFILE%\Documents\GitHub\eaglep3\Utilities\DownloadLogsFromS3.py --loco 4063 --day 2017-10-30</v>
      </c>
      <c r="AN163" s="151" t="str">
        <f t="shared" si="77"/>
        <v>echo {"issue":{"subject":"Reverser handle in wrong position during first init","project_id":30,"tracker_id":4,"status_id":1,"priority_id":1,"assigned_to_id":10,"start_date":"2017-10-30","description":"","custom_fields":[{"id":30,"name":"Category","value":"Issue"},{"id":3,"name":"Functional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13:28:29"},{"id":29,"name":"Sharepoint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8"/>
        <v>https://d0f6bd738d7f1b3e5a7ca70fe4ff75f0.us-east-1.aws.found.io/app/kibana#/discover/Steve-Slow-Train-Analysis-(2080s-and-2083s)?_g=(refreshInterval:(display:Off,pause:!f,section:0,value:0),time:(from:'2017-10-30T06:00:22-0600',mode:absolute,to:'2017-10-30T08:28:29-0600'))&amp;_a=(columns:!('Message%20ID',Summary),filters:!(),index:'emp_*',interval:auto,query:(query_string:(analyze_wildcard:!t,query:'%22rtdc.l.rtdc.4063%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656</v>
      </c>
      <c r="B164" s="7">
        <v>4036</v>
      </c>
      <c r="C164" s="21" t="s">
        <v>194</v>
      </c>
      <c r="D164" s="21" t="s">
        <v>623</v>
      </c>
      <c r="E164" s="13">
        <v>43038.293182870373</v>
      </c>
      <c r="F164" s="13">
        <v>43038.298518518517</v>
      </c>
      <c r="G164" s="7">
        <v>60</v>
      </c>
      <c r="H164" s="21" t="s">
        <v>1060</v>
      </c>
      <c r="I164" s="13">
        <v>43038.310231481482</v>
      </c>
      <c r="J164" s="7">
        <v>0</v>
      </c>
      <c r="K164" s="89" t="str">
        <f t="shared" si="57"/>
        <v>4035/4036</v>
      </c>
      <c r="L164" s="185" t="str">
        <f>VLOOKUP(A164,'Trips&amp;Operators'!$C$1:$G$99911,5,FALSE)</f>
        <v>YANAI IAN</v>
      </c>
      <c r="M164" s="6">
        <f t="shared" si="58"/>
        <v>1.1712962965248153E-2</v>
      </c>
      <c r="N164" s="7">
        <f t="shared" si="80"/>
        <v>16.86666666995734</v>
      </c>
      <c r="O164" s="7"/>
      <c r="P164" s="7"/>
      <c r="Q164" s="22"/>
      <c r="R164" s="174"/>
      <c r="S164" s="221">
        <f t="shared" si="81"/>
        <v>1</v>
      </c>
      <c r="T164" s="174" t="str">
        <f t="shared" si="59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0"/>
        <v>https://d0f6bd738d7f1b3e5a7ca70fe4ff75f0.us-east-1.aws.found.io/app/kibana#/discover/Steve-Slow-Train-Analysis-(2080s-and-2083s)?_g=(refreshInterval:(display:Off,pause:!f,section:0,value:0),time:(from:'2017-10-30T06:02:11-0600',mode:absolute,to:'2017-10-30T08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4" s="204" t="str">
        <f>IF(AA164&lt;VLOOKUP(AG164,Variables!$AC$3:$AD$8,2,FALSE),"Y","N")</f>
        <v>N</v>
      </c>
      <c r="X164" s="204">
        <f t="shared" si="90"/>
        <v>1</v>
      </c>
      <c r="Y164" s="204">
        <f t="shared" si="88"/>
        <v>9.6500000000000002E-2</v>
      </c>
      <c r="Z164" s="204">
        <f t="shared" si="89"/>
        <v>5.8936999999999999</v>
      </c>
      <c r="AA164" s="204">
        <f t="shared" si="61"/>
        <v>5.7972000000000001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2"/>
        <v>807</v>
      </c>
      <c r="AE164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64" s="74" t="str">
        <f t="shared" si="64"/>
        <v>"C:\Program Files (x86)\AstroGrep\AstroGrep.exe" /e /r /s /spath="%USERPROFILE%\AppData\Local\Temp\OnboardLogs" /stypes="app*4036*20171030*" /stext=" 13:.+((SYSTEM_STATE.+slice.+state.+changed )|(ment ac)|(multiple cpu faults)|(system.+state.+changed )|(\[timeout)|(PRM\|1\|D)|(kpr)|(kdp)|(train st.+moving)|(\|lc)|(penalty))"</v>
      </c>
      <c r="AG164" s="182" t="str">
        <f t="shared" si="65"/>
        <v>NW</v>
      </c>
      <c r="AH164" s="78" t="str">
        <f t="shared" si="74"/>
        <v>"%USERPROFILE%\Documents\GitHub\eaglep3\Utilities\RefineRTDCRunTimes.py" --tripid 807-30 --locoid 4036 --swversion DE.1.0.9.0 --startMP 204:965 --initTime 2017-10-30T07:02:11 --startdatetime 2017-10-30T07:09:52 --delay 60 --endMP 300:58937 --enddatetime 2017-10-30T07:26:44 --enforcementcount 0 &gt;&gt;%USERPROFILE%\Documents\GitHub\eaglep3-reporting\EC\2017-10-30-refined-times.txt</v>
      </c>
      <c r="AI164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{"issue":{"subject":"","project_id":79,"tracker_id":40,"status_id":1,"priority_id":2,"assigned_to_id":338,"start_date":"2017-10-30","description":"","custom_fields":[{"id":1,"name":"Subdivision","value":"NW"},{"id":4,"name":"Milepost","value":"5.8937"},{"id":17,"name":"Train ID","value":"807-30"},{"id":16,"name":"Locomotive ID","value":"4036"},{"id":130,"name":"Impact","value":""},{"id":150,"name":"Time of Event (Mountain Time)","value":"07:26:44"},{"id":151,"name":"Denver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6"/>
        <v>start /low /b %USERPROFILE%\Documents\GitHub\eaglep3\Utilities\DownloadLogsFromS3.py --loco 4036 --day 2017-10-30</v>
      </c>
      <c r="AN164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8"/>
        <v>https://d0f6bd738d7f1b3e5a7ca70fe4ff75f0.us-east-1.aws.found.io/app/kibana#/discover/Steve-Slow-Train-Analysis-(2080s-and-2083s)?_g=(refreshInterval:(display:Off,pause:!f,section:0,value:0),time:(from:'2017-10-30T06:02:11-0600',mode:absolute,to:'2017-10-30T08:26:44-0600'))&amp;_a=(columns:!('Message%20ID',Summary),filters:!(),index:'emp_*',interval:auto,query:(query_string:(analyze_wildcard:!t,query:'%22rtdc.l.rtdc.4036%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728</v>
      </c>
      <c r="B165" s="7">
        <v>4035</v>
      </c>
      <c r="C165" s="21" t="s">
        <v>194</v>
      </c>
      <c r="D165" s="21" t="s">
        <v>1048</v>
      </c>
      <c r="E165" s="13">
        <v>43038.311157407406</v>
      </c>
      <c r="F165" s="13">
        <v>43038.321759259263</v>
      </c>
      <c r="G165" s="7">
        <v>64</v>
      </c>
      <c r="H165" s="21" t="s">
        <v>1061</v>
      </c>
      <c r="I165" s="13">
        <v>43038.330567129633</v>
      </c>
      <c r="J165" s="7">
        <v>0</v>
      </c>
      <c r="K165" s="89" t="str">
        <f t="shared" si="57"/>
        <v>4035/4036</v>
      </c>
      <c r="L165" s="185" t="str">
        <f>VLOOKUP(A165,'Trips&amp;Operators'!$C$1:$G$99911,5,FALSE)</f>
        <v>YANAI IAN</v>
      </c>
      <c r="M165" s="6">
        <f t="shared" si="58"/>
        <v>8.8078703702194616E-3</v>
      </c>
      <c r="N165" s="7">
        <f t="shared" si="80"/>
        <v>12.683333333116025</v>
      </c>
      <c r="O165" s="7"/>
      <c r="P165" s="7"/>
      <c r="Q165" s="22"/>
      <c r="R165" s="174"/>
      <c r="S165" s="221">
        <f t="shared" si="81"/>
        <v>1</v>
      </c>
      <c r="T165" s="174" t="str">
        <f t="shared" si="59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0"/>
        <v>https://d0f6bd738d7f1b3e5a7ca70fe4ff75f0.us-east-1.aws.found.io/app/kibana#/discover/Steve-Slow-Train-Analysis-(2080s-and-2083s)?_g=(refreshInterval:(display:Off,pause:!f,section:0,value:0),time:(from:'2017-10-30T06:28:04-0600',mode:absolute,to:'2017-10-30T08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5" s="204" t="str">
        <f>IF(AA165&lt;VLOOKUP(AG165,Variables!$AC$3:$AD$8,2,FALSE),"Y","N")</f>
        <v>N</v>
      </c>
      <c r="X165" s="204">
        <f t="shared" ref="X165:X180" si="91">VALUE(LEFT(AD165,4))-VALUE(LEFT(AD164,4))</f>
        <v>1</v>
      </c>
      <c r="Y165" s="204">
        <f t="shared" si="88"/>
        <v>5.8625999999999996</v>
      </c>
      <c r="Z165" s="204">
        <f t="shared" si="89"/>
        <v>7.1499999999999994E-2</v>
      </c>
      <c r="AA165" s="204">
        <f t="shared" si="61"/>
        <v>5.7910999999999992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2"/>
        <v>808</v>
      </c>
      <c r="AE165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65" s="74" t="str">
        <f t="shared" si="64"/>
        <v>"C:\Program Files (x86)\AstroGrep\AstroGrep.exe" /e /r /s /spath="%USERPROFILE%\AppData\Local\Temp\OnboardLogs" /stypes="app*4035*20171030*" /stext=" 13:.+((SYSTEM_STATE.+slice.+state.+changed )|(ment ac)|(multiple cpu faults)|(system.+state.+changed )|(\[timeout)|(PRM\|1\|D)|(kpr)|(kdp)|(train st.+moving)|(\|lc)|(penalty))"</v>
      </c>
      <c r="AG165" s="182" t="str">
        <f t="shared" si="65"/>
        <v>NW</v>
      </c>
      <c r="AH165" s="78" t="str">
        <f t="shared" si="74"/>
        <v>"%USERPROFILE%\Documents\GitHub\eaglep3\Utilities\RefineRTDCRunTimes.py" --tripid 808-30 --locoid 4035 --swversion DE.1.0.9.0 --startMP 300:58626 --initTime 2017-10-30T07:28:04 --startdatetime 2017-10-30T07:43:20 --delay 64 --endMP 204:715 --enddatetime 2017-10-30T07:56:01 --enforcementcount 0 &gt;&gt;%USERPROFILE%\Documents\GitHub\eaglep3-reporting\EC\2017-10-30-refined-times.txt</v>
      </c>
      <c r="AI165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{"issue":{"subject":"","project_id":79,"tracker_id":40,"status_id":1,"priority_id":2,"assigned_to_id":338,"start_date":"2017-10-30","description":"","custom_fields":[{"id":1,"name":"Subdivision","value":"NW"},{"id":4,"name":"Milepost","value":"0.0715"},{"id":17,"name":"Train ID","value":"808-30"},{"id":16,"name":"Locomotive ID","value":"4035"},{"id":130,"name":"Impact","value":""},{"id":150,"name":"Time of Event (Mountain Time)","value":"07:56:01"},{"id":151,"name":"Denver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6"/>
        <v>start /low /b %USERPROFILE%\Documents\GitHub\eaglep3\Utilities\DownloadLogsFromS3.py --loco 4035 --day 2017-10-30</v>
      </c>
      <c r="AN165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8"/>
        <v>https://d0f6bd738d7f1b3e5a7ca70fe4ff75f0.us-east-1.aws.found.io/app/kibana#/discover/Steve-Slow-Train-Analysis-(2080s-and-2083s)?_g=(refreshInterval:(display:Off,pause:!f,section:0,value:0),time:(from:'2017-10-30T06:28:04-0600',mode:absolute,to:'2017-10-30T08:56:01-0600'))&amp;_a=(columns:!('Message%20ID',Summary),filters:!(),index:'emp_*',interval:auto,query:(query_string:(analyze_wildcard:!t,query:'%22rtdc.l.rtdc.4035%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729</v>
      </c>
      <c r="B166" s="7">
        <v>4064</v>
      </c>
      <c r="C166" s="21" t="s">
        <v>194</v>
      </c>
      <c r="D166" s="21" t="s">
        <v>1062</v>
      </c>
      <c r="E166" s="13">
        <v>43038.317777777775</v>
      </c>
      <c r="F166" s="13">
        <v>43038.319085648145</v>
      </c>
      <c r="G166" s="7">
        <v>51</v>
      </c>
      <c r="H166" s="21" t="s">
        <v>1063</v>
      </c>
      <c r="I166" s="13">
        <v>43038.329756944448</v>
      </c>
      <c r="J166" s="7">
        <v>0</v>
      </c>
      <c r="K166" s="89" t="str">
        <f t="shared" si="57"/>
        <v>4063/4064</v>
      </c>
      <c r="L166" s="185" t="str">
        <f>VLOOKUP(A166,'Trips&amp;Operators'!$C$1:$G$99911,5,FALSE)</f>
        <v>MACDONALD THOMAS</v>
      </c>
      <c r="M166" s="6">
        <f t="shared" si="58"/>
        <v>1.0671296302461997E-2</v>
      </c>
      <c r="N166" s="7">
        <f t="shared" si="80"/>
        <v>15.366666675545275</v>
      </c>
      <c r="O166" s="7"/>
      <c r="P166" s="7"/>
      <c r="Q166" s="22"/>
      <c r="R166" s="174"/>
      <c r="S166" s="221">
        <f t="shared" si="81"/>
        <v>1</v>
      </c>
      <c r="T166" s="174" t="str">
        <f t="shared" si="59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0"/>
        <v>https://d0f6bd738d7f1b3e5a7ca70fe4ff75f0.us-east-1.aws.found.io/app/kibana#/discover/Steve-Slow-Train-Analysis-(2080s-and-2083s)?_g=(refreshInterval:(display:Off,pause:!f,section:0,value:0),time:(from:'2017-10-30T06:37:36-0600',mode:absolute,to:'2017-10-30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6" s="204" t="str">
        <f>IF(AA166&lt;VLOOKUP(AG166,Variables!$AC$3:$AD$8,2,FALSE),"Y","N")</f>
        <v>N</v>
      </c>
      <c r="X166" s="204">
        <f t="shared" si="91"/>
        <v>1</v>
      </c>
      <c r="Y166" s="204">
        <f t="shared" si="88"/>
        <v>0.1065</v>
      </c>
      <c r="Z166" s="204">
        <f t="shared" si="89"/>
        <v>5.8916000000000004</v>
      </c>
      <c r="AA166" s="204">
        <f t="shared" si="61"/>
        <v>5.7851000000000008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2"/>
        <v>809</v>
      </c>
      <c r="AE166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66" s="74" t="str">
        <f t="shared" si="64"/>
        <v>"C:\Program Files (x86)\AstroGrep\AstroGrep.exe" /e /r /s /spath="%USERPROFILE%\AppData\Local\Temp\OnboardLogs" /stypes="app*4064*20171030*" /stext=" 13:.+((SYSTEM_STATE.+slice.+state.+changed )|(ment ac)|(multiple cpu faults)|(system.+state.+changed )|(\[timeout)|(PRM\|1\|D)|(kpr)|(kdp)|(train st.+moving)|(\|lc)|(penalty))"</v>
      </c>
      <c r="AG166" s="182" t="str">
        <f t="shared" si="65"/>
        <v>NW</v>
      </c>
      <c r="AH166" s="78" t="str">
        <f t="shared" si="74"/>
        <v>"%USERPROFILE%\Documents\GitHub\eaglep3\Utilities\RefineRTDCRunTimes.py" --tripid 809-30 --locoid 4064 --swversion DE.1.0.9.0 --startMP 204:1065 --initTime 2017-10-30T07:37:36 --startdatetime 2017-10-30T07:39:29 --delay 51 --endMP 300:58916 --enddatetime 2017-10-30T07:54:51 --enforcementcount 0 &gt;&gt;%USERPROFILE%\Documents\GitHub\eaglep3-reporting\EC\2017-10-30-refined-times.txt</v>
      </c>
      <c r="AI166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{"issue":{"subject":"","project_id":79,"tracker_id":40,"status_id":1,"priority_id":2,"assigned_to_id":338,"start_date":"2017-10-30","description":"","custom_fields":[{"id":1,"name":"Subdivision","value":"NW"},{"id":4,"name":"Milepost","value":"5.8916"},{"id":17,"name":"Train ID","value":"809-30"},{"id":16,"name":"Locomotive ID","value":"4064"},{"id":130,"name":"Impact","value":""},{"id":150,"name":"Time of Event (Mountain Time)","value":"07:54:51"},{"id":151,"name":"Denver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6"/>
        <v>start /low /b %USERPROFILE%\Documents\GitHub\eaglep3\Utilities\DownloadLogsFromS3.py --loco 4064 --day 2017-10-30</v>
      </c>
      <c r="AN166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8"/>
        <v>https://d0f6bd738d7f1b3e5a7ca70fe4ff75f0.us-east-1.aws.found.io/app/kibana#/discover/Steve-Slow-Train-Analysis-(2080s-and-2083s)?_g=(refreshInterval:(display:Off,pause:!f,section:0,value:0),time:(from:'2017-10-30T06:37:36-0600',mode:absolute,to:'2017-10-30T08:54:51-0600'))&amp;_a=(columns:!('Message%20ID',Summary),filters:!(),index:'emp_*',interval:auto,query:(query_string:(analyze_wildcard:!t,query:'%22rtdc.l.rtdc.4064%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733</v>
      </c>
      <c r="B167" s="7">
        <v>4063</v>
      </c>
      <c r="C167" s="21" t="s">
        <v>194</v>
      </c>
      <c r="D167" s="21" t="s">
        <v>615</v>
      </c>
      <c r="E167" s="13">
        <v>43038.330370370371</v>
      </c>
      <c r="F167" s="13">
        <v>43038.342881944445</v>
      </c>
      <c r="G167" s="7">
        <v>56</v>
      </c>
      <c r="H167" s="21" t="s">
        <v>1064</v>
      </c>
      <c r="I167" s="13">
        <v>43038.351423611108</v>
      </c>
      <c r="J167" s="7">
        <v>0</v>
      </c>
      <c r="K167" s="89" t="str">
        <f t="shared" si="57"/>
        <v>4063/4064</v>
      </c>
      <c r="L167" s="185" t="str">
        <f>VLOOKUP(A167,'Trips&amp;Operators'!$C$1:$G$99911,5,FALSE)</f>
        <v>MACDONALD THOMAS</v>
      </c>
      <c r="M167" s="6">
        <f t="shared" si="58"/>
        <v>8.5416666624951176E-3</v>
      </c>
      <c r="N167" s="7">
        <f t="shared" si="80"/>
        <v>12.299999993992969</v>
      </c>
      <c r="O167" s="7"/>
      <c r="P167" s="7"/>
      <c r="Q167" s="22"/>
      <c r="R167" s="174"/>
      <c r="S167" s="221">
        <f t="shared" si="81"/>
        <v>1</v>
      </c>
      <c r="T167" s="174" t="str">
        <f t="shared" si="59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0"/>
        <v>https://d0f6bd738d7f1b3e5a7ca70fe4ff75f0.us-east-1.aws.found.io/app/kibana#/discover/Steve-Slow-Train-Analysis-(2080s-and-2083s)?_g=(refreshInterval:(display:Off,pause:!f,section:0,value:0),time:(from:'2017-10-30T06:55:44-0600',mode:absolute,to:'2017-10-30T09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7" s="204" t="str">
        <f>IF(AA167&lt;VLOOKUP(AG167,Variables!$AC$3:$AD$8,2,FALSE),"Y","N")</f>
        <v>N</v>
      </c>
      <c r="X167" s="204">
        <f t="shared" si="91"/>
        <v>1</v>
      </c>
      <c r="Y167" s="204">
        <f t="shared" si="88"/>
        <v>5.8605999999999998</v>
      </c>
      <c r="Z167" s="204">
        <f t="shared" si="89"/>
        <v>8.9899999999999994E-2</v>
      </c>
      <c r="AA167" s="204">
        <f t="shared" si="61"/>
        <v>5.7706999999999997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2"/>
        <v>810</v>
      </c>
      <c r="AE167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67" s="74" t="str">
        <f t="shared" si="64"/>
        <v>"C:\Program Files (x86)\AstroGrep\AstroGrep.exe" /e /r /s /spath="%USERPROFILE%\AppData\Local\Temp\OnboardLogs" /stypes="app*4063*20171030*" /stext=" 14:.+((SYSTEM_STATE.+slice.+state.+changed )|(ment ac)|(multiple cpu faults)|(system.+state.+changed )|(\[timeout)|(PRM\|1\|D)|(kpr)|(kdp)|(train st.+moving)|(\|lc)|(penalty))"</v>
      </c>
      <c r="AG167" s="182" t="str">
        <f t="shared" si="65"/>
        <v>NW</v>
      </c>
      <c r="AH167" s="78" t="str">
        <f t="shared" si="74"/>
        <v>"%USERPROFILE%\Documents\GitHub\eaglep3\Utilities\RefineRTDCRunTimes.py" --tripid 810-30 --locoid 4063 --swversion DE.1.0.9.0 --startMP 300:58606 --initTime 2017-10-30T07:55:44 --startdatetime 2017-10-30T08:13:45 --delay 56 --endMP 204:899 --enddatetime 2017-10-30T08:26:03 --enforcementcount 0 &gt;&gt;%USERPROFILE%\Documents\GitHub\eaglep3-reporting\EC\2017-10-30-refined-times.txt</v>
      </c>
      <c r="AI167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{"issue":{"subject":"","project_id":79,"tracker_id":40,"status_id":1,"priority_id":2,"assigned_to_id":338,"start_date":"2017-10-30","description":"","custom_fields":[{"id":1,"name":"Subdivision","value":"NW"},{"id":4,"name":"Milepost","value":"0.0899"},{"id":17,"name":"Train ID","value":"810-30"},{"id":16,"name":"Locomotive ID","value":"4063"},{"id":130,"name":"Impact","value":""},{"id":150,"name":"Time of Event (Mountain Time)","value":"08:26:03"},{"id":151,"name":"Denver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6"/>
        <v>start /low /b %USERPROFILE%\Documents\GitHub\eaglep3\Utilities\DownloadLogsFromS3.py --loco 4063 --day 2017-10-30</v>
      </c>
      <c r="AN167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8"/>
        <v>https://d0f6bd738d7f1b3e5a7ca70fe4ff75f0.us-east-1.aws.found.io/app/kibana#/discover/Steve-Slow-Train-Analysis-(2080s-and-2083s)?_g=(refreshInterval:(display:Off,pause:!f,section:0,value:0),time:(from:'2017-10-30T06:55:44-0600',mode:absolute,to:'2017-10-30T09:26:03-0600'))&amp;_a=(columns:!('Message%20ID',Summary),filters:!(),index:'emp_*',interval:auto,query:(query_string:(analyze_wildcard:!t,query:'%22rtdc.l.rtdc.4063%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735</v>
      </c>
      <c r="B168" s="7">
        <v>4036</v>
      </c>
      <c r="C168" s="21" t="s">
        <v>194</v>
      </c>
      <c r="D168" s="21" t="s">
        <v>1065</v>
      </c>
      <c r="E168" s="13">
        <v>43038.33315972222</v>
      </c>
      <c r="F168" s="13">
        <v>43038.340185185189</v>
      </c>
      <c r="G168" s="7">
        <v>68</v>
      </c>
      <c r="H168" s="21" t="s">
        <v>624</v>
      </c>
      <c r="I168" s="13">
        <v>43038.350995370369</v>
      </c>
      <c r="J168" s="7">
        <v>0</v>
      </c>
      <c r="K168" s="89" t="str">
        <f t="shared" si="57"/>
        <v>4035/4036</v>
      </c>
      <c r="L168" s="185" t="str">
        <f>VLOOKUP(A168,'Trips&amp;Operators'!$C$1:$G$99911,5,FALSE)</f>
        <v>YANAI IAN</v>
      </c>
      <c r="M168" s="6">
        <f t="shared" si="58"/>
        <v>1.081018518016208E-2</v>
      </c>
      <c r="N168" s="7">
        <f t="shared" si="80"/>
        <v>15.566666659433395</v>
      </c>
      <c r="O168" s="7"/>
      <c r="P168" s="7"/>
      <c r="Q168" s="22"/>
      <c r="R168" s="174"/>
      <c r="S168" s="221">
        <f t="shared" si="81"/>
        <v>1</v>
      </c>
      <c r="T168" s="174" t="str">
        <f t="shared" si="59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0"/>
        <v>https://d0f6bd738d7f1b3e5a7ca70fe4ff75f0.us-east-1.aws.found.io/app/kibana#/discover/Steve-Slow-Train-Analysis-(2080s-and-2083s)?_g=(refreshInterval:(display:Off,pause:!f,section:0,value:0),time:(from:'2017-10-30T06:59:45-0600',mode:absolute,to:'2017-10-30T09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8" s="204" t="str">
        <f>IF(AA168&lt;VLOOKUP(AG168,Variables!$AC$3:$AD$8,2,FALSE),"Y","N")</f>
        <v>N</v>
      </c>
      <c r="X168" s="204">
        <f t="shared" si="91"/>
        <v>1</v>
      </c>
      <c r="Y168" s="204">
        <f t="shared" si="88"/>
        <v>0.13420000000000001</v>
      </c>
      <c r="Z168" s="204">
        <f t="shared" si="89"/>
        <v>5.8930999999999996</v>
      </c>
      <c r="AA168" s="204">
        <f t="shared" si="61"/>
        <v>5.7588999999999997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2"/>
        <v>811</v>
      </c>
      <c r="AE168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68" s="74" t="str">
        <f t="shared" si="64"/>
        <v>"C:\Program Files (x86)\AstroGrep\AstroGrep.exe" /e /r /s /spath="%USERPROFILE%\AppData\Local\Temp\OnboardLogs" /stypes="app*4036*20171030*" /stext=" 14:.+((SYSTEM_STATE.+slice.+state.+changed )|(ment ac)|(multiple cpu faults)|(system.+state.+changed )|(\[timeout)|(PRM\|1\|D)|(kpr)|(kdp)|(train st.+moving)|(\|lc)|(penalty))"</v>
      </c>
      <c r="AG168" s="182" t="str">
        <f t="shared" si="65"/>
        <v>NW</v>
      </c>
      <c r="AH168" s="78" t="str">
        <f t="shared" si="74"/>
        <v>"%USERPROFILE%\Documents\GitHub\eaglep3\Utilities\RefineRTDCRunTimes.py" --tripid 811-30 --locoid 4036 --swversion DE.1.0.9.0 --startMP 204:1342 --initTime 2017-10-30T07:59:45 --startdatetime 2017-10-30T08:09:52 --delay 68 --endMP 300:58931 --enddatetime 2017-10-30T08:25:26 --enforcementcount 0 &gt;&gt;%USERPROFILE%\Documents\GitHub\eaglep3-reporting\EC\2017-10-30-refined-times.txt</v>
      </c>
      <c r="AI168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{"issue":{"subject":"","project_id":79,"tracker_id":40,"status_id":1,"priority_id":2,"assigned_to_id":338,"start_date":"2017-10-30","description":"","custom_fields":[{"id":1,"name":"Subdivision","value":"NW"},{"id":4,"name":"Milepost","value":"5.8931"},{"id":17,"name":"Train ID","value":"811-30"},{"id":16,"name":"Locomotive ID","value":"4036"},{"id":130,"name":"Impact","value":""},{"id":150,"name":"Time of Event (Mountain Time)","value":"08:25:26"},{"id":151,"name":"Denver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6"/>
        <v>start /low /b %USERPROFILE%\Documents\GitHub\eaglep3\Utilities\DownloadLogsFromS3.py --loco 4036 --day 2017-10-30</v>
      </c>
      <c r="AN168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8"/>
        <v>https://d0f6bd738d7f1b3e5a7ca70fe4ff75f0.us-east-1.aws.found.io/app/kibana#/discover/Steve-Slow-Train-Analysis-(2080s-and-2083s)?_g=(refreshInterval:(display:Off,pause:!f,section:0,value:0),time:(from:'2017-10-30T06:59:45-0600',mode:absolute,to:'2017-10-30T09:25:26-0600'))&amp;_a=(columns:!('Message%20ID',Summary),filters:!(),index:'emp_*',interval:auto,query:(query_string:(analyze_wildcard:!t,query:'%22rtdc.l.rtdc.4036%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741</v>
      </c>
      <c r="B169" s="7">
        <v>4035</v>
      </c>
      <c r="C169" s="21" t="s">
        <v>194</v>
      </c>
      <c r="D169" s="21" t="s">
        <v>1054</v>
      </c>
      <c r="E169" s="13">
        <v>43038.351990740739</v>
      </c>
      <c r="F169" s="13">
        <v>43038.363252314812</v>
      </c>
      <c r="G169" s="7">
        <v>56</v>
      </c>
      <c r="H169" s="21" t="s">
        <v>1066</v>
      </c>
      <c r="I169" s="13">
        <v>43038.371967592589</v>
      </c>
      <c r="J169" s="7">
        <v>0</v>
      </c>
      <c r="K169" s="89" t="str">
        <f t="shared" si="57"/>
        <v>4035/4036</v>
      </c>
      <c r="L169" s="185" t="str">
        <f>VLOOKUP(A169,'Trips&amp;Operators'!$C$1:$G$99911,5,FALSE)</f>
        <v>YANAI IAN</v>
      </c>
      <c r="M169" s="6">
        <f t="shared" si="58"/>
        <v>8.7152777778101154E-3</v>
      </c>
      <c r="N169" s="7">
        <f t="shared" si="80"/>
        <v>12.550000000046566</v>
      </c>
      <c r="O169" s="7"/>
      <c r="P169" s="7"/>
      <c r="Q169" s="22"/>
      <c r="R169" s="174"/>
      <c r="S169" s="221">
        <f t="shared" si="81"/>
        <v>1</v>
      </c>
      <c r="T169" s="174" t="str">
        <f t="shared" si="59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0"/>
        <v>https://d0f6bd738d7f1b3e5a7ca70fe4ff75f0.us-east-1.aws.found.io/app/kibana#/discover/Steve-Slow-Train-Analysis-(2080s-and-2083s)?_g=(refreshInterval:(display:Off,pause:!f,section:0,value:0),time:(from:'2017-10-30T07:26:52-0600',mode:absolute,to:'2017-10-30T09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9" s="204" t="str">
        <f>IF(AA169&lt;VLOOKUP(AG169,Variables!$AC$3:$AD$8,2,FALSE),"Y","N")</f>
        <v>N</v>
      </c>
      <c r="X169" s="204">
        <f t="shared" si="91"/>
        <v>1</v>
      </c>
      <c r="Y169" s="204">
        <f t="shared" si="88"/>
        <v>5.8620999999999999</v>
      </c>
      <c r="Z169" s="204">
        <f t="shared" si="89"/>
        <v>6.6799999999999998E-2</v>
      </c>
      <c r="AA169" s="204">
        <f t="shared" si="61"/>
        <v>5.7953000000000001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2"/>
        <v>812</v>
      </c>
      <c r="AE169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69" s="74" t="str">
        <f t="shared" si="64"/>
        <v>"C:\Program Files (x86)\AstroGrep\AstroGrep.exe" /e /r /s /spath="%USERPROFILE%\AppData\Local\Temp\OnboardLogs" /stypes="app*4035*20171030*" /stext=" 14:.+((SYSTEM_STATE.+slice.+state.+changed )|(ment ac)|(multiple cpu faults)|(system.+state.+changed )|(\[timeout)|(PRM\|1\|D)|(kpr)|(kdp)|(train st.+moving)|(\|lc)|(penalty))"</v>
      </c>
      <c r="AG169" s="182" t="str">
        <f t="shared" si="65"/>
        <v>NW</v>
      </c>
      <c r="AH169" s="78" t="str">
        <f t="shared" si="74"/>
        <v>"%USERPROFILE%\Documents\GitHub\eaglep3\Utilities\RefineRTDCRunTimes.py" --tripid 812-30 --locoid 4035 --swversion DE.1.0.9.0 --startMP 300:58621 --initTime 2017-10-30T08:26:52 --startdatetime 2017-10-30T08:43:05 --delay 56 --endMP 204:668 --enddatetime 2017-10-30T08:55:38 --enforcementcount 0 &gt;&gt;%USERPROFILE%\Documents\GitHub\eaglep3-reporting\EC\2017-10-30-refined-times.txt</v>
      </c>
      <c r="AI169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{"issue":{"subject":"","project_id":79,"tracker_id":40,"status_id":1,"priority_id":2,"assigned_to_id":338,"start_date":"2017-10-30","description":"","custom_fields":[{"id":1,"name":"Subdivision","value":"NW"},{"id":4,"name":"Milepost","value":"0.0668"},{"id":17,"name":"Train ID","value":"812-30"},{"id":16,"name":"Locomotive ID","value":"4035"},{"id":130,"name":"Impact","value":""},{"id":150,"name":"Time of Event (Mountain Time)","value":"08:55:38"},{"id":151,"name":"Denver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6"/>
        <v>start /low /b %USERPROFILE%\Documents\GitHub\eaglep3\Utilities\DownloadLogsFromS3.py --loco 4035 --day 2017-10-30</v>
      </c>
      <c r="AN169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8"/>
        <v>https://d0f6bd738d7f1b3e5a7ca70fe4ff75f0.us-east-1.aws.found.io/app/kibana#/discover/Steve-Slow-Train-Analysis-(2080s-and-2083s)?_g=(refreshInterval:(display:Off,pause:!f,section:0,value:0),time:(from:'2017-10-30T07:26:52-0600',mode:absolute,to:'2017-10-30T09:55:38-0600'))&amp;_a=(columns:!('Message%20ID',Summary),filters:!(),index:'emp_*',interval:auto,query:(query_string:(analyze_wildcard:!t,query:'%22rtdc.l.rtdc.4035%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747</v>
      </c>
      <c r="B170" s="7">
        <v>4036</v>
      </c>
      <c r="C170" s="21" t="s">
        <v>194</v>
      </c>
      <c r="D170" s="21" t="s">
        <v>1067</v>
      </c>
      <c r="E170" s="13">
        <v>43038.377951388888</v>
      </c>
      <c r="F170" s="13">
        <v>43038.381597222222</v>
      </c>
      <c r="G170" s="7">
        <v>92</v>
      </c>
      <c r="H170" s="21" t="s">
        <v>1057</v>
      </c>
      <c r="I170" s="13">
        <v>43038.391770833332</v>
      </c>
      <c r="J170" s="7">
        <v>0</v>
      </c>
      <c r="K170" s="89" t="str">
        <f t="shared" si="57"/>
        <v>4035/4036</v>
      </c>
      <c r="L170" s="185" t="str">
        <f>VLOOKUP(A170,'Trips&amp;Operators'!$C$1:$G$99911,5,FALSE)</f>
        <v>YANAI IAN</v>
      </c>
      <c r="M170" s="6">
        <f t="shared" si="58"/>
        <v>1.0173611110076308E-2</v>
      </c>
      <c r="N170" s="7">
        <f t="shared" si="80"/>
        <v>14.649999998509884</v>
      </c>
      <c r="O170" s="7"/>
      <c r="P170" s="7"/>
      <c r="Q170" s="22"/>
      <c r="R170" s="174"/>
      <c r="S170" s="221">
        <f t="shared" si="81"/>
        <v>1</v>
      </c>
      <c r="T170" s="174" t="str">
        <f t="shared" si="59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0"/>
        <v>https://d0f6bd738d7f1b3e5a7ca70fe4ff75f0.us-east-1.aws.found.io/app/kibana#/discover/Steve-Slow-Train-Analysis-(2080s-and-2083s)?_g=(refreshInterval:(display:Off,pause:!f,section:0,value:0),time:(from:'2017-10-30T08:04:15-0600',mode:absolute,to:'2017-10-30T10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0" s="204" t="str">
        <f>IF(AA170&lt;VLOOKUP(AG170,Variables!$AC$3:$AD$8,2,FALSE),"Y","N")</f>
        <v>N</v>
      </c>
      <c r="X170" s="204">
        <f t="shared" si="91"/>
        <v>1</v>
      </c>
      <c r="Y170" s="204">
        <f t="shared" si="88"/>
        <v>9.9000000000000005E-2</v>
      </c>
      <c r="Z170" s="204">
        <f t="shared" si="89"/>
        <v>5.8935000000000004</v>
      </c>
      <c r="AA170" s="204">
        <f t="shared" si="61"/>
        <v>5.7945000000000002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2"/>
        <v>813</v>
      </c>
      <c r="AE170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70" s="74" t="str">
        <f t="shared" si="64"/>
        <v>"C:\Program Files (x86)\AstroGrep\AstroGrep.exe" /e /r /s /spath="%USERPROFILE%\AppData\Local\Temp\OnboardLogs" /stypes="app*4036*20171030*" /stext=" 15:.+((SYSTEM_STATE.+slice.+state.+changed )|(ment ac)|(multiple cpu faults)|(system.+state.+changed )|(\[timeout)|(PRM\|1\|D)|(kpr)|(kdp)|(train st.+moving)|(\|lc)|(penalty))"</v>
      </c>
      <c r="AG170" s="182" t="str">
        <f t="shared" si="65"/>
        <v>NW</v>
      </c>
      <c r="AH170" s="78" t="str">
        <f t="shared" si="74"/>
        <v>"%USERPROFILE%\Documents\GitHub\eaglep3\Utilities\RefineRTDCRunTimes.py" --tripid 813-30 --locoid 4036 --swversion DE.1.0.9.0 --startMP 204:990 --initTime 2017-10-30T09:04:15 --startdatetime 2017-10-30T09:09:30 --delay 92 --endMP 300:58935 --enddatetime 2017-10-30T09:24:09 --enforcementcount 0 &gt;&gt;%USERPROFILE%\Documents\GitHub\eaglep3-reporting\EC\2017-10-30-refined-times.txt</v>
      </c>
      <c r="AI170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{"issue":{"subject":"","project_id":79,"tracker_id":40,"status_id":1,"priority_id":2,"assigned_to_id":338,"start_date":"2017-10-30","description":"","custom_fields":[{"id":1,"name":"Subdivision","value":"NW"},{"id":4,"name":"Milepost","value":"5.8935"},{"id":17,"name":"Train ID","value":"813-30"},{"id":16,"name":"Locomotive ID","value":"4036"},{"id":130,"name":"Impact","value":""},{"id":150,"name":"Time of Event (Mountain Time)","value":"09:24:09"},{"id":151,"name":"Denver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6"/>
        <v>start /low /b %USERPROFILE%\Documents\GitHub\eaglep3\Utilities\DownloadLogsFromS3.py --loco 4036 --day 2017-10-30</v>
      </c>
      <c r="AN170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8"/>
        <v>https://d0f6bd738d7f1b3e5a7ca70fe4ff75f0.us-east-1.aws.found.io/app/kibana#/discover/Steve-Slow-Train-Analysis-(2080s-and-2083s)?_g=(refreshInterval:(display:Off,pause:!f,section:0,value:0),time:(from:'2017-10-30T08:04:15-0600',mode:absolute,to:'2017-10-30T10:24:09-0600'))&amp;_a=(columns:!('Message%20ID',Summary),filters:!(),index:'emp_*',interval:auto,query:(query_string:(analyze_wildcard:!t,query:'%22rtdc.l.rtdc.4036%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752</v>
      </c>
      <c r="B171" s="7">
        <v>4035</v>
      </c>
      <c r="C171" s="21" t="s">
        <v>194</v>
      </c>
      <c r="D171" s="21" t="s">
        <v>625</v>
      </c>
      <c r="E171" s="13">
        <v>43038.392708333333</v>
      </c>
      <c r="F171" s="13">
        <v>43038.405115740738</v>
      </c>
      <c r="G171" s="7">
        <v>68</v>
      </c>
      <c r="H171" s="21" t="s">
        <v>612</v>
      </c>
      <c r="I171" s="13">
        <v>43038.413703703707</v>
      </c>
      <c r="J171" s="7">
        <v>0</v>
      </c>
      <c r="K171" s="89" t="str">
        <f t="shared" si="57"/>
        <v>4035/4036</v>
      </c>
      <c r="L171" s="185" t="str">
        <f>VLOOKUP(A171,'Trips&amp;Operators'!$C$1:$G$99911,5,FALSE)</f>
        <v>YANAI IAN</v>
      </c>
      <c r="M171" s="6">
        <f t="shared" si="58"/>
        <v>8.5879629696137272E-3</v>
      </c>
      <c r="N171" s="7">
        <f t="shared" si="80"/>
        <v>12.366666676243767</v>
      </c>
      <c r="O171" s="7"/>
      <c r="P171" s="7"/>
      <c r="Q171" s="22"/>
      <c r="R171" s="174"/>
      <c r="S171" s="221">
        <f t="shared" si="81"/>
        <v>1</v>
      </c>
      <c r="T171" s="174" t="str">
        <f t="shared" si="59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0"/>
        <v>https://d0f6bd738d7f1b3e5a7ca70fe4ff75f0.us-east-1.aws.found.io/app/kibana#/discover/Steve-Slow-Train-Analysis-(2080s-and-2083s)?_g=(refreshInterval:(display:Off,pause:!f,section:0,value:0),time:(from:'2017-10-30T08:25:30-0600',mode:absolute,to:'2017-10-30T10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1" s="204" t="str">
        <f>IF(AA171&lt;VLOOKUP(AG171,Variables!$AC$3:$AD$8,2,FALSE),"Y","N")</f>
        <v>N</v>
      </c>
      <c r="X171" s="204">
        <f t="shared" si="91"/>
        <v>1</v>
      </c>
      <c r="Y171" s="204">
        <f t="shared" si="88"/>
        <v>5.8609</v>
      </c>
      <c r="Z171" s="204">
        <f t="shared" si="89"/>
        <v>6.8699999999999997E-2</v>
      </c>
      <c r="AA171" s="204">
        <f t="shared" si="61"/>
        <v>5.7922000000000002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2"/>
        <v>814</v>
      </c>
      <c r="AE171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71" s="74" t="str">
        <f t="shared" si="64"/>
        <v>"C:\Program Files (x86)\AstroGrep\AstroGrep.exe" /e /r /s /spath="%USERPROFILE%\AppData\Local\Temp\OnboardLogs" /stypes="app*4035*20171030*" /stext=" 15:.+((SYSTEM_STATE.+slice.+state.+changed )|(ment ac)|(multiple cpu faults)|(system.+state.+changed )|(\[timeout)|(PRM\|1\|D)|(kpr)|(kdp)|(train st.+moving)|(\|lc)|(penalty))"</v>
      </c>
      <c r="AG171" s="182" t="str">
        <f t="shared" si="65"/>
        <v>NW</v>
      </c>
      <c r="AH171" s="78" t="str">
        <f t="shared" si="74"/>
        <v>"%USERPROFILE%\Documents\GitHub\eaglep3\Utilities\RefineRTDCRunTimes.py" --tripid 814-30 --locoid 4035 --swversion DE.1.0.9.0 --startMP 300:58609 --initTime 2017-10-30T09:25:30 --startdatetime 2017-10-30T09:43:22 --delay 68 --endMP 204:687 --enddatetime 2017-10-30T09:55:44 --enforcementcount 0 &gt;&gt;%USERPROFILE%\Documents\GitHub\eaglep3-reporting\EC\2017-10-30-refined-times.txt</v>
      </c>
      <c r="AI171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{"issue":{"subject":"","project_id":79,"tracker_id":40,"status_id":1,"priority_id":2,"assigned_to_id":338,"start_date":"2017-10-30","description":"","custom_fields":[{"id":1,"name":"Subdivision","value":"NW"},{"id":4,"name":"Milepost","value":"0.0687"},{"id":17,"name":"Train ID","value":"814-30"},{"id":16,"name":"Locomotive ID","value":"4035"},{"id":130,"name":"Impact","value":""},{"id":150,"name":"Time of Event (Mountain Time)","value":"09:55:44"},{"id":151,"name":"Denver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6"/>
        <v>start /low /b %USERPROFILE%\Documents\GitHub\eaglep3\Utilities\DownloadLogsFromS3.py --loco 4035 --day 2017-10-30</v>
      </c>
      <c r="AN171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8"/>
        <v>https://d0f6bd738d7f1b3e5a7ca70fe4ff75f0.us-east-1.aws.found.io/app/kibana#/discover/Steve-Slow-Train-Analysis-(2080s-and-2083s)?_g=(refreshInterval:(display:Off,pause:!f,section:0,value:0),time:(from:'2017-10-30T08:25:30-0600',mode:absolute,to:'2017-10-30T10:55:44-0600'))&amp;_a=(columns:!('Message%20ID',Summary),filters:!(),index:'emp_*',interval:auto,query:(query_string:(analyze_wildcard:!t,query:'%22rtdc.l.rtdc.4035%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757</v>
      </c>
      <c r="B172" s="7">
        <v>4036</v>
      </c>
      <c r="C172" s="21" t="s">
        <v>194</v>
      </c>
      <c r="D172" s="21" t="s">
        <v>626</v>
      </c>
      <c r="E172" s="13">
        <v>43038.416944444441</v>
      </c>
      <c r="F172" s="13">
        <v>43038.423194444447</v>
      </c>
      <c r="G172" s="7">
        <v>64</v>
      </c>
      <c r="H172" s="21" t="s">
        <v>1068</v>
      </c>
      <c r="I172" s="13">
        <v>43038.433252314811</v>
      </c>
      <c r="J172" s="7">
        <v>0</v>
      </c>
      <c r="K172" s="89" t="str">
        <f t="shared" si="57"/>
        <v>4035/4036</v>
      </c>
      <c r="L172" s="185" t="str">
        <f>VLOOKUP(A172,'Trips&amp;Operators'!$C$1:$G$99911,5,FALSE)</f>
        <v>YANAI IAN</v>
      </c>
      <c r="M172" s="6">
        <f t="shared" si="58"/>
        <v>1.0057870364107657E-2</v>
      </c>
      <c r="N172" s="7">
        <f t="shared" si="80"/>
        <v>14.483333324315026</v>
      </c>
      <c r="O172" s="7"/>
      <c r="P172" s="7"/>
      <c r="Q172" s="22"/>
      <c r="R172" s="174"/>
      <c r="S172" s="221">
        <f t="shared" si="81"/>
        <v>1</v>
      </c>
      <c r="T172" s="174" t="str">
        <f t="shared" si="59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0"/>
        <v>https://d0f6bd738d7f1b3e5a7ca70fe4ff75f0.us-east-1.aws.found.io/app/kibana#/discover/Steve-Slow-Train-Analysis-(2080s-and-2083s)?_g=(refreshInterval:(display:Off,pause:!f,section:0,value:0),time:(from:'2017-10-30T09:00:24-0600',mode:absolute,to:'2017-10-30T11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2" s="204" t="str">
        <f>IF(AA172&lt;VLOOKUP(AG172,Variables!$AC$3:$AD$8,2,FALSE),"Y","N")</f>
        <v>N</v>
      </c>
      <c r="X172" s="204">
        <f t="shared" si="91"/>
        <v>1</v>
      </c>
      <c r="Y172" s="204">
        <f t="shared" si="88"/>
        <v>9.7900000000000001E-2</v>
      </c>
      <c r="Z172" s="204">
        <f t="shared" si="89"/>
        <v>5.8928000000000003</v>
      </c>
      <c r="AA172" s="204">
        <f t="shared" si="61"/>
        <v>5.7949000000000002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2"/>
        <v>815</v>
      </c>
      <c r="AE172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72" s="74" t="str">
        <f t="shared" si="64"/>
        <v>"C:\Program Files (x86)\AstroGrep\AstroGrep.exe" /e /r /s /spath="%USERPROFILE%\AppData\Local\Temp\OnboardLogs" /stypes="app*4036*20171030*" /stext=" 16:.+((SYSTEM_STATE.+slice.+state.+changed )|(ment ac)|(multiple cpu faults)|(system.+state.+changed )|(\[timeout)|(PRM\|1\|D)|(kpr)|(kdp)|(train st.+moving)|(\|lc)|(penalty))"</v>
      </c>
      <c r="AG172" s="182" t="str">
        <f t="shared" si="65"/>
        <v>NW</v>
      </c>
      <c r="AH172" s="78" t="str">
        <f t="shared" si="74"/>
        <v>"%USERPROFILE%\Documents\GitHub\eaglep3\Utilities\RefineRTDCRunTimes.py" --tripid 815-30 --locoid 4036 --swversion DE.1.0.9.0 --startMP 204:979 --initTime 2017-10-30T10:00:24 --startdatetime 2017-10-30T10:09:24 --delay 64 --endMP 300:58928 --enddatetime 2017-10-30T10:23:53 --enforcementcount 0 &gt;&gt;%USERPROFILE%\Documents\GitHub\eaglep3-reporting\EC\2017-10-30-refined-times.txt</v>
      </c>
      <c r="AI172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{"issue":{"subject":"","project_id":79,"tracker_id":40,"status_id":1,"priority_id":2,"assigned_to_id":338,"start_date":"2017-10-30","description":"","custom_fields":[{"id":1,"name":"Subdivision","value":"NW"},{"id":4,"name":"Milepost","value":"5.8928"},{"id":17,"name":"Train ID","value":"815-30"},{"id":16,"name":"Locomotive ID","value":"4036"},{"id":130,"name":"Impact","value":""},{"id":150,"name":"Time of Event (Mountain Time)","value":"10:23:53"},{"id":151,"name":"Denver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6"/>
        <v>start /low /b %USERPROFILE%\Documents\GitHub\eaglep3\Utilities\DownloadLogsFromS3.py --loco 4036 --day 2017-10-30</v>
      </c>
      <c r="AN172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8"/>
        <v>https://d0f6bd738d7f1b3e5a7ca70fe4ff75f0.us-east-1.aws.found.io/app/kibana#/discover/Steve-Slow-Train-Analysis-(2080s-and-2083s)?_g=(refreshInterval:(display:Off,pause:!f,section:0,value:0),time:(from:'2017-10-30T09:00:24-0600',mode:absolute,to:'2017-10-30T11:23:53-0600'))&amp;_a=(columns:!('Message%20ID',Summary),filters:!(),index:'emp_*',interval:auto,query:(query_string:(analyze_wildcard:!t,query:'%22rtdc.l.rtdc.4036%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762</v>
      </c>
      <c r="B173" s="7">
        <v>4035</v>
      </c>
      <c r="C173" s="21" t="s">
        <v>194</v>
      </c>
      <c r="D173" s="21" t="s">
        <v>1069</v>
      </c>
      <c r="E173" s="13">
        <v>43038.434189814812</v>
      </c>
      <c r="F173" s="13">
        <v>43038.446655092594</v>
      </c>
      <c r="G173" s="7">
        <v>72</v>
      </c>
      <c r="H173" s="21" t="s">
        <v>1070</v>
      </c>
      <c r="I173" s="13">
        <v>43038.455787037034</v>
      </c>
      <c r="J173" s="7">
        <v>0</v>
      </c>
      <c r="K173" s="89" t="str">
        <f t="shared" si="57"/>
        <v>4035/4036</v>
      </c>
      <c r="L173" s="185" t="str">
        <f>VLOOKUP(A173,'Trips&amp;Operators'!$C$1:$G$99911,5,FALSE)</f>
        <v>YANAI IAN</v>
      </c>
      <c r="M173" s="6">
        <f t="shared" si="58"/>
        <v>9.1319444400141947E-3</v>
      </c>
      <c r="N173" s="7">
        <f t="shared" si="80"/>
        <v>13.14999999362044</v>
      </c>
      <c r="O173" s="7"/>
      <c r="P173" s="7"/>
      <c r="Q173" s="22"/>
      <c r="R173" s="174"/>
      <c r="S173" s="221">
        <f t="shared" si="81"/>
        <v>1</v>
      </c>
      <c r="T173" s="174" t="str">
        <f t="shared" si="59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0"/>
        <v>https://d0f6bd738d7f1b3e5a7ca70fe4ff75f0.us-east-1.aws.found.io/app/kibana#/discover/Steve-Slow-Train-Analysis-(2080s-and-2083s)?_g=(refreshInterval:(display:Off,pause:!f,section:0,value:0),time:(from:'2017-10-30T09:25:14-0600',mode:absolute,to:'2017-10-30T11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3" s="204" t="str">
        <f>IF(AA173&lt;VLOOKUP(AG173,Variables!$AC$3:$AD$8,2,FALSE),"Y","N")</f>
        <v>N</v>
      </c>
      <c r="X173" s="204">
        <f t="shared" si="91"/>
        <v>1</v>
      </c>
      <c r="Y173" s="204">
        <f t="shared" si="88"/>
        <v>5.8611000000000004</v>
      </c>
      <c r="Z173" s="204">
        <f t="shared" si="89"/>
        <v>7.6100000000000001E-2</v>
      </c>
      <c r="AA173" s="204">
        <f t="shared" si="61"/>
        <v>5.7850000000000001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2"/>
        <v>816</v>
      </c>
      <c r="AE173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73" s="74" t="str">
        <f t="shared" si="64"/>
        <v>"C:\Program Files (x86)\AstroGrep\AstroGrep.exe" /e /r /s /spath="%USERPROFILE%\AppData\Local\Temp\OnboardLogs" /stypes="app*4035*20171030*" /stext=" 16:.+((SYSTEM_STATE.+slice.+state.+changed )|(ment ac)|(multiple cpu faults)|(system.+state.+changed )|(\[timeout)|(PRM\|1\|D)|(kpr)|(kdp)|(train st.+moving)|(\|lc)|(penalty))"</v>
      </c>
      <c r="AG173" s="182" t="str">
        <f t="shared" si="65"/>
        <v>NW</v>
      </c>
      <c r="AH173" s="78" t="str">
        <f t="shared" si="74"/>
        <v>"%USERPROFILE%\Documents\GitHub\eaglep3\Utilities\RefineRTDCRunTimes.py" --tripid 816-30 --locoid 4035 --swversion DE.1.0.9.0 --startMP 300:58611 --initTime 2017-10-30T10:25:14 --startdatetime 2017-10-30T10:43:11 --delay 72 --endMP 204:761 --enddatetime 2017-10-30T10:56:20 --enforcementcount 0 &gt;&gt;%USERPROFILE%\Documents\GitHub\eaglep3-reporting\EC\2017-10-30-refined-times.txt</v>
      </c>
      <c r="AI173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{"issue":{"subject":"","project_id":79,"tracker_id":40,"status_id":1,"priority_id":2,"assigned_to_id":338,"start_date":"2017-10-30","description":"","custom_fields":[{"id":1,"name":"Subdivision","value":"NW"},{"id":4,"name":"Milepost","value":"0.0761"},{"id":17,"name":"Train ID","value":"816-30"},{"id":16,"name":"Locomotive ID","value":"4035"},{"id":130,"name":"Impact","value":""},{"id":150,"name":"Time of Event (Mountain Time)","value":"10:56:20"},{"id":151,"name":"Denver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6"/>
        <v>start /low /b %USERPROFILE%\Documents\GitHub\eaglep3\Utilities\DownloadLogsFromS3.py --loco 4035 --day 2017-10-30</v>
      </c>
      <c r="AN173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8"/>
        <v>https://d0f6bd738d7f1b3e5a7ca70fe4ff75f0.us-east-1.aws.found.io/app/kibana#/discover/Steve-Slow-Train-Analysis-(2080s-and-2083s)?_g=(refreshInterval:(display:Off,pause:!f,section:0,value:0),time:(from:'2017-10-30T09:25:14-0600',mode:absolute,to:'2017-10-30T11:56:20-0600'))&amp;_a=(columns:!('Message%20ID',Summary),filters:!(),index:'emp_*',interval:auto,query:(query_string:(analyze_wildcard:!t,query:'%22rtdc.l.rtdc.4035%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771</v>
      </c>
      <c r="B174" s="7">
        <v>4036</v>
      </c>
      <c r="C174" s="21" t="s">
        <v>194</v>
      </c>
      <c r="D174" s="21" t="s">
        <v>1071</v>
      </c>
      <c r="E174" s="13">
        <v>43038.45752314815</v>
      </c>
      <c r="F174" s="13">
        <v>43038.464791666665</v>
      </c>
      <c r="G174" s="7">
        <v>72</v>
      </c>
      <c r="H174" s="21" t="s">
        <v>1072</v>
      </c>
      <c r="I174" s="13">
        <v>43038.475636574076</v>
      </c>
      <c r="J174" s="7">
        <v>0</v>
      </c>
      <c r="K174" s="89" t="str">
        <f t="shared" si="57"/>
        <v>4035/4036</v>
      </c>
      <c r="L174" s="185" t="str">
        <f>VLOOKUP(A174,'Trips&amp;Operators'!$C$1:$G$99911,5,FALSE)</f>
        <v>YANAI IAN</v>
      </c>
      <c r="M174" s="6">
        <f t="shared" si="58"/>
        <v>1.0844907410501037E-2</v>
      </c>
      <c r="N174" s="7">
        <f t="shared" si="80"/>
        <v>15.616666671121493</v>
      </c>
      <c r="O174" s="7"/>
      <c r="P174" s="7"/>
      <c r="Q174" s="22"/>
      <c r="R174" s="174"/>
      <c r="S174" s="221">
        <f t="shared" si="81"/>
        <v>1</v>
      </c>
      <c r="T174" s="174" t="str">
        <f t="shared" si="59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0"/>
        <v>https://d0f6bd738d7f1b3e5a7ca70fe4ff75f0.us-east-1.aws.found.io/app/kibana#/discover/Steve-Slow-Train-Analysis-(2080s-and-2083s)?_g=(refreshInterval:(display:Off,pause:!f,section:0,value:0),time:(from:'2017-10-30T09:58:50-0600',mode:absolute,to:'2017-10-30T12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4" s="204" t="str">
        <f>IF(AA174&lt;VLOOKUP(AG174,Variables!$AC$3:$AD$8,2,FALSE),"Y","N")</f>
        <v>N</v>
      </c>
      <c r="X174" s="204">
        <f t="shared" si="91"/>
        <v>1</v>
      </c>
      <c r="Y174" s="204">
        <f t="shared" si="88"/>
        <v>0.1021</v>
      </c>
      <c r="Z174" s="204">
        <f t="shared" si="89"/>
        <v>5.8920000000000003</v>
      </c>
      <c r="AA174" s="204">
        <f t="shared" si="61"/>
        <v>5.7899000000000003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2"/>
        <v>817</v>
      </c>
      <c r="AE174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74" s="74" t="str">
        <f t="shared" si="64"/>
        <v>"C:\Program Files (x86)\AstroGrep\AstroGrep.exe" /e /r /s /spath="%USERPROFILE%\AppData\Local\Temp\OnboardLogs" /stypes="app*4036*20171030*" /stext=" 17:.+((SYSTEM_STATE.+slice.+state.+changed )|(ment ac)|(multiple cpu faults)|(system.+state.+changed )|(\[timeout)|(PRM\|1\|D)|(kpr)|(kdp)|(train st.+moving)|(\|lc)|(penalty))"</v>
      </c>
      <c r="AG174" s="182" t="str">
        <f t="shared" si="65"/>
        <v>NW</v>
      </c>
      <c r="AH174" s="78" t="str">
        <f t="shared" si="74"/>
        <v>"%USERPROFILE%\Documents\GitHub\eaglep3\Utilities\RefineRTDCRunTimes.py" --tripid 817-30 --locoid 4036 --swversion DE.1.0.9.0 --startMP 204:1021 --initTime 2017-10-30T10:58:50 --startdatetime 2017-10-30T11:09:18 --delay 72 --endMP 300:58920 --enddatetime 2017-10-30T11:24:55 --enforcementcount 0 &gt;&gt;%USERPROFILE%\Documents\GitHub\eaglep3-reporting\EC\2017-10-30-refined-times.txt</v>
      </c>
      <c r="AI174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{"issue":{"subject":"","project_id":79,"tracker_id":40,"status_id":1,"priority_id":2,"assigned_to_id":338,"start_date":"2017-10-30","description":"","custom_fields":[{"id":1,"name":"Subdivision","value":"NW"},{"id":4,"name":"Milepost","value":"5.892"},{"id":17,"name":"Train ID","value":"817-30"},{"id":16,"name":"Locomotive ID","value":"4036"},{"id":130,"name":"Impact","value":""},{"id":150,"name":"Time of Event (Mountain Time)","value":"11:24:55"},{"id":151,"name":"Denver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6"/>
        <v>start /low /b %USERPROFILE%\Documents\GitHub\eaglep3\Utilities\DownloadLogsFromS3.py --loco 4036 --day 2017-10-30</v>
      </c>
      <c r="AN174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8"/>
        <v>https://d0f6bd738d7f1b3e5a7ca70fe4ff75f0.us-east-1.aws.found.io/app/kibana#/discover/Steve-Slow-Train-Analysis-(2080s-and-2083s)?_g=(refreshInterval:(display:Off,pause:!f,section:0,value:0),time:(from:'2017-10-30T09:58:50-0600',mode:absolute,to:'2017-10-30T12:24:55-0600'))&amp;_a=(columns:!('Message%20ID',Summary),filters:!(),index:'emp_*',interval:auto,query:(query_string:(analyze_wildcard:!t,query:'%22rtdc.l.rtdc.4036%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777</v>
      </c>
      <c r="B175" s="7">
        <v>4035</v>
      </c>
      <c r="C175" s="21" t="s">
        <v>194</v>
      </c>
      <c r="D175" s="21" t="s">
        <v>1073</v>
      </c>
      <c r="E175" s="13">
        <v>43038.476527777777</v>
      </c>
      <c r="F175" s="13">
        <v>43038.488240740742</v>
      </c>
      <c r="G175" s="7">
        <v>66</v>
      </c>
      <c r="H175" s="21" t="s">
        <v>618</v>
      </c>
      <c r="I175" s="13">
        <v>43038.496979166666</v>
      </c>
      <c r="J175" s="7">
        <v>0</v>
      </c>
      <c r="K175" s="89" t="str">
        <f t="shared" si="57"/>
        <v>4035/4036</v>
      </c>
      <c r="L175" s="185" t="str">
        <f>VLOOKUP(A175,'Trips&amp;Operators'!$C$1:$G$99911,5,FALSE)</f>
        <v>YANAI IAN</v>
      </c>
      <c r="M175" s="6">
        <f t="shared" si="58"/>
        <v>8.7384259240934625E-3</v>
      </c>
      <c r="N175" s="7">
        <f t="shared" si="80"/>
        <v>12.583333330694586</v>
      </c>
      <c r="O175" s="7"/>
      <c r="P175" s="7"/>
      <c r="Q175" s="22"/>
      <c r="R175" s="174"/>
      <c r="S175" s="221">
        <f t="shared" si="81"/>
        <v>1</v>
      </c>
      <c r="T175" s="174" t="str">
        <f t="shared" si="59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0"/>
        <v>https://d0f6bd738d7f1b3e5a7ca70fe4ff75f0.us-east-1.aws.found.io/app/kibana#/discover/Steve-Slow-Train-Analysis-(2080s-and-2083s)?_g=(refreshInterval:(display:Off,pause:!f,section:0,value:0),time:(from:'2017-10-30T10:26:12-0600',mode:absolute,to:'2017-10-30T12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5" s="204" t="str">
        <f>IF(AA175&lt;VLOOKUP(AG175,Variables!$AC$3:$AD$8,2,FALSE),"Y","N")</f>
        <v>N</v>
      </c>
      <c r="X175" s="204">
        <f t="shared" si="91"/>
        <v>1</v>
      </c>
      <c r="Y175" s="204">
        <f t="shared" si="88"/>
        <v>5.8615000000000004</v>
      </c>
      <c r="Z175" s="204">
        <f t="shared" si="89"/>
        <v>6.9800000000000001E-2</v>
      </c>
      <c r="AA175" s="204">
        <f t="shared" si="61"/>
        <v>5.7917000000000005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2"/>
        <v>818</v>
      </c>
      <c r="AE175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75" s="74" t="str">
        <f t="shared" si="64"/>
        <v>"C:\Program Files (x86)\AstroGrep\AstroGrep.exe" /e /r /s /spath="%USERPROFILE%\AppData\Local\Temp\OnboardLogs" /stypes="app*4035*20171030*" /stext=" 17:.+((SYSTEM_STATE.+slice.+state.+changed )|(ment ac)|(multiple cpu faults)|(system.+state.+changed )|(\[timeout)|(PRM\|1\|D)|(kpr)|(kdp)|(train st.+moving)|(\|lc)|(penalty))"</v>
      </c>
      <c r="AG175" s="182" t="str">
        <f t="shared" si="65"/>
        <v>NW</v>
      </c>
      <c r="AH175" s="78" t="str">
        <f t="shared" si="74"/>
        <v>"%USERPROFILE%\Documents\GitHub\eaglep3\Utilities\RefineRTDCRunTimes.py" --tripid 818-30 --locoid 4035 --swversion DE.1.0.9.0 --startMP 300:58615 --initTime 2017-10-30T11:26:12 --startdatetime 2017-10-30T11:43:04 --delay 66 --endMP 204:698 --enddatetime 2017-10-30T11:55:39 --enforcementcount 0 &gt;&gt;%USERPROFILE%\Documents\GitHub\eaglep3-reporting\EC\2017-10-30-refined-times.txt</v>
      </c>
      <c r="AI175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{"issue":{"subject":"","project_id":79,"tracker_id":40,"status_id":1,"priority_id":2,"assigned_to_id":338,"start_date":"2017-10-30","description":"","custom_fields":[{"id":1,"name":"Subdivision","value":"NW"},{"id":4,"name":"Milepost","value":"0.0698"},{"id":17,"name":"Train ID","value":"818-30"},{"id":16,"name":"Locomotive ID","value":"4035"},{"id":130,"name":"Impact","value":""},{"id":150,"name":"Time of Event (Mountain Time)","value":"11:55:39"},{"id":151,"name":"Denver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6"/>
        <v>start /low /b %USERPROFILE%\Documents\GitHub\eaglep3\Utilities\DownloadLogsFromS3.py --loco 4035 --day 2017-10-30</v>
      </c>
      <c r="AN175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8"/>
        <v>https://d0f6bd738d7f1b3e5a7ca70fe4ff75f0.us-east-1.aws.found.io/app/kibana#/discover/Steve-Slow-Train-Analysis-(2080s-and-2083s)?_g=(refreshInterval:(display:Off,pause:!f,section:0,value:0),time:(from:'2017-10-30T10:26:12-0600',mode:absolute,to:'2017-10-30T12:55:39-0600'))&amp;_a=(columns:!('Message%20ID',Summary),filters:!(),index:'emp_*',interval:auto,query:(query_string:(analyze_wildcard:!t,query:'%22rtdc.l.rtdc.4035%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782</v>
      </c>
      <c r="B176" s="7">
        <v>4036</v>
      </c>
      <c r="C176" s="21" t="s">
        <v>194</v>
      </c>
      <c r="D176" s="21" t="s">
        <v>619</v>
      </c>
      <c r="E176" s="13">
        <v>43038.504340277781</v>
      </c>
      <c r="F176" s="13">
        <v>43038.506516203706</v>
      </c>
      <c r="G176" s="7">
        <v>65</v>
      </c>
      <c r="H176" s="21" t="s">
        <v>1074</v>
      </c>
      <c r="I176" s="13">
        <v>43038.516550925924</v>
      </c>
      <c r="J176" s="7">
        <v>0</v>
      </c>
      <c r="K176" s="89" t="str">
        <f t="shared" si="57"/>
        <v>4035/4036</v>
      </c>
      <c r="L176" s="185" t="str">
        <f>VLOOKUP(A176,'Trips&amp;Operators'!$C$1:$G$99911,5,FALSE)</f>
        <v>YANAI IAN</v>
      </c>
      <c r="M176" s="6">
        <f t="shared" si="58"/>
        <v>1.003472221782431E-2</v>
      </c>
      <c r="N176" s="7">
        <f t="shared" si="80"/>
        <v>14.449999993667006</v>
      </c>
      <c r="O176" s="7"/>
      <c r="P176" s="7"/>
      <c r="Q176" s="22"/>
      <c r="R176" s="174"/>
      <c r="S176" s="221">
        <f t="shared" si="81"/>
        <v>1</v>
      </c>
      <c r="T176" s="174" t="str">
        <f t="shared" si="59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0"/>
        <v>https://d0f6bd738d7f1b3e5a7ca70fe4ff75f0.us-east-1.aws.found.io/app/kibana#/discover/Steve-Slow-Train-Analysis-(2080s-and-2083s)?_g=(refreshInterval:(display:Off,pause:!f,section:0,value:0),time:(from:'2017-10-30T11:06:15-0600',mode:absolute,to:'2017-10-30T13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6" s="204" t="str">
        <f>IF(AA176&lt;VLOOKUP(AG176,Variables!$AC$3:$AD$8,2,FALSE),"Y","N")</f>
        <v>N</v>
      </c>
      <c r="X176" s="204">
        <f t="shared" si="91"/>
        <v>1</v>
      </c>
      <c r="Y176" s="204">
        <f t="shared" si="88"/>
        <v>9.9699999999999997E-2</v>
      </c>
      <c r="Z176" s="204">
        <f t="shared" si="89"/>
        <v>5.8940999999999999</v>
      </c>
      <c r="AA176" s="204">
        <f t="shared" si="61"/>
        <v>5.7943999999999996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2"/>
        <v>819</v>
      </c>
      <c r="AE176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76" s="74" t="str">
        <f t="shared" si="64"/>
        <v>"C:\Program Files (x86)\AstroGrep\AstroGrep.exe" /e /r /s /spath="%USERPROFILE%\AppData\Local\Temp\OnboardLogs" /stypes="app*4036*20171030*" /stext=" 18:.+((SYSTEM_STATE.+slice.+state.+changed )|(ment ac)|(multiple cpu faults)|(system.+state.+changed )|(\[timeout)|(PRM\|1\|D)|(kpr)|(kdp)|(train st.+moving)|(\|lc)|(penalty))"</v>
      </c>
      <c r="AG176" s="182" t="str">
        <f t="shared" si="65"/>
        <v>NW</v>
      </c>
      <c r="AH176" s="78" t="str">
        <f t="shared" si="74"/>
        <v>"%USERPROFILE%\Documents\GitHub\eaglep3\Utilities\RefineRTDCRunTimes.py" --tripid 819-30 --locoid 4036 --swversion DE.1.0.9.0 --startMP 204:997 --initTime 2017-10-30T12:06:15 --startdatetime 2017-10-30T12:09:23 --delay 65 --endMP 300:58941 --enddatetime 2017-10-30T12:23:50 --enforcementcount 0 &gt;&gt;%USERPROFILE%\Documents\GitHub\eaglep3-reporting\EC\2017-10-30-refined-times.txt</v>
      </c>
      <c r="AI176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{"issue":{"subject":"","project_id":79,"tracker_id":40,"status_id":1,"priority_id":2,"assigned_to_id":338,"start_date":"2017-10-30","description":"","custom_fields":[{"id":1,"name":"Subdivision","value":"NW"},{"id":4,"name":"Milepost","value":"5.8941"},{"id":17,"name":"Train ID","value":"819-30"},{"id":16,"name":"Locomotive ID","value":"4036"},{"id":130,"name":"Impact","value":""},{"id":150,"name":"Time of Event (Mountain Time)","value":"12:23:50"},{"id":151,"name":"Denver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6"/>
        <v>start /low /b %USERPROFILE%\Documents\GitHub\eaglep3\Utilities\DownloadLogsFromS3.py --loco 4036 --day 2017-10-30</v>
      </c>
      <c r="AN176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8"/>
        <v>https://d0f6bd738d7f1b3e5a7ca70fe4ff75f0.us-east-1.aws.found.io/app/kibana#/discover/Steve-Slow-Train-Analysis-(2080s-and-2083s)?_g=(refreshInterval:(display:Off,pause:!f,section:0,value:0),time:(from:'2017-10-30T11:06:15-0600',mode:absolute,to:'2017-10-30T13:23:50-0600'))&amp;_a=(columns:!('Message%20ID',Summary),filters:!(),index:'emp_*',interval:auto,query:(query_string:(analyze_wildcard:!t,query:'%22rtdc.l.rtdc.4036%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787</v>
      </c>
      <c r="B177" s="7">
        <v>4035</v>
      </c>
      <c r="C177" s="21" t="s">
        <v>194</v>
      </c>
      <c r="D177" s="21" t="s">
        <v>1075</v>
      </c>
      <c r="E177" s="13">
        <v>43038.518310185187</v>
      </c>
      <c r="F177" s="13">
        <v>43038.529907407406</v>
      </c>
      <c r="G177" s="7">
        <v>58</v>
      </c>
      <c r="H177" s="21" t="s">
        <v>1076</v>
      </c>
      <c r="I177" s="13">
        <v>43038.538206018522</v>
      </c>
      <c r="J177" s="7">
        <v>0</v>
      </c>
      <c r="K177" s="89" t="str">
        <f t="shared" si="57"/>
        <v>4035/4036</v>
      </c>
      <c r="L177" s="185" t="str">
        <f>VLOOKUP(A177,'Trips&amp;Operators'!$C$1:$G$99911,5,FALSE)</f>
        <v>YANAI IAN</v>
      </c>
      <c r="M177" s="6">
        <f t="shared" si="58"/>
        <v>8.298611115606036E-3</v>
      </c>
      <c r="N177" s="7">
        <f t="shared" si="80"/>
        <v>11.950000006472692</v>
      </c>
      <c r="O177" s="7"/>
      <c r="P177" s="7"/>
      <c r="Q177" s="22"/>
      <c r="R177" s="174"/>
      <c r="S177" s="221">
        <f t="shared" si="81"/>
        <v>1</v>
      </c>
      <c r="T177" s="174" t="str">
        <f t="shared" si="59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0"/>
        <v>https://d0f6bd738d7f1b3e5a7ca70fe4ff75f0.us-east-1.aws.found.io/app/kibana#/discover/Steve-Slow-Train-Analysis-(2080s-and-2083s)?_g=(refreshInterval:(display:Off,pause:!f,section:0,value:0),time:(from:'2017-10-30T11:26:22-0600',mode:absolute,to:'2017-10-30T13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7" s="204" t="str">
        <f>IF(AA177&lt;VLOOKUP(AG177,Variables!$AC$3:$AD$8,2,FALSE),"Y","N")</f>
        <v>N</v>
      </c>
      <c r="X177" s="204">
        <f t="shared" si="91"/>
        <v>1</v>
      </c>
      <c r="Y177" s="204">
        <f t="shared" si="88"/>
        <v>5.8624000000000001</v>
      </c>
      <c r="Z177" s="204">
        <f t="shared" si="89"/>
        <v>7.3400000000000007E-2</v>
      </c>
      <c r="AA177" s="204">
        <f t="shared" si="61"/>
        <v>5.7889999999999997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2"/>
        <v>820</v>
      </c>
      <c r="AE177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77" s="74" t="str">
        <f t="shared" si="64"/>
        <v>"C:\Program Files (x86)\AstroGrep\AstroGrep.exe" /e /r /s /spath="%USERPROFILE%\AppData\Local\Temp\OnboardLogs" /stypes="app*4035*20171030*" /stext=" 18:.+((SYSTEM_STATE.+slice.+state.+changed )|(ment ac)|(multiple cpu faults)|(system.+state.+changed )|(\[timeout)|(PRM\|1\|D)|(kpr)|(kdp)|(train st.+moving)|(\|lc)|(penalty))"</v>
      </c>
      <c r="AG177" s="182" t="str">
        <f t="shared" si="65"/>
        <v>NW</v>
      </c>
      <c r="AH177" s="78" t="str">
        <f t="shared" si="74"/>
        <v>"%USERPROFILE%\Documents\GitHub\eaglep3\Utilities\RefineRTDCRunTimes.py" --tripid 820-30 --locoid 4035 --swversion DE.1.0.9.0 --startMP 300:58624 --initTime 2017-10-30T12:26:22 --startdatetime 2017-10-30T12:43:04 --delay 58 --endMP 204:734 --enddatetime 2017-10-30T12:55:01 --enforcementcount 0 &gt;&gt;%USERPROFILE%\Documents\GitHub\eaglep3-reporting\EC\2017-10-30-refined-times.txt</v>
      </c>
      <c r="AI177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{"issue":{"subject":"","project_id":79,"tracker_id":40,"status_id":1,"priority_id":2,"assigned_to_id":338,"start_date":"2017-10-30","description":"","custom_fields":[{"id":1,"name":"Subdivision","value":"NW"},{"id":4,"name":"Milepost","value":"0.0734"},{"id":17,"name":"Train ID","value":"820-30"},{"id":16,"name":"Locomotive ID","value":"4035"},{"id":130,"name":"Impact","value":""},{"id":150,"name":"Time of Event (Mountain Time)","value":"12:55:01"},{"id":151,"name":"Denver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6"/>
        <v>start /low /b %USERPROFILE%\Documents\GitHub\eaglep3\Utilities\DownloadLogsFromS3.py --loco 4035 --day 2017-10-30</v>
      </c>
      <c r="AN177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18:55:01"},{"id":29,"name":"Sharepoint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8"/>
        <v>https://d0f6bd738d7f1b3e5a7ca70fe4ff75f0.us-east-1.aws.found.io/app/kibana#/discover/Steve-Slow-Train-Analysis-(2080s-and-2083s)?_g=(refreshInterval:(display:Off,pause:!f,section:0,value:0),time:(from:'2017-10-30T11:26:22-0600',mode:absolute,to:'2017-10-30T13:55:01-0600'))&amp;_a=(columns:!('Message%20ID',Summary),filters:!(),index:'emp_*',interval:auto,query:(query_string:(analyze_wildcard:!t,query:'%22rtdc.l.rtdc.4035%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658</v>
      </c>
      <c r="B178" s="7">
        <v>4036</v>
      </c>
      <c r="C178" s="21" t="s">
        <v>194</v>
      </c>
      <c r="D178" s="21" t="s">
        <v>1077</v>
      </c>
      <c r="E178" s="13">
        <v>43038.540127314816</v>
      </c>
      <c r="F178" s="13">
        <v>43038.548541666663</v>
      </c>
      <c r="G178" s="7">
        <v>63</v>
      </c>
      <c r="H178" s="21" t="s">
        <v>1078</v>
      </c>
      <c r="I178" s="13">
        <v>43038.558356481481</v>
      </c>
      <c r="J178" s="7">
        <v>0</v>
      </c>
      <c r="K178" s="89" t="str">
        <f t="shared" si="57"/>
        <v>4035/4036</v>
      </c>
      <c r="L178" s="185" t="str">
        <f>VLOOKUP(A178,'Trips&amp;Operators'!$C$1:$G$99911,5,FALSE)</f>
        <v>KILLION DAVID</v>
      </c>
      <c r="M178" s="6">
        <f t="shared" si="58"/>
        <v>9.8148148172185756E-3</v>
      </c>
      <c r="N178" s="7">
        <f t="shared" si="80"/>
        <v>14.133333336794749</v>
      </c>
      <c r="O178" s="7"/>
      <c r="P178" s="7"/>
      <c r="Q178" s="22"/>
      <c r="R178" s="174"/>
      <c r="S178" s="221">
        <f t="shared" si="81"/>
        <v>1</v>
      </c>
      <c r="T178" s="174" t="str">
        <f t="shared" si="59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0"/>
        <v>https://d0f6bd738d7f1b3e5a7ca70fe4ff75f0.us-east-1.aws.found.io/app/kibana#/discover/Steve-Slow-Train-Analysis-(2080s-and-2083s)?_g=(refreshInterval:(display:Off,pause:!f,section:0,value:0),time:(from:'2017-10-30T11:57:47-0600',mode:absolute,to:'2017-10-30T14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8" s="204" t="str">
        <f>IF(AA178&lt;VLOOKUP(AG178,Variables!$AC$3:$AD$8,2,FALSE),"Y","N")</f>
        <v>N</v>
      </c>
      <c r="X178" s="204">
        <f t="shared" si="91"/>
        <v>1</v>
      </c>
      <c r="Y178" s="204">
        <f t="shared" si="88"/>
        <v>9.74E-2</v>
      </c>
      <c r="Z178" s="204">
        <f t="shared" si="89"/>
        <v>5.9017999999999997</v>
      </c>
      <c r="AA178" s="204">
        <f t="shared" si="61"/>
        <v>5.8043999999999993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2"/>
        <v>821</v>
      </c>
      <c r="AE178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78" s="74" t="str">
        <f t="shared" si="64"/>
        <v>"C:\Program Files (x86)\AstroGrep\AstroGrep.exe" /e /r /s /spath="%USERPROFILE%\AppData\Local\Temp\OnboardLogs" /stypes="app*4036*20171030*" /stext=" 19:.+((SYSTEM_STATE.+slice.+state.+changed )|(ment ac)|(multiple cpu faults)|(system.+state.+changed )|(\[timeout)|(PRM\|1\|D)|(kpr)|(kdp)|(train st.+moving)|(\|lc)|(penalty))"</v>
      </c>
      <c r="AG178" s="182" t="str">
        <f t="shared" si="65"/>
        <v>NW</v>
      </c>
      <c r="AH178" s="78" t="str">
        <f t="shared" si="74"/>
        <v>"%USERPROFILE%\Documents\GitHub\eaglep3\Utilities\RefineRTDCRunTimes.py" --tripid 821-30 --locoid 4036 --swversion DE.1.0.9.0 --startMP 204:974 --initTime 2017-10-30T12:57:47 --startdatetime 2017-10-30T13:09:54 --delay 63 --endMP 300:59018 --enddatetime 2017-10-30T13:24:02 --enforcementcount 0 &gt;&gt;%USERPROFILE%\Documents\GitHub\eaglep3-reporting\EC\2017-10-30-refined-times.txt</v>
      </c>
      <c r="AI178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{"issue":{"subject":"","project_id":79,"tracker_id":40,"status_id":1,"priority_id":2,"assigned_to_id":338,"start_date":"2017-10-30","description":"","custom_fields":[{"id":1,"name":"Subdivision","value":"NW"},{"id":4,"name":"Milepost","value":"5.9018"},{"id":17,"name":"Train ID","value":"821-30"},{"id":16,"name":"Locomotive ID","value":"4036"},{"id":130,"name":"Impact","value":""},{"id":150,"name":"Time of Event (Mountain Time)","value":"13:24:02"},{"id":151,"name":"Denver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6"/>
        <v>start /low /b %USERPROFILE%\Documents\GitHub\eaglep3\Utilities\DownloadLogsFromS3.py --loco 4036 --day 2017-10-30</v>
      </c>
      <c r="AN178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8"/>
        <v>https://d0f6bd738d7f1b3e5a7ca70fe4ff75f0.us-east-1.aws.found.io/app/kibana#/discover/Steve-Slow-Train-Analysis-(2080s-and-2083s)?_g=(refreshInterval:(display:Off,pause:!f,section:0,value:0),time:(from:'2017-10-30T11:57:47-0600',mode:absolute,to:'2017-10-30T14:24:02-0600'))&amp;_a=(columns:!('Message%20ID',Summary),filters:!(),index:'emp_*',interval:auto,query:(query_string:(analyze_wildcard:!t,query:'%22rtdc.l.rtdc.4036%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799</v>
      </c>
      <c r="B179" s="7">
        <v>4035</v>
      </c>
      <c r="C179" s="21" t="s">
        <v>194</v>
      </c>
      <c r="D179" s="21" t="s">
        <v>1079</v>
      </c>
      <c r="E179" s="13">
        <v>43038.559652777774</v>
      </c>
      <c r="F179" s="13">
        <v>43038.571284722224</v>
      </c>
      <c r="G179" s="7">
        <v>67</v>
      </c>
      <c r="H179" s="21" t="s">
        <v>1080</v>
      </c>
      <c r="I179" s="13">
        <v>43038.579687500001</v>
      </c>
      <c r="J179" s="7">
        <v>0</v>
      </c>
      <c r="K179" s="89" t="str">
        <f t="shared" si="57"/>
        <v>4035/4036</v>
      </c>
      <c r="L179" s="185" t="str">
        <f>VLOOKUP(A179,'Trips&amp;Operators'!$C$1:$G$99911,5,FALSE)</f>
        <v>KILLION DAVID</v>
      </c>
      <c r="M179" s="6">
        <f t="shared" si="58"/>
        <v>8.4027777775190771E-3</v>
      </c>
      <c r="N179" s="7">
        <f t="shared" si="80"/>
        <v>12.099999999627471</v>
      </c>
      <c r="O179" s="7"/>
      <c r="P179" s="7"/>
      <c r="Q179" s="22"/>
      <c r="R179" s="174"/>
      <c r="S179" s="221">
        <f t="shared" si="81"/>
        <v>1</v>
      </c>
      <c r="T179" s="174" t="str">
        <f t="shared" si="59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0"/>
        <v>https://d0f6bd738d7f1b3e5a7ca70fe4ff75f0.us-east-1.aws.found.io/app/kibana#/discover/Steve-Slow-Train-Analysis-(2080s-and-2083s)?_g=(refreshInterval:(display:Off,pause:!f,section:0,value:0),time:(from:'2017-10-30T12:25:54-0600',mode:absolute,to:'2017-10-30T14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9" s="204" t="str">
        <f>IF(AA179&lt;VLOOKUP(AG179,Variables!$AC$3:$AD$8,2,FALSE),"Y","N")</f>
        <v>N</v>
      </c>
      <c r="X179" s="204">
        <f t="shared" si="91"/>
        <v>1</v>
      </c>
      <c r="Y179" s="204">
        <f t="shared" si="88"/>
        <v>5.8701999999999996</v>
      </c>
      <c r="Z179" s="204">
        <f t="shared" si="89"/>
        <v>7.1199999999999999E-2</v>
      </c>
      <c r="AA179" s="204">
        <f t="shared" si="61"/>
        <v>5.7989999999999995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2"/>
        <v>822</v>
      </c>
      <c r="AE179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79" s="74" t="str">
        <f t="shared" si="64"/>
        <v>"C:\Program Files (x86)\AstroGrep\AstroGrep.exe" /e /r /s /spath="%USERPROFILE%\AppData\Local\Temp\OnboardLogs" /stypes="app*4035*20171030*" /stext=" 19:.+((SYSTEM_STATE.+slice.+state.+changed )|(ment ac)|(multiple cpu faults)|(system.+state.+changed )|(\[timeout)|(PRM\|1\|D)|(kpr)|(kdp)|(train st.+moving)|(\|lc)|(penalty))"</v>
      </c>
      <c r="AG179" s="182" t="str">
        <f t="shared" si="65"/>
        <v>NW</v>
      </c>
      <c r="AH179" s="78" t="str">
        <f t="shared" si="74"/>
        <v>"%USERPROFILE%\Documents\GitHub\eaglep3\Utilities\RefineRTDCRunTimes.py" --tripid 822-30 --locoid 4035 --swversion DE.1.0.9.0 --startMP 300:58702 --initTime 2017-10-30T13:25:54 --startdatetime 2017-10-30T13:42:39 --delay 67 --endMP 204:712 --enddatetime 2017-10-30T13:54:45 --enforcementcount 0 &gt;&gt;%USERPROFILE%\Documents\GitHub\eaglep3-reporting\EC\2017-10-30-refined-times.txt</v>
      </c>
      <c r="AI179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{"issue":{"subject":"","project_id":79,"tracker_id":40,"status_id":1,"priority_id":2,"assigned_to_id":338,"start_date":"2017-10-30","description":"","custom_fields":[{"id":1,"name":"Subdivision","value":"NW"},{"id":4,"name":"Milepost","value":"0.0712"},{"id":17,"name":"Train ID","value":"822-30"},{"id":16,"name":"Locomotive ID","value":"4035"},{"id":130,"name":"Impact","value":""},{"id":150,"name":"Time of Event (Mountain Time)","value":"13:54:45"},{"id":151,"name":"Denver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6"/>
        <v>start /low /b %USERPROFILE%\Documents\GitHub\eaglep3\Utilities\DownloadLogsFromS3.py --loco 4035 --day 2017-10-30</v>
      </c>
      <c r="AN179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19:54:45"},{"id":29,"name":"Sharepoint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8"/>
        <v>https://d0f6bd738d7f1b3e5a7ca70fe4ff75f0.us-east-1.aws.found.io/app/kibana#/discover/Steve-Slow-Train-Analysis-(2080s-and-2083s)?_g=(refreshInterval:(display:Off,pause:!f,section:0,value:0),time:(from:'2017-10-30T12:25:54-0600',mode:absolute,to:'2017-10-30T14:54:45-0600'))&amp;_a=(columns:!('Message%20ID',Summary),filters:!(),index:'emp_*',interval:auto,query:(query_string:(analyze_wildcard:!t,query:'%22rtdc.l.rtdc.4035%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659</v>
      </c>
      <c r="B180" s="7">
        <v>4036</v>
      </c>
      <c r="C180" s="21" t="s">
        <v>194</v>
      </c>
      <c r="D180" s="21" t="s">
        <v>1079</v>
      </c>
      <c r="E180" s="13">
        <v>43038.559652777774</v>
      </c>
      <c r="F180" s="13">
        <v>43038.589791666665</v>
      </c>
      <c r="G180" s="7">
        <v>67</v>
      </c>
      <c r="H180" s="21" t="s">
        <v>1080</v>
      </c>
      <c r="I180" s="13">
        <v>43038.600497685184</v>
      </c>
      <c r="J180" s="7">
        <v>0</v>
      </c>
      <c r="K180" s="89" t="str">
        <f t="shared" si="57"/>
        <v>4035/4036</v>
      </c>
      <c r="L180" s="185" t="str">
        <f>VLOOKUP(A180,'Trips&amp;Operators'!$C$1:$G$99911,5,FALSE)</f>
        <v>KILLION DAVID</v>
      </c>
      <c r="M180" s="6">
        <f t="shared" si="58"/>
        <v>1.0706018518249039E-2</v>
      </c>
      <c r="N180" s="7">
        <f t="shared" si="80"/>
        <v>15.416666666278616</v>
      </c>
      <c r="O180" s="7"/>
      <c r="P180" s="7"/>
      <c r="Q180" s="22"/>
      <c r="R180" s="174"/>
      <c r="S180" s="221">
        <f t="shared" si="81"/>
        <v>1</v>
      </c>
      <c r="T180" s="174" t="str">
        <f t="shared" si="59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0"/>
        <v>https://d0f6bd738d7f1b3e5a7ca70fe4ff75f0.us-east-1.aws.found.io/app/kibana#/discover/Steve-Slow-Train-Analysis-(2080s-and-2083s)?_g=(refreshInterval:(display:Off,pause:!f,section:0,value:0),time:(from:'2017-10-30T12:25:54-0600',mode:absolute,to:'2017-10-30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0" s="204" t="str">
        <f>IF(AA180&lt;VLOOKUP(AG180,Variables!$AC$3:$AD$8,2,FALSE),"Y","N")</f>
        <v>N</v>
      </c>
      <c r="X180" s="204">
        <f t="shared" si="91"/>
        <v>1</v>
      </c>
      <c r="Y180" s="204">
        <v>9.74E-2</v>
      </c>
      <c r="Z180" s="204">
        <v>5.9017999999999997</v>
      </c>
      <c r="AA180" s="204">
        <f t="shared" si="61"/>
        <v>5.8043999999999993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2"/>
        <v>823</v>
      </c>
      <c r="AE180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80" s="74" t="str">
        <f t="shared" si="64"/>
        <v>"C:\Program Files (x86)\AstroGrep\AstroGrep.exe" /e /r /s /spath="%USERPROFILE%\AppData\Local\Temp\OnboardLogs" /stypes="app*4036*20171030*" /stext=" 20:.+((SYSTEM_STATE.+slice.+state.+changed )|(ment ac)|(multiple cpu faults)|(system.+state.+changed )|(\[timeout)|(PRM\|1\|D)|(kpr)|(kdp)|(train st.+moving)|(\|lc)|(penalty))"</v>
      </c>
      <c r="AG180" s="182" t="str">
        <f t="shared" si="65"/>
        <v>NW</v>
      </c>
      <c r="AH180" s="78" t="str">
        <f t="shared" ref="AH180" si="92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823-30 --locoid 4036 --swversion DE.1.0.9.0 --startMP 300:58702 --initTime 2017-10-30T13:25:54 --startdatetime 2017-10-30T14:09:18 --delay 67 --endMP 204:712 --enddatetime 2017-10-30T14:24:43 --enforcementcount 0 &gt;&gt;%USERPROFILE%\Documents\GitHub\eaglep3-reporting\EC\2017-10-30-refined-times.txt</v>
      </c>
      <c r="AI180" s="96" t="str">
        <f t="shared" ref="AI180" si="93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{"issue":{"subject":"","project_id":79,"tracker_id":40,"status_id":1,"priority_id":2,"assigned_to_id":338,"start_date":"2017-10-30","description":"","custom_fields":[{"id":1,"name":"Subdivision","value":"NW"},{"id":4,"name":"Milepost","value":"5.9018"},{"id":17,"name":"Train ID","value":"823-30"},{"id":16,"name":"Locomotive ID","value":"4036"},{"id":130,"name":"Impact","value":""},{"id":150,"name":"Time of Event (Mountain Time)","value":"14:24:43"},{"id":151,"name":"Denver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ref="AM180" si="94">"start /low /b "&amp;dls3logs&amp;" --loco "&amp;B180&amp;" --day "&amp;TEXT(F180,"YYYY-MM-DD")</f>
        <v>start /low /b %USERPROFILE%\Documents\GitHub\eaglep3\Utilities\DownloadLogsFromS3.py --loco 4036 --day 2017-10-30</v>
      </c>
      <c r="AN180" s="151" t="str">
        <f t="shared" ref="AN180" si="95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ref="AO180" si="96"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-30T12:25:54-0600',mode:absolute,to:'2017-10-30T15:24:43-0600'))&amp;_a=(columns:!('Message%20ID',Summary),filters:!(),index:'emp_*',interval:auto,query:(query_string:(analyze_wildcard:!t,query:'%22rtdc.l.rtdc.4036%22')),sort:!(Time.ISO8601,asc))</v>
      </c>
    </row>
    <row r="181" spans="1:91" s="20" customFormat="1" x14ac:dyDescent="0.3">
      <c r="A181" s="32" t="s">
        <v>808</v>
      </c>
      <c r="B181" s="7">
        <v>4035</v>
      </c>
      <c r="C181" s="21" t="s">
        <v>194</v>
      </c>
      <c r="D181" s="21" t="s">
        <v>538</v>
      </c>
      <c r="E181" s="13">
        <v>43038.601863425924</v>
      </c>
      <c r="F181" s="13">
        <v>43038.613553240742</v>
      </c>
      <c r="G181" s="7">
        <v>51</v>
      </c>
      <c r="H181" s="21" t="s">
        <v>611</v>
      </c>
      <c r="I181" s="13">
        <v>43038.621886574074</v>
      </c>
      <c r="J181" s="7">
        <v>0</v>
      </c>
      <c r="K181" s="89" t="str">
        <f t="shared" si="57"/>
        <v>4035/4036</v>
      </c>
      <c r="L181" s="185" t="str">
        <f>VLOOKUP(A181,'Trips&amp;Operators'!$C$1:$G$99911,5,FALSE)</f>
        <v>KILLION DAVID</v>
      </c>
      <c r="M181" s="6">
        <f t="shared" si="58"/>
        <v>8.333333331393078E-3</v>
      </c>
      <c r="N181" s="7">
        <f t="shared" si="80"/>
        <v>11.999999997206032</v>
      </c>
      <c r="O181" s="7"/>
      <c r="P181" s="7"/>
      <c r="Q181" s="22"/>
      <c r="R181" s="174"/>
      <c r="S181" s="221">
        <f t="shared" si="81"/>
        <v>1</v>
      </c>
      <c r="T181" s="174" t="str">
        <f t="shared" si="59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0"/>
        <v>https://d0f6bd738d7f1b3e5a7ca70fe4ff75f0.us-east-1.aws.found.io/app/kibana#/discover/Steve-Slow-Train-Analysis-(2080s-and-2083s)?_g=(refreshInterval:(display:Off,pause:!f,section:0,value:0),time:(from:'2017-10-30T13:26:41-0600',mode:absolute,to:'2017-10-30T15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1" s="204" t="str">
        <f>IF(AA181&lt;VLOOKUP(AG181,Variables!$AC$3:$AD$8,2,FALSE),"Y","N")</f>
        <v>N</v>
      </c>
      <c r="X181" s="204">
        <f t="shared" ref="X181:X182" si="97">VALUE(LEFT(AD181,4))-VALUE(LEFT(AD180,4))</f>
        <v>1</v>
      </c>
      <c r="Y181" s="204">
        <f t="shared" ref="Y181:Y196" si="98">RIGHT(D181,LEN(D181)-4)/10000</f>
        <v>5.8685</v>
      </c>
      <c r="Z181" s="204">
        <f t="shared" ref="Z181:Z196" si="99">RIGHT(H181,LEN(H181)-4)/10000</f>
        <v>7.0099999999999996E-2</v>
      </c>
      <c r="AA181" s="204">
        <f t="shared" si="61"/>
        <v>5.7984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2"/>
        <v>824</v>
      </c>
      <c r="AE181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81" s="74" t="str">
        <f t="shared" si="64"/>
        <v>"C:\Program Files (x86)\AstroGrep\AstroGrep.exe" /e /r /s /spath="%USERPROFILE%\AppData\Local\Temp\OnboardLogs" /stypes="app*4035*20171030*" /stext=" 20:.+((SYSTEM_STATE.+slice.+state.+changed )|(ment ac)|(multiple cpu faults)|(system.+state.+changed )|(\[timeout)|(PRM\|1\|D)|(kpr)|(kdp)|(train st.+moving)|(\|lc)|(penalty))"</v>
      </c>
      <c r="AG181" s="182" t="str">
        <f t="shared" si="65"/>
        <v>NW</v>
      </c>
      <c r="AH181" s="78" t="str">
        <f t="shared" si="74"/>
        <v>"%USERPROFILE%\Documents\GitHub\eaglep3\Utilities\RefineRTDCRunTimes.py" --tripid 824-30 --locoid 4035 --swversion DE.1.0.9.0 --startMP 300:58685 --initTime 2017-10-30T14:26:41 --startdatetime 2017-10-30T14:43:31 --delay 51 --endMP 204:701 --enddatetime 2017-10-30T14:55:31 --enforcementcount 0 &gt;&gt;%USERPROFILE%\Documents\GitHub\eaglep3-reporting\EC\2017-10-30-refined-times.txt</v>
      </c>
      <c r="AI181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{"issue":{"subject":"","project_id":79,"tracker_id":40,"status_id":1,"priority_id":2,"assigned_to_id":338,"start_date":"2017-10-30","description":"","custom_fields":[{"id":1,"name":"Subdivision","value":"NW"},{"id":4,"name":"Milepost","value":"0.0701"},{"id":17,"name":"Train ID","value":"824-30"},{"id":16,"name":"Locomotive ID","value":"4035"},{"id":130,"name":"Impact","value":""},{"id":150,"name":"Time of Event (Mountain Time)","value":"14:55:31"},{"id":151,"name":"Denver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6"/>
        <v>start /low /b %USERPROFILE%\Documents\GitHub\eaglep3\Utilities\DownloadLogsFromS3.py --loco 4035 --day 2017-10-30</v>
      </c>
      <c r="AN181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8"/>
        <v>https://d0f6bd738d7f1b3e5a7ca70fe4ff75f0.us-east-1.aws.found.io/app/kibana#/discover/Steve-Slow-Train-Analysis-(2080s-and-2083s)?_g=(refreshInterval:(display:Off,pause:!f,section:0,value:0),time:(from:'2017-10-30T13:26:41-0600',mode:absolute,to:'2017-10-30T15:55:31-0600'))&amp;_a=(columns:!('Message%20ID',Summary),filters:!(),index:'emp_*',interval:auto,query:(query_string:(analyze_wildcard:!t,query:'%22rtdc.l.rtdc.4035%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812</v>
      </c>
      <c r="B182" s="7">
        <v>4036</v>
      </c>
      <c r="C182" s="21" t="s">
        <v>194</v>
      </c>
      <c r="D182" s="21" t="s">
        <v>488</v>
      </c>
      <c r="E182" s="13">
        <v>43038.623888888891</v>
      </c>
      <c r="F182" s="13">
        <v>43038.631458333337</v>
      </c>
      <c r="G182" s="7">
        <v>71</v>
      </c>
      <c r="H182" s="21" t="s">
        <v>1081</v>
      </c>
      <c r="I182" s="13">
        <v>43038.641493055555</v>
      </c>
      <c r="J182" s="7">
        <v>0</v>
      </c>
      <c r="K182" s="89" t="str">
        <f t="shared" si="57"/>
        <v>4035/4036</v>
      </c>
      <c r="L182" s="185" t="str">
        <f>VLOOKUP(A182,'Trips&amp;Operators'!$C$1:$G$99911,5,FALSE)</f>
        <v>KILLION DAVID</v>
      </c>
      <c r="M182" s="6">
        <f t="shared" si="58"/>
        <v>1.003472221782431E-2</v>
      </c>
      <c r="N182" s="7">
        <f t="shared" si="80"/>
        <v>14.449999993667006</v>
      </c>
      <c r="O182" s="7"/>
      <c r="P182" s="7"/>
      <c r="Q182" s="22"/>
      <c r="R182" s="174"/>
      <c r="S182" s="221">
        <f t="shared" si="81"/>
        <v>1</v>
      </c>
      <c r="T182" s="174" t="str">
        <f t="shared" si="59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0"/>
        <v>https://d0f6bd738d7f1b3e5a7ca70fe4ff75f0.us-east-1.aws.found.io/app/kibana#/discover/Steve-Slow-Train-Analysis-(2080s-and-2083s)?_g=(refreshInterval:(display:Off,pause:!f,section:0,value:0),time:(from:'2017-10-30T13:58:24-0600',mode:absolute,to:'2017-10-30T16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2" s="204" t="str">
        <f>IF(AA182&lt;VLOOKUP(AG182,Variables!$AC$3:$AD$8,2,FALSE),"Y","N")</f>
        <v>N</v>
      </c>
      <c r="X182" s="204">
        <f t="shared" si="97"/>
        <v>1</v>
      </c>
      <c r="Y182" s="204">
        <f t="shared" si="98"/>
        <v>9.8299999999999998E-2</v>
      </c>
      <c r="Z182" s="204">
        <f t="shared" si="99"/>
        <v>5.8975</v>
      </c>
      <c r="AA182" s="204">
        <f t="shared" si="61"/>
        <v>5.7991999999999999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2"/>
        <v>825</v>
      </c>
      <c r="AE182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82" s="74" t="str">
        <f t="shared" si="64"/>
        <v>"C:\Program Files (x86)\AstroGrep\AstroGrep.exe" /e /r /s /spath="%USERPROFILE%\AppData\Local\Temp\OnboardLogs" /stypes="app*4036*20171030*" /stext=" 21:.+((SYSTEM_STATE.+slice.+state.+changed )|(ment ac)|(multiple cpu faults)|(system.+state.+changed )|(\[timeout)|(PRM\|1\|D)|(kpr)|(kdp)|(train st.+moving)|(\|lc)|(penalty))"</v>
      </c>
      <c r="AG182" s="182" t="str">
        <f t="shared" si="65"/>
        <v>NW</v>
      </c>
      <c r="AH182" s="78" t="str">
        <f t="shared" si="74"/>
        <v>"%USERPROFILE%\Documents\GitHub\eaglep3\Utilities\RefineRTDCRunTimes.py" --tripid 825-30 --locoid 4036 --swversion DE.1.0.9.0 --startMP 204:983 --initTime 2017-10-30T14:58:24 --startdatetime 2017-10-30T15:09:18 --delay 71 --endMP 300:58975 --enddatetime 2017-10-30T15:23:45 --enforcementcount 0 &gt;&gt;%USERPROFILE%\Documents\GitHub\eaglep3-reporting\EC\2017-10-30-refined-times.txt</v>
      </c>
      <c r="AI182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{"issue":{"subject":"","project_id":79,"tracker_id":40,"status_id":1,"priority_id":2,"assigned_to_id":338,"start_date":"2017-10-30","description":"","custom_fields":[{"id":1,"name":"Subdivision","value":"NW"},{"id":4,"name":"Milepost","value":"5.8975"},{"id":17,"name":"Train ID","value":"825-30"},{"id":16,"name":"Locomotive ID","value":"4036"},{"id":130,"name":"Impact","value":""},{"id":150,"name":"Time of Event (Mountain Time)","value":"15:23:45"},{"id":151,"name":"Denver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6"/>
        <v>start /low /b %USERPROFILE%\Documents\GitHub\eaglep3\Utilities\DownloadLogsFromS3.py --loco 4036 --day 2017-10-30</v>
      </c>
      <c r="AN182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8"/>
        <v>https://d0f6bd738d7f1b3e5a7ca70fe4ff75f0.us-east-1.aws.found.io/app/kibana#/discover/Steve-Slow-Train-Analysis-(2080s-and-2083s)?_g=(refreshInterval:(display:Off,pause:!f,section:0,value:0),time:(from:'2017-10-30T13:58:24-0600',mode:absolute,to:'2017-10-30T16:23:45-0600'))&amp;_a=(columns:!('Message%20ID',Summary),filters:!(),index:'emp_*',interval:auto,query:(query_string:(analyze_wildcard:!t,query:'%22rtdc.l.rtdc.4036%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819</v>
      </c>
      <c r="B183" s="7">
        <v>4035</v>
      </c>
      <c r="C183" s="21" t="s">
        <v>194</v>
      </c>
      <c r="D183" s="21" t="s">
        <v>476</v>
      </c>
      <c r="E183" s="13">
        <v>43038.642812500002</v>
      </c>
      <c r="F183" s="13">
        <v>43038.654918981483</v>
      </c>
      <c r="G183" s="7">
        <v>58</v>
      </c>
      <c r="H183" s="21" t="s">
        <v>1082</v>
      </c>
      <c r="I183" s="13">
        <v>43038.663263888891</v>
      </c>
      <c r="J183" s="7">
        <v>0</v>
      </c>
      <c r="K183" s="89" t="str">
        <f t="shared" si="57"/>
        <v>4035/4036</v>
      </c>
      <c r="L183" s="185" t="str">
        <f>VLOOKUP(A183,'Trips&amp;Operators'!$C$1:$G$99911,5,FALSE)</f>
        <v>KILLION DAVID</v>
      </c>
      <c r="M183" s="6">
        <f t="shared" si="58"/>
        <v>8.3449074081727304E-3</v>
      </c>
      <c r="N183" s="7">
        <f t="shared" si="80"/>
        <v>12.016666667768732</v>
      </c>
      <c r="O183" s="7"/>
      <c r="P183" s="7"/>
      <c r="Q183" s="22"/>
      <c r="R183" s="174"/>
      <c r="S183" s="221">
        <f t="shared" si="81"/>
        <v>1</v>
      </c>
      <c r="T183" s="174" t="str">
        <f t="shared" si="59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0"/>
        <v>https://d0f6bd738d7f1b3e5a7ca70fe4ff75f0.us-east-1.aws.found.io/app/kibana#/discover/Steve-Slow-Train-Analysis-(2080s-and-2083s)?_g=(refreshInterval:(display:Off,pause:!f,section:0,value:0),time:(from:'2017-10-30T14:25:39-0600',mode:absolute,to:'2017-10-30T16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3" s="204" t="str">
        <f>IF(AA183&lt;VLOOKUP(AG183,Variables!$AC$3:$AD$8,2,FALSE),"Y","N")</f>
        <v>N</v>
      </c>
      <c r="X183" s="204">
        <f t="shared" ref="X183:X197" si="100">VALUE(LEFT(AD183,4))-VALUE(LEFT(AD182,4))</f>
        <v>1</v>
      </c>
      <c r="Y183" s="204">
        <f t="shared" si="98"/>
        <v>5.8651</v>
      </c>
      <c r="Z183" s="204">
        <f t="shared" si="99"/>
        <v>6.8900000000000003E-2</v>
      </c>
      <c r="AA183" s="204">
        <f t="shared" si="61"/>
        <v>5.7961999999999998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2"/>
        <v>826</v>
      </c>
      <c r="AE183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83" s="74" t="str">
        <f t="shared" si="64"/>
        <v>"C:\Program Files (x86)\AstroGrep\AstroGrep.exe" /e /r /s /spath="%USERPROFILE%\AppData\Local\Temp\OnboardLogs" /stypes="app*4035*20171030*" /stext=" 21:.+((SYSTEM_STATE.+slice.+state.+changed )|(ment ac)|(multiple cpu faults)|(system.+state.+changed )|(\[timeout)|(PRM\|1\|D)|(kpr)|(kdp)|(train st.+moving)|(\|lc)|(penalty))"</v>
      </c>
      <c r="AG183" s="182" t="str">
        <f t="shared" si="65"/>
        <v>NW</v>
      </c>
      <c r="AH183" s="78" t="str">
        <f t="shared" si="74"/>
        <v>"%USERPROFILE%\Documents\GitHub\eaglep3\Utilities\RefineRTDCRunTimes.py" --tripid 826-30 --locoid 4035 --swversion DE.1.0.9.0 --startMP 300:58651 --initTime 2017-10-30T15:25:39 --startdatetime 2017-10-30T15:43:05 --delay 58 --endMP 204:689 --enddatetime 2017-10-30T15:55:06 --enforcementcount 0 &gt;&gt;%USERPROFILE%\Documents\GitHub\eaglep3-reporting\EC\2017-10-30-refined-times.txt</v>
      </c>
      <c r="AI183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{"issue":{"subject":"","project_id":79,"tracker_id":40,"status_id":1,"priority_id":2,"assigned_to_id":338,"start_date":"2017-10-30","description":"","custom_fields":[{"id":1,"name":"Subdivision","value":"NW"},{"id":4,"name":"Milepost","value":"0.0689"},{"id":17,"name":"Train ID","value":"826-30"},{"id":16,"name":"Locomotive ID","value":"4035"},{"id":130,"name":"Impact","value":""},{"id":150,"name":"Time of Event (Mountain Time)","value":"15:55:06"},{"id":151,"name":"Denver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6"/>
        <v>start /low /b %USERPROFILE%\Documents\GitHub\eaglep3\Utilities\DownloadLogsFromS3.py --loco 4035 --day 2017-10-30</v>
      </c>
      <c r="AN183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8"/>
        <v>https://d0f6bd738d7f1b3e5a7ca70fe4ff75f0.us-east-1.aws.found.io/app/kibana#/discover/Steve-Slow-Train-Analysis-(2080s-and-2083s)?_g=(refreshInterval:(display:Off,pause:!f,section:0,value:0),time:(from:'2017-10-30T14:25:39-0600',mode:absolute,to:'2017-10-30T16:55:06-0600'))&amp;_a=(columns:!('Message%20ID',Summary),filters:!(),index:'emp_*',interval:auto,query:(query_string:(analyze_wildcard:!t,query:'%22rtdc.l.rtdc.4035%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821</v>
      </c>
      <c r="B184" s="7">
        <v>4064</v>
      </c>
      <c r="C184" s="21" t="s">
        <v>194</v>
      </c>
      <c r="D184" s="21" t="s">
        <v>1083</v>
      </c>
      <c r="E184" s="13">
        <v>43038.652175925927</v>
      </c>
      <c r="F184" s="13">
        <v>43038.653703703705</v>
      </c>
      <c r="G184" s="7">
        <v>71</v>
      </c>
      <c r="H184" s="21" t="s">
        <v>1084</v>
      </c>
      <c r="I184" s="13">
        <v>43038.663402777776</v>
      </c>
      <c r="J184" s="7">
        <v>0</v>
      </c>
      <c r="K184" s="89" t="str">
        <f t="shared" si="57"/>
        <v>4063/4064</v>
      </c>
      <c r="L184" s="185" t="str">
        <f>VLOOKUP(A184,'Trips&amp;Operators'!$C$1:$G$99911,5,FALSE)</f>
        <v>MAGEE KENYA</v>
      </c>
      <c r="M184" s="6">
        <f t="shared" si="58"/>
        <v>9.6990740712499246E-3</v>
      </c>
      <c r="N184" s="7">
        <f t="shared" si="80"/>
        <v>13.966666662599891</v>
      </c>
      <c r="O184" s="7"/>
      <c r="P184" s="7"/>
      <c r="Q184" s="22"/>
      <c r="R184" s="174"/>
      <c r="S184" s="221">
        <f t="shared" si="81"/>
        <v>1</v>
      </c>
      <c r="T184" s="174" t="str">
        <f t="shared" si="59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0"/>
        <v>https://d0f6bd738d7f1b3e5a7ca70fe4ff75f0.us-east-1.aws.found.io/app/kibana#/discover/Steve-Slow-Train-Analysis-(2080s-and-2083s)?_g=(refreshInterval:(display:Off,pause:!f,section:0,value:0),time:(from:'2017-10-30T14:39:08-0600',mode:absolute,to:'2017-10-30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04" t="str">
        <f>IF(AA184&lt;VLOOKUP(AG184,Variables!$AC$3:$AD$8,2,FALSE),"Y","N")</f>
        <v>N</v>
      </c>
      <c r="X184" s="204">
        <f t="shared" si="100"/>
        <v>1</v>
      </c>
      <c r="Y184" s="204">
        <f t="shared" si="98"/>
        <v>9.8799999999999999E-2</v>
      </c>
      <c r="Z184" s="204">
        <f t="shared" si="99"/>
        <v>5.8973000000000004</v>
      </c>
      <c r="AA184" s="204">
        <f t="shared" si="61"/>
        <v>5.7985000000000007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2"/>
        <v>827</v>
      </c>
      <c r="AE184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84" s="74" t="str">
        <f t="shared" si="64"/>
        <v>"C:\Program Files (x86)\AstroGrep\AstroGrep.exe" /e /r /s /spath="%USERPROFILE%\AppData\Local\Temp\OnboardLogs" /stypes="app*4064*20171030*" /stext=" 21:.+((SYSTEM_STATE.+slice.+state.+changed )|(ment ac)|(multiple cpu faults)|(system.+state.+changed )|(\[timeout)|(PRM\|1\|D)|(kpr)|(kdp)|(train st.+moving)|(\|lc)|(penalty))"</v>
      </c>
      <c r="AG184" s="182" t="str">
        <f t="shared" si="65"/>
        <v>NW</v>
      </c>
      <c r="AH184" s="78" t="str">
        <f t="shared" si="74"/>
        <v>"%USERPROFILE%\Documents\GitHub\eaglep3\Utilities\RefineRTDCRunTimes.py" --tripid 827-30 --locoid 4064 --swversion DE.1.0.9.0 --startMP 204:988 --initTime 2017-10-30T15:39:08 --startdatetime 2017-10-30T15:41:20 --delay 71 --endMP 300:58973 --enddatetime 2017-10-30T15:55:18 --enforcementcount 0 &gt;&gt;%USERPROFILE%\Documents\GitHub\eaglep3-reporting\EC\2017-10-30-refined-times.txt</v>
      </c>
      <c r="AI184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{"issue":{"subject":"","project_id":79,"tracker_id":40,"status_id":1,"priority_id":2,"assigned_to_id":338,"start_date":"2017-10-30","description":"","custom_fields":[{"id":1,"name":"Subdivision","value":"NW"},{"id":4,"name":"Milepost","value":"5.8973"},{"id":17,"name":"Train ID","value":"827-30"},{"id":16,"name":"Locomotive ID","value":"4064"},{"id":130,"name":"Impact","value":""},{"id":150,"name":"Time of Event (Mountain Time)","value":"15:55:18"},{"id":151,"name":"Denver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6"/>
        <v>start /low /b %USERPROFILE%\Documents\GitHub\eaglep3\Utilities\DownloadLogsFromS3.py --loco 4064 --day 2017-10-30</v>
      </c>
      <c r="AN184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8"/>
        <v>https://d0f6bd738d7f1b3e5a7ca70fe4ff75f0.us-east-1.aws.found.io/app/kibana#/discover/Steve-Slow-Train-Analysis-(2080s-and-2083s)?_g=(refreshInterval:(display:Off,pause:!f,section:0,value:0),time:(from:'2017-10-30T14:39:08-0600',mode:absolute,to:'2017-10-30T16:55:18-0600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825</v>
      </c>
      <c r="B185" s="7">
        <v>4063</v>
      </c>
      <c r="C185" s="21" t="s">
        <v>194</v>
      </c>
      <c r="D185" s="21" t="s">
        <v>607</v>
      </c>
      <c r="E185" s="13">
        <v>43038.664479166669</v>
      </c>
      <c r="F185" s="13">
        <v>43038.675752314812</v>
      </c>
      <c r="G185" s="7">
        <v>79</v>
      </c>
      <c r="H185" s="21" t="s">
        <v>1085</v>
      </c>
      <c r="I185" s="13">
        <v>43038.683854166666</v>
      </c>
      <c r="J185" s="7">
        <v>0</v>
      </c>
      <c r="K185" s="89" t="str">
        <f t="shared" si="57"/>
        <v>4063/4064</v>
      </c>
      <c r="L185" s="185" t="str">
        <f>VLOOKUP(A185,'Trips&amp;Operators'!$C$1:$G$99911,5,FALSE)</f>
        <v>MAGEE KENYA</v>
      </c>
      <c r="M185" s="6">
        <f t="shared" si="58"/>
        <v>8.1018518540076911E-3</v>
      </c>
      <c r="N185" s="7">
        <f t="shared" ref="N185:N216" si="101">24*60*SUM($M185:$M185)</f>
        <v>11.666666669771075</v>
      </c>
      <c r="O185" s="7"/>
      <c r="P185" s="7"/>
      <c r="Q185" s="22"/>
      <c r="R185" s="174"/>
      <c r="S185" s="221">
        <f t="shared" ref="S185:S216" si="102">1/IF(AG185="EC",12,1)*SUM(U185:U185)</f>
        <v>1</v>
      </c>
      <c r="T185" s="174" t="str">
        <f t="shared" si="59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0"/>
        <v>https://d0f6bd738d7f1b3e5a7ca70fe4ff75f0.us-east-1.aws.found.io/app/kibana#/discover/Steve-Slow-Train-Analysis-(2080s-and-2083s)?_g=(refreshInterval:(display:Off,pause:!f,section:0,value:0),time:(from:'2017-10-30T14:56:51-0600',mode:absolute,to:'2017-10-30T17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04" t="str">
        <f>IF(AA185&lt;VLOOKUP(AG185,Variables!$AC$3:$AD$8,2,FALSE),"Y","N")</f>
        <v>N</v>
      </c>
      <c r="X185" s="204">
        <f t="shared" si="100"/>
        <v>1</v>
      </c>
      <c r="Y185" s="204">
        <f t="shared" si="98"/>
        <v>5.8655999999999997</v>
      </c>
      <c r="Z185" s="204">
        <f t="shared" si="99"/>
        <v>7.0599999999999996E-2</v>
      </c>
      <c r="AA185" s="204">
        <f t="shared" si="61"/>
        <v>5.7949999999999999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2"/>
        <v>828</v>
      </c>
      <c r="AE185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85" s="74" t="str">
        <f t="shared" si="64"/>
        <v>"C:\Program Files (x86)\AstroGrep\AstroGrep.exe" /e /r /s /spath="%USERPROFILE%\AppData\Local\Temp\OnboardLogs" /stypes="app*4063*20171030*" /stext=" 22:.+((SYSTEM_STATE.+slice.+state.+changed )|(ment ac)|(multiple cpu faults)|(system.+state.+changed )|(\[timeout)|(PRM\|1\|D)|(kpr)|(kdp)|(train st.+moving)|(\|lc)|(penalty))"</v>
      </c>
      <c r="AG185" s="182" t="str">
        <f t="shared" si="65"/>
        <v>NW</v>
      </c>
      <c r="AH185" s="78" t="str">
        <f t="shared" si="74"/>
        <v>"%USERPROFILE%\Documents\GitHub\eaglep3\Utilities\RefineRTDCRunTimes.py" --tripid 828-30 --locoid 4063 --swversion DE.1.0.9.0 --startMP 300:58656 --initTime 2017-10-30T15:56:51 --startdatetime 2017-10-30T16:13:05 --delay 79 --endMP 204:706 --enddatetime 2017-10-30T16:24:45 --enforcementcount 0 &gt;&gt;%USERPROFILE%\Documents\GitHub\eaglep3-reporting\EC\2017-10-30-refined-times.txt</v>
      </c>
      <c r="AI185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{"issue":{"subject":"","project_id":79,"tracker_id":40,"status_id":1,"priority_id":2,"assigned_to_id":338,"start_date":"2017-10-30","description":"","custom_fields":[{"id":1,"name":"Subdivision","value":"NW"},{"id":4,"name":"Milepost","value":"0.0706"},{"id":17,"name":"Train ID","value":"828-30"},{"id":16,"name":"Locomotive ID","value":"4063"},{"id":130,"name":"Impact","value":""},{"id":150,"name":"Time of Event (Mountain Time)","value":"16:24:45"},{"id":151,"name":"Denver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6"/>
        <v>start /low /b %USERPROFILE%\Documents\GitHub\eaglep3\Utilities\DownloadLogsFromS3.py --loco 4063 --day 2017-10-30</v>
      </c>
      <c r="AN185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8"/>
        <v>https://d0f6bd738d7f1b3e5a7ca70fe4ff75f0.us-east-1.aws.found.io/app/kibana#/discover/Steve-Slow-Train-Analysis-(2080s-and-2083s)?_g=(refreshInterval:(display:Off,pause:!f,section:0,value:0),time:(from:'2017-10-30T14:56:51-0600',mode:absolute,to:'2017-10-30T17:24:45-0600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826</v>
      </c>
      <c r="B186" s="7">
        <v>4036</v>
      </c>
      <c r="C186" s="21" t="s">
        <v>194</v>
      </c>
      <c r="D186" s="21" t="s">
        <v>488</v>
      </c>
      <c r="E186" s="13">
        <v>43038.664953703701</v>
      </c>
      <c r="F186" s="13">
        <v>43038.673229166663</v>
      </c>
      <c r="G186" s="7">
        <v>53</v>
      </c>
      <c r="H186" s="21" t="s">
        <v>537</v>
      </c>
      <c r="I186" s="13">
        <v>43038.683749999997</v>
      </c>
      <c r="J186" s="7">
        <v>0</v>
      </c>
      <c r="K186" s="89" t="str">
        <f t="shared" si="57"/>
        <v>4035/4036</v>
      </c>
      <c r="L186" s="185" t="str">
        <f>VLOOKUP(A186,'Trips&amp;Operators'!$C$1:$G$99911,5,FALSE)</f>
        <v>KILLION DAVID</v>
      </c>
      <c r="M186" s="6">
        <f t="shared" si="58"/>
        <v>1.0520833333430346E-2</v>
      </c>
      <c r="N186" s="7">
        <f t="shared" si="101"/>
        <v>15.150000000139698</v>
      </c>
      <c r="O186" s="7"/>
      <c r="P186" s="7"/>
      <c r="Q186" s="22"/>
      <c r="R186" s="174"/>
      <c r="S186" s="221">
        <f t="shared" si="102"/>
        <v>1</v>
      </c>
      <c r="T186" s="174" t="str">
        <f t="shared" si="59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0"/>
        <v>https://d0f6bd738d7f1b3e5a7ca70fe4ff75f0.us-east-1.aws.found.io/app/kibana#/discover/Steve-Slow-Train-Analysis-(2080s-and-2083s)?_g=(refreshInterval:(display:Off,pause:!f,section:0,value:0),time:(from:'2017-10-30T14:57:32-0600',mode:absolute,to:'2017-10-30T17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6" s="204" t="str">
        <f>IF(AA186&lt;VLOOKUP(AG186,Variables!$AC$3:$AD$8,2,FALSE),"Y","N")</f>
        <v>N</v>
      </c>
      <c r="X186" s="204">
        <f t="shared" si="100"/>
        <v>1</v>
      </c>
      <c r="Y186" s="204">
        <f t="shared" si="98"/>
        <v>9.8299999999999998E-2</v>
      </c>
      <c r="Z186" s="204">
        <f t="shared" si="99"/>
        <v>5.899</v>
      </c>
      <c r="AA186" s="204">
        <f t="shared" si="61"/>
        <v>5.8007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2"/>
        <v>829</v>
      </c>
      <c r="AE186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86" s="74" t="str">
        <f t="shared" si="64"/>
        <v>"C:\Program Files (x86)\AstroGrep\AstroGrep.exe" /e /r /s /spath="%USERPROFILE%\AppData\Local\Temp\OnboardLogs" /stypes="app*4036*20171030*" /stext=" 22:.+((SYSTEM_STATE.+slice.+state.+changed )|(ment ac)|(multiple cpu faults)|(system.+state.+changed )|(\[timeout)|(PRM\|1\|D)|(kpr)|(kdp)|(train st.+moving)|(\|lc)|(penalty))"</v>
      </c>
      <c r="AG186" s="182" t="str">
        <f t="shared" si="65"/>
        <v>NW</v>
      </c>
      <c r="AH186" s="78" t="str">
        <f t="shared" si="74"/>
        <v>"%USERPROFILE%\Documents\GitHub\eaglep3\Utilities\RefineRTDCRunTimes.py" --tripid 829-30 --locoid 4036 --swversion DE.1.0.9.0 --startMP 204:983 --initTime 2017-10-30T15:57:32 --startdatetime 2017-10-30T16:09:27 --delay 53 --endMP 300:58990 --enddatetime 2017-10-30T16:24:36 --enforcementcount 0 &gt;&gt;%USERPROFILE%\Documents\GitHub\eaglep3-reporting\EC\2017-10-30-refined-times.txt</v>
      </c>
      <c r="AI186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{"issue":{"subject":"","project_id":79,"tracker_id":40,"status_id":1,"priority_id":2,"assigned_to_id":338,"start_date":"2017-10-30","description":"","custom_fields":[{"id":1,"name":"Subdivision","value":"NW"},{"id":4,"name":"Milepost","value":"5.899"},{"id":17,"name":"Train ID","value":"829-30"},{"id":16,"name":"Locomotive ID","value":"4036"},{"id":130,"name":"Impact","value":""},{"id":150,"name":"Time of Event (Mountain Time)","value":"16:24:36"},{"id":151,"name":"Denver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6"/>
        <v>start /low /b %USERPROFILE%\Documents\GitHub\eaglep3\Utilities\DownloadLogsFromS3.py --loco 4036 --day 2017-10-30</v>
      </c>
      <c r="AN186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8"/>
        <v>https://d0f6bd738d7f1b3e5a7ca70fe4ff75f0.us-east-1.aws.found.io/app/kibana#/discover/Steve-Slow-Train-Analysis-(2080s-and-2083s)?_g=(refreshInterval:(display:Off,pause:!f,section:0,value:0),time:(from:'2017-10-30T14:57:32-0600',mode:absolute,to:'2017-10-30T17:24:36-0600'))&amp;_a=(columns:!('Message%20ID',Summary),filters:!(),index:'emp_*',interval:auto,query:(query_string:(analyze_wildcard:!t,query:'%22rtdc.l.rtdc.4036%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832</v>
      </c>
      <c r="B187" s="7">
        <v>4035</v>
      </c>
      <c r="C187" s="21" t="s">
        <v>194</v>
      </c>
      <c r="D187" s="21" t="s">
        <v>628</v>
      </c>
      <c r="E187" s="13">
        <v>43038.685162037036</v>
      </c>
      <c r="F187" s="13">
        <v>43038.696400462963</v>
      </c>
      <c r="G187" s="7">
        <v>64</v>
      </c>
      <c r="H187" s="21" t="s">
        <v>1086</v>
      </c>
      <c r="I187" s="13">
        <v>43038.704907407409</v>
      </c>
      <c r="J187" s="7">
        <v>0</v>
      </c>
      <c r="K187" s="89" t="str">
        <f t="shared" si="57"/>
        <v>4035/4036</v>
      </c>
      <c r="L187" s="185" t="str">
        <f>VLOOKUP(A187,'Trips&amp;Operators'!$C$1:$G$99911,5,FALSE)</f>
        <v>KILLION DAVID</v>
      </c>
      <c r="M187" s="6">
        <f t="shared" si="58"/>
        <v>8.5069444467080757E-3</v>
      </c>
      <c r="N187" s="7">
        <f t="shared" si="101"/>
        <v>12.250000003259629</v>
      </c>
      <c r="O187" s="7"/>
      <c r="P187" s="7"/>
      <c r="Q187" s="22"/>
      <c r="R187" s="174"/>
      <c r="S187" s="221">
        <f t="shared" si="102"/>
        <v>1</v>
      </c>
      <c r="T187" s="174" t="str">
        <f t="shared" si="59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0"/>
        <v>https://d0f6bd738d7f1b3e5a7ca70fe4ff75f0.us-east-1.aws.found.io/app/kibana#/discover/Steve-Slow-Train-Analysis-(2080s-and-2083s)?_g=(refreshInterval:(display:Off,pause:!f,section:0,value:0),time:(from:'2017-10-30T15:26:38-0600',mode:absolute,to:'2017-10-30T17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7" s="204" t="str">
        <f>IF(AA187&lt;VLOOKUP(AG187,Variables!$AC$3:$AD$8,2,FALSE),"Y","N")</f>
        <v>N</v>
      </c>
      <c r="X187" s="204">
        <f t="shared" si="100"/>
        <v>1</v>
      </c>
      <c r="Y187" s="204">
        <f t="shared" si="98"/>
        <v>5.8677000000000001</v>
      </c>
      <c r="Z187" s="204">
        <f t="shared" si="99"/>
        <v>7.0999999999999994E-2</v>
      </c>
      <c r="AA187" s="204">
        <f t="shared" si="61"/>
        <v>5.7967000000000004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2"/>
        <v>830</v>
      </c>
      <c r="AE187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87" s="74" t="str">
        <f t="shared" si="64"/>
        <v>"C:\Program Files (x86)\AstroGrep\AstroGrep.exe" /e /r /s /spath="%USERPROFILE%\AppData\Local\Temp\OnboardLogs" /stypes="app*4035*20171030*" /stext=" 22:.+((SYSTEM_STATE.+slice.+state.+changed )|(ment ac)|(multiple cpu faults)|(system.+state.+changed )|(\[timeout)|(PRM\|1\|D)|(kpr)|(kdp)|(train st.+moving)|(\|lc)|(penalty))"</v>
      </c>
      <c r="AG187" s="182" t="str">
        <f t="shared" si="65"/>
        <v>NW</v>
      </c>
      <c r="AH187" s="78" t="str">
        <f t="shared" si="74"/>
        <v>"%USERPROFILE%\Documents\GitHub\eaglep3\Utilities\RefineRTDCRunTimes.py" --tripid 830-30 --locoid 4035 --swversion DE.1.0.9.0 --startMP 300:58677 --initTime 2017-10-30T16:26:38 --startdatetime 2017-10-30T16:42:49 --delay 64 --endMP 204:710 --enddatetime 2017-10-30T16:55:04 --enforcementcount 0 &gt;&gt;%USERPROFILE%\Documents\GitHub\eaglep3-reporting\EC\2017-10-30-refined-times.txt</v>
      </c>
      <c r="AI187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{"issue":{"subject":"","project_id":79,"tracker_id":40,"status_id":1,"priority_id":2,"assigned_to_id":338,"start_date":"2017-10-30","description":"","custom_fields":[{"id":1,"name":"Subdivision","value":"NW"},{"id":4,"name":"Milepost","value":"0.071"},{"id":17,"name":"Train ID","value":"830-30"},{"id":16,"name":"Locomotive ID","value":"4035"},{"id":130,"name":"Impact","value":""},{"id":150,"name":"Time of Event (Mountain Time)","value":"16:55:04"},{"id":151,"name":"Denver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6"/>
        <v>start /low /b %USERPROFILE%\Documents\GitHub\eaglep3\Utilities\DownloadLogsFromS3.py --loco 4035 --day 2017-10-30</v>
      </c>
      <c r="AN187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8"/>
        <v>https://d0f6bd738d7f1b3e5a7ca70fe4ff75f0.us-east-1.aws.found.io/app/kibana#/discover/Steve-Slow-Train-Analysis-(2080s-and-2083s)?_g=(refreshInterval:(display:Off,pause:!f,section:0,value:0),time:(from:'2017-10-30T15:26:38-0600',mode:absolute,to:'2017-10-30T17:55:04-0600'))&amp;_a=(columns:!('Message%20ID',Summary),filters:!(),index:'emp_*',interval:auto,query:(query_string:(analyze_wildcard:!t,query:'%22rtdc.l.rtdc.4035%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663</v>
      </c>
      <c r="B188" s="7">
        <v>4064</v>
      </c>
      <c r="C188" s="21" t="s">
        <v>194</v>
      </c>
      <c r="D188" s="21" t="s">
        <v>1087</v>
      </c>
      <c r="E188" s="13">
        <v>43038.685104166667</v>
      </c>
      <c r="F188" s="13">
        <v>43038.693958333337</v>
      </c>
      <c r="G188" s="7">
        <v>600</v>
      </c>
      <c r="H188" s="21" t="s">
        <v>1088</v>
      </c>
      <c r="I188" s="13">
        <v>43038.704629629632</v>
      </c>
      <c r="J188" s="7">
        <v>0</v>
      </c>
      <c r="K188" s="89" t="str">
        <f t="shared" si="57"/>
        <v>4063/4064</v>
      </c>
      <c r="L188" s="185" t="str">
        <f>VLOOKUP(A188,'Trips&amp;Operators'!$C$1:$G$99911,5,FALSE)</f>
        <v>MAGEE KENYA</v>
      </c>
      <c r="M188" s="6">
        <f t="shared" si="58"/>
        <v>1.0671296295186039E-2</v>
      </c>
      <c r="N188" s="7">
        <f t="shared" si="101"/>
        <v>15.366666665067896</v>
      </c>
      <c r="O188" s="7"/>
      <c r="P188" s="7"/>
      <c r="Q188" s="22"/>
      <c r="R188" s="174"/>
      <c r="S188" s="221">
        <f t="shared" si="102"/>
        <v>1</v>
      </c>
      <c r="T188" s="174" t="str">
        <f t="shared" si="59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0"/>
        <v>https://d0f6bd738d7f1b3e5a7ca70fe4ff75f0.us-east-1.aws.found.io/app/kibana#/discover/Steve-Slow-Train-Analysis-(2080s-and-2083s)?_g=(refreshInterval:(display:Off,pause:!f,section:0,value:0),time:(from:'2017-10-30T15:26:33-0600',mode:absolute,to:'2017-10-30T17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8" s="204" t="str">
        <f>IF(AA188&lt;VLOOKUP(AG188,Variables!$AC$3:$AD$8,2,FALSE),"Y","N")</f>
        <v>N</v>
      </c>
      <c r="X188" s="204">
        <f t="shared" si="100"/>
        <v>1</v>
      </c>
      <c r="Y188" s="204">
        <f t="shared" si="98"/>
        <v>0.10299999999999999</v>
      </c>
      <c r="Z188" s="204">
        <f t="shared" si="99"/>
        <v>5.8954000000000004</v>
      </c>
      <c r="AA188" s="204">
        <f t="shared" si="61"/>
        <v>5.7924000000000007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2"/>
        <v>831</v>
      </c>
      <c r="AE188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88" s="74" t="str">
        <f t="shared" si="64"/>
        <v>"C:\Program Files (x86)\AstroGrep\AstroGrep.exe" /e /r /s /spath="%USERPROFILE%\AppData\Local\Temp\OnboardLogs" /stypes="app*4064*20171030*" /stext=" 22:.+((SYSTEM_STATE.+slice.+state.+changed )|(ment ac)|(multiple cpu faults)|(system.+state.+changed )|(\[timeout)|(PRM\|1\|D)|(kpr)|(kdp)|(train st.+moving)|(\|lc)|(penalty))"</v>
      </c>
      <c r="AG188" s="182" t="str">
        <f t="shared" si="65"/>
        <v>NW</v>
      </c>
      <c r="AH188" s="78" t="str">
        <f t="shared" si="74"/>
        <v>"%USERPROFILE%\Documents\GitHub\eaglep3\Utilities\RefineRTDCRunTimes.py" --tripid 831-30 --locoid 4064 --swversion DE.1.0.9.0 --startMP 204:1030 --initTime 2017-10-30T16:26:33 --startdatetime 2017-10-30T16:39:18 --delay 600 --endMP 300:58954 --enddatetime 2017-10-30T16:54:40 --enforcementcount 0 &gt;&gt;%USERPROFILE%\Documents\GitHub\eaglep3-reporting\EC\2017-10-30-refined-times.txt</v>
      </c>
      <c r="AI188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{"issue":{"subject":"","project_id":79,"tracker_id":40,"status_id":1,"priority_id":2,"assigned_to_id":338,"start_date":"2017-10-30","description":"","custom_fields":[{"id":1,"name":"Subdivision","value":"NW"},{"id":4,"name":"Milepost","value":"5.8954"},{"id":17,"name":"Train ID","value":"831-30"},{"id":16,"name":"Locomotive ID","value":"4064"},{"id":130,"name":"Impact","value":""},{"id":150,"name":"Time of Event (Mountain Time)","value":"16:54:40"},{"id":151,"name":"Denver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6"/>
        <v>start /low /b %USERPROFILE%\Documents\GitHub\eaglep3\Utilities\DownloadLogsFromS3.py --loco 4064 --day 2017-10-30</v>
      </c>
      <c r="AN188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8"/>
        <v>https://d0f6bd738d7f1b3e5a7ca70fe4ff75f0.us-east-1.aws.found.io/app/kibana#/discover/Steve-Slow-Train-Analysis-(2080s-and-2083s)?_g=(refreshInterval:(display:Off,pause:!f,section:0,value:0),time:(from:'2017-10-30T15:26:33-0600',mode:absolute,to:'2017-10-30T17:54:40-0600'))&amp;_a=(columns:!('Message%20ID',Summary),filters:!(),index:'emp_*',interval:auto,query:(query_string:(analyze_wildcard:!t,query:'%22rtdc.l.rtdc.4064%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838</v>
      </c>
      <c r="B189" s="7">
        <v>4063</v>
      </c>
      <c r="C189" s="21" t="s">
        <v>194</v>
      </c>
      <c r="D189" s="21" t="s">
        <v>1089</v>
      </c>
      <c r="E189" s="13">
        <v>43038.708877314813</v>
      </c>
      <c r="F189" s="13">
        <v>43038.716134259259</v>
      </c>
      <c r="G189" s="7">
        <v>558</v>
      </c>
      <c r="H189" s="21" t="s">
        <v>1090</v>
      </c>
      <c r="I189" s="13">
        <v>43038.725694444445</v>
      </c>
      <c r="J189" s="7">
        <v>0</v>
      </c>
      <c r="K189" s="89" t="str">
        <f t="shared" si="57"/>
        <v>4063/4064</v>
      </c>
      <c r="L189" s="185" t="str">
        <f>VLOOKUP(A189,'Trips&amp;Operators'!$C$1:$G$99911,5,FALSE)</f>
        <v>MAGEE KENYA</v>
      </c>
      <c r="M189" s="6">
        <f t="shared" si="58"/>
        <v>9.560185186273884E-3</v>
      </c>
      <c r="N189" s="7">
        <f t="shared" si="101"/>
        <v>13.766666668234393</v>
      </c>
      <c r="O189" s="7"/>
      <c r="P189" s="7"/>
      <c r="Q189" s="22"/>
      <c r="R189" s="174"/>
      <c r="S189" s="221">
        <f t="shared" si="102"/>
        <v>1</v>
      </c>
      <c r="T189" s="174" t="str">
        <f t="shared" si="59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0"/>
        <v>https://d0f6bd738d7f1b3e5a7ca70fe4ff75f0.us-east-1.aws.found.io/app/kibana#/discover/Steve-Slow-Train-Analysis-(2080s-and-2083s)?_g=(refreshInterval:(display:Off,pause:!f,section:0,value:0),time:(from:'2017-10-30T16:00:47-0600',mode:absolute,to:'2017-10-30T18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9" s="204" t="str">
        <f>IF(AA189&lt;VLOOKUP(AG189,Variables!$AC$3:$AD$8,2,FALSE),"Y","N")</f>
        <v>N</v>
      </c>
      <c r="X189" s="204">
        <f t="shared" si="100"/>
        <v>1</v>
      </c>
      <c r="Y189" s="204">
        <f t="shared" si="98"/>
        <v>5.8640999999999996</v>
      </c>
      <c r="Z189" s="204">
        <f t="shared" si="99"/>
        <v>7.5899999999999995E-2</v>
      </c>
      <c r="AA189" s="204">
        <f t="shared" si="61"/>
        <v>5.7881999999999998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2"/>
        <v>832</v>
      </c>
      <c r="AE189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89" s="74" t="str">
        <f t="shared" si="64"/>
        <v>"C:\Program Files (x86)\AstroGrep\AstroGrep.exe" /e /r /s /spath="%USERPROFILE%\AppData\Local\Temp\OnboardLogs" /stypes="app*4063*20171030*" /stext=" 23:.+((SYSTEM_STATE.+slice.+state.+changed )|(ment ac)|(multiple cpu faults)|(system.+state.+changed )|(\[timeout)|(PRM\|1\|D)|(kpr)|(kdp)|(train st.+moving)|(\|lc)|(penalty))"</v>
      </c>
      <c r="AG189" s="182" t="str">
        <f t="shared" si="65"/>
        <v>NW</v>
      </c>
      <c r="AH189" s="78" t="str">
        <f t="shared" si="74"/>
        <v>"%USERPROFILE%\Documents\GitHub\eaglep3\Utilities\RefineRTDCRunTimes.py" --tripid 832-30 --locoid 4063 --swversion DE.1.0.9.0 --startMP 300:58641 --initTime 2017-10-30T17:00:47 --startdatetime 2017-10-30T17:11:14 --delay 558 --endMP 204:759 --enddatetime 2017-10-30T17:25:00 --enforcementcount 0 &gt;&gt;%USERPROFILE%\Documents\GitHub\eaglep3-reporting\EC\2017-10-30-refined-times.txt</v>
      </c>
      <c r="AI189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{"issue":{"subject":"","project_id":79,"tracker_id":40,"status_id":1,"priority_id":2,"assigned_to_id":338,"start_date":"2017-10-30","description":"","custom_fields":[{"id":1,"name":"Subdivision","value":"NW"},{"id":4,"name":"Milepost","value":"0.0759"},{"id":17,"name":"Train ID","value":"832-30"},{"id":16,"name":"Locomotive ID","value":"4063"},{"id":130,"name":"Impact","value":""},{"id":150,"name":"Time of Event (Mountain Time)","value":"17:25:00"},{"id":151,"name":"Denver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6"/>
        <v>start /low /b %USERPROFILE%\Documents\GitHub\eaglep3\Utilities\DownloadLogsFromS3.py --loco 4063 --day 2017-10-30</v>
      </c>
      <c r="AN189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8"/>
        <v>https://d0f6bd738d7f1b3e5a7ca70fe4ff75f0.us-east-1.aws.found.io/app/kibana#/discover/Steve-Slow-Train-Analysis-(2080s-and-2083s)?_g=(refreshInterval:(display:Off,pause:!f,section:0,value:0),time:(from:'2017-10-30T16:00:47-0600',mode:absolute,to:'2017-10-30T18:25:00-0600'))&amp;_a=(columns:!('Message%20ID',Summary),filters:!(),index:'emp_*',interval:auto,query:(query_string:(analyze_wildcard:!t,query:'%22rtdc.l.rtdc.4063%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836</v>
      </c>
      <c r="B190" s="7">
        <v>4036</v>
      </c>
      <c r="C190" s="21" t="s">
        <v>194</v>
      </c>
      <c r="D190" s="21" t="s">
        <v>608</v>
      </c>
      <c r="E190" s="13">
        <v>43038.706782407404</v>
      </c>
      <c r="F190" s="13">
        <v>43038.715358796297</v>
      </c>
      <c r="G190" s="7">
        <v>55</v>
      </c>
      <c r="H190" s="21" t="s">
        <v>1091</v>
      </c>
      <c r="I190" s="13">
        <v>43038.726504629631</v>
      </c>
      <c r="J190" s="7">
        <v>0</v>
      </c>
      <c r="K190" s="89" t="str">
        <f t="shared" si="57"/>
        <v>4035/4036</v>
      </c>
      <c r="L190" s="185" t="str">
        <f>VLOOKUP(A190,'Trips&amp;Operators'!$C$1:$G$99911,5,FALSE)</f>
        <v>KILLION DAVID</v>
      </c>
      <c r="M190" s="6">
        <f t="shared" si="58"/>
        <v>1.1145833334012423E-2</v>
      </c>
      <c r="N190" s="7">
        <f t="shared" si="101"/>
        <v>16.050000000977889</v>
      </c>
      <c r="O190" s="7"/>
      <c r="P190" s="7"/>
      <c r="Q190" s="22"/>
      <c r="R190" s="174"/>
      <c r="S190" s="221">
        <f t="shared" si="102"/>
        <v>1</v>
      </c>
      <c r="T190" s="174" t="str">
        <f t="shared" si="59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0"/>
        <v>https://d0f6bd738d7f1b3e5a7ca70fe4ff75f0.us-east-1.aws.found.io/app/kibana#/discover/Steve-Slow-Train-Analysis-(2080s-and-2083s)?_g=(refreshInterval:(display:Off,pause:!f,section:0,value:0),time:(from:'2017-10-30T15:57:46-0600',mode:absolute,to:'2017-10-30T18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0" s="204" t="str">
        <f>IF(AA190&lt;VLOOKUP(AG190,Variables!$AC$3:$AD$8,2,FALSE),"Y","N")</f>
        <v>N</v>
      </c>
      <c r="X190" s="204">
        <f t="shared" si="100"/>
        <v>1</v>
      </c>
      <c r="Y190" s="204">
        <f t="shared" si="98"/>
        <v>9.7799999999999998E-2</v>
      </c>
      <c r="Z190" s="204">
        <f t="shared" si="99"/>
        <v>5.8964999999999996</v>
      </c>
      <c r="AA190" s="204">
        <f t="shared" si="61"/>
        <v>5.7986999999999993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2"/>
        <v>833</v>
      </c>
      <c r="AE190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90" s="74" t="str">
        <f t="shared" si="64"/>
        <v>"C:\Program Files (x86)\AstroGrep\AstroGrep.exe" /e /r /s /spath="%USERPROFILE%\AppData\Local\Temp\OnboardLogs" /stypes="app*4036*20171030*" /stext=" 23:.+((SYSTEM_STATE.+slice.+state.+changed )|(ment ac)|(multiple cpu faults)|(system.+state.+changed )|(\[timeout)|(PRM\|1\|D)|(kpr)|(kdp)|(train st.+moving)|(\|lc)|(penalty))"</v>
      </c>
      <c r="AG190" s="182" t="str">
        <f t="shared" si="65"/>
        <v>NW</v>
      </c>
      <c r="AH190" s="78" t="str">
        <f t="shared" si="74"/>
        <v>"%USERPROFILE%\Documents\GitHub\eaglep3\Utilities\RefineRTDCRunTimes.py" --tripid 833-30 --locoid 4036 --swversion DE.1.0.9.0 --startMP 204:978 --initTime 2017-10-30T16:57:46 --startdatetime 2017-10-30T17:10:07 --delay 55 --endMP 300:58965 --enddatetime 2017-10-30T17:26:10 --enforcementcount 0 &gt;&gt;%USERPROFILE%\Documents\GitHub\eaglep3-reporting\EC\2017-10-30-refined-times.txt</v>
      </c>
      <c r="AI190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{"issue":{"subject":"","project_id":79,"tracker_id":40,"status_id":1,"priority_id":2,"assigned_to_id":338,"start_date":"2017-10-30","description":"","custom_fields":[{"id":1,"name":"Subdivision","value":"NW"},{"id":4,"name":"Milepost","value":"5.8965"},{"id":17,"name":"Train ID","value":"833-30"},{"id":16,"name":"Locomotive ID","value":"4036"},{"id":130,"name":"Impact","value":""},{"id":150,"name":"Time of Event (Mountain Time)","value":"17:26:10"},{"id":151,"name":"Denver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6"/>
        <v>start /low /b %USERPROFILE%\Documents\GitHub\eaglep3\Utilities\DownloadLogsFromS3.py --loco 4036 --day 2017-10-30</v>
      </c>
      <c r="AN190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8"/>
        <v>https://d0f6bd738d7f1b3e5a7ca70fe4ff75f0.us-east-1.aws.found.io/app/kibana#/discover/Steve-Slow-Train-Analysis-(2080s-and-2083s)?_g=(refreshInterval:(display:Off,pause:!f,section:0,value:0),time:(from:'2017-10-30T15:57:46-0600',mode:absolute,to:'2017-10-30T18:26:10-0600'))&amp;_a=(columns:!('Message%20ID',Summary),filters:!(),index:'emp_*',interval:auto,query:(query_string:(analyze_wildcard:!t,query:'%22rtdc.l.rtdc.4036%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843</v>
      </c>
      <c r="B191" s="7">
        <v>4035</v>
      </c>
      <c r="C191" s="21" t="s">
        <v>194</v>
      </c>
      <c r="D191" s="21" t="s">
        <v>621</v>
      </c>
      <c r="E191" s="13">
        <v>43038.727662037039</v>
      </c>
      <c r="F191" s="13">
        <v>43038.738020833334</v>
      </c>
      <c r="G191" s="7">
        <v>57</v>
      </c>
      <c r="H191" s="21" t="s">
        <v>1092</v>
      </c>
      <c r="I191" s="13">
        <v>43038.746516203704</v>
      </c>
      <c r="J191" s="7">
        <v>0</v>
      </c>
      <c r="K191" s="89" t="str">
        <f t="shared" si="57"/>
        <v>4035/4036</v>
      </c>
      <c r="L191" s="185" t="str">
        <f>VLOOKUP(A191,'Trips&amp;Operators'!$C$1:$G$99911,5,FALSE)</f>
        <v>KILLION DAVID</v>
      </c>
      <c r="M191" s="6">
        <f t="shared" si="58"/>
        <v>8.4953703699284233E-3</v>
      </c>
      <c r="N191" s="7">
        <f t="shared" si="101"/>
        <v>12.23333333269693</v>
      </c>
      <c r="O191" s="7"/>
      <c r="P191" s="7"/>
      <c r="Q191" s="22"/>
      <c r="R191" s="174"/>
      <c r="S191" s="221">
        <f t="shared" si="102"/>
        <v>1</v>
      </c>
      <c r="T191" s="174" t="str">
        <f t="shared" si="59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0"/>
        <v>https://d0f6bd738d7f1b3e5a7ca70fe4ff75f0.us-east-1.aws.found.io/app/kibana#/discover/Steve-Slow-Train-Analysis-(2080s-and-2083s)?_g=(refreshInterval:(display:Off,pause:!f,section:0,value:0),time:(from:'2017-10-30T16:27:50-0600',mode:absolute,to:'2017-10-30T18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1" s="204" t="str">
        <f>IF(AA191&lt;VLOOKUP(AG191,Variables!$AC$3:$AD$8,2,FALSE),"Y","N")</f>
        <v>N</v>
      </c>
      <c r="X191" s="204">
        <f t="shared" si="100"/>
        <v>1</v>
      </c>
      <c r="Y191" s="204">
        <f t="shared" si="98"/>
        <v>5.8647</v>
      </c>
      <c r="Z191" s="204">
        <f t="shared" si="99"/>
        <v>6.7299999999999999E-2</v>
      </c>
      <c r="AA191" s="204">
        <f t="shared" si="61"/>
        <v>5.7973999999999997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2"/>
        <v>834</v>
      </c>
      <c r="AE191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91" s="74" t="str">
        <f t="shared" si="64"/>
        <v>"C:\Program Files (x86)\AstroGrep\AstroGrep.exe" /e /r /s /spath="%USERPROFILE%\AppData\Local\Temp\OnboardLogs" /stypes="app*4035*20171030*" /stext=" 23:.+((SYSTEM_STATE.+slice.+state.+changed )|(ment ac)|(multiple cpu faults)|(system.+state.+changed )|(\[timeout)|(PRM\|1\|D)|(kpr)|(kdp)|(train st.+moving)|(\|lc)|(penalty))"</v>
      </c>
      <c r="AG191" s="182" t="str">
        <f t="shared" si="65"/>
        <v>NW</v>
      </c>
      <c r="AH191" s="78" t="str">
        <f t="shared" si="74"/>
        <v>"%USERPROFILE%\Documents\GitHub\eaglep3\Utilities\RefineRTDCRunTimes.py" --tripid 834-30 --locoid 4035 --swversion DE.1.0.9.0 --startMP 300:58647 --initTime 2017-10-30T17:27:50 --startdatetime 2017-10-30T17:42:45 --delay 57 --endMP 204:673 --enddatetime 2017-10-30T17:54:59 --enforcementcount 0 &gt;&gt;%USERPROFILE%\Documents\GitHub\eaglep3-reporting\EC\2017-10-30-refined-times.txt</v>
      </c>
      <c r="AI191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{"issue":{"subject":"","project_id":79,"tracker_id":40,"status_id":1,"priority_id":2,"assigned_to_id":338,"start_date":"2017-10-30","description":"","custom_fields":[{"id":1,"name":"Subdivision","value":"NW"},{"id":4,"name":"Milepost","value":"0.0673"},{"id":17,"name":"Train ID","value":"834-30"},{"id":16,"name":"Locomotive ID","value":"4035"},{"id":130,"name":"Impact","value":""},{"id":150,"name":"Time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6"/>
        <v>start /low /b %USERPROFILE%\Documents\GitHub\eaglep3\Utilities\DownloadLogsFromS3.py --loco 4035 --day 2017-10-30</v>
      </c>
      <c r="AN191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8"/>
        <v>https://d0f6bd738d7f1b3e5a7ca70fe4ff75f0.us-east-1.aws.found.io/app/kibana#/discover/Steve-Slow-Train-Analysis-(2080s-and-2083s)?_g=(refreshInterval:(display:Off,pause:!f,section:0,value:0),time:(from:'2017-10-30T16:27:50-0600',mode:absolute,to:'2017-10-30T18:54:59-0600'))&amp;_a=(columns:!('Message%20ID',Summary),filters:!(),index:'emp_*',interval:auto,query:(query_string:(analyze_wildcard:!t,query:'%22rtdc.l.rtdc.4035%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845</v>
      </c>
      <c r="B192" s="7">
        <v>4064</v>
      </c>
      <c r="C192" s="21" t="s">
        <v>194</v>
      </c>
      <c r="D192" s="21" t="s">
        <v>1093</v>
      </c>
      <c r="E192" s="13">
        <v>43038.733842592592</v>
      </c>
      <c r="F192" s="13">
        <v>43038.735613425924</v>
      </c>
      <c r="G192" s="7">
        <v>48</v>
      </c>
      <c r="H192" s="21" t="s">
        <v>1094</v>
      </c>
      <c r="I192" s="13">
        <v>43038.746122685188</v>
      </c>
      <c r="J192" s="7">
        <v>0</v>
      </c>
      <c r="K192" s="89" t="str">
        <f t="shared" si="57"/>
        <v>4063/4064</v>
      </c>
      <c r="L192" s="185" t="str">
        <f>VLOOKUP(A192,'Trips&amp;Operators'!$C$1:$G$99911,5,FALSE)</f>
        <v>MAGEE KENYA</v>
      </c>
      <c r="M192" s="6">
        <f t="shared" si="58"/>
        <v>1.0509259263926651E-2</v>
      </c>
      <c r="N192" s="7">
        <f t="shared" si="101"/>
        <v>15.133333340054378</v>
      </c>
      <c r="O192" s="7"/>
      <c r="P192" s="7"/>
      <c r="Q192" s="22"/>
      <c r="R192" s="174"/>
      <c r="S192" s="221">
        <f t="shared" si="102"/>
        <v>1</v>
      </c>
      <c r="T192" s="174" t="str">
        <f t="shared" si="59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0"/>
        <v>https://d0f6bd738d7f1b3e5a7ca70fe4ff75f0.us-east-1.aws.found.io/app/kibana#/discover/Steve-Slow-Train-Analysis-(2080s-and-2083s)?_g=(refreshInterval:(display:Off,pause:!f,section:0,value:0),time:(from:'2017-10-30T16:36:44-0600',mode:absolute,to:'2017-10-30T18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2" s="204" t="str">
        <f>IF(AA192&lt;VLOOKUP(AG192,Variables!$AC$3:$AD$8,2,FALSE),"Y","N")</f>
        <v>N</v>
      </c>
      <c r="X192" s="204">
        <f t="shared" si="100"/>
        <v>1</v>
      </c>
      <c r="Y192" s="204">
        <f t="shared" si="98"/>
        <v>0.1041</v>
      </c>
      <c r="Z192" s="204">
        <f t="shared" si="99"/>
        <v>5.8968999999999996</v>
      </c>
      <c r="AA192" s="204">
        <f t="shared" si="61"/>
        <v>5.7927999999999997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2"/>
        <v>835</v>
      </c>
      <c r="AE192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92" s="74" t="str">
        <f t="shared" si="64"/>
        <v>"C:\Program Files (x86)\AstroGrep\AstroGrep.exe" /e /r /s /spath="%USERPROFILE%\AppData\Local\Temp\OnboardLogs" /stypes="app*4064*20171030*" /stext=" 23:.+((SYSTEM_STATE.+slice.+state.+changed )|(ment ac)|(multiple cpu faults)|(system.+state.+changed )|(\[timeout)|(PRM\|1\|D)|(kpr)|(kdp)|(train st.+moving)|(\|lc)|(penalty))"</v>
      </c>
      <c r="AG192" s="182" t="str">
        <f t="shared" si="65"/>
        <v>NW</v>
      </c>
      <c r="AH192" s="78" t="str">
        <f t="shared" si="74"/>
        <v>"%USERPROFILE%\Documents\GitHub\eaglep3\Utilities\RefineRTDCRunTimes.py" --tripid 835-30 --locoid 4064 --swversion DE.1.0.9.0 --startMP 204:1041 --initTime 2017-10-30T17:36:44 --startdatetime 2017-10-30T17:39:17 --delay 48 --endMP 300:58969 --enddatetime 2017-10-30T17:54:25 --enforcementcount 0 &gt;&gt;%USERPROFILE%\Documents\GitHub\eaglep3-reporting\EC\2017-10-30-refined-times.txt</v>
      </c>
      <c r="AI192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{"issue":{"subject":"","project_id":79,"tracker_id":40,"status_id":1,"priority_id":2,"assigned_to_id":338,"start_date":"2017-10-30","description":"","custom_fields":[{"id":1,"name":"Subdivision","value":"NW"},{"id":4,"name":"Milepost","value":"5.8969"},{"id":17,"name":"Train ID","value":"835-30"},{"id":16,"name":"Locomotive ID","value":"4064"},{"id":130,"name":"Impact","value":""},{"id":150,"name":"Time of Event (Mountain Time)","value":"17:54:25"},{"id":151,"name":"Denver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6"/>
        <v>start /low /b %USERPROFILE%\Documents\GitHub\eaglep3\Utilities\DownloadLogsFromS3.py --loco 4064 --day 2017-10-30</v>
      </c>
      <c r="AN192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8"/>
        <v>https://d0f6bd738d7f1b3e5a7ca70fe4ff75f0.us-east-1.aws.found.io/app/kibana#/discover/Steve-Slow-Train-Analysis-(2080s-and-2083s)?_g=(refreshInterval:(display:Off,pause:!f,section:0,value:0),time:(from:'2017-10-30T16:36:44-0600',mode:absolute,to:'2017-10-30T18:54:25-0600'))&amp;_a=(columns:!('Message%20ID',Summary),filters:!(),index:'emp_*',interval:auto,query:(query_string:(analyze_wildcard:!t,query:'%22rtdc.l.rtdc.4064%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852</v>
      </c>
      <c r="B193" s="7">
        <v>4063</v>
      </c>
      <c r="C193" s="21" t="s">
        <v>194</v>
      </c>
      <c r="D193" s="21" t="s">
        <v>1095</v>
      </c>
      <c r="E193" s="13">
        <v>43038.755682870367</v>
      </c>
      <c r="F193" s="13">
        <v>43038.757488425923</v>
      </c>
      <c r="G193" s="7">
        <v>83</v>
      </c>
      <c r="H193" s="21" t="s">
        <v>1096</v>
      </c>
      <c r="I193" s="13">
        <v>43038.767280092594</v>
      </c>
      <c r="J193" s="7">
        <v>0</v>
      </c>
      <c r="K193" s="89" t="str">
        <f t="shared" si="57"/>
        <v>4063/4064</v>
      </c>
      <c r="L193" s="185" t="str">
        <f>VLOOKUP(A193,'Trips&amp;Operators'!$C$1:$G$99911,5,FALSE)</f>
        <v>MAGEE KENYA</v>
      </c>
      <c r="M193" s="6">
        <f t="shared" si="58"/>
        <v>9.7916666709352285E-3</v>
      </c>
      <c r="N193" s="7">
        <f t="shared" si="101"/>
        <v>14.100000006146729</v>
      </c>
      <c r="O193" s="7"/>
      <c r="P193" s="7"/>
      <c r="Q193" s="22"/>
      <c r="R193" s="174"/>
      <c r="S193" s="221">
        <f t="shared" si="102"/>
        <v>1</v>
      </c>
      <c r="T193" s="174" t="str">
        <f t="shared" si="59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0"/>
        <v>https://d0f6bd738d7f1b3e5a7ca70fe4ff75f0.us-east-1.aws.found.io/app/kibana#/discover/Steve-Slow-Train-Analysis-(2080s-and-2083s)?_g=(refreshInterval:(display:Off,pause:!f,section:0,value:0),time:(from:'2017-10-30T17:08:11-0600',mode:absolute,to:'2017-10-30T19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204" t="str">
        <f>IF(AA193&lt;VLOOKUP(AG193,Variables!$AC$3:$AD$8,2,FALSE),"Y","N")</f>
        <v>N</v>
      </c>
      <c r="X193" s="204">
        <f t="shared" si="100"/>
        <v>1</v>
      </c>
      <c r="Y193" s="204">
        <f t="shared" si="98"/>
        <v>5.8648999999999996</v>
      </c>
      <c r="Z193" s="204">
        <f t="shared" si="99"/>
        <v>7.4499999999999997E-2</v>
      </c>
      <c r="AA193" s="204">
        <f t="shared" si="61"/>
        <v>5.7904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2"/>
        <v>836</v>
      </c>
      <c r="AE193" s="77" t="str">
        <f t="shared" si="63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193" s="74" t="str">
        <f t="shared" si="64"/>
        <v>"C:\Program Files (x86)\AstroGrep\AstroGrep.exe" /e /r /s /spath="%USERPROFILE%\AppData\Local\Temp\OnboardLogs" /stypes="app*4063*20171031*" /stext=" 00:.+((SYSTEM_STATE.+slice.+state.+changed )|(ment ac)|(multiple cpu faults)|(system.+state.+changed )|(\[timeout)|(PRM\|1\|D)|(kpr)|(kdp)|(train st.+moving)|(\|lc)|(penalty))"</v>
      </c>
      <c r="AG193" s="182" t="str">
        <f t="shared" si="65"/>
        <v>NW</v>
      </c>
      <c r="AH193" s="78" t="str">
        <f t="shared" si="74"/>
        <v>"%USERPROFILE%\Documents\GitHub\eaglep3\Utilities\RefineRTDCRunTimes.py" --tripid 836-30 --locoid 4063 --swversion DE.1.0.9.0 --startMP 300:58649 --initTime 2017-10-30T18:08:11 --startdatetime 2017-10-30T18:10:47 --delay 83 --endMP 204:745 --enddatetime 2017-10-30T18:24:53 --enforcementcount 0 &gt;&gt;%USERPROFILE%\Documents\GitHub\eaglep3-reporting\EC\2017-10-30-refined-times.txt</v>
      </c>
      <c r="AI193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{"issue":{"subject":"","project_id":79,"tracker_id":40,"status_id":1,"priority_id":2,"assigned_to_id":338,"start_date":"2017-10-30","description":"","custom_fields":[{"id":1,"name":"Subdivision","value":"NW"},{"id":4,"name":"Milepost","value":"0.0745"},{"id":17,"name":"Train ID","value":"836-30"},{"id":16,"name":"Locomotive ID","value":"4063"},{"id":130,"name":"Impact","value":""},{"id":150,"name":"Time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6"/>
        <v>start /low /b %USERPROFILE%\Documents\GitHub\eaglep3\Utilities\DownloadLogsFromS3.py --loco 4063 --day 2017-10-30</v>
      </c>
      <c r="AN193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8"/>
        <v>https://d0f6bd738d7f1b3e5a7ca70fe4ff75f0.us-east-1.aws.found.io/app/kibana#/discover/Steve-Slow-Train-Analysis-(2080s-and-2083s)?_g=(refreshInterval:(display:Off,pause:!f,section:0,value:0),time:(from:'2017-10-30T17:08:11-0600',mode:absolute,to:'2017-10-30T19:24:53-0600'))&amp;_a=(columns:!('Message%20ID',Summary),filters:!(),index:'emp_*',interval:auto,query:(query_string:(analyze_wildcard:!t,query:'%22rtdc.l.rtdc.4063%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851</v>
      </c>
      <c r="B194" s="7">
        <v>4036</v>
      </c>
      <c r="C194" s="21" t="s">
        <v>194</v>
      </c>
      <c r="D194" s="21" t="s">
        <v>1097</v>
      </c>
      <c r="E194" s="13">
        <v>43038.748472222222</v>
      </c>
      <c r="F194" s="13">
        <v>43038.756620370368</v>
      </c>
      <c r="G194" s="7">
        <v>59</v>
      </c>
      <c r="H194" s="21" t="s">
        <v>1091</v>
      </c>
      <c r="I194" s="13">
        <v>43038.767199074071</v>
      </c>
      <c r="J194" s="7">
        <v>0</v>
      </c>
      <c r="K194" s="89" t="str">
        <f t="shared" si="57"/>
        <v>4035/4036</v>
      </c>
      <c r="L194" s="185" t="str">
        <f>VLOOKUP(A194,'Trips&amp;Operators'!$C$1:$G$99911,5,FALSE)</f>
        <v>KILLION DAVID</v>
      </c>
      <c r="M194" s="6">
        <f t="shared" si="58"/>
        <v>1.0578703702776693E-2</v>
      </c>
      <c r="N194" s="7">
        <f t="shared" si="101"/>
        <v>15.233333331998438</v>
      </c>
      <c r="O194" s="7"/>
      <c r="P194" s="7"/>
      <c r="Q194" s="22"/>
      <c r="R194" s="174"/>
      <c r="S194" s="221">
        <f t="shared" si="102"/>
        <v>1</v>
      </c>
      <c r="T194" s="174" t="str">
        <f t="shared" si="59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0"/>
        <v>https://d0f6bd738d7f1b3e5a7ca70fe4ff75f0.us-east-1.aws.found.io/app/kibana#/discover/Steve-Slow-Train-Analysis-(2080s-and-2083s)?_g=(refreshInterval:(display:Off,pause:!f,section:0,value:0),time:(from:'2017-10-30T16:57:48-0600',mode:absolute,to:'2017-10-30T19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4" s="204" t="str">
        <f>IF(AA194&lt;VLOOKUP(AG194,Variables!$AC$3:$AD$8,2,FALSE),"Y","N")</f>
        <v>N</v>
      </c>
      <c r="X194" s="204">
        <f t="shared" si="100"/>
        <v>1</v>
      </c>
      <c r="Y194" s="204">
        <f t="shared" si="98"/>
        <v>9.5299999999999996E-2</v>
      </c>
      <c r="Z194" s="204">
        <f t="shared" si="99"/>
        <v>5.8964999999999996</v>
      </c>
      <c r="AA194" s="204">
        <f t="shared" si="61"/>
        <v>5.8011999999999997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2"/>
        <v>837</v>
      </c>
      <c r="AE194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94" s="74" t="str">
        <f t="shared" si="64"/>
        <v>"C:\Program Files (x86)\AstroGrep\AstroGrep.exe" /e /r /s /spath="%USERPROFILE%\AppData\Local\Temp\OnboardLogs" /stypes="app*4036*20171031*" /stext=" 00:.+((SYSTEM_STATE.+slice.+state.+changed )|(ment ac)|(multiple cpu faults)|(system.+state.+changed )|(\[timeout)|(PRM\|1\|D)|(kpr)|(kdp)|(train st.+moving)|(\|lc)|(penalty))"</v>
      </c>
      <c r="AG194" s="182" t="str">
        <f t="shared" si="65"/>
        <v>NW</v>
      </c>
      <c r="AH194" s="78" t="str">
        <f t="shared" si="74"/>
        <v>"%USERPROFILE%\Documents\GitHub\eaglep3\Utilities\RefineRTDCRunTimes.py" --tripid 837-30 --locoid 4036 --swversion DE.1.0.9.0 --startMP 204:953 --initTime 2017-10-30T17:57:48 --startdatetime 2017-10-30T18:09:32 --delay 59 --endMP 300:58965 --enddatetime 2017-10-30T18:24:46 --enforcementcount 0 &gt;&gt;%USERPROFILE%\Documents\GitHub\eaglep3-reporting\EC\2017-10-30-refined-times.txt</v>
      </c>
      <c r="AI194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{"issue":{"subject":"","project_id":79,"tracker_id":40,"status_id":1,"priority_id":2,"assigned_to_id":338,"start_date":"2017-10-30","description":"","custom_fields":[{"id":1,"name":"Subdivision","value":"NW"},{"id":4,"name":"Milepost","value":"5.8965"},{"id":17,"name":"Train ID","value":"837-30"},{"id":16,"name":"Locomotive ID","value":"4036"},{"id":130,"name":"Impact","value":""},{"id":150,"name":"Time of Event (Mountain Time)","value":"18:24:46"},{"id":151,"name":"Denver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6"/>
        <v>start /low /b %USERPROFILE%\Documents\GitHub\eaglep3\Utilities\DownloadLogsFromS3.py --loco 4036 --day 2017-10-30</v>
      </c>
      <c r="AN194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8"/>
        <v>https://d0f6bd738d7f1b3e5a7ca70fe4ff75f0.us-east-1.aws.found.io/app/kibana#/discover/Steve-Slow-Train-Analysis-(2080s-and-2083s)?_g=(refreshInterval:(display:Off,pause:!f,section:0,value:0),time:(from:'2017-10-30T16:57:48-0600',mode:absolute,to:'2017-10-30T19:24:46-0600'))&amp;_a=(columns:!('Message%20ID',Summary),filters:!(),index:'emp_*',interval:auto,query:(query_string:(analyze_wildcard:!t,query:'%22rtdc.l.rtdc.4036%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856</v>
      </c>
      <c r="B195" s="7">
        <v>4035</v>
      </c>
      <c r="C195" s="21" t="s">
        <v>194</v>
      </c>
      <c r="D195" s="21" t="s">
        <v>1089</v>
      </c>
      <c r="E195" s="13">
        <v>43038.770370370374</v>
      </c>
      <c r="F195" s="13">
        <v>43038.779456018521</v>
      </c>
      <c r="G195" s="7">
        <v>53</v>
      </c>
      <c r="H195" s="21" t="s">
        <v>1061</v>
      </c>
      <c r="I195" s="13">
        <v>43038.789317129631</v>
      </c>
      <c r="J195" s="7">
        <v>0</v>
      </c>
      <c r="K195" s="89" t="str">
        <f t="shared" si="57"/>
        <v>4035/4036</v>
      </c>
      <c r="L195" s="185" t="str">
        <f>VLOOKUP(A195,'Trips&amp;Operators'!$C$1:$G$99911,5,FALSE)</f>
        <v>KILLION DAVID</v>
      </c>
      <c r="M195" s="6">
        <f t="shared" si="58"/>
        <v>9.8611111097852699E-3</v>
      </c>
      <c r="N195" s="7">
        <f t="shared" si="101"/>
        <v>14.199999998090789</v>
      </c>
      <c r="O195" s="7"/>
      <c r="P195" s="7"/>
      <c r="Q195" s="22"/>
      <c r="R195" s="174"/>
      <c r="S195" s="221">
        <f t="shared" si="102"/>
        <v>1</v>
      </c>
      <c r="T195" s="174" t="str">
        <f t="shared" si="59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0"/>
        <v>https://d0f6bd738d7f1b3e5a7ca70fe4ff75f0.us-east-1.aws.found.io/app/kibana#/discover/Steve-Slow-Train-Analysis-(2080s-and-2083s)?_g=(refreshInterval:(display:Off,pause:!f,section:0,value:0),time:(from:'2017-10-30T17:29:20-0600',mode:absolute,to:'2017-10-30T19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5" s="204" t="str">
        <f>IF(AA195&lt;VLOOKUP(AG195,Variables!$AC$3:$AD$8,2,FALSE),"Y","N")</f>
        <v>N</v>
      </c>
      <c r="X195" s="204">
        <f t="shared" si="100"/>
        <v>1</v>
      </c>
      <c r="Y195" s="204">
        <f t="shared" si="98"/>
        <v>5.8640999999999996</v>
      </c>
      <c r="Z195" s="204">
        <f t="shared" si="99"/>
        <v>7.1499999999999994E-2</v>
      </c>
      <c r="AA195" s="204">
        <f t="shared" si="61"/>
        <v>5.7925999999999993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2"/>
        <v>838</v>
      </c>
      <c r="AE195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95" s="74" t="str">
        <f t="shared" si="64"/>
        <v>"C:\Program Files (x86)\AstroGrep\AstroGrep.exe" /e /r /s /spath="%USERPROFILE%\AppData\Local\Temp\OnboardLogs" /stypes="app*4035*20171031*" /stext=" 00:.+((SYSTEM_STATE.+slice.+state.+changed )|(ment ac)|(multiple cpu faults)|(system.+state.+changed )|(\[timeout)|(PRM\|1\|D)|(kpr)|(kdp)|(train st.+moving)|(\|lc)|(penalty))"</v>
      </c>
      <c r="AG195" s="182" t="str">
        <f t="shared" si="65"/>
        <v>NW</v>
      </c>
      <c r="AH195" s="78" t="str">
        <f t="shared" si="74"/>
        <v>"%USERPROFILE%\Documents\GitHub\eaglep3\Utilities\RefineRTDCRunTimes.py" --tripid 838-30 --locoid 4035 --swversion DE.1.0.9.0 --startMP 300:58641 --initTime 2017-10-30T18:29:20 --startdatetime 2017-10-30T18:42:25 --delay 53 --endMP 204:715 --enddatetime 2017-10-30T18:56:37 --enforcementcount 0 &gt;&gt;%USERPROFILE%\Documents\GitHub\eaglep3-reporting\EC\2017-10-30-refined-times.txt</v>
      </c>
      <c r="AI195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{"issue":{"subject":"","project_id":79,"tracker_id":40,"status_id":1,"priority_id":2,"assigned_to_id":338,"start_date":"2017-10-30","description":"","custom_fields":[{"id":1,"name":"Subdivision","value":"NW"},{"id":4,"name":"Milepost","value":"0.0715"},{"id":17,"name":"Train ID","value":"838-30"},{"id":16,"name":"Locomotive ID","value":"4035"},{"id":130,"name":"Impact","value":""},{"id":150,"name":"Time of Event (Mountain Time)","value":"18:56:37"},{"id":151,"name":"Denver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6"/>
        <v>start /low /b %USERPROFILE%\Documents\GitHub\eaglep3\Utilities\DownloadLogsFromS3.py --loco 4035 --day 2017-10-30</v>
      </c>
      <c r="AN195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8"/>
        <v>https://d0f6bd738d7f1b3e5a7ca70fe4ff75f0.us-east-1.aws.found.io/app/kibana#/discover/Steve-Slow-Train-Analysis-(2080s-and-2083s)?_g=(refreshInterval:(display:Off,pause:!f,section:0,value:0),time:(from:'2017-10-30T17:29:20-0600',mode:absolute,to:'2017-10-30T19:56:37-0600'))&amp;_a=(columns:!('Message%20ID',Summary),filters:!(),index:'emp_*',interval:auto,query:(query_string:(analyze_wildcard:!t,query:'%22rtdc.l.rtdc.4035%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857</v>
      </c>
      <c r="B196" s="7">
        <v>4064</v>
      </c>
      <c r="C196" s="21" t="s">
        <v>194</v>
      </c>
      <c r="D196" s="21" t="s">
        <v>1098</v>
      </c>
      <c r="E196" s="13">
        <v>43038.773564814815</v>
      </c>
      <c r="F196" s="13">
        <v>43038.779143518521</v>
      </c>
      <c r="G196" s="7">
        <v>47</v>
      </c>
      <c r="H196" s="21" t="s">
        <v>1099</v>
      </c>
      <c r="I196" s="13">
        <v>43038.789305555554</v>
      </c>
      <c r="J196" s="7">
        <v>0</v>
      </c>
      <c r="K196" s="89" t="str">
        <f t="shared" si="57"/>
        <v>4063/4064</v>
      </c>
      <c r="L196" s="185" t="str">
        <f>VLOOKUP(A196,'Trips&amp;Operators'!$C$1:$G$99911,5,FALSE)</f>
        <v>MAGEE KENYA</v>
      </c>
      <c r="M196" s="6">
        <f t="shared" si="58"/>
        <v>1.0162037033296656E-2</v>
      </c>
      <c r="N196" s="7">
        <f t="shared" si="101"/>
        <v>14.633333327947184</v>
      </c>
      <c r="O196" s="7"/>
      <c r="P196" s="7"/>
      <c r="Q196" s="22"/>
      <c r="R196" s="174"/>
      <c r="S196" s="221">
        <f t="shared" si="102"/>
        <v>1</v>
      </c>
      <c r="T196" s="174" t="str">
        <f t="shared" si="59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0"/>
        <v>https://d0f6bd738d7f1b3e5a7ca70fe4ff75f0.us-east-1.aws.found.io/app/kibana#/discover/Steve-Slow-Train-Analysis-(2080s-and-2083s)?_g=(refreshInterval:(display:Off,pause:!f,section:0,value:0),time:(from:'2017-10-30T17:33:56-0600',mode:absolute,to:'2017-10-30T19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6" s="204" t="str">
        <f>IF(AA196&lt;VLOOKUP(AG196,Variables!$AC$3:$AD$8,2,FALSE),"Y","N")</f>
        <v>N</v>
      </c>
      <c r="X196" s="204">
        <f t="shared" si="100"/>
        <v>1</v>
      </c>
      <c r="Y196" s="204">
        <f t="shared" si="98"/>
        <v>0.10059999999999999</v>
      </c>
      <c r="Z196" s="204">
        <f t="shared" si="99"/>
        <v>5.8943000000000003</v>
      </c>
      <c r="AA196" s="204">
        <f t="shared" si="61"/>
        <v>5.7937000000000003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2"/>
        <v>839</v>
      </c>
      <c r="AE196" s="77" t="str">
        <f t="shared" si="63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196" s="74" t="str">
        <f t="shared" si="64"/>
        <v>"C:\Program Files (x86)\AstroGrep\AstroGrep.exe" /e /r /s /spath="%USERPROFILE%\AppData\Local\Temp\OnboardLogs" /stypes="app*4064*20171031*" /stext=" 00:.+((SYSTEM_STATE.+slice.+state.+changed )|(ment ac)|(multiple cpu faults)|(system.+state.+changed )|(\[timeout)|(PRM\|1\|D)|(kpr)|(kdp)|(train st.+moving)|(\|lc)|(penalty))"</v>
      </c>
      <c r="AG196" s="182" t="str">
        <f t="shared" si="65"/>
        <v>NW</v>
      </c>
      <c r="AH196" s="78" t="str">
        <f t="shared" si="74"/>
        <v>"%USERPROFILE%\Documents\GitHub\eaglep3\Utilities\RefineRTDCRunTimes.py" --tripid 839-30 --locoid 4064 --swversion DE.1.0.9.0 --startMP 204:1006 --initTime 2017-10-30T18:33:56 --startdatetime 2017-10-30T18:41:58 --delay 47 --endMP 300:58943 --enddatetime 2017-10-30T18:56:36 --enforcementcount 0 &gt;&gt;%USERPROFILE%\Documents\GitHub\eaglep3-reporting\EC\2017-10-30-refined-times.txt</v>
      </c>
      <c r="AI196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{"issue":{"subject":"","project_id":79,"tracker_id":40,"status_id":1,"priority_id":2,"assigned_to_id":338,"start_date":"2017-10-30","description":"","custom_fields":[{"id":1,"name":"Subdivision","value":"NW"},{"id":4,"name":"Milepost","value":"5.8943"},{"id":17,"name":"Train ID","value":"839-30"},{"id":16,"name":"Locomotive ID","value":"4064"},{"id":130,"name":"Impact","value":""},{"id":150,"name":"Time of Event (Mountain Time)","value":"18:56:36"},{"id":151,"name":"Denver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6"/>
        <v>start /low /b %USERPROFILE%\Documents\GitHub\eaglep3\Utilities\DownloadLogsFromS3.py --loco 4064 --day 2017-10-30</v>
      </c>
      <c r="AN196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8"/>
        <v>https://d0f6bd738d7f1b3e5a7ca70fe4ff75f0.us-east-1.aws.found.io/app/kibana#/discover/Steve-Slow-Train-Analysis-(2080s-and-2083s)?_g=(refreshInterval:(display:Off,pause:!f,section:0,value:0),time:(from:'2017-10-30T17:33:56-0600',mode:absolute,to:'2017-10-30T19:56:36-0600'))&amp;_a=(columns:!('Message%20ID',Summary),filters:!(),index:'emp_*',interval:auto,query:(query_string:(analyze_wildcard:!t,query:'%22rtdc.l.rtdc.4064%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666</v>
      </c>
      <c r="B197" s="7">
        <v>4035</v>
      </c>
      <c r="C197" s="21" t="s">
        <v>194</v>
      </c>
      <c r="D197" s="21" t="s">
        <v>1098</v>
      </c>
      <c r="E197" s="13">
        <v>43038.773564814815</v>
      </c>
      <c r="F197" s="13">
        <v>43038.821597222224</v>
      </c>
      <c r="G197" s="7">
        <v>47</v>
      </c>
      <c r="H197" s="21" t="s">
        <v>1099</v>
      </c>
      <c r="I197" s="13">
        <v>43038.830960648149</v>
      </c>
      <c r="J197" s="7">
        <v>0</v>
      </c>
      <c r="K197" s="89" t="str">
        <f t="shared" si="57"/>
        <v>4035/4036</v>
      </c>
      <c r="L197" s="185" t="str">
        <f>VLOOKUP(A197,'Trips&amp;Operators'!$C$1:$G$99911,5,FALSE)</f>
        <v>KILLION DAVID</v>
      </c>
      <c r="M197" s="6">
        <f t="shared" si="58"/>
        <v>9.3634259246755391E-3</v>
      </c>
      <c r="N197" s="7">
        <f t="shared" si="101"/>
        <v>13.483333331532776</v>
      </c>
      <c r="O197" s="7"/>
      <c r="P197" s="7"/>
      <c r="Q197" s="22"/>
      <c r="R197" s="174"/>
      <c r="S197" s="221">
        <f t="shared" si="102"/>
        <v>1</v>
      </c>
      <c r="T197" s="174" t="str">
        <f t="shared" si="59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0"/>
        <v>https://d0f6bd738d7f1b3e5a7ca70fe4ff75f0.us-east-1.aws.found.io/app/kibana#/discover/Steve-Slow-Train-Analysis-(2080s-and-2083s)?_g=(refreshInterval:(display:Off,pause:!f,section:0,value:0),time:(from:'2017-10-30T17:33:56-0600',mode:absolute,to:'2017-10-30T20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7" s="204" t="str">
        <f>IF(AA197&lt;VLOOKUP(AG197,Variables!$AC$3:$AD$8,2,FALSE),"Y","N")</f>
        <v>N</v>
      </c>
      <c r="X197" s="204">
        <f t="shared" si="100"/>
        <v>1</v>
      </c>
      <c r="Y197" s="204">
        <v>5.8640999999999996</v>
      </c>
      <c r="Z197" s="204">
        <v>7.1499999999999994E-2</v>
      </c>
      <c r="AA197" s="204">
        <f t="shared" si="61"/>
        <v>5.7925999999999993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2"/>
        <v>840</v>
      </c>
      <c r="AE197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97" s="74" t="str">
        <f t="shared" si="64"/>
        <v>"C:\Program Files (x86)\AstroGrep\AstroGrep.exe" /e /r /s /spath="%USERPROFILE%\AppData\Local\Temp\OnboardLogs" /stypes="app*4035*20171031*" /stext=" 01:.+((SYSTEM_STATE.+slice.+state.+changed )|(ment ac)|(multiple cpu faults)|(system.+state.+changed )|(\[timeout)|(PRM\|1\|D)|(kpr)|(kdp)|(train st.+moving)|(\|lc)|(penalty))"</v>
      </c>
      <c r="AG197" s="182" t="str">
        <f t="shared" si="65"/>
        <v>NW</v>
      </c>
      <c r="AH197" s="78" t="str">
        <f t="shared" ref="AH197" si="103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840-30 --locoid 4035 --swversion DE.1.0.9.0 --startMP 204:1006 --initTime 2017-10-30T18:33:56 --startdatetime 2017-10-30T19:43:06 --delay 47 --endMP 300:58943 --enddatetime 2017-10-30T19:56:35 --enforcementcount 0 &gt;&gt;%USERPROFILE%\Documents\GitHub\eaglep3-reporting\EC\2017-10-30-refined-times.txt</v>
      </c>
      <c r="AI197" s="96" t="str">
        <f t="shared" ref="AI197" si="104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{"issue":{"subject":"","project_id":79,"tracker_id":40,"status_id":1,"priority_id":2,"assigned_to_id":338,"start_date":"2017-10-30","description":"","custom_fields":[{"id":1,"name":"Subdivision","value":"NW"},{"id":4,"name":"Milepost","value":"0.0715"},{"id":17,"name":"Train ID","value":"840-30"},{"id":16,"name":"Locomotive ID","value":"4035"},{"id":130,"name":"Impact","value":""},{"id":150,"name":"Time of Event (Mountain Time)","value":"19:56:35"},{"id":151,"name":"Denver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ref="AM197" si="105">"start /low /b "&amp;dls3logs&amp;" --loco "&amp;B197&amp;" --day "&amp;TEXT(F197,"YYYY-MM-DD")</f>
        <v>start /low /b %USERPROFILE%\Documents\GitHub\eaglep3\Utilities\DownloadLogsFromS3.py --loco 4035 --day 2017-10-30</v>
      </c>
      <c r="AN197" s="151" t="str">
        <f t="shared" ref="AN197" si="106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ref="AO197" si="107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-30T17:33:56-0600',mode:absolute,to:'2017-10-30T20:56:35-0600'))&amp;_a=(columns:!('Message%20ID',Summary),filters:!(),index:'emp_*',interval:auto,query:(query_string:(analyze_wildcard:!t,query:'%22rtdc.l.rtdc.4035%22')),sort:!(Time.ISO8601,asc))</v>
      </c>
    </row>
    <row r="198" spans="1:91" s="20" customFormat="1" x14ac:dyDescent="0.3">
      <c r="A198" s="32" t="s">
        <v>863</v>
      </c>
      <c r="B198" s="7">
        <v>4036</v>
      </c>
      <c r="C198" s="21" t="s">
        <v>194</v>
      </c>
      <c r="D198" s="21" t="s">
        <v>1067</v>
      </c>
      <c r="E198" s="13">
        <v>43038.790798611109</v>
      </c>
      <c r="F198" s="13">
        <v>43038.798148148147</v>
      </c>
      <c r="G198" s="7">
        <v>67</v>
      </c>
      <c r="H198" s="21" t="s">
        <v>606</v>
      </c>
      <c r="I198" s="13">
        <v>43038.808159722219</v>
      </c>
      <c r="J198" s="7">
        <v>0</v>
      </c>
      <c r="K198" s="89" t="str">
        <f t="shared" si="57"/>
        <v>4035/4036</v>
      </c>
      <c r="L198" s="185" t="str">
        <f>VLOOKUP(A198,'Trips&amp;Operators'!$C$1:$G$99911,5,FALSE)</f>
        <v>KILLION DAVID</v>
      </c>
      <c r="M198" s="6">
        <f t="shared" si="58"/>
        <v>1.0011574071540963E-2</v>
      </c>
      <c r="N198" s="7">
        <f t="shared" si="101"/>
        <v>14.416666663018987</v>
      </c>
      <c r="O198" s="7"/>
      <c r="P198" s="7"/>
      <c r="Q198" s="22"/>
      <c r="R198" s="174"/>
      <c r="S198" s="221">
        <f t="shared" si="102"/>
        <v>1</v>
      </c>
      <c r="T198" s="174" t="str">
        <f t="shared" si="59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0"/>
        <v>https://d0f6bd738d7f1b3e5a7ca70fe4ff75f0.us-east-1.aws.found.io/app/kibana#/discover/Steve-Slow-Train-Analysis-(2080s-and-2083s)?_g=(refreshInterval:(display:Off,pause:!f,section:0,value:0),time:(from:'2017-10-30T17:58:45-0600',mode:absolute,to:'2017-10-30T20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8" s="204" t="str">
        <f>IF(AA198&lt;VLOOKUP(AG198,Variables!$AC$3:$AD$8,2,FALSE),"Y","N")</f>
        <v>N</v>
      </c>
      <c r="X198" s="204">
        <f t="shared" ref="X198:X199" si="108">VALUE(LEFT(AD198,4))-VALUE(LEFT(AD197,4))</f>
        <v>1</v>
      </c>
      <c r="Y198" s="204">
        <f>RIGHT(D198,LEN(D198)-4)/10000</f>
        <v>9.9000000000000005E-2</v>
      </c>
      <c r="Z198" s="204">
        <f>RIGHT(H198,LEN(H198)-4)/10000</f>
        <v>5.8959999999999999</v>
      </c>
      <c r="AA198" s="204">
        <f t="shared" si="61"/>
        <v>5.7969999999999997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2"/>
        <v>841</v>
      </c>
      <c r="AE198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198" s="74" t="str">
        <f t="shared" si="64"/>
        <v>"C:\Program Files (x86)\AstroGrep\AstroGrep.exe" /e /r /s /spath="%USERPROFILE%\AppData\Local\Temp\OnboardLogs" /stypes="app*4036*20171031*" /stext=" 01:.+((SYSTEM_STATE.+slice.+state.+changed )|(ment ac)|(multiple cpu faults)|(system.+state.+changed )|(\[timeout)|(PRM\|1\|D)|(kpr)|(kdp)|(train st.+moving)|(\|lc)|(penalty))"</v>
      </c>
      <c r="AG198" s="182" t="str">
        <f t="shared" si="65"/>
        <v>NW</v>
      </c>
      <c r="AH198" s="78" t="str">
        <f t="shared" si="74"/>
        <v>"%USERPROFILE%\Documents\GitHub\eaglep3\Utilities\RefineRTDCRunTimes.py" --tripid 841-30 --locoid 4036 --swversion DE.1.0.9.0 --startMP 204:990 --initTime 2017-10-30T18:58:45 --startdatetime 2017-10-30T19:09:20 --delay 67 --endMP 300:58960 --enddatetime 2017-10-30T19:23:45 --enforcementcount 0 &gt;&gt;%USERPROFILE%\Documents\GitHub\eaglep3-reporting\EC\2017-10-30-refined-times.txt</v>
      </c>
      <c r="AI198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{"issue":{"subject":"","project_id":79,"tracker_id":40,"status_id":1,"priority_id":2,"assigned_to_id":338,"start_date":"2017-10-30","description":"","custom_fields":[{"id":1,"name":"Subdivision","value":"NW"},{"id":4,"name":"Milepost","value":"5.896"},{"id":17,"name":"Train ID","value":"841-30"},{"id":16,"name":"Locomotive ID","value":"4036"},{"id":130,"name":"Impact","value":""},{"id":150,"name":"Time of Event (Mountain Time)","value":"19:23:45"},{"id":151,"name":"Denver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6"/>
        <v>start /low /b %USERPROFILE%\Documents\GitHub\eaglep3\Utilities\DownloadLogsFromS3.py --loco 4036 --day 2017-10-30</v>
      </c>
      <c r="AN198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8"/>
        <v>https://d0f6bd738d7f1b3e5a7ca70fe4ff75f0.us-east-1.aws.found.io/app/kibana#/discover/Steve-Slow-Train-Analysis-(2080s-and-2083s)?_g=(refreshInterval:(display:Off,pause:!f,section:0,value:0),time:(from:'2017-10-30T17:58:45-0600',mode:absolute,to:'2017-10-30T20:23:45-0600'))&amp;_a=(columns:!('Message%20ID',Summary),filters:!(),index:'emp_*',interval:auto,query:(query_string:(analyze_wildcard:!t,query:'%22rtdc.l.rtdc.4036%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874</v>
      </c>
      <c r="B199" s="7">
        <v>4035</v>
      </c>
      <c r="C199" s="21" t="s">
        <v>194</v>
      </c>
      <c r="D199" s="21" t="s">
        <v>538</v>
      </c>
      <c r="E199" s="13">
        <v>43038.852083333331</v>
      </c>
      <c r="F199" s="13">
        <v>43038.863263888888</v>
      </c>
      <c r="G199" s="7">
        <v>50</v>
      </c>
      <c r="H199" s="21" t="s">
        <v>622</v>
      </c>
      <c r="I199" s="13">
        <v>43038.872256944444</v>
      </c>
      <c r="J199" s="7">
        <v>0</v>
      </c>
      <c r="K199" s="89" t="str">
        <f t="shared" si="57"/>
        <v>4035/4036</v>
      </c>
      <c r="L199" s="185" t="str">
        <f>VLOOKUP(A199,'Trips&amp;Operators'!$C$1:$G$99911,5,FALSE)</f>
        <v>KILLION DAVID</v>
      </c>
      <c r="M199" s="6">
        <f t="shared" si="58"/>
        <v>8.9930555550381541E-3</v>
      </c>
      <c r="N199" s="7">
        <f t="shared" si="101"/>
        <v>12.949999999254942</v>
      </c>
      <c r="O199" s="7"/>
      <c r="P199" s="7"/>
      <c r="Q199" s="22"/>
      <c r="R199" s="174"/>
      <c r="S199" s="221">
        <f t="shared" si="102"/>
        <v>1</v>
      </c>
      <c r="T199" s="174" t="str">
        <f t="shared" si="59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0"/>
        <v>https://d0f6bd738d7f1b3e5a7ca70fe4ff75f0.us-east-1.aws.found.io/app/kibana#/discover/Steve-Slow-Train-Analysis-(2080s-and-2083s)?_g=(refreshInterval:(display:Off,pause:!f,section:0,value:0),time:(from:'2017-10-30T19:27:00-0600',mode:absolute,to:'2017-10-30T21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9" s="204" t="str">
        <f>IF(AA199&lt;VLOOKUP(AG199,Variables!$AC$3:$AD$8,2,FALSE),"Y","N")</f>
        <v>N</v>
      </c>
      <c r="X199" s="204">
        <f t="shared" si="108"/>
        <v>1</v>
      </c>
      <c r="Y199" s="204">
        <f>RIGHT(D199,LEN(D199)-4)/10000</f>
        <v>5.8685</v>
      </c>
      <c r="Z199" s="204">
        <f>RIGHT(H199,LEN(H199)-4)/10000</f>
        <v>6.6600000000000006E-2</v>
      </c>
      <c r="AA199" s="204">
        <f t="shared" si="61"/>
        <v>5.8018999999999998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2"/>
        <v>842</v>
      </c>
      <c r="AE199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199" s="74" t="str">
        <f t="shared" si="64"/>
        <v>"C:\Program Files (x86)\AstroGrep\AstroGrep.exe" /e /r /s /spath="%USERPROFILE%\AppData\Local\Temp\OnboardLogs" /stypes="app*4035*20171031*" /stext=" 02:.+((SYSTEM_STATE.+slice.+state.+changed )|(ment ac)|(multiple cpu faults)|(system.+state.+changed )|(\[timeout)|(PRM\|1\|D)|(kpr)|(kdp)|(train st.+moving)|(\|lc)|(penalty))"</v>
      </c>
      <c r="AG199" s="182" t="str">
        <f t="shared" si="65"/>
        <v>NW</v>
      </c>
      <c r="AH199" s="78" t="str">
        <f t="shared" si="74"/>
        <v>"%USERPROFILE%\Documents\GitHub\eaglep3\Utilities\RefineRTDCRunTimes.py" --tripid 842-30 --locoid 4035 --swversion DE.1.0.9.0 --startMP 300:58685 --initTime 2017-10-30T20:27:00 --startdatetime 2017-10-30T20:43:06 --delay 50 --endMP 204:666 --enddatetime 2017-10-30T20:56:03 --enforcementcount 0 &gt;&gt;%USERPROFILE%\Documents\GitHub\eaglep3-reporting\EC\2017-10-30-refined-times.txt</v>
      </c>
      <c r="AI199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{"issue":{"subject":"","project_id":79,"tracker_id":40,"status_id":1,"priority_id":2,"assigned_to_id":338,"start_date":"2017-10-30","description":"","custom_fields":[{"id":1,"name":"Subdivision","value":"NW"},{"id":4,"name":"Milepost","value":"0.0666"},{"id":17,"name":"Train ID","value":"842-30"},{"id":16,"name":"Locomotive ID","value":"4035"},{"id":130,"name":"Impact","value":""},{"id":150,"name":"Time of Event (Mountain Time)","value":"20:56:03"},{"id":151,"name":"Denver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6"/>
        <v>start /low /b %USERPROFILE%\Documents\GitHub\eaglep3\Utilities\DownloadLogsFromS3.py --loco 4035 --day 2017-10-30</v>
      </c>
      <c r="AN199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8"/>
        <v>https://d0f6bd738d7f1b3e5a7ca70fe4ff75f0.us-east-1.aws.found.io/app/kibana#/discover/Steve-Slow-Train-Analysis-(2080s-and-2083s)?_g=(refreshInterval:(display:Off,pause:!f,section:0,value:0),time:(from:'2017-10-30T19:27:00-0600',mode:absolute,to:'2017-10-30T21:56:03-0600'))&amp;_a=(columns:!('Message%20ID',Summary),filters:!(),index:'emp_*',interval:auto,query:(query_string:(analyze_wildcard:!t,query:'%22rtdc.l.rtdc.4035%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871</v>
      </c>
      <c r="B200" s="7">
        <v>4036</v>
      </c>
      <c r="C200" s="21" t="s">
        <v>194</v>
      </c>
      <c r="D200" s="21" t="s">
        <v>616</v>
      </c>
      <c r="E200" s="13">
        <v>43038.832662037035</v>
      </c>
      <c r="F200" s="13">
        <v>43038.840138888889</v>
      </c>
      <c r="G200" s="7">
        <v>53</v>
      </c>
      <c r="H200" s="21" t="s">
        <v>1100</v>
      </c>
      <c r="I200" s="13">
        <v>43038.849988425929</v>
      </c>
      <c r="J200" s="7">
        <v>0</v>
      </c>
      <c r="K200" s="89" t="str">
        <f t="shared" si="57"/>
        <v>4035/4036</v>
      </c>
      <c r="L200" s="185" t="str">
        <f>VLOOKUP(A200,'Trips&amp;Operators'!$C$1:$G$99911,5,FALSE)</f>
        <v>KILLION DAVID</v>
      </c>
      <c r="M200" s="6">
        <f t="shared" si="58"/>
        <v>9.8495370402815752E-3</v>
      </c>
      <c r="N200" s="7">
        <f t="shared" si="101"/>
        <v>14.183333338005468</v>
      </c>
      <c r="O200" s="7"/>
      <c r="P200" s="7"/>
      <c r="Q200" s="22"/>
      <c r="R200" s="174"/>
      <c r="S200" s="221">
        <f t="shared" si="102"/>
        <v>1</v>
      </c>
      <c r="T200" s="174" t="str">
        <f t="shared" si="59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0"/>
        <v>https://d0f6bd738d7f1b3e5a7ca70fe4ff75f0.us-east-1.aws.found.io/app/kibana#/discover/Steve-Slow-Train-Analysis-(2080s-and-2083s)?_g=(refreshInterval:(display:Off,pause:!f,section:0,value:0),time:(from:'2017-10-30T18:59:02-0600',mode:absolute,to:'2017-10-30T21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9.7100000000000006E-2</v>
      </c>
      <c r="Z200" s="204">
        <f>RIGHT(H200,LEN(H200)-4)/10000</f>
        <v>5.9001000000000001</v>
      </c>
      <c r="AA200" s="204">
        <f t="shared" si="61"/>
        <v>5.8029999999999999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2"/>
        <v>843</v>
      </c>
      <c r="AE200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200" s="74" t="str">
        <f t="shared" si="64"/>
        <v>"C:\Program Files (x86)\AstroGrep\AstroGrep.exe" /e /r /s /spath="%USERPROFILE%\AppData\Local\Temp\OnboardLogs" /stypes="app*4036*20171031*" /stext=" 02:.+((SYSTEM_STATE.+slice.+state.+changed )|(ment ac)|(multiple cpu faults)|(system.+state.+changed )|(\[timeout)|(PRM\|1\|D)|(kpr)|(kdp)|(train st.+moving)|(\|lc)|(penalty))"</v>
      </c>
      <c r="AG200" s="182" t="str">
        <f t="shared" si="65"/>
        <v>NW</v>
      </c>
      <c r="AH200" s="78" t="str">
        <f t="shared" si="74"/>
        <v>"%USERPROFILE%\Documents\GitHub\eaglep3\Utilities\RefineRTDCRunTimes.py" --tripid 843-30 --locoid 4036 --swversion DE.1.0.9.0 --startMP 204:971 --initTime 2017-10-30T19:59:02 --startdatetime 2017-10-30T20:09:48 --delay 53 --endMP 300:59001 --enddatetime 2017-10-30T20:23:59 --enforcementcount 0 &gt;&gt;%USERPROFILE%\Documents\GitHub\eaglep3-reporting\EC\2017-10-30-refined-times.txt</v>
      </c>
      <c r="AI200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{"issue":{"subject":"","project_id":79,"tracker_id":40,"status_id":1,"priority_id":2,"assigned_to_id":338,"start_date":"2017-10-30","description":"","custom_fields":[{"id":1,"name":"Subdivision","value":"NW"},{"id":4,"name":"Milepost","value":"5.9001"},{"id":17,"name":"Train ID","value":"843-30"},{"id":16,"name":"Locomotive ID","value":"4036"},{"id":130,"name":"Impact","value":""},{"id":150,"name":"Time of Event (Mountain Time)","value":"20:23:59"},{"id":151,"name":"Denver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6"/>
        <v>start /low /b %USERPROFILE%\Documents\GitHub\eaglep3\Utilities\DownloadLogsFromS3.py --loco 4036 --day 2017-10-30</v>
      </c>
      <c r="AN200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8"/>
        <v>https://d0f6bd738d7f1b3e5a7ca70fe4ff75f0.us-east-1.aws.found.io/app/kibana#/discover/Steve-Slow-Train-Analysis-(2080s-and-2083s)?_g=(refreshInterval:(display:Off,pause:!f,section:0,value:0),time:(from:'2017-10-30T18:59:02-0600',mode:absolute,to:'2017-10-30T21:23:59-0600'))&amp;_a=(columns:!('Message%20ID',Summary),filters:!(),index:'emp_*',interval:auto,query:(query_string:(analyze_wildcard:!t,query:'%22rtdc.l.rtdc.4036%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879</v>
      </c>
      <c r="B201" s="7">
        <v>4035</v>
      </c>
      <c r="C201" s="21" t="s">
        <v>194</v>
      </c>
      <c r="D201" s="21" t="s">
        <v>616</v>
      </c>
      <c r="E201" s="13">
        <v>43038.832662037035</v>
      </c>
      <c r="F201" s="13">
        <v>43038.904918981483</v>
      </c>
      <c r="G201" s="7">
        <v>53</v>
      </c>
      <c r="H201" s="21" t="s">
        <v>1100</v>
      </c>
      <c r="I201" s="13">
        <v>43038.9219212963</v>
      </c>
      <c r="J201" s="7">
        <v>0</v>
      </c>
      <c r="K201" s="89" t="str">
        <f t="shared" si="57"/>
        <v>4035/4036</v>
      </c>
      <c r="L201" s="185" t="str">
        <f>VLOOKUP(A201,'Trips&amp;Operators'!$C$1:$G$99911,5,FALSE)</f>
        <v>MAGEE KENYA</v>
      </c>
      <c r="M201" s="6">
        <f t="shared" si="58"/>
        <v>1.7002314816636499E-2</v>
      </c>
      <c r="N201" s="7">
        <f t="shared" si="101"/>
        <v>24.483333335956559</v>
      </c>
      <c r="O201" s="7"/>
      <c r="P201" s="7"/>
      <c r="Q201" s="22"/>
      <c r="R201" s="174"/>
      <c r="S201" s="221">
        <f t="shared" si="102"/>
        <v>1</v>
      </c>
      <c r="T201" s="174" t="str">
        <f t="shared" si="59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0"/>
        <v>https://d0f6bd738d7f1b3e5a7ca70fe4ff75f0.us-east-1.aws.found.io/app/kibana#/discover/Steve-Slow-Train-Analysis-(2080s-and-2083s)?_g=(refreshInterval:(display:Off,pause:!f,section:0,value:0),time:(from:'2017-10-30T18:59:02-0600',mode:absolute,to:'2017-10-30T23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1" s="204" t="str">
        <f>IF(AA201&lt;VLOOKUP(AG201,Variables!$AC$3:$AD$8,2,FALSE),"Y","N")</f>
        <v>N</v>
      </c>
      <c r="X201" s="204">
        <f t="shared" ref="X201:X203" si="109">VALUE(LEFT(AD201,4))-VALUE(LEFT(AD200,4))</f>
        <v>1</v>
      </c>
      <c r="Y201" s="204">
        <v>5.8685</v>
      </c>
      <c r="Z201" s="204">
        <v>6.6600000000000006E-2</v>
      </c>
      <c r="AA201" s="204">
        <f t="shared" si="61"/>
        <v>5.8018999999999998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2"/>
        <v>844</v>
      </c>
      <c r="AE201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201" s="74" t="str">
        <f t="shared" si="64"/>
        <v>"C:\Program Files (x86)\AstroGrep\AstroGrep.exe" /e /r /s /spath="%USERPROFILE%\AppData\Local\Temp\OnboardLogs" /stypes="app*4035*20171031*" /stext=" 04:.+((SYSTEM_STATE.+slice.+state.+changed )|(ment ac)|(multiple cpu faults)|(system.+state.+changed )|(\[timeout)|(PRM\|1\|D)|(kpr)|(kdp)|(train st.+moving)|(\|lc)|(penalty))"</v>
      </c>
      <c r="AG201" s="182" t="str">
        <f t="shared" si="65"/>
        <v>NW</v>
      </c>
      <c r="AH201" s="78" t="str">
        <f t="shared" ref="AH201" si="110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844-30 --locoid 4035 --swversion DE.1.0.9.0 --startMP 204:971 --initTime 2017-10-30T19:59:02 --startdatetime 2017-10-30T21:43:05 --delay 53 --endMP 300:59001 --enddatetime 2017-10-30T22:07:34 --enforcementcount 0 &gt;&gt;%USERPROFILE%\Documents\GitHub\eaglep3-reporting\EC\2017-10-30-refined-times.txt</v>
      </c>
      <c r="AI201" s="96" t="str">
        <f t="shared" ref="AI201" si="111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{"issue":{"subject":"","project_id":79,"tracker_id":40,"status_id":1,"priority_id":2,"assigned_to_id":338,"start_date":"2017-10-30","description":"","custom_fields":[{"id":1,"name":"Subdivision","value":"NW"},{"id":4,"name":"Milepost","value":"0.0666"},{"id":17,"name":"Train ID","value":"844-30"},{"id":16,"name":"Locomotive ID","value":"4035"},{"id":130,"name":"Impact","value":""},{"id":150,"name":"Time of Event (Mountain Time)","value":"22:07:34"},{"id":151,"name":"Denver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112">"start /low /b "&amp;dls3logs&amp;" --loco "&amp;B201&amp;" --day "&amp;TEXT(F201,"YYYY-MM-DD")</f>
        <v>start /low /b %USERPROFILE%\Documents\GitHub\eaglep3\Utilities\DownloadLogsFromS3.py --loco 4035 --day 2017-10-30</v>
      </c>
      <c r="AN201" s="151" t="str">
        <f t="shared" ref="AN201" si="113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114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-30T18:59:02-0600',mode:absolute,to:'2017-10-30T23:07:34-0600'))&amp;_a=(columns:!('Message%20ID',Summary),filters:!(),index:'emp_*',interval:auto,query:(query_string:(analyze_wildcard:!t,query:'%22rtdc.l.rtdc.4035%22')),sort:!(Time.ISO8601,asc))</v>
      </c>
    </row>
    <row r="202" spans="1:91" s="20" customFormat="1" x14ac:dyDescent="0.3">
      <c r="A202" s="32" t="s">
        <v>668</v>
      </c>
      <c r="B202" s="7">
        <v>4036</v>
      </c>
      <c r="C202" s="21" t="s">
        <v>194</v>
      </c>
      <c r="D202" s="21" t="s">
        <v>1101</v>
      </c>
      <c r="E202" s="13">
        <v>43038.875509259262</v>
      </c>
      <c r="F202" s="13">
        <v>43038.881932870368</v>
      </c>
      <c r="G202" s="7">
        <v>93</v>
      </c>
      <c r="H202" s="21" t="s">
        <v>614</v>
      </c>
      <c r="I202" s="13">
        <v>43038.891527777778</v>
      </c>
      <c r="J202" s="7">
        <v>0</v>
      </c>
      <c r="K202" s="89" t="str">
        <f t="shared" si="57"/>
        <v>4035/4036</v>
      </c>
      <c r="L202" s="185" t="str">
        <f>VLOOKUP(A202,'Trips&amp;Operators'!$C$1:$G$99911,5,FALSE)</f>
        <v>MAGEE KENYA</v>
      </c>
      <c r="M202" s="6">
        <f t="shared" si="58"/>
        <v>9.5949074093368836E-3</v>
      </c>
      <c r="N202" s="7">
        <f t="shared" si="101"/>
        <v>13.816666669445112</v>
      </c>
      <c r="O202" s="7"/>
      <c r="P202" s="7"/>
      <c r="Q202" s="22"/>
      <c r="R202" s="174"/>
      <c r="S202" s="221">
        <f t="shared" si="102"/>
        <v>1</v>
      </c>
      <c r="T202" s="174" t="str">
        <f t="shared" si="59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0"/>
        <v>https://d0f6bd738d7f1b3e5a7ca70fe4ff75f0.us-east-1.aws.found.io/app/kibana#/discover/Steve-Slow-Train-Analysis-(2080s-and-2083s)?_g=(refreshInterval:(display:Off,pause:!f,section:0,value:0),time:(from:'2017-10-30T20:00:44-0600',mode:absolute,to:'2017-10-30T22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2" s="204" t="str">
        <f>IF(AA202&lt;VLOOKUP(AG202,Variables!$AC$3:$AD$8,2,FALSE),"Y","N")</f>
        <v>N</v>
      </c>
      <c r="X202" s="204">
        <f t="shared" si="109"/>
        <v>1</v>
      </c>
      <c r="Y202" s="204">
        <f t="shared" ref="Y202:Y239" si="115">RIGHT(D202,LEN(D202)-4)/10000</f>
        <v>0.13589999999999999</v>
      </c>
      <c r="Z202" s="204">
        <f t="shared" ref="Z202:Z239" si="116">RIGHT(H202,LEN(H202)-4)/10000</f>
        <v>5.8925999999999998</v>
      </c>
      <c r="AA202" s="204">
        <f t="shared" si="61"/>
        <v>5.7566999999999995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2"/>
        <v>845</v>
      </c>
      <c r="AE202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202" s="74" t="str">
        <f t="shared" si="64"/>
        <v>"C:\Program Files (x86)\AstroGrep\AstroGrep.exe" /e /r /s /spath="%USERPROFILE%\AppData\Local\Temp\OnboardLogs" /stypes="app*4036*20171031*" /stext=" 03:.+((SYSTEM_STATE.+slice.+state.+changed )|(ment ac)|(multiple cpu faults)|(system.+state.+changed )|(\[timeout)|(PRM\|1\|D)|(kpr)|(kdp)|(train st.+moving)|(\|lc)|(penalty))"</v>
      </c>
      <c r="AG202" s="182" t="str">
        <f t="shared" si="65"/>
        <v>NW</v>
      </c>
      <c r="AH202" s="78" t="str">
        <f t="shared" si="74"/>
        <v>"%USERPROFILE%\Documents\GitHub\eaglep3\Utilities\RefineRTDCRunTimes.py" --tripid 845-30 --locoid 4036 --swversion DE.1.0.9.0 --startMP 204:1359 --initTime 2017-10-30T21:00:44 --startdatetime 2017-10-30T21:09:59 --delay 93 --endMP 300:58926 --enddatetime 2017-10-30T21:23:48 --enforcementcount 0 &gt;&gt;%USERPROFILE%\Documents\GitHub\eaglep3-reporting\EC\2017-10-30-refined-times.txt</v>
      </c>
      <c r="AI202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{"issue":{"subject":"","project_id":79,"tracker_id":40,"status_id":1,"priority_id":2,"assigned_to_id":338,"start_date":"2017-10-30","description":"","custom_fields":[{"id":1,"name":"Subdivision","value":"NW"},{"id":4,"name":"Milepost","value":"5.8926"},{"id":17,"name":"Train ID","value":"845-30"},{"id":16,"name":"Locomotive ID","value":"4036"},{"id":130,"name":"Impact","value":""},{"id":150,"name":"Time of Event (Mountain Time)","value":"21:23:48"},{"id":151,"name":"Denver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6"/>
        <v>start /low /b %USERPROFILE%\Documents\GitHub\eaglep3\Utilities\DownloadLogsFromS3.py --loco 4036 --day 2017-10-30</v>
      </c>
      <c r="AN202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8"/>
        <v>https://d0f6bd738d7f1b3e5a7ca70fe4ff75f0.us-east-1.aws.found.io/app/kibana#/discover/Steve-Slow-Train-Analysis-(2080s-and-2083s)?_g=(refreshInterval:(display:Off,pause:!f,section:0,value:0),time:(from:'2017-10-30T20:00:44-0600',mode:absolute,to:'2017-10-30T22:23:48-0600'))&amp;_a=(columns:!('Message%20ID',Summary),filters:!(),index:'emp_*',interval:auto,query:(query_string:(analyze_wildcard:!t,query:'%22rtdc.l.rtdc.4036%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669</v>
      </c>
      <c r="B203" s="7">
        <v>4035</v>
      </c>
      <c r="C203" s="21" t="s">
        <v>194</v>
      </c>
      <c r="D203" s="21" t="s">
        <v>1102</v>
      </c>
      <c r="E203" s="13">
        <v>43038.936284722222</v>
      </c>
      <c r="F203" s="13">
        <v>43038.946875000001</v>
      </c>
      <c r="G203" s="7">
        <v>47</v>
      </c>
      <c r="H203" s="21" t="s">
        <v>1103</v>
      </c>
      <c r="I203" s="13">
        <v>43038.955208333333</v>
      </c>
      <c r="J203" s="7">
        <v>0</v>
      </c>
      <c r="K203" s="89" t="str">
        <f t="shared" si="57"/>
        <v>4035/4036</v>
      </c>
      <c r="L203" s="185" t="str">
        <f>VLOOKUP(A203,'Trips&amp;Operators'!$C$1:$G$99911,5,FALSE)</f>
        <v>MAGEE KENYA</v>
      </c>
      <c r="M203" s="6">
        <f t="shared" si="58"/>
        <v>8.333333331393078E-3</v>
      </c>
      <c r="N203" s="7">
        <f t="shared" si="101"/>
        <v>11.999999997206032</v>
      </c>
      <c r="O203" s="7"/>
      <c r="P203" s="7"/>
      <c r="Q203" s="22"/>
      <c r="R203" s="174"/>
      <c r="S203" s="221">
        <f t="shared" si="102"/>
        <v>1</v>
      </c>
      <c r="T203" s="174" t="str">
        <f t="shared" si="59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0"/>
        <v>https://d0f6bd738d7f1b3e5a7ca70fe4ff75f0.us-east-1.aws.found.io/app/kibana#/discover/Steve-Slow-Train-Analysis-(2080s-and-2083s)?_g=(refreshInterval:(display:Off,pause:!f,section:0,value:0),time:(from:'2017-10-30T21:28:15-0600',mode:absolute,to:'2017-10-30T23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3" s="204" t="str">
        <f>IF(AA203&lt;VLOOKUP(AG203,Variables!$AC$3:$AD$8,2,FALSE),"Y","N")</f>
        <v>N</v>
      </c>
      <c r="X203" s="204">
        <f t="shared" si="109"/>
        <v>1</v>
      </c>
      <c r="Y203" s="204">
        <f t="shared" si="115"/>
        <v>5.8613</v>
      </c>
      <c r="Z203" s="204">
        <f t="shared" si="116"/>
        <v>9.5799999999999996E-2</v>
      </c>
      <c r="AA203" s="204">
        <f t="shared" si="61"/>
        <v>5.7655000000000003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2"/>
        <v>846</v>
      </c>
      <c r="AE203" s="77" t="str">
        <f t="shared" si="63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203" s="74" t="str">
        <f t="shared" si="64"/>
        <v>"C:\Program Files (x86)\AstroGrep\AstroGrep.exe" /e /r /s /spath="%USERPROFILE%\AppData\Local\Temp\OnboardLogs" /stypes="app*4035*20171031*" /stext=" 04:.+((SYSTEM_STATE.+slice.+state.+changed )|(ment ac)|(multiple cpu faults)|(system.+state.+changed )|(\[timeout)|(PRM\|1\|D)|(kpr)|(kdp)|(train st.+moving)|(\|lc)|(penalty))"</v>
      </c>
      <c r="AG203" s="182" t="str">
        <f t="shared" si="65"/>
        <v>NW</v>
      </c>
      <c r="AH203" s="78" t="str">
        <f t="shared" si="74"/>
        <v>"%USERPROFILE%\Documents\GitHub\eaglep3\Utilities\RefineRTDCRunTimes.py" --tripid 846-30 --locoid 4035 --swversion DE.1.0.9.0 --startMP 300:58613 --initTime 2017-10-30T22:28:15 --startdatetime 2017-10-30T22:43:30 --delay 47 --endMP 204:958 --enddatetime 2017-10-30T22:55:30 --enforcementcount 0 &gt;&gt;%USERPROFILE%\Documents\GitHub\eaglep3-reporting\EC\2017-10-30-refined-times.txt</v>
      </c>
      <c r="AI203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{"issue":{"subject":"","project_id":79,"tracker_id":40,"status_id":1,"priority_id":2,"assigned_to_id":338,"start_date":"2017-10-30","description":"","custom_fields":[{"id":1,"name":"Subdivision","value":"NW"},{"id":4,"name":"Milepost","value":"0.0958"},{"id":17,"name":"Train ID","value":"846-30"},{"id":16,"name":"Locomotive ID","value":"4035"},{"id":130,"name":"Impact","value":""},{"id":150,"name":"Time of Event (Mountain Time)","value":"22:55:30"},{"id":151,"name":"Denver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6"/>
        <v>start /low /b %USERPROFILE%\Documents\GitHub\eaglep3\Utilities\DownloadLogsFromS3.py --loco 4035 --day 2017-10-30</v>
      </c>
      <c r="AN203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8"/>
        <v>https://d0f6bd738d7f1b3e5a7ca70fe4ff75f0.us-east-1.aws.found.io/app/kibana#/discover/Steve-Slow-Train-Analysis-(2080s-and-2083s)?_g=(refreshInterval:(display:Off,pause:!f,section:0,value:0),time:(from:'2017-10-30T21:28:15-0600',mode:absolute,to:'2017-10-30T23:55:30-0600'))&amp;_a=(columns:!('Message%20ID',Summary),filters:!(),index:'emp_*',interval:auto,query:(query_string:(analyze_wildcard:!t,query:'%22rtdc.l.rtdc.4035%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882</v>
      </c>
      <c r="B204" s="7">
        <v>4036</v>
      </c>
      <c r="C204" s="21" t="s">
        <v>194</v>
      </c>
      <c r="D204" s="21" t="s">
        <v>1104</v>
      </c>
      <c r="E204" s="13">
        <v>43038.91909722222</v>
      </c>
      <c r="F204" s="13">
        <v>43038.923229166663</v>
      </c>
      <c r="G204" s="7">
        <v>66</v>
      </c>
      <c r="H204" s="21" t="s">
        <v>617</v>
      </c>
      <c r="I204" s="13">
        <v>43038.93482638889</v>
      </c>
      <c r="J204" s="7">
        <v>0</v>
      </c>
      <c r="K204" s="89" t="str">
        <f t="shared" si="57"/>
        <v>4035/4036</v>
      </c>
      <c r="L204" s="185" t="str">
        <f>VLOOKUP(A204,'Trips&amp;Operators'!$C$1:$G$99911,5,FALSE)</f>
        <v>MAGEE KENYA</v>
      </c>
      <c r="M204" s="6">
        <f t="shared" si="58"/>
        <v>1.1597222226555459E-2</v>
      </c>
      <c r="N204" s="7">
        <f t="shared" si="101"/>
        <v>16.700000006239861</v>
      </c>
      <c r="O204" s="7"/>
      <c r="P204" s="7"/>
      <c r="Q204" s="22"/>
      <c r="R204" s="174"/>
      <c r="S204" s="221">
        <f t="shared" si="102"/>
        <v>1</v>
      </c>
      <c r="T204" s="174" t="str">
        <f t="shared" si="59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0"/>
        <v>https://d0f6bd738d7f1b3e5a7ca70fe4ff75f0.us-east-1.aws.found.io/app/kibana#/discover/Steve-Slow-Train-Analysis-(2080s-and-2083s)?_g=(refreshInterval:(display:Off,pause:!f,section:0,value:0),time:(from:'2017-10-30T21:03:30-0600',mode:absolute,to:'2017-10-30T23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4" s="204" t="str">
        <f>IF(AA204&lt;VLOOKUP(AG204,Variables!$AC$3:$AD$8,2,FALSE),"Y","N")</f>
        <v>N</v>
      </c>
      <c r="X204" s="204">
        <f t="shared" ref="X204:X239" si="117">VALUE(LEFT(AD204,4))-VALUE(LEFT(AD203,4))</f>
        <v>1</v>
      </c>
      <c r="Y204" s="204">
        <f t="shared" si="115"/>
        <v>0.1245</v>
      </c>
      <c r="Z204" s="204">
        <f t="shared" si="116"/>
        <v>5.8929</v>
      </c>
      <c r="AA204" s="204">
        <f t="shared" si="61"/>
        <v>5.7683999999999997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2"/>
        <v>847</v>
      </c>
      <c r="AE204" s="77" t="str">
        <f t="shared" si="63"/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204" s="74" t="str">
        <f t="shared" si="64"/>
        <v>"C:\Program Files (x86)\AstroGrep\AstroGrep.exe" /e /r /s /spath="%USERPROFILE%\AppData\Local\Temp\OnboardLogs" /stypes="app*4036*20171031*" /stext=" 04:.+((SYSTEM_STATE.+slice.+state.+changed )|(ment ac)|(multiple cpu faults)|(system.+state.+changed )|(\[timeout)|(PRM\|1\|D)|(kpr)|(kdp)|(train st.+moving)|(\|lc)|(penalty))"</v>
      </c>
      <c r="AG204" s="182" t="str">
        <f t="shared" si="65"/>
        <v>NW</v>
      </c>
      <c r="AH204" s="78" t="str">
        <f t="shared" si="74"/>
        <v>"%USERPROFILE%\Documents\GitHub\eaglep3\Utilities\RefineRTDCRunTimes.py" --tripid 847-30 --locoid 4036 --swversion DE.1.0.9.0 --startMP 204:1245 --initTime 2017-10-30T22:03:30 --startdatetime 2017-10-30T22:09:27 --delay 66 --endMP 300:58929 --enddatetime 2017-10-30T22:26:09 --enforcementcount 0 &gt;&gt;%USERPROFILE%\Documents\GitHub\eaglep3-reporting\EC\2017-10-30-refined-times.txt</v>
      </c>
      <c r="AI204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{"issue":{"subject":"","project_id":79,"tracker_id":40,"status_id":1,"priority_id":2,"assigned_to_id":338,"start_date":"2017-10-30","description":"","custom_fields":[{"id":1,"name":"Subdivision","value":"NW"},{"id":4,"name":"Milepost","value":"5.8929"},{"id":17,"name":"Train ID","value":"847-30"},{"id":16,"name":"Locomotive ID","value":"4036"},{"id":130,"name":"Impact","value":""},{"id":150,"name":"Time of Event (Mountain Time)","value":"22:26:09"},{"id":151,"name":"Denver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6"/>
        <v>start /low /b %USERPROFILE%\Documents\GitHub\eaglep3\Utilities\DownloadLogsFromS3.py --loco 4036 --day 2017-10-30</v>
      </c>
      <c r="AN204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04:26:09"},{"id":29,"name":"Sharepoint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8"/>
        <v>https://d0f6bd738d7f1b3e5a7ca70fe4ff75f0.us-east-1.aws.found.io/app/kibana#/discover/Steve-Slow-Train-Analysis-(2080s-and-2083s)?_g=(refreshInterval:(display:Off,pause:!f,section:0,value:0),time:(from:'2017-10-30T21:03:30-0600',mode:absolute,to:'2017-10-30T23:26:09-0600'))&amp;_a=(columns:!('Message%20ID',Summary),filters:!(),index:'emp_*',interval:auto,query:(query_string:(analyze_wildcard:!t,query:'%22rtdc.l.rtdc.4036%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670</v>
      </c>
      <c r="B205" s="7">
        <v>4036</v>
      </c>
      <c r="C205" s="21" t="s">
        <v>194</v>
      </c>
      <c r="D205" s="21" t="s">
        <v>1105</v>
      </c>
      <c r="E205" s="13">
        <v>43038.957349537035</v>
      </c>
      <c r="F205" s="13">
        <v>43038.964872685188</v>
      </c>
      <c r="G205" s="7">
        <v>583</v>
      </c>
      <c r="H205" s="21" t="s">
        <v>1053</v>
      </c>
      <c r="I205" s="13">
        <v>43038.974745370368</v>
      </c>
      <c r="J205" s="7">
        <v>0</v>
      </c>
      <c r="K205" s="89" t="str">
        <f t="shared" ref="K205:K239" si="118">IF(ISEVEN(B205),(B205-1)&amp;"/"&amp;B205,B205&amp;"/"&amp;(B205+1))</f>
        <v>4035/4036</v>
      </c>
      <c r="L205" s="185" t="str">
        <f>VLOOKUP(A205,'Trips&amp;Operators'!$C$1:$G$99911,5,FALSE)</f>
        <v>MAGEE KENYA</v>
      </c>
      <c r="M205" s="6">
        <f t="shared" ref="M205:M239" si="119">I205-F205</f>
        <v>9.8726851792889647E-3</v>
      </c>
      <c r="N205" s="7">
        <f t="shared" si="101"/>
        <v>14.216666658176109</v>
      </c>
      <c r="O205" s="7"/>
      <c r="P205" s="7"/>
      <c r="Q205" s="22"/>
      <c r="R205" s="174"/>
      <c r="S205" s="221">
        <f t="shared" si="102"/>
        <v>1</v>
      </c>
      <c r="T205" s="174" t="str">
        <f t="shared" ref="T205:T239" si="120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9" si="12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-30T21:58:35-0600',mode:absolute,to:'2017-10-31T00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04" t="str">
        <f>IF(AA205&lt;VLOOKUP(AG205,Variables!$AC$3:$AD$8,2,FALSE),"Y","N")</f>
        <v>N</v>
      </c>
      <c r="X205" s="204">
        <f t="shared" si="117"/>
        <v>2</v>
      </c>
      <c r="Y205" s="204">
        <f t="shared" si="115"/>
        <v>0.12540000000000001</v>
      </c>
      <c r="Z205" s="204">
        <f t="shared" si="116"/>
        <v>5.8933</v>
      </c>
      <c r="AA205" s="204">
        <f t="shared" ref="AA205:AA268" si="122">ABS(Z205-Y205)</f>
        <v>5.7679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9" si="123">VALUE(LEFT(A205,LEN(A205)-3))</f>
        <v>849</v>
      </c>
      <c r="AE205" s="77" t="str">
        <f t="shared" ref="AE205:AE239" si="12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AF205" s="74" t="str">
        <f t="shared" ref="AF205:AF239" si="12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/stypes="app*4036*20171031*" /stext=" 05:.+((SYSTEM_STATE.+slice.+state.+changed )|(ment ac)|(multiple cpu faults)|(system.+state.+changed )|(\[timeout)|(PRM\|1\|D)|(kpr)|(kdp)|(train st.+moving)|(\|lc)|(penalty))"</v>
      </c>
      <c r="AG205" s="182" t="str">
        <f t="shared" ref="AG205:AG239" si="126">DetSubdiv(A205)</f>
        <v>NW</v>
      </c>
      <c r="AH205" s="78" t="str">
        <f t="shared" si="74"/>
        <v>"%USERPROFILE%\Documents\GitHub\eaglep3\Utilities\RefineRTDCRunTimes.py" --tripid 849-30 --locoid 4036 --swversion DE.1.0.9.0 --startMP 204:1254 --initTime 2017-10-30T22:58:35 --startdatetime 2017-10-30T23:09:25 --delay 583 --endMP 300:58933 --enddatetime 2017-10-30T23:23:38 --enforcementcount 0 &gt;&gt;%USERPROFILE%\Documents\GitHub\eaglep3-reporting\EC\2017-10-30-refined-times.txt</v>
      </c>
      <c r="AI205" s="96" t="str">
        <f t="shared" si="75"/>
        <v>echo {"issue":{"subject":"","project_id":79,"tracker_id":40,"status_id":1,"priority_id":2,"assigned_to_id":338,"start_date":"2017-10-30","description":"","custom_fields":[{"id":1,"name":"Subdivision","value":"NW"},{"id":4,"name":"Milepost","value":"5.8933"},{"id":17,"name":"Train ID","value":"849-30"},{"id":16,"name":"Locomotive ID","value":"4036"},{"id":130,"name":"Impact","value":""},{"id":150,"name":"Time of Event (Mountain Time)","value":"23:23:38"},{"id":151,"name":"Denver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6"/>
        <v>start /low /b %USERPROFILE%\Documents\GitHub\eaglep3\Utilities\DownloadLogsFromS3.py --loco 4036 --day 2017-10-30</v>
      </c>
      <c r="AN205" s="151" t="str">
        <f t="shared" si="77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8"/>
        <v>https://d0f6bd738d7f1b3e5a7ca70fe4ff75f0.us-east-1.aws.found.io/app/kibana#/discover/Steve-Slow-Train-Analysis-(2080s-and-2083s)?_g=(refreshInterval:(display:Off,pause:!f,section:0,value:0),time:(from:'2017-10-30T21:58:35-0600',mode:absolute,to:'2017-10-31T00:23:38-0600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649</v>
      </c>
      <c r="B206" s="7">
        <v>4003</v>
      </c>
      <c r="C206" s="21" t="s">
        <v>194</v>
      </c>
      <c r="D206" s="21" t="s">
        <v>1009</v>
      </c>
      <c r="E206" s="13">
        <v>43038.11513888889</v>
      </c>
      <c r="F206" s="13">
        <v>43038.118368055555</v>
      </c>
      <c r="G206" s="7">
        <v>67</v>
      </c>
      <c r="H206" s="21" t="s">
        <v>913</v>
      </c>
      <c r="I206" s="13">
        <v>43038.125092592592</v>
      </c>
      <c r="J206" s="7">
        <v>0</v>
      </c>
      <c r="K206" s="89" t="str">
        <f t="shared" si="118"/>
        <v>4003/4004</v>
      </c>
      <c r="L206" s="185" t="str">
        <f>VLOOKUP(A206,'Trips&amp;Operators'!$C$1:$G$99911,5,FALSE)</f>
        <v>THOMPSON LESTER</v>
      </c>
      <c r="M206" s="6">
        <f t="shared" si="119"/>
        <v>6.7245370373711921E-3</v>
      </c>
      <c r="N206" s="7">
        <f t="shared" si="101"/>
        <v>9.6833333338145167</v>
      </c>
      <c r="O206" s="7"/>
      <c r="P206" s="7"/>
      <c r="Q206" s="22"/>
      <c r="R206" s="174"/>
      <c r="S206" s="221">
        <f t="shared" si="102"/>
        <v>1</v>
      </c>
      <c r="T206" s="174" t="str">
        <f t="shared" si="120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21"/>
        <v>https://d0f6bd738d7f1b3e5a7ca70fe4ff75f0.us-east-1.aws.found.io/app/kibana#/discover/Steve-Slow-Train-Analysis-(2080s-and-2083s)?_g=(refreshInterval:(display:Off,pause:!f,section:0,value:0),time:(from:'2017-10-30T01:45:48-0600',mode:absolute,to:'2017-10-30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6" s="204" t="str">
        <f>IF(AA206&lt;VLOOKUP(AG206,Variables!$AC$3:$AD$8,2,FALSE),"Y","N")</f>
        <v>Y</v>
      </c>
      <c r="X206" s="204">
        <f t="shared" si="117"/>
        <v>-549</v>
      </c>
      <c r="Y206" s="204">
        <f t="shared" si="115"/>
        <v>2.3542000000000001</v>
      </c>
      <c r="Z206" s="204">
        <f t="shared" si="116"/>
        <v>1.3599999999999999E-2</v>
      </c>
      <c r="AA206" s="204">
        <f t="shared" si="122"/>
        <v>2.3406000000000002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3"/>
        <v>300</v>
      </c>
      <c r="AE206" s="77" t="str">
        <f t="shared" si="124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206" s="74" t="str">
        <f t="shared" si="125"/>
        <v>"C:\Program Files (x86)\AstroGrep\AstroGrep.exe" /e /r /s /spath="%USERPROFILE%\AppData\Local\Temp\OnboardLogs" /stypes="app*4003*20171030*" /stext=" 09:.+((SYSTEM_STATE.+slice.+state.+changed )|(ment ac)|(multiple cpu faults)|(system.+state.+changed )|(\[timeout)|(PRM\|1\|D)|(kpr)|(kdp)|(train st.+moving)|(\|lc)|(penalty))"</v>
      </c>
      <c r="AG206" s="182" t="str">
        <f t="shared" si="126"/>
        <v>Other</v>
      </c>
      <c r="AH206" s="78" t="str">
        <f t="shared" si="74"/>
        <v>"%USERPROFILE%\Documents\GitHub\eaglep3\Utilities\RefineRTDCRunTimes.py" --tripid 300-30 --locoid 4003 --swversion DE.1.0.9.0 --startMP 300:23542 --initTime 2017-10-30T02:45:48 --startdatetime 2017-10-30T02:50:27 --delay 67 --endMP 204:136 --enddatetime 2017-10-30T03:00:08 --enforcementcount 0 &gt;&gt;%USERPROFILE%\Documents\GitHub\eaglep3-reporting\EC\2017-10-30-refined-times.txt</v>
      </c>
      <c r="AI206" s="96" t="str">
        <f t="shared" si="75"/>
        <v>echo {"issue":{"subject":"","project_id":79,"tracker_id":40,"status_id":1,"priority_id":2,"assigned_to_id":338,"start_date":"2017-10-30","description":"","custom_fields":[{"id":1,"name":"Subdivision","value":"Other"},{"id":4,"name":"Milepost","value":"0.0136"},{"id":17,"name":"Train ID","value":"300-30"},{"id":16,"name":"Locomotive ID","value":"4003"},{"id":130,"name":"Impact","value":""},{"id":150,"name":"Time of Event (Mountain Time)","value":"03:00:08"},{"id":151,"name":"Denver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76"/>
        <v>start /low /b %USERPROFILE%\Documents\GitHub\eaglep3\Utilities\DownloadLogsFromS3.py --loco 4003 --day 2017-10-30</v>
      </c>
      <c r="AN206" s="151" t="str">
        <f t="shared" si="7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8"/>
        <v>https://d0f6bd738d7f1b3e5a7ca70fe4ff75f0.us-east-1.aws.found.io/app/kibana#/discover/Steve-Slow-Train-Analysis-(2080s-and-2083s)?_g=(refreshInterval:(display:Off,pause:!f,section:0,value:0),time:(from:'2017-10-30T01:45:48-0600',mode:absolute,to:'2017-10-30T04:00:08-0600'))&amp;_a=(columns:!('Message%20ID',Summary),filters:!(),index:'emp_*',interval:auto,query:(query_string:(analyze_wildcard:!t,query:'%22rtdc.l.rtdc.4003%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859</v>
      </c>
      <c r="B207" s="7">
        <v>4058</v>
      </c>
      <c r="C207" s="21" t="s">
        <v>194</v>
      </c>
      <c r="D207" s="21" t="s">
        <v>631</v>
      </c>
      <c r="E207" s="13">
        <v>43038.779409722221</v>
      </c>
      <c r="F207" s="13">
        <v>43038.78261574074</v>
      </c>
      <c r="G207" s="7">
        <v>193</v>
      </c>
      <c r="H207" s="21" t="s">
        <v>534</v>
      </c>
      <c r="I207" s="13">
        <v>43038.789375</v>
      </c>
      <c r="J207" s="7">
        <v>0</v>
      </c>
      <c r="K207" s="89" t="str">
        <f t="shared" si="118"/>
        <v>4057/4058</v>
      </c>
      <c r="L207" s="185" t="str">
        <f>VLOOKUP(A207,'Trips&amp;Operators'!$C$1:$G$99911,5,FALSE)</f>
        <v>LEVERE CRAIG</v>
      </c>
      <c r="M207" s="6">
        <f t="shared" si="119"/>
        <v>6.7592592604341917E-3</v>
      </c>
      <c r="N207" s="7">
        <f t="shared" si="101"/>
        <v>9.733333335025236</v>
      </c>
      <c r="O207" s="7"/>
      <c r="P207" s="7"/>
      <c r="Q207" s="22"/>
      <c r="R207" s="174"/>
      <c r="S207" s="221">
        <f t="shared" si="102"/>
        <v>1</v>
      </c>
      <c r="T207" s="174" t="str">
        <f t="shared" si="120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21"/>
        <v>https://d0f6bd738d7f1b3e5a7ca70fe4ff75f0.us-east-1.aws.found.io/app/kibana#/discover/Steve-Slow-Train-Analysis-(2080s-and-2083s)?_g=(refreshInterval:(display:Off,pause:!f,section:0,value:0),time:(from:'2017-10-30T17:42:21-0600',mode:absolute,to:'2017-10-30T19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04" t="str">
        <f>IF(AA207&lt;VLOOKUP(AG207,Variables!$AC$3:$AD$8,2,FALSE),"Y","N")</f>
        <v>Y</v>
      </c>
      <c r="X207" s="204">
        <f t="shared" si="117"/>
        <v>1</v>
      </c>
      <c r="Y207" s="204">
        <f t="shared" si="115"/>
        <v>5.5300000000000002E-2</v>
      </c>
      <c r="Z207" s="204">
        <f t="shared" si="116"/>
        <v>2.331</v>
      </c>
      <c r="AA207" s="204">
        <f t="shared" si="122"/>
        <v>2.2757000000000001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3"/>
        <v>301</v>
      </c>
      <c r="AE207" s="77" t="str">
        <f t="shared" si="124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207" s="74" t="str">
        <f t="shared" si="125"/>
        <v>"C:\Program Files (x86)\AstroGrep\AstroGrep.exe" /e /r /s /spath="%USERPROFILE%\AppData\Local\Temp\OnboardLogs" /stypes="app*4058*20171031*" /stext=" 00:.+((SYSTEM_STATE.+slice.+state.+changed )|(ment ac)|(multiple cpu faults)|(system.+state.+changed )|(\[timeout)|(PRM\|1\|D)|(kpr)|(kdp)|(train st.+moving)|(\|lc)|(penalty))"</v>
      </c>
      <c r="AG207" s="182" t="str">
        <f t="shared" si="126"/>
        <v>Other</v>
      </c>
      <c r="AH207" s="78" t="str">
        <f t="shared" ref="AH207:AH239" si="12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301-30 --locoid 4058 --swversion DE.1.0.9.0 --startMP 204:553 --initTime 2017-10-30T18:42:21 --startdatetime 2017-10-30T18:46:58 --delay 193 --endMP 300:23310 --enddatetime 2017-10-30T18:56:42 --enforcementcount 0 &gt;&gt;%USERPROFILE%\Documents\GitHub\eaglep3-reporting\EC\2017-10-30-refined-times.txt</v>
      </c>
      <c r="AI207" s="96" t="str">
        <f t="shared" ref="AI207:AI239" si="12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{"issue":{"subject":"","project_id":79,"tracker_id":40,"status_id":1,"priority_id":2,"assigned_to_id":338,"start_date":"2017-10-30","description":"","custom_fields":[{"id":1,"name":"Subdivision","value":"Other"},{"id":4,"name":"Milepost","value":"2.331"},{"id":17,"name":"Train ID","value":"301-30"},{"id":16,"name":"Locomotive ID","value":"4058"},{"id":130,"name":"Impact","value":""},{"id":150,"name":"Time of Event (Mountain Time)","value":"18:56:42"},{"id":151,"name":"Denver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39" si="129">"start /low /b "&amp;dls3logs&amp;" --loco "&amp;B207&amp;" --day "&amp;TEXT(F207,"YYYY-MM-DD")</f>
        <v>start /low /b %USERPROFILE%\Documents\GitHub\eaglep3\Utilities\DownloadLogsFromS3.py --loco 4058 --day 2017-10-30</v>
      </c>
      <c r="AN207" s="151" t="str">
        <f t="shared" ref="AN207:AN239" si="130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00:56:42"},{"id":29,"name":"Sharepoint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39" si="131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-30T17:42:21-0600',mode:absolute,to:'2017-10-30T19:56:42-0600'))&amp;_a=(columns:!('Message%20ID',Summary),filters:!(),index:'emp_*',interval:auto,query:(query_string:(analyze_wildcard:!t,query:'%22rtdc.l.rtdc.4058%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684</v>
      </c>
      <c r="B208" s="7">
        <v>4023</v>
      </c>
      <c r="C208" s="21" t="s">
        <v>194</v>
      </c>
      <c r="D208" s="21" t="s">
        <v>1010</v>
      </c>
      <c r="E208" s="13">
        <v>43038.139444444445</v>
      </c>
      <c r="F208" s="13">
        <v>43038.142905092594</v>
      </c>
      <c r="G208" s="7">
        <v>64</v>
      </c>
      <c r="H208" s="21" t="s">
        <v>1011</v>
      </c>
      <c r="I208" s="13">
        <v>43038.148368055554</v>
      </c>
      <c r="J208" s="7">
        <v>0</v>
      </c>
      <c r="K208" s="89" t="str">
        <f t="shared" si="118"/>
        <v>4023/4024</v>
      </c>
      <c r="L208" s="185" t="str">
        <f>VLOOKUP(A208,'Trips&amp;Operators'!$C$1:$G$99911,5,FALSE)</f>
        <v>BONDS REYNALDO</v>
      </c>
      <c r="M208" s="6">
        <f t="shared" si="119"/>
        <v>5.4629629594273865E-3</v>
      </c>
      <c r="N208" s="7">
        <f t="shared" si="101"/>
        <v>7.8666666615754366</v>
      </c>
      <c r="O208" s="7"/>
      <c r="P208" s="7"/>
      <c r="Q208" s="22"/>
      <c r="R208" s="174"/>
      <c r="S208" s="221">
        <f t="shared" si="102"/>
        <v>1</v>
      </c>
      <c r="T208" s="174" t="str">
        <f t="shared" si="120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21"/>
        <v>https://d0f6bd738d7f1b3e5a7ca70fe4ff75f0.us-east-1.aws.found.io/app/kibana#/discover/Steve-Slow-Train-Analysis-(2080s-and-2083s)?_g=(refreshInterval:(display:Off,pause:!f,section:0,value:0),time:(from:'2017-10-30T02:20:48-0600',mode:absolute,to:'2017-10-30T04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204" t="str">
        <f>IF(AA208&lt;VLOOKUP(AG208,Variables!$AC$3:$AD$8,2,FALSE),"Y","N")</f>
        <v>Y</v>
      </c>
      <c r="X208" s="204">
        <f t="shared" si="117"/>
        <v>1</v>
      </c>
      <c r="Y208" s="204">
        <f t="shared" si="115"/>
        <v>2.3521000000000001</v>
      </c>
      <c r="Z208" s="204">
        <f t="shared" si="116"/>
        <v>1.52E-2</v>
      </c>
      <c r="AA208" s="204">
        <f t="shared" si="122"/>
        <v>2.3369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3"/>
        <v>302</v>
      </c>
      <c r="AE208" s="77" t="str">
        <f t="shared" si="124"/>
        <v>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 &amp; aws s3 cp s3://rtdc.mdm.uploadarchive.raw/RTDC4023/ "%USERPROFILE%\AppData\Local\Temp\OnboardLogs"\RTDC4023\2017-10-31 --exclude "*" --recursive --include "*20171031*" &amp; "%USERPROFILE%\Documents\GitHub\mrs-test-scripts\Headless Mode &amp; Sideloading\WalkAndUnGZ.bat" "%USERPROFILE%\AppData\Local\Temp\OnboardLogs"\RTDC4023\2017-10-31</v>
      </c>
      <c r="AF208" s="74" t="str">
        <f t="shared" si="125"/>
        <v>"C:\Program Files (x86)\AstroGrep\AstroGrep.exe" /e /r /s /spath="%USERPROFILE%\AppData\Local\Temp\OnboardLogs" /stypes="app*4023*20171030*" /stext=" 09:.+((SYSTEM_STATE.+slice.+state.+changed )|(ment ac)|(multiple cpu faults)|(system.+state.+changed )|(\[timeout)|(PRM\|1\|D)|(kpr)|(kdp)|(train st.+moving)|(\|lc)|(penalty))"</v>
      </c>
      <c r="AG208" s="182" t="str">
        <f t="shared" si="126"/>
        <v>Other</v>
      </c>
      <c r="AH208" s="78" t="str">
        <f t="shared" si="127"/>
        <v>"%USERPROFILE%\Documents\GitHub\eaglep3\Utilities\RefineRTDCRunTimes.py" --tripid 302-30 --locoid 4023 --swversion DE.1.0.9.0 --startMP 300:23521 --initTime 2017-10-30T03:20:48 --startdatetime 2017-10-30T03:25:47 --delay 64 --endMP 204:152 --enddatetime 2017-10-30T03:33:39 --enforcementcount 0 &gt;&gt;%USERPROFILE%\Documents\GitHub\eaglep3-reporting\EC\2017-10-30-refined-times.txt</v>
      </c>
      <c r="AI208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{"issue":{"subject":"","project_id":79,"tracker_id":40,"status_id":1,"priority_id":2,"assigned_to_id":338,"start_date":"2017-10-30","description":"","custom_fields":[{"id":1,"name":"Subdivision","value":"Other"},{"id":4,"name":"Milepost","value":"0.0152"},{"id":17,"name":"Train ID","value":"302-30"},{"id":16,"name":"Locomotive ID","value":"4023"},{"id":130,"name":"Impact","value":""},{"id":150,"name":"Time of Event (Mountain Time)","value":"03:33:39"},{"id":151,"name":"Denver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129"/>
        <v>start /low /b %USERPROFILE%\Documents\GitHub\eaglep3\Utilities\DownloadLogsFromS3.py --loco 4023 --day 2017-10-30</v>
      </c>
      <c r="AN208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31"/>
        <v>https://d0f6bd738d7f1b3e5a7ca70fe4ff75f0.us-east-1.aws.found.io/app/kibana#/discover/Steve-Slow-Train-Analysis-(2080s-and-2083s)?_g=(refreshInterval:(display:Off,pause:!f,section:0,value:0),time:(from:'2017-10-30T02:20:48-0600',mode:absolute,to:'2017-10-30T04:33:39-0600'))&amp;_a=(columns:!('Message%20ID',Summary),filters:!(),index:'emp_*',interval:auto,query:(query_string:(analyze_wildcard:!t,query:'%22rtdc.l.rtdc.4023%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865</v>
      </c>
      <c r="B209" s="7">
        <v>4054</v>
      </c>
      <c r="C209" s="21" t="s">
        <v>194</v>
      </c>
      <c r="D209" s="21" t="s">
        <v>1012</v>
      </c>
      <c r="E209" s="13">
        <v>43038.798587962963</v>
      </c>
      <c r="F209" s="13">
        <v>43038.804363425923</v>
      </c>
      <c r="G209" s="7">
        <v>98</v>
      </c>
      <c r="H209" s="21" t="s">
        <v>1013</v>
      </c>
      <c r="I209" s="13">
        <v>43038.811342592591</v>
      </c>
      <c r="J209" s="7">
        <v>0</v>
      </c>
      <c r="K209" s="89" t="str">
        <f t="shared" si="118"/>
        <v>4053/4054</v>
      </c>
      <c r="L209" s="185" t="str">
        <f>VLOOKUP(A209,'Trips&amp;Operators'!$C$1:$G$99911,5,FALSE)</f>
        <v>SAFIEF AEIMEN</v>
      </c>
      <c r="M209" s="6">
        <f t="shared" si="119"/>
        <v>6.9791666683158837E-3</v>
      </c>
      <c r="N209" s="7">
        <f t="shared" si="101"/>
        <v>10.050000002374873</v>
      </c>
      <c r="O209" s="7"/>
      <c r="P209" s="7"/>
      <c r="Q209" s="22"/>
      <c r="R209" s="174"/>
      <c r="S209" s="221">
        <f t="shared" si="102"/>
        <v>1</v>
      </c>
      <c r="T209" s="174" t="str">
        <f t="shared" si="120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21"/>
        <v>https://d0f6bd738d7f1b3e5a7ca70fe4ff75f0.us-east-1.aws.found.io/app/kibana#/discover/Steve-Slow-Train-Analysis-(2080s-and-2083s)?_g=(refreshInterval:(display:Off,pause:!f,section:0,value:0),time:(from:'2017-10-30T18:09:58-0600',mode:absolute,to:'2017-10-30T20:28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9" s="204" t="str">
        <f>IF(AA209&lt;VLOOKUP(AG209,Variables!$AC$3:$AD$8,2,FALSE),"Y","N")</f>
        <v>Y</v>
      </c>
      <c r="X209" s="204">
        <f t="shared" si="117"/>
        <v>1</v>
      </c>
      <c r="Y209" s="204">
        <f t="shared" si="115"/>
        <v>5.3100000000000001E-2</v>
      </c>
      <c r="Z209" s="204">
        <f t="shared" si="116"/>
        <v>2.3294999999999999</v>
      </c>
      <c r="AA209" s="204">
        <f t="shared" si="122"/>
        <v>2.2763999999999998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3"/>
        <v>303</v>
      </c>
      <c r="AE209" s="77" t="str">
        <f t="shared" si="124"/>
        <v>aws s3 cp s3://rtdc.mdm.uploadarchive.raw/RTDC4054/ "%USERPROFILE%\AppData\Local\Temp\OnboardLogs"\RTDC4054\2017-10-30 --exclude "*" --recursive --include "*20171030*" &amp; "%USERPROFILE%\Documents\GitHub\mrs-test-scripts\Headless Mode &amp; Sideloading\WalkAndUnGZ.bat" "%USERPROFILE%\AppData\Local\Temp\OnboardLogs"\RTDC4054\2017-10-30 &amp; aws s3 cp s3://rtdc.mdm.uploadarchive.raw/RTDC4054/ "%USERPROFILE%\AppData\Local\Temp\OnboardLogs"\RTDC4054\2017-10-31 --exclude "*" --recursive --include "*20171031*" &amp; "%USERPROFILE%\Documents\GitHub\mrs-test-scripts\Headless Mode &amp; Sideloading\WalkAndUnGZ.bat" "%USERPROFILE%\AppData\Local\Temp\OnboardLogs"\RTDC4054\2017-10-31</v>
      </c>
      <c r="AF209" s="74" t="str">
        <f t="shared" si="125"/>
        <v>"C:\Program Files (x86)\AstroGrep\AstroGrep.exe" /e /r /s /spath="%USERPROFILE%\AppData\Local\Temp\OnboardLogs" /stypes="app*4054*20171031*" /stext=" 01:.+((SYSTEM_STATE.+slice.+state.+changed )|(ment ac)|(multiple cpu faults)|(system.+state.+changed )|(\[timeout)|(PRM\|1\|D)|(kpr)|(kdp)|(train st.+moving)|(\|lc)|(penalty))"</v>
      </c>
      <c r="AG209" s="182" t="str">
        <f t="shared" si="126"/>
        <v>Other</v>
      </c>
      <c r="AH209" s="78" t="str">
        <f t="shared" si="127"/>
        <v>"%USERPROFILE%\Documents\GitHub\eaglep3\Utilities\RefineRTDCRunTimes.py" --tripid 303-30 --locoid 4054 --swversion DE.1.0.9.0 --startMP 204:531 --initTime 2017-10-30T19:09:58 --startdatetime 2017-10-30T19:18:17 --delay 98 --endMP 300:23295 --enddatetime 2017-10-30T19:28:20 --enforcementcount 0 &gt;&gt;%USERPROFILE%\Documents\GitHub\eaglep3-reporting\EC\2017-10-30-refined-times.txt</v>
      </c>
      <c r="AI209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{"issue":{"subject":"","project_id":79,"tracker_id":40,"status_id":1,"priority_id":2,"assigned_to_id":338,"start_date":"2017-10-30","description":"","custom_fields":[{"id":1,"name":"Subdivision","value":"Other"},{"id":4,"name":"Milepost","value":"2.3295"},{"id":17,"name":"Train ID","value":"303-30"},{"id":16,"name":"Locomotive ID","value":"4054"},{"id":130,"name":"Impact","value":""},{"id":150,"name":"Time of Event (Mountain Time)","value":"19:28:20"},{"id":151,"name":"Denver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29"/>
        <v>start /low /b %USERPROFILE%\Documents\GitHub\eaglep3\Utilities\DownloadLogsFromS3.py --loco 4054 --day 2017-10-30</v>
      </c>
      <c r="AN209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31"/>
        <v>https://d0f6bd738d7f1b3e5a7ca70fe4ff75f0.us-east-1.aws.found.io/app/kibana#/discover/Steve-Slow-Train-Analysis-(2080s-and-2083s)?_g=(refreshInterval:(display:Off,pause:!f,section:0,value:0),time:(from:'2017-10-30T18:09:58-0600',mode:absolute,to:'2017-10-30T20:28:20-0600'))&amp;_a=(columns:!('Message%20ID',Summary),filters:!(),index:'emp_*',interval:auto,query:(query_string:(analyze_wildcard:!t,query:'%22rtdc.l.rtdc.4054%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688</v>
      </c>
      <c r="B210" s="7">
        <v>4011</v>
      </c>
      <c r="C210" s="21" t="s">
        <v>194</v>
      </c>
      <c r="D210" s="21" t="s">
        <v>1014</v>
      </c>
      <c r="E210" s="13">
        <v>43038.154097222221</v>
      </c>
      <c r="F210" s="13">
        <v>43038.156875000001</v>
      </c>
      <c r="G210" s="7">
        <v>77</v>
      </c>
      <c r="H210" s="21" t="s">
        <v>356</v>
      </c>
      <c r="I210" s="13">
        <v>43038.161689814813</v>
      </c>
      <c r="J210" s="7">
        <v>0</v>
      </c>
      <c r="K210" s="89" t="str">
        <f t="shared" si="118"/>
        <v>4011/4012</v>
      </c>
      <c r="L210" s="185" t="str">
        <f>VLOOKUP(A210,'Trips&amp;Operators'!$C$1:$G$99911,5,FALSE)</f>
        <v>YORK EDGAR</v>
      </c>
      <c r="M210" s="6">
        <f t="shared" si="119"/>
        <v>4.8148148125619628E-3</v>
      </c>
      <c r="N210" s="7">
        <f t="shared" si="101"/>
        <v>6.9333333300892264</v>
      </c>
      <c r="O210" s="7"/>
      <c r="P210" s="7"/>
      <c r="Q210" s="22"/>
      <c r="R210" s="174"/>
      <c r="S210" s="221">
        <f t="shared" si="102"/>
        <v>1</v>
      </c>
      <c r="T210" s="174" t="str">
        <f t="shared" si="120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21"/>
        <v>https://d0f6bd738d7f1b3e5a7ca70fe4ff75f0.us-east-1.aws.found.io/app/kibana#/discover/Steve-Slow-Train-Analysis-(2080s-and-2083s)?_g=(refreshInterval:(display:Off,pause:!f,section:0,value:0),time:(from:'2017-10-30T02:41:54-0600',mode:absolute,to:'2017-10-30T04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204" t="str">
        <f>IF(AA210&lt;VLOOKUP(AG210,Variables!$AC$3:$AD$8,2,FALSE),"Y","N")</f>
        <v>Y</v>
      </c>
      <c r="X210" s="204">
        <f t="shared" si="117"/>
        <v>1</v>
      </c>
      <c r="Y210" s="204">
        <f t="shared" si="115"/>
        <v>2.2265000000000001</v>
      </c>
      <c r="Z210" s="204">
        <f t="shared" si="116"/>
        <v>1.5800000000000002E-2</v>
      </c>
      <c r="AA210" s="204">
        <f t="shared" si="122"/>
        <v>2.2107000000000001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3"/>
        <v>304</v>
      </c>
      <c r="AE210" s="77" t="str">
        <f t="shared" si="124"/>
        <v>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 &amp; aws s3 cp s3://rtdc.mdm.uploadarchive.raw/RTDC4011/ "%USERPROFILE%\AppData\Local\Temp\OnboardLogs"\RTDC4011\2017-10-31 --exclude "*" --recursive --include "*20171031*" &amp; "%USERPROFILE%\Documents\GitHub\mrs-test-scripts\Headless Mode &amp; Sideloading\WalkAndUnGZ.bat" "%USERPROFILE%\AppData\Local\Temp\OnboardLogs"\RTDC4011\2017-10-31</v>
      </c>
      <c r="AF210" s="74" t="str">
        <f t="shared" si="125"/>
        <v>"C:\Program Files (x86)\AstroGrep\AstroGrep.exe" /e /r /s /spath="%USERPROFILE%\AppData\Local\Temp\OnboardLogs" /stypes="app*4011*20171030*" /stext=" 09:.+((SYSTEM_STATE.+slice.+state.+changed )|(ment ac)|(multiple cpu faults)|(system.+state.+changed )|(\[timeout)|(PRM\|1\|D)|(kpr)|(kdp)|(train st.+moving)|(\|lc)|(penalty))"</v>
      </c>
      <c r="AG210" s="182" t="str">
        <f t="shared" si="126"/>
        <v>Other</v>
      </c>
      <c r="AH210" s="78" t="str">
        <f t="shared" si="127"/>
        <v>"%USERPROFILE%\Documents\GitHub\eaglep3\Utilities\RefineRTDCRunTimes.py" --tripid 304-30 --locoid 4011 --swversion DE.1.0.9.0 --startMP 300:22265 --initTime 2017-10-30T03:41:54 --startdatetime 2017-10-30T03:45:54 --delay 77 --endMP 204:158 --enddatetime 2017-10-30T03:52:50 --enforcementcount 0 &gt;&gt;%USERPROFILE%\Documents\GitHub\eaglep3-reporting\EC\2017-10-30-refined-times.txt</v>
      </c>
      <c r="AI210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{"issue":{"subject":"","project_id":79,"tracker_id":40,"status_id":1,"priority_id":2,"assigned_to_id":338,"start_date":"2017-10-30","description":"","custom_fields":[{"id":1,"name":"Subdivision","value":"Other"},{"id":4,"name":"Milepost","value":"0.0158"},{"id":17,"name":"Train ID","value":"304-30"},{"id":16,"name":"Locomotive ID","value":"4011"},{"id":130,"name":"Impact","value":""},{"id":150,"name":"Time of Event (Mountain Time)","value":"03:52:50"},{"id":151,"name":"Denver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29"/>
        <v>start /low /b %USERPROFILE%\Documents\GitHub\eaglep3\Utilities\DownloadLogsFromS3.py --loco 4011 --day 2017-10-30</v>
      </c>
      <c r="AN210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31"/>
        <v>https://d0f6bd738d7f1b3e5a7ca70fe4ff75f0.us-east-1.aws.found.io/app/kibana#/discover/Steve-Slow-Train-Analysis-(2080s-and-2083s)?_g=(refreshInterval:(display:Off,pause:!f,section:0,value:0),time:(from:'2017-10-30T02:41:54-0600',mode:absolute,to:'2017-10-30T04:52:50-0600'))&amp;_a=(columns:!('Message%20ID',Summary),filters:!(),index:'emp_*',interval:auto,query:(query_string:(analyze_wildcard:!t,query:'%22rtdc.l.rtdc.4011%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869</v>
      </c>
      <c r="B211" s="7">
        <v>4002</v>
      </c>
      <c r="C211" s="21" t="s">
        <v>194</v>
      </c>
      <c r="D211" s="21" t="s">
        <v>972</v>
      </c>
      <c r="E211" s="13">
        <v>43038.820115740738</v>
      </c>
      <c r="F211" s="13">
        <v>43038.822256944448</v>
      </c>
      <c r="G211" s="7">
        <v>69</v>
      </c>
      <c r="H211" s="21" t="s">
        <v>1015</v>
      </c>
      <c r="I211" s="13">
        <v>43038.83152777778</v>
      </c>
      <c r="J211" s="7">
        <v>0</v>
      </c>
      <c r="K211" s="89" t="str">
        <f t="shared" si="118"/>
        <v>4001/4002</v>
      </c>
      <c r="L211" s="185" t="str">
        <f>VLOOKUP(A211,'Trips&amp;Operators'!$C$1:$G$99911,5,FALSE)</f>
        <v>STRICKLAND EVAN</v>
      </c>
      <c r="M211" s="6">
        <f t="shared" si="119"/>
        <v>9.2708333322661929E-3</v>
      </c>
      <c r="N211" s="7">
        <f t="shared" si="101"/>
        <v>13.349999998463318</v>
      </c>
      <c r="O211" s="7"/>
      <c r="P211" s="7"/>
      <c r="Q211" s="22"/>
      <c r="R211" s="174"/>
      <c r="S211" s="221">
        <f t="shared" si="102"/>
        <v>1</v>
      </c>
      <c r="T211" s="174" t="str">
        <f t="shared" si="120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21"/>
        <v>https://d0f6bd738d7f1b3e5a7ca70fe4ff75f0.us-east-1.aws.found.io/app/kibana#/discover/Steve-Slow-Train-Analysis-(2080s-and-2083s)?_g=(refreshInterval:(display:Off,pause:!f,section:0,value:0),time:(from:'2017-10-30T18:40:58-0600',mode:absolute,to:'2017-10-30T20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04" t="str">
        <f>IF(AA211&lt;VLOOKUP(AG211,Variables!$AC$3:$AD$8,2,FALSE),"Y","N")</f>
        <v>Y</v>
      </c>
      <c r="X211" s="204">
        <f t="shared" si="117"/>
        <v>1</v>
      </c>
      <c r="Y211" s="204">
        <f t="shared" si="115"/>
        <v>5.3699999999999998E-2</v>
      </c>
      <c r="Z211" s="204">
        <f t="shared" si="116"/>
        <v>2.3315999999999999</v>
      </c>
      <c r="AA211" s="204">
        <f t="shared" si="122"/>
        <v>2.2778999999999998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3"/>
        <v>305</v>
      </c>
      <c r="AE211" s="77" t="str">
        <f t="shared" si="124"/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AF211" s="74" t="str">
        <f t="shared" si="125"/>
        <v>"C:\Program Files (x86)\AstroGrep\AstroGrep.exe" /e /r /s /spath="%USERPROFILE%\AppData\Local\Temp\OnboardLogs" /stypes="app*4002*20171031*" /stext=" 01:.+((SYSTEM_STATE.+slice.+state.+changed )|(ment ac)|(multiple cpu faults)|(system.+state.+changed )|(\[timeout)|(PRM\|1\|D)|(kpr)|(kdp)|(train st.+moving)|(\|lc)|(penalty))"</v>
      </c>
      <c r="AG211" s="182" t="str">
        <f t="shared" si="126"/>
        <v>Other</v>
      </c>
      <c r="AH211" s="78" t="str">
        <f t="shared" si="127"/>
        <v>"%USERPROFILE%\Documents\GitHub\eaglep3\Utilities\RefineRTDCRunTimes.py" --tripid 305-30 --locoid 4002 --swversion DE.1.0.9.0 --startMP 204:537 --initTime 2017-10-30T19:40:58 --startdatetime 2017-10-30T19:44:03 --delay 69 --endMP 300:23316 --enddatetime 2017-10-30T19:57:24 --enforcementcount 0 &gt;&gt;%USERPROFILE%\Documents\GitHub\eaglep3-reporting\EC\2017-10-30-refined-times.txt</v>
      </c>
      <c r="AI211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{"issue":{"subject":"","project_id":79,"tracker_id":40,"status_id":1,"priority_id":2,"assigned_to_id":338,"start_date":"2017-10-30","description":"","custom_fields":[{"id":1,"name":"Subdivision","value":"Other"},{"id":4,"name":"Milepost","value":"2.3316"},{"id":17,"name":"Train ID","value":"305-30"},{"id":16,"name":"Locomotive ID","value":"4002"},{"id":130,"name":"Impact","value":""},{"id":150,"name":"Time of Event (Mountain Time)","value":"19:57:24"},{"id":151,"name":"Denver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29"/>
        <v>start /low /b %USERPROFILE%\Documents\GitHub\eaglep3\Utilities\DownloadLogsFromS3.py --loco 4002 --day 2017-10-30</v>
      </c>
      <c r="AN211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31"/>
        <v>https://d0f6bd738d7f1b3e5a7ca70fe4ff75f0.us-east-1.aws.found.io/app/kibana#/discover/Steve-Slow-Train-Analysis-(2080s-and-2083s)?_g=(refreshInterval:(display:Off,pause:!f,section:0,value:0),time:(from:'2017-10-30T18:40:58-0600',mode:absolute,to:'2017-10-30T20:57:24-0600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692</v>
      </c>
      <c r="B212" s="7">
        <v>4049</v>
      </c>
      <c r="C212" s="21" t="s">
        <v>194</v>
      </c>
      <c r="D212" s="21" t="s">
        <v>1016</v>
      </c>
      <c r="E212" s="13">
        <v>43038.176111111112</v>
      </c>
      <c r="F212" s="13">
        <v>43038.179537037038</v>
      </c>
      <c r="G212" s="7">
        <v>65</v>
      </c>
      <c r="H212" s="21" t="s">
        <v>356</v>
      </c>
      <c r="I212" s="13">
        <v>43038.18540509259</v>
      </c>
      <c r="J212" s="7">
        <v>0</v>
      </c>
      <c r="K212" s="89" t="str">
        <f t="shared" si="118"/>
        <v>4049/4050</v>
      </c>
      <c r="L212" s="185" t="str">
        <f>VLOOKUP(A212,'Trips&amp;Operators'!$C$1:$G$99911,5,FALSE)</f>
        <v>BARRON PERLA</v>
      </c>
      <c r="M212" s="6">
        <f t="shared" si="119"/>
        <v>5.8680555521277711E-3</v>
      </c>
      <c r="N212" s="7">
        <f t="shared" si="101"/>
        <v>8.4499999950639904</v>
      </c>
      <c r="O212" s="7"/>
      <c r="P212" s="7"/>
      <c r="Q212" s="22"/>
      <c r="R212" s="174"/>
      <c r="S212" s="221">
        <f t="shared" si="102"/>
        <v>1</v>
      </c>
      <c r="T212" s="174" t="str">
        <f t="shared" si="120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21"/>
        <v>https://d0f6bd738d7f1b3e5a7ca70fe4ff75f0.us-east-1.aws.found.io/app/kibana#/discover/Steve-Slow-Train-Analysis-(2080s-and-2083s)?_g=(refreshInterval:(display:Off,pause:!f,section:0,value:0),time:(from:'2017-10-30T03:13:36-0600',mode:absolute,to:'2017-10-30T05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04" t="str">
        <f>IF(AA212&lt;VLOOKUP(AG212,Variables!$AC$3:$AD$8,2,FALSE),"Y","N")</f>
        <v>Y</v>
      </c>
      <c r="X212" s="204">
        <f t="shared" si="117"/>
        <v>1</v>
      </c>
      <c r="Y212" s="204">
        <f t="shared" si="115"/>
        <v>2.3538000000000001</v>
      </c>
      <c r="Z212" s="204">
        <f t="shared" si="116"/>
        <v>1.5800000000000002E-2</v>
      </c>
      <c r="AA212" s="204">
        <f t="shared" si="122"/>
        <v>2.3380000000000001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3"/>
        <v>306</v>
      </c>
      <c r="AE212" s="77" t="str">
        <f t="shared" si="124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212" s="74" t="str">
        <f t="shared" si="125"/>
        <v>"C:\Program Files (x86)\AstroGrep\AstroGrep.exe" /e /r /s /spath="%USERPROFILE%\AppData\Local\Temp\OnboardLogs" /stypes="app*4049*20171030*" /stext=" 10:.+((SYSTEM_STATE.+slice.+state.+changed )|(ment ac)|(multiple cpu faults)|(system.+state.+changed )|(\[timeout)|(PRM\|1\|D)|(kpr)|(kdp)|(train st.+moving)|(\|lc)|(penalty))"</v>
      </c>
      <c r="AG212" s="182" t="str">
        <f t="shared" si="126"/>
        <v>Other</v>
      </c>
      <c r="AH212" s="78" t="str">
        <f t="shared" si="127"/>
        <v>"%USERPROFILE%\Documents\GitHub\eaglep3\Utilities\RefineRTDCRunTimes.py" --tripid 306-30 --locoid 4049 --swversion DE.1.0.9.0 --startMP 300:23538 --initTime 2017-10-30T04:13:36 --startdatetime 2017-10-30T04:18:32 --delay 65 --endMP 204:158 --enddatetime 2017-10-30T04:26:59 --enforcementcount 0 &gt;&gt;%USERPROFILE%\Documents\GitHub\eaglep3-reporting\EC\2017-10-30-refined-times.txt</v>
      </c>
      <c r="AI212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{"issue":{"subject":"","project_id":79,"tracker_id":40,"status_id":1,"priority_id":2,"assigned_to_id":338,"start_date":"2017-10-30","description":"","custom_fields":[{"id":1,"name":"Subdivision","value":"Other"},{"id":4,"name":"Milepost","value":"0.0158"},{"id":17,"name":"Train ID","value":"306-30"},{"id":16,"name":"Locomotive ID","value":"4049"},{"id":130,"name":"Impact","value":""},{"id":150,"name":"Time of Event (Mountain Time)","value":"04:26:59"},{"id":151,"name":"Denver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29"/>
        <v>start /low /b %USERPROFILE%\Documents\GitHub\eaglep3\Utilities\DownloadLogsFromS3.py --loco 4049 --day 2017-10-30</v>
      </c>
      <c r="AN212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31"/>
        <v>https://d0f6bd738d7f1b3e5a7ca70fe4ff75f0.us-east-1.aws.found.io/app/kibana#/discover/Steve-Slow-Train-Analysis-(2080s-and-2083s)?_g=(refreshInterval:(display:Off,pause:!f,section:0,value:0),time:(from:'2017-10-30T03:13:36-0600',mode:absolute,to:'2017-10-30T05:26:59-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896</v>
      </c>
      <c r="B213" s="7">
        <v>4024</v>
      </c>
      <c r="C213" s="21" t="s">
        <v>194</v>
      </c>
      <c r="D213" s="21" t="s">
        <v>602</v>
      </c>
      <c r="E213" s="13">
        <v>43039.046631944446</v>
      </c>
      <c r="F213" s="13">
        <v>43039.048449074071</v>
      </c>
      <c r="G213" s="7">
        <v>77</v>
      </c>
      <c r="H213" s="21" t="s">
        <v>1015</v>
      </c>
      <c r="I213" s="13">
        <v>43039.056875000002</v>
      </c>
      <c r="J213" s="7">
        <v>0</v>
      </c>
      <c r="K213" s="89" t="str">
        <f t="shared" si="118"/>
        <v>4023/4024</v>
      </c>
      <c r="L213" s="185" t="str">
        <f>VLOOKUP(A213,'Trips&amp;Operators'!$C$1:$G$99911,5,FALSE)</f>
        <v>LOZA FIDEL</v>
      </c>
      <c r="M213" s="6">
        <f t="shared" si="119"/>
        <v>8.4259259310783818E-3</v>
      </c>
      <c r="N213" s="7">
        <f t="shared" si="101"/>
        <v>12.13333334075287</v>
      </c>
      <c r="O213" s="7"/>
      <c r="P213" s="7"/>
      <c r="Q213" s="22"/>
      <c r="R213" s="174"/>
      <c r="S213" s="221">
        <f t="shared" si="102"/>
        <v>1</v>
      </c>
      <c r="T213" s="174" t="str">
        <f t="shared" si="120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21"/>
        <v>https://d0f6bd738d7f1b3e5a7ca70fe4ff75f0.us-east-1.aws.found.io/app/kibana#/discover/Steve-Slow-Train-Analysis-(2080s-and-2083s)?_g=(refreshInterval:(display:Off,pause:!f,section:0,value:0),time:(from:'2017-10-31T00:07:09-0600',mode:absolute,to:'2017-10-31T02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204" t="str">
        <f>IF(AA213&lt;VLOOKUP(AG213,Variables!$AC$3:$AD$8,2,FALSE),"Y","N")</f>
        <v>Y</v>
      </c>
      <c r="X213" s="204">
        <f t="shared" si="117"/>
        <v>1</v>
      </c>
      <c r="Y213" s="204">
        <f t="shared" si="115"/>
        <v>5.28E-2</v>
      </c>
      <c r="Z213" s="204">
        <f t="shared" si="116"/>
        <v>2.3315999999999999</v>
      </c>
      <c r="AA213" s="204">
        <f t="shared" si="122"/>
        <v>2.2787999999999999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3"/>
        <v>307</v>
      </c>
      <c r="AE213" s="77" t="str">
        <f t="shared" si="124"/>
        <v>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 &amp; aws s3 cp s3://rtdc.mdm.uploadarchive.raw/RTDC4024/ "%USERPROFILE%\AppData\Local\Temp\OnboardLogs"\RTDC4024\2017-11-01 --exclude "*" --recursive --include "*20171101*" &amp; "%USERPROFILE%\Documents\GitHub\mrs-test-scripts\Headless Mode &amp; Sideloading\WalkAndUnGZ.bat" "%USERPROFILE%\AppData\Local\Temp\OnboardLogs"\RTDC4024\2017-11-01</v>
      </c>
      <c r="AF213" s="74" t="str">
        <f t="shared" si="125"/>
        <v>"C:\Program Files (x86)\AstroGrep\AstroGrep.exe" /e /r /s /spath="%USERPROFILE%\AppData\Local\Temp\OnboardLogs" /stypes="app*4024*20171031*" /stext=" 07:.+((SYSTEM_STATE.+slice.+state.+changed )|(ment ac)|(multiple cpu faults)|(system.+state.+changed )|(\[timeout)|(PRM\|1\|D)|(kpr)|(kdp)|(train st.+moving)|(\|lc)|(penalty))"</v>
      </c>
      <c r="AG213" s="182" t="str">
        <f t="shared" si="126"/>
        <v>Other</v>
      </c>
      <c r="AH213" s="78" t="str">
        <f t="shared" si="127"/>
        <v>"%USERPROFILE%\Documents\GitHub\eaglep3\Utilities\RefineRTDCRunTimes.py" --tripid 307-30 --locoid 4024 --swversion DE.1.0.9.0 --startMP 204:528 --initTime 2017-10-31T01:07:09 --startdatetime 2017-10-31T01:09:46 --delay 77 --endMP 300:23316 --enddatetime 2017-10-31T01:21:54 --enforcementcount 0 &gt;&gt;%USERPROFILE%\Documents\GitHub\eaglep3-reporting\EC\2017-10-30-refined-times.txt</v>
      </c>
      <c r="AI213" s="96" t="str">
        <f t="shared" si="128"/>
        <v>echo {"issue":{"subject":"","project_id":79,"tracker_id":40,"status_id":1,"priority_id":2,"assigned_to_id":338,"start_date":"2017-10-31","description":"","custom_fields":[{"id":1,"name":"Subdivision","value":"Other"},{"id":4,"name":"Milepost","value":"2.3316"},{"id":17,"name":"Train ID","value":"307-30"},{"id":16,"name":"Locomotive ID","value":"4024"},{"id":130,"name":"Impact","value":""},{"id":150,"name":"Time of Event (Mountain Time)","value":"01:21:54"},{"id":151,"name":"Denver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29"/>
        <v>start /low /b %USERPROFILE%\Documents\GitHub\eaglep3\Utilities\DownloadLogsFromS3.py --loco 4024 --day 2017-10-31</v>
      </c>
      <c r="AN213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31"/>
        <v>https://d0f6bd738d7f1b3e5a7ca70fe4ff75f0.us-east-1.aws.found.io/app/kibana#/discover/Steve-Slow-Train-Analysis-(2080s-and-2083s)?_g=(refreshInterval:(display:Off,pause:!f,section:0,value:0),time:(from:'2017-10-31T00:07:09-0600',mode:absolute,to:'2017-10-31T02:21:54-0600'))&amp;_a=(columns:!('Message%20ID',Summary),filters:!(),index:'emp_*',interval:auto,query:(query_string:(analyze_wildcard:!t,query:'%22rtdc.l.rtdc.4024%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693</v>
      </c>
      <c r="B214" s="7">
        <v>4041</v>
      </c>
      <c r="C214" s="21" t="s">
        <v>194</v>
      </c>
      <c r="D214" s="21" t="s">
        <v>1017</v>
      </c>
      <c r="E214" s="13">
        <v>43038.176493055558</v>
      </c>
      <c r="F214" s="13">
        <v>43038.183692129627</v>
      </c>
      <c r="G214" s="7">
        <v>68</v>
      </c>
      <c r="H214" s="21" t="s">
        <v>337</v>
      </c>
      <c r="I214" s="13">
        <v>43038.192106481481</v>
      </c>
      <c r="J214" s="7">
        <v>0</v>
      </c>
      <c r="K214" s="89" t="str">
        <f t="shared" si="118"/>
        <v>4041/4042</v>
      </c>
      <c r="L214" s="185" t="str">
        <f>VLOOKUP(A214,'Trips&amp;Operators'!$C$1:$G$99911,5,FALSE)</f>
        <v>MAELZER KURT</v>
      </c>
      <c r="M214" s="6">
        <f t="shared" si="119"/>
        <v>8.4143518542987294E-3</v>
      </c>
      <c r="N214" s="7">
        <f t="shared" si="101"/>
        <v>12.11666667019017</v>
      </c>
      <c r="O214" s="7"/>
      <c r="P214" s="7"/>
      <c r="Q214" s="22"/>
      <c r="R214" s="174"/>
      <c r="S214" s="221">
        <f t="shared" si="102"/>
        <v>1</v>
      </c>
      <c r="T214" s="174" t="str">
        <f t="shared" si="120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21"/>
        <v>https://d0f6bd738d7f1b3e5a7ca70fe4ff75f0.us-east-1.aws.found.io/app/kibana#/discover/Steve-Slow-Train-Analysis-(2080s-and-2083s)?_g=(refreshInterval:(display:Off,pause:!f,section:0,value:0),time:(from:'2017-10-30T03:14:09-0600',mode:absolute,to:'2017-10-30T05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>IF(AA214&lt;VLOOKUP(AG214,Variables!$AC$3:$AD$8,2,FALSE),"Y","N")</f>
        <v>Y</v>
      </c>
      <c r="X214" s="204">
        <f t="shared" si="117"/>
        <v>1</v>
      </c>
      <c r="Y214" s="204">
        <f t="shared" si="115"/>
        <v>1.9843999999999999</v>
      </c>
      <c r="Z214" s="204">
        <f t="shared" si="116"/>
        <v>1.43E-2</v>
      </c>
      <c r="AA214" s="204">
        <f t="shared" si="122"/>
        <v>1.9701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3"/>
        <v>308</v>
      </c>
      <c r="AE214" s="77" t="str">
        <f t="shared" si="124"/>
        <v>aws s3 cp s3://rtdc.mdm.uploadarchive.raw/RTDC4041/ "%USERPROFILE%\AppData\Local\Temp\OnboardLogs"\RTDC4041\2017-10-30 --exclude "*" --recursive --include "*20171030*" &amp; "%USERPROFILE%\Documents\GitHub\mrs-test-scripts\Headless Mode &amp; Sideloading\WalkAndUnGZ.bat" "%USERPROFILE%\AppData\Local\Temp\OnboardLogs"\RTDC4041\2017-10-30 &amp; aws s3 cp s3://rtdc.mdm.uploadarchive.raw/RTDC4041/ "%USERPROFILE%\AppData\Local\Temp\OnboardLogs"\RTDC4041\2017-10-31 --exclude "*" --recursive --include "*20171031*" &amp; "%USERPROFILE%\Documents\GitHub\mrs-test-scripts\Headless Mode &amp; Sideloading\WalkAndUnGZ.bat" "%USERPROFILE%\AppData\Local\Temp\OnboardLogs"\RTDC4041\2017-10-31</v>
      </c>
      <c r="AF214" s="74" t="str">
        <f t="shared" si="125"/>
        <v>"C:\Program Files (x86)\AstroGrep\AstroGrep.exe" /e /r /s /spath="%USERPROFILE%\AppData\Local\Temp\OnboardLogs" /stypes="app*4041*20171030*" /stext=" 10:.+((SYSTEM_STATE.+slice.+state.+changed )|(ment ac)|(multiple cpu faults)|(system.+state.+changed )|(\[timeout)|(PRM\|1\|D)|(kpr)|(kdp)|(train st.+moving)|(\|lc)|(penalty))"</v>
      </c>
      <c r="AG214" s="182" t="str">
        <f t="shared" si="126"/>
        <v>Other</v>
      </c>
      <c r="AH214" s="78" t="str">
        <f t="shared" si="127"/>
        <v>"%USERPROFILE%\Documents\GitHub\eaglep3\Utilities\RefineRTDCRunTimes.py" --tripid 308-30 --locoid 4041 --swversion DE.1.0.9.0 --startMP 300:19844 --initTime 2017-10-30T04:14:09 --startdatetime 2017-10-30T04:24:31 --delay 68 --endMP 204:143 --enddatetime 2017-10-30T04:36:38 --enforcementcount 0 &gt;&gt;%USERPROFILE%\Documents\GitHub\eaglep3-reporting\EC\2017-10-30-refined-times.txt</v>
      </c>
      <c r="AI214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{"issue":{"subject":"","project_id":79,"tracker_id":40,"status_id":1,"priority_id":2,"assigned_to_id":338,"start_date":"2017-10-30","description":"","custom_fields":[{"id":1,"name":"Subdivision","value":"Other"},{"id":4,"name":"Milepost","value":"0.0143"},{"id":17,"name":"Train ID","value":"308-30"},{"id":16,"name":"Locomotive ID","value":"4041"},{"id":130,"name":"Impact","value":""},{"id":150,"name":"Time of Event (Mountain Time)","value":"04:36:38"},{"id":151,"name":"Denver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29"/>
        <v>start /low /b %USERPROFILE%\Documents\GitHub\eaglep3\Utilities\DownloadLogsFromS3.py --loco 4041 --day 2017-10-30</v>
      </c>
      <c r="AN214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1"/>
        <v>https://d0f6bd738d7f1b3e5a7ca70fe4ff75f0.us-east-1.aws.found.io/app/kibana#/discover/Steve-Slow-Train-Analysis-(2080s-and-2083s)?_g=(refreshInterval:(display:Off,pause:!f,section:0,value:0),time:(from:'2017-10-30T03:14:09-0600',mode:absolute,to:'2017-10-30T05:36:38-0600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898</v>
      </c>
      <c r="B215" s="7">
        <v>4050</v>
      </c>
      <c r="C215" s="21" t="s">
        <v>194</v>
      </c>
      <c r="D215" s="21" t="s">
        <v>644</v>
      </c>
      <c r="E215" s="13">
        <v>43039.068252314813</v>
      </c>
      <c r="F215" s="13">
        <v>43039.070057870369</v>
      </c>
      <c r="G215" s="7">
        <v>53</v>
      </c>
      <c r="H215" s="21" t="s">
        <v>1018</v>
      </c>
      <c r="I215" s="13">
        <v>43039.078333333331</v>
      </c>
      <c r="J215" s="7">
        <v>0</v>
      </c>
      <c r="K215" s="89" t="str">
        <f t="shared" si="118"/>
        <v>4049/4050</v>
      </c>
      <c r="L215" s="185" t="str">
        <f>VLOOKUP(A215,'Trips&amp;Operators'!$C$1:$G$99911,5,FALSE)</f>
        <v>RESPASS AARON</v>
      </c>
      <c r="M215" s="6">
        <f t="shared" si="119"/>
        <v>8.2754629620467313E-3</v>
      </c>
      <c r="N215" s="7">
        <f t="shared" si="101"/>
        <v>11.916666665347293</v>
      </c>
      <c r="O215" s="7"/>
      <c r="P215" s="7"/>
      <c r="Q215" s="22"/>
      <c r="R215" s="174"/>
      <c r="S215" s="221">
        <f t="shared" si="102"/>
        <v>1</v>
      </c>
      <c r="T215" s="174" t="str">
        <f t="shared" si="120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21"/>
        <v>https://d0f6bd738d7f1b3e5a7ca70fe4ff75f0.us-east-1.aws.found.io/app/kibana#/discover/Steve-Slow-Train-Analysis-(2080s-and-2083s)?_g=(refreshInterval:(display:Off,pause:!f,section:0,value:0),time:(from:'2017-10-31T00:38:17-0600',mode:absolute,to:'2017-10-31T02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204" t="str">
        <f>IF(AA215&lt;VLOOKUP(AG215,Variables!$AC$3:$AD$8,2,FALSE),"Y","N")</f>
        <v>Y</v>
      </c>
      <c r="X215" s="204">
        <f t="shared" si="117"/>
        <v>1</v>
      </c>
      <c r="Y215" s="204">
        <f t="shared" si="115"/>
        <v>5.7000000000000002E-2</v>
      </c>
      <c r="Z215" s="204">
        <f t="shared" si="116"/>
        <v>2.3302</v>
      </c>
      <c r="AA215" s="204">
        <f t="shared" si="122"/>
        <v>2.2732000000000001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3"/>
        <v>309</v>
      </c>
      <c r="AE215" s="77" t="str">
        <f t="shared" si="124"/>
        <v>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 &amp; aws s3 cp s3://rtdc.mdm.uploadarchive.raw/RTDC4050/ "%USERPROFILE%\AppData\Local\Temp\OnboardLogs"\RTDC4050\2017-11-01 --exclude "*" --recursive --include "*20171101*" &amp; "%USERPROFILE%\Documents\GitHub\mrs-test-scripts\Headless Mode &amp; Sideloading\WalkAndUnGZ.bat" "%USERPROFILE%\AppData\Local\Temp\OnboardLogs"\RTDC4050\2017-11-01</v>
      </c>
      <c r="AF215" s="74" t="str">
        <f t="shared" si="125"/>
        <v>"C:\Program Files (x86)\AstroGrep\AstroGrep.exe" /e /r /s /spath="%USERPROFILE%\AppData\Local\Temp\OnboardLogs" /stypes="app*4050*20171031*" /stext=" 07:.+((SYSTEM_STATE.+slice.+state.+changed )|(ment ac)|(multiple cpu faults)|(system.+state.+changed )|(\[timeout)|(PRM\|1\|D)|(kpr)|(kdp)|(train st.+moving)|(\|lc)|(penalty))"</v>
      </c>
      <c r="AG215" s="182" t="str">
        <f t="shared" si="126"/>
        <v>Other</v>
      </c>
      <c r="AH215" s="78" t="str">
        <f t="shared" si="127"/>
        <v>"%USERPROFILE%\Documents\GitHub\eaglep3\Utilities\RefineRTDCRunTimes.py" --tripid 309-30 --locoid 4050 --swversion DE.1.0.9.0 --startMP 204:570 --initTime 2017-10-31T01:38:17 --startdatetime 2017-10-31T01:40:53 --delay 53 --endMP 300:23302 --enddatetime 2017-10-31T01:52:48 --enforcementcount 0 &gt;&gt;%USERPROFILE%\Documents\GitHub\eaglep3-reporting\EC\2017-10-30-refined-times.txt</v>
      </c>
      <c r="AI215" s="96" t="str">
        <f t="shared" si="128"/>
        <v>echo {"issue":{"subject":"","project_id":79,"tracker_id":40,"status_id":1,"priority_id":2,"assigned_to_id":338,"start_date":"2017-10-31","description":"","custom_fields":[{"id":1,"name":"Subdivision","value":"Other"},{"id":4,"name":"Milepost","value":"2.3302"},{"id":17,"name":"Train ID","value":"309-30"},{"id":16,"name":"Locomotive ID","value":"4050"},{"id":130,"name":"Impact","value":""},{"id":150,"name":"Time of Event (Mountain Time)","value":"01:52:48"},{"id":151,"name":"Denver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29"/>
        <v>start /low /b %USERPROFILE%\Documents\GitHub\eaglep3\Utilities\DownloadLogsFromS3.py --loco 4050 --day 2017-10-31</v>
      </c>
      <c r="AN215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07:52:48"},{"id":29,"name":"Sharepoint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1"/>
        <v>https://d0f6bd738d7f1b3e5a7ca70fe4ff75f0.us-east-1.aws.found.io/app/kibana#/discover/Steve-Slow-Train-Analysis-(2080s-and-2083s)?_g=(refreshInterval:(display:Off,pause:!f,section:0,value:0),time:(from:'2017-10-31T00:38:17-0600',mode:absolute,to:'2017-10-31T02:52:48-0600'))&amp;_a=(columns:!('Message%20ID',Summary),filters:!(),index:'emp_*',interval:auto,query:(query_string:(analyze_wildcard:!t,query:'%22rtdc.l.rtdc.4050%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695</v>
      </c>
      <c r="B216" s="7">
        <v>4053</v>
      </c>
      <c r="C216" s="21" t="s">
        <v>194</v>
      </c>
      <c r="D216" s="21" t="s">
        <v>1019</v>
      </c>
      <c r="E216" s="13">
        <v>43038.19190972222</v>
      </c>
      <c r="F216" s="13">
        <v>43038.194618055553</v>
      </c>
      <c r="G216" s="7">
        <v>84</v>
      </c>
      <c r="H216" s="21" t="s">
        <v>1020</v>
      </c>
      <c r="I216" s="13">
        <v>43038.205648148149</v>
      </c>
      <c r="J216" s="7">
        <v>0</v>
      </c>
      <c r="K216" s="89" t="str">
        <f t="shared" si="118"/>
        <v>4053/4054</v>
      </c>
      <c r="L216" s="185" t="str">
        <f>VLOOKUP(A216,'Trips&amp;Operators'!$C$1:$G$99911,5,FALSE)</f>
        <v>BROWN JACOB</v>
      </c>
      <c r="M216" s="6">
        <f t="shared" si="119"/>
        <v>1.1030092595319729E-2</v>
      </c>
      <c r="N216" s="7">
        <f t="shared" si="101"/>
        <v>15.88333333726041</v>
      </c>
      <c r="O216" s="7"/>
      <c r="P216" s="7"/>
      <c r="Q216" s="22"/>
      <c r="R216" s="174"/>
      <c r="S216" s="221">
        <f t="shared" si="102"/>
        <v>1</v>
      </c>
      <c r="T216" s="174" t="str">
        <f t="shared" si="120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21"/>
        <v>https://d0f6bd738d7f1b3e5a7ca70fe4ff75f0.us-east-1.aws.found.io/app/kibana#/discover/Steve-Slow-Train-Analysis-(2080s-and-2083s)?_g=(refreshInterval:(display:Off,pause:!f,section:0,value:0),time:(from:'2017-10-30T03:36:21-0600',mode:absolute,to:'2017-10-30T05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6" s="204" t="str">
        <f>IF(AA216&lt;VLOOKUP(AG216,Variables!$AC$3:$AD$8,2,FALSE),"Y","N")</f>
        <v>Y</v>
      </c>
      <c r="X216" s="204">
        <f t="shared" si="117"/>
        <v>1</v>
      </c>
      <c r="Y216" s="204">
        <f t="shared" si="115"/>
        <v>2.3628999999999998</v>
      </c>
      <c r="Z216" s="204">
        <f t="shared" si="116"/>
        <v>1.9400000000000001E-2</v>
      </c>
      <c r="AA216" s="204">
        <f t="shared" si="122"/>
        <v>2.3434999999999997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3"/>
        <v>310</v>
      </c>
      <c r="AE216" s="77" t="str">
        <f t="shared" si="124"/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AF216" s="74" t="str">
        <f t="shared" si="125"/>
        <v>"C:\Program Files (x86)\AstroGrep\AstroGrep.exe" /e /r /s /spath="%USERPROFILE%\AppData\Local\Temp\OnboardLogs" /stypes="app*4053*20171030*" /stext=" 10:.+((SYSTEM_STATE.+slice.+state.+changed )|(ment ac)|(multiple cpu faults)|(system.+state.+changed )|(\[timeout)|(PRM\|1\|D)|(kpr)|(kdp)|(train st.+moving)|(\|lc)|(penalty))"</v>
      </c>
      <c r="AG216" s="182" t="str">
        <f t="shared" si="126"/>
        <v>Other</v>
      </c>
      <c r="AH216" s="78" t="str">
        <f t="shared" si="127"/>
        <v>"%USERPROFILE%\Documents\GitHub\eaglep3\Utilities\RefineRTDCRunTimes.py" --tripid 310-30 --locoid 4053 --swversion DE.1.0.9.0 --startMP 300:23629 --initTime 2017-10-30T04:36:21 --startdatetime 2017-10-30T04:40:15 --delay 84 --endMP 204:194 --enddatetime 2017-10-30T04:56:08 --enforcementcount 0 &gt;&gt;%USERPROFILE%\Documents\GitHub\eaglep3-reporting\EC\2017-10-30-refined-times.txt</v>
      </c>
      <c r="AI216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{"issue":{"subject":"","project_id":79,"tracker_id":40,"status_id":1,"priority_id":2,"assigned_to_id":338,"start_date":"2017-10-30","description":"","custom_fields":[{"id":1,"name":"Subdivision","value":"Other"},{"id":4,"name":"Milepost","value":"0.0194"},{"id":17,"name":"Train ID","value":"310-30"},{"id":16,"name":"Locomotive ID","value":"4053"},{"id":130,"name":"Impact","value":""},{"id":150,"name":"Time of Event (Mountain Time)","value":"04:56:08"},{"id":151,"name":"Denver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29"/>
        <v>start /low /b %USERPROFILE%\Documents\GitHub\eaglep3\Utilities\DownloadLogsFromS3.py --loco 4053 --day 2017-10-30</v>
      </c>
      <c r="AN216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1"/>
        <v>https://d0f6bd738d7f1b3e5a7ca70fe4ff75f0.us-east-1.aws.found.io/app/kibana#/discover/Steve-Slow-Train-Analysis-(2080s-and-2083s)?_g=(refreshInterval:(display:Off,pause:!f,section:0,value:0),time:(from:'2017-10-30T03:36:21-0600',mode:absolute,to:'2017-10-30T05:56:08-0600'))&amp;_a=(columns:!('Message%20ID',Summary),filters:!(),index:'emp_*',interval:auto,query:(query_string:(analyze_wildcard:!t,query:'%22rtdc.l.rtdc.4053%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899</v>
      </c>
      <c r="B217" s="7">
        <v>4004</v>
      </c>
      <c r="C217" s="21" t="s">
        <v>194</v>
      </c>
      <c r="D217" s="21" t="s">
        <v>936</v>
      </c>
      <c r="E217" s="13">
        <v>43039.089907407404</v>
      </c>
      <c r="F217" s="13">
        <v>43039.091898148145</v>
      </c>
      <c r="G217" s="7">
        <v>89</v>
      </c>
      <c r="H217" s="21" t="s">
        <v>1021</v>
      </c>
      <c r="I217" s="13">
        <v>43039.111608796295</v>
      </c>
      <c r="J217" s="7">
        <v>0</v>
      </c>
      <c r="K217" s="89" t="str">
        <f t="shared" si="118"/>
        <v>4003/4004</v>
      </c>
      <c r="L217" s="185" t="str">
        <f>VLOOKUP(A217,'Trips&amp;Operators'!$C$1:$G$99911,5,FALSE)</f>
        <v>WILLIAMS DONTE</v>
      </c>
      <c r="M217" s="6">
        <f t="shared" si="119"/>
        <v>1.9710648150066845E-2</v>
      </c>
      <c r="N217" s="7">
        <f t="shared" ref="N217:N239" si="132">24*60*SUM($M217:$M217)</f>
        <v>28.383333336096257</v>
      </c>
      <c r="O217" s="7"/>
      <c r="P217" s="7"/>
      <c r="Q217" s="22"/>
      <c r="R217" s="174"/>
      <c r="S217" s="221">
        <f t="shared" ref="S217:S239" si="133">1/IF(AG217="EC",12,1)*SUM(U217:U217)</f>
        <v>1</v>
      </c>
      <c r="T217" s="174" t="str">
        <f t="shared" si="120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21"/>
        <v>https://d0f6bd738d7f1b3e5a7ca70fe4ff75f0.us-east-1.aws.found.io/app/kibana#/discover/Steve-Slow-Train-Analysis-(2080s-and-2083s)?_g=(refreshInterval:(display:Off,pause:!f,section:0,value:0),time:(from:'2017-10-31T01:09:28-0600',mode:absolute,to:'2017-10-31T03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204" t="str">
        <f>IF(AA217&lt;VLOOKUP(AG217,Variables!$AC$3:$AD$8,2,FALSE),"Y","N")</f>
        <v>Y</v>
      </c>
      <c r="X217" s="204">
        <f t="shared" si="117"/>
        <v>1</v>
      </c>
      <c r="Y217" s="204">
        <f t="shared" si="115"/>
        <v>4.9500000000000002E-2</v>
      </c>
      <c r="Z217" s="204">
        <f t="shared" si="116"/>
        <v>2.3311999999999999</v>
      </c>
      <c r="AA217" s="204">
        <f t="shared" si="122"/>
        <v>2.2816999999999998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3"/>
        <v>311</v>
      </c>
      <c r="AE217" s="77" t="str">
        <f t="shared" si="124"/>
        <v>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 &amp; aws s3 cp s3://rtdc.mdm.uploadarchive.raw/RTDC4004/ "%USERPROFILE%\AppData\Local\Temp\OnboardLogs"\RTDC4004\2017-11-01 --exclude "*" --recursive --include "*20171101*" &amp; "%USERPROFILE%\Documents\GitHub\mrs-test-scripts\Headless Mode &amp; Sideloading\WalkAndUnGZ.bat" "%USERPROFILE%\AppData\Local\Temp\OnboardLogs"\RTDC4004\2017-11-01</v>
      </c>
      <c r="AF217" s="74" t="str">
        <f t="shared" si="125"/>
        <v>"C:\Program Files (x86)\AstroGrep\AstroGrep.exe" /e /r /s /spath="%USERPROFILE%\AppData\Local\Temp\OnboardLogs" /stypes="app*4004*20171031*" /stext=" 08:.+((SYSTEM_STATE.+slice.+state.+changed )|(ment ac)|(multiple cpu faults)|(system.+state.+changed )|(\[timeout)|(PRM\|1\|D)|(kpr)|(kdp)|(train st.+moving)|(\|lc)|(penalty))"</v>
      </c>
      <c r="AG217" s="182" t="str">
        <f t="shared" si="126"/>
        <v>Other</v>
      </c>
      <c r="AH217" s="78" t="str">
        <f t="shared" si="127"/>
        <v>"%USERPROFILE%\Documents\GitHub\eaglep3\Utilities\RefineRTDCRunTimes.py" --tripid 311-30 --locoid 4004 --swversion DE.1.0.9.0 --startMP 204:495 --initTime 2017-10-31T02:09:28 --startdatetime 2017-10-31T02:12:20 --delay 89 --endMP 300:23312 --enddatetime 2017-10-31T02:40:43 --enforcementcount 0 &gt;&gt;%USERPROFILE%\Documents\GitHub\eaglep3-reporting\EC\2017-10-30-refined-times.txt</v>
      </c>
      <c r="AI217" s="96" t="str">
        <f t="shared" si="128"/>
        <v>echo {"issue":{"subject":"","project_id":79,"tracker_id":40,"status_id":1,"priority_id":2,"assigned_to_id":338,"start_date":"2017-10-31","description":"","custom_fields":[{"id":1,"name":"Subdivision","value":"Other"},{"id":4,"name":"Milepost","value":"2.3312"},{"id":17,"name":"Train ID","value":"311-30"},{"id":16,"name":"Locomotive ID","value":"4004"},{"id":130,"name":"Impact","value":""},{"id":150,"name":"Time of Event (Mountain Time)","value":"02:40:43"},{"id":151,"name":"Denver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29"/>
        <v>start /low /b %USERPROFILE%\Documents\GitHub\eaglep3\Utilities\DownloadLogsFromS3.py --loco 4004 --day 2017-10-31</v>
      </c>
      <c r="AN217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08:40:43"},{"id":29,"name":"Sharepoint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1"/>
        <v>https://d0f6bd738d7f1b3e5a7ca70fe4ff75f0.us-east-1.aws.found.io/app/kibana#/discover/Steve-Slow-Train-Analysis-(2080s-and-2083s)?_g=(refreshInterval:(display:Off,pause:!f,section:0,value:0),time:(from:'2017-10-31T01:09:28-0600',mode:absolute,to:'2017-10-31T03:40:43-0600'))&amp;_a=(columns:!('Message%20ID',Summary),filters:!(),index:'emp_*',interval:auto,query:(query_string:(analyze_wildcard:!t,query:'%22rtdc.l.rtdc.4004%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651</v>
      </c>
      <c r="B218" s="7">
        <v>4001</v>
      </c>
      <c r="C218" s="21" t="s">
        <v>194</v>
      </c>
      <c r="D218" s="21" t="s">
        <v>1022</v>
      </c>
      <c r="E218" s="13">
        <v>43038.222372685188</v>
      </c>
      <c r="F218" s="13">
        <v>43038.229733796295</v>
      </c>
      <c r="G218" s="7">
        <v>177</v>
      </c>
      <c r="H218" s="21" t="s">
        <v>906</v>
      </c>
      <c r="I218" s="13">
        <v>43038.234710648147</v>
      </c>
      <c r="J218" s="7">
        <v>0</v>
      </c>
      <c r="K218" s="89" t="str">
        <f t="shared" si="118"/>
        <v>4001/4002</v>
      </c>
      <c r="L218" s="185" t="str">
        <f>VLOOKUP(A218,'Trips&amp;Operators'!$C$1:$G$99911,5,FALSE)</f>
        <v>LAMAR NEKESHA</v>
      </c>
      <c r="M218" s="6">
        <f t="shared" si="119"/>
        <v>4.9768518510973081E-3</v>
      </c>
      <c r="N218" s="7">
        <f t="shared" si="132"/>
        <v>7.1666666655801237</v>
      </c>
      <c r="O218" s="7"/>
      <c r="P218" s="7"/>
      <c r="Q218" s="22"/>
      <c r="R218" s="174"/>
      <c r="S218" s="221">
        <f t="shared" si="133"/>
        <v>1</v>
      </c>
      <c r="T218" s="174" t="str">
        <f t="shared" si="120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21"/>
        <v>https://d0f6bd738d7f1b3e5a7ca70fe4ff75f0.us-east-1.aws.found.io/app/kibana#/discover/Steve-Slow-Train-Analysis-(2080s-and-2083s)?_g=(refreshInterval:(display:Off,pause:!f,section:0,value:0),time:(from:'2017-10-30T04:20:13-0600',mode:absolute,to:'2017-10-30T06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8" s="204" t="str">
        <f>IF(AA218&lt;VLOOKUP(AG218,Variables!$AC$3:$AD$8,2,FALSE),"Y","N")</f>
        <v>Y</v>
      </c>
      <c r="X218" s="204">
        <f t="shared" si="117"/>
        <v>1</v>
      </c>
      <c r="Y218" s="204">
        <f t="shared" si="115"/>
        <v>2.2639</v>
      </c>
      <c r="Z218" s="204">
        <f t="shared" si="116"/>
        <v>1.67E-2</v>
      </c>
      <c r="AA218" s="204">
        <f t="shared" si="122"/>
        <v>2.2471999999999999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3"/>
        <v>312</v>
      </c>
      <c r="AE218" s="77" t="str">
        <f t="shared" si="124"/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AF218" s="74" t="str">
        <f t="shared" si="125"/>
        <v>"C:\Program Files (x86)\AstroGrep\AstroGrep.exe" /e /r /s /spath="%USERPROFILE%\AppData\Local\Temp\OnboardLogs" /stypes="app*4001*20171030*" /stext=" 11:.+((SYSTEM_STATE.+slice.+state.+changed )|(ment ac)|(multiple cpu faults)|(system.+state.+changed )|(\[timeout)|(PRM\|1\|D)|(kpr)|(kdp)|(train st.+moving)|(\|lc)|(penalty))"</v>
      </c>
      <c r="AG218" s="182" t="str">
        <f t="shared" si="126"/>
        <v>Other</v>
      </c>
      <c r="AH218" s="78" t="str">
        <f t="shared" si="127"/>
        <v>"%USERPROFILE%\Documents\GitHub\eaglep3\Utilities\RefineRTDCRunTimes.py" --tripid 312-30 --locoid 4001 --swversion DE.1.0.9.0 --startMP 300:22639 --initTime 2017-10-30T05:20:13 --startdatetime 2017-10-30T05:30:49 --delay 177 --endMP 204:167 --enddatetime 2017-10-30T05:37:59 --enforcementcount 0 &gt;&gt;%USERPROFILE%\Documents\GitHub\eaglep3-reporting\EC\2017-10-30-refined-times.txt</v>
      </c>
      <c r="AI218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{"issue":{"subject":"","project_id":79,"tracker_id":40,"status_id":1,"priority_id":2,"assigned_to_id":338,"start_date":"2017-10-30","description":"","custom_fields":[{"id":1,"name":"Subdivision","value":"Other"},{"id":4,"name":"Milepost","value":"0.0167"},{"id":17,"name":"Train ID","value":"312-30"},{"id":16,"name":"Locomotive ID","value":"4001"},{"id":130,"name":"Impact","value":""},{"id":150,"name":"Time of Event (Mountain Time)","value":"05:37:59"},{"id":151,"name":"Denver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29"/>
        <v>start /low /b %USERPROFILE%\Documents\GitHub\eaglep3\Utilities\DownloadLogsFromS3.py --loco 4001 --day 2017-10-30</v>
      </c>
      <c r="AN218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1"/>
        <v>https://d0f6bd738d7f1b3e5a7ca70fe4ff75f0.us-east-1.aws.found.io/app/kibana#/discover/Steve-Slow-Train-Analysis-(2080s-and-2083s)?_g=(refreshInterval:(display:Off,pause:!f,section:0,value:0),time:(from:'2017-10-30T04:20:13-0600',mode:absolute,to:'2017-10-30T06:37:59-0600'))&amp;_a=(columns:!('Message%20ID',Summary),filters:!(),index:'emp_*',interval:auto,query:(query_string:(analyze_wildcard:!t,query:'%22rtdc.l.rtdc.4001%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699</v>
      </c>
      <c r="B219" s="7">
        <v>4064</v>
      </c>
      <c r="C219" s="21" t="s">
        <v>194</v>
      </c>
      <c r="D219" s="21" t="s">
        <v>1106</v>
      </c>
      <c r="E219" s="13">
        <v>43038.196921296294</v>
      </c>
      <c r="F219" s="13">
        <v>43038.200509259259</v>
      </c>
      <c r="G219" s="7">
        <v>75</v>
      </c>
      <c r="H219" s="21" t="s">
        <v>613</v>
      </c>
      <c r="I219" s="13">
        <v>43038.206053240741</v>
      </c>
      <c r="J219" s="7">
        <v>0</v>
      </c>
      <c r="K219" s="89" t="str">
        <f t="shared" si="118"/>
        <v>4063/4064</v>
      </c>
      <c r="L219" s="185" t="str">
        <f>VLOOKUP(A219,'Trips&amp;Operators'!$C$1:$G$99911,5,FALSE)</f>
        <v>MACDONALD THOMAS</v>
      </c>
      <c r="M219" s="6">
        <f t="shared" si="119"/>
        <v>5.543981482333038E-3</v>
      </c>
      <c r="N219" s="7">
        <f t="shared" si="132"/>
        <v>7.9833333345595747</v>
      </c>
      <c r="O219" s="7"/>
      <c r="P219" s="7"/>
      <c r="Q219" s="22"/>
      <c r="R219" s="174"/>
      <c r="S219" s="221">
        <f t="shared" si="133"/>
        <v>0</v>
      </c>
      <c r="T219" s="174" t="str">
        <f t="shared" si="120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21"/>
        <v>https://d0f6bd738d7f1b3e5a7ca70fe4ff75f0.us-east-1.aws.found.io/app/kibana#/discover/Steve-Slow-Train-Analysis-(2080s-and-2083s)?_g=(refreshInterval:(display:Off,pause:!f,section:0,value:0),time:(from:'2017-10-30T03:43:34-0600',mode:absolute,to:'2017-10-30T05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04" t="str">
        <f>IF(AA219&lt;VLOOKUP(AG219,Variables!$AC$3:$AD$8,2,FALSE),"Y","N")</f>
        <v>Y</v>
      </c>
      <c r="X219" s="204">
        <f t="shared" si="117"/>
        <v>589</v>
      </c>
      <c r="Y219" s="204">
        <f t="shared" si="115"/>
        <v>2.9739</v>
      </c>
      <c r="Z219" s="204">
        <f t="shared" si="116"/>
        <v>5.8952</v>
      </c>
      <c r="AA219" s="204">
        <f t="shared" si="122"/>
        <v>2.9213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3"/>
        <v>901</v>
      </c>
      <c r="AE219" s="77" t="str">
        <f t="shared" si="124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219" s="74" t="str">
        <f t="shared" si="125"/>
        <v>"C:\Program Files (x86)\AstroGrep\AstroGrep.exe" /e /r /s /spath="%USERPROFILE%\AppData\Local\Temp\OnboardLogs" /stypes="app*4064*20171030*" /stext=" 10:.+((SYSTEM_STATE.+slice.+state.+changed )|(ment ac)|(multiple cpu faults)|(system.+state.+changed )|(\[timeout)|(PRM\|1\|D)|(kpr)|(kdp)|(train st.+moving)|(\|lc)|(penalty))"</v>
      </c>
      <c r="AG219" s="182" t="str">
        <f t="shared" si="126"/>
        <v>Other</v>
      </c>
      <c r="AH219" s="78" t="str">
        <f t="shared" si="127"/>
        <v>"%USERPROFILE%\Documents\GitHub\eaglep3\Utilities\RefineRTDCRunTimes.py" --tripid 901-30 --locoid 4064 --swversion DE.1.0.9.0 --startMP 300:29739 --initTime 2017-10-30T04:43:34 --startdatetime 2017-10-30T04:48:44 --delay 75 --endMP 300:58952 --enddatetime 2017-10-30T04:56:43 --enforcementcount 0 &gt;&gt;%USERPROFILE%\Documents\GitHub\eaglep3-reporting\EC\2017-10-30-refined-times.txt</v>
      </c>
      <c r="AI219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{"issue":{"subject":"","project_id":79,"tracker_id":40,"status_id":1,"priority_id":2,"assigned_to_id":338,"start_date":"2017-10-30","description":"","custom_fields":[{"id":1,"name":"Subdivision","value":"Other"},{"id":4,"name":"Milepost","value":"5.8952"},{"id":17,"name":"Train ID","value":"901-30"},{"id":16,"name":"Locomotive ID","value":"4064"},{"id":130,"name":"Impact","value":""},{"id":150,"name":"Time of Event (Mountain Time)","value":"04:56:43"},{"id":151,"name":"Denver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29"/>
        <v>start /low /b %USERPROFILE%\Documents\GitHub\eaglep3\Utilities\DownloadLogsFromS3.py --loco 4064 --day 2017-10-30</v>
      </c>
      <c r="AN219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10:56:43"},{"id":29,"name":"Sharepoint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1"/>
        <v>https://d0f6bd738d7f1b3e5a7ca70fe4ff75f0.us-east-1.aws.found.io/app/kibana#/discover/Steve-Slow-Train-Analysis-(2080s-and-2083s)?_g=(refreshInterval:(display:Off,pause:!f,section:0,value:0),time:(from:'2017-10-30T03:43:34-0600',mode:absolute,to:'2017-10-30T05:56:43-0600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707</v>
      </c>
      <c r="B220" s="7">
        <v>4035</v>
      </c>
      <c r="C220" s="21" t="s">
        <v>194</v>
      </c>
      <c r="D220" s="21" t="s">
        <v>1107</v>
      </c>
      <c r="E220" s="13">
        <v>43038.236956018518</v>
      </c>
      <c r="F220" s="13">
        <v>43038.24009259259</v>
      </c>
      <c r="G220" s="7">
        <v>136</v>
      </c>
      <c r="H220" s="21" t="s">
        <v>1055</v>
      </c>
      <c r="I220" s="13">
        <v>43038.245011574072</v>
      </c>
      <c r="J220" s="7">
        <v>0</v>
      </c>
      <c r="K220" s="89" t="str">
        <f t="shared" si="118"/>
        <v>4035/4036</v>
      </c>
      <c r="L220" s="185" t="str">
        <f>VLOOKUP(A220,'Trips&amp;Operators'!$C$1:$G$99911,5,FALSE)</f>
        <v>YANAI IAN</v>
      </c>
      <c r="M220" s="6">
        <f t="shared" si="119"/>
        <v>4.9189814817509614E-3</v>
      </c>
      <c r="N220" s="7">
        <f t="shared" si="132"/>
        <v>7.0833333337213844</v>
      </c>
      <c r="O220" s="7"/>
      <c r="P220" s="7"/>
      <c r="Q220" s="22"/>
      <c r="R220" s="174"/>
      <c r="S220" s="221">
        <f t="shared" si="133"/>
        <v>1</v>
      </c>
      <c r="T220" s="174" t="str">
        <f t="shared" si="120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21"/>
        <v>https://d0f6bd738d7f1b3e5a7ca70fe4ff75f0.us-east-1.aws.found.io/app/kibana#/discover/Steve-Slow-Train-Analysis-(2080s-and-2083s)?_g=(refreshInterval:(display:Off,pause:!f,section:0,value:0),time:(from:'2017-10-30T04:41:13-0600',mode:absolute,to:'2017-10-30T06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0" s="204" t="str">
        <f>IF(AA220&lt;VLOOKUP(AG220,Variables!$AC$3:$AD$8,2,FALSE),"Y","N")</f>
        <v>Y</v>
      </c>
      <c r="X220" s="204">
        <f t="shared" si="117"/>
        <v>1</v>
      </c>
      <c r="Y220" s="204">
        <f t="shared" si="115"/>
        <v>2.3660999999999999</v>
      </c>
      <c r="Z220" s="204">
        <f t="shared" si="116"/>
        <v>7.0300000000000001E-2</v>
      </c>
      <c r="AA220" s="204">
        <f t="shared" si="122"/>
        <v>2.2957999999999998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3"/>
        <v>902</v>
      </c>
      <c r="AE220" s="77" t="str">
        <f t="shared" si="124"/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AF220" s="74" t="str">
        <f t="shared" si="125"/>
        <v>"C:\Program Files (x86)\AstroGrep\AstroGrep.exe" /e /r /s /spath="%USERPROFILE%\AppData\Local\Temp\OnboardLogs" /stypes="app*4035*20171030*" /stext=" 11:.+((SYSTEM_STATE.+slice.+state.+changed )|(ment ac)|(multiple cpu faults)|(system.+state.+changed )|(\[timeout)|(PRM\|1\|D)|(kpr)|(kdp)|(train st.+moving)|(\|lc)|(penalty))"</v>
      </c>
      <c r="AG220" s="182" t="str">
        <f t="shared" si="126"/>
        <v>Other</v>
      </c>
      <c r="AH220" s="78" t="str">
        <f t="shared" si="127"/>
        <v>"%USERPROFILE%\Documents\GitHub\eaglep3\Utilities\RefineRTDCRunTimes.py" --tripid 902-30 --locoid 4035 --swversion DE.1.0.9.0 --startMP 300:23661 --initTime 2017-10-30T05:41:13 --startdatetime 2017-10-30T05:45:44 --delay 136 --endMP 204:703 --enddatetime 2017-10-30T05:52:49 --enforcementcount 0 &gt;&gt;%USERPROFILE%\Documents\GitHub\eaglep3-reporting\EC\2017-10-30-refined-times.txt</v>
      </c>
      <c r="AI220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{"issue":{"subject":"","project_id":79,"tracker_id":40,"status_id":1,"priority_id":2,"assigned_to_id":338,"start_date":"2017-10-30","description":"","custom_fields":[{"id":1,"name":"Subdivision","value":"Other"},{"id":4,"name":"Milepost","value":"0.0703"},{"id":17,"name":"Train ID","value":"902-30"},{"id":16,"name":"Locomotive ID","value":"4035"},{"id":130,"name":"Impact","value":""},{"id":150,"name":"Time of Event (Mountain Time)","value":"05:52:49"},{"id":151,"name":"Denver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29"/>
        <v>start /low /b %USERPROFILE%\Documents\GitHub\eaglep3\Utilities\DownloadLogsFromS3.py --loco 4035 --day 2017-10-30</v>
      </c>
      <c r="AN220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11:52:49"},{"id":29,"name":"Sharepoint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1"/>
        <v>https://d0f6bd738d7f1b3e5a7ca70fe4ff75f0.us-east-1.aws.found.io/app/kibana#/discover/Steve-Slow-Train-Analysis-(2080s-and-2083s)?_g=(refreshInterval:(display:Off,pause:!f,section:0,value:0),time:(from:'2017-10-30T04:41:13-0600',mode:absolute,to:'2017-10-30T06:52:49-0600'))&amp;_a=(columns:!('Message%20ID',Summary),filters:!(),index:'emp_*',interval:auto,query:(query_string:(analyze_wildcard:!t,query:'%22rtdc.l.rtdc.4035%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742</v>
      </c>
      <c r="B221" s="7">
        <v>4064</v>
      </c>
      <c r="C221" s="21" t="s">
        <v>194</v>
      </c>
      <c r="D221" s="21" t="s">
        <v>1108</v>
      </c>
      <c r="E221" s="13">
        <v>43038.352372685185</v>
      </c>
      <c r="F221" s="13">
        <v>43038.353518518517</v>
      </c>
      <c r="G221" s="7">
        <v>54</v>
      </c>
      <c r="H221" s="21" t="s">
        <v>1109</v>
      </c>
      <c r="I221" s="13">
        <v>43038.363877314812</v>
      </c>
      <c r="J221" s="7">
        <v>0</v>
      </c>
      <c r="K221" s="89" t="str">
        <f t="shared" si="118"/>
        <v>4063/4064</v>
      </c>
      <c r="L221" s="185" t="str">
        <f>VLOOKUP(A221,'Trips&amp;Operators'!$C$1:$G$99911,5,FALSE)</f>
        <v>MACDONALD THOMAS</v>
      </c>
      <c r="M221" s="6">
        <f t="shared" si="119"/>
        <v>1.0358796294895001E-2</v>
      </c>
      <c r="N221" s="7">
        <f t="shared" si="132"/>
        <v>14.916666664648801</v>
      </c>
      <c r="O221" s="7"/>
      <c r="P221" s="7"/>
      <c r="Q221" s="22"/>
      <c r="R221" s="174"/>
      <c r="S221" s="221">
        <f t="shared" si="133"/>
        <v>1</v>
      </c>
      <c r="T221" s="174" t="str">
        <f t="shared" si="120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21"/>
        <v>https://d0f6bd738d7f1b3e5a7ca70fe4ff75f0.us-east-1.aws.found.io/app/kibana#/discover/Steve-Slow-Train-Analysis-(2080s-and-2083s)?_g=(refreshInterval:(display:Off,pause:!f,section:0,value:0),time:(from:'2017-10-30T07:27:25-0600',mode:absolute,to:'2017-10-30T09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1" s="204" t="str">
        <f>IF(AA221&lt;VLOOKUP(AG221,Variables!$AC$3:$AD$8,2,FALSE),"Y","N")</f>
        <v>Y</v>
      </c>
      <c r="X221" s="204">
        <f t="shared" si="117"/>
        <v>1</v>
      </c>
      <c r="Y221" s="204">
        <f t="shared" si="115"/>
        <v>0.121</v>
      </c>
      <c r="Z221" s="204">
        <f t="shared" si="116"/>
        <v>2.4245999999999999</v>
      </c>
      <c r="AA221" s="204">
        <f t="shared" si="122"/>
        <v>2.3035999999999999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3"/>
        <v>903</v>
      </c>
      <c r="AE221" s="77" t="str">
        <f t="shared" si="124"/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AF221" s="74" t="str">
        <f t="shared" si="125"/>
        <v>"C:\Program Files (x86)\AstroGrep\AstroGrep.exe" /e /r /s /spath="%USERPROFILE%\AppData\Local\Temp\OnboardLogs" /stypes="app*4064*20171030*" /stext=" 14:.+((SYSTEM_STATE.+slice.+state.+changed )|(ment ac)|(multiple cpu faults)|(system.+state.+changed )|(\[timeout)|(PRM\|1\|D)|(kpr)|(kdp)|(train st.+moving)|(\|lc)|(penalty))"</v>
      </c>
      <c r="AG221" s="182" t="str">
        <f t="shared" si="126"/>
        <v>Other</v>
      </c>
      <c r="AH221" s="78" t="str">
        <f t="shared" si="127"/>
        <v>"%USERPROFILE%\Documents\GitHub\eaglep3\Utilities\RefineRTDCRunTimes.py" --tripid 903-30 --locoid 4064 --swversion DE.1.0.9.0 --startMP 204:1210 --initTime 2017-10-30T08:27:25 --startdatetime 2017-10-30T08:29:04 --delay 54 --endMP 300:24246 --enddatetime 2017-10-30T08:43:59 --enforcementcount 0 &gt;&gt;%USERPROFILE%\Documents\GitHub\eaglep3-reporting\EC\2017-10-30-refined-times.txt</v>
      </c>
      <c r="AI221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{"issue":{"subject":"","project_id":79,"tracker_id":40,"status_id":1,"priority_id":2,"assigned_to_id":338,"start_date":"2017-10-30","description":"","custom_fields":[{"id":1,"name":"Subdivision","value":"Other"},{"id":4,"name":"Milepost","value":"2.4246"},{"id":17,"name":"Train ID","value":"903-30"},{"id":16,"name":"Locomotive ID","value":"4064"},{"id":130,"name":"Impact","value":""},{"id":150,"name":"Time of Event (Mountain Time)","value":"08:43:59"},{"id":151,"name":"Denver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29"/>
        <v>start /low /b %USERPROFILE%\Documents\GitHub\eaglep3\Utilities\DownloadLogsFromS3.py --loco 4064 --day 2017-10-30</v>
      </c>
      <c r="AN221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14:43:59"},{"id":29,"name":"Sharepoint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1"/>
        <v>https://d0f6bd738d7f1b3e5a7ca70fe4ff75f0.us-east-1.aws.found.io/app/kibana#/discover/Steve-Slow-Train-Analysis-(2080s-and-2083s)?_g=(refreshInterval:(display:Off,pause:!f,section:0,value:0),time:(from:'2017-10-30T07:27:25-0600',mode:absolute,to:'2017-10-30T09:43:59-0600'))&amp;_a=(columns:!('Message%20ID',Summary),filters:!(),index:'emp_*',interval:auto,query:(query_string:(analyze_wildcard:!t,query:'%22rtdc.l.rtdc.4064%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662</v>
      </c>
      <c r="B222" s="7">
        <v>4063</v>
      </c>
      <c r="C222" s="21" t="s">
        <v>194</v>
      </c>
      <c r="D222" s="21" t="s">
        <v>1110</v>
      </c>
      <c r="E222" s="13">
        <v>43038.646122685182</v>
      </c>
      <c r="F222" s="13">
        <v>43038.646967592591</v>
      </c>
      <c r="G222" s="7">
        <v>39</v>
      </c>
      <c r="H222" s="21" t="s">
        <v>1111</v>
      </c>
      <c r="I222" s="13">
        <v>43038.651331018518</v>
      </c>
      <c r="J222" s="7">
        <v>0</v>
      </c>
      <c r="K222" s="89" t="str">
        <f t="shared" si="118"/>
        <v>4063/4064</v>
      </c>
      <c r="L222" s="185" t="str">
        <f>VLOOKUP(A222,'Trips&amp;Operators'!$C$1:$G$99911,5,FALSE)</f>
        <v>MAGEE KENYA</v>
      </c>
      <c r="M222" s="6">
        <f t="shared" si="119"/>
        <v>4.3634259272948839E-3</v>
      </c>
      <c r="N222" s="7">
        <f t="shared" si="132"/>
        <v>6.2833333353046328</v>
      </c>
      <c r="O222" s="7"/>
      <c r="P222" s="7"/>
      <c r="Q222" s="22"/>
      <c r="R222" s="174"/>
      <c r="S222" s="221">
        <f t="shared" si="133"/>
        <v>1</v>
      </c>
      <c r="T222" s="174" t="str">
        <f t="shared" si="120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21"/>
        <v>https://d0f6bd738d7f1b3e5a7ca70fe4ff75f0.us-east-1.aws.found.io/app/kibana#/discover/Steve-Slow-Train-Analysis-(2080s-and-2083s)?_g=(refreshInterval:(display:Off,pause:!f,section:0,value:0),time:(from:'2017-10-30T14:30:25-0600',mode:absolute,to:'2017-10-30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204" t="str">
        <f>IF(AA222&lt;VLOOKUP(AG222,Variables!$AC$3:$AD$8,2,FALSE),"Y","N")</f>
        <v>Y</v>
      </c>
      <c r="X222" s="204">
        <f t="shared" si="117"/>
        <v>1</v>
      </c>
      <c r="Y222" s="204">
        <f t="shared" si="115"/>
        <v>1.8711</v>
      </c>
      <c r="Z222" s="204">
        <f t="shared" si="116"/>
        <v>7.1999999999999995E-2</v>
      </c>
      <c r="AA222" s="204">
        <f t="shared" si="122"/>
        <v>1.7990999999999999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3"/>
        <v>904</v>
      </c>
      <c r="AE222" s="77" t="str">
        <f t="shared" si="124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222" s="74" t="str">
        <f t="shared" si="125"/>
        <v>"C:\Program Files (x86)\AstroGrep\AstroGrep.exe" /e /r /s /spath="%USERPROFILE%\AppData\Local\Temp\OnboardLogs" /stypes="app*4063*20171030*" /stext=" 21:.+((SYSTEM_STATE.+slice.+state.+changed )|(ment ac)|(multiple cpu faults)|(system.+state.+changed )|(\[timeout)|(PRM\|1\|D)|(kpr)|(kdp)|(train st.+moving)|(\|lc)|(penalty))"</v>
      </c>
      <c r="AG222" s="182" t="str">
        <f t="shared" si="126"/>
        <v>Other</v>
      </c>
      <c r="AH222" s="78" t="str">
        <f t="shared" si="127"/>
        <v>"%USERPROFILE%\Documents\GitHub\eaglep3\Utilities\RefineRTDCRunTimes.py" --tripid 904-30 --locoid 4063 --swversion DE.1.0.9.0 --startMP 300:18711 --initTime 2017-10-30T15:30:25 --startdatetime 2017-10-30T15:31:38 --delay 39 --endMP 204:720 --enddatetime 2017-10-30T15:37:55 --enforcementcount 0 &gt;&gt;%USERPROFILE%\Documents\GitHub\eaglep3-reporting\EC\2017-10-30-refined-times.txt</v>
      </c>
      <c r="AI222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{"issue":{"subject":"","project_id":79,"tracker_id":40,"status_id":1,"priority_id":2,"assigned_to_id":338,"start_date":"2017-10-30","description":"","custom_fields":[{"id":1,"name":"Subdivision","value":"Other"},{"id":4,"name":"Milepost","value":"0.072"},{"id":17,"name":"Train ID","value":"904-30"},{"id":16,"name":"Locomotive ID","value":"4063"},{"id":130,"name":"Impact","value":""},{"id":150,"name":"Time of Event (Mountain Time)","value":"15:37:55"},{"id":151,"name":"Denver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29"/>
        <v>start /low /b %USERPROFILE%\Documents\GitHub\eaglep3\Utilities\DownloadLogsFromS3.py --loco 4063 --day 2017-10-30</v>
      </c>
      <c r="AN222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1"/>
        <v>https://d0f6bd738d7f1b3e5a7ca70fe4ff75f0.us-east-1.aws.found.io/app/kibana#/discover/Steve-Slow-Train-Analysis-(2080s-and-2083s)?_g=(refreshInterval:(display:Off,pause:!f,section:0,value:0),time:(from:'2017-10-30T14:30:25-0600',mode:absolute,to:'2017-10-30T16:37:55-0600'))&amp;_a=(columns:!('Message%20ID',Summary),filters:!(),index:'emp_*',interval:auto,query:(query_string:(analyze_wildcard:!t,query:'%22rtdc.l.rtdc.4063%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662</v>
      </c>
      <c r="B223" s="7">
        <v>4063</v>
      </c>
      <c r="C223" s="21" t="s">
        <v>194</v>
      </c>
      <c r="D223" s="21" t="s">
        <v>1112</v>
      </c>
      <c r="E223" s="13">
        <v>43038.641250000001</v>
      </c>
      <c r="F223" s="13">
        <v>43038.646967592591</v>
      </c>
      <c r="G223" s="7">
        <v>76</v>
      </c>
      <c r="H223" s="21" t="s">
        <v>1113</v>
      </c>
      <c r="I223" s="13">
        <v>43038.651331018518</v>
      </c>
      <c r="J223" s="7">
        <v>0</v>
      </c>
      <c r="K223" s="89" t="str">
        <f t="shared" si="118"/>
        <v>4063/4064</v>
      </c>
      <c r="L223" s="185" t="str">
        <f>VLOOKUP(A223,'Trips&amp;Operators'!$C$1:$G$99911,5,FALSE)</f>
        <v>MAGEE KENYA</v>
      </c>
      <c r="M223" s="6">
        <f t="shared" si="119"/>
        <v>4.3634259272948839E-3</v>
      </c>
      <c r="N223" s="7">
        <f t="shared" si="132"/>
        <v>6.2833333353046328</v>
      </c>
      <c r="O223" s="7"/>
      <c r="P223" s="7"/>
      <c r="Q223" s="22"/>
      <c r="R223" s="174"/>
      <c r="S223" s="221">
        <f t="shared" si="133"/>
        <v>0</v>
      </c>
      <c r="T223" s="174" t="str">
        <f t="shared" si="120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21"/>
        <v>https://d0f6bd738d7f1b3e5a7ca70fe4ff75f0.us-east-1.aws.found.io/app/kibana#/discover/Steve-Slow-Train-Analysis-(2080s-and-2083s)?_g=(refreshInterval:(display:Off,pause:!f,section:0,value:0),time:(from:'2017-10-30T14:23:24-0600',mode:absolute,to:'2017-10-30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04" t="str">
        <f>IF(AA223&lt;VLOOKUP(AG223,Variables!$AC$3:$AD$8,2,FALSE),"Y","N")</f>
        <v>Y</v>
      </c>
      <c r="X223" s="204">
        <f t="shared" si="117"/>
        <v>0</v>
      </c>
      <c r="Y223" s="204">
        <f t="shared" si="115"/>
        <v>2.2492999999999999</v>
      </c>
      <c r="Z223" s="204">
        <f t="shared" si="116"/>
        <v>2.1802999999999999</v>
      </c>
      <c r="AA223" s="204">
        <f t="shared" si="122"/>
        <v>6.899999999999995E-2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3"/>
        <v>904</v>
      </c>
      <c r="AE223" s="77" t="str">
        <f t="shared" si="124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223" s="74" t="str">
        <f t="shared" si="125"/>
        <v>"C:\Program Files (x86)\AstroGrep\AstroGrep.exe" /e /r /s /spath="%USERPROFILE%\AppData\Local\Temp\OnboardLogs" /stypes="app*4063*20171030*" /stext=" 21:.+((SYSTEM_STATE.+slice.+state.+changed )|(ment ac)|(multiple cpu faults)|(system.+state.+changed )|(\[timeout)|(PRM\|1\|D)|(kpr)|(kdp)|(train st.+moving)|(\|lc)|(penalty))"</v>
      </c>
      <c r="AG223" s="182" t="str">
        <f t="shared" si="126"/>
        <v>Other</v>
      </c>
      <c r="AH223" s="78" t="str">
        <f t="shared" si="127"/>
        <v>"%USERPROFILE%\Documents\GitHub\eaglep3\Utilities\RefineRTDCRunTimes.py" --tripid 904-30 --locoid 4063 --swversion DE.1.0.9.0 --startMP 300:22493 --initTime 2017-10-30T15:23:24 --startdatetime 2017-10-30T15:31:38 --delay 76 --endMP 300:21803 --enddatetime 2017-10-30T15:37:55 --enforcementcount 0 &gt;&gt;%USERPROFILE%\Documents\GitHub\eaglep3-reporting\EC\2017-10-30-refined-times.txt</v>
      </c>
      <c r="AI223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{"issue":{"subject":"","project_id":79,"tracker_id":40,"status_id":1,"priority_id":2,"assigned_to_id":338,"start_date":"2017-10-30","description":"","custom_fields":[{"id":1,"name":"Subdivision","value":"Other"},{"id":4,"name":"Milepost","value":"2.1803"},{"id":17,"name":"Train ID","value":"904-30"},{"id":16,"name":"Locomotive ID","value":"4063"},{"id":130,"name":"Impact","value":""},{"id":150,"name":"Time of Event (Mountain Time)","value":"15:37:55"},{"id":151,"name":"Denver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29"/>
        <v>start /low /b %USERPROFILE%\Documents\GitHub\eaglep3\Utilities\DownloadLogsFromS3.py --loco 4063 --day 2017-10-30</v>
      </c>
      <c r="AN223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1"/>
        <v>https://d0f6bd738d7f1b3e5a7ca70fe4ff75f0.us-east-1.aws.found.io/app/kibana#/discover/Steve-Slow-Train-Analysis-(2080s-and-2083s)?_g=(refreshInterval:(display:Off,pause:!f,section:0,value:0),time:(from:'2017-10-30T14:23:24-0600',mode:absolute,to:'2017-10-30T16:37:55-0600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862</v>
      </c>
      <c r="B224" s="7">
        <v>4063</v>
      </c>
      <c r="C224" s="21" t="s">
        <v>194</v>
      </c>
      <c r="D224" s="21" t="s">
        <v>1114</v>
      </c>
      <c r="E224" s="13">
        <v>43038.790381944447</v>
      </c>
      <c r="F224" s="13">
        <v>43038.791828703703</v>
      </c>
      <c r="G224" s="7">
        <v>50</v>
      </c>
      <c r="H224" s="21" t="s">
        <v>1115</v>
      </c>
      <c r="I224" s="13">
        <v>43038.798321759263</v>
      </c>
      <c r="J224" s="7">
        <v>0</v>
      </c>
      <c r="K224" s="89" t="str">
        <f t="shared" si="118"/>
        <v>4063/4064</v>
      </c>
      <c r="L224" s="185" t="str">
        <f>VLOOKUP(A224,'Trips&amp;Operators'!$C$1:$G$99911,5,FALSE)</f>
        <v>MAGEE KENYA</v>
      </c>
      <c r="M224" s="6">
        <f t="shared" si="119"/>
        <v>6.4930555599858053E-3</v>
      </c>
      <c r="N224" s="7">
        <f t="shared" si="132"/>
        <v>9.3500000063795596</v>
      </c>
      <c r="O224" s="7"/>
      <c r="P224" s="7"/>
      <c r="Q224" s="22"/>
      <c r="R224" s="174"/>
      <c r="S224" s="221">
        <f t="shared" si="133"/>
        <v>0</v>
      </c>
      <c r="T224" s="174" t="str">
        <f t="shared" si="120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21"/>
        <v>https://d0f6bd738d7f1b3e5a7ca70fe4ff75f0.us-east-1.aws.found.io/app/kibana#/discover/Steve-Slow-Train-Analysis-(2080s-and-2083s)?_g=(refreshInterval:(display:Off,pause:!f,section:0,value:0),time:(from:'2017-10-30T17:58:09-0600',mode:absolute,to:'2017-10-30T20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4" s="204" t="str">
        <f>IF(AA224&lt;VLOOKUP(AG224,Variables!$AC$3:$AD$8,2,FALSE),"Y","N")</f>
        <v>Y</v>
      </c>
      <c r="X224" s="204">
        <f t="shared" si="117"/>
        <v>2</v>
      </c>
      <c r="Y224" s="204">
        <f t="shared" si="115"/>
        <v>5.8632</v>
      </c>
      <c r="Z224" s="204">
        <f t="shared" si="116"/>
        <v>2.8786</v>
      </c>
      <c r="AA224" s="204">
        <f t="shared" si="122"/>
        <v>2.9845999999999999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3"/>
        <v>906</v>
      </c>
      <c r="AE224" s="77" t="str">
        <f t="shared" si="124"/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AF224" s="74" t="str">
        <f t="shared" si="125"/>
        <v>"C:\Program Files (x86)\AstroGrep\AstroGrep.exe" /e /r /s /spath="%USERPROFILE%\AppData\Local\Temp\OnboardLogs" /stypes="app*4063*20171031*" /stext=" 01:.+((SYSTEM_STATE.+slice.+state.+changed )|(ment ac)|(multiple cpu faults)|(system.+state.+changed )|(\[timeout)|(PRM\|1\|D)|(kpr)|(kdp)|(train st.+moving)|(\|lc)|(penalty))"</v>
      </c>
      <c r="AG224" s="182" t="str">
        <f t="shared" si="126"/>
        <v>Other</v>
      </c>
      <c r="AH224" s="78" t="str">
        <f t="shared" si="127"/>
        <v>"%USERPROFILE%\Documents\GitHub\eaglep3\Utilities\RefineRTDCRunTimes.py" --tripid 906-30 --locoid 4063 --swversion DE.1.0.9.0 --startMP 300:58632 --initTime 2017-10-30T18:58:09 --startdatetime 2017-10-30T19:00:14 --delay 50 --endMP 300:28786 --enddatetime 2017-10-30T19:09:35 --enforcementcount 0 &gt;&gt;%USERPROFILE%\Documents\GitHub\eaglep3-reporting\EC\2017-10-30-refined-times.txt</v>
      </c>
      <c r="AI224" s="96" t="str">
        <f t="shared" si="128"/>
        <v>echo {"issue":{"subject":"","project_id":79,"tracker_id":40,"status_id":1,"priority_id":2,"assigned_to_id":338,"start_date":"2017-10-30","description":"","custom_fields":[{"id":1,"name":"Subdivision","value":"Other"},{"id":4,"name":"Milepost","value":"2.8786"},{"id":17,"name":"Train ID","value":"906-30"},{"id":16,"name":"Locomotive ID","value":"4063"},{"id":130,"name":"Impact","value":""},{"id":150,"name":"Time of Event (Mountain Time)","value":"19:09:35"},{"id":151,"name":"Denver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29"/>
        <v>start /low /b %USERPROFILE%\Documents\GitHub\eaglep3\Utilities\DownloadLogsFromS3.py --loco 4063 --day 2017-10-30</v>
      </c>
      <c r="AN224" s="151" t="str">
        <f t="shared" si="130"/>
        <v>echo {"issue":{"subject":"","project_id":30,"tracker_id":4,"status_id":1,"priority_id":1,"assigned_to_id":10,"start_date":"2017-10-31","description":"","custom_fields":[{"id":30,"name":"Category","value":"Issue"},{"id":3,"name":"Functional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UTC","value":"2017-10-31 01:09:35"},{"id":29,"name":"Sharepoint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1"/>
        <v>https://d0f6bd738d7f1b3e5a7ca70fe4ff75f0.us-east-1.aws.found.io/app/kibana#/discover/Steve-Slow-Train-Analysis-(2080s-and-2083s)?_g=(refreshInterval:(display:Off,pause:!f,section:0,value:0),time:(from:'2017-10-30T17:58:09-0600',mode:absolute,to:'2017-10-30T20:09:35-0600'))&amp;_a=(columns:!('Message%20ID',Summary),filters:!(),index:'emp_*',interval:auto,query:(query_string:(analyze_wildcard:!t,query:'%22rtdc.l.rtdc.4063%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680</v>
      </c>
      <c r="B225" s="7">
        <v>4004</v>
      </c>
      <c r="C225" s="21" t="s">
        <v>194</v>
      </c>
      <c r="D225" s="21" t="s">
        <v>1023</v>
      </c>
      <c r="E225" s="13">
        <v>43038.126643518517</v>
      </c>
      <c r="F225" s="13">
        <v>43038.137164351851</v>
      </c>
      <c r="G225" s="7">
        <v>70</v>
      </c>
      <c r="H225" s="21" t="s">
        <v>1024</v>
      </c>
      <c r="I225" s="13">
        <v>43038.138402777775</v>
      </c>
      <c r="J225" s="7">
        <v>0</v>
      </c>
      <c r="K225" s="89" t="str">
        <f t="shared" si="118"/>
        <v>4003/4004</v>
      </c>
      <c r="L225" s="185" t="str">
        <f>VLOOKUP(A225,'Trips&amp;Operators'!$C$1:$G$99911,5,FALSE)</f>
        <v>SPECTOR MICHAEL</v>
      </c>
      <c r="M225" s="6">
        <f t="shared" si="119"/>
        <v>1.2384259243845008E-3</v>
      </c>
      <c r="N225" s="7">
        <f t="shared" si="132"/>
        <v>1.7833333311136812</v>
      </c>
      <c r="O225" s="7"/>
      <c r="P225" s="7"/>
      <c r="Q225" s="22"/>
      <c r="R225" s="174"/>
      <c r="S225" s="221">
        <f t="shared" si="133"/>
        <v>0</v>
      </c>
      <c r="T225" s="174" t="str">
        <f t="shared" si="120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21"/>
        <v>https://d0f6bd738d7f1b3e5a7ca70fe4ff75f0.us-east-1.aws.found.io/app/kibana#/discover/Steve-Slow-Train-Analysis-(2080s-and-2083s)?_g=(refreshInterval:(display:Off,pause:!f,section:0,value:0),time:(from:'2017-10-30T02:02:22-0600',mode:absolute,to:'2017-10-30T04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5" s="204" t="str">
        <f>IF(AA225&lt;VLOOKUP(AG225,Variables!$AC$3:$AD$8,2,FALSE),"Y","N")</f>
        <v>Y</v>
      </c>
      <c r="X225" s="204">
        <f t="shared" si="117"/>
        <v>-855</v>
      </c>
      <c r="Y225" s="204">
        <f t="shared" si="115"/>
        <v>4.1599999999999998E-2</v>
      </c>
      <c r="Z225" s="204">
        <f t="shared" si="116"/>
        <v>0.35809999999999997</v>
      </c>
      <c r="AA225" s="204">
        <f t="shared" si="122"/>
        <v>0.3165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3"/>
        <v>51</v>
      </c>
      <c r="AE225" s="77" t="str">
        <f t="shared" si="124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225" s="74" t="str">
        <f t="shared" si="125"/>
        <v>"C:\Program Files (x86)\AstroGrep\AstroGrep.exe" /e /r /s /spath="%USERPROFILE%\AppData\Local\Temp\OnboardLogs" /stypes="app*4004*20171030*" /stext=" 09:.+((SYSTEM_STATE.+slice.+state.+changed )|(ment ac)|(multiple cpu faults)|(system.+state.+changed )|(\[timeout)|(PRM\|1\|D)|(kpr)|(kdp)|(train st.+moving)|(\|lc)|(penalty))"</v>
      </c>
      <c r="AG225" s="182" t="str">
        <f t="shared" si="126"/>
        <v>Shuttle/Test</v>
      </c>
      <c r="AH225" s="78" t="str">
        <f t="shared" si="127"/>
        <v>"%USERPROFILE%\Documents\GitHub\eaglep3\Utilities\RefineRTDCRunTimes.py" --tripid 51-30 --locoid 4004 --swversion DE.1.0.9.0 --startMP 204:416 --initTime 2017-10-30T03:02:22 --startdatetime 2017-10-30T03:17:31 --delay 70 --endMP 204:3581 --enddatetime 2017-10-30T03:19:18 --enforcementcount 0 &gt;&gt;%USERPROFILE%\Documents\GitHub\eaglep3-reporting\EC\2017-10-30-refined-times.txt</v>
      </c>
      <c r="AI225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0.3581"},{"id":17,"name":"Train ID","value":"51-30"},{"id":16,"name":"Locomotive ID","value":"4004"},{"id":130,"name":"Impact","value":""},{"id":150,"name":"Time of Event (Mountain Time)","value":"03:19:18"},{"id":151,"name":"Denver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29"/>
        <v>start /low /b %USERPROFILE%\Documents\GitHub\eaglep3\Utilities\DownloadLogsFromS3.py --loco 4004 --day 2017-10-30</v>
      </c>
      <c r="AN225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1"/>
        <v>https://d0f6bd738d7f1b3e5a7ca70fe4ff75f0.us-east-1.aws.found.io/app/kibana#/discover/Steve-Slow-Train-Analysis-(2080s-and-2083s)?_g=(refreshInterval:(display:Off,pause:!f,section:0,value:0),time:(from:'2017-10-30T02:02:22-0600',mode:absolute,to:'2017-10-30T04:19:18-0600'))&amp;_a=(columns:!('Message%20ID',Summary),filters:!(),index:'emp_*',interval:auto,query:(query_string:(analyze_wildcard:!t,query:'%22rtdc.l.rtdc.4004%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683</v>
      </c>
      <c r="B226" s="7">
        <v>4003</v>
      </c>
      <c r="C226" s="21" t="s">
        <v>194</v>
      </c>
      <c r="D226" s="21" t="s">
        <v>1025</v>
      </c>
      <c r="E226" s="13">
        <v>43038.139456018522</v>
      </c>
      <c r="F226" s="13">
        <v>43038.140972222223</v>
      </c>
      <c r="G226" s="7">
        <v>68</v>
      </c>
      <c r="H226" s="21" t="s">
        <v>1026</v>
      </c>
      <c r="I226" s="13">
        <v>43038.142048611109</v>
      </c>
      <c r="J226" s="7">
        <v>0</v>
      </c>
      <c r="K226" s="89" t="str">
        <f t="shared" si="118"/>
        <v>4003/4004</v>
      </c>
      <c r="L226" s="185" t="str">
        <f>VLOOKUP(A226,'Trips&amp;Operators'!$C$1:$G$99911,5,FALSE)</f>
        <v>SPECTOR MICHAEL</v>
      </c>
      <c r="M226" s="6">
        <f t="shared" si="119"/>
        <v>1.0763888858491555E-3</v>
      </c>
      <c r="N226" s="7">
        <f t="shared" si="132"/>
        <v>1.5499999956227839</v>
      </c>
      <c r="O226" s="7"/>
      <c r="P226" s="7"/>
      <c r="Q226" s="22"/>
      <c r="R226" s="174"/>
      <c r="S226" s="221">
        <f t="shared" si="133"/>
        <v>0</v>
      </c>
      <c r="T226" s="174" t="str">
        <f t="shared" si="120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21"/>
        <v>https://d0f6bd738d7f1b3e5a7ca70fe4ff75f0.us-east-1.aws.found.io/app/kibana#/discover/Steve-Slow-Train-Analysis-(2080s-and-2083s)?_g=(refreshInterval:(display:Off,pause:!f,section:0,value:0),time:(from:'2017-10-30T02:20:49-0600',mode:absolute,to:'2017-10-30T04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6" s="204" t="str">
        <f>IF(AA226&lt;VLOOKUP(AG226,Variables!$AC$3:$AD$8,2,FALSE),"Y","N")</f>
        <v>Y</v>
      </c>
      <c r="X226" s="204">
        <f t="shared" si="117"/>
        <v>1</v>
      </c>
      <c r="Y226" s="204">
        <f t="shared" si="115"/>
        <v>0.3231</v>
      </c>
      <c r="Z226" s="204">
        <f t="shared" si="116"/>
        <v>0.11840000000000001</v>
      </c>
      <c r="AA226" s="204">
        <f t="shared" si="122"/>
        <v>0.20469999999999999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3"/>
        <v>52</v>
      </c>
      <c r="AE226" s="77" t="str">
        <f t="shared" si="124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226" s="74" t="str">
        <f t="shared" si="125"/>
        <v>"C:\Program Files (x86)\AstroGrep\AstroGrep.exe" /e /r /s /spath="%USERPROFILE%\AppData\Local\Temp\OnboardLogs" /stypes="app*4003*20171030*" /stext=" 09:.+((SYSTEM_STATE.+slice.+state.+changed )|(ment ac)|(multiple cpu faults)|(system.+state.+changed )|(\[timeout)|(PRM\|1\|D)|(kpr)|(kdp)|(train st.+moving)|(\|lc)|(penalty))"</v>
      </c>
      <c r="AG226" s="182" t="str">
        <f t="shared" si="126"/>
        <v>Shuttle/Test</v>
      </c>
      <c r="AH226" s="78" t="str">
        <f t="shared" si="127"/>
        <v>"%USERPROFILE%\Documents\GitHub\eaglep3\Utilities\RefineRTDCRunTimes.py" --tripid 52-30 --locoid 4003 --swversion DE.1.0.9.0 --startMP 204:3231 --initTime 2017-10-30T03:20:49 --startdatetime 2017-10-30T03:23:00 --delay 68 --endMP 204:1184 --enddatetime 2017-10-30T03:24:33 --enforcementcount 0 &gt;&gt;%USERPROFILE%\Documents\GitHub\eaglep3-reporting\EC\2017-10-30-refined-times.txt</v>
      </c>
      <c r="AI226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0.1184"},{"id":17,"name":"Train ID","value":"52-30"},{"id":16,"name":"Locomotive ID","value":"4003"},{"id":130,"name":"Impact","value":""},{"id":150,"name":"Time of Event (Mountain Time)","value":"03:24:33"},{"id":151,"name":"Denver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29"/>
        <v>start /low /b %USERPROFILE%\Documents\GitHub\eaglep3\Utilities\DownloadLogsFromS3.py --loco 4003 --day 2017-10-30</v>
      </c>
      <c r="AN226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09:24:33"},{"id":29,"name":"Sharepoint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1"/>
        <v>https://d0f6bd738d7f1b3e5a7ca70fe4ff75f0.us-east-1.aws.found.io/app/kibana#/discover/Steve-Slow-Train-Analysis-(2080s-and-2083s)?_g=(refreshInterval:(display:Off,pause:!f,section:0,value:0),time:(from:'2017-10-30T02:20:49-0600',mode:absolute,to:'2017-10-30T04:24:33-0600'))&amp;_a=(columns:!('Message%20ID',Summary),filters:!(),index:'emp_*',interval:auto,query:(query_string:(analyze_wildcard:!t,query:'%22rtdc.l.rtdc.4003%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767</v>
      </c>
      <c r="B227" s="7">
        <v>4050</v>
      </c>
      <c r="C227" s="21" t="s">
        <v>194</v>
      </c>
      <c r="D227" s="21" t="s">
        <v>1026</v>
      </c>
      <c r="E227" s="13">
        <v>43038.451585648145</v>
      </c>
      <c r="F227" s="13">
        <v>43038.465682870374</v>
      </c>
      <c r="G227" s="7">
        <v>84</v>
      </c>
      <c r="H227" s="21" t="s">
        <v>1027</v>
      </c>
      <c r="I227" s="13">
        <v>43038.467499999999</v>
      </c>
      <c r="J227" s="7">
        <v>0</v>
      </c>
      <c r="K227" s="89" t="str">
        <f t="shared" si="118"/>
        <v>4049/4050</v>
      </c>
      <c r="L227" s="185" t="str">
        <f>VLOOKUP(A227,'Trips&amp;Operators'!$C$1:$G$99911,5,FALSE)</f>
        <v>ROBINSON KADDIBA</v>
      </c>
      <c r="M227" s="6">
        <f t="shared" si="119"/>
        <v>1.8171296251239255E-3</v>
      </c>
      <c r="N227" s="7">
        <f t="shared" si="132"/>
        <v>2.6166666601784527</v>
      </c>
      <c r="O227" s="7"/>
      <c r="P227" s="7"/>
      <c r="Q227" s="22"/>
      <c r="R227" s="174"/>
      <c r="S227" s="221">
        <f t="shared" si="133"/>
        <v>0</v>
      </c>
      <c r="T227" s="174" t="str">
        <f t="shared" si="120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21"/>
        <v>https://d0f6bd738d7f1b3e5a7ca70fe4ff75f0.us-east-1.aws.found.io/app/kibana#/discover/Steve-Slow-Train-Analysis-(2080s-and-2083s)?_g=(refreshInterval:(display:Off,pause:!f,section:0,value:0),time:(from:'2017-10-30T09:50:17-0600',mode:absolute,to:'2017-10-30T12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204" t="str">
        <f>IF(AA227&lt;VLOOKUP(AG227,Variables!$AC$3:$AD$8,2,FALSE),"Y","N")</f>
        <v>Y</v>
      </c>
      <c r="X227" s="204">
        <f t="shared" si="117"/>
        <v>1</v>
      </c>
      <c r="Y227" s="204">
        <f t="shared" si="115"/>
        <v>0.11840000000000001</v>
      </c>
      <c r="Z227" s="204">
        <f t="shared" si="116"/>
        <v>0.54569999999999996</v>
      </c>
      <c r="AA227" s="204">
        <f t="shared" si="122"/>
        <v>0.42729999999999996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23"/>
        <v>53</v>
      </c>
      <c r="AE227" s="77" t="str">
        <f t="shared" si="124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227" s="74" t="str">
        <f t="shared" si="125"/>
        <v>"C:\Program Files (x86)\AstroGrep\AstroGrep.exe" /e /r /s /spath="%USERPROFILE%\AppData\Local\Temp\OnboardLogs" /stypes="app*4050*20171030*" /stext=" 17:.+((SYSTEM_STATE.+slice.+state.+changed )|(ment ac)|(multiple cpu faults)|(system.+state.+changed )|(\[timeout)|(PRM\|1\|D)|(kpr)|(kdp)|(train st.+moving)|(\|lc)|(penalty))"</v>
      </c>
      <c r="AG227" s="182" t="str">
        <f t="shared" si="126"/>
        <v>Shuttle/Test</v>
      </c>
      <c r="AH227" s="78" t="str">
        <f t="shared" si="127"/>
        <v>"%USERPROFILE%\Documents\GitHub\eaglep3\Utilities\RefineRTDCRunTimes.py" --tripid 53-30 --locoid 4050 --swversion DE.1.0.9.0 --startMP 204:1184 --initTime 2017-10-30T10:50:17 --startdatetime 2017-10-30T11:10:35 --delay 84 --endMP 300:5457 --enddatetime 2017-10-30T11:13:12 --enforcementcount 0 &gt;&gt;%USERPROFILE%\Documents\GitHub\eaglep3-reporting\EC\2017-10-30-refined-times.txt</v>
      </c>
      <c r="AI227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0.5457"},{"id":17,"name":"Train ID","value":"53-30"},{"id":16,"name":"Locomotive ID","value":"4050"},{"id":130,"name":"Impact","value":""},{"id":150,"name":"Time of Event (Mountain Time)","value":"11:13:12"},{"id":151,"name":"Denver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29"/>
        <v>start /low /b %USERPROFILE%\Documents\GitHub\eaglep3\Utilities\DownloadLogsFromS3.py --loco 4050 --day 2017-10-30</v>
      </c>
      <c r="AN227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31"/>
        <v>https://d0f6bd738d7f1b3e5a7ca70fe4ff75f0.us-east-1.aws.found.io/app/kibana#/discover/Steve-Slow-Train-Analysis-(2080s-and-2083s)?_g=(refreshInterval:(display:Off,pause:!f,section:0,value:0),time:(from:'2017-10-30T09:50:17-0600',mode:absolute,to:'2017-10-30T12:13:12-0600'))&amp;_a=(columns:!('Message%20ID',Summary),filters:!(),index:'emp_*',interval:auto,query:(query_string:(analyze_wildcard:!t,query:'%22rtdc.l.rtdc.4050%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767</v>
      </c>
      <c r="B228" s="7">
        <v>4049</v>
      </c>
      <c r="C228" s="21" t="s">
        <v>194</v>
      </c>
      <c r="D228" s="21" t="s">
        <v>1028</v>
      </c>
      <c r="E228" s="13">
        <v>43038.464502314811</v>
      </c>
      <c r="F228" s="13">
        <v>43038.465682870374</v>
      </c>
      <c r="G228" s="7">
        <v>56</v>
      </c>
      <c r="H228" s="21" t="s">
        <v>1029</v>
      </c>
      <c r="I228" s="13">
        <v>43038.467499999999</v>
      </c>
      <c r="J228" s="7">
        <v>0</v>
      </c>
      <c r="K228" s="89" t="str">
        <f t="shared" si="118"/>
        <v>4049/4050</v>
      </c>
      <c r="L228" s="185" t="str">
        <f>VLOOKUP(A228,'Trips&amp;Operators'!$C$1:$G$99911,5,FALSE)</f>
        <v>ROBINSON KADDIBA</v>
      </c>
      <c r="M228" s="6">
        <f t="shared" si="119"/>
        <v>1.8171296251239255E-3</v>
      </c>
      <c r="N228" s="7">
        <f t="shared" si="132"/>
        <v>2.6166666601784527</v>
      </c>
      <c r="O228" s="7"/>
      <c r="P228" s="7"/>
      <c r="Q228" s="22"/>
      <c r="R228" s="174"/>
      <c r="S228" s="221">
        <f t="shared" si="133"/>
        <v>0</v>
      </c>
      <c r="T228" s="174" t="str">
        <f t="shared" si="120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21"/>
        <v>https://d0f6bd738d7f1b3e5a7ca70fe4ff75f0.us-east-1.aws.found.io/app/kibana#/discover/Steve-Slow-Train-Analysis-(2080s-and-2083s)?_g=(refreshInterval:(display:Off,pause:!f,section:0,value:0),time:(from:'2017-10-30T10:08:53-0600',mode:absolute,to:'2017-10-30T12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8" s="204" t="str">
        <f>IF(AA228&lt;VLOOKUP(AG228,Variables!$AC$3:$AD$8,2,FALSE),"Y","N")</f>
        <v>Y</v>
      </c>
      <c r="X228" s="204">
        <f t="shared" si="117"/>
        <v>0</v>
      </c>
      <c r="Y228" s="204">
        <f t="shared" si="115"/>
        <v>0.5292</v>
      </c>
      <c r="Z228" s="204">
        <f t="shared" si="116"/>
        <v>0.11749999999999999</v>
      </c>
      <c r="AA228" s="204">
        <f t="shared" si="122"/>
        <v>0.41170000000000001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23"/>
        <v>53</v>
      </c>
      <c r="AE228" s="77" t="str">
        <f t="shared" si="124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228" s="74" t="str">
        <f t="shared" si="125"/>
        <v>"C:\Program Files (x86)\AstroGrep\AstroGrep.exe" /e /r /s /spath="%USERPROFILE%\AppData\Local\Temp\OnboardLogs" /stypes="app*4049*20171030*" /stext=" 17:.+((SYSTEM_STATE.+slice.+state.+changed )|(ment ac)|(multiple cpu faults)|(system.+state.+changed )|(\[timeout)|(PRM\|1\|D)|(kpr)|(kdp)|(train st.+moving)|(\|lc)|(penalty))"</v>
      </c>
      <c r="AG228" s="182" t="str">
        <f t="shared" si="126"/>
        <v>Shuttle/Test</v>
      </c>
      <c r="AH228" s="78" t="str">
        <f t="shared" si="127"/>
        <v>"%USERPROFILE%\Documents\GitHub\eaglep3\Utilities\RefineRTDCRunTimes.py" --tripid 53-30 --locoid 4049 --swversion DE.1.0.9.0 --startMP 300:5292 --initTime 2017-10-30T11:08:53 --startdatetime 2017-10-30T11:10:35 --delay 56 --endMP 204:1175 --enddatetime 2017-10-30T11:13:12 --enforcementcount 0 &gt;&gt;%USERPROFILE%\Documents\GitHub\eaglep3-reporting\EC\2017-10-30-refined-times.txt</v>
      </c>
      <c r="AI228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0.1175"},{"id":17,"name":"Train ID","value":"53-30"},{"id":16,"name":"Locomotive ID","value":"4049"},{"id":130,"name":"Impact","value":""},{"id":150,"name":"Time of Event (Mountain Time)","value":"11:13:12"},{"id":151,"name":"Denver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29"/>
        <v>start /low /b %USERPROFILE%\Documents\GitHub\eaglep3\Utilities\DownloadLogsFromS3.py --loco 4049 --day 2017-10-30</v>
      </c>
      <c r="AN228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31"/>
        <v>https://d0f6bd738d7f1b3e5a7ca70fe4ff75f0.us-east-1.aws.found.io/app/kibana#/discover/Steve-Slow-Train-Analysis-(2080s-and-2083s)?_g=(refreshInterval:(display:Off,pause:!f,section:0,value:0),time:(from:'2017-10-30T10:08:53-0600',mode:absolute,to:'2017-10-30T12:13:12-0600'))&amp;_a=(columns:!('Message%20ID',Summary),filters:!(),index:'emp_*',interval:auto,query:(query_string:(analyze_wildcard:!t,query:'%22rtdc.l.rtdc.4049%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765</v>
      </c>
      <c r="B229" s="7">
        <v>4055</v>
      </c>
      <c r="C229" s="21" t="s">
        <v>194</v>
      </c>
      <c r="D229" s="21" t="s">
        <v>1030</v>
      </c>
      <c r="E229" s="13">
        <v>43038.446273148147</v>
      </c>
      <c r="F229" s="13">
        <v>43038.452766203707</v>
      </c>
      <c r="G229" s="7">
        <v>75</v>
      </c>
      <c r="H229" s="21" t="s">
        <v>1031</v>
      </c>
      <c r="I229" s="13">
        <v>43038.45753472222</v>
      </c>
      <c r="J229" s="7">
        <v>0</v>
      </c>
      <c r="K229" s="89" t="str">
        <f t="shared" si="118"/>
        <v>4055/4056</v>
      </c>
      <c r="L229" s="185" t="str">
        <f>VLOOKUP(A229,'Trips&amp;Operators'!$C$1:$G$99911,5,FALSE)</f>
        <v>GONZALEZ ARMANDO</v>
      </c>
      <c r="M229" s="6">
        <f t="shared" si="119"/>
        <v>4.7685185127193108E-3</v>
      </c>
      <c r="N229" s="7">
        <f t="shared" si="132"/>
        <v>6.8666666583158076</v>
      </c>
      <c r="O229" s="7"/>
      <c r="P229" s="7"/>
      <c r="Q229" s="22"/>
      <c r="R229" s="174"/>
      <c r="S229" s="221">
        <f t="shared" si="133"/>
        <v>0</v>
      </c>
      <c r="T229" s="174" t="str">
        <f t="shared" si="120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21"/>
        <v>https://d0f6bd738d7f1b3e5a7ca70fe4ff75f0.us-east-1.aws.found.io/app/kibana#/discover/Steve-Slow-Train-Analysis-(2080s-and-2083s)?_g=(refreshInterval:(display:Off,pause:!f,section:0,value:0),time:(from:'2017-10-30T09:42:38-0600',mode:absolute,to:'2017-10-30T11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9" s="204" t="str">
        <f>IF(AA229&lt;VLOOKUP(AG229,Variables!$AC$3:$AD$8,2,FALSE),"Y","N")</f>
        <v>Y</v>
      </c>
      <c r="X229" s="204">
        <f t="shared" si="117"/>
        <v>1</v>
      </c>
      <c r="Y229" s="204">
        <f t="shared" si="115"/>
        <v>2.2145000000000001</v>
      </c>
      <c r="Z229" s="204">
        <f t="shared" si="116"/>
        <v>1.5691999999999999</v>
      </c>
      <c r="AA229" s="204">
        <f t="shared" si="122"/>
        <v>0.64530000000000021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23"/>
        <v>54</v>
      </c>
      <c r="AE229" s="77" t="str">
        <f t="shared" si="124"/>
        <v>aws s3 cp s3://rtdc.mdm.uploadarchive.raw/RTDC4055/ "%USERPROFILE%\AppData\Local\Temp\OnboardLogs"\RTDC4055\2017-10-30 --exclude "*" --recursive --include "*20171030*" &amp; "%USERPROFILE%\Documents\GitHub\mrs-test-scripts\Headless Mode &amp; Sideloading\WalkAndUnGZ.bat" "%USERPROFILE%\AppData\Local\Temp\OnboardLogs"\RTDC4055\2017-10-30 &amp; aws s3 cp s3://rtdc.mdm.uploadarchive.raw/RTDC4055/ "%USERPROFILE%\AppData\Local\Temp\OnboardLogs"\RTDC4055\2017-10-31 --exclude "*" --recursive --include "*20171031*" &amp; "%USERPROFILE%\Documents\GitHub\mrs-test-scripts\Headless Mode &amp; Sideloading\WalkAndUnGZ.bat" "%USERPROFILE%\AppData\Local\Temp\OnboardLogs"\RTDC4055\2017-10-31</v>
      </c>
      <c r="AF229" s="74" t="str">
        <f t="shared" si="125"/>
        <v>"C:\Program Files (x86)\AstroGrep\AstroGrep.exe" /e /r /s /spath="%USERPROFILE%\AppData\Local\Temp\OnboardLogs" /stypes="app*4055*20171030*" /stext=" 16:.+((SYSTEM_STATE.+slice.+state.+changed )|(ment ac)|(multiple cpu faults)|(system.+state.+changed )|(\[timeout)|(PRM\|1\|D)|(kpr)|(kdp)|(train st.+moving)|(\|lc)|(penalty))"</v>
      </c>
      <c r="AG229" s="182" t="str">
        <f t="shared" si="126"/>
        <v>Shuttle/Test</v>
      </c>
      <c r="AH229" s="78" t="str">
        <f t="shared" si="127"/>
        <v>"%USERPROFILE%\Documents\GitHub\eaglep3\Utilities\RefineRTDCRunTimes.py" --tripid 54-30 --locoid 4055 --swversion DE.1.0.9.0 --startMP 300:22145 --initTime 2017-10-30T10:42:38 --startdatetime 2017-10-30T10:51:59 --delay 75 --endMP 300:15692 --enddatetime 2017-10-30T10:58:51 --enforcementcount 0 &gt;&gt;%USERPROFILE%\Documents\GitHub\eaglep3-reporting\EC\2017-10-30-refined-times.txt</v>
      </c>
      <c r="AI229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1.5692"},{"id":17,"name":"Train ID","value":"54-30"},{"id":16,"name":"Locomotive ID","value":"4055"},{"id":130,"name":"Impact","value":""},{"id":150,"name":"Time of Event (Mountain Time)","value":"10:58:51"},{"id":151,"name":"Denver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29"/>
        <v>start /low /b %USERPROFILE%\Documents\GitHub\eaglep3\Utilities\DownloadLogsFromS3.py --loco 4055 --day 2017-10-30</v>
      </c>
      <c r="AN229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16:58:51"},{"id":29,"name":"Sharepoint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31"/>
        <v>https://d0f6bd738d7f1b3e5a7ca70fe4ff75f0.us-east-1.aws.found.io/app/kibana#/discover/Steve-Slow-Train-Analysis-(2080s-and-2083s)?_g=(refreshInterval:(display:Off,pause:!f,section:0,value:0),time:(from:'2017-10-30T09:42:38-0600',mode:absolute,to:'2017-10-30T11:58:51-0600'))&amp;_a=(columns:!('Message%20ID',Summary),filters:!(),index:'emp_*',interval:auto,query:(query_string:(analyze_wildcard:!t,query:'%22rtdc.l.rtdc.4055%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713</v>
      </c>
      <c r="B230" s="7">
        <v>4004</v>
      </c>
      <c r="C230" s="21" t="s">
        <v>194</v>
      </c>
      <c r="D230" s="21" t="s">
        <v>1032</v>
      </c>
      <c r="E230" s="13">
        <v>43038.247858796298</v>
      </c>
      <c r="F230" s="13">
        <v>43038.252523148149</v>
      </c>
      <c r="G230" s="7">
        <v>82</v>
      </c>
      <c r="H230" s="21" t="s">
        <v>1033</v>
      </c>
      <c r="I230" s="13">
        <v>43038.253877314812</v>
      </c>
      <c r="J230" s="7">
        <v>0</v>
      </c>
      <c r="K230" s="89" t="str">
        <f t="shared" si="118"/>
        <v>4003/4004</v>
      </c>
      <c r="L230" s="185" t="str">
        <f>VLOOKUP(A230,'Trips&amp;Operators'!$C$1:$G$99911,5,FALSE)</f>
        <v>BARRON PERLA</v>
      </c>
      <c r="M230" s="6">
        <f t="shared" si="119"/>
        <v>1.3541666630771942E-3</v>
      </c>
      <c r="N230" s="7">
        <f t="shared" si="132"/>
        <v>1.9499999948311597</v>
      </c>
      <c r="O230" s="7"/>
      <c r="P230" s="7"/>
      <c r="Q230" s="22"/>
      <c r="R230" s="174"/>
      <c r="S230" s="221">
        <f t="shared" si="133"/>
        <v>0</v>
      </c>
      <c r="T230" s="174" t="str">
        <f t="shared" si="120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21"/>
        <v>https://d0f6bd738d7f1b3e5a7ca70fe4ff75f0.us-east-1.aws.found.io/app/kibana#/discover/Steve-Slow-Train-Analysis-(2080s-and-2083s)?_g=(refreshInterval:(display:Off,pause:!f,section:0,value:0),time:(from:'2017-10-30T04:56:55-0600',mode:absolute,to:'2017-10-30T07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0" s="204" t="str">
        <f>IF(AA230&lt;VLOOKUP(AG230,Variables!$AC$3:$AD$8,2,FALSE),"Y","N")</f>
        <v>Y</v>
      </c>
      <c r="X230" s="204">
        <f t="shared" si="117"/>
        <v>1</v>
      </c>
      <c r="Y230" s="204">
        <f t="shared" si="115"/>
        <v>0.14960000000000001</v>
      </c>
      <c r="Z230" s="204">
        <f t="shared" si="116"/>
        <v>0.43609999999999999</v>
      </c>
      <c r="AA230" s="204">
        <f t="shared" si="122"/>
        <v>0.28649999999999998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23"/>
        <v>55</v>
      </c>
      <c r="AE230" s="77" t="str">
        <f t="shared" si="124"/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AF230" s="74" t="str">
        <f t="shared" si="125"/>
        <v>"C:\Program Files (x86)\AstroGrep\AstroGrep.exe" /e /r /s /spath="%USERPROFILE%\AppData\Local\Temp\OnboardLogs" /stypes="app*4004*20171030*" /stext=" 12:.+((SYSTEM_STATE.+slice.+state.+changed )|(ment ac)|(multiple cpu faults)|(system.+state.+changed )|(\[timeout)|(PRM\|1\|D)|(kpr)|(kdp)|(train st.+moving)|(\|lc)|(penalty))"</v>
      </c>
      <c r="AG230" s="182" t="str">
        <f t="shared" si="126"/>
        <v>Shuttle/Test</v>
      </c>
      <c r="AH230" s="78" t="str">
        <f t="shared" si="127"/>
        <v>"%USERPROFILE%\Documents\GitHub\eaglep3\Utilities\RefineRTDCRunTimes.py" --tripid 55-30 --locoid 4004 --swversion DE.1.0.9.0 --startMP 204:1496 --initTime 2017-10-30T05:56:55 --startdatetime 2017-10-30T06:03:38 --delay 82 --endMP 204:4361 --enddatetime 2017-10-30T06:05:35 --enforcementcount 0 &gt;&gt;%USERPROFILE%\Documents\GitHub\eaglep3-reporting\EC\2017-10-30-refined-times.txt</v>
      </c>
      <c r="AI230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0.4361"},{"id":17,"name":"Train ID","value":"55-30"},{"id":16,"name":"Locomotive ID","value":"4004"},{"id":130,"name":"Impact","value":""},{"id":150,"name":"Time of Event (Mountain Time)","value":"06:05:35"},{"id":151,"name":"Denver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29"/>
        <v>start /low /b %USERPROFILE%\Documents\GitHub\eaglep3\Utilities\DownloadLogsFromS3.py --loco 4004 --day 2017-10-30</v>
      </c>
      <c r="AN230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31"/>
        <v>https://d0f6bd738d7f1b3e5a7ca70fe4ff75f0.us-east-1.aws.found.io/app/kibana#/discover/Steve-Slow-Train-Analysis-(2080s-and-2083s)?_g=(refreshInterval:(display:Off,pause:!f,section:0,value:0),time:(from:'2017-10-30T04:56:55-0600',mode:absolute,to:'2017-10-30T07:05:35-0600'))&amp;_a=(columns:!('Message%20ID',Summary),filters:!(),index:'emp_*',interval:auto,query:(query_string:(analyze_wildcard:!t,query:'%22rtdc.l.rtdc.4004%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714</v>
      </c>
      <c r="B231" s="7">
        <v>4003</v>
      </c>
      <c r="C231" s="21" t="s">
        <v>194</v>
      </c>
      <c r="D231" s="21" t="s">
        <v>1034</v>
      </c>
      <c r="E231" s="13">
        <v>43038.255162037036</v>
      </c>
      <c r="F231" s="13">
        <v>43038.256863425922</v>
      </c>
      <c r="G231" s="7">
        <v>83</v>
      </c>
      <c r="H231" s="21" t="s">
        <v>336</v>
      </c>
      <c r="I231" s="13">
        <v>43038.258206018516</v>
      </c>
      <c r="J231" s="7">
        <v>0</v>
      </c>
      <c r="K231" s="89" t="str">
        <f t="shared" si="118"/>
        <v>4003/4004</v>
      </c>
      <c r="L231" s="185" t="str">
        <f>VLOOKUP(A231,'Trips&amp;Operators'!$C$1:$G$99911,5,FALSE)</f>
        <v>BARRON PERLA</v>
      </c>
      <c r="M231" s="6">
        <f t="shared" si="119"/>
        <v>1.3425925935734995E-3</v>
      </c>
      <c r="N231" s="7">
        <f t="shared" si="132"/>
        <v>1.9333333347458392</v>
      </c>
      <c r="O231" s="7"/>
      <c r="P231" s="7"/>
      <c r="Q231" s="22"/>
      <c r="R231" s="174"/>
      <c r="S231" s="221">
        <f t="shared" si="133"/>
        <v>0</v>
      </c>
      <c r="T231" s="174" t="str">
        <f t="shared" si="120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21"/>
        <v>https://d0f6bd738d7f1b3e5a7ca70fe4ff75f0.us-east-1.aws.found.io/app/kibana#/discover/Steve-Slow-Train-Analysis-(2080s-and-2083s)?_g=(refreshInterval:(display:Off,pause:!f,section:0,value:0),time:(from:'2017-10-30T05:07:26-0600',mode:absolute,to:'2017-10-30T07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1" s="204" t="str">
        <f>IF(AA231&lt;VLOOKUP(AG231,Variables!$AC$3:$AD$8,2,FALSE),"Y","N")</f>
        <v>Y</v>
      </c>
      <c r="X231" s="204">
        <f t="shared" si="117"/>
        <v>1</v>
      </c>
      <c r="Y231" s="204">
        <f t="shared" si="115"/>
        <v>0.40450000000000003</v>
      </c>
      <c r="Z231" s="204">
        <f t="shared" si="116"/>
        <v>1.49E-2</v>
      </c>
      <c r="AA231" s="204">
        <f t="shared" si="122"/>
        <v>0.3896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23"/>
        <v>56</v>
      </c>
      <c r="AE231" s="77" t="str">
        <f t="shared" si="124"/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AF231" s="74" t="str">
        <f t="shared" si="125"/>
        <v>"C:\Program Files (x86)\AstroGrep\AstroGrep.exe" /e /r /s /spath="%USERPROFILE%\AppData\Local\Temp\OnboardLogs" /stypes="app*4003*20171030*" /stext=" 12:.+((SYSTEM_STATE.+slice.+state.+changed )|(ment ac)|(multiple cpu faults)|(system.+state.+changed )|(\[timeout)|(PRM\|1\|D)|(kpr)|(kdp)|(train st.+moving)|(\|lc)|(penalty))"</v>
      </c>
      <c r="AG231" s="182" t="str">
        <f t="shared" si="126"/>
        <v>Shuttle/Test</v>
      </c>
      <c r="AH231" s="78" t="str">
        <f t="shared" si="127"/>
        <v>"%USERPROFILE%\Documents\GitHub\eaglep3\Utilities\RefineRTDCRunTimes.py" --tripid 56-30 --locoid 4003 --swversion DE.1.0.9.0 --startMP 204:4045 --initTime 2017-10-30T06:07:26 --startdatetime 2017-10-30T06:09:53 --delay 83 --endMP 204:149 --enddatetime 2017-10-30T06:11:49 --enforcementcount 0 &gt;&gt;%USERPROFILE%\Documents\GitHub\eaglep3-reporting\EC\2017-10-30-refined-times.txt</v>
      </c>
      <c r="AI231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0.0149"},{"id":17,"name":"Train ID","value":"56-30"},{"id":16,"name":"Locomotive ID","value":"4003"},{"id":130,"name":"Impact","value":""},{"id":150,"name":"Time of Event (Mountain Time)","value":"06:11:49"},{"id":151,"name":"Denver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29"/>
        <v>start /low /b %USERPROFILE%\Documents\GitHub\eaglep3\Utilities\DownloadLogsFromS3.py --loco 4003 --day 2017-10-30</v>
      </c>
      <c r="AN231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12:11:49"},{"id":29,"name":"Sharepoint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31"/>
        <v>https://d0f6bd738d7f1b3e5a7ca70fe4ff75f0.us-east-1.aws.found.io/app/kibana#/discover/Steve-Slow-Train-Analysis-(2080s-and-2083s)?_g=(refreshInterval:(display:Off,pause:!f,section:0,value:0),time:(from:'2017-10-30T05:07:26-0600',mode:absolute,to:'2017-10-30T07:11:49-0600'))&amp;_a=(columns:!('Message%20ID',Summary),filters:!(),index:'emp_*',interval:auto,query:(query_string:(analyze_wildcard:!t,query:'%22rtdc.l.rtdc.4003%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776</v>
      </c>
      <c r="B232" s="7">
        <v>4056</v>
      </c>
      <c r="C232" s="21" t="s">
        <v>194</v>
      </c>
      <c r="D232" s="21" t="s">
        <v>1035</v>
      </c>
      <c r="E232" s="13">
        <v>43038.477743055555</v>
      </c>
      <c r="F232" s="13">
        <v>43038.479131944441</v>
      </c>
      <c r="G232" s="7">
        <v>47</v>
      </c>
      <c r="H232" s="21" t="s">
        <v>1036</v>
      </c>
      <c r="I232" s="13">
        <v>43038.484490740739</v>
      </c>
      <c r="J232" s="7">
        <v>0</v>
      </c>
      <c r="K232" s="89" t="str">
        <f t="shared" si="118"/>
        <v>4055/4056</v>
      </c>
      <c r="L232" s="185" t="str">
        <f>VLOOKUP(A232,'Trips&amp;Operators'!$C$1:$G$99911,5,FALSE)</f>
        <v>ROMERO CHAD</v>
      </c>
      <c r="M232" s="6">
        <f t="shared" si="119"/>
        <v>5.3587962975143455E-3</v>
      </c>
      <c r="N232" s="7">
        <f t="shared" si="132"/>
        <v>7.7166666684206575</v>
      </c>
      <c r="O232" s="7"/>
      <c r="P232" s="7"/>
      <c r="Q232" s="22"/>
      <c r="R232" s="174"/>
      <c r="S232" s="221">
        <f t="shared" si="133"/>
        <v>1</v>
      </c>
      <c r="T232" s="174" t="str">
        <f t="shared" si="120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21"/>
        <v>https://d0f6bd738d7f1b3e5a7ca70fe4ff75f0.us-east-1.aws.found.io/app/kibana#/discover/Steve-Slow-Train-Analysis-(2080s-and-2083s)?_g=(refreshInterval:(display:Off,pause:!f,section:0,value:0),time:(from:'2017-10-30T10:27:57-0600',mode:absolute,to:'2017-10-30T12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2" s="204" t="str">
        <f>IF(AA232&lt;VLOOKUP(AG232,Variables!$AC$3:$AD$8,2,FALSE),"Y","N")</f>
        <v>Y</v>
      </c>
      <c r="X232" s="204">
        <f t="shared" si="117"/>
        <v>1</v>
      </c>
      <c r="Y232" s="204">
        <f t="shared" si="115"/>
        <v>3.32E-2</v>
      </c>
      <c r="Z232" s="204">
        <f t="shared" si="116"/>
        <v>2.4226999999999999</v>
      </c>
      <c r="AA232" s="204">
        <f t="shared" si="122"/>
        <v>2.3895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23"/>
        <v>57</v>
      </c>
      <c r="AE232" s="77" t="str">
        <f t="shared" si="124"/>
        <v>aws s3 cp s3://rtdc.mdm.uploadarchive.raw/RTDC4056/ "%USERPROFILE%\AppData\Local\Temp\OnboardLogs"\RTDC4056\2017-10-30 --exclude "*" --recursive --include "*20171030*" &amp; "%USERPROFILE%\Documents\GitHub\mrs-test-scripts\Headless Mode &amp; Sideloading\WalkAndUnGZ.bat" "%USERPROFILE%\AppData\Local\Temp\OnboardLogs"\RTDC4056\2017-10-30 &amp; aws s3 cp s3://rtdc.mdm.uploadarchive.raw/RTDC4056/ "%USERPROFILE%\AppData\Local\Temp\OnboardLogs"\RTDC4056\2017-10-31 --exclude "*" --recursive --include "*20171031*" &amp; "%USERPROFILE%\Documents\GitHub\mrs-test-scripts\Headless Mode &amp; Sideloading\WalkAndUnGZ.bat" "%USERPROFILE%\AppData\Local\Temp\OnboardLogs"\RTDC4056\2017-10-31</v>
      </c>
      <c r="AF232" s="74" t="str">
        <f t="shared" si="125"/>
        <v>"C:\Program Files (x86)\AstroGrep\AstroGrep.exe" /e /r /s /spath="%USERPROFILE%\AppData\Local\Temp\OnboardLogs" /stypes="app*4056*20171030*" /stext=" 17:.+((SYSTEM_STATE.+slice.+state.+changed )|(ment ac)|(multiple cpu faults)|(system.+state.+changed )|(\[timeout)|(PRM\|1\|D)|(kpr)|(kdp)|(train st.+moving)|(\|lc)|(penalty))"</v>
      </c>
      <c r="AG232" s="182" t="str">
        <f t="shared" si="126"/>
        <v>Shuttle/Test</v>
      </c>
      <c r="AH232" s="78" t="str">
        <f t="shared" si="127"/>
        <v>"%USERPROFILE%\Documents\GitHub\eaglep3\Utilities\RefineRTDCRunTimes.py" --tripid 57-30 --locoid 4056 --swversion DE.1.0.9.0 --startMP 204:332 --initTime 2017-10-30T11:27:57 --startdatetime 2017-10-30T11:29:57 --delay 47 --endMP 300:24227 --enddatetime 2017-10-30T11:37:40 --enforcementcount 0 &gt;&gt;%USERPROFILE%\Documents\GitHub\eaglep3-reporting\EC\2017-10-30-refined-times.txt</v>
      </c>
      <c r="AI232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2.4227"},{"id":17,"name":"Train ID","value":"57-30"},{"id":16,"name":"Locomotive ID","value":"4056"},{"id":130,"name":"Impact","value":""},{"id":150,"name":"Time of Event (Mountain Time)","value":"11:37:40"},{"id":151,"name":"Denver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29"/>
        <v>start /low /b %USERPROFILE%\Documents\GitHub\eaglep3\Utilities\DownloadLogsFromS3.py --loco 4056 --day 2017-10-30</v>
      </c>
      <c r="AN232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17:37:40"},{"id":29,"name":"Sharepoint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31"/>
        <v>https://d0f6bd738d7f1b3e5a7ca70fe4ff75f0.us-east-1.aws.found.io/app/kibana#/discover/Steve-Slow-Train-Analysis-(2080s-and-2083s)?_g=(refreshInterval:(display:Off,pause:!f,section:0,value:0),time:(from:'2017-10-30T10:27:57-0600',mode:absolute,to:'2017-10-30T12:37:40-0600'))&amp;_a=(columns:!('Message%20ID',Summary),filters:!(),index:'emp_*',interval:auto,query:(query_string:(analyze_wildcard:!t,query:'%22rtdc.l.rtdc.4056%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753</v>
      </c>
      <c r="B233" s="7">
        <v>4058</v>
      </c>
      <c r="C233" s="21" t="s">
        <v>194</v>
      </c>
      <c r="D233" s="21" t="s">
        <v>536</v>
      </c>
      <c r="E233" s="13">
        <v>43038.393958333334</v>
      </c>
      <c r="F233" s="13">
        <v>43038.401909722219</v>
      </c>
      <c r="G233" s="7">
        <v>86</v>
      </c>
      <c r="H233" s="21" t="s">
        <v>1037</v>
      </c>
      <c r="I233" s="13">
        <v>43038.403611111113</v>
      </c>
      <c r="J233" s="7">
        <v>0</v>
      </c>
      <c r="K233" s="89" t="str">
        <f t="shared" si="118"/>
        <v>4057/4058</v>
      </c>
      <c r="L233" s="185" t="str">
        <f>VLOOKUP(A233,'Trips&amp;Operators'!$C$1:$G$99911,5,FALSE)</f>
        <v>SPECTOR MICHAEL</v>
      </c>
      <c r="M233" s="6">
        <f t="shared" si="119"/>
        <v>1.7013888937071897E-3</v>
      </c>
      <c r="N233" s="7">
        <f t="shared" si="132"/>
        <v>2.4500000069383532</v>
      </c>
      <c r="O233" s="7"/>
      <c r="P233" s="7"/>
      <c r="Q233" s="22"/>
      <c r="R233" s="174"/>
      <c r="S233" s="221">
        <f t="shared" si="133"/>
        <v>0</v>
      </c>
      <c r="T233" s="174" t="str">
        <f t="shared" si="120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21"/>
        <v>https://d0f6bd738d7f1b3e5a7ca70fe4ff75f0.us-east-1.aws.found.io/app/kibana#/discover/Steve-Slow-Train-Analysis-(2080s-and-2083s)?_g=(refreshInterval:(display:Off,pause:!f,section:0,value:0),time:(from:'2017-10-30T08:27:18-0600',mode:absolute,to:'2017-10-30T10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204" t="str">
        <f>IF(AA233&lt;VLOOKUP(AG233,Variables!$AC$3:$AD$8,2,FALSE),"Y","N")</f>
        <v>Y</v>
      </c>
      <c r="X233" s="204">
        <f t="shared" si="117"/>
        <v>2</v>
      </c>
      <c r="Y233" s="204">
        <f t="shared" si="115"/>
        <v>0.1158</v>
      </c>
      <c r="Z233" s="204">
        <f t="shared" si="116"/>
        <v>0.35489999999999999</v>
      </c>
      <c r="AA233" s="204">
        <f t="shared" si="122"/>
        <v>0.23909999999999998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23"/>
        <v>59</v>
      </c>
      <c r="AE233" s="77" t="str">
        <f t="shared" si="124"/>
        <v>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 &amp; aws s3 cp s3://rtdc.mdm.uploadarchive.raw/RTDC4058/ "%USERPROFILE%\AppData\Local\Temp\OnboardLogs"\RTDC4058\2017-10-31 --exclude "*" --recursive --include "*20171031*" &amp; "%USERPROFILE%\Documents\GitHub\mrs-test-scripts\Headless Mode &amp; Sideloading\WalkAndUnGZ.bat" "%USERPROFILE%\AppData\Local\Temp\OnboardLogs"\RTDC4058\2017-10-31</v>
      </c>
      <c r="AF233" s="74" t="str">
        <f t="shared" si="125"/>
        <v>"C:\Program Files (x86)\AstroGrep\AstroGrep.exe" /e /r /s /spath="%USERPROFILE%\AppData\Local\Temp\OnboardLogs" /stypes="app*4058*20171030*" /stext=" 15:.+((SYSTEM_STATE.+slice.+state.+changed )|(ment ac)|(multiple cpu faults)|(system.+state.+changed )|(\[timeout)|(PRM\|1\|D)|(kpr)|(kdp)|(train st.+moving)|(\|lc)|(penalty))"</v>
      </c>
      <c r="AG233" s="182" t="str">
        <f t="shared" si="126"/>
        <v>Shuttle/Test</v>
      </c>
      <c r="AH233" s="78" t="str">
        <f t="shared" si="127"/>
        <v>"%USERPROFILE%\Documents\GitHub\eaglep3\Utilities\RefineRTDCRunTimes.py" --tripid 59-30 --locoid 4058 --swversion DE.1.0.9.0 --startMP 204:1158 --initTime 2017-10-30T09:27:18 --startdatetime 2017-10-30T09:38:45 --delay 86 --endMP 204:3549 --enddatetime 2017-10-30T09:41:12 --enforcementcount 0 &gt;&gt;%USERPROFILE%\Documents\GitHub\eaglep3-reporting\EC\2017-10-30-refined-times.txt</v>
      </c>
      <c r="AI233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0.3549"},{"id":17,"name":"Train ID","value":"59-30"},{"id":16,"name":"Locomotive ID","value":"4058"},{"id":130,"name":"Impact","value":""},{"id":150,"name":"Time of Event (Mountain Time)","value":"09:41:12"},{"id":151,"name":"Denver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29"/>
        <v>start /low /b %USERPROFILE%\Documents\GitHub\eaglep3\Utilities\DownloadLogsFromS3.py --loco 4058 --day 2017-10-30</v>
      </c>
      <c r="AN233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31"/>
        <v>https://d0f6bd738d7f1b3e5a7ca70fe4ff75f0.us-east-1.aws.found.io/app/kibana#/discover/Steve-Slow-Train-Analysis-(2080s-and-2083s)?_g=(refreshInterval:(display:Off,pause:!f,section:0,value:0),time:(from:'2017-10-30T08:27:18-0600',mode:absolute,to:'2017-10-30T10:41:12-0600'))&amp;_a=(columns:!('Message%20ID',Summary),filters:!(),index:'emp_*',interval:auto,query:(query_string:(analyze_wildcard:!t,query:'%22rtdc.l.rtdc.4058%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753</v>
      </c>
      <c r="B234" s="7">
        <v>4057</v>
      </c>
      <c r="C234" s="21" t="s">
        <v>194</v>
      </c>
      <c r="D234" s="21" t="s">
        <v>1038</v>
      </c>
      <c r="E234" s="13">
        <v>43038.400462962964</v>
      </c>
      <c r="F234" s="13">
        <v>43038.401909722219</v>
      </c>
      <c r="G234" s="7">
        <v>66</v>
      </c>
      <c r="H234" s="21" t="s">
        <v>352</v>
      </c>
      <c r="I234" s="13">
        <v>43038.403611111113</v>
      </c>
      <c r="J234" s="7">
        <v>0</v>
      </c>
      <c r="K234" s="89" t="str">
        <f t="shared" si="118"/>
        <v>4057/4058</v>
      </c>
      <c r="L234" s="185" t="str">
        <f>VLOOKUP(A234,'Trips&amp;Operators'!$C$1:$G$99911,5,FALSE)</f>
        <v>SPECTOR MICHAEL</v>
      </c>
      <c r="M234" s="6">
        <f t="shared" si="119"/>
        <v>1.7013888937071897E-3</v>
      </c>
      <c r="N234" s="7">
        <f t="shared" si="132"/>
        <v>2.4500000069383532</v>
      </c>
      <c r="O234" s="7"/>
      <c r="P234" s="7"/>
      <c r="Q234" s="22"/>
      <c r="R234" s="174"/>
      <c r="S234" s="221">
        <f t="shared" si="133"/>
        <v>0</v>
      </c>
      <c r="T234" s="174" t="str">
        <f t="shared" si="120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21"/>
        <v>https://d0f6bd738d7f1b3e5a7ca70fe4ff75f0.us-east-1.aws.found.io/app/kibana#/discover/Steve-Slow-Train-Analysis-(2080s-and-2083s)?_g=(refreshInterval:(display:Off,pause:!f,section:0,value:0),time:(from:'2017-10-30T08:36:40-0600',mode:absolute,to:'2017-10-30T10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4" s="204" t="str">
        <f>IF(AA234&lt;VLOOKUP(AG234,Variables!$AC$3:$AD$8,2,FALSE),"Y","N")</f>
        <v>Y</v>
      </c>
      <c r="X234" s="204">
        <f t="shared" si="117"/>
        <v>0</v>
      </c>
      <c r="Y234" s="204">
        <f t="shared" si="115"/>
        <v>0.32269999999999999</v>
      </c>
      <c r="Z234" s="204">
        <f t="shared" si="116"/>
        <v>1.4500000000000001E-2</v>
      </c>
      <c r="AA234" s="204">
        <f t="shared" si="122"/>
        <v>0.30819999999999997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23"/>
        <v>59</v>
      </c>
      <c r="AE234" s="77" t="str">
        <f t="shared" si="124"/>
        <v>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 &amp; aws s3 cp s3://rtdc.mdm.uploadarchive.raw/RTDC4057/ "%USERPROFILE%\AppData\Local\Temp\OnboardLogs"\RTDC4057\2017-10-31 --exclude "*" --recursive --include "*20171031*" &amp; "%USERPROFILE%\Documents\GitHub\mrs-test-scripts\Headless Mode &amp; Sideloading\WalkAndUnGZ.bat" "%USERPROFILE%\AppData\Local\Temp\OnboardLogs"\RTDC4057\2017-10-31</v>
      </c>
      <c r="AF234" s="74" t="str">
        <f t="shared" si="125"/>
        <v>"C:\Program Files (x86)\AstroGrep\AstroGrep.exe" /e /r /s /spath="%USERPROFILE%\AppData\Local\Temp\OnboardLogs" /stypes="app*4057*20171030*" /stext=" 15:.+((SYSTEM_STATE.+slice.+state.+changed )|(ment ac)|(multiple cpu faults)|(system.+state.+changed )|(\[timeout)|(PRM\|1\|D)|(kpr)|(kdp)|(train st.+moving)|(\|lc)|(penalty))"</v>
      </c>
      <c r="AG234" s="182" t="str">
        <f t="shared" si="126"/>
        <v>Shuttle/Test</v>
      </c>
      <c r="AH234" s="78" t="str">
        <f t="shared" si="127"/>
        <v>"%USERPROFILE%\Documents\GitHub\eaglep3\Utilities\RefineRTDCRunTimes.py" --tripid 59-30 --locoid 4057 --swversion DE.1.0.9.0 --startMP 204:3227 --initTime 2017-10-30T09:36:40 --startdatetime 2017-10-30T09:38:45 --delay 66 --endMP 204:145 --enddatetime 2017-10-30T09:41:12 --enforcementcount 0 &gt;&gt;%USERPROFILE%\Documents\GitHub\eaglep3-reporting\EC\2017-10-30-refined-times.txt</v>
      </c>
      <c r="AI234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0.0145"},{"id":17,"name":"Train ID","value":"59-30"},{"id":16,"name":"Locomotive ID","value":"4057"},{"id":130,"name":"Impact","value":""},{"id":150,"name":"Time of Event (Mountain Time)","value":"09:41:12"},{"id":151,"name":"Denver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29"/>
        <v>start /low /b %USERPROFILE%\Documents\GitHub\eaglep3\Utilities\DownloadLogsFromS3.py --loco 4057 --day 2017-10-30</v>
      </c>
      <c r="AN234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15:41:12"},{"id":29,"name":"Sharepoint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31"/>
        <v>https://d0f6bd738d7f1b3e5a7ca70fe4ff75f0.us-east-1.aws.found.io/app/kibana#/discover/Steve-Slow-Train-Analysis-(2080s-and-2083s)?_g=(refreshInterval:(display:Off,pause:!f,section:0,value:0),time:(from:'2017-10-30T08:36:40-0600',mode:absolute,to:'2017-10-30T10:41:12-0600'))&amp;_a=(columns:!('Message%20ID',Summary),filters:!(),index:'emp_*',interval:auto,query:(query_string:(analyze_wildcard:!t,query:'%22rtdc.l.rtdc.4057%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847</v>
      </c>
      <c r="B235" s="7">
        <v>4025</v>
      </c>
      <c r="C235" s="21" t="s">
        <v>194</v>
      </c>
      <c r="D235" s="21" t="s">
        <v>1039</v>
      </c>
      <c r="E235" s="13">
        <v>43038.74015046296</v>
      </c>
      <c r="F235" s="13">
        <v>43038.743761574071</v>
      </c>
      <c r="G235" s="7">
        <v>69</v>
      </c>
      <c r="H235" s="21" t="s">
        <v>1040</v>
      </c>
      <c r="I235" s="13">
        <v>43038.749305555553</v>
      </c>
      <c r="J235" s="7">
        <v>0</v>
      </c>
      <c r="K235" s="89" t="str">
        <f t="shared" si="118"/>
        <v>4025/4026</v>
      </c>
      <c r="L235" s="185" t="str">
        <f>VLOOKUP(A235,'Trips&amp;Operators'!$C$1:$G$99911,5,FALSE)</f>
        <v>GUNTHIER ERIC</v>
      </c>
      <c r="M235" s="6">
        <f t="shared" si="119"/>
        <v>5.543981482333038E-3</v>
      </c>
      <c r="N235" s="7">
        <f t="shared" si="132"/>
        <v>7.9833333345595747</v>
      </c>
      <c r="O235" s="7"/>
      <c r="P235" s="7"/>
      <c r="Q235" s="22"/>
      <c r="R235" s="174"/>
      <c r="S235" s="221">
        <f t="shared" si="133"/>
        <v>1</v>
      </c>
      <c r="T235" s="174" t="str">
        <f t="shared" si="120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21"/>
        <v>https://d0f6bd738d7f1b3e5a7ca70fe4ff75f0.us-east-1.aws.found.io/app/kibana#/discover/Steve-Slow-Train-Analysis-(2080s-and-2083s)?_g=(refreshInterval:(display:Off,pause:!f,section:0,value:0),time:(from:'2017-10-30T16:45:49-0600',mode:absolute,to:'2017-10-30T18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5" s="204" t="str">
        <f>IF(AA235&lt;VLOOKUP(AG235,Variables!$AC$3:$AD$8,2,FALSE),"Y","N")</f>
        <v>Y</v>
      </c>
      <c r="X235" s="204">
        <f t="shared" si="117"/>
        <v>9</v>
      </c>
      <c r="Y235" s="204">
        <f t="shared" si="115"/>
        <v>2.3527</v>
      </c>
      <c r="Z235" s="204">
        <f t="shared" si="116"/>
        <v>0.17249999999999999</v>
      </c>
      <c r="AA235" s="204">
        <f t="shared" si="122"/>
        <v>2.1802000000000001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23"/>
        <v>68</v>
      </c>
      <c r="AE235" s="77" t="str">
        <f t="shared" si="124"/>
        <v>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 &amp; aws s3 cp s3://rtdc.mdm.uploadarchive.raw/RTDC4025/ "%USERPROFILE%\AppData\Local\Temp\OnboardLogs"\RTDC4025\2017-10-31 --exclude "*" --recursive --include "*20171031*" &amp; "%USERPROFILE%\Documents\GitHub\mrs-test-scripts\Headless Mode &amp; Sideloading\WalkAndUnGZ.bat" "%USERPROFILE%\AppData\Local\Temp\OnboardLogs"\RTDC4025\2017-10-31</v>
      </c>
      <c r="AF235" s="74" t="str">
        <f t="shared" si="125"/>
        <v>"C:\Program Files (x86)\AstroGrep\AstroGrep.exe" /e /r /s /spath="%USERPROFILE%\AppData\Local\Temp\OnboardLogs" /stypes="app*4025*20171030*" /stext=" 23:.+((SYSTEM_STATE.+slice.+state.+changed )|(ment ac)|(multiple cpu faults)|(system.+state.+changed )|(\[timeout)|(PRM\|1\|D)|(kpr)|(kdp)|(train st.+moving)|(\|lc)|(penalty))"</v>
      </c>
      <c r="AG235" s="182" t="str">
        <f t="shared" si="126"/>
        <v>Shuttle/Test</v>
      </c>
      <c r="AH235" s="78" t="str">
        <f t="shared" si="127"/>
        <v>"%USERPROFILE%\Documents\GitHub\eaglep3\Utilities\RefineRTDCRunTimes.py" --tripid 68-30 --locoid 4025 --swversion DE.1.0.9.0 --startMP 300:23527 --initTime 2017-10-30T17:45:49 --startdatetime 2017-10-30T17:51:01 --delay 69 --endMP 204:1725 --enddatetime 2017-10-30T17:59:00 --enforcementcount 0 &gt;&gt;%USERPROFILE%\Documents\GitHub\eaglep3-reporting\EC\2017-10-30-refined-times.txt</v>
      </c>
      <c r="AI235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0.1725"},{"id":17,"name":"Train ID","value":"68-30"},{"id":16,"name":"Locomotive ID","value":"4025"},{"id":130,"name":"Impact","value":""},{"id":150,"name":"Time of Event (Mountain Time)","value":"17:59:00"},{"id":151,"name":"Denver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29"/>
        <v>start /low /b %USERPROFILE%\Documents\GitHub\eaglep3\Utilities\DownloadLogsFromS3.py --loco 4025 --day 2017-10-30</v>
      </c>
      <c r="AN235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31"/>
        <v>https://d0f6bd738d7f1b3e5a7ca70fe4ff75f0.us-east-1.aws.found.io/app/kibana#/discover/Steve-Slow-Train-Analysis-(2080s-and-2083s)?_g=(refreshInterval:(display:Off,pause:!f,section:0,value:0),time:(from:'2017-10-30T16:45:49-0600',mode:absolute,to:'2017-10-30T18:59:00-0600'))&amp;_a=(columns:!('Message%20ID',Summary),filters:!(),index:'emp_*',interval:auto,query:(query_string:(analyze_wildcard:!t,query:'%22rtdc.l.rtdc.4025%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664</v>
      </c>
      <c r="B236" s="7">
        <v>4050</v>
      </c>
      <c r="C236" s="21" t="s">
        <v>194</v>
      </c>
      <c r="D236" s="21" t="s">
        <v>1041</v>
      </c>
      <c r="E236" s="13">
        <v>43038.596620370372</v>
      </c>
      <c r="F236" s="13">
        <v>43038.602118055554</v>
      </c>
      <c r="G236" s="7">
        <v>65</v>
      </c>
      <c r="H236" s="21" t="s">
        <v>1042</v>
      </c>
      <c r="I236" s="13">
        <v>43038.603483796294</v>
      </c>
      <c r="J236" s="7">
        <v>0</v>
      </c>
      <c r="K236" s="89" t="str">
        <f t="shared" si="118"/>
        <v>4049/4050</v>
      </c>
      <c r="L236" s="185" t="str">
        <f>VLOOKUP(A236,'Trips&amp;Operators'!$C$1:$G$99911,5,FALSE)</f>
        <v>ROBINSON KADDIBA</v>
      </c>
      <c r="M236" s="6">
        <f t="shared" si="119"/>
        <v>1.3657407398568466E-3</v>
      </c>
      <c r="N236" s="7">
        <f t="shared" si="132"/>
        <v>1.9666666653938591</v>
      </c>
      <c r="O236" s="7"/>
      <c r="P236" s="7"/>
      <c r="Q236" s="22"/>
      <c r="R236" s="174"/>
      <c r="S236" s="221">
        <f t="shared" si="133"/>
        <v>0</v>
      </c>
      <c r="T236" s="174" t="str">
        <f t="shared" si="120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21"/>
        <v>https://d0f6bd738d7f1b3e5a7ca70fe4ff75f0.us-east-1.aws.found.io/app/kibana#/discover/Steve-Slow-Train-Analysis-(2080s-and-2083s)?_g=(refreshInterval:(display:Off,pause:!f,section:0,value:0),time:(from:'2017-10-30T13:19:08-0600',mode:absolute,to:'2017-10-30T15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204" t="str">
        <f>IF(AA236&lt;VLOOKUP(AG236,Variables!$AC$3:$AD$8,2,FALSE),"Y","N")</f>
        <v>Y</v>
      </c>
      <c r="X236" s="204">
        <f t="shared" si="117"/>
        <v>7</v>
      </c>
      <c r="Y236" s="204">
        <f t="shared" si="115"/>
        <v>0.14860000000000001</v>
      </c>
      <c r="Z236" s="204">
        <f t="shared" si="116"/>
        <v>0.42549999999999999</v>
      </c>
      <c r="AA236" s="204">
        <f t="shared" si="122"/>
        <v>0.27689999999999998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23"/>
        <v>75</v>
      </c>
      <c r="AE236" s="77" t="str">
        <f t="shared" si="124"/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AF236" s="74" t="str">
        <f t="shared" si="125"/>
        <v>"C:\Program Files (x86)\AstroGrep\AstroGrep.exe" /e /r /s /spath="%USERPROFILE%\AppData\Local\Temp\OnboardLogs" /stypes="app*4050*20171030*" /stext=" 20:.+((SYSTEM_STATE.+slice.+state.+changed )|(ment ac)|(multiple cpu faults)|(system.+state.+changed )|(\[timeout)|(PRM\|1\|D)|(kpr)|(kdp)|(train st.+moving)|(\|lc)|(penalty))"</v>
      </c>
      <c r="AG236" s="182" t="str">
        <f t="shared" si="126"/>
        <v>Shuttle/Test</v>
      </c>
      <c r="AH236" s="78" t="str">
        <f t="shared" si="127"/>
        <v>"%USERPROFILE%\Documents\GitHub\eaglep3\Utilities\RefineRTDCRunTimes.py" --tripid 75-30 --locoid 4050 --swversion DE.1.0.9.0 --startMP 204:1486 --initTime 2017-10-30T14:19:08 --startdatetime 2017-10-30T14:27:03 --delay 65 --endMP 204:4255 --enddatetime 2017-10-30T14:29:01 --enforcementcount 0 &gt;&gt;%USERPROFILE%\Documents\GitHub\eaglep3-reporting\EC\2017-10-30-refined-times.txt</v>
      </c>
      <c r="AI236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0.4255"},{"id":17,"name":"Train ID","value":"75-30"},{"id":16,"name":"Locomotive ID","value":"4050"},{"id":130,"name":"Impact","value":""},{"id":150,"name":"Time of Event (Mountain Time)","value":"14:29:01"},{"id":151,"name":"Denver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29"/>
        <v>start /low /b %USERPROFILE%\Documents\GitHub\eaglep3\Utilities\DownloadLogsFromS3.py --loco 4050 --day 2017-10-30</v>
      </c>
      <c r="AN236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20:29:01"},{"id":29,"name":"Sharepoint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31"/>
        <v>https://d0f6bd738d7f1b3e5a7ca70fe4ff75f0.us-east-1.aws.found.io/app/kibana#/discover/Steve-Slow-Train-Analysis-(2080s-and-2083s)?_g=(refreshInterval:(display:Off,pause:!f,section:0,value:0),time:(from:'2017-10-30T13:19:08-0600',mode:absolute,to:'2017-10-30T15:29:01-0600'))&amp;_a=(columns:!('Message%20ID',Summary),filters:!(),index:'emp_*',interval:auto,query:(query_string:(analyze_wildcard:!t,query:'%22rtdc.l.rtdc.4050%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664</v>
      </c>
      <c r="B237" s="7">
        <v>4049</v>
      </c>
      <c r="C237" s="21" t="s">
        <v>194</v>
      </c>
      <c r="D237" s="21" t="s">
        <v>1043</v>
      </c>
      <c r="E237" s="13">
        <v>43038.601018518515</v>
      </c>
      <c r="F237" s="13">
        <v>43038.602118055554</v>
      </c>
      <c r="G237" s="7">
        <v>46</v>
      </c>
      <c r="H237" s="21" t="s">
        <v>984</v>
      </c>
      <c r="I237" s="13">
        <v>43038.603483796294</v>
      </c>
      <c r="J237" s="7">
        <v>0</v>
      </c>
      <c r="K237" s="89" t="str">
        <f t="shared" si="118"/>
        <v>4049/4050</v>
      </c>
      <c r="L237" s="185" t="str">
        <f>VLOOKUP(A237,'Trips&amp;Operators'!$C$1:$G$99911,5,FALSE)</f>
        <v>ROBINSON KADDIBA</v>
      </c>
      <c r="M237" s="6">
        <f t="shared" si="119"/>
        <v>1.3657407398568466E-3</v>
      </c>
      <c r="N237" s="7">
        <f t="shared" si="132"/>
        <v>1.9666666653938591</v>
      </c>
      <c r="O237" s="7"/>
      <c r="P237" s="7"/>
      <c r="Q237" s="22"/>
      <c r="R237" s="174"/>
      <c r="S237" s="221">
        <f t="shared" si="133"/>
        <v>0</v>
      </c>
      <c r="T237" s="174" t="str">
        <f t="shared" si="120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21"/>
        <v>https://d0f6bd738d7f1b3e5a7ca70fe4ff75f0.us-east-1.aws.found.io/app/kibana#/discover/Steve-Slow-Train-Analysis-(2080s-and-2083s)?_g=(refreshInterval:(display:Off,pause:!f,section:0,value:0),time:(from:'2017-10-30T13:25:28-0600',mode:absolute,to:'2017-10-30T15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7" s="204" t="str">
        <f>IF(AA237&lt;VLOOKUP(AG237,Variables!$AC$3:$AD$8,2,FALSE),"Y","N")</f>
        <v>Y</v>
      </c>
      <c r="X237" s="204">
        <f t="shared" si="117"/>
        <v>0</v>
      </c>
      <c r="Y237" s="204">
        <f t="shared" si="115"/>
        <v>0.39510000000000001</v>
      </c>
      <c r="Z237" s="204">
        <f t="shared" si="116"/>
        <v>2.4299999999999999E-2</v>
      </c>
      <c r="AA237" s="204">
        <f t="shared" si="122"/>
        <v>0.37080000000000002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23"/>
        <v>75</v>
      </c>
      <c r="AE237" s="77" t="str">
        <f t="shared" si="124"/>
        <v>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 &amp; aws s3 cp s3://rtdc.mdm.uploadarchive.raw/RTDC4049/ "%USERPROFILE%\AppData\Local\Temp\OnboardLogs"\RTDC4049\2017-10-31 --exclude "*" --recursive --include "*20171031*" &amp; "%USERPROFILE%\Documents\GitHub\mrs-test-scripts\Headless Mode &amp; Sideloading\WalkAndUnGZ.bat" "%USERPROFILE%\AppData\Local\Temp\OnboardLogs"\RTDC4049\2017-10-31</v>
      </c>
      <c r="AF237" s="74" t="str">
        <f t="shared" si="125"/>
        <v>"C:\Program Files (x86)\AstroGrep\AstroGrep.exe" /e /r /s /spath="%USERPROFILE%\AppData\Local\Temp\OnboardLogs" /stypes="app*4049*20171030*" /stext=" 20:.+((SYSTEM_STATE.+slice.+state.+changed )|(ment ac)|(multiple cpu faults)|(system.+state.+changed )|(\[timeout)|(PRM\|1\|D)|(kpr)|(kdp)|(train st.+moving)|(\|lc)|(penalty))"</v>
      </c>
      <c r="AG237" s="182" t="str">
        <f t="shared" si="126"/>
        <v>Shuttle/Test</v>
      </c>
      <c r="AH237" s="78" t="str">
        <f t="shared" si="127"/>
        <v>"%USERPROFILE%\Documents\GitHub\eaglep3\Utilities\RefineRTDCRunTimes.py" --tripid 75-30 --locoid 4049 --swversion DE.1.0.9.0 --startMP 204:3951 --initTime 2017-10-30T14:25:28 --startdatetime 2017-10-30T14:27:03 --delay 46 --endMP 204:243 --enddatetime 2017-10-30T14:29:01 --enforcementcount 0 &gt;&gt;%USERPROFILE%\Documents\GitHub\eaglep3-reporting\EC\2017-10-30-refined-times.txt</v>
      </c>
      <c r="AI237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0.0243"},{"id":17,"name":"Train ID","value":"75-30"},{"id":16,"name":"Locomotive ID","value":"4049"},{"id":130,"name":"Impact","value":""},{"id":150,"name":"Time of Event (Mountain Time)","value":"14:29:01"},{"id":151,"name":"Denver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29"/>
        <v>start /low /b %USERPROFILE%\Documents\GitHub\eaglep3\Utilities\DownloadLogsFromS3.py --loco 4049 --day 2017-10-30</v>
      </c>
      <c r="AN237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20:29:01"},{"id":29,"name":"Sharepoint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31"/>
        <v>https://d0f6bd738d7f1b3e5a7ca70fe4ff75f0.us-east-1.aws.found.io/app/kibana#/discover/Steve-Slow-Train-Analysis-(2080s-and-2083s)?_g=(refreshInterval:(display:Off,pause:!f,section:0,value:0),time:(from:'2017-10-30T13:25:28-0600',mode:absolute,to:'2017-10-30T15:29:01-0600'))&amp;_a=(columns:!('Message%20ID',Summary),filters:!(),index:'emp_*',interval:auto,query:(query_string:(analyze_wildcard:!t,query:'%22rtdc.l.rtdc.4049%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664</v>
      </c>
      <c r="B238" s="7">
        <v>4012</v>
      </c>
      <c r="C238" s="21" t="s">
        <v>194</v>
      </c>
      <c r="D238" s="21" t="s">
        <v>1044</v>
      </c>
      <c r="E238" s="13">
        <v>43038.706469907411</v>
      </c>
      <c r="F238" s="13">
        <v>43038.712326388886</v>
      </c>
      <c r="G238" s="7">
        <v>142</v>
      </c>
      <c r="H238" s="21" t="s">
        <v>1045</v>
      </c>
      <c r="I238" s="13">
        <v>43038.72146990741</v>
      </c>
      <c r="J238" s="7">
        <v>0</v>
      </c>
      <c r="K238" s="89" t="str">
        <f t="shared" si="118"/>
        <v>4011/4012</v>
      </c>
      <c r="L238" s="185" t="str">
        <f>VLOOKUP(A238,'Trips&amp;Operators'!$C$1:$G$99911,5,FALSE)</f>
        <v>ROBINSON KADDIBA</v>
      </c>
      <c r="M238" s="6">
        <f t="shared" si="119"/>
        <v>9.1435185240698047E-3</v>
      </c>
      <c r="N238" s="7">
        <f t="shared" si="132"/>
        <v>13.166666674660519</v>
      </c>
      <c r="O238" s="7"/>
      <c r="P238" s="7"/>
      <c r="Q238" s="22"/>
      <c r="R238" s="174"/>
      <c r="S238" s="221">
        <f t="shared" si="133"/>
        <v>1</v>
      </c>
      <c r="T238" s="174" t="str">
        <f t="shared" si="120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21"/>
        <v>https://d0f6bd738d7f1b3e5a7ca70fe4ff75f0.us-east-1.aws.found.io/app/kibana#/discover/Steve-Slow-Train-Analysis-(2080s-and-2083s)?_g=(refreshInterval:(display:Off,pause:!f,section:0,value:0),time:(from:'2017-10-30T15:57:19-0600',mode:absolute,to:'2017-10-30T18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8" s="204" t="str">
        <f>IF(AA238&lt;VLOOKUP(AG238,Variables!$AC$3:$AD$8,2,FALSE),"Y","N")</f>
        <v>Y</v>
      </c>
      <c r="X238" s="204">
        <f t="shared" si="117"/>
        <v>0</v>
      </c>
      <c r="Y238" s="204">
        <f t="shared" si="115"/>
        <v>0.15</v>
      </c>
      <c r="Z238" s="204">
        <f t="shared" si="116"/>
        <v>2.3313999999999999</v>
      </c>
      <c r="AA238" s="204">
        <f t="shared" si="122"/>
        <v>2.1814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23"/>
        <v>75</v>
      </c>
      <c r="AE238" s="77" t="str">
        <f t="shared" si="124"/>
        <v>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 &amp; aws s3 cp s3://rtdc.mdm.uploadarchive.raw/RTDC4012/ "%USERPROFILE%\AppData\Local\Temp\OnboardLogs"\RTDC4012\2017-10-31 --exclude "*" --recursive --include "*20171031*" &amp; "%USERPROFILE%\Documents\GitHub\mrs-test-scripts\Headless Mode &amp; Sideloading\WalkAndUnGZ.bat" "%USERPROFILE%\AppData\Local\Temp\OnboardLogs"\RTDC4012\2017-10-31</v>
      </c>
      <c r="AF238" s="74" t="str">
        <f t="shared" si="125"/>
        <v>"C:\Program Files (x86)\AstroGrep\AstroGrep.exe" /e /r /s /spath="%USERPROFILE%\AppData\Local\Temp\OnboardLogs" /stypes="app*4012*20171030*" /stext=" 23:.+((SYSTEM_STATE.+slice.+state.+changed )|(ment ac)|(multiple cpu faults)|(system.+state.+changed )|(\[timeout)|(PRM\|1\|D)|(kpr)|(kdp)|(train st.+moving)|(\|lc)|(penalty))"</v>
      </c>
      <c r="AG238" s="182" t="str">
        <f t="shared" si="126"/>
        <v>Shuttle/Test</v>
      </c>
      <c r="AH238" s="78" t="str">
        <f t="shared" si="127"/>
        <v>"%USERPROFILE%\Documents\GitHub\eaglep3\Utilities\RefineRTDCRunTimes.py" --tripid 75-30 --locoid 4012 --swversion DE.1.0.9.0 --startMP 204:1500 --initTime 2017-10-30T16:57:19 --startdatetime 2017-10-30T17:05:45 --delay 142 --endMP 300:23314 --enddatetime 2017-10-30T17:18:55 --enforcementcount 0 &gt;&gt;%USERPROFILE%\Documents\GitHub\eaglep3-reporting\EC\2017-10-30-refined-times.txt</v>
      </c>
      <c r="AI238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2.3314"},{"id":17,"name":"Train ID","value":"75-30"},{"id":16,"name":"Locomotive ID","value":"4012"},{"id":130,"name":"Impact","value":""},{"id":150,"name":"Time of Event (Mountain Time)","value":"17:18:55"},{"id":151,"name":"Denver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29"/>
        <v>start /low /b %USERPROFILE%\Documents\GitHub\eaglep3\Utilities\DownloadLogsFromS3.py --loco 4012 --day 2017-10-30</v>
      </c>
      <c r="AN238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31"/>
        <v>https://d0f6bd738d7f1b3e5a7ca70fe4ff75f0.us-east-1.aws.found.io/app/kibana#/discover/Steve-Slow-Train-Analysis-(2080s-and-2083s)?_g=(refreshInterval:(display:Off,pause:!f,section:0,value:0),time:(from:'2017-10-30T15:57:19-0600',mode:absolute,to:'2017-10-30T18:18:55-0600'))&amp;_a=(columns:!('Message%20ID',Summary),filters:!(),index:'emp_*',interval:auto,query:(query_string:(analyze_wildcard:!t,query:'%22rtdc.l.rtdc.4012%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840</v>
      </c>
      <c r="B239" s="7">
        <v>4042</v>
      </c>
      <c r="C239" s="21" t="s">
        <v>194</v>
      </c>
      <c r="D239" s="21" t="s">
        <v>1046</v>
      </c>
      <c r="E239" s="13">
        <v>43038.719560185185</v>
      </c>
      <c r="F239" s="13">
        <v>43038.726504629631</v>
      </c>
      <c r="G239" s="7">
        <v>143</v>
      </c>
      <c r="H239" s="21" t="s">
        <v>1047</v>
      </c>
      <c r="I239" s="13">
        <v>43038.732835648145</v>
      </c>
      <c r="J239" s="7">
        <v>0</v>
      </c>
      <c r="K239" s="89" t="str">
        <f t="shared" si="118"/>
        <v>4041/4042</v>
      </c>
      <c r="L239" s="185" t="str">
        <f>VLOOKUP(A239,'Trips&amp;Operators'!$C$1:$G$99911,5,FALSE)</f>
        <v>GONZALEZ ARMANDO</v>
      </c>
      <c r="M239" s="6">
        <f t="shared" si="119"/>
        <v>6.3310185141745023E-3</v>
      </c>
      <c r="N239" s="7">
        <f t="shared" si="132"/>
        <v>9.1166666604112834</v>
      </c>
      <c r="O239" s="7"/>
      <c r="P239" s="7"/>
      <c r="Q239" s="22"/>
      <c r="R239" s="174"/>
      <c r="S239" s="221">
        <f t="shared" si="133"/>
        <v>1</v>
      </c>
      <c r="T239" s="174" t="str">
        <f t="shared" si="120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121"/>
        <v>https://d0f6bd738d7f1b3e5a7ca70fe4ff75f0.us-east-1.aws.found.io/app/kibana#/discover/Steve-Slow-Train-Analysis-(2080s-and-2083s)?_g=(refreshInterval:(display:Off,pause:!f,section:0,value:0),time:(from:'2017-10-30T16:16:10-0600',mode:absolute,to:'2017-10-30T18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204" t="str">
        <f>IF(AA239&lt;VLOOKUP(AG239,Variables!$AC$3:$AD$8,2,FALSE),"Y","N")</f>
        <v>Y</v>
      </c>
      <c r="X239" s="204">
        <f t="shared" si="117"/>
        <v>2</v>
      </c>
      <c r="Y239" s="204">
        <f t="shared" si="115"/>
        <v>0.11559999999999999</v>
      </c>
      <c r="Z239" s="204">
        <f t="shared" si="116"/>
        <v>2.3290999999999999</v>
      </c>
      <c r="AA239" s="204">
        <f t="shared" si="122"/>
        <v>2.2134999999999998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23"/>
        <v>77</v>
      </c>
      <c r="AE239" s="77" t="str">
        <f t="shared" si="124"/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AF239" s="74" t="str">
        <f t="shared" si="125"/>
        <v>"C:\Program Files (x86)\AstroGrep\AstroGrep.exe" /e /r /s /spath="%USERPROFILE%\AppData\Local\Temp\OnboardLogs" /stypes="app*4042*20171030*" /stext=" 23:.+((SYSTEM_STATE.+slice.+state.+changed )|(ment ac)|(multiple cpu faults)|(system.+state.+changed )|(\[timeout)|(PRM\|1\|D)|(kpr)|(kdp)|(train st.+moving)|(\|lc)|(penalty))"</v>
      </c>
      <c r="AG239" s="182" t="str">
        <f t="shared" si="126"/>
        <v>Shuttle/Test</v>
      </c>
      <c r="AH239" s="78" t="str">
        <f t="shared" si="127"/>
        <v>"%USERPROFILE%\Documents\GitHub\eaglep3\Utilities\RefineRTDCRunTimes.py" --tripid 77-30 --locoid 4042 --swversion DE.1.0.9.0 --startMP 204:1156 --initTime 2017-10-30T17:16:10 --startdatetime 2017-10-30T17:26:10 --delay 143 --endMP 300:23291 --enddatetime 2017-10-30T17:35:17 --enforcementcount 0 &gt;&gt;%USERPROFILE%\Documents\GitHub\eaglep3-reporting\EC\2017-10-30-refined-times.txt</v>
      </c>
      <c r="AI239" s="96" t="str">
        <f t="shared" si="128"/>
        <v>echo {"issue":{"subject":"","project_id":79,"tracker_id":40,"status_id":1,"priority_id":2,"assigned_to_id":338,"start_date":"2017-10-30","description":"","custom_fields":[{"id":1,"name":"Subdivision","value":"Shuttle/Test"},{"id":4,"name":"Milepost","value":"2.3291"},{"id":17,"name":"Train ID","value":"77-30"},{"id":16,"name":"Locomotive ID","value":"4042"},{"id":130,"name":"Impact","value":""},{"id":150,"name":"Time of Event (Mountain Time)","value":"17:35:17"},{"id":151,"name":"Denver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29"/>
        <v>start /low /b %USERPROFILE%\Documents\GitHub\eaglep3\Utilities\DownloadLogsFromS3.py --loco 4042 --day 2017-10-30</v>
      </c>
      <c r="AN239" s="151" t="str">
        <f t="shared" si="130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23:35:17"},{"id":29,"name":"Sharepoint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31"/>
        <v>https://d0f6bd738d7f1b3e5a7ca70fe4ff75f0.us-east-1.aws.found.io/app/kibana#/discover/Steve-Slow-Train-Analysis-(2080s-and-2083s)?_g=(refreshInterval:(display:Off,pause:!f,section:0,value:0),time:(from:'2017-10-30T16:16:10-0600',mode:absolute,to:'2017-10-30T18:35:17-0600'))&amp;_a=(columns:!('Message%20ID',Summary),filters:!(),index:'emp_*',interval:auto,query:(query_string:(analyze_wildcard:!t,query:'%22rtdc.l.rtdc.4042%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4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4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</sheetData>
  <autoFilter ref="A12:AG423">
    <sortState ref="A13:AG423">
      <sortCondition ref="AG13:AG239"/>
      <sortCondition ref="AD13:AD239"/>
    </sortState>
  </autoFilter>
  <sortState ref="A13:AN328">
    <sortCondition ref="AG13:AG328"/>
    <sortCondition ref="AD13:AD328"/>
  </sortState>
  <mergeCells count="1">
    <mergeCell ref="A11:P11"/>
  </mergeCells>
  <conditionalFormatting sqref="W11:W12 W429:X1048576 W13:X239">
    <cfRule type="cellIs" dxfId="10" priority="457" operator="equal">
      <formula>"Y"</formula>
    </cfRule>
  </conditionalFormatting>
  <conditionalFormatting sqref="X429:X1048576 X13:X239">
    <cfRule type="cellIs" dxfId="9" priority="440" operator="greaterThan">
      <formula>1</formula>
    </cfRule>
  </conditionalFormatting>
  <conditionalFormatting sqref="X429:X1048576 X12:X239">
    <cfRule type="cellIs" dxfId="8" priority="437" operator="equal">
      <formula>0</formula>
    </cfRule>
  </conditionalFormatting>
  <conditionalFormatting sqref="A13:S239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18" sqref="P1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18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- 2017-10-30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350</v>
      </c>
      <c r="X6" s="181" t="s">
        <v>343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43038.744826388887</v>
      </c>
      <c r="B7" s="30" t="s">
        <v>400</v>
      </c>
      <c r="C7" s="30" t="s">
        <v>665</v>
      </c>
      <c r="D7" s="30" t="s">
        <v>49</v>
      </c>
      <c r="E7" s="30" t="s">
        <v>185</v>
      </c>
      <c r="F7" s="42">
        <v>0</v>
      </c>
      <c r="G7" s="42">
        <v>238</v>
      </c>
      <c r="H7" s="42">
        <v>26920</v>
      </c>
      <c r="I7" s="42">
        <v>27246</v>
      </c>
      <c r="J7" s="30" t="s">
        <v>186</v>
      </c>
      <c r="K7" s="42">
        <v>27053</v>
      </c>
      <c r="L7" s="131" t="s">
        <v>50</v>
      </c>
      <c r="M7" s="132">
        <f t="shared" ref="M7:M29" si="0">CONVERT((I7-K7)/10000,"mi","ft")*IF(L7="Increasing Mileposts (1)",-1,1)</f>
        <v>-101.904</v>
      </c>
      <c r="N7" s="133" t="str">
        <f>VLOOKUP(C7,'Trips&amp;Operators'!$C$1:$G$99911,5,FALSE)</f>
        <v>LOZA FIDEL</v>
      </c>
      <c r="O7" s="176" t="s">
        <v>178</v>
      </c>
      <c r="P7" s="134" t="s">
        <v>353</v>
      </c>
      <c r="Q7" s="30"/>
      <c r="R7" s="81" t="str">
        <f>VLOOKUP(C7,'Train Runs'!$A$13:$AE$10082,31,0)</f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S7" s="84" t="str">
        <f>VLOOKUP(C7,'Train Runs'!$A$13:$AE$10082,22,0)</f>
        <v>https://d0f6bd738d7f1b3e5a7ca70fe4ff75f0.us-east-1.aws.found.io/app/kibana#/discover/Steve-Slow-Train-Analysis-(2080s-and-2083s)?_g=(refreshInterval:(display:Off,pause:!f,section:0,value:0),time:(from:'2017-10-30T16:42:56-0600',mode:absolute,to:'2017-10-30T19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/stypes="*4024*201710302*" /stext=" 23:.+((SYSTEM_STATE.+slice.+state.+changed )|(ment ac)|(multiple cpu faults)|(system.+state.+changed )|(\[timeout)|(PRM\|1\|D)|(kpr)|(kdp)|(train st.+moving)|(\|lc)|(penalty))"</v>
      </c>
      <c r="U7" s="9" t="str">
        <f t="shared" ref="U7:U29" si="2">MID(B7,13,4)</f>
        <v>4024</v>
      </c>
      <c r="V7" s="31">
        <f t="shared" ref="V7:V29" si="3">A7-utc_offset/24</f>
        <v>43038.994826388887</v>
      </c>
      <c r="W7" s="45" t="str">
        <f t="shared" ref="W7:W29" si="4">DetSubdiv(C7)</f>
        <v>EC</v>
      </c>
      <c r="X7" s="22">
        <f t="shared" ref="X7:X29" si="5">VALUE(LEFT(C7,LEN(C7)-3))</f>
        <v>213</v>
      </c>
      <c r="Y7" s="96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Arrival","project_id":79,"tracker_id":40,"status_id":1,"priority_id":2,"assigned_to_id":338,"start_date":"2017-10-30","description":"","custom_fields":[{"id":1,"name":"Subdivision","value":"EC"},{"id":4,"name":"Milepost","value":"2.7053"},{"id":17,"name":"Train ID","value":"213-30"},{"id":16,"name":"Locomotive ID","value":"4024"},{"id":130,"name":"Impact","value":""},{"id":150,"name":"Time of Event (Mountain Time)","value":"17:52:33"},{"id":151,"name":"Denver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/c/Users/stu/AppData/Local/Temp/OnboardLogs/RTDC4024 --include="*4024*201710302*"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"%USERPROFILE%\AppData\Local\Temp\OnboardLogs"\RTDC4024\*4024*201710302* &gt;&gt; 2017-10-30-SliceDisagreementCheck.txt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4024 --day 2017-10-30</v>
      </c>
    </row>
    <row r="8" spans="1:32" s="1" customFormat="1" x14ac:dyDescent="0.3">
      <c r="A8" s="31">
        <v>43038.613668981481</v>
      </c>
      <c r="B8" s="30" t="s">
        <v>660</v>
      </c>
      <c r="C8" s="30" t="s">
        <v>661</v>
      </c>
      <c r="D8" s="30" t="s">
        <v>49</v>
      </c>
      <c r="E8" s="30" t="s">
        <v>185</v>
      </c>
      <c r="F8" s="42">
        <v>0</v>
      </c>
      <c r="G8" s="42">
        <v>459</v>
      </c>
      <c r="H8" s="42">
        <v>61907</v>
      </c>
      <c r="I8" s="42">
        <v>63135</v>
      </c>
      <c r="J8" s="30" t="s">
        <v>186</v>
      </c>
      <c r="K8" s="42">
        <v>63069</v>
      </c>
      <c r="L8" s="131" t="s">
        <v>50</v>
      </c>
      <c r="M8" s="132">
        <f t="shared" si="0"/>
        <v>-34.847999999999999</v>
      </c>
      <c r="N8" s="133" t="str">
        <f>VLOOKUP(C8,'Trips&amp;Operators'!$C$1:$G$99911,5,FALSE)</f>
        <v>STRICKLAND EVAN</v>
      </c>
      <c r="O8" s="176" t="s">
        <v>178</v>
      </c>
      <c r="P8" s="134" t="s">
        <v>353</v>
      </c>
      <c r="Q8" s="30"/>
      <c r="R8" s="81" t="str">
        <f>VLOOKUP(C8,'Train Runs'!$A$13:$AE$10082,31,0)</f>
        <v>aws s3 cp s3://rtdc.mdm.uploadarchive.raw/RTDC4002/ "%USERPROFILE%\AppData\Local\Temp\OnboardLogs"\RTDC4002\2017-10-30 --exclude "*" --recursive --include "*20171030*" &amp; "%USERPROFILE%\Documents\GitHub\mrs-test-scripts\Headless Mode &amp; Sideloading\WalkAndUnGZ.bat" "%USERPROFILE%\AppData\Local\Temp\OnboardLogs"\RTDC4002\2017-10-30 &amp; aws s3 cp s3://rtdc.mdm.uploadarchive.raw/RTDC4002/ "%USERPROFILE%\AppData\Local\Temp\OnboardLogs"\RTDC4002\2017-10-31 --exclude "*" --recursive --include "*20171031*" &amp; "%USERPROFILE%\Documents\GitHub\mrs-test-scripts\Headless Mode &amp; Sideloading\WalkAndUnGZ.bat" "%USERPROFILE%\AppData\Local\Temp\OnboardLogs"\RTDC4002\2017-10-31</v>
      </c>
      <c r="S8" s="84" t="str">
        <f>VLOOKUP(C8,'Train Runs'!$A$13:$AE$10082,22,0)</f>
        <v>https://d0f6bd738d7f1b3e5a7ca70fe4ff75f0.us-east-1.aws.found.io/app/kibana#/discover/Steve-Slow-Train-Analysis-(2080s-and-2083s)?_g=(refreshInterval:(display:Off,pause:!f,section:0,value:0),time:(from:'2017-10-30T13:24:47-0600',mode:absolute,to:'2017-10-30T16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86" t="str">
        <f t="shared" si="1"/>
        <v>"C:\Program Files (x86)\AstroGrep\AstroGrep.exe" /e /r /s /spath="%USERPROFILE%\AppData\Local\Temp\OnboardLogs" /stypes="*4002*201710302*"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4002</v>
      </c>
      <c r="V8" s="31">
        <f t="shared" si="3"/>
        <v>43038.863668981481</v>
      </c>
      <c r="W8" s="45" t="str">
        <f t="shared" si="4"/>
        <v>EC</v>
      </c>
      <c r="X8" s="22">
        <f t="shared" si="5"/>
        <v>187</v>
      </c>
      <c r="Y8" s="96" t="str">
        <f t="shared" si="6"/>
        <v>echo {"issue":{"subject":"Early Arrival","project_id":79,"tracker_id":40,"status_id":1,"priority_id":2,"assigned_to_id":338,"start_date":"2017-10-30","description":"","custom_fields":[{"id":1,"name":"Subdivision","value":"EC"},{"id":4,"name":"Milepost","value":"6.3069"},{"id":17,"name":"Train ID","value":"187-30"},{"id":16,"name":"Locomotive ID","value":"4002"},{"id":130,"name":"Impact","value":""},{"id":150,"name":"Time of Event (Mountain Time)","value":"14:43:41"},{"id":151,"name":"Denver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/c/Users/stu/AppData/Local/Temp/OnboardLogs/RTDC4002 --include="*4002*201710302*"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"%USERPROFILE%\AppData\Local\Temp\OnboardLogs"\RTDC4002\*4002*201710302* &gt;&gt; 2017-10-30-SliceDisagreementCheck.txt</v>
      </c>
      <c r="AE8" s="145" t="str">
        <f t="shared" ref="AE8:AE29" si="9">"start /low /b "&amp;dls3logs&amp;" --loco "&amp;U8&amp;" --day "&amp;TEXT(V8,"YYYY-MM-DD")</f>
        <v>start /low /b %USERPROFILE%\Documents\GitHub\eaglep3\Utilities\DownloadLogsFromS3.py --loco 4002 --day 2017-10-30</v>
      </c>
    </row>
    <row r="9" spans="1:32" s="1" customFormat="1" x14ac:dyDescent="0.3">
      <c r="A9" s="31">
        <v>43038.49150462963</v>
      </c>
      <c r="B9" s="30" t="s">
        <v>490</v>
      </c>
      <c r="C9" s="30" t="s">
        <v>657</v>
      </c>
      <c r="D9" s="30" t="s">
        <v>49</v>
      </c>
      <c r="E9" s="30" t="s">
        <v>185</v>
      </c>
      <c r="F9" s="42">
        <v>440</v>
      </c>
      <c r="G9" s="42">
        <v>531</v>
      </c>
      <c r="H9" s="42">
        <v>79274</v>
      </c>
      <c r="I9" s="42">
        <v>77799</v>
      </c>
      <c r="J9" s="30" t="s">
        <v>186</v>
      </c>
      <c r="K9" s="42">
        <v>78469</v>
      </c>
      <c r="L9" s="131" t="s">
        <v>51</v>
      </c>
      <c r="M9" s="132">
        <f t="shared" si="0"/>
        <v>-353.76000000000005</v>
      </c>
      <c r="N9" s="133" t="str">
        <f>VLOOKUP(C9,'Trips&amp;Operators'!$C$1:$G$99911,5,FALSE)</f>
        <v>BROWN JACOB</v>
      </c>
      <c r="O9" s="176" t="s">
        <v>178</v>
      </c>
      <c r="P9" s="134" t="s">
        <v>353</v>
      </c>
      <c r="Q9" s="30"/>
      <c r="R9" s="81" t="str">
        <f>VLOOKUP(C9,'Train Runs'!$A$13:$AE$10082,31,0)</f>
        <v>aws s3 cp s3://rtdc.mdm.uploadarchive.raw/RTDC4053/ "%USERPROFILE%\AppData\Local\Temp\OnboardLogs"\RTDC4053\2017-10-30 --exclude "*" --recursive --include "*20171030*" &amp; "%USERPROFILE%\Documents\GitHub\mrs-test-scripts\Headless Mode &amp; Sideloading\WalkAndUnGZ.bat" "%USERPROFILE%\AppData\Local\Temp\OnboardLogs"\RTDC4053\2017-10-30 &amp; aws s3 cp s3://rtdc.mdm.uploadarchive.raw/RTDC4053/ "%USERPROFILE%\AppData\Local\Temp\OnboardLogs"\RTDC4053\2017-10-31 --exclude "*" --recursive --include "*20171031*" &amp; "%USERPROFILE%\Documents\GitHub\mrs-test-scripts\Headless Mode &amp; Sideloading\WalkAndUnGZ.bat" "%USERPROFILE%\AppData\Local\Temp\OnboardLogs"\RTDC4053\2017-10-31</v>
      </c>
      <c r="S9" s="84" t="str">
        <f>VLOOKUP(C9,'Train Runs'!$A$13:$AE$10082,22,0)</f>
        <v>https://d0f6bd738d7f1b3e5a7ca70fe4ff75f0.us-east-1.aws.found.io/app/kibana#/discover/Steve-Slow-Train-Analysis-(2080s-and-2083s)?_g=(refreshInterval:(display:Off,pause:!f,section:0,value:0),time:(from:'2017-10-30T10:19:09-0600',mode:absolute,to:'2017-10-30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 t="shared" si="1"/>
        <v>"C:\Program Files (x86)\AstroGrep\AstroGrep.exe" /e /r /s /spath="%USERPROFILE%\AppData\Local\Temp\OnboardLogs" /stypes="*4053*201710301*"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43038.74150462963</v>
      </c>
      <c r="W9" s="45" t="str">
        <f t="shared" si="4"/>
        <v>EC</v>
      </c>
      <c r="X9" s="22">
        <f t="shared" si="5"/>
        <v>156</v>
      </c>
      <c r="Y9" s="96" t="str">
        <f t="shared" si="6"/>
        <v>echo {"issue":{"subject":"Early Arrival","project_id":79,"tracker_id":40,"status_id":1,"priority_id":2,"assigned_to_id":338,"start_date":"2017-10-30","description":"","custom_fields":[{"id":1,"name":"Subdivision","value":"EC"},{"id":4,"name":"Milepost","value":"7.8469"},{"id":17,"name":"Train ID","value":"156-30"},{"id":16,"name":"Locomotive ID","value":"4053"},{"id":130,"name":"Impact","value":""},{"id":150,"name":"Time of Event (Mountain Time)","value":"11:47:46"},{"id":151,"name":"Denver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/c/Users/stu/AppData/Local/Temp/OnboardLogs/RTDC4053 --include="*4053*201710301*"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"%USERPROFILE%\AppData\Local\Temp\OnboardLogs"\RTDC4053\*4053*201710301* &gt;&gt; 2017-10-30-SliceDisagreementCheck.txt</v>
      </c>
      <c r="AE9" s="145" t="str">
        <f t="shared" si="9"/>
        <v>start /low /b %USERPROFILE%\Documents\GitHub\eaglep3\Utilities\DownloadLogsFromS3.py --loco 4053 --day 2017-10-30</v>
      </c>
    </row>
    <row r="10" spans="1:32" s="1" customFormat="1" x14ac:dyDescent="0.3">
      <c r="A10" s="31">
        <v>43038.835972222223</v>
      </c>
      <c r="B10" s="30" t="s">
        <v>400</v>
      </c>
      <c r="C10" s="30" t="s">
        <v>667</v>
      </c>
      <c r="D10" s="30" t="s">
        <v>49</v>
      </c>
      <c r="E10" s="30" t="s">
        <v>192</v>
      </c>
      <c r="F10" s="42">
        <v>550</v>
      </c>
      <c r="G10" s="42">
        <v>759</v>
      </c>
      <c r="H10" s="42">
        <v>218336</v>
      </c>
      <c r="I10" s="42">
        <v>221725</v>
      </c>
      <c r="J10" s="30" t="s">
        <v>193</v>
      </c>
      <c r="K10" s="42">
        <v>222091</v>
      </c>
      <c r="L10" s="131" t="s">
        <v>50</v>
      </c>
      <c r="M10" s="132">
        <f t="shared" si="0"/>
        <v>193.24799999999999</v>
      </c>
      <c r="N10" s="133" t="str">
        <f>VLOOKUP(C10,'Trips&amp;Operators'!$C$1:$G$99911,5,FALSE)</f>
        <v>ANDREA WILLIAMS</v>
      </c>
      <c r="O10" s="176" t="s">
        <v>178</v>
      </c>
      <c r="P10" s="134"/>
      <c r="Q10" s="30"/>
      <c r="R10" s="81" t="str">
        <f>VLOOKUP(C10,'Train Runs'!$A$13:$AE$10082,31,0)</f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S10" s="84" t="str">
        <f>VLOOKUP(C10,'Train Runs'!$A$13:$AE$10082,22,0)</f>
        <v>https://d0f6bd738d7f1b3e5a7ca70fe4ff75f0.us-east-1.aws.found.io/app/kibana#/discover/Steve-Slow-Train-Analysis-(2080s-and-2083s)?_g=(refreshInterval:(display:Off,pause:!f,section:0,value:0),time:(from:'2017-10-30T18:23:55-0600',mode:absolute,to:'2017-10-30T21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 t="shared" si="1"/>
        <v>"C:\Program Files (x86)\AstroGrep\AstroGrep.exe" /e /r /s /spath="%USERPROFILE%\AppData\Local\Temp\OnboardLogs" /stypes="*4024*201710310*" /stext=" 02:.+((SYSTEM_STATE.+slice.+state.+changed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43039.085972222223</v>
      </c>
      <c r="W10" s="45" t="str">
        <f t="shared" si="4"/>
        <v>EC</v>
      </c>
      <c r="X10" s="22">
        <f t="shared" si="5"/>
        <v>223</v>
      </c>
      <c r="Y10" s="96" t="str">
        <f t="shared" si="6"/>
        <v>echo {"issue":{"subject":"","project_id":79,"tracker_id":40,"status_id":1,"priority_id":2,"assigned_to_id":338,"start_date":"2017-10-30","description":"","custom_fields":[{"id":1,"name":"Subdivision","value":"EC"},{"id":4,"name":"Milepost","value":"22.2091"},{"id":17,"name":"Train ID","value":"223-30"},{"id":16,"name":"Locomotive ID","value":"4024"},{"id":130,"name":"Impact","value":""},{"id":150,"name":"Time of Event (Mountain Time)","value":"20:03:48"},{"id":151,"name":"Denver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/c/Users/stu/AppData/Local/Temp/OnboardLogs/RTDC4024 --include="*4024*201710310*"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"%USERPROFILE%\AppData\Local\Temp\OnboardLogs"\RTDC4024\*4024*201710310* &gt;&gt; 2017-10-30-SliceDisagreementCheck.txt</v>
      </c>
      <c r="AE10" s="145" t="str">
        <f t="shared" si="9"/>
        <v>start /low /b %USERPROFILE%\Documents\GitHub\eaglep3\Utilities\DownloadLogsFromS3.py --loco 4024 --day 2017-10-31</v>
      </c>
    </row>
    <row r="11" spans="1:32" s="1" customFormat="1" x14ac:dyDescent="0.3">
      <c r="A11" s="31">
        <v>43038.267708333333</v>
      </c>
      <c r="B11" s="30" t="s">
        <v>544</v>
      </c>
      <c r="C11" s="30" t="s">
        <v>654</v>
      </c>
      <c r="D11" s="30" t="s">
        <v>95</v>
      </c>
      <c r="E11" s="30" t="s">
        <v>374</v>
      </c>
      <c r="F11" s="42">
        <v>200</v>
      </c>
      <c r="G11" s="42">
        <v>257</v>
      </c>
      <c r="H11" s="42">
        <v>19748</v>
      </c>
      <c r="I11" s="42">
        <v>20390</v>
      </c>
      <c r="J11" s="30" t="s">
        <v>375</v>
      </c>
      <c r="K11" s="42">
        <v>10800</v>
      </c>
      <c r="L11" s="131" t="s">
        <v>50</v>
      </c>
      <c r="M11" s="132">
        <f t="shared" si="0"/>
        <v>-5063.5200000000004</v>
      </c>
      <c r="N11" s="133" t="str">
        <f>VLOOKUP(C11,'Trips&amp;Operators'!$C$1:$G$99911,5,FALSE)</f>
        <v>BARRON PERLA</v>
      </c>
      <c r="O11" s="176" t="s">
        <v>178</v>
      </c>
      <c r="P11" s="134" t="s">
        <v>1137</v>
      </c>
      <c r="Q11" s="30"/>
      <c r="R11" s="81" t="str">
        <f>VLOOKUP(C11,'Train Runs'!$A$13:$AE$10082,31,0)</f>
        <v>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 &amp; aws s3 cp s3://rtdc.mdm.uploadarchive.raw/RTDC4004/ "%USERPROFILE%\AppData\Local\Temp\OnboardLogs"\RTDC4004\2017-10-31 --exclude "*" --recursive --include "*20171031*" &amp; "%USERPROFILE%\Documents\GitHub\mrs-test-scripts\Headless Mode &amp; Sideloading\WalkAndUnGZ.bat" "%USERPROFILE%\AppData\Local\Temp\OnboardLogs"\RTDC4004\2017-10-31</v>
      </c>
      <c r="S11" s="84" t="str">
        <f>VLOOKUP(C11,'Train Runs'!$A$13:$AE$10082,22,0)</f>
        <v>https://d0f6bd738d7f1b3e5a7ca70fe4ff75f0.us-east-1.aws.found.io/app/kibana#/discover/Steve-Slow-Train-Analysis-(2080s-and-2083s)?_g=(refreshInterval:(display:Off,pause:!f,section:0,value:0),time:(from:'2017-10-30T05:23:39-0600',mode:absolute,to:'2017-10-30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86" t="str">
        <f t="shared" si="1"/>
        <v>"C:\Program Files (x86)\AstroGrep\AstroGrep.exe" /e /r /s /spath="%USERPROFILE%\AppData\Local\Temp\OnboardLogs" /stypes="*4004*201710301*"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4004</v>
      </c>
      <c r="V11" s="31">
        <f t="shared" si="3"/>
        <v>43038.517708333333</v>
      </c>
      <c r="W11" s="45" t="str">
        <f t="shared" si="4"/>
        <v>EC</v>
      </c>
      <c r="X11" s="22">
        <f t="shared" si="5"/>
        <v>121</v>
      </c>
      <c r="Y11" s="96" t="str">
        <f t="shared" si="6"/>
        <v>echo {"issue":{"subject":"Restricting Aspect (mid-block init)","project_id":79,"tracker_id":40,"status_id":1,"priority_id":2,"assigned_to_id":338,"start_date":"2017-10-30","description":"","custom_fields":[{"id":1,"name":"Subdivision","value":"EC"},{"id":4,"name":"Milepost","value":"1.08"},{"id":17,"name":"Train ID","value":"121-30"},{"id":16,"name":"Locomotive ID","value":"4004"},{"id":130,"name":"Impact","value":""},{"id":150,"name":"Time of Event (Mountain Time)","value":"06:25:30"},{"id":151,"name":"Denver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/c/Users/stu/AppData/Local/Temp/OnboardLogs/RTDC4004 --include="*4004*201710301*"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"%USERPROFILE%\AppData\Local\Temp\OnboardLogs"\RTDC4004\*4004*201710301* &gt;&gt; 2017-10-30-SliceDisagreementCheck.txt</v>
      </c>
      <c r="AE11" s="145" t="str">
        <f t="shared" si="9"/>
        <v>start /low /b %USERPROFILE%\Documents\GitHub\eaglep3\Utilities\DownloadLogsFromS3.py --loco 4004 --day 2017-10-30</v>
      </c>
    </row>
    <row r="12" spans="1:32" x14ac:dyDescent="0.3">
      <c r="A12" s="31">
        <v>43038.287372685183</v>
      </c>
      <c r="B12" s="30" t="s">
        <v>491</v>
      </c>
      <c r="C12" s="30" t="s">
        <v>655</v>
      </c>
      <c r="D12" s="30" t="s">
        <v>49</v>
      </c>
      <c r="E12" s="30" t="s">
        <v>374</v>
      </c>
      <c r="F12" s="42">
        <v>0</v>
      </c>
      <c r="G12" s="42">
        <v>88</v>
      </c>
      <c r="H12" s="42">
        <v>86384</v>
      </c>
      <c r="I12" s="42">
        <v>86454</v>
      </c>
      <c r="J12" s="30" t="s">
        <v>375</v>
      </c>
      <c r="K12" s="42">
        <v>87889</v>
      </c>
      <c r="L12" s="131" t="s">
        <v>50</v>
      </c>
      <c r="M12" s="132">
        <f t="shared" si="0"/>
        <v>757.68</v>
      </c>
      <c r="N12" s="133" t="str">
        <f>VLOOKUP(C12,'Trips&amp;Operators'!$C$1:$G$99911,5,FALSE)</f>
        <v>MAELZER KURT</v>
      </c>
      <c r="O12" s="176" t="s">
        <v>361</v>
      </c>
      <c r="P12" s="134" t="s">
        <v>376</v>
      </c>
      <c r="Q12" s="30"/>
      <c r="R12" s="81" t="str">
        <f>VLOOKUP(C12,'Train Runs'!$A$13:$AE$10082,31,0)</f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S12" s="84" t="str">
        <f>VLOOKUP(C12,'Train Runs'!$A$13:$AE$10082,22,0)</f>
        <v>https://d0f6bd738d7f1b3e5a7ca70fe4ff75f0.us-east-1.aws.found.io/app/kibana#/discover/Steve-Slow-Train-Analysis-(2080s-and-2083s)?_g=(refreshInterval:(display:Off,pause:!f,section:0,value:0),time:(from:'2017-10-30T05:23:44-0600',mode:absolute,to:'2017-10-30T08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86" t="str">
        <f t="shared" si="1"/>
        <v>"C:\Program Files (x86)\AstroGrep\AstroGrep.exe" /e /r /s /spath="%USERPROFILE%\AppData\Local\Temp\OnboardLogs" /stypes="*4042*201710301*" /stext=" 12:.+((SYSTEM_STATE.+slice.+state.+changed )|(ment ac)|(multiple cpu faults)|(system.+state.+changed )|(\[timeout)|(PRM\|1\|D)|(kpr)|(kdp)|(train st.+moving)|(\|lc)|(penalty))"</v>
      </c>
      <c r="U12" s="9" t="str">
        <f t="shared" si="2"/>
        <v>4042</v>
      </c>
      <c r="V12" s="31">
        <f t="shared" si="3"/>
        <v>43038.537372685183</v>
      </c>
      <c r="W12" s="45" t="str">
        <f t="shared" si="4"/>
        <v>EC</v>
      </c>
      <c r="X12" s="22">
        <f t="shared" si="5"/>
        <v>123</v>
      </c>
      <c r="Y12" s="96" t="str">
        <f t="shared" si="6"/>
        <v>echo {"issue":{"subject":"Wi-MAX data drop","project_id":79,"tracker_id":40,"status_id":1,"priority_id":2,"assigned_to_id":338,"start_date":"2017-10-30","description":"","custom_fields":[{"id":1,"name":"Subdivision","value":"EC"},{"id":4,"name":"Milepost","value":"8.7889"},{"id":17,"name":"Train ID","value":"123-30"},{"id":16,"name":"Locomotive ID","value":"4042"},{"id":130,"name":"Impact","value":""},{"id":150,"name":"Time of Event (Mountain Time)","value":"06:53:49"},{"id":151,"name":"Denver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/c/Users/stu/AppData/Local/Temp/OnboardLogs/RTDC4042 --include="*4042*201710301*"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"%USERPROFILE%\AppData\Local\Temp\OnboardLogs"\RTDC4042\*4042*201710301* &gt;&gt; 2017-10-30-SliceDisagreementCheck.txt</v>
      </c>
      <c r="AE12" s="145" t="str">
        <f t="shared" si="9"/>
        <v>start /low /b %USERPROFILE%\Documents\GitHub\eaglep3\Utilities\DownloadLogsFromS3.py --loco 4042 --day 2017-10-30</v>
      </c>
      <c r="AF12" s="1"/>
    </row>
    <row r="13" spans="1:32" x14ac:dyDescent="0.3">
      <c r="A13" s="31">
        <v>43038.296747685185</v>
      </c>
      <c r="B13" s="30" t="s">
        <v>491</v>
      </c>
      <c r="C13" s="30" t="s">
        <v>655</v>
      </c>
      <c r="D13" s="30" t="s">
        <v>49</v>
      </c>
      <c r="E13" s="30" t="s">
        <v>374</v>
      </c>
      <c r="F13" s="42">
        <v>0</v>
      </c>
      <c r="G13" s="42">
        <v>588</v>
      </c>
      <c r="H13" s="42">
        <v>132235</v>
      </c>
      <c r="I13" s="42">
        <v>134891</v>
      </c>
      <c r="J13" s="30" t="s">
        <v>375</v>
      </c>
      <c r="K13" s="42">
        <v>133155</v>
      </c>
      <c r="L13" s="131" t="s">
        <v>50</v>
      </c>
      <c r="M13" s="132">
        <f t="shared" si="0"/>
        <v>-916.60799999999995</v>
      </c>
      <c r="N13" s="133" t="str">
        <f>VLOOKUP(C13,'Trips&amp;Operators'!$C$1:$G$99911,5,FALSE)</f>
        <v>MAELZER KURT</v>
      </c>
      <c r="O13" s="176" t="s">
        <v>361</v>
      </c>
      <c r="P13" s="134" t="s">
        <v>376</v>
      </c>
      <c r="Q13" s="30"/>
      <c r="R13" s="81" t="str">
        <f>VLOOKUP(C13,'Train Runs'!$A$13:$AE$10082,31,0)</f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S13" s="84" t="str">
        <f>VLOOKUP(C13,'Train Runs'!$A$13:$AE$10082,22,0)</f>
        <v>https://d0f6bd738d7f1b3e5a7ca70fe4ff75f0.us-east-1.aws.found.io/app/kibana#/discover/Steve-Slow-Train-Analysis-(2080s-and-2083s)?_g=(refreshInterval:(display:Off,pause:!f,section:0,value:0),time:(from:'2017-10-30T05:23:44-0600',mode:absolute,to:'2017-10-30T08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 t="shared" si="1"/>
        <v>"C:\Program Files (x86)\AstroGrep\AstroGrep.exe" /e /r /s /spath="%USERPROFILE%\AppData\Local\Temp\OnboardLogs" /stypes="*4042*201710301*"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4042</v>
      </c>
      <c r="V13" s="31">
        <f t="shared" si="3"/>
        <v>43038.546747685185</v>
      </c>
      <c r="W13" s="45" t="str">
        <f t="shared" si="4"/>
        <v>EC</v>
      </c>
      <c r="X13" s="22">
        <f t="shared" si="5"/>
        <v>123</v>
      </c>
      <c r="Y13" s="96" t="str">
        <f t="shared" si="6"/>
        <v>echo {"issue":{"subject":"Wi-MAX data drop","project_id":79,"tracker_id":40,"status_id":1,"priority_id":2,"assigned_to_id":338,"start_date":"2017-10-30","description":"","custom_fields":[{"id":1,"name":"Subdivision","value":"EC"},{"id":4,"name":"Milepost","value":"13.3155"},{"id":17,"name":"Train ID","value":"123-30"},{"id":16,"name":"Locomotive ID","value":"4042"},{"id":130,"name":"Impact","value":""},{"id":150,"name":"Time of Event (Mountain Time)","value":"07:07:19"},{"id":151,"name":"Denver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/c/Users/stu/AppData/Local/Temp/OnboardLogs/RTDC4042 --include="*4042*201710301*"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"%USERPROFILE%\AppData\Local\Temp\OnboardLogs"\RTDC4042\*4042*201710301* &gt;&gt; 2017-10-30-SliceDisagreementCheck.txt</v>
      </c>
      <c r="AE13" s="145" t="str">
        <f t="shared" si="9"/>
        <v>start /low /b %USERPROFILE%\Documents\GitHub\eaglep3\Utilities\DownloadLogsFromS3.py --loco 4042 --day 2017-10-30</v>
      </c>
      <c r="AF13" s="1"/>
    </row>
    <row r="14" spans="1:32" x14ac:dyDescent="0.3">
      <c r="A14" s="31">
        <v>43038.303449074076</v>
      </c>
      <c r="B14" s="30" t="s">
        <v>491</v>
      </c>
      <c r="C14" s="30" t="s">
        <v>655</v>
      </c>
      <c r="D14" s="30" t="s">
        <v>49</v>
      </c>
      <c r="E14" s="30" t="s">
        <v>374</v>
      </c>
      <c r="F14" s="42">
        <v>0</v>
      </c>
      <c r="G14" s="42">
        <v>527</v>
      </c>
      <c r="H14" s="42">
        <v>193718</v>
      </c>
      <c r="I14" s="42">
        <v>195790</v>
      </c>
      <c r="J14" s="30" t="s">
        <v>375</v>
      </c>
      <c r="K14" s="42">
        <v>198242</v>
      </c>
      <c r="L14" s="131" t="s">
        <v>50</v>
      </c>
      <c r="M14" s="132">
        <f t="shared" si="0"/>
        <v>1294.6559999999999</v>
      </c>
      <c r="N14" s="133" t="str">
        <f>VLOOKUP(C14,'Trips&amp;Operators'!$C$1:$G$99911,5,FALSE)</f>
        <v>MAELZER KURT</v>
      </c>
      <c r="O14" s="176" t="s">
        <v>361</v>
      </c>
      <c r="P14" s="134" t="s">
        <v>376</v>
      </c>
      <c r="Q14" s="30"/>
      <c r="R14" s="81" t="str">
        <f>VLOOKUP(C14,'Train Runs'!$A$13:$AE$10082,31,0)</f>
        <v>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 &amp; aws s3 cp s3://rtdc.mdm.uploadarchive.raw/RTDC4042/ "%USERPROFILE%\AppData\Local\Temp\OnboardLogs"\RTDC4042\2017-10-31 --exclude "*" --recursive --include "*20171031*" &amp; "%USERPROFILE%\Documents\GitHub\mrs-test-scripts\Headless Mode &amp; Sideloading\WalkAndUnGZ.bat" "%USERPROFILE%\AppData\Local\Temp\OnboardLogs"\RTDC4042\2017-10-31</v>
      </c>
      <c r="S14" s="84" t="str">
        <f>VLOOKUP(C14,'Train Runs'!$A$13:$AE$10082,22,0)</f>
        <v>https://d0f6bd738d7f1b3e5a7ca70fe4ff75f0.us-east-1.aws.found.io/app/kibana#/discover/Steve-Slow-Train-Analysis-(2080s-and-2083s)?_g=(refreshInterval:(display:Off,pause:!f,section:0,value:0),time:(from:'2017-10-30T05:23:44-0600',mode:absolute,to:'2017-10-30T08:16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4" s="86" t="str">
        <f t="shared" si="1"/>
        <v>"C:\Program Files (x86)\AstroGrep\AstroGrep.exe" /e /r /s /spath="%USERPROFILE%\AppData\Local\Temp\OnboardLogs" /stypes="*4042*201710301*"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4042</v>
      </c>
      <c r="V14" s="31">
        <f t="shared" si="3"/>
        <v>43038.553449074076</v>
      </c>
      <c r="W14" s="45" t="str">
        <f t="shared" si="4"/>
        <v>EC</v>
      </c>
      <c r="X14" s="22">
        <f t="shared" si="5"/>
        <v>123</v>
      </c>
      <c r="Y14" s="96" t="str">
        <f t="shared" si="6"/>
        <v>echo {"issue":{"subject":"Wi-MAX data drop","project_id":79,"tracker_id":40,"status_id":1,"priority_id":2,"assigned_to_id":338,"start_date":"2017-10-30","description":"","custom_fields":[{"id":1,"name":"Subdivision","value":"EC"},{"id":4,"name":"Milepost","value":"19.8242"},{"id":17,"name":"Train ID","value":"123-30"},{"id":16,"name":"Locomotive ID","value":"4042"},{"id":130,"name":"Impact","value":""},{"id":150,"name":"Time of Event (Mountain Time)","value":"07:16:58"},{"id":151,"name":"Denver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/c/Users/stu/AppData/Local/Temp/OnboardLogs/RTDC4042 --include="*4042*201710301*"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"%USERPROFILE%\AppData\Local\Temp\OnboardLogs"\RTDC4042\*4042*201710301* &gt;&gt; 2017-10-30-SliceDisagreementCheck.txt</v>
      </c>
      <c r="AE14" s="145" t="str">
        <f t="shared" si="9"/>
        <v>start /low /b %USERPROFILE%\Documents\GitHub\eaglep3\Utilities\DownloadLogsFromS3.py --loco 4042 --day 2017-10-30</v>
      </c>
      <c r="AF14" s="1"/>
    </row>
    <row r="15" spans="1:32" x14ac:dyDescent="0.3">
      <c r="A15" s="31">
        <v>43038.254918981482</v>
      </c>
      <c r="B15" s="30" t="s">
        <v>400</v>
      </c>
      <c r="C15" s="30" t="s">
        <v>652</v>
      </c>
      <c r="D15" s="30" t="s">
        <v>49</v>
      </c>
      <c r="E15" s="30" t="s">
        <v>179</v>
      </c>
      <c r="F15" s="42">
        <v>0</v>
      </c>
      <c r="G15" s="42">
        <v>85</v>
      </c>
      <c r="H15" s="42">
        <v>233145</v>
      </c>
      <c r="I15" s="42">
        <v>233247</v>
      </c>
      <c r="J15" s="30" t="s">
        <v>180</v>
      </c>
      <c r="K15" s="42">
        <v>233491</v>
      </c>
      <c r="L15" s="131" t="s">
        <v>50</v>
      </c>
      <c r="M15" s="132">
        <f t="shared" si="0"/>
        <v>128.83199999999999</v>
      </c>
      <c r="N15" s="133" t="str">
        <f>VLOOKUP(C15,'Trips&amp;Operators'!$C$1:$G$99911,5,FALSE)</f>
        <v>BONDS REYNALDO</v>
      </c>
      <c r="O15" s="176" t="s">
        <v>178</v>
      </c>
      <c r="P15" s="134"/>
      <c r="Q15" s="30"/>
      <c r="R15" s="81" t="str">
        <f>VLOOKUP(C15,'Train Runs'!$A$13:$AE$10082,31,0)</f>
        <v>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 &amp; aws s3 cp s3://rtdc.mdm.uploadarchive.raw/RTDC4024/ "%USERPROFILE%\AppData\Local\Temp\OnboardLogs"\RTDC4024\2017-10-31 --exclude "*" --recursive --include "*20171031*" &amp; "%USERPROFILE%\Documents\GitHub\mrs-test-scripts\Headless Mode &amp; Sideloading\WalkAndUnGZ.bat" "%USERPROFILE%\AppData\Local\Temp\OnboardLogs"\RTDC4024\2017-10-31</v>
      </c>
      <c r="S15" s="84" t="str">
        <f>VLOOKUP(C15,'Train Runs'!$A$13:$AE$10082,22,0)</f>
        <v>https://d0f6bd738d7f1b3e5a7ca70fe4ff75f0.us-east-1.aws.found.io/app/kibana#/discover/Steve-Slow-Train-Analysis-(2080s-and-2083s)?_g=(refreshInterval:(display:Off,pause:!f,section:0,value:0),time:(from:'2017-10-30T04:24:03-0600',mode:absolute,to:'2017-10-30T07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5" s="86" t="str">
        <f t="shared" si="1"/>
        <v>"C:\Program Files (x86)\AstroGrep\AstroGrep.exe" /e /r /s /spath="%USERPROFILE%\AppData\Local\Temp\OnboardLogs" /stypes="*4024*201710301*"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4024</v>
      </c>
      <c r="V15" s="31">
        <f t="shared" si="3"/>
        <v>43038.504918981482</v>
      </c>
      <c r="W15" s="45" t="str">
        <f t="shared" si="4"/>
        <v>EC</v>
      </c>
      <c r="X15" s="22">
        <f t="shared" si="5"/>
        <v>115</v>
      </c>
      <c r="Y15" s="96" t="str">
        <f t="shared" si="6"/>
        <v>echo {"issue":{"subject":"","project_id":79,"tracker_id":40,"status_id":1,"priority_id":2,"assigned_to_id":338,"start_date":"2017-10-30","description":"","custom_fields":[{"id":1,"name":"Subdivision","value":"EC"},{"id":4,"name":"Milepost","value":"23.3491"},{"id":17,"name":"Train ID","value":"115-30"},{"id":16,"name":"Locomotive ID","value":"4024"},{"id":130,"name":"Impact","value":""},{"id":150,"name":"Time of Event (Mountain Time)","value":"06:07:05"},{"id":151,"name":"Denver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/c/Users/stu/AppData/Local/Temp/OnboardLogs/RTDC4024 --include="*4024*201710301*"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"%USERPROFILE%\AppData\Local\Temp\OnboardLogs"\RTDC4024\*4024*201710301* &gt;&gt; 2017-10-30-SliceDisagreementCheck.txt</v>
      </c>
      <c r="AE15" s="145" t="str">
        <f t="shared" si="9"/>
        <v>start /low /b %USERPROFILE%\Documents\GitHub\eaglep3\Utilities\DownloadLogsFromS3.py --loco 4024 --day 2017-10-30</v>
      </c>
      <c r="AF15" s="1"/>
    </row>
    <row r="16" spans="1:32" x14ac:dyDescent="0.3">
      <c r="A16" s="31">
        <v>43038.302233796298</v>
      </c>
      <c r="B16" s="30" t="s">
        <v>469</v>
      </c>
      <c r="C16" s="30" t="s">
        <v>656</v>
      </c>
      <c r="D16" s="30" t="s">
        <v>49</v>
      </c>
      <c r="E16" s="30" t="s">
        <v>192</v>
      </c>
      <c r="F16" s="42">
        <v>300</v>
      </c>
      <c r="G16" s="42">
        <v>355</v>
      </c>
      <c r="H16" s="42">
        <v>20708</v>
      </c>
      <c r="I16" s="42">
        <v>21878</v>
      </c>
      <c r="J16" s="30" t="s">
        <v>193</v>
      </c>
      <c r="K16" s="42">
        <v>21299</v>
      </c>
      <c r="L16" s="131" t="s">
        <v>50</v>
      </c>
      <c r="M16" s="132">
        <f t="shared" si="0"/>
        <v>-305.71199999999999</v>
      </c>
      <c r="N16" s="133" t="str">
        <f>VLOOKUP(C16,'Trips&amp;Operators'!$C$1:$G$99911,5,FALSE)</f>
        <v>YANAI IAN</v>
      </c>
      <c r="O16" s="176" t="s">
        <v>178</v>
      </c>
      <c r="P16" s="134"/>
      <c r="Q16" s="30"/>
      <c r="R16" s="81" t="str">
        <f>VLOOKUP(C16,'Train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16" s="84" t="str">
        <f>VLOOKUP(C16,'Train Runs'!$A$13:$AE$10082,22,0)</f>
        <v>https://d0f6bd738d7f1b3e5a7ca70fe4ff75f0.us-east-1.aws.found.io/app/kibana#/discover/Steve-Slow-Train-Analysis-(2080s-and-2083s)?_g=(refreshInterval:(display:Off,pause:!f,section:0,value:0),time:(from:'2017-10-30T06:02:11-0600',mode:absolute,to:'2017-10-30T08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6" s="86" t="str">
        <f t="shared" si="1"/>
        <v>"C:\Program Files (x86)\AstroGrep\AstroGrep.exe" /e /r /s /spath="%USERPROFILE%\AppData\Local\Temp\OnboardLogs" /stypes="*4036*201710301*"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4036</v>
      </c>
      <c r="V16" s="31">
        <f t="shared" si="3"/>
        <v>43038.552233796298</v>
      </c>
      <c r="W16" s="45" t="str">
        <f t="shared" si="4"/>
        <v>NW</v>
      </c>
      <c r="X16" s="22">
        <f t="shared" si="5"/>
        <v>807</v>
      </c>
      <c r="Y16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{"issue":{"subject":"","project_id":79,"tracker_id":40,"status_id":1,"priority_id":2,"assigned_to_id":338,"start_date":"2017-10-30","description":"","custom_fields":[{"id":1,"name":"Subdivision","value":"NW"},{"id":4,"name":"Milepost","value":"2.1299"},{"id":17,"name":"Train ID","value":"807-30"},{"id":16,"name":"Locomotive ID","value":"4036"},{"id":130,"name":"Impact","value":""},{"id":150,"name":"Time of Event (Mountain Time)","value":"07:15:13"},{"id":151,"name":"Denver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/c/Users/stu/AppData/Local/Temp/OnboardLogs/RTDC4036 --include="*4036*201710301*"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"%USERPROFILE%\AppData\Local\Temp\OnboardLogs"\RTDC4036\*4036*201710301* &gt;&gt; 2017-10-30-SliceDisagreementCheck.txt</v>
      </c>
      <c r="AE16" s="145" t="str">
        <f t="shared" si="9"/>
        <v>start /low /b %USERPROFILE%\Documents\GitHub\eaglep3\Utilities\DownloadLogsFromS3.py --loco 4036 --day 2017-10-30</v>
      </c>
      <c r="AF16" s="1"/>
    </row>
    <row r="17" spans="1:32" x14ac:dyDescent="0.3">
      <c r="A17" s="31">
        <v>43038.597800925927</v>
      </c>
      <c r="B17" s="30" t="s">
        <v>469</v>
      </c>
      <c r="C17" s="30" t="s">
        <v>659</v>
      </c>
      <c r="D17" s="30" t="s">
        <v>49</v>
      </c>
      <c r="E17" s="30" t="s">
        <v>192</v>
      </c>
      <c r="F17" s="42">
        <v>150</v>
      </c>
      <c r="G17" s="42">
        <v>323</v>
      </c>
      <c r="H17" s="42">
        <v>55290</v>
      </c>
      <c r="I17" s="42">
        <v>56002</v>
      </c>
      <c r="J17" s="30" t="s">
        <v>193</v>
      </c>
      <c r="K17" s="42">
        <v>57008</v>
      </c>
      <c r="L17" s="131" t="s">
        <v>50</v>
      </c>
      <c r="M17" s="132">
        <f t="shared" si="0"/>
        <v>531.16800000000001</v>
      </c>
      <c r="N17" s="133" t="str">
        <f>VLOOKUP(C17,'Trips&amp;Operators'!$C$1:$G$99911,5,FALSE)</f>
        <v>KILLION DAVID</v>
      </c>
      <c r="O17" s="176" t="s">
        <v>178</v>
      </c>
      <c r="P17" s="134"/>
      <c r="Q17" s="30"/>
      <c r="R17" s="81" t="str">
        <f>VLOOKUP(C17,'Train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17" s="84" t="str">
        <f>VLOOKUP(C17,'Train Runs'!$A$13:$AE$10082,22,0)</f>
        <v>https://d0f6bd738d7f1b3e5a7ca70fe4ff75f0.us-east-1.aws.found.io/app/kibana#/discover/Steve-Slow-Train-Analysis-(2080s-and-2083s)?_g=(refreshInterval:(display:Off,pause:!f,section:0,value:0),time:(from:'2017-10-30T12:25:54-0600',mode:absolute,to:'2017-10-30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7" s="86" t="str">
        <f t="shared" si="1"/>
        <v>"C:\Program Files (x86)\AstroGrep\AstroGrep.exe" /e /r /s /spath="%USERPROFILE%\AppData\Local\Temp\OnboardLogs" /stypes="*4036*201710302*"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4036</v>
      </c>
      <c r="V17" s="31">
        <f t="shared" si="3"/>
        <v>43038.847800925927</v>
      </c>
      <c r="W17" s="45" t="str">
        <f t="shared" si="4"/>
        <v>NW</v>
      </c>
      <c r="X17" s="22">
        <f t="shared" si="5"/>
        <v>823</v>
      </c>
      <c r="Y17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{"issue":{"subject":"","project_id":79,"tracker_id":40,"status_id":1,"priority_id":2,"assigned_to_id":338,"start_date":"2017-10-30","description":"","custom_fields":[{"id":1,"name":"Subdivision","value":"NW"},{"id":4,"name":"Milepost","value":"5.7008"},{"id":17,"name":"Train ID","value":"823-30"},{"id":16,"name":"Locomotive ID","value":"4036"},{"id":130,"name":"Impact","value":""},{"id":150,"name":"Time of Event (Mountain Time)","value":"14:20:50"},{"id":151,"name":"Denver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/c/Users/stu/AppData/Local/Temp/OnboardLogs/RTDC4036 --include="*4036*201710302*"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"%USERPROFILE%\AppData\Local\Temp\OnboardLogs"\RTDC4036\*4036*201710302* &gt;&gt; 2017-10-30-SliceDisagreementCheck.txt</v>
      </c>
      <c r="AE17" s="145" t="str">
        <f t="shared" si="9"/>
        <v>start /low /b %USERPROFILE%\Documents\GitHub\eaglep3\Utilities\DownloadLogsFromS3.py --loco 4036 --day 2017-10-30</v>
      </c>
      <c r="AF17" s="1"/>
    </row>
    <row r="18" spans="1:32" x14ac:dyDescent="0.3">
      <c r="A18" s="31">
        <v>43038.972453703704</v>
      </c>
      <c r="B18" s="30" t="s">
        <v>469</v>
      </c>
      <c r="C18" s="30" t="s">
        <v>670</v>
      </c>
      <c r="D18" s="30" t="s">
        <v>49</v>
      </c>
      <c r="E18" s="30" t="s">
        <v>192</v>
      </c>
      <c r="F18" s="42">
        <v>150</v>
      </c>
      <c r="G18" s="42">
        <v>317</v>
      </c>
      <c r="H18" s="42">
        <v>55742</v>
      </c>
      <c r="I18" s="42">
        <v>56340</v>
      </c>
      <c r="J18" s="30" t="s">
        <v>193</v>
      </c>
      <c r="K18" s="42">
        <v>57008</v>
      </c>
      <c r="L18" s="131" t="s">
        <v>50</v>
      </c>
      <c r="M18" s="132">
        <f t="shared" si="0"/>
        <v>352.70400000000001</v>
      </c>
      <c r="N18" s="133" t="str">
        <f>VLOOKUP(C18,'Trips&amp;Operators'!$C$1:$G$99911,5,FALSE)</f>
        <v>MAGEE KENYA</v>
      </c>
      <c r="O18" s="176" t="s">
        <v>178</v>
      </c>
      <c r="P18" s="134"/>
      <c r="Q18" s="30"/>
      <c r="R18" s="81" t="str">
        <f>VLOOKUP(C18,'Train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18" s="84" t="str">
        <f>VLOOKUP(C18,'Train Runs'!$A$13:$AE$10082,22,0)</f>
        <v>https://d0f6bd738d7f1b3e5a7ca70fe4ff75f0.us-east-1.aws.found.io/app/kibana#/discover/Steve-Slow-Train-Analysis-(2080s-and-2083s)?_g=(refreshInterval:(display:Off,pause:!f,section:0,value:0),time:(from:'2017-10-30T21:58:35-0600',mode:absolute,to:'2017-10-31T00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8" s="86" t="str">
        <f t="shared" si="1"/>
        <v>"C:\Program Files (x86)\AstroGrep\AstroGrep.exe" /e /r /s /spath="%USERPROFILE%\AppData\Local\Temp\OnboardLogs" /stypes="*4036*201710310*" /stext=" 05:.+((SYSTEM_STATE.+slice.+state.+changed )|(ment ac)|(multiple cpu faults)|(system.+state.+changed )|(\[timeout)|(PRM\|1\|D)|(kpr)|(kdp)|(train st.+moving)|(\|lc)|(penalty))"</v>
      </c>
      <c r="U18" s="9" t="str">
        <f t="shared" si="2"/>
        <v>4036</v>
      </c>
      <c r="V18" s="31">
        <f t="shared" si="3"/>
        <v>43039.222453703704</v>
      </c>
      <c r="W18" s="45" t="str">
        <f t="shared" si="4"/>
        <v>NW</v>
      </c>
      <c r="X18" s="22">
        <f t="shared" si="5"/>
        <v>849</v>
      </c>
      <c r="Y18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{"issue":{"subject":"","project_id":79,"tracker_id":40,"status_id":1,"priority_id":2,"assigned_to_id":338,"start_date":"2017-10-30","description":"","custom_fields":[{"id":1,"name":"Subdivision","value":"NW"},{"id":4,"name":"Milepost","value":"5.7008"},{"id":17,"name":"Train ID","value":"849-30"},{"id":16,"name":"Locomotive ID","value":"4036"},{"id":130,"name":"Impact","value":""},{"id":150,"name":"Time of Event (Mountain Time)","value":"23:20:20"},{"id":151,"name":"Denver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/c/Users/stu/AppData/Local/Temp/OnboardLogs/RTDC4036 --include="*4036*201710310*"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"%USERPROFILE%\AppData\Local\Temp\OnboardLogs"\RTDC4036\*4036*201710310* &gt;&gt; 2017-10-30-SliceDisagreementCheck.txt</v>
      </c>
      <c r="AE18" s="145" t="str">
        <f t="shared" si="9"/>
        <v>start /low /b %USERPROFILE%\Documents\GitHub\eaglep3\Utilities\DownloadLogsFromS3.py --loco 4036 --day 2017-10-31</v>
      </c>
      <c r="AF18" s="1"/>
    </row>
    <row r="19" spans="1:32" x14ac:dyDescent="0.3">
      <c r="A19" s="31">
        <v>43038.946875000001</v>
      </c>
      <c r="B19" s="30" t="s">
        <v>470</v>
      </c>
      <c r="C19" s="30" t="s">
        <v>669</v>
      </c>
      <c r="D19" s="30" t="s">
        <v>95</v>
      </c>
      <c r="E19" s="30" t="s">
        <v>192</v>
      </c>
      <c r="F19" s="42">
        <v>150</v>
      </c>
      <c r="G19" s="42">
        <v>209</v>
      </c>
      <c r="H19" s="42">
        <v>56798</v>
      </c>
      <c r="I19" s="42">
        <v>56329</v>
      </c>
      <c r="J19" s="30" t="s">
        <v>193</v>
      </c>
      <c r="K19" s="42">
        <v>59050</v>
      </c>
      <c r="L19" s="131" t="s">
        <v>51</v>
      </c>
      <c r="M19" s="132">
        <f t="shared" si="0"/>
        <v>-1436.6880000000001</v>
      </c>
      <c r="N19" s="133" t="str">
        <f>VLOOKUP(C19,'Trips&amp;Operators'!$C$1:$G$99911,5,FALSE)</f>
        <v>MAGEE KENYA</v>
      </c>
      <c r="O19" s="176" t="s">
        <v>178</v>
      </c>
      <c r="P19" s="134"/>
      <c r="Q19" s="30"/>
      <c r="R19" s="81" t="str">
        <f>VLOOKUP(C19,'Train Runs'!$A$13:$AE$10082,31,0)</f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S19" s="84" t="str">
        <f>VLOOKUP(C19,'Train Runs'!$A$13:$AE$10082,22,0)</f>
        <v>https://d0f6bd738d7f1b3e5a7ca70fe4ff75f0.us-east-1.aws.found.io/app/kibana#/discover/Steve-Slow-Train-Analysis-(2080s-and-2083s)?_g=(refreshInterval:(display:Off,pause:!f,section:0,value:0),time:(from:'2017-10-30T21:28:15-0600',mode:absolute,to:'2017-10-30T23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9" s="86" t="str">
        <f t="shared" si="1"/>
        <v>"C:\Program Files (x86)\AstroGrep\AstroGrep.exe" /e /r /s /spath="%USERPROFILE%\AppData\Local\Temp\OnboardLogs" /stypes="*4035*201710310*" /stext=" 04:.+((SYSTEM_STATE.+slice.+state.+changed )|(ment ac)|(multiple cpu faults)|(system.+state.+changed )|(\[timeout)|(PRM\|1\|D)|(kpr)|(kdp)|(train st.+moving)|(\|lc)|(penalty))"</v>
      </c>
      <c r="U19" s="9" t="str">
        <f t="shared" si="2"/>
        <v>4035</v>
      </c>
      <c r="V19" s="31">
        <f t="shared" si="3"/>
        <v>43039.196875000001</v>
      </c>
      <c r="W19" s="45" t="str">
        <f t="shared" si="4"/>
        <v>NW</v>
      </c>
      <c r="X19" s="22">
        <f t="shared" si="5"/>
        <v>846</v>
      </c>
      <c r="Y19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{"issue":{"subject":"","project_id":79,"tracker_id":40,"status_id":1,"priority_id":2,"assigned_to_id":338,"start_date":"2017-10-30","description":"","custom_fields":[{"id":1,"name":"Subdivision","value":"NW"},{"id":4,"name":"Milepost","value":"5.905"},{"id":17,"name":"Train ID","value":"846-30"},{"id":16,"name":"Locomotive ID","value":"4035"},{"id":130,"name":"Impact","value":""},{"id":150,"name":"Time of Event (Mountain Time)","value":"22:43:30"},{"id":151,"name":"Denver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/c/Users/stu/AppData/Local/Temp/OnboardLogs/RTDC4035 --include="*4035*201710310*"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"%USERPROFILE%\AppData\Local\Temp\OnboardLogs"\RTDC4035\*4035*201710310* &gt;&gt; 2017-10-30-SliceDisagreementCheck.txt</v>
      </c>
      <c r="AE19" s="145" t="str">
        <f t="shared" si="9"/>
        <v>start /low /b %USERPROFILE%\Documents\GitHub\eaglep3\Utilities\DownloadLogsFromS3.py --loco 4035 --day 2017-10-31</v>
      </c>
      <c r="AF19" s="1"/>
    </row>
    <row r="20" spans="1:32" x14ac:dyDescent="0.3">
      <c r="A20" s="31">
        <v>43038.825358796297</v>
      </c>
      <c r="B20" s="30" t="s">
        <v>470</v>
      </c>
      <c r="C20" s="30" t="s">
        <v>666</v>
      </c>
      <c r="D20" s="30" t="s">
        <v>49</v>
      </c>
      <c r="E20" s="30" t="s">
        <v>374</v>
      </c>
      <c r="F20" s="42">
        <v>0</v>
      </c>
      <c r="G20" s="42">
        <v>252</v>
      </c>
      <c r="H20" s="42">
        <v>25401</v>
      </c>
      <c r="I20" s="42">
        <v>24833</v>
      </c>
      <c r="J20" s="30" t="s">
        <v>375</v>
      </c>
      <c r="K20" s="42">
        <v>24193</v>
      </c>
      <c r="L20" s="131" t="s">
        <v>51</v>
      </c>
      <c r="M20" s="132">
        <f t="shared" si="0"/>
        <v>337.92</v>
      </c>
      <c r="N20" s="133" t="str">
        <f>VLOOKUP(C20,'Trips&amp;Operators'!$C$1:$G$99911,5,FALSE)</f>
        <v>KILLION DAVID</v>
      </c>
      <c r="O20" s="176" t="s">
        <v>361</v>
      </c>
      <c r="P20" s="134" t="s">
        <v>376</v>
      </c>
      <c r="Q20" s="30"/>
      <c r="R20" s="81" t="str">
        <f>VLOOKUP(C20,'Train Runs'!$A$13:$AE$10082,31,0)</f>
        <v>aws s3 cp s3://rtdc.mdm.uploadarchive.raw/RTDC4035/ "%USERPROFILE%\AppData\Local\Temp\OnboardLogs"\RTDC4035\2017-10-30 --exclude "*" --recursive --include "*20171030*" &amp; "%USERPROFILE%\Documents\GitHub\mrs-test-scripts\Headless Mode &amp; Sideloading\WalkAndUnGZ.bat" "%USERPROFILE%\AppData\Local\Temp\OnboardLogs"\RTDC4035\2017-10-30 &amp; aws s3 cp s3://rtdc.mdm.uploadarchive.raw/RTDC4035/ "%USERPROFILE%\AppData\Local\Temp\OnboardLogs"\RTDC4035\2017-10-31 --exclude "*" --recursive --include "*20171031*" &amp; "%USERPROFILE%\Documents\GitHub\mrs-test-scripts\Headless Mode &amp; Sideloading\WalkAndUnGZ.bat" "%USERPROFILE%\AppData\Local\Temp\OnboardLogs"\RTDC4035\2017-10-31</v>
      </c>
      <c r="S20" s="84" t="str">
        <f>VLOOKUP(C20,'Train Runs'!$A$13:$AE$10082,22,0)</f>
        <v>https://d0f6bd738d7f1b3e5a7ca70fe4ff75f0.us-east-1.aws.found.io/app/kibana#/discover/Steve-Slow-Train-Analysis-(2080s-and-2083s)?_g=(refreshInterval:(display:Off,pause:!f,section:0,value:0),time:(from:'2017-10-30T17:33:56-0600',mode:absolute,to:'2017-10-30T20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0" s="86" t="str">
        <f t="shared" si="1"/>
        <v>"C:\Program Files (x86)\AstroGrep\AstroGrep.exe" /e /r /s /spath="%USERPROFILE%\AppData\Local\Temp\OnboardLogs" /stypes="*4035*201710310*"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4035</v>
      </c>
      <c r="V20" s="31">
        <f t="shared" si="3"/>
        <v>43039.075358796297</v>
      </c>
      <c r="W20" s="45" t="str">
        <f t="shared" si="4"/>
        <v>NW</v>
      </c>
      <c r="X20" s="22">
        <f t="shared" si="5"/>
        <v>840</v>
      </c>
      <c r="Y20" s="96" t="str">
        <f t="shared" si="6"/>
        <v>echo {"issue":{"subject":"Wi-MAX data drop","project_id":79,"tracker_id":40,"status_id":1,"priority_id":2,"assigned_to_id":338,"start_date":"2017-10-30","description":"","custom_fields":[{"id":1,"name":"Subdivision","value":"NW"},{"id":4,"name":"Milepost","value":"2.4193"},{"id":17,"name":"Train ID","value":"840-30"},{"id":16,"name":"Locomotive ID","value":"4035"},{"id":130,"name":"Impact","value":""},{"id":150,"name":"Time of Event (Mountain Time)","value":"19:48:31"},{"id":151,"name":"Denver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/c/Users/stu/AppData/Local/Temp/OnboardLogs/RTDC4035 --include="*4035*201710310*"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"%USERPROFILE%\AppData\Local\Temp\OnboardLogs"\RTDC4035\*4035*201710310* &gt;&gt; 2017-10-30-SliceDisagreementCheck.txt</v>
      </c>
      <c r="AE20" s="145" t="str">
        <f t="shared" si="9"/>
        <v>start /low /b %USERPROFILE%\Documents\GitHub\eaglep3\Utilities\DownloadLogsFromS3.py --loco 4035 --day 2017-10-31</v>
      </c>
      <c r="AF20" s="1"/>
    </row>
    <row r="21" spans="1:32" x14ac:dyDescent="0.3">
      <c r="A21" s="31">
        <v>43038.260844907411</v>
      </c>
      <c r="B21" s="30" t="s">
        <v>469</v>
      </c>
      <c r="C21" s="30" t="s">
        <v>653</v>
      </c>
      <c r="D21" s="30" t="s">
        <v>49</v>
      </c>
      <c r="E21" s="30" t="s">
        <v>374</v>
      </c>
      <c r="F21" s="42">
        <v>0</v>
      </c>
      <c r="G21" s="42">
        <v>361</v>
      </c>
      <c r="H21" s="42">
        <v>24562</v>
      </c>
      <c r="I21" s="42">
        <v>25399</v>
      </c>
      <c r="J21" s="30" t="s">
        <v>375</v>
      </c>
      <c r="K21" s="42">
        <v>26941</v>
      </c>
      <c r="L21" s="131" t="s">
        <v>50</v>
      </c>
      <c r="M21" s="132">
        <f t="shared" si="0"/>
        <v>814.17600000000004</v>
      </c>
      <c r="N21" s="133" t="str">
        <f>VLOOKUP(C21,'Trips&amp;Operators'!$C$1:$G$99911,5,FALSE)</f>
        <v>YANAI IAN</v>
      </c>
      <c r="O21" s="176" t="s">
        <v>361</v>
      </c>
      <c r="P21" s="134" t="s">
        <v>376</v>
      </c>
      <c r="Q21" s="30"/>
      <c r="R21" s="81" t="str">
        <f>VLOOKUP(C21,'Train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21" s="84" t="str">
        <f>VLOOKUP(C21,'Train Runs'!$A$13:$AE$10082,22,0)</f>
        <v>https://d0f6bd738d7f1b3e5a7ca70fe4ff75f0.us-east-1.aws.found.io/app/kibana#/discover/Steve-Slow-Train-Analysis-(2080s-and-2083s)?_g=(refreshInterval:(display:Off,pause:!f,section:0,value:0),time:(from:'2017-10-30T04:54:59-0600',mode:absolute,to:'2017-10-30T07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1" s="86" t="str">
        <f t="shared" si="1"/>
        <v>"C:\Program Files (x86)\AstroGrep\AstroGrep.exe" /e /r /s /spath="%USERPROFILE%\AppData\Local\Temp\OnboardLogs" /stypes="*4036*201710301*"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4036</v>
      </c>
      <c r="V21" s="31">
        <f t="shared" si="3"/>
        <v>43038.510844907411</v>
      </c>
      <c r="W21" s="45" t="str">
        <f t="shared" si="4"/>
        <v>NW</v>
      </c>
      <c r="X21" s="22">
        <f t="shared" si="5"/>
        <v>803</v>
      </c>
      <c r="Y21" s="96" t="str">
        <f t="shared" si="6"/>
        <v>echo {"issue":{"subject":"Wi-MAX data drop","project_id":79,"tracker_id":40,"status_id":1,"priority_id":2,"assigned_to_id":338,"start_date":"2017-10-30","description":"","custom_fields":[{"id":1,"name":"Subdivision","value":"NW"},{"id":4,"name":"Milepost","value":"2.6941"},{"id":17,"name":"Train ID","value":"803-30"},{"id":16,"name":"Locomotive ID","value":"4036"},{"id":130,"name":"Impact","value":""},{"id":150,"name":"Time of Event (Mountain Time)","value":"06:15:37"},{"id":151,"name":"Denver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/c/Users/stu/AppData/Local/Temp/OnboardLogs/RTDC4036 --include="*4036*201710301*"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"%USERPROFILE%\AppData\Local\Temp\OnboardLogs"\RTDC4036\*4036*201710301* &gt;&gt; 2017-10-30-SliceDisagreementCheck.txt</v>
      </c>
      <c r="AE21" s="145" t="str">
        <f t="shared" si="9"/>
        <v>start /low /b %USERPROFILE%\Documents\GitHub\eaglep3\Utilities\DownloadLogsFromS3.py --loco 4036 --day 2017-10-30</v>
      </c>
      <c r="AF21" s="1"/>
    </row>
    <row r="22" spans="1:32" x14ac:dyDescent="0.3">
      <c r="A22" s="31">
        <v>43038.698912037034</v>
      </c>
      <c r="B22" s="30" t="s">
        <v>545</v>
      </c>
      <c r="C22" s="30" t="s">
        <v>663</v>
      </c>
      <c r="D22" s="30" t="s">
        <v>49</v>
      </c>
      <c r="E22" s="30" t="s">
        <v>374</v>
      </c>
      <c r="F22" s="42">
        <v>0</v>
      </c>
      <c r="G22" s="42">
        <v>286</v>
      </c>
      <c r="H22" s="42">
        <v>32727</v>
      </c>
      <c r="I22" s="42">
        <v>33304</v>
      </c>
      <c r="J22" s="30" t="s">
        <v>375</v>
      </c>
      <c r="K22" s="42">
        <v>34583</v>
      </c>
      <c r="L22" s="131" t="s">
        <v>50</v>
      </c>
      <c r="M22" s="132">
        <f t="shared" si="0"/>
        <v>675.31200000000013</v>
      </c>
      <c r="N22" s="133" t="str">
        <f>VLOOKUP(C22,'Trips&amp;Operators'!$C$1:$G$99911,5,FALSE)</f>
        <v>MAGEE KENYA</v>
      </c>
      <c r="O22" s="176" t="s">
        <v>178</v>
      </c>
      <c r="P22" s="134" t="s">
        <v>1136</v>
      </c>
      <c r="Q22" s="30"/>
      <c r="R22" s="81" t="str">
        <f>VLOOKUP(C22,'Train Runs'!$A$13:$AE$10082,31,0)</f>
        <v>aws s3 cp s3://rtdc.mdm.uploadarchive.raw/RTDC4064/ "%USERPROFILE%\AppData\Local\Temp\OnboardLogs"\RTDC4064\2017-10-30 --exclude "*" --recursive --include "*20171030*" &amp; "%USERPROFILE%\Documents\GitHub\mrs-test-scripts\Headless Mode &amp; Sideloading\WalkAndUnGZ.bat" "%USERPROFILE%\AppData\Local\Temp\OnboardLogs"\RTDC4064\2017-10-30 &amp; aws s3 cp s3://rtdc.mdm.uploadarchive.raw/RTDC4064/ "%USERPROFILE%\AppData\Local\Temp\OnboardLogs"\RTDC4064\2017-10-31 --exclude "*" --recursive --include "*20171031*" &amp; "%USERPROFILE%\Documents\GitHub\mrs-test-scripts\Headless Mode &amp; Sideloading\WalkAndUnGZ.bat" "%USERPROFILE%\AppData\Local\Temp\OnboardLogs"\RTDC4064\2017-10-31</v>
      </c>
      <c r="S22" s="84" t="str">
        <f>VLOOKUP(C22,'Train Runs'!$A$13:$AE$10082,22,0)</f>
        <v>https://d0f6bd738d7f1b3e5a7ca70fe4ff75f0.us-east-1.aws.found.io/app/kibana#/discover/Steve-Slow-Train-Analysis-(2080s-and-2083s)?_g=(refreshInterval:(display:Off,pause:!f,section:0,value:0),time:(from:'2017-10-30T15:26:33-0600',mode:absolute,to:'2017-10-30T17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 t="shared" si="1"/>
        <v>"C:\Program Files (x86)\AstroGrep\AstroGrep.exe" /e /r /s /spath="%USERPROFILE%\AppData\Local\Temp\OnboardLogs" /stypes="*4064*201710302*"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4064</v>
      </c>
      <c r="V22" s="31">
        <f t="shared" si="3"/>
        <v>43038.948912037034</v>
      </c>
      <c r="W22" s="45" t="str">
        <f t="shared" si="4"/>
        <v>NW</v>
      </c>
      <c r="X22" s="22">
        <f t="shared" si="5"/>
        <v>831</v>
      </c>
      <c r="Y22" s="96" t="str">
        <f t="shared" si="6"/>
        <v>echo {"issue":{"subject":"Restricting Aspect (Pecos 4N) ","project_id":79,"tracker_id":40,"status_id":1,"priority_id":2,"assigned_to_id":338,"start_date":"2017-10-30","description":"","custom_fields":[{"id":1,"name":"Subdivision","value":"NW"},{"id":4,"name":"Milepost","value":"3.4583"},{"id":17,"name":"Train ID","value":"831-30"},{"id":16,"name":"Locomotive ID","value":"4064"},{"id":130,"name":"Impact","value":""},{"id":150,"name":"Time of Event (Mountain Time)","value":"16:46:26"},{"id":151,"name":"Denver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/c/Users/stu/AppData/Local/Temp/OnboardLogs/RTDC4064 --include="*4064*201710302*"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"%USERPROFILE%\AppData\Local\Temp\OnboardLogs"\RTDC4064\*4064*201710302* &gt;&gt; 2017-10-30-SliceDisagreementCheck.txt</v>
      </c>
      <c r="AE22" s="145" t="str">
        <f t="shared" si="9"/>
        <v>start /low /b %USERPROFILE%\Documents\GitHub\eaglep3\Utilities\DownloadLogsFromS3.py --loco 4064 --day 2017-10-30</v>
      </c>
      <c r="AF22" s="1"/>
    </row>
    <row r="23" spans="1:32" x14ac:dyDescent="0.3">
      <c r="A23" s="31">
        <v>43038.558425925927</v>
      </c>
      <c r="B23" s="30" t="s">
        <v>469</v>
      </c>
      <c r="C23" s="30" t="s">
        <v>658</v>
      </c>
      <c r="D23" s="30" t="s">
        <v>95</v>
      </c>
      <c r="E23" s="30" t="s">
        <v>179</v>
      </c>
      <c r="F23" s="42">
        <v>0</v>
      </c>
      <c r="G23" s="42">
        <v>4</v>
      </c>
      <c r="H23" s="42">
        <v>59049</v>
      </c>
      <c r="I23" s="42">
        <v>59049</v>
      </c>
      <c r="J23" s="30" t="s">
        <v>180</v>
      </c>
      <c r="K23" s="42">
        <v>59048</v>
      </c>
      <c r="L23" s="131" t="s">
        <v>50</v>
      </c>
      <c r="M23" s="132">
        <f t="shared" si="0"/>
        <v>-0.52800000000000002</v>
      </c>
      <c r="N23" s="133" t="str">
        <f>VLOOKUP(C23,'Trips&amp;Operators'!$C$1:$G$99911,5,FALSE)</f>
        <v>KILLION DAVID</v>
      </c>
      <c r="O23" s="176" t="s">
        <v>178</v>
      </c>
      <c r="P23" s="134"/>
      <c r="Q23" s="30"/>
      <c r="R23" s="81" t="str">
        <f>VLOOKUP(C23,'Train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23" s="84" t="str">
        <f>VLOOKUP(C23,'Train Runs'!$A$13:$AE$10082,22,0)</f>
        <v>https://d0f6bd738d7f1b3e5a7ca70fe4ff75f0.us-east-1.aws.found.io/app/kibana#/discover/Steve-Slow-Train-Analysis-(2080s-and-2083s)?_g=(refreshInterval:(display:Off,pause:!f,section:0,value:0),time:(from:'2017-10-30T11:57:47-0600',mode:absolute,to:'2017-10-30T14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3" s="86" t="str">
        <f t="shared" si="1"/>
        <v>"C:\Program Files (x86)\AstroGrep\AstroGrep.exe" /e /r /s /spath="%USERPROFILE%\AppData\Local\Temp\OnboardLogs" /stypes="*4036*201710301*"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4036</v>
      </c>
      <c r="V23" s="31">
        <f t="shared" si="3"/>
        <v>43038.808425925927</v>
      </c>
      <c r="W23" s="45" t="str">
        <f t="shared" si="4"/>
        <v>NW</v>
      </c>
      <c r="X23" s="22">
        <f t="shared" si="5"/>
        <v>821</v>
      </c>
      <c r="Y23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{"issue":{"subject":"","project_id":79,"tracker_id":40,"status_id":1,"priority_id":2,"assigned_to_id":338,"start_date":"2017-10-30","description":"","custom_fields":[{"id":1,"name":"Subdivision","value":"NW"},{"id":4,"name":"Milepost","value":"5.9048"},{"id":17,"name":"Train ID","value":"821-30"},{"id":16,"name":"Locomotive ID","value":"4036"},{"id":130,"name":"Impact","value":""},{"id":150,"name":"Time of Event (Mountain Time)","value":"13:24:08"},{"id":151,"name":"Denver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/c/Users/stu/AppData/Local/Temp/OnboardLogs/RTDC4036 --include="*4036*201710301*"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"%USERPROFILE%\AppData\Local\Temp\OnboardLogs"\RTDC4036\*4036*201710301* &gt;&gt; 2017-10-30-SliceDisagreementCheck.txt</v>
      </c>
      <c r="AE23" s="145" t="str">
        <f t="shared" si="9"/>
        <v>start /low /b %USERPROFILE%\Documents\GitHub\eaglep3\Utilities\DownloadLogsFromS3.py --loco 4036 --day 2017-10-30</v>
      </c>
      <c r="AF23" s="1"/>
    </row>
    <row r="24" spans="1:32" x14ac:dyDescent="0.3">
      <c r="A24" s="31">
        <v>43038.59983796296</v>
      </c>
      <c r="B24" s="30" t="s">
        <v>469</v>
      </c>
      <c r="C24" s="30" t="s">
        <v>659</v>
      </c>
      <c r="D24" s="30" t="s">
        <v>49</v>
      </c>
      <c r="E24" s="30" t="s">
        <v>179</v>
      </c>
      <c r="F24" s="42">
        <v>0</v>
      </c>
      <c r="G24" s="42">
        <v>39</v>
      </c>
      <c r="H24" s="42">
        <v>58912</v>
      </c>
      <c r="I24" s="42">
        <v>58937</v>
      </c>
      <c r="J24" s="30" t="s">
        <v>180</v>
      </c>
      <c r="K24" s="42">
        <v>59048</v>
      </c>
      <c r="L24" s="131" t="s">
        <v>50</v>
      </c>
      <c r="M24" s="132">
        <f t="shared" si="0"/>
        <v>58.607999999999997</v>
      </c>
      <c r="N24" s="133" t="str">
        <f>VLOOKUP(C24,'Trips&amp;Operators'!$C$1:$G$99911,5,FALSE)</f>
        <v>KILLION DAVID</v>
      </c>
      <c r="O24" s="176" t="s">
        <v>178</v>
      </c>
      <c r="P24" s="134"/>
      <c r="Q24" s="30"/>
      <c r="R24" s="81" t="str">
        <f>VLOOKUP(C24,'Train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24" s="84" t="str">
        <f>VLOOKUP(C24,'Train Runs'!$A$13:$AE$10082,22,0)</f>
        <v>https://d0f6bd738d7f1b3e5a7ca70fe4ff75f0.us-east-1.aws.found.io/app/kibana#/discover/Steve-Slow-Train-Analysis-(2080s-and-2083s)?_g=(refreshInterval:(display:Off,pause:!f,section:0,value:0),time:(from:'2017-10-30T12:25:54-0600',mode:absolute,to:'2017-10-30T15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4" s="86" t="str">
        <f t="shared" si="1"/>
        <v>"C:\Program Files (x86)\AstroGrep\AstroGrep.exe" /e /r /s /spath="%USERPROFILE%\AppData\Local\Temp\OnboardLogs" /stypes="*4036*201710302*"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4036</v>
      </c>
      <c r="V24" s="31">
        <f t="shared" si="3"/>
        <v>43038.84983796296</v>
      </c>
      <c r="W24" s="45" t="str">
        <f t="shared" si="4"/>
        <v>NW</v>
      </c>
      <c r="X24" s="22">
        <f t="shared" si="5"/>
        <v>823</v>
      </c>
      <c r="Y24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{"issue":{"subject":"","project_id":79,"tracker_id":40,"status_id":1,"priority_id":2,"assigned_to_id":338,"start_date":"2017-10-30","description":"","custom_fields":[{"id":1,"name":"Subdivision","value":"NW"},{"id":4,"name":"Milepost","value":"5.9048"},{"id":17,"name":"Train ID","value":"823-30"},{"id":16,"name":"Locomotive ID","value":"4036"},{"id":130,"name":"Impact","value":""},{"id":150,"name":"Time of Event (Mountain Time)","value":"14:23:46"},{"id":151,"name":"Denver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/c/Users/stu/AppData/Local/Temp/OnboardLogs/RTDC4036 --include="*4036*201710302*"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"%USERPROFILE%\AppData\Local\Temp\OnboardLogs"\RTDC4036\*4036*201710302* &gt;&gt; 2017-10-30-SliceDisagreementCheck.txt</v>
      </c>
      <c r="AE24" s="145" t="str">
        <f t="shared" si="9"/>
        <v>start /low /b %USERPROFILE%\Documents\GitHub\eaglep3\Utilities\DownloadLogsFromS3.py --loco 4036 --day 2017-10-30</v>
      </c>
      <c r="AF24" s="1"/>
    </row>
    <row r="25" spans="1:32" x14ac:dyDescent="0.3">
      <c r="A25" s="31">
        <v>43038.891527777778</v>
      </c>
      <c r="B25" s="30" t="s">
        <v>469</v>
      </c>
      <c r="C25" s="30" t="s">
        <v>668</v>
      </c>
      <c r="D25" s="30" t="s">
        <v>49</v>
      </c>
      <c r="E25" s="30" t="s">
        <v>179</v>
      </c>
      <c r="F25" s="42">
        <v>0</v>
      </c>
      <c r="G25" s="42">
        <v>34</v>
      </c>
      <c r="H25" s="42">
        <v>58939</v>
      </c>
      <c r="I25" s="42">
        <v>58952</v>
      </c>
      <c r="J25" s="30" t="s">
        <v>180</v>
      </c>
      <c r="K25" s="42">
        <v>59048</v>
      </c>
      <c r="L25" s="131" t="s">
        <v>50</v>
      </c>
      <c r="M25" s="132">
        <f t="shared" si="0"/>
        <v>50.688000000000002</v>
      </c>
      <c r="N25" s="133" t="str">
        <f>VLOOKUP(C25,'Trips&amp;Operators'!$C$1:$G$99911,5,FALSE)</f>
        <v>MAGEE KENYA</v>
      </c>
      <c r="O25" s="176" t="s">
        <v>178</v>
      </c>
      <c r="P25" s="134"/>
      <c r="Q25" s="30"/>
      <c r="R25" s="81" t="str">
        <f>VLOOKUP(C25,'Train Runs'!$A$13:$AE$10082,31,0)</f>
        <v>aws s3 cp s3://rtdc.mdm.uploadarchive.raw/RTDC4036/ "%USERPROFILE%\AppData\Local\Temp\OnboardLogs"\RTDC4036\2017-10-30 --exclude "*" --recursive --include "*20171030*" &amp; "%USERPROFILE%\Documents\GitHub\mrs-test-scripts\Headless Mode &amp; Sideloading\WalkAndUnGZ.bat" "%USERPROFILE%\AppData\Local\Temp\OnboardLogs"\RTDC4036\2017-10-30 &amp; aws s3 cp s3://rtdc.mdm.uploadarchive.raw/RTDC4036/ "%USERPROFILE%\AppData\Local\Temp\OnboardLogs"\RTDC4036\2017-10-31 --exclude "*" --recursive --include "*20171031*" &amp; "%USERPROFILE%\Documents\GitHub\mrs-test-scripts\Headless Mode &amp; Sideloading\WalkAndUnGZ.bat" "%USERPROFILE%\AppData\Local\Temp\OnboardLogs"\RTDC4036\2017-10-31</v>
      </c>
      <c r="S25" s="84" t="str">
        <f>VLOOKUP(C25,'Train Runs'!$A$13:$AE$10082,22,0)</f>
        <v>https://d0f6bd738d7f1b3e5a7ca70fe4ff75f0.us-east-1.aws.found.io/app/kibana#/discover/Steve-Slow-Train-Analysis-(2080s-and-2083s)?_g=(refreshInterval:(display:Off,pause:!f,section:0,value:0),time:(from:'2017-10-30T20:00:44-0600',mode:absolute,to:'2017-10-30T22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5" s="86" t="str">
        <f t="shared" si="1"/>
        <v>"C:\Program Files (x86)\AstroGrep\AstroGrep.exe" /e /r /s /spath="%USERPROFILE%\AppData\Local\Temp\OnboardLogs" /stypes="*4036*201710310*" /stext=" 03:.+((SYSTEM_STATE.+slice.+state.+changed )|(ment ac)|(multiple cpu faults)|(system.+state.+changed )|(\[timeout)|(PRM\|1\|D)|(kpr)|(kdp)|(train st.+moving)|(\|lc)|(penalty))"</v>
      </c>
      <c r="U25" s="9" t="str">
        <f t="shared" si="2"/>
        <v>4036</v>
      </c>
      <c r="V25" s="31">
        <f t="shared" si="3"/>
        <v>43039.141527777778</v>
      </c>
      <c r="W25" s="45" t="str">
        <f t="shared" si="4"/>
        <v>NW</v>
      </c>
      <c r="X25" s="22">
        <f t="shared" si="5"/>
        <v>845</v>
      </c>
      <c r="Y25" s="96" t="str">
        <f t="shared" si="6"/>
        <v>echo {"issue":{"subject":"","project_id":79,"tracker_id":40,"status_id":1,"priority_id":2,"assigned_to_id":338,"start_date":"2017-10-30","description":"","custom_fields":[{"id":1,"name":"Subdivision","value":"NW"},{"id":4,"name":"Milepost","value":"5.9048"},{"id":17,"name":"Train ID","value":"845-30"},{"id":16,"name":"Locomotive ID","value":"4036"},{"id":130,"name":"Impact","value":""},{"id":150,"name":"Time of Event (Mountain Time)","value":"21:23:48"},{"id":151,"name":"Denver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/c/Users/stu/AppData/Local/Temp/OnboardLogs/RTDC4036 --include="*4036*201710310*"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"%USERPROFILE%\AppData\Local\Temp\OnboardLogs"\RTDC4036\*4036*201710310* &gt;&gt; 2017-10-30-SliceDisagreementCheck.txt</v>
      </c>
      <c r="AE25" s="145" t="str">
        <f t="shared" si="9"/>
        <v>start /low /b %USERPROFILE%\Documents\GitHub\eaglep3\Utilities\DownloadLogsFromS3.py --loco 4036 --day 2017-10-31</v>
      </c>
      <c r="AF25" s="1"/>
    </row>
    <row r="26" spans="1:32" x14ac:dyDescent="0.3">
      <c r="A26" s="31">
        <v>43038.121134259258</v>
      </c>
      <c r="B26" s="30" t="s">
        <v>540</v>
      </c>
      <c r="C26" s="30" t="s">
        <v>649</v>
      </c>
      <c r="D26" s="30" t="s">
        <v>49</v>
      </c>
      <c r="E26" s="30" t="s">
        <v>185</v>
      </c>
      <c r="F26" s="42">
        <v>150</v>
      </c>
      <c r="G26" s="42">
        <v>231</v>
      </c>
      <c r="H26" s="42">
        <v>11587</v>
      </c>
      <c r="I26" s="42">
        <v>11170</v>
      </c>
      <c r="J26" s="30" t="s">
        <v>186</v>
      </c>
      <c r="K26" s="42">
        <v>10988</v>
      </c>
      <c r="L26" s="131" t="s">
        <v>51</v>
      </c>
      <c r="M26" s="132">
        <f t="shared" si="0"/>
        <v>96.096000000000004</v>
      </c>
      <c r="N26" s="133" t="str">
        <f>VLOOKUP(C26,'Trips&amp;Operators'!$C$1:$G$99911,5,FALSE)</f>
        <v>THOMPSON LESTER</v>
      </c>
      <c r="O26" s="176" t="s">
        <v>178</v>
      </c>
      <c r="P26" s="134" t="s">
        <v>353</v>
      </c>
      <c r="Q26" s="30"/>
      <c r="R26" s="81" t="str">
        <f>VLOOKUP(C26,'Train Runs'!$A$13:$AE$10082,31,0)</f>
        <v>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 &amp; aws s3 cp s3://rtdc.mdm.uploadarchive.raw/RTDC4003/ "%USERPROFILE%\AppData\Local\Temp\OnboardLogs"\RTDC4003\2017-10-31 --exclude "*" --recursive --include "*20171031*" &amp; "%USERPROFILE%\Documents\GitHub\mrs-test-scripts\Headless Mode &amp; Sideloading\WalkAndUnGZ.bat" "%USERPROFILE%\AppData\Local\Temp\OnboardLogs"\RTDC4003\2017-10-31</v>
      </c>
      <c r="S26" s="84" t="str">
        <f>VLOOKUP(C26,'Train Runs'!$A$13:$AE$10082,22,0)</f>
        <v>https://d0f6bd738d7f1b3e5a7ca70fe4ff75f0.us-east-1.aws.found.io/app/kibana#/discover/Steve-Slow-Train-Analysis-(2080s-and-2083s)?_g=(refreshInterval:(display:Off,pause:!f,section:0,value:0),time:(from:'2017-10-30T01:45:48-0600',mode:absolute,to:'2017-10-30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6" s="86" t="str">
        <f t="shared" si="1"/>
        <v>"C:\Program Files (x86)\AstroGrep\AstroGrep.exe" /e /r /s /spath="%USERPROFILE%\AppData\Local\Temp\OnboardLogs" /stypes="*4003*201710300*" /stext=" 08:.+((SYSTEM_STATE.+slice.+state.+changed )|(ment ac)|(multiple cpu faults)|(system.+state.+changed )|(\[timeout)|(PRM\|1\|D)|(kpr)|(kdp)|(train st.+moving)|(\|lc)|(penalty))"</v>
      </c>
      <c r="U26" s="9" t="str">
        <f t="shared" si="2"/>
        <v>4003</v>
      </c>
      <c r="V26" s="31">
        <f t="shared" si="3"/>
        <v>43038.371134259258</v>
      </c>
      <c r="W26" s="45" t="str">
        <f t="shared" si="4"/>
        <v>Other</v>
      </c>
      <c r="X26" s="22">
        <f t="shared" si="5"/>
        <v>300</v>
      </c>
      <c r="Y26" s="96" t="str">
        <f t="shared" si="6"/>
        <v>echo {"issue":{"subject":"Early Arrival","project_id":79,"tracker_id":40,"status_id":1,"priority_id":2,"assigned_to_id":338,"start_date":"2017-10-30","description":"","custom_fields":[{"id":1,"name":"Subdivision","value":"Other"},{"id":4,"name":"Milepost","value":"1.0988"},{"id":17,"name":"Train ID","value":"300-30"},{"id":16,"name":"Locomotive ID","value":"4003"},{"id":130,"name":"Impact","value":""},{"id":150,"name":"Time of Event (Mountain Time)","value":"02:54:26"},{"id":151,"name":"Denver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/c/Users/stu/AppData/Local/Temp/OnboardLogs/RTDC4003 --include="*4003*201710300*"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"%USERPROFILE%\AppData\Local\Temp\OnboardLogs"\RTDC4003\*4003*201710300* &gt;&gt; 2017-10-30-SliceDisagreementCheck.txt</v>
      </c>
      <c r="AE26" s="145" t="str">
        <f t="shared" si="9"/>
        <v>start /low /b %USERPROFILE%\Documents\GitHub\eaglep3\Utilities\DownloadLogsFromS3.py --loco 4003 --day 2017-10-30</v>
      </c>
      <c r="AF26" s="1"/>
    </row>
    <row r="27" spans="1:32" x14ac:dyDescent="0.3">
      <c r="A27" s="31">
        <v>43038.64402777778</v>
      </c>
      <c r="B27" s="30" t="s">
        <v>541</v>
      </c>
      <c r="C27" s="30" t="s">
        <v>662</v>
      </c>
      <c r="D27" s="30" t="s">
        <v>95</v>
      </c>
      <c r="E27" s="30" t="s">
        <v>374</v>
      </c>
      <c r="F27" s="42">
        <v>0</v>
      </c>
      <c r="G27" s="42">
        <v>128</v>
      </c>
      <c r="H27" s="42">
        <v>21856</v>
      </c>
      <c r="I27" s="42">
        <v>21655</v>
      </c>
      <c r="J27" s="30" t="s">
        <v>375</v>
      </c>
      <c r="K27" s="42">
        <v>24161</v>
      </c>
      <c r="L27" s="131" t="s">
        <v>51</v>
      </c>
      <c r="M27" s="132">
        <f t="shared" si="0"/>
        <v>-1323.1679999999999</v>
      </c>
      <c r="N27" s="133" t="str">
        <f>VLOOKUP(C27,'Trips&amp;Operators'!$C$1:$G$99911,5,FALSE)</f>
        <v>MAGEE KENYA</v>
      </c>
      <c r="O27" s="176" t="s">
        <v>178</v>
      </c>
      <c r="P27" s="134"/>
      <c r="Q27" s="30"/>
      <c r="R27" s="81" t="str">
        <f>VLOOKUP(C27,'Train Runs'!$A$13:$AE$10082,31,0)</f>
        <v>aws s3 cp s3://rtdc.mdm.uploadarchive.raw/RTDC4063/ "%USERPROFILE%\AppData\Local\Temp\OnboardLogs"\RTDC4063\2017-10-30 --exclude "*" --recursive --include "*20171030*" &amp; "%USERPROFILE%\Documents\GitHub\mrs-test-scripts\Headless Mode &amp; Sideloading\WalkAndUnGZ.bat" "%USERPROFILE%\AppData\Local\Temp\OnboardLogs"\RTDC4063\2017-10-30 &amp; aws s3 cp s3://rtdc.mdm.uploadarchive.raw/RTDC4063/ "%USERPROFILE%\AppData\Local\Temp\OnboardLogs"\RTDC4063\2017-10-31 --exclude "*" --recursive --include "*20171031*" &amp; "%USERPROFILE%\Documents\GitHub\mrs-test-scripts\Headless Mode &amp; Sideloading\WalkAndUnGZ.bat" "%USERPROFILE%\AppData\Local\Temp\OnboardLogs"\RTDC4063\2017-10-31</v>
      </c>
      <c r="S27" s="84" t="str">
        <f>VLOOKUP(C27,'Train Runs'!$A$13:$AE$10082,22,0)</f>
        <v>https://d0f6bd738d7f1b3e5a7ca70fe4ff75f0.us-east-1.aws.found.io/app/kibana#/discover/Steve-Slow-Train-Analysis-(2080s-and-2083s)?_g=(refreshInterval:(display:Off,pause:!f,section:0,value:0),time:(from:'2017-10-30T14:30:25-0600',mode:absolute,to:'2017-10-30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7" s="86" t="str">
        <f t="shared" si="1"/>
        <v>"C:\Program Files (x86)\AstroGrep\AstroGrep.exe" /e /r /s /spath="%USERPROFILE%\AppData\Local\Temp\OnboardLogs" /stypes="*4063*201710302*"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4063</v>
      </c>
      <c r="V27" s="31">
        <f t="shared" si="3"/>
        <v>43038.89402777778</v>
      </c>
      <c r="W27" s="45" t="str">
        <f t="shared" si="4"/>
        <v>Other</v>
      </c>
      <c r="X27" s="22">
        <f t="shared" si="5"/>
        <v>904</v>
      </c>
      <c r="Y27" s="96" t="str">
        <f t="shared" si="6"/>
        <v>echo {"issue":{"subject":"","project_id":79,"tracker_id":40,"status_id":1,"priority_id":2,"assigned_to_id":338,"start_date":"2017-10-30","description":"","custom_fields":[{"id":1,"name":"Subdivision","value":"Other"},{"id":4,"name":"Milepost","value":"2.4161"},{"id":17,"name":"Train ID","value":"904-30"},{"id":16,"name":"Locomotive ID","value":"4063"},{"id":130,"name":"Impact","value":""},{"id":150,"name":"Time of Event (Mountain Time)","value":"15:27:24"},{"id":151,"name":"Denver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/c/Users/stu/AppData/Local/Temp/OnboardLogs/RTDC4063 --include="*4063*201710302*"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"%USERPROFILE%\AppData\Local\Temp\OnboardLogs"\RTDC4063\*4063*201710302* &gt;&gt; 2017-10-30-SliceDisagreementCheck.txt</v>
      </c>
      <c r="AE27" s="145" t="str">
        <f t="shared" si="9"/>
        <v>start /low /b %USERPROFILE%\Documents\GitHub\eaglep3\Utilities\DownloadLogsFromS3.py --loco 4063 --day 2017-10-30</v>
      </c>
      <c r="AF27" s="1"/>
    </row>
    <row r="28" spans="1:32" x14ac:dyDescent="0.3">
      <c r="A28" s="31">
        <v>43038.234722222223</v>
      </c>
      <c r="B28" s="30" t="s">
        <v>650</v>
      </c>
      <c r="C28" s="30" t="s">
        <v>651</v>
      </c>
      <c r="D28" s="30" t="s">
        <v>49</v>
      </c>
      <c r="E28" s="30" t="s">
        <v>179</v>
      </c>
      <c r="F28" s="42">
        <v>0</v>
      </c>
      <c r="G28" s="42">
        <v>50</v>
      </c>
      <c r="H28" s="42">
        <v>192</v>
      </c>
      <c r="I28" s="42">
        <v>138</v>
      </c>
      <c r="J28" s="30" t="s">
        <v>180</v>
      </c>
      <c r="K28" s="42">
        <v>1</v>
      </c>
      <c r="L28" s="131" t="s">
        <v>51</v>
      </c>
      <c r="M28" s="132">
        <f t="shared" si="0"/>
        <v>72.335999999999999</v>
      </c>
      <c r="N28" s="133" t="str">
        <f>VLOOKUP(C28,'Trips&amp;Operators'!$C$1:$G$99911,5,FALSE)</f>
        <v>LAMAR NEKESHA</v>
      </c>
      <c r="O28" s="176" t="s">
        <v>178</v>
      </c>
      <c r="P28" s="134"/>
      <c r="Q28" s="30"/>
      <c r="R28" s="81" t="str">
        <f>VLOOKUP(C28,'Train Runs'!$A$13:$AE$10082,31,0)</f>
        <v>aws s3 cp s3://rtdc.mdm.uploadarchive.raw/RTDC4001/ "%USERPROFILE%\AppData\Local\Temp\OnboardLogs"\RTDC4001\2017-10-30 --exclude "*" --recursive --include "*20171030*" &amp; "%USERPROFILE%\Documents\GitHub\mrs-test-scripts\Headless Mode &amp; Sideloading\WalkAndUnGZ.bat" "%USERPROFILE%\AppData\Local\Temp\OnboardLogs"\RTDC4001\2017-10-30 &amp; aws s3 cp s3://rtdc.mdm.uploadarchive.raw/RTDC4001/ "%USERPROFILE%\AppData\Local\Temp\OnboardLogs"\RTDC4001\2017-10-31 --exclude "*" --recursive --include "*20171031*" &amp; "%USERPROFILE%\Documents\GitHub\mrs-test-scripts\Headless Mode &amp; Sideloading\WalkAndUnGZ.bat" "%USERPROFILE%\AppData\Local\Temp\OnboardLogs"\RTDC4001\2017-10-31</v>
      </c>
      <c r="S28" s="84" t="str">
        <f>VLOOKUP(C28,'Train Runs'!$A$13:$AE$10082,22,0)</f>
        <v>https://d0f6bd738d7f1b3e5a7ca70fe4ff75f0.us-east-1.aws.found.io/app/kibana#/discover/Steve-Slow-Train-Analysis-(2080s-and-2083s)?_g=(refreshInterval:(display:Off,pause:!f,section:0,value:0),time:(from:'2017-10-30T04:20:13-0600',mode:absolute,to:'2017-10-30T06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6" t="str">
        <f t="shared" si="1"/>
        <v>"C:\Program Files (x86)\AstroGrep\AstroGrep.exe" /e /r /s /spath="%USERPROFILE%\AppData\Local\Temp\OnboardLogs" /stypes="*4001*201710301*"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4001</v>
      </c>
      <c r="V28" s="31">
        <f t="shared" si="3"/>
        <v>43038.484722222223</v>
      </c>
      <c r="W28" s="45" t="str">
        <f t="shared" si="4"/>
        <v>Other</v>
      </c>
      <c r="X28" s="22">
        <f t="shared" si="5"/>
        <v>312</v>
      </c>
      <c r="Y28" s="96" t="str">
        <f t="shared" si="6"/>
        <v>echo {"issue":{"subject":"","project_id":79,"tracker_id":40,"status_id":1,"priority_id":2,"assigned_to_id":338,"start_date":"2017-10-30","description":"","custom_fields":[{"id":1,"name":"Subdivision","value":"Other"},{"id":4,"name":"Milepost","value":"0.0001"},{"id":17,"name":"Train ID","value":"312-30"},{"id":16,"name":"Locomotive ID","value":"4001"},{"id":130,"name":"Impact","value":""},{"id":150,"name":"Time of Event (Mountain Time)","value":"05:38:00"},{"id":151,"name":"Denver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/c/Users/stu/AppData/Local/Temp/OnboardLogs/RTDC4001 --include="*4001*201710301*"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"%USERPROFILE%\AppData\Local\Temp\OnboardLogs"\RTDC4001\*4001*201710301* &gt;&gt; 2017-10-30-SliceDisagreementCheck.txt</v>
      </c>
      <c r="AE28" s="145" t="str">
        <f t="shared" si="9"/>
        <v>start /low /b %USERPROFILE%\Documents\GitHub\eaglep3\Utilities\DownloadLogsFromS3.py --loco 4001 --day 2017-10-30</v>
      </c>
      <c r="AF28" s="1"/>
    </row>
    <row r="29" spans="1:32" x14ac:dyDescent="0.3">
      <c r="A29" s="31">
        <v>43038.714675925927</v>
      </c>
      <c r="B29" s="30" t="s">
        <v>553</v>
      </c>
      <c r="C29" s="30" t="s">
        <v>664</v>
      </c>
      <c r="D29" s="30" t="s">
        <v>49</v>
      </c>
      <c r="E29" s="30" t="s">
        <v>185</v>
      </c>
      <c r="F29" s="42">
        <v>150</v>
      </c>
      <c r="G29" s="42">
        <v>206</v>
      </c>
      <c r="H29" s="42">
        <v>9424</v>
      </c>
      <c r="I29" s="42">
        <v>9752</v>
      </c>
      <c r="J29" s="30" t="s">
        <v>186</v>
      </c>
      <c r="K29" s="42">
        <v>10716</v>
      </c>
      <c r="L29" s="131" t="s">
        <v>50</v>
      </c>
      <c r="M29" s="132">
        <f t="shared" si="0"/>
        <v>508.99200000000002</v>
      </c>
      <c r="N29" s="133" t="str">
        <f>VLOOKUP(C29,'Trips&amp;Operators'!$C$1:$G$99911,5,FALSE)</f>
        <v>ROBINSON KADDIBA</v>
      </c>
      <c r="O29" s="176" t="s">
        <v>178</v>
      </c>
      <c r="P29" s="134" t="s">
        <v>353</v>
      </c>
      <c r="Q29" s="30"/>
      <c r="R29" s="81" t="str">
        <f>VLOOKUP(C29,'Train Runs'!$A$13:$AE$10082,31,0)</f>
        <v>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 &amp; aws s3 cp s3://rtdc.mdm.uploadarchive.raw/RTDC4050/ "%USERPROFILE%\AppData\Local\Temp\OnboardLogs"\RTDC4050\2017-10-31 --exclude "*" --recursive --include "*20171031*" &amp; "%USERPROFILE%\Documents\GitHub\mrs-test-scripts\Headless Mode &amp; Sideloading\WalkAndUnGZ.bat" "%USERPROFILE%\AppData\Local\Temp\OnboardLogs"\RTDC4050\2017-10-31</v>
      </c>
      <c r="S29" s="84" t="str">
        <f>VLOOKUP(C29,'Train Runs'!$A$13:$AE$10082,22,0)</f>
        <v>https://d0f6bd738d7f1b3e5a7ca70fe4ff75f0.us-east-1.aws.found.io/app/kibana#/discover/Steve-Slow-Train-Analysis-(2080s-and-2083s)?_g=(refreshInterval:(display:Off,pause:!f,section:0,value:0),time:(from:'2017-10-30T13:19:08-0600',mode:absolute,to:'2017-10-30T15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9" s="86" t="str">
        <f t="shared" si="1"/>
        <v>"C:\Program Files (x86)\AstroGrep\AstroGrep.exe" /e /r /s /spath="%USERPROFILE%\AppData\Local\Temp\OnboardLogs" /stypes="*4012*201710302*"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4012</v>
      </c>
      <c r="V29" s="31">
        <f t="shared" si="3"/>
        <v>43038.964675925927</v>
      </c>
      <c r="W29" s="45" t="str">
        <f t="shared" si="4"/>
        <v>Shuttle/Test</v>
      </c>
      <c r="X29" s="22">
        <f t="shared" si="5"/>
        <v>75</v>
      </c>
      <c r="Y29" s="96" t="str">
        <f t="shared" si="6"/>
        <v>echo {"issue":{"subject":"Early Arrival","project_id":79,"tracker_id":40,"status_id":1,"priority_id":2,"assigned_to_id":338,"start_date":"2017-10-30","description":"","custom_fields":[{"id":1,"name":"Subdivision","value":"Shuttle/Test"},{"id":4,"name":"Milepost","value":"1.0716"},{"id":17,"name":"Train ID","value":"75-30"},{"id":16,"name":"Locomotive ID","value":"4012"},{"id":130,"name":"Impact","value":""},{"id":150,"name":"Time of Event (Mountain Time)","value":"17:09:08"},{"id":151,"name":"Denver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/c/Users/stu/AppData/Local/Temp/OnboardLogs/RTDC4012 --include="*4012*201710302*"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"%USERPROFILE%\AppData\Local\Temp\OnboardLogs"\RTDC4012\*4012*201710302* &gt;&gt; 2017-10-30-SliceDisagreementCheck.txt</v>
      </c>
      <c r="AE29" s="145" t="str">
        <f t="shared" si="9"/>
        <v>start /low /b %USERPROFILE%\Documents\GitHub\eaglep3\Utilities\DownloadLogsFromS3.py --loco 4012 --day 2017-10-30</v>
      </c>
      <c r="AF29" s="1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39">
      <sortCondition ref="W7:W29"/>
      <sortCondition ref="E7:E29"/>
      <sortCondition ref="K7:K29"/>
      <sortCondition ref="F7:F29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29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2017-10-30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108</v>
      </c>
      <c r="B3" s="42" t="str">
        <f>A3&amp;"-"&amp;IF(DAY(Variables!$A$2)&lt;10,0,"")&amp;DAY(Variables!$A$2)</f>
        <v>108-30</v>
      </c>
      <c r="C3" s="135"/>
      <c r="D3" s="225" t="e">
        <f>VLOOKUP(B3,'Trips&amp;Operators'!$C$1:$H$1072,6,FALSE)</f>
        <v>#N/A</v>
      </c>
      <c r="E3" s="30" t="s">
        <v>1130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22108-30%22)),sort:!(Time.ISO8601,asc))</v>
      </c>
      <c r="J3" s="30" t="e">
        <f>VLOOKUP(B3,'Train Runs'!$A$13:$A$100079,1,FALSE)</f>
        <v>#N/A</v>
      </c>
    </row>
    <row r="4" spans="1:10" x14ac:dyDescent="0.3">
      <c r="A4" s="198"/>
      <c r="B4" s="42" t="str">
        <f>A4&amp;"-"&amp;IF(DAY(Variables!$A$2)&lt;10,0,"")&amp;DAY(Variables!$A$2)</f>
        <v>-30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4" s="30" t="e">
        <f>VLOOKUP(B4,'Train Runs'!$A$13:$A$100079,1,FALSE)</f>
        <v>#N/A</v>
      </c>
    </row>
    <row r="5" spans="1:10" x14ac:dyDescent="0.3">
      <c r="A5" s="198"/>
      <c r="B5" s="42" t="str">
        <f>A5&amp;"-"&amp;IF(DAY(Variables!$A$2)&lt;10,0,"")&amp;DAY(Variables!$A$2)</f>
        <v>-30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5" s="30" t="e">
        <f>VLOOKUP(B5,'Train Runs'!$A$13:$A$100079,1,FALSE)</f>
        <v>#N/A</v>
      </c>
    </row>
    <row r="6" spans="1:10" x14ac:dyDescent="0.3">
      <c r="A6" s="198"/>
      <c r="B6" s="42" t="str">
        <f>A6&amp;"-"&amp;IF(DAY(Variables!$A$2)&lt;10,0,"")&amp;DAY(Variables!$A$2)</f>
        <v>-30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6" s="30" t="e">
        <f>VLOOKUP(B6,'Train Runs'!$A$13:$A$100079,1,FALSE)</f>
        <v>#N/A</v>
      </c>
    </row>
    <row r="7" spans="1:10" x14ac:dyDescent="0.3">
      <c r="A7" s="198"/>
      <c r="B7" s="42" t="str">
        <f>A7&amp;"-"&amp;IF(DAY(Variables!$A$2)&lt;10,0,"")&amp;DAY(Variables!$A$2)</f>
        <v>-30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7" s="30" t="e">
        <f>VLOOKUP(B7,'Train Runs'!$A$13:$A$100079,1,FALSE)</f>
        <v>#N/A</v>
      </c>
    </row>
    <row r="8" spans="1:10" x14ac:dyDescent="0.3">
      <c r="A8" s="198"/>
      <c r="B8" s="42" t="str">
        <f>A8&amp;"-"&amp;IF(DAY(Variables!$A$2)&lt;10,0,"")&amp;DAY(Variables!$A$2)</f>
        <v>-30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8" s="30" t="e">
        <f>VLOOKUP(B8,'Train Runs'!$A$13:$A$100079,1,FALSE)</f>
        <v>#N/A</v>
      </c>
    </row>
    <row r="9" spans="1:10" x14ac:dyDescent="0.3">
      <c r="A9" s="198"/>
      <c r="B9" s="42" t="str">
        <f>A9&amp;"-"&amp;IF(DAY(Variables!$A$2)&lt;10,0,"")&amp;DAY(Variables!$A$2)</f>
        <v>-30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9" s="30" t="e">
        <f>VLOOKUP(B9,'Train Runs'!$A$13:$A$100079,1,FALSE)</f>
        <v>#N/A</v>
      </c>
    </row>
    <row r="10" spans="1:10" x14ac:dyDescent="0.3">
      <c r="A10" s="198"/>
      <c r="B10" s="42" t="str">
        <f>A10&amp;"-"&amp;IF(DAY(Variables!$A$2)&lt;10,0,"")&amp;DAY(Variables!$A$2)</f>
        <v>-30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0" s="30" t="e">
        <f>VLOOKUP(B10,'Train Runs'!$A$13:$A$100079,1,FALSE)</f>
        <v>#N/A</v>
      </c>
    </row>
    <row r="11" spans="1:10" x14ac:dyDescent="0.3">
      <c r="A11" s="198"/>
      <c r="B11" s="42" t="str">
        <f>A11&amp;"-"&amp;IF(DAY(Variables!$A$2)&lt;10,0,"")&amp;DAY(Variables!$A$2)</f>
        <v>-30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1" s="30" t="e">
        <f>VLOOKUP(B11,'Train Runs'!$A$13:$A$100079,1,FALSE)</f>
        <v>#N/A</v>
      </c>
    </row>
    <row r="12" spans="1:10" x14ac:dyDescent="0.3">
      <c r="A12" s="198"/>
      <c r="B12" s="42" t="str">
        <f>A12&amp;"-"&amp;IF(DAY(Variables!$A$2)&lt;10,0,"")&amp;DAY(Variables!$A$2)</f>
        <v>-30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2" s="30" t="e">
        <f>VLOOKUP(B12,'Train Runs'!$A$13:$A$100079,1,FALSE)</f>
        <v>#N/A</v>
      </c>
    </row>
    <row r="13" spans="1:10" x14ac:dyDescent="0.3">
      <c r="A13" s="198"/>
      <c r="B13" s="42" t="str">
        <f>A13&amp;"-"&amp;IF(DAY(Variables!$A$2)&lt;10,0,"")&amp;DAY(Variables!$A$2)</f>
        <v>-30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3" s="30" t="e">
        <f>VLOOKUP(B13,'Train Runs'!$A$13:$A$100079,1,FALSE)</f>
        <v>#N/A</v>
      </c>
    </row>
    <row r="14" spans="1:10" x14ac:dyDescent="0.3">
      <c r="A14" s="198"/>
      <c r="B14" s="42" t="str">
        <f>A14&amp;"-"&amp;IF(DAY(Variables!$A$2)&lt;10,0,"")&amp;DAY(Variables!$A$2)</f>
        <v>-30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4" s="30" t="e">
        <f>VLOOKUP(B14,'Train Runs'!$A$13:$A$100079,1,FALSE)</f>
        <v>#N/A</v>
      </c>
    </row>
    <row r="15" spans="1:10" x14ac:dyDescent="0.3">
      <c r="A15" s="198"/>
      <c r="B15" s="42" t="str">
        <f>A15&amp;"-"&amp;IF(DAY(Variables!$A$2)&lt;10,0,"")&amp;DAY(Variables!$A$2)</f>
        <v>-30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5" s="30" t="e">
        <f>VLOOKUP(B15,'Train Runs'!$A$13:$A$100079,1,FALSE)</f>
        <v>#N/A</v>
      </c>
    </row>
    <row r="16" spans="1:10" x14ac:dyDescent="0.3">
      <c r="A16" s="198"/>
      <c r="B16" s="42" t="str">
        <f>A16&amp;"-"&amp;IF(DAY(Variables!$A$2)&lt;10,0,"")&amp;DAY(Variables!$A$2)</f>
        <v>-30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6" s="30" t="e">
        <f>VLOOKUP(B16,'Train Runs'!$A$13:$A$100079,1,FALSE)</f>
        <v>#N/A</v>
      </c>
    </row>
    <row r="17" spans="1:10" x14ac:dyDescent="0.3">
      <c r="A17" s="198"/>
      <c r="B17" s="42" t="str">
        <f>A17&amp;"-"&amp;IF(DAY(Variables!$A$2)&lt;10,0,"")&amp;DAY(Variables!$A$2)</f>
        <v>-30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7" s="30" t="e">
        <f>VLOOKUP(B17,'Train Runs'!$A$13:$A$100079,1,FALSE)</f>
        <v>#N/A</v>
      </c>
    </row>
    <row r="18" spans="1:10" x14ac:dyDescent="0.3">
      <c r="A18" s="198"/>
      <c r="B18" s="42" t="str">
        <f>A18&amp;"-"&amp;IF(DAY(Variables!$A$2)&lt;10,0,"")&amp;DAY(Variables!$A$2)</f>
        <v>-30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-30%22)),sort:!(Time.ISO8601,asc))</v>
      </c>
      <c r="J18" s="30" t="e">
        <f>VLOOKUP(B18,'Train Runs'!$A$13:$A$100079,1,FALSE)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8" workbookViewId="0">
      <selection activeCell="E22" sqref="E22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43038.047199074077</v>
      </c>
      <c r="B2" s="20" t="s">
        <v>387</v>
      </c>
      <c r="C2" s="20" t="s">
        <v>671</v>
      </c>
      <c r="D2" s="138">
        <v>890000</v>
      </c>
      <c r="E2" s="20" t="s">
        <v>354</v>
      </c>
      <c r="F2" s="20" t="s">
        <v>355</v>
      </c>
      <c r="G2" s="8" t="str">
        <f>E2&amp;" "&amp;F2</f>
        <v>LOZA FIDEL</v>
      </c>
      <c r="H2" t="str">
        <f>MID(B2,13,4)</f>
        <v>4018</v>
      </c>
    </row>
    <row r="3" spans="1:8" x14ac:dyDescent="0.3">
      <c r="A3" s="8">
        <v>43038.052418981482</v>
      </c>
      <c r="B3" s="20" t="s">
        <v>672</v>
      </c>
      <c r="C3" s="20" t="s">
        <v>673</v>
      </c>
      <c r="D3" s="138">
        <v>1540000</v>
      </c>
      <c r="E3" s="20" t="s">
        <v>674</v>
      </c>
      <c r="F3" s="20" t="s">
        <v>675</v>
      </c>
      <c r="G3" s="8" t="str">
        <f t="shared" ref="G3:G66" si="0">E3&amp;" "&amp;F3</f>
        <v>HELVIE ADAM</v>
      </c>
      <c r="H3" s="20" t="str">
        <f t="shared" ref="H3:H66" si="1">MID(B3,13,4)</f>
        <v>4015</v>
      </c>
    </row>
    <row r="4" spans="1:8" x14ac:dyDescent="0.3">
      <c r="A4" s="8">
        <v>43038.06621527778</v>
      </c>
      <c r="B4" s="20" t="s">
        <v>378</v>
      </c>
      <c r="C4" s="20" t="s">
        <v>676</v>
      </c>
      <c r="D4" s="138">
        <v>3340000</v>
      </c>
      <c r="E4" s="20" t="s">
        <v>412</v>
      </c>
      <c r="F4" s="20" t="s">
        <v>413</v>
      </c>
      <c r="G4" s="8" t="str">
        <f t="shared" si="0"/>
        <v>ELBAUM MIKE</v>
      </c>
      <c r="H4" s="20" t="str">
        <f t="shared" si="1"/>
        <v>4060</v>
      </c>
    </row>
    <row r="5" spans="1:8" x14ac:dyDescent="0.3">
      <c r="A5" s="8">
        <v>43038.088506944441</v>
      </c>
      <c r="B5" s="20" t="s">
        <v>405</v>
      </c>
      <c r="C5" s="20" t="s">
        <v>677</v>
      </c>
      <c r="D5" s="138">
        <v>2680000</v>
      </c>
      <c r="E5" s="20" t="s">
        <v>678</v>
      </c>
      <c r="F5" s="20" t="s">
        <v>679</v>
      </c>
      <c r="G5" s="8" t="str">
        <f t="shared" si="0"/>
        <v>DUNCAN SHEILA</v>
      </c>
      <c r="H5" s="20" t="str">
        <f t="shared" si="1"/>
        <v>4016</v>
      </c>
    </row>
    <row r="6" spans="1:8" x14ac:dyDescent="0.3">
      <c r="A6" s="8">
        <v>43038.115682870368</v>
      </c>
      <c r="B6" s="20" t="s">
        <v>540</v>
      </c>
      <c r="C6" s="20" t="s">
        <v>649</v>
      </c>
      <c r="D6" s="138">
        <v>3120000</v>
      </c>
      <c r="E6" s="20" t="s">
        <v>546</v>
      </c>
      <c r="F6" s="20" t="s">
        <v>547</v>
      </c>
      <c r="G6" s="8" t="str">
        <f t="shared" si="0"/>
        <v>THOMPSON LESTER</v>
      </c>
      <c r="H6" s="20" t="str">
        <f t="shared" si="1"/>
        <v>4003</v>
      </c>
    </row>
    <row r="7" spans="1:8" x14ac:dyDescent="0.3">
      <c r="A7" s="8">
        <v>43038.127083333333</v>
      </c>
      <c r="B7" s="20" t="s">
        <v>544</v>
      </c>
      <c r="C7" s="20" t="s">
        <v>680</v>
      </c>
      <c r="D7" s="138">
        <v>1090000</v>
      </c>
      <c r="E7" s="20" t="s">
        <v>681</v>
      </c>
      <c r="F7" s="20" t="s">
        <v>367</v>
      </c>
      <c r="G7" s="8" t="str">
        <f t="shared" si="0"/>
        <v>SPECTOR MICHAEL</v>
      </c>
      <c r="H7" s="20" t="str">
        <f t="shared" si="1"/>
        <v>4004</v>
      </c>
    </row>
    <row r="8" spans="1:8" x14ac:dyDescent="0.3">
      <c r="A8" s="8">
        <v>43038.129386574074</v>
      </c>
      <c r="B8" s="20" t="s">
        <v>408</v>
      </c>
      <c r="C8" s="20" t="s">
        <v>682</v>
      </c>
      <c r="D8" s="138">
        <v>3120000</v>
      </c>
      <c r="E8" s="20" t="s">
        <v>546</v>
      </c>
      <c r="F8" s="20" t="s">
        <v>547</v>
      </c>
      <c r="G8" s="8" t="str">
        <f t="shared" si="0"/>
        <v>THOMPSON LESTER</v>
      </c>
      <c r="H8" s="20" t="str">
        <f t="shared" si="1"/>
        <v>4032</v>
      </c>
    </row>
    <row r="9" spans="1:8" ht="15" thickBot="1" x14ac:dyDescent="0.35">
      <c r="A9" s="24">
        <v>43038.13994212963</v>
      </c>
      <c r="B9" s="20" t="s">
        <v>540</v>
      </c>
      <c r="C9" s="20" t="s">
        <v>683</v>
      </c>
      <c r="D9" s="138">
        <v>1090000</v>
      </c>
      <c r="E9" s="20" t="s">
        <v>681</v>
      </c>
      <c r="F9" s="20" t="s">
        <v>367</v>
      </c>
      <c r="G9" s="8" t="str">
        <f t="shared" si="0"/>
        <v>SPECTOR MICHAEL</v>
      </c>
      <c r="H9" s="20" t="str">
        <f t="shared" si="1"/>
        <v>4003</v>
      </c>
    </row>
    <row r="10" spans="1:8" x14ac:dyDescent="0.3">
      <c r="A10" s="8">
        <v>43038.139953703707</v>
      </c>
      <c r="B10" s="20" t="s">
        <v>401</v>
      </c>
      <c r="C10" s="20" t="s">
        <v>684</v>
      </c>
      <c r="D10" s="138">
        <v>940000</v>
      </c>
      <c r="E10" s="20" t="s">
        <v>685</v>
      </c>
      <c r="F10" s="20" t="s">
        <v>686</v>
      </c>
      <c r="G10" s="8" t="str">
        <f t="shared" si="0"/>
        <v>BONDS REYNALDO</v>
      </c>
      <c r="H10" s="20" t="str">
        <f t="shared" si="1"/>
        <v>4023</v>
      </c>
    </row>
    <row r="11" spans="1:8" x14ac:dyDescent="0.3">
      <c r="A11" s="8">
        <v>43038.150775462964</v>
      </c>
      <c r="B11" s="20" t="s">
        <v>400</v>
      </c>
      <c r="C11" s="20" t="s">
        <v>687</v>
      </c>
      <c r="D11" s="138">
        <v>940000</v>
      </c>
      <c r="E11" s="20" t="s">
        <v>685</v>
      </c>
      <c r="F11" s="20" t="s">
        <v>686</v>
      </c>
      <c r="G11" s="8" t="str">
        <f t="shared" si="0"/>
        <v>BONDS REYNALDO</v>
      </c>
      <c r="H11" s="20" t="str">
        <f t="shared" si="1"/>
        <v>4024</v>
      </c>
    </row>
    <row r="12" spans="1:8" x14ac:dyDescent="0.3">
      <c r="A12" s="8">
        <v>43038.154687499999</v>
      </c>
      <c r="B12" s="20" t="s">
        <v>554</v>
      </c>
      <c r="C12" s="20" t="s">
        <v>688</v>
      </c>
      <c r="D12" s="138">
        <v>1830000</v>
      </c>
      <c r="E12" s="20" t="s">
        <v>359</v>
      </c>
      <c r="F12" s="20" t="s">
        <v>360</v>
      </c>
      <c r="G12" s="8" t="str">
        <f t="shared" si="0"/>
        <v>YORK EDGAR</v>
      </c>
      <c r="H12" s="20" t="str">
        <f t="shared" si="1"/>
        <v>4011</v>
      </c>
    </row>
    <row r="13" spans="1:8" x14ac:dyDescent="0.3">
      <c r="A13" s="8">
        <v>43038.163969907408</v>
      </c>
      <c r="B13" s="20" t="s">
        <v>553</v>
      </c>
      <c r="C13" s="20" t="s">
        <v>689</v>
      </c>
      <c r="D13" s="138">
        <v>1830000</v>
      </c>
      <c r="E13" s="20" t="s">
        <v>359</v>
      </c>
      <c r="F13" s="20" t="s">
        <v>360</v>
      </c>
      <c r="G13" s="8" t="str">
        <f t="shared" si="0"/>
        <v>YORK EDGAR</v>
      </c>
      <c r="H13" s="20" t="str">
        <f t="shared" si="1"/>
        <v>4012</v>
      </c>
    </row>
    <row r="14" spans="1:8" x14ac:dyDescent="0.3">
      <c r="A14" s="8">
        <v>43038.173275462963</v>
      </c>
      <c r="B14" s="20" t="s">
        <v>539</v>
      </c>
      <c r="C14" s="20" t="s">
        <v>690</v>
      </c>
      <c r="D14" s="138">
        <v>3120000</v>
      </c>
      <c r="E14" s="20" t="s">
        <v>546</v>
      </c>
      <c r="F14" s="20" t="s">
        <v>547</v>
      </c>
      <c r="G14" s="8" t="str">
        <f t="shared" si="0"/>
        <v>THOMPSON LESTER</v>
      </c>
      <c r="H14" s="20" t="str">
        <f t="shared" si="1"/>
        <v>4031</v>
      </c>
    </row>
    <row r="15" spans="1:8" x14ac:dyDescent="0.3">
      <c r="A15" s="8">
        <v>43038.175798611112</v>
      </c>
      <c r="B15" s="20" t="s">
        <v>467</v>
      </c>
      <c r="C15" s="20" t="s">
        <v>691</v>
      </c>
      <c r="D15" s="138">
        <v>3510000</v>
      </c>
      <c r="E15" s="20" t="s">
        <v>548</v>
      </c>
      <c r="F15" s="20" t="s">
        <v>549</v>
      </c>
      <c r="G15" s="8" t="str">
        <f t="shared" si="0"/>
        <v>BARRON PERLA</v>
      </c>
      <c r="H15" s="20" t="str">
        <f t="shared" si="1"/>
        <v>4049</v>
      </c>
    </row>
    <row r="16" spans="1:8" x14ac:dyDescent="0.3">
      <c r="A16" s="8">
        <v>43038.176574074074</v>
      </c>
      <c r="B16" s="20" t="s">
        <v>467</v>
      </c>
      <c r="C16" s="20" t="s">
        <v>692</v>
      </c>
      <c r="D16" s="138">
        <v>3510000</v>
      </c>
      <c r="E16" s="20" t="s">
        <v>548</v>
      </c>
      <c r="F16" s="20" t="s">
        <v>549</v>
      </c>
      <c r="G16" s="8" t="str">
        <f t="shared" si="0"/>
        <v>BARRON PERLA</v>
      </c>
      <c r="H16" s="20" t="str">
        <f t="shared" si="1"/>
        <v>4049</v>
      </c>
    </row>
    <row r="17" spans="1:8" x14ac:dyDescent="0.3">
      <c r="A17" s="8">
        <v>43038.177048611113</v>
      </c>
      <c r="B17" s="20" t="s">
        <v>489</v>
      </c>
      <c r="C17" s="20" t="s">
        <v>693</v>
      </c>
      <c r="D17" s="138">
        <v>2010000</v>
      </c>
      <c r="E17" s="20" t="s">
        <v>492</v>
      </c>
      <c r="F17" s="20" t="s">
        <v>493</v>
      </c>
      <c r="G17" s="8" t="str">
        <f t="shared" si="0"/>
        <v>MAELZER KURT</v>
      </c>
      <c r="H17" s="20" t="str">
        <f t="shared" si="1"/>
        <v>4041</v>
      </c>
    </row>
    <row r="18" spans="1:8" x14ac:dyDescent="0.3">
      <c r="A18" s="8">
        <v>43038.186898148146</v>
      </c>
      <c r="B18" s="20" t="s">
        <v>466</v>
      </c>
      <c r="C18" s="20" t="s">
        <v>691</v>
      </c>
      <c r="D18" s="138">
        <v>3510000</v>
      </c>
      <c r="E18" s="20" t="s">
        <v>548</v>
      </c>
      <c r="F18" s="20" t="s">
        <v>549</v>
      </c>
      <c r="G18" s="8" t="str">
        <f t="shared" si="0"/>
        <v>BARRON PERLA</v>
      </c>
      <c r="H18" s="20" t="str">
        <f t="shared" si="1"/>
        <v>4050</v>
      </c>
    </row>
    <row r="19" spans="1:8" x14ac:dyDescent="0.3">
      <c r="A19" s="8">
        <v>43038.187604166669</v>
      </c>
      <c r="B19" s="20" t="s">
        <v>401</v>
      </c>
      <c r="C19" s="20" t="s">
        <v>694</v>
      </c>
      <c r="D19" s="138">
        <v>940000</v>
      </c>
      <c r="E19" s="20" t="s">
        <v>685</v>
      </c>
      <c r="F19" s="20" t="s">
        <v>686</v>
      </c>
      <c r="G19" s="8" t="str">
        <f t="shared" si="0"/>
        <v>BONDS REYNALDO</v>
      </c>
      <c r="H19" s="20" t="str">
        <f t="shared" si="1"/>
        <v>4023</v>
      </c>
    </row>
    <row r="20" spans="1:8" x14ac:dyDescent="0.3">
      <c r="A20" s="8">
        <v>43038.192569444444</v>
      </c>
      <c r="B20" s="20" t="s">
        <v>490</v>
      </c>
      <c r="C20" s="20" t="s">
        <v>695</v>
      </c>
      <c r="D20" s="138">
        <v>2270000</v>
      </c>
      <c r="E20" s="20" t="s">
        <v>696</v>
      </c>
      <c r="F20" s="20" t="s">
        <v>697</v>
      </c>
      <c r="G20" s="8" t="str">
        <f t="shared" si="0"/>
        <v>BROWN JACOB</v>
      </c>
      <c r="H20" s="20" t="str">
        <f t="shared" si="1"/>
        <v>4053</v>
      </c>
    </row>
    <row r="21" spans="1:8" x14ac:dyDescent="0.3">
      <c r="A21" s="8">
        <v>43038.194907407407</v>
      </c>
      <c r="B21" s="20" t="s">
        <v>491</v>
      </c>
      <c r="C21" s="20" t="s">
        <v>698</v>
      </c>
      <c r="D21" s="138">
        <v>2010000</v>
      </c>
      <c r="E21" s="20" t="s">
        <v>492</v>
      </c>
      <c r="F21" s="20" t="s">
        <v>493</v>
      </c>
      <c r="G21" s="8" t="str">
        <f t="shared" si="0"/>
        <v>MAELZER KURT</v>
      </c>
      <c r="H21" s="20" t="str">
        <f t="shared" si="1"/>
        <v>4042</v>
      </c>
    </row>
    <row r="22" spans="1:8" x14ac:dyDescent="0.3">
      <c r="A22" s="26">
        <v>43038.197569444441</v>
      </c>
      <c r="B22" s="20" t="s">
        <v>545</v>
      </c>
      <c r="C22" s="20" t="s">
        <v>699</v>
      </c>
      <c r="D22" s="138">
        <v>0</v>
      </c>
      <c r="E22" s="20" t="s">
        <v>1139</v>
      </c>
      <c r="F22" s="20" t="s">
        <v>550</v>
      </c>
      <c r="G22" s="8" t="str">
        <f t="shared" si="0"/>
        <v>MACDONALD THOMAS</v>
      </c>
      <c r="H22" s="20" t="str">
        <f t="shared" si="1"/>
        <v>4064</v>
      </c>
    </row>
    <row r="23" spans="1:8" x14ac:dyDescent="0.3">
      <c r="A23" s="8">
        <v>43038.202384259261</v>
      </c>
      <c r="B23" s="20" t="s">
        <v>554</v>
      </c>
      <c r="C23" s="20" t="s">
        <v>700</v>
      </c>
      <c r="D23" s="138">
        <v>1830000</v>
      </c>
      <c r="E23" s="20" t="s">
        <v>359</v>
      </c>
      <c r="F23" s="20" t="s">
        <v>360</v>
      </c>
      <c r="G23" s="8" t="str">
        <f t="shared" si="0"/>
        <v>YORK EDGAR</v>
      </c>
      <c r="H23" s="20" t="str">
        <f t="shared" si="1"/>
        <v>4011</v>
      </c>
    </row>
    <row r="24" spans="1:8" x14ac:dyDescent="0.3">
      <c r="A24" s="8">
        <v>43038.206701388888</v>
      </c>
      <c r="B24" s="20" t="s">
        <v>408</v>
      </c>
      <c r="C24" s="20" t="s">
        <v>701</v>
      </c>
      <c r="D24" s="138">
        <v>3120000</v>
      </c>
      <c r="E24" s="20" t="s">
        <v>546</v>
      </c>
      <c r="F24" s="20" t="s">
        <v>547</v>
      </c>
      <c r="G24" s="8" t="str">
        <f t="shared" si="0"/>
        <v>THOMPSON LESTER</v>
      </c>
      <c r="H24" s="20" t="str">
        <f t="shared" si="1"/>
        <v>4032</v>
      </c>
    </row>
    <row r="25" spans="1:8" x14ac:dyDescent="0.3">
      <c r="A25" s="8">
        <v>43038.207662037035</v>
      </c>
      <c r="B25" s="20" t="s">
        <v>541</v>
      </c>
      <c r="C25" s="20" t="s">
        <v>702</v>
      </c>
      <c r="D25" s="138">
        <v>0</v>
      </c>
      <c r="E25" s="20" t="s">
        <v>1139</v>
      </c>
      <c r="F25" s="20" t="s">
        <v>550</v>
      </c>
      <c r="G25" s="8" t="str">
        <f t="shared" si="0"/>
        <v>MACDONALD THOMAS</v>
      </c>
      <c r="H25" s="20" t="str">
        <f t="shared" si="1"/>
        <v>4063</v>
      </c>
    </row>
    <row r="26" spans="1:8" x14ac:dyDescent="0.3">
      <c r="A26" s="8">
        <v>43038.209965277776</v>
      </c>
      <c r="B26" s="20" t="s">
        <v>496</v>
      </c>
      <c r="C26" s="20" t="s">
        <v>703</v>
      </c>
      <c r="D26" s="138">
        <v>2270000</v>
      </c>
      <c r="E26" s="20" t="s">
        <v>696</v>
      </c>
      <c r="F26" s="20" t="s">
        <v>697</v>
      </c>
      <c r="G26" s="8" t="str">
        <f t="shared" si="0"/>
        <v>BROWN JACOB</v>
      </c>
      <c r="H26" s="20" t="str">
        <f t="shared" si="1"/>
        <v>4054</v>
      </c>
    </row>
    <row r="27" spans="1:8" x14ac:dyDescent="0.3">
      <c r="A27" s="8">
        <v>43038.224178240744</v>
      </c>
      <c r="B27" s="20" t="s">
        <v>650</v>
      </c>
      <c r="C27" s="20" t="s">
        <v>651</v>
      </c>
      <c r="D27" s="138">
        <v>3090000</v>
      </c>
      <c r="E27" s="20" t="s">
        <v>551</v>
      </c>
      <c r="F27" s="20" t="s">
        <v>552</v>
      </c>
      <c r="G27" s="8" t="str">
        <f t="shared" si="0"/>
        <v>LAMAR NEKESHA</v>
      </c>
      <c r="H27" s="20" t="str">
        <f t="shared" si="1"/>
        <v>4001</v>
      </c>
    </row>
    <row r="28" spans="1:8" x14ac:dyDescent="0.3">
      <c r="A28" s="8">
        <v>43038.225451388891</v>
      </c>
      <c r="B28" s="20" t="s">
        <v>400</v>
      </c>
      <c r="C28" s="20" t="s">
        <v>652</v>
      </c>
      <c r="D28" s="138">
        <v>940000</v>
      </c>
      <c r="E28" s="20" t="s">
        <v>685</v>
      </c>
      <c r="F28" s="20" t="s">
        <v>686</v>
      </c>
      <c r="G28" s="8" t="str">
        <f t="shared" si="0"/>
        <v>BONDS REYNALDO</v>
      </c>
      <c r="H28" s="20" t="str">
        <f t="shared" si="1"/>
        <v>4024</v>
      </c>
    </row>
    <row r="29" spans="1:8" x14ac:dyDescent="0.3">
      <c r="A29" s="8">
        <v>43038.234710648147</v>
      </c>
      <c r="B29" s="20" t="s">
        <v>545</v>
      </c>
      <c r="C29" s="20" t="s">
        <v>704</v>
      </c>
      <c r="D29" s="138">
        <v>0</v>
      </c>
      <c r="E29" s="20" t="s">
        <v>1139</v>
      </c>
      <c r="F29" s="20" t="s">
        <v>550</v>
      </c>
      <c r="G29" s="8" t="str">
        <f t="shared" si="0"/>
        <v>MACDONALD THOMAS</v>
      </c>
      <c r="H29" s="20" t="str">
        <f t="shared" si="1"/>
        <v>4064</v>
      </c>
    </row>
    <row r="30" spans="1:8" x14ac:dyDescent="0.3">
      <c r="A30" s="8">
        <v>43038.235127314816</v>
      </c>
      <c r="B30" s="20" t="s">
        <v>489</v>
      </c>
      <c r="C30" s="20" t="s">
        <v>705</v>
      </c>
      <c r="D30" s="138">
        <v>2010000</v>
      </c>
      <c r="E30" s="20" t="s">
        <v>492</v>
      </c>
      <c r="F30" s="20" t="s">
        <v>493</v>
      </c>
      <c r="G30" s="8" t="str">
        <f t="shared" si="0"/>
        <v>MAELZER KURT</v>
      </c>
      <c r="H30" s="20" t="str">
        <f t="shared" si="1"/>
        <v>4041</v>
      </c>
    </row>
    <row r="31" spans="1:8" x14ac:dyDescent="0.3">
      <c r="A31" s="8">
        <v>43038.236817129633</v>
      </c>
      <c r="B31" s="20" t="s">
        <v>660</v>
      </c>
      <c r="C31" s="20" t="s">
        <v>706</v>
      </c>
      <c r="D31" s="138">
        <v>3030000</v>
      </c>
      <c r="E31" s="20" t="s">
        <v>557</v>
      </c>
      <c r="F31" s="20" t="s">
        <v>550</v>
      </c>
      <c r="G31" s="8" t="str">
        <f t="shared" si="0"/>
        <v>BIRENBAUM THOMAS</v>
      </c>
      <c r="H31" s="20" t="str">
        <f t="shared" si="1"/>
        <v>4002</v>
      </c>
    </row>
    <row r="32" spans="1:8" x14ac:dyDescent="0.3">
      <c r="A32" s="8">
        <v>43038.238310185188</v>
      </c>
      <c r="B32" s="20" t="s">
        <v>470</v>
      </c>
      <c r="C32" s="20" t="s">
        <v>707</v>
      </c>
      <c r="D32" s="138">
        <v>1230000</v>
      </c>
      <c r="E32" s="20" t="s">
        <v>708</v>
      </c>
      <c r="F32" s="20" t="s">
        <v>709</v>
      </c>
      <c r="G32" s="8" t="str">
        <f t="shared" si="0"/>
        <v>YANAI IAN</v>
      </c>
      <c r="H32" s="20" t="str">
        <f t="shared" si="1"/>
        <v>4035</v>
      </c>
    </row>
    <row r="33" spans="1:8" x14ac:dyDescent="0.3">
      <c r="A33" s="8">
        <v>43038.243159722224</v>
      </c>
      <c r="B33" s="20" t="s">
        <v>553</v>
      </c>
      <c r="C33" s="20" t="s">
        <v>710</v>
      </c>
      <c r="D33" s="138">
        <v>1830000</v>
      </c>
      <c r="E33" s="20" t="s">
        <v>359</v>
      </c>
      <c r="F33" s="20" t="s">
        <v>360</v>
      </c>
      <c r="G33" s="8" t="str">
        <f t="shared" si="0"/>
        <v>YORK EDGAR</v>
      </c>
      <c r="H33" s="20" t="str">
        <f t="shared" si="1"/>
        <v>4012</v>
      </c>
    </row>
    <row r="34" spans="1:8" x14ac:dyDescent="0.3">
      <c r="A34" s="8">
        <v>43038.24527777778</v>
      </c>
      <c r="B34" s="20" t="s">
        <v>539</v>
      </c>
      <c r="C34" s="20" t="s">
        <v>711</v>
      </c>
      <c r="D34" s="138">
        <v>3120000</v>
      </c>
      <c r="E34" s="20" t="s">
        <v>546</v>
      </c>
      <c r="F34" s="20" t="s">
        <v>547</v>
      </c>
      <c r="G34" s="8" t="str">
        <f t="shared" si="0"/>
        <v>THOMPSON LESTER</v>
      </c>
      <c r="H34" s="20" t="str">
        <f t="shared" si="1"/>
        <v>4031</v>
      </c>
    </row>
    <row r="35" spans="1:8" x14ac:dyDescent="0.3">
      <c r="A35" s="8">
        <v>43038.247245370374</v>
      </c>
      <c r="B35" s="20" t="s">
        <v>469</v>
      </c>
      <c r="C35" s="20" t="s">
        <v>653</v>
      </c>
      <c r="D35" s="138">
        <v>1230000</v>
      </c>
      <c r="E35" s="20" t="s">
        <v>708</v>
      </c>
      <c r="F35" s="20" t="s">
        <v>709</v>
      </c>
      <c r="G35" s="8" t="str">
        <f t="shared" si="0"/>
        <v>YANAI IAN</v>
      </c>
      <c r="H35" s="20" t="str">
        <f t="shared" si="1"/>
        <v>4036</v>
      </c>
    </row>
    <row r="36" spans="1:8" x14ac:dyDescent="0.3">
      <c r="A36" s="8">
        <v>43038.247395833336</v>
      </c>
      <c r="B36" s="20" t="s">
        <v>541</v>
      </c>
      <c r="C36" s="20" t="s">
        <v>712</v>
      </c>
      <c r="D36" s="138">
        <v>0</v>
      </c>
      <c r="E36" s="20" t="s">
        <v>1139</v>
      </c>
      <c r="F36" s="20" t="s">
        <v>550</v>
      </c>
      <c r="G36" s="8" t="str">
        <f t="shared" si="0"/>
        <v>MACDONALD THOMAS</v>
      </c>
      <c r="H36" s="20" t="str">
        <f t="shared" si="1"/>
        <v>4063</v>
      </c>
    </row>
    <row r="37" spans="1:8" x14ac:dyDescent="0.3">
      <c r="A37" s="8">
        <v>43038.248564814814</v>
      </c>
      <c r="B37" s="20" t="s">
        <v>544</v>
      </c>
      <c r="C37" s="20" t="s">
        <v>713</v>
      </c>
      <c r="D37" s="138">
        <v>3510000</v>
      </c>
      <c r="E37" s="20" t="s">
        <v>548</v>
      </c>
      <c r="F37" s="20" t="s">
        <v>549</v>
      </c>
      <c r="G37" s="8" t="str">
        <f t="shared" si="0"/>
        <v>BARRON PERLA</v>
      </c>
      <c r="H37" s="20" t="str">
        <f t="shared" si="1"/>
        <v>4004</v>
      </c>
    </row>
    <row r="38" spans="1:8" x14ac:dyDescent="0.3">
      <c r="A38" s="8">
        <v>43038.25571759259</v>
      </c>
      <c r="B38" s="20" t="s">
        <v>540</v>
      </c>
      <c r="C38" s="20" t="s">
        <v>714</v>
      </c>
      <c r="D38" s="138">
        <v>3510000</v>
      </c>
      <c r="E38" s="20" t="s">
        <v>548</v>
      </c>
      <c r="F38" s="20" t="s">
        <v>549</v>
      </c>
      <c r="G38" s="8" t="str">
        <f t="shared" si="0"/>
        <v>BARRON PERLA</v>
      </c>
      <c r="H38" s="20" t="str">
        <f t="shared" si="1"/>
        <v>4003</v>
      </c>
    </row>
    <row r="39" spans="1:8" x14ac:dyDescent="0.3">
      <c r="A39" s="8">
        <v>43038.256851851853</v>
      </c>
      <c r="B39" s="20" t="s">
        <v>490</v>
      </c>
      <c r="C39" s="20" t="s">
        <v>715</v>
      </c>
      <c r="D39" s="138">
        <v>2270000</v>
      </c>
      <c r="E39" s="20" t="s">
        <v>696</v>
      </c>
      <c r="F39" s="20" t="s">
        <v>697</v>
      </c>
      <c r="G39" s="8" t="str">
        <f t="shared" si="0"/>
        <v>BROWN JACOB</v>
      </c>
      <c r="H39" s="20" t="str">
        <f t="shared" si="1"/>
        <v>4053</v>
      </c>
    </row>
    <row r="40" spans="1:8" x14ac:dyDescent="0.3">
      <c r="A40" s="8">
        <v>43038.260069444441</v>
      </c>
      <c r="B40" s="25" t="s">
        <v>544</v>
      </c>
      <c r="C40" s="20" t="s">
        <v>654</v>
      </c>
      <c r="D40" s="138">
        <v>3510000</v>
      </c>
      <c r="E40" s="20" t="s">
        <v>548</v>
      </c>
      <c r="F40" s="20" t="s">
        <v>549</v>
      </c>
      <c r="G40" s="8" t="str">
        <f t="shared" si="0"/>
        <v>BARRON PERLA</v>
      </c>
      <c r="H40" s="20" t="str">
        <f t="shared" si="1"/>
        <v>4004</v>
      </c>
    </row>
    <row r="41" spans="1:8" x14ac:dyDescent="0.3">
      <c r="A41" s="8">
        <v>43038.260821759257</v>
      </c>
      <c r="B41" s="20" t="s">
        <v>544</v>
      </c>
      <c r="C41" s="20" t="s">
        <v>654</v>
      </c>
      <c r="D41" s="138">
        <v>3510000</v>
      </c>
      <c r="E41" s="20" t="s">
        <v>548</v>
      </c>
      <c r="F41" s="20" t="s">
        <v>549</v>
      </c>
      <c r="G41" s="8" t="str">
        <f t="shared" si="0"/>
        <v>BARRON PERLA</v>
      </c>
      <c r="H41" s="20" t="str">
        <f t="shared" si="1"/>
        <v>4004</v>
      </c>
    </row>
    <row r="42" spans="1:8" x14ac:dyDescent="0.3">
      <c r="A42" s="8">
        <v>43038.261458333334</v>
      </c>
      <c r="B42" s="20" t="s">
        <v>544</v>
      </c>
      <c r="C42" s="20" t="s">
        <v>654</v>
      </c>
      <c r="D42" s="138">
        <v>3510000</v>
      </c>
      <c r="E42" s="20" t="s">
        <v>548</v>
      </c>
      <c r="F42" s="20" t="s">
        <v>549</v>
      </c>
      <c r="G42" s="8" t="str">
        <f t="shared" si="0"/>
        <v>BARRON PERLA</v>
      </c>
      <c r="H42" s="20" t="str">
        <f t="shared" si="1"/>
        <v>4004</v>
      </c>
    </row>
    <row r="43" spans="1:8" x14ac:dyDescent="0.3">
      <c r="A43" s="8">
        <v>43038.262743055559</v>
      </c>
      <c r="B43" s="20" t="s">
        <v>544</v>
      </c>
      <c r="C43" s="20" t="s">
        <v>654</v>
      </c>
      <c r="D43" s="138">
        <v>3510000</v>
      </c>
      <c r="E43" s="20" t="s">
        <v>548</v>
      </c>
      <c r="F43" s="20" t="s">
        <v>549</v>
      </c>
      <c r="G43" s="8" t="str">
        <f t="shared" si="0"/>
        <v>BARRON PERLA</v>
      </c>
      <c r="H43" s="20" t="str">
        <f t="shared" si="1"/>
        <v>4004</v>
      </c>
    </row>
    <row r="44" spans="1:8" x14ac:dyDescent="0.3">
      <c r="A44" s="8">
        <v>43038.265393518515</v>
      </c>
      <c r="B44" s="20" t="s">
        <v>650</v>
      </c>
      <c r="C44" s="20" t="s">
        <v>716</v>
      </c>
      <c r="D44" s="138">
        <v>3030000</v>
      </c>
      <c r="E44" s="20" t="s">
        <v>557</v>
      </c>
      <c r="F44" s="20" t="s">
        <v>550</v>
      </c>
      <c r="G44" s="8" t="str">
        <f t="shared" si="0"/>
        <v>BIRENBAUM THOMAS</v>
      </c>
      <c r="H44" s="20" t="str">
        <f t="shared" si="1"/>
        <v>4001</v>
      </c>
    </row>
    <row r="45" spans="1:8" x14ac:dyDescent="0.3">
      <c r="A45" s="8">
        <v>43038.265902777777</v>
      </c>
      <c r="B45" s="20" t="s">
        <v>401</v>
      </c>
      <c r="C45" s="20" t="s">
        <v>717</v>
      </c>
      <c r="D45" s="138">
        <v>940000</v>
      </c>
      <c r="E45" s="20" t="s">
        <v>685</v>
      </c>
      <c r="F45" s="20" t="s">
        <v>686</v>
      </c>
      <c r="G45" s="8" t="str">
        <f t="shared" si="0"/>
        <v>BONDS REYNALDO</v>
      </c>
      <c r="H45" s="20" t="str">
        <f t="shared" si="1"/>
        <v>4023</v>
      </c>
    </row>
    <row r="46" spans="1:8" x14ac:dyDescent="0.3">
      <c r="A46" s="8">
        <v>43038.266817129632</v>
      </c>
      <c r="B46" s="20" t="s">
        <v>491</v>
      </c>
      <c r="C46" s="20" t="s">
        <v>655</v>
      </c>
      <c r="D46" s="138">
        <v>2010000</v>
      </c>
      <c r="E46" s="20" t="s">
        <v>492</v>
      </c>
      <c r="F46" s="20" t="s">
        <v>493</v>
      </c>
      <c r="G46" s="8" t="str">
        <f t="shared" si="0"/>
        <v>MAELZER KURT</v>
      </c>
      <c r="H46" s="20" t="str">
        <f t="shared" si="1"/>
        <v>4042</v>
      </c>
    </row>
    <row r="47" spans="1:8" x14ac:dyDescent="0.3">
      <c r="A47" s="8">
        <v>43038.266875000001</v>
      </c>
      <c r="B47" s="20" t="s">
        <v>544</v>
      </c>
      <c r="C47" s="20" t="s">
        <v>654</v>
      </c>
      <c r="D47" s="138">
        <v>3510000</v>
      </c>
      <c r="E47" s="20" t="s">
        <v>548</v>
      </c>
      <c r="F47" s="20" t="s">
        <v>549</v>
      </c>
      <c r="G47" s="8" t="str">
        <f t="shared" si="0"/>
        <v>BARRON PERLA</v>
      </c>
      <c r="H47" s="20" t="str">
        <f t="shared" si="1"/>
        <v>4004</v>
      </c>
    </row>
    <row r="48" spans="1:8" x14ac:dyDescent="0.3">
      <c r="A48" s="8">
        <v>43038.268379629626</v>
      </c>
      <c r="B48" s="20" t="s">
        <v>470</v>
      </c>
      <c r="C48" s="20" t="s">
        <v>718</v>
      </c>
      <c r="D48" s="138">
        <v>1230000</v>
      </c>
      <c r="E48" s="20" t="s">
        <v>708</v>
      </c>
      <c r="F48" s="20" t="s">
        <v>709</v>
      </c>
      <c r="G48" s="8" t="str">
        <f t="shared" si="0"/>
        <v>YANAI IAN</v>
      </c>
      <c r="H48" s="20" t="str">
        <f t="shared" si="1"/>
        <v>4035</v>
      </c>
    </row>
    <row r="49" spans="1:8" x14ac:dyDescent="0.3">
      <c r="A49" s="8">
        <v>43038.276273148149</v>
      </c>
      <c r="B49" s="20" t="s">
        <v>554</v>
      </c>
      <c r="C49" s="20" t="s">
        <v>719</v>
      </c>
      <c r="D49" s="138">
        <v>1830000</v>
      </c>
      <c r="E49" s="20" t="s">
        <v>359</v>
      </c>
      <c r="F49" s="20" t="s">
        <v>360</v>
      </c>
      <c r="G49" s="8" t="str">
        <f t="shared" si="0"/>
        <v>YORK EDGAR</v>
      </c>
      <c r="H49" s="20" t="str">
        <f t="shared" si="1"/>
        <v>4011</v>
      </c>
    </row>
    <row r="50" spans="1:8" x14ac:dyDescent="0.3">
      <c r="A50" s="8">
        <v>43038.276377314818</v>
      </c>
      <c r="B50" s="20" t="s">
        <v>545</v>
      </c>
      <c r="C50" s="20" t="s">
        <v>720</v>
      </c>
      <c r="D50" s="138">
        <v>0</v>
      </c>
      <c r="E50" s="20" t="s">
        <v>1139</v>
      </c>
      <c r="F50" s="20" t="s">
        <v>550</v>
      </c>
      <c r="G50" s="8" t="str">
        <f t="shared" si="0"/>
        <v>MACDONALD THOMAS</v>
      </c>
      <c r="H50" s="20" t="str">
        <f t="shared" si="1"/>
        <v>4064</v>
      </c>
    </row>
    <row r="51" spans="1:8" x14ac:dyDescent="0.3">
      <c r="A51" s="8">
        <v>43038.279143518521</v>
      </c>
      <c r="B51" s="20" t="s">
        <v>408</v>
      </c>
      <c r="C51" s="20" t="s">
        <v>721</v>
      </c>
      <c r="D51" s="138">
        <v>3120000</v>
      </c>
      <c r="E51" s="20" t="s">
        <v>546</v>
      </c>
      <c r="F51" s="20" t="s">
        <v>547</v>
      </c>
      <c r="G51" s="8" t="str">
        <f t="shared" si="0"/>
        <v>THOMPSON LESTER</v>
      </c>
      <c r="H51" s="20" t="str">
        <f t="shared" si="1"/>
        <v>4032</v>
      </c>
    </row>
    <row r="52" spans="1:8" x14ac:dyDescent="0.3">
      <c r="A52" s="8">
        <v>43038.2893287037</v>
      </c>
      <c r="B52" s="20" t="s">
        <v>496</v>
      </c>
      <c r="C52" s="20" t="s">
        <v>722</v>
      </c>
      <c r="D52" s="138">
        <v>2270000</v>
      </c>
      <c r="E52" s="20" t="s">
        <v>696</v>
      </c>
      <c r="F52" s="20" t="s">
        <v>697</v>
      </c>
      <c r="G52" s="8" t="str">
        <f t="shared" si="0"/>
        <v>BROWN JACOB</v>
      </c>
      <c r="H52" s="20" t="str">
        <f t="shared" si="1"/>
        <v>4054</v>
      </c>
    </row>
    <row r="53" spans="1:8" x14ac:dyDescent="0.3">
      <c r="A53" s="8">
        <v>43038.28943287037</v>
      </c>
      <c r="B53" s="20" t="s">
        <v>541</v>
      </c>
      <c r="C53" s="20" t="s">
        <v>723</v>
      </c>
      <c r="D53" s="138">
        <v>0</v>
      </c>
      <c r="E53" s="20" t="s">
        <v>1139</v>
      </c>
      <c r="F53" s="20" t="s">
        <v>550</v>
      </c>
      <c r="G53" s="8" t="str">
        <f t="shared" si="0"/>
        <v>MACDONALD THOMAS</v>
      </c>
      <c r="H53" s="20" t="str">
        <f t="shared" si="1"/>
        <v>4063</v>
      </c>
    </row>
    <row r="54" spans="1:8" x14ac:dyDescent="0.3">
      <c r="A54" s="8">
        <v>43038.291250000002</v>
      </c>
      <c r="B54" s="20" t="s">
        <v>469</v>
      </c>
      <c r="C54" s="20" t="s">
        <v>656</v>
      </c>
      <c r="D54" s="138">
        <v>1230000</v>
      </c>
      <c r="E54" s="20" t="s">
        <v>708</v>
      </c>
      <c r="F54" s="20" t="s">
        <v>709</v>
      </c>
      <c r="G54" s="8" t="str">
        <f t="shared" si="0"/>
        <v>YANAI IAN</v>
      </c>
      <c r="H54" s="20" t="str">
        <f t="shared" si="1"/>
        <v>4036</v>
      </c>
    </row>
    <row r="55" spans="1:8" x14ac:dyDescent="0.3">
      <c r="A55" s="8">
        <v>43038.292141203703</v>
      </c>
      <c r="B55" s="20" t="s">
        <v>541</v>
      </c>
      <c r="C55" s="20" t="s">
        <v>723</v>
      </c>
      <c r="D55" s="138">
        <v>0</v>
      </c>
      <c r="E55" s="20" t="s">
        <v>1139</v>
      </c>
      <c r="F55" s="20" t="s">
        <v>550</v>
      </c>
      <c r="G55" s="8" t="str">
        <f t="shared" si="0"/>
        <v>MACDONALD THOMAS</v>
      </c>
      <c r="H55" s="20" t="str">
        <f t="shared" si="1"/>
        <v>4063</v>
      </c>
    </row>
    <row r="56" spans="1:8" x14ac:dyDescent="0.3">
      <c r="A56" s="8">
        <v>43038.293645833335</v>
      </c>
      <c r="B56" s="20" t="s">
        <v>469</v>
      </c>
      <c r="C56" s="20" t="s">
        <v>656</v>
      </c>
      <c r="D56" s="138">
        <v>1230000</v>
      </c>
      <c r="E56" s="20" t="s">
        <v>708</v>
      </c>
      <c r="F56" s="20" t="s">
        <v>709</v>
      </c>
      <c r="G56" s="8" t="str">
        <f t="shared" si="0"/>
        <v>YANAI IAN</v>
      </c>
      <c r="H56" s="20" t="str">
        <f t="shared" si="1"/>
        <v>4036</v>
      </c>
    </row>
    <row r="57" spans="1:8" x14ac:dyDescent="0.3">
      <c r="A57" s="8">
        <v>43038.298460648148</v>
      </c>
      <c r="B57" s="20" t="s">
        <v>540</v>
      </c>
      <c r="C57" s="20" t="s">
        <v>724</v>
      </c>
      <c r="D57" s="138">
        <v>3510000</v>
      </c>
      <c r="E57" s="20" t="s">
        <v>548</v>
      </c>
      <c r="F57" s="20" t="s">
        <v>549</v>
      </c>
      <c r="G57" s="8" t="str">
        <f t="shared" si="0"/>
        <v>BARRON PERLA</v>
      </c>
      <c r="H57" s="20" t="str">
        <f t="shared" si="1"/>
        <v>4003</v>
      </c>
    </row>
    <row r="58" spans="1:8" x14ac:dyDescent="0.3">
      <c r="A58" s="8">
        <v>43038.299988425926</v>
      </c>
      <c r="B58" s="20" t="s">
        <v>400</v>
      </c>
      <c r="C58" s="20" t="s">
        <v>725</v>
      </c>
      <c r="D58" s="138">
        <v>940000</v>
      </c>
      <c r="E58" s="20" t="s">
        <v>685</v>
      </c>
      <c r="F58" s="20" t="s">
        <v>686</v>
      </c>
      <c r="G58" s="8" t="str">
        <f t="shared" si="0"/>
        <v>BONDS REYNALDO</v>
      </c>
      <c r="H58" s="20" t="str">
        <f t="shared" si="1"/>
        <v>4024</v>
      </c>
    </row>
    <row r="59" spans="1:8" x14ac:dyDescent="0.3">
      <c r="A59" s="8">
        <v>43038.309004629627</v>
      </c>
      <c r="B59" s="20" t="s">
        <v>660</v>
      </c>
      <c r="C59" s="20" t="s">
        <v>726</v>
      </c>
      <c r="D59" s="138">
        <v>3090000</v>
      </c>
      <c r="E59" s="20" t="s">
        <v>551</v>
      </c>
      <c r="F59" s="20" t="s">
        <v>552</v>
      </c>
      <c r="G59" s="8" t="str">
        <f t="shared" si="0"/>
        <v>LAMAR NEKESHA</v>
      </c>
      <c r="H59" s="20" t="str">
        <f t="shared" si="1"/>
        <v>4002</v>
      </c>
    </row>
    <row r="60" spans="1:8" x14ac:dyDescent="0.3">
      <c r="A60" s="8">
        <v>43038.310671296298</v>
      </c>
      <c r="B60" s="20" t="s">
        <v>489</v>
      </c>
      <c r="C60" s="20" t="s">
        <v>727</v>
      </c>
      <c r="D60" s="138">
        <v>2010000</v>
      </c>
      <c r="E60" s="20" t="s">
        <v>492</v>
      </c>
      <c r="F60" s="20" t="s">
        <v>493</v>
      </c>
      <c r="G60" s="8" t="str">
        <f t="shared" si="0"/>
        <v>MAELZER KURT</v>
      </c>
      <c r="H60" s="20" t="str">
        <f t="shared" si="1"/>
        <v>4041</v>
      </c>
    </row>
    <row r="61" spans="1:8" x14ac:dyDescent="0.3">
      <c r="A61" s="8">
        <v>43038.311666666668</v>
      </c>
      <c r="B61" s="20" t="s">
        <v>470</v>
      </c>
      <c r="C61" s="20" t="s">
        <v>728</v>
      </c>
      <c r="D61" s="138">
        <v>1230000</v>
      </c>
      <c r="E61" s="20" t="s">
        <v>708</v>
      </c>
      <c r="F61" s="20" t="s">
        <v>709</v>
      </c>
      <c r="G61" s="8" t="str">
        <f t="shared" si="0"/>
        <v>YANAI IAN</v>
      </c>
      <c r="H61" s="20" t="str">
        <f t="shared" si="1"/>
        <v>4035</v>
      </c>
    </row>
    <row r="62" spans="1:8" x14ac:dyDescent="0.3">
      <c r="A62" s="8">
        <v>43038.318171296298</v>
      </c>
      <c r="B62" s="20" t="s">
        <v>545</v>
      </c>
      <c r="C62" s="20" t="s">
        <v>729</v>
      </c>
      <c r="D62" s="138">
        <v>0</v>
      </c>
      <c r="E62" s="20" t="s">
        <v>1139</v>
      </c>
      <c r="F62" s="20" t="s">
        <v>550</v>
      </c>
      <c r="G62" s="8" t="str">
        <f t="shared" si="0"/>
        <v>MACDONALD THOMAS</v>
      </c>
      <c r="H62" s="20" t="str">
        <f t="shared" si="1"/>
        <v>4064</v>
      </c>
    </row>
    <row r="63" spans="1:8" x14ac:dyDescent="0.3">
      <c r="A63" s="8">
        <v>43038.319201388891</v>
      </c>
      <c r="B63" s="20" t="s">
        <v>553</v>
      </c>
      <c r="C63" s="20" t="s">
        <v>730</v>
      </c>
      <c r="D63" s="138">
        <v>1830000</v>
      </c>
      <c r="E63" s="20" t="s">
        <v>359</v>
      </c>
      <c r="F63" s="20" t="s">
        <v>360</v>
      </c>
      <c r="G63" s="8" t="str">
        <f t="shared" si="0"/>
        <v>YORK EDGAR</v>
      </c>
      <c r="H63" s="20" t="str">
        <f t="shared" si="1"/>
        <v>4012</v>
      </c>
    </row>
    <row r="64" spans="1:8" x14ac:dyDescent="0.3">
      <c r="A64" s="26">
        <v>43038.319525462961</v>
      </c>
      <c r="B64" s="20" t="s">
        <v>539</v>
      </c>
      <c r="C64" s="20" t="s">
        <v>731</v>
      </c>
      <c r="D64" s="138">
        <v>3120000</v>
      </c>
      <c r="E64" s="20" t="s">
        <v>546</v>
      </c>
      <c r="F64" s="20" t="s">
        <v>547</v>
      </c>
      <c r="G64" s="8" t="str">
        <f t="shared" si="0"/>
        <v>THOMPSON LESTER</v>
      </c>
      <c r="H64" s="20" t="str">
        <f t="shared" si="1"/>
        <v>4031</v>
      </c>
    </row>
    <row r="65" spans="1:8" x14ac:dyDescent="0.3">
      <c r="A65" s="8">
        <v>43038.327696759261</v>
      </c>
      <c r="B65" s="20" t="s">
        <v>490</v>
      </c>
      <c r="C65" s="20" t="s">
        <v>732</v>
      </c>
      <c r="D65" s="138">
        <v>2270000</v>
      </c>
      <c r="E65" s="20" t="s">
        <v>696</v>
      </c>
      <c r="F65" s="20" t="s">
        <v>697</v>
      </c>
      <c r="G65" s="8" t="str">
        <f t="shared" si="0"/>
        <v>BROWN JACOB</v>
      </c>
      <c r="H65" s="20" t="str">
        <f t="shared" si="1"/>
        <v>4053</v>
      </c>
    </row>
    <row r="66" spans="1:8" x14ac:dyDescent="0.3">
      <c r="A66" s="8">
        <v>43038.330729166664</v>
      </c>
      <c r="B66" s="20" t="s">
        <v>541</v>
      </c>
      <c r="C66" s="20" t="s">
        <v>733</v>
      </c>
      <c r="D66" s="138">
        <v>0</v>
      </c>
      <c r="E66" s="20" t="s">
        <v>1139</v>
      </c>
      <c r="F66" s="20" t="s">
        <v>550</v>
      </c>
      <c r="G66" s="8" t="str">
        <f t="shared" si="0"/>
        <v>MACDONALD THOMAS</v>
      </c>
      <c r="H66" s="20" t="str">
        <f t="shared" si="1"/>
        <v>4063</v>
      </c>
    </row>
    <row r="67" spans="1:8" x14ac:dyDescent="0.3">
      <c r="A67" s="8">
        <v>43038.331620370373</v>
      </c>
      <c r="B67" s="20" t="s">
        <v>544</v>
      </c>
      <c r="C67" s="20" t="s">
        <v>734</v>
      </c>
      <c r="D67" s="138">
        <v>3510000</v>
      </c>
      <c r="E67" s="20" t="s">
        <v>548</v>
      </c>
      <c r="F67" s="20" t="s">
        <v>549</v>
      </c>
      <c r="G67" s="8" t="str">
        <f t="shared" ref="G67:G130" si="2">E67&amp;" "&amp;F67</f>
        <v>BARRON PERLA</v>
      </c>
      <c r="H67" s="20" t="str">
        <f t="shared" ref="H67:H130" si="3">MID(B67,13,4)</f>
        <v>4004</v>
      </c>
    </row>
    <row r="68" spans="1:8" x14ac:dyDescent="0.3">
      <c r="A68" s="8">
        <v>43038.333668981482</v>
      </c>
      <c r="B68" s="20" t="s">
        <v>469</v>
      </c>
      <c r="C68" s="20" t="s">
        <v>735</v>
      </c>
      <c r="D68" s="138">
        <v>1230000</v>
      </c>
      <c r="E68" s="20" t="s">
        <v>708</v>
      </c>
      <c r="F68" s="20" t="s">
        <v>709</v>
      </c>
      <c r="G68" s="8" t="str">
        <f t="shared" si="2"/>
        <v>YANAI IAN</v>
      </c>
      <c r="H68" s="20" t="str">
        <f t="shared" si="3"/>
        <v>4036</v>
      </c>
    </row>
    <row r="69" spans="1:8" x14ac:dyDescent="0.3">
      <c r="A69" s="8">
        <v>43038.336342592593</v>
      </c>
      <c r="B69" s="20" t="s">
        <v>401</v>
      </c>
      <c r="C69" s="20" t="s">
        <v>736</v>
      </c>
      <c r="D69" s="138">
        <v>940000</v>
      </c>
      <c r="E69" s="20" t="s">
        <v>685</v>
      </c>
      <c r="F69" s="20" t="s">
        <v>686</v>
      </c>
      <c r="G69" s="8" t="str">
        <f t="shared" si="2"/>
        <v>BONDS REYNALDO</v>
      </c>
      <c r="H69" s="20" t="str">
        <f t="shared" si="3"/>
        <v>4023</v>
      </c>
    </row>
    <row r="70" spans="1:8" x14ac:dyDescent="0.3">
      <c r="A70" s="8">
        <v>43038.339560185188</v>
      </c>
      <c r="B70" s="20" t="s">
        <v>491</v>
      </c>
      <c r="C70" s="20" t="s">
        <v>737</v>
      </c>
      <c r="D70" s="138">
        <v>2010000</v>
      </c>
      <c r="E70" s="20" t="s">
        <v>492</v>
      </c>
      <c r="F70" s="20" t="s">
        <v>493</v>
      </c>
      <c r="G70" s="8" t="str">
        <f t="shared" si="2"/>
        <v>MAELZER KURT</v>
      </c>
      <c r="H70" s="20" t="str">
        <f t="shared" si="3"/>
        <v>4042</v>
      </c>
    </row>
    <row r="71" spans="1:8" x14ac:dyDescent="0.3">
      <c r="A71" s="8">
        <v>43038.341296296298</v>
      </c>
      <c r="B71" s="20" t="s">
        <v>650</v>
      </c>
      <c r="C71" s="20" t="s">
        <v>738</v>
      </c>
      <c r="D71" s="138">
        <v>3090000</v>
      </c>
      <c r="E71" s="20" t="s">
        <v>551</v>
      </c>
      <c r="F71" s="20" t="s">
        <v>552</v>
      </c>
      <c r="G71" s="8" t="str">
        <f t="shared" si="2"/>
        <v>LAMAR NEKESHA</v>
      </c>
      <c r="H71" s="20" t="str">
        <f t="shared" si="3"/>
        <v>4001</v>
      </c>
    </row>
    <row r="72" spans="1:8" x14ac:dyDescent="0.3">
      <c r="A72" s="8">
        <v>43038.348124999997</v>
      </c>
      <c r="B72" s="20" t="s">
        <v>554</v>
      </c>
      <c r="C72" s="20" t="s">
        <v>739</v>
      </c>
      <c r="D72" s="138">
        <v>1830000</v>
      </c>
      <c r="E72" s="20" t="s">
        <v>359</v>
      </c>
      <c r="F72" s="20" t="s">
        <v>360</v>
      </c>
      <c r="G72" s="8" t="str">
        <f t="shared" si="2"/>
        <v>YORK EDGAR</v>
      </c>
      <c r="H72" s="20" t="str">
        <f t="shared" si="3"/>
        <v>4011</v>
      </c>
    </row>
    <row r="73" spans="1:8" x14ac:dyDescent="0.3">
      <c r="A73" s="8">
        <v>43038.351550925923</v>
      </c>
      <c r="B73" s="20" t="s">
        <v>408</v>
      </c>
      <c r="C73" s="20" t="s">
        <v>740</v>
      </c>
      <c r="D73" s="138">
        <v>3120000</v>
      </c>
      <c r="E73" s="20" t="s">
        <v>546</v>
      </c>
      <c r="F73" s="20" t="s">
        <v>547</v>
      </c>
      <c r="G73" s="8" t="str">
        <f t="shared" si="2"/>
        <v>THOMPSON LESTER</v>
      </c>
      <c r="H73" s="20" t="str">
        <f t="shared" si="3"/>
        <v>4032</v>
      </c>
    </row>
    <row r="74" spans="1:8" x14ac:dyDescent="0.3">
      <c r="A74" s="8">
        <v>43038.352418981478</v>
      </c>
      <c r="B74" s="20" t="s">
        <v>470</v>
      </c>
      <c r="C74" s="20" t="s">
        <v>741</v>
      </c>
      <c r="D74" s="138">
        <v>1230000</v>
      </c>
      <c r="E74" s="20" t="s">
        <v>708</v>
      </c>
      <c r="F74" s="20" t="s">
        <v>709</v>
      </c>
      <c r="G74" s="8" t="str">
        <f t="shared" si="2"/>
        <v>YANAI IAN</v>
      </c>
      <c r="H74" s="20" t="str">
        <f t="shared" si="3"/>
        <v>4035</v>
      </c>
    </row>
    <row r="75" spans="1:8" x14ac:dyDescent="0.3">
      <c r="A75" s="8">
        <v>43038.352719907409</v>
      </c>
      <c r="B75" s="20" t="s">
        <v>545</v>
      </c>
      <c r="C75" s="20" t="s">
        <v>742</v>
      </c>
      <c r="D75" s="138">
        <v>0</v>
      </c>
      <c r="E75" s="20" t="s">
        <v>1139</v>
      </c>
      <c r="F75" s="20" t="s">
        <v>550</v>
      </c>
      <c r="G75" s="8" t="str">
        <f t="shared" si="2"/>
        <v>MACDONALD THOMAS</v>
      </c>
      <c r="H75" s="20" t="str">
        <f t="shared" si="3"/>
        <v>4064</v>
      </c>
    </row>
    <row r="76" spans="1:8" x14ac:dyDescent="0.3">
      <c r="A76" s="8">
        <v>43038.360613425924</v>
      </c>
      <c r="B76" s="20" t="s">
        <v>540</v>
      </c>
      <c r="C76" s="20" t="s">
        <v>743</v>
      </c>
      <c r="D76" s="138">
        <v>3510000</v>
      </c>
      <c r="E76" s="20" t="s">
        <v>548</v>
      </c>
      <c r="F76" s="20" t="s">
        <v>549</v>
      </c>
      <c r="G76" s="8" t="str">
        <f t="shared" si="2"/>
        <v>BARRON PERLA</v>
      </c>
      <c r="H76" s="20" t="str">
        <f t="shared" si="3"/>
        <v>4003</v>
      </c>
    </row>
    <row r="77" spans="1:8" x14ac:dyDescent="0.3">
      <c r="A77" s="8">
        <v>43038.360659722224</v>
      </c>
      <c r="B77" s="20" t="s">
        <v>496</v>
      </c>
      <c r="C77" s="20" t="s">
        <v>744</v>
      </c>
      <c r="D77" s="138">
        <v>2270000</v>
      </c>
      <c r="E77" s="20" t="s">
        <v>696</v>
      </c>
      <c r="F77" s="20" t="s">
        <v>697</v>
      </c>
      <c r="G77" s="8" t="str">
        <f t="shared" si="2"/>
        <v>BROWN JACOB</v>
      </c>
      <c r="H77" s="20" t="str">
        <f t="shared" si="3"/>
        <v>4054</v>
      </c>
    </row>
    <row r="78" spans="1:8" x14ac:dyDescent="0.3">
      <c r="A78" s="8">
        <v>43038.371180555558</v>
      </c>
      <c r="B78" s="20" t="s">
        <v>400</v>
      </c>
      <c r="C78" s="20" t="s">
        <v>745</v>
      </c>
      <c r="D78" s="138">
        <v>940000</v>
      </c>
      <c r="E78" s="20" t="s">
        <v>685</v>
      </c>
      <c r="F78" s="20" t="s">
        <v>686</v>
      </c>
      <c r="G78" s="8" t="str">
        <f t="shared" si="2"/>
        <v>BONDS REYNALDO</v>
      </c>
      <c r="H78" s="20" t="str">
        <f t="shared" si="3"/>
        <v>4024</v>
      </c>
    </row>
    <row r="79" spans="1:8" x14ac:dyDescent="0.3">
      <c r="A79" s="8">
        <v>43038.375891203701</v>
      </c>
      <c r="B79" s="20" t="s">
        <v>489</v>
      </c>
      <c r="C79" s="20" t="s">
        <v>746</v>
      </c>
      <c r="D79" s="138">
        <v>2010000</v>
      </c>
      <c r="E79" s="20" t="s">
        <v>492</v>
      </c>
      <c r="F79" s="20" t="s">
        <v>493</v>
      </c>
      <c r="G79" s="8" t="str">
        <f t="shared" si="2"/>
        <v>MAELZER KURT</v>
      </c>
      <c r="H79" s="20" t="str">
        <f t="shared" si="3"/>
        <v>4041</v>
      </c>
    </row>
    <row r="80" spans="1:8" x14ac:dyDescent="0.3">
      <c r="A80" s="8">
        <v>43038.378784722219</v>
      </c>
      <c r="B80" s="20" t="s">
        <v>469</v>
      </c>
      <c r="C80" s="20" t="s">
        <v>747</v>
      </c>
      <c r="D80" s="138">
        <v>1230000</v>
      </c>
      <c r="E80" s="20" t="s">
        <v>708</v>
      </c>
      <c r="F80" s="20" t="s">
        <v>709</v>
      </c>
      <c r="G80" s="8" t="str">
        <f t="shared" si="2"/>
        <v>YANAI IAN</v>
      </c>
      <c r="H80" s="20" t="str">
        <f t="shared" si="3"/>
        <v>4036</v>
      </c>
    </row>
    <row r="81" spans="1:8" x14ac:dyDescent="0.3">
      <c r="A81" s="8">
        <v>43038.383611111109</v>
      </c>
      <c r="B81" s="20" t="s">
        <v>660</v>
      </c>
      <c r="C81" s="20" t="s">
        <v>748</v>
      </c>
      <c r="D81" s="138">
        <v>3090000</v>
      </c>
      <c r="E81" s="20" t="s">
        <v>551</v>
      </c>
      <c r="F81" s="20" t="s">
        <v>552</v>
      </c>
      <c r="G81" s="8" t="str">
        <f t="shared" si="2"/>
        <v>LAMAR NEKESHA</v>
      </c>
      <c r="H81" s="20" t="str">
        <f t="shared" si="3"/>
        <v>4002</v>
      </c>
    </row>
    <row r="82" spans="1:8" x14ac:dyDescent="0.3">
      <c r="A82" s="8">
        <v>43038.390162037038</v>
      </c>
      <c r="B82" s="20" t="s">
        <v>553</v>
      </c>
      <c r="C82" s="20" t="s">
        <v>749</v>
      </c>
      <c r="D82" s="138">
        <v>1830000</v>
      </c>
      <c r="E82" s="20" t="s">
        <v>359</v>
      </c>
      <c r="F82" s="20" t="s">
        <v>360</v>
      </c>
      <c r="G82" s="8" t="str">
        <f t="shared" si="2"/>
        <v>YORK EDGAR</v>
      </c>
      <c r="H82" s="20" t="str">
        <f t="shared" si="3"/>
        <v>4012</v>
      </c>
    </row>
    <row r="83" spans="1:8" x14ac:dyDescent="0.3">
      <c r="A83" s="8">
        <v>43038.391689814816</v>
      </c>
      <c r="B83" s="20" t="s">
        <v>490</v>
      </c>
      <c r="C83" s="20" t="s">
        <v>750</v>
      </c>
      <c r="D83" s="138">
        <v>2270000</v>
      </c>
      <c r="E83" s="20" t="s">
        <v>696</v>
      </c>
      <c r="F83" s="20" t="s">
        <v>697</v>
      </c>
      <c r="G83" s="8" t="str">
        <f t="shared" si="2"/>
        <v>BROWN JACOB</v>
      </c>
      <c r="H83" s="20" t="str">
        <f t="shared" si="3"/>
        <v>4053</v>
      </c>
    </row>
    <row r="84" spans="1:8" x14ac:dyDescent="0.3">
      <c r="A84" s="8">
        <v>43038.392395833333</v>
      </c>
      <c r="B84" s="20" t="s">
        <v>539</v>
      </c>
      <c r="C84" s="20" t="s">
        <v>751</v>
      </c>
      <c r="D84" s="138">
        <v>3120000</v>
      </c>
      <c r="E84" s="20" t="s">
        <v>546</v>
      </c>
      <c r="F84" s="20" t="s">
        <v>547</v>
      </c>
      <c r="G84" s="8" t="str">
        <f t="shared" si="2"/>
        <v>THOMPSON LESTER</v>
      </c>
      <c r="H84" s="20" t="str">
        <f t="shared" si="3"/>
        <v>4031</v>
      </c>
    </row>
    <row r="85" spans="1:8" x14ac:dyDescent="0.3">
      <c r="A85" s="8">
        <v>43038.393263888887</v>
      </c>
      <c r="B85" s="20" t="s">
        <v>470</v>
      </c>
      <c r="C85" s="20" t="s">
        <v>752</v>
      </c>
      <c r="D85" s="138">
        <v>1230000</v>
      </c>
      <c r="E85" s="20" t="s">
        <v>708</v>
      </c>
      <c r="F85" s="20" t="s">
        <v>709</v>
      </c>
      <c r="G85" s="8" t="str">
        <f t="shared" si="2"/>
        <v>YANAI IAN</v>
      </c>
      <c r="H85" s="20" t="str">
        <f t="shared" si="3"/>
        <v>4035</v>
      </c>
    </row>
    <row r="86" spans="1:8" x14ac:dyDescent="0.3">
      <c r="A86" s="8">
        <v>43038.394629629627</v>
      </c>
      <c r="B86" s="20" t="s">
        <v>399</v>
      </c>
      <c r="C86" s="20" t="s">
        <v>753</v>
      </c>
      <c r="D86" s="138">
        <v>1090000</v>
      </c>
      <c r="E86" s="20" t="s">
        <v>681</v>
      </c>
      <c r="F86" s="20" t="s">
        <v>367</v>
      </c>
      <c r="G86" s="8" t="str">
        <f t="shared" si="2"/>
        <v>SPECTOR MICHAEL</v>
      </c>
      <c r="H86" s="20" t="str">
        <f t="shared" si="3"/>
        <v>4058</v>
      </c>
    </row>
    <row r="87" spans="1:8" x14ac:dyDescent="0.3">
      <c r="A87" s="8">
        <v>43038.395729166667</v>
      </c>
      <c r="B87" s="20" t="s">
        <v>490</v>
      </c>
      <c r="C87" s="20" t="s">
        <v>750</v>
      </c>
      <c r="D87" s="138">
        <v>2470000</v>
      </c>
      <c r="E87" s="20" t="s">
        <v>555</v>
      </c>
      <c r="F87" s="20" t="s">
        <v>556</v>
      </c>
      <c r="G87" s="8" t="str">
        <f t="shared" si="2"/>
        <v>ROMERO CHAD</v>
      </c>
      <c r="H87" s="20" t="str">
        <f t="shared" si="3"/>
        <v>4053</v>
      </c>
    </row>
    <row r="88" spans="1:8" x14ac:dyDescent="0.3">
      <c r="A88" s="8">
        <v>43038.400925925926</v>
      </c>
      <c r="B88" s="20" t="s">
        <v>402</v>
      </c>
      <c r="C88" s="20" t="s">
        <v>753</v>
      </c>
      <c r="D88" s="138">
        <v>1090000</v>
      </c>
      <c r="E88" s="20" t="s">
        <v>681</v>
      </c>
      <c r="F88" s="20" t="s">
        <v>367</v>
      </c>
      <c r="G88" s="8" t="str">
        <f t="shared" si="2"/>
        <v>SPECTOR MICHAEL</v>
      </c>
      <c r="H88" s="20" t="str">
        <f t="shared" si="3"/>
        <v>4057</v>
      </c>
    </row>
    <row r="89" spans="1:8" x14ac:dyDescent="0.3">
      <c r="A89" s="8">
        <v>43038.402361111112</v>
      </c>
      <c r="B89" s="20" t="s">
        <v>544</v>
      </c>
      <c r="C89" s="20" t="s">
        <v>754</v>
      </c>
      <c r="D89" s="138">
        <v>3510000</v>
      </c>
      <c r="E89" s="20" t="s">
        <v>548</v>
      </c>
      <c r="F89" s="20" t="s">
        <v>549</v>
      </c>
      <c r="G89" s="8" t="str">
        <f t="shared" si="2"/>
        <v>BARRON PERLA</v>
      </c>
      <c r="H89" s="20" t="str">
        <f t="shared" si="3"/>
        <v>4004</v>
      </c>
    </row>
    <row r="90" spans="1:8" x14ac:dyDescent="0.3">
      <c r="A90" s="8">
        <v>43038.410300925927</v>
      </c>
      <c r="B90" s="20" t="s">
        <v>401</v>
      </c>
      <c r="C90" s="20" t="s">
        <v>755</v>
      </c>
      <c r="D90" s="138">
        <v>940000</v>
      </c>
      <c r="E90" s="20" t="s">
        <v>685</v>
      </c>
      <c r="F90" s="20" t="s">
        <v>686</v>
      </c>
      <c r="G90" s="8" t="str">
        <f t="shared" si="2"/>
        <v>BONDS REYNALDO</v>
      </c>
      <c r="H90" s="20" t="str">
        <f t="shared" si="3"/>
        <v>4023</v>
      </c>
    </row>
    <row r="91" spans="1:8" x14ac:dyDescent="0.3">
      <c r="A91" s="8">
        <v>43038.414097222223</v>
      </c>
      <c r="B91" s="20" t="s">
        <v>399</v>
      </c>
      <c r="C91" s="20" t="s">
        <v>756</v>
      </c>
      <c r="D91" s="138">
        <v>2010000</v>
      </c>
      <c r="E91" s="20" t="s">
        <v>492</v>
      </c>
      <c r="F91" s="20" t="s">
        <v>493</v>
      </c>
      <c r="G91" s="8" t="str">
        <f t="shared" si="2"/>
        <v>MAELZER KURT</v>
      </c>
      <c r="H91" s="20" t="str">
        <f t="shared" si="3"/>
        <v>4058</v>
      </c>
    </row>
    <row r="92" spans="1:8" x14ac:dyDescent="0.3">
      <c r="A92" s="8">
        <v>43038.41746527778</v>
      </c>
      <c r="B92" s="20" t="s">
        <v>469</v>
      </c>
      <c r="C92" s="20" t="s">
        <v>757</v>
      </c>
      <c r="D92" s="138">
        <v>1230000</v>
      </c>
      <c r="E92" s="20" t="s">
        <v>708</v>
      </c>
      <c r="F92" s="20" t="s">
        <v>709</v>
      </c>
      <c r="G92" s="8" t="str">
        <f t="shared" si="2"/>
        <v>YANAI IAN</v>
      </c>
      <c r="H92" s="20" t="str">
        <f t="shared" si="3"/>
        <v>4036</v>
      </c>
    </row>
    <row r="93" spans="1:8" x14ac:dyDescent="0.3">
      <c r="A93" s="8">
        <v>43038.420439814814</v>
      </c>
      <c r="B93" s="20" t="s">
        <v>650</v>
      </c>
      <c r="C93" s="20" t="s">
        <v>758</v>
      </c>
      <c r="D93" s="138">
        <v>3090000</v>
      </c>
      <c r="E93" s="20" t="s">
        <v>551</v>
      </c>
      <c r="F93" s="20" t="s">
        <v>552</v>
      </c>
      <c r="G93" s="8" t="str">
        <f t="shared" si="2"/>
        <v>LAMAR NEKESHA</v>
      </c>
      <c r="H93" s="20" t="str">
        <f t="shared" si="3"/>
        <v>4001</v>
      </c>
    </row>
    <row r="94" spans="1:8" x14ac:dyDescent="0.3">
      <c r="A94" s="8">
        <v>43038.421851851854</v>
      </c>
      <c r="B94" s="20" t="s">
        <v>554</v>
      </c>
      <c r="C94" s="20" t="s">
        <v>759</v>
      </c>
      <c r="D94" s="138">
        <v>1830000</v>
      </c>
      <c r="E94" s="20" t="s">
        <v>359</v>
      </c>
      <c r="F94" s="20" t="s">
        <v>360</v>
      </c>
      <c r="G94" s="8" t="str">
        <f t="shared" si="2"/>
        <v>YORK EDGAR</v>
      </c>
      <c r="H94" s="20" t="str">
        <f t="shared" si="3"/>
        <v>4011</v>
      </c>
    </row>
    <row r="95" spans="1:8" x14ac:dyDescent="0.3">
      <c r="A95" s="8">
        <v>43038.424224537041</v>
      </c>
      <c r="B95" s="20" t="s">
        <v>408</v>
      </c>
      <c r="C95" s="20" t="s">
        <v>760</v>
      </c>
      <c r="D95" s="138">
        <v>0</v>
      </c>
      <c r="E95" s="20" t="s">
        <v>1139</v>
      </c>
      <c r="F95" s="20" t="s">
        <v>550</v>
      </c>
      <c r="G95" s="8" t="str">
        <f t="shared" si="2"/>
        <v>MACDONALD THOMAS</v>
      </c>
      <c r="H95" s="20" t="str">
        <f t="shared" si="3"/>
        <v>4032</v>
      </c>
    </row>
    <row r="96" spans="1:8" x14ac:dyDescent="0.3">
      <c r="A96" s="8">
        <v>43038.433159722219</v>
      </c>
      <c r="B96" s="20" t="s">
        <v>540</v>
      </c>
      <c r="C96" s="20" t="s">
        <v>761</v>
      </c>
      <c r="D96" s="138">
        <v>3510000</v>
      </c>
      <c r="E96" s="20" t="s">
        <v>548</v>
      </c>
      <c r="F96" s="20" t="s">
        <v>549</v>
      </c>
      <c r="G96" s="8" t="str">
        <f t="shared" si="2"/>
        <v>BARRON PERLA</v>
      </c>
      <c r="H96" s="20" t="str">
        <f t="shared" si="3"/>
        <v>4003</v>
      </c>
    </row>
    <row r="97" spans="1:8" x14ac:dyDescent="0.3">
      <c r="A97" s="8">
        <v>43038.43478009259</v>
      </c>
      <c r="B97" s="20" t="s">
        <v>470</v>
      </c>
      <c r="C97" s="20" t="s">
        <v>762</v>
      </c>
      <c r="D97" s="138">
        <v>1230000</v>
      </c>
      <c r="E97" s="20" t="s">
        <v>708</v>
      </c>
      <c r="F97" s="20" t="s">
        <v>709</v>
      </c>
      <c r="G97" s="8" t="str">
        <f t="shared" si="2"/>
        <v>YANAI IAN</v>
      </c>
      <c r="H97" s="20" t="str">
        <f t="shared" si="3"/>
        <v>4035</v>
      </c>
    </row>
    <row r="98" spans="1:8" x14ac:dyDescent="0.3">
      <c r="A98" s="8">
        <v>43038.435069444444</v>
      </c>
      <c r="B98" s="20" t="s">
        <v>496</v>
      </c>
      <c r="C98" s="20" t="s">
        <v>763</v>
      </c>
      <c r="D98" s="138">
        <v>2270000</v>
      </c>
      <c r="E98" s="20" t="s">
        <v>696</v>
      </c>
      <c r="F98" s="20" t="s">
        <v>697</v>
      </c>
      <c r="G98" s="8" t="str">
        <f t="shared" si="2"/>
        <v>BROWN JACOB</v>
      </c>
      <c r="H98" s="20" t="str">
        <f t="shared" si="3"/>
        <v>4054</v>
      </c>
    </row>
    <row r="99" spans="1:8" x14ac:dyDescent="0.3">
      <c r="A99" s="8">
        <v>43038.443483796298</v>
      </c>
      <c r="B99" s="20" t="s">
        <v>400</v>
      </c>
      <c r="C99" s="20" t="s">
        <v>764</v>
      </c>
      <c r="D99" s="138">
        <v>2550000</v>
      </c>
      <c r="E99" s="20" t="s">
        <v>497</v>
      </c>
      <c r="F99" s="20" t="s">
        <v>498</v>
      </c>
      <c r="G99" s="8" t="str">
        <f t="shared" si="2"/>
        <v>BADERTSCHER DIANE</v>
      </c>
      <c r="H99" s="20" t="str">
        <f t="shared" si="3"/>
        <v>4024</v>
      </c>
    </row>
    <row r="100" spans="1:8" x14ac:dyDescent="0.3">
      <c r="A100" s="8">
        <v>43038.446805555555</v>
      </c>
      <c r="B100" s="20" t="s">
        <v>366</v>
      </c>
      <c r="C100" s="20" t="s">
        <v>765</v>
      </c>
      <c r="D100" s="138">
        <v>3330000</v>
      </c>
      <c r="E100" s="20" t="s">
        <v>562</v>
      </c>
      <c r="F100" s="20" t="s">
        <v>563</v>
      </c>
      <c r="G100" s="8" t="str">
        <f t="shared" si="2"/>
        <v>GONZALEZ ARMANDO</v>
      </c>
      <c r="H100" s="20" t="str">
        <f t="shared" si="3"/>
        <v>4055</v>
      </c>
    </row>
    <row r="101" spans="1:8" x14ac:dyDescent="0.3">
      <c r="A101" s="8">
        <v>43038.450601851851</v>
      </c>
      <c r="B101" s="20" t="s">
        <v>402</v>
      </c>
      <c r="C101" s="20" t="s">
        <v>766</v>
      </c>
      <c r="D101" s="138">
        <v>2010000</v>
      </c>
      <c r="E101" s="20" t="s">
        <v>492</v>
      </c>
      <c r="F101" s="20" t="s">
        <v>493</v>
      </c>
      <c r="G101" s="8" t="str">
        <f t="shared" si="2"/>
        <v>MAELZER KURT</v>
      </c>
      <c r="H101" s="20" t="str">
        <f t="shared" si="3"/>
        <v>4057</v>
      </c>
    </row>
    <row r="102" spans="1:8" x14ac:dyDescent="0.3">
      <c r="A102" s="8">
        <v>43038.452326388891</v>
      </c>
      <c r="B102" s="20" t="s">
        <v>466</v>
      </c>
      <c r="C102" s="20" t="s">
        <v>767</v>
      </c>
      <c r="D102" s="138">
        <v>2140000</v>
      </c>
      <c r="E102" s="20" t="s">
        <v>768</v>
      </c>
      <c r="F102" s="20" t="s">
        <v>769</v>
      </c>
      <c r="G102" s="8" t="str">
        <f t="shared" si="2"/>
        <v>ROBINSON KADDIBA</v>
      </c>
      <c r="H102" s="20" t="str">
        <f t="shared" si="3"/>
        <v>4050</v>
      </c>
    </row>
    <row r="103" spans="1:8" x14ac:dyDescent="0.3">
      <c r="A103" s="8">
        <v>43038.456655092596</v>
      </c>
      <c r="B103" s="20" t="s">
        <v>660</v>
      </c>
      <c r="C103" s="20" t="s">
        <v>770</v>
      </c>
      <c r="D103" s="138">
        <v>3090000</v>
      </c>
      <c r="E103" s="20" t="s">
        <v>551</v>
      </c>
      <c r="F103" s="20" t="s">
        <v>552</v>
      </c>
      <c r="G103" s="8" t="str">
        <f t="shared" si="2"/>
        <v>LAMAR NEKESHA</v>
      </c>
      <c r="H103" s="20" t="str">
        <f t="shared" si="3"/>
        <v>4002</v>
      </c>
    </row>
    <row r="104" spans="1:8" x14ac:dyDescent="0.3">
      <c r="A104" s="8">
        <v>43038.458055555559</v>
      </c>
      <c r="B104" s="20" t="s">
        <v>469</v>
      </c>
      <c r="C104" s="20" t="s">
        <v>771</v>
      </c>
      <c r="D104" s="138">
        <v>1230000</v>
      </c>
      <c r="E104" s="20" t="s">
        <v>708</v>
      </c>
      <c r="F104" s="20" t="s">
        <v>709</v>
      </c>
      <c r="G104" s="8" t="str">
        <f t="shared" si="2"/>
        <v>YANAI IAN</v>
      </c>
      <c r="H104" s="20" t="str">
        <f t="shared" si="3"/>
        <v>4036</v>
      </c>
    </row>
    <row r="105" spans="1:8" x14ac:dyDescent="0.3">
      <c r="A105" s="8">
        <v>43038.464953703704</v>
      </c>
      <c r="B105" s="20" t="s">
        <v>467</v>
      </c>
      <c r="C105" s="20" t="s">
        <v>767</v>
      </c>
      <c r="D105" s="138">
        <v>2140000</v>
      </c>
      <c r="E105" s="20" t="s">
        <v>768</v>
      </c>
      <c r="F105" s="20" t="s">
        <v>769</v>
      </c>
      <c r="G105" s="8" t="str">
        <f t="shared" si="2"/>
        <v>ROBINSON KADDIBA</v>
      </c>
      <c r="H105" s="20" t="str">
        <f t="shared" si="3"/>
        <v>4049</v>
      </c>
    </row>
    <row r="106" spans="1:8" x14ac:dyDescent="0.3">
      <c r="A106" s="8">
        <v>43038.466296296298</v>
      </c>
      <c r="B106" s="20" t="s">
        <v>539</v>
      </c>
      <c r="C106" s="20" t="s">
        <v>772</v>
      </c>
      <c r="D106" s="138">
        <v>0</v>
      </c>
      <c r="E106" s="20" t="s">
        <v>1139</v>
      </c>
      <c r="F106" s="20" t="s">
        <v>550</v>
      </c>
      <c r="G106" s="8" t="str">
        <f t="shared" si="2"/>
        <v>MACDONALD THOMAS</v>
      </c>
      <c r="H106" s="20" t="str">
        <f t="shared" si="3"/>
        <v>4031</v>
      </c>
    </row>
    <row r="107" spans="1:8" x14ac:dyDescent="0.3">
      <c r="A107" s="8">
        <v>43038.467164351852</v>
      </c>
      <c r="B107" s="20" t="s">
        <v>553</v>
      </c>
      <c r="C107" s="20" t="s">
        <v>773</v>
      </c>
      <c r="D107" s="138">
        <v>920000</v>
      </c>
      <c r="E107" s="20" t="s">
        <v>393</v>
      </c>
      <c r="F107" s="20" t="s">
        <v>367</v>
      </c>
      <c r="G107" s="8" t="str">
        <f t="shared" si="2"/>
        <v>DAVIS MICHAEL</v>
      </c>
      <c r="H107" s="20" t="str">
        <f t="shared" si="3"/>
        <v>4012</v>
      </c>
    </row>
    <row r="108" spans="1:8" x14ac:dyDescent="0.3">
      <c r="A108" s="8">
        <v>43038.472256944442</v>
      </c>
      <c r="B108" s="20" t="s">
        <v>490</v>
      </c>
      <c r="C108" s="20" t="s">
        <v>657</v>
      </c>
      <c r="D108" s="138">
        <v>2270000</v>
      </c>
      <c r="E108" s="20" t="s">
        <v>696</v>
      </c>
      <c r="F108" s="20" t="s">
        <v>697</v>
      </c>
      <c r="G108" s="8" t="str">
        <f t="shared" si="2"/>
        <v>BROWN JACOB</v>
      </c>
      <c r="H108" s="20" t="str">
        <f t="shared" si="3"/>
        <v>4053</v>
      </c>
    </row>
    <row r="109" spans="1:8" x14ac:dyDescent="0.3">
      <c r="A109" s="8">
        <v>43038.475682870368</v>
      </c>
      <c r="B109" s="20" t="s">
        <v>544</v>
      </c>
      <c r="C109" s="20" t="s">
        <v>774</v>
      </c>
      <c r="D109" s="138">
        <v>880000</v>
      </c>
      <c r="E109" s="20" t="s">
        <v>775</v>
      </c>
      <c r="F109" s="20" t="s">
        <v>367</v>
      </c>
      <c r="G109" s="8" t="str">
        <f t="shared" si="2"/>
        <v>STEWART MICHAEL</v>
      </c>
      <c r="H109" s="20" t="str">
        <f t="shared" si="3"/>
        <v>4004</v>
      </c>
    </row>
    <row r="110" spans="1:8" x14ac:dyDescent="0.3">
      <c r="A110" s="8">
        <v>43038.476701388892</v>
      </c>
      <c r="B110" s="20" t="s">
        <v>570</v>
      </c>
      <c r="C110" s="20" t="s">
        <v>776</v>
      </c>
      <c r="D110" s="138">
        <v>2470000</v>
      </c>
      <c r="E110" s="20" t="s">
        <v>555</v>
      </c>
      <c r="F110" s="20" t="s">
        <v>556</v>
      </c>
      <c r="G110" s="8" t="str">
        <f t="shared" si="2"/>
        <v>ROMERO CHAD</v>
      </c>
      <c r="H110" s="20" t="str">
        <f t="shared" si="3"/>
        <v>4056</v>
      </c>
    </row>
    <row r="111" spans="1:8" x14ac:dyDescent="0.3">
      <c r="A111" s="8">
        <v>43038.477071759262</v>
      </c>
      <c r="B111" s="20" t="s">
        <v>470</v>
      </c>
      <c r="C111" s="20" t="s">
        <v>777</v>
      </c>
      <c r="D111" s="138">
        <v>1230000</v>
      </c>
      <c r="E111" s="20" t="s">
        <v>708</v>
      </c>
      <c r="F111" s="20" t="s">
        <v>709</v>
      </c>
      <c r="G111" s="8" t="str">
        <f t="shared" si="2"/>
        <v>YANAI IAN</v>
      </c>
      <c r="H111" s="20" t="str">
        <f t="shared" si="3"/>
        <v>4035</v>
      </c>
    </row>
    <row r="112" spans="1:8" x14ac:dyDescent="0.3">
      <c r="A112" s="8">
        <v>43038.477361111109</v>
      </c>
      <c r="B112" s="20" t="s">
        <v>570</v>
      </c>
      <c r="C112" s="20" t="s">
        <v>776</v>
      </c>
      <c r="D112" s="138">
        <v>2470000</v>
      </c>
      <c r="E112" s="20" t="s">
        <v>555</v>
      </c>
      <c r="F112" s="20" t="s">
        <v>556</v>
      </c>
      <c r="G112" s="8" t="str">
        <f t="shared" si="2"/>
        <v>ROMERO CHAD</v>
      </c>
      <c r="H112" s="20" t="str">
        <f t="shared" si="3"/>
        <v>4056</v>
      </c>
    </row>
    <row r="113" spans="1:8" x14ac:dyDescent="0.3">
      <c r="A113" s="8">
        <v>43038.478067129632</v>
      </c>
      <c r="B113" s="20" t="s">
        <v>570</v>
      </c>
      <c r="C113" s="20" t="s">
        <v>776</v>
      </c>
      <c r="D113" s="138">
        <v>2470000</v>
      </c>
      <c r="E113" s="20" t="s">
        <v>555</v>
      </c>
      <c r="F113" s="20" t="s">
        <v>556</v>
      </c>
      <c r="G113" s="8" t="str">
        <f t="shared" si="2"/>
        <v>ROMERO CHAD</v>
      </c>
      <c r="H113" s="20" t="str">
        <f t="shared" si="3"/>
        <v>4056</v>
      </c>
    </row>
    <row r="114" spans="1:8" x14ac:dyDescent="0.3">
      <c r="A114" s="8">
        <v>43038.481944444444</v>
      </c>
      <c r="B114" s="20" t="s">
        <v>401</v>
      </c>
      <c r="C114" s="20" t="s">
        <v>778</v>
      </c>
      <c r="D114" s="138">
        <v>2550000</v>
      </c>
      <c r="E114" s="20" t="s">
        <v>497</v>
      </c>
      <c r="F114" s="20" t="s">
        <v>498</v>
      </c>
      <c r="G114" s="8" t="str">
        <f t="shared" si="2"/>
        <v>BADERTSCHER DIANE</v>
      </c>
      <c r="H114" s="20" t="str">
        <f t="shared" si="3"/>
        <v>4023</v>
      </c>
    </row>
    <row r="115" spans="1:8" x14ac:dyDescent="0.3">
      <c r="A115" s="8">
        <v>43038.485937500001</v>
      </c>
      <c r="B115" s="20" t="s">
        <v>650</v>
      </c>
      <c r="C115" s="20" t="s">
        <v>779</v>
      </c>
      <c r="D115" s="138">
        <v>3090000</v>
      </c>
      <c r="E115" s="20" t="s">
        <v>551</v>
      </c>
      <c r="F115" s="20" t="s">
        <v>552</v>
      </c>
      <c r="G115" s="8" t="str">
        <f t="shared" si="2"/>
        <v>LAMAR NEKESHA</v>
      </c>
      <c r="H115" s="20" t="str">
        <f t="shared" si="3"/>
        <v>4001</v>
      </c>
    </row>
    <row r="116" spans="1:8" x14ac:dyDescent="0.3">
      <c r="A116" s="8">
        <v>43038.487604166665</v>
      </c>
      <c r="B116" s="20" t="s">
        <v>399</v>
      </c>
      <c r="C116" s="20" t="s">
        <v>780</v>
      </c>
      <c r="D116" s="138">
        <v>1180000</v>
      </c>
      <c r="E116" s="20" t="s">
        <v>381</v>
      </c>
      <c r="F116" s="20" t="s">
        <v>382</v>
      </c>
      <c r="G116" s="8" t="str">
        <f t="shared" si="2"/>
        <v>LEVERE CRAIG</v>
      </c>
      <c r="H116" s="20" t="str">
        <f t="shared" si="3"/>
        <v>4058</v>
      </c>
    </row>
    <row r="117" spans="1:8" x14ac:dyDescent="0.3">
      <c r="A117" s="8">
        <v>43038.496678240743</v>
      </c>
      <c r="B117" s="20" t="s">
        <v>408</v>
      </c>
      <c r="C117" s="20" t="s">
        <v>781</v>
      </c>
      <c r="D117" s="138">
        <v>2970000</v>
      </c>
      <c r="E117" s="20" t="s">
        <v>560</v>
      </c>
      <c r="F117" s="20" t="s">
        <v>561</v>
      </c>
      <c r="G117" s="8" t="str">
        <f t="shared" si="2"/>
        <v>GUZMAN DANNY</v>
      </c>
      <c r="H117" s="20" t="str">
        <f t="shared" si="3"/>
        <v>4032</v>
      </c>
    </row>
    <row r="118" spans="1:8" x14ac:dyDescent="0.3">
      <c r="A118" s="8">
        <v>43038.504780092589</v>
      </c>
      <c r="B118" s="20" t="s">
        <v>469</v>
      </c>
      <c r="C118" s="20" t="s">
        <v>782</v>
      </c>
      <c r="D118" s="138">
        <v>1230000</v>
      </c>
      <c r="E118" s="20" t="s">
        <v>708</v>
      </c>
      <c r="F118" s="20" t="s">
        <v>709</v>
      </c>
      <c r="G118" s="8" t="str">
        <f t="shared" si="2"/>
        <v>YANAI IAN</v>
      </c>
      <c r="H118" s="20" t="str">
        <f t="shared" si="3"/>
        <v>4036</v>
      </c>
    </row>
    <row r="119" spans="1:8" x14ac:dyDescent="0.3">
      <c r="A119" s="8">
        <v>43038.506898148145</v>
      </c>
      <c r="B119" s="20" t="s">
        <v>554</v>
      </c>
      <c r="C119" s="20" t="s">
        <v>783</v>
      </c>
      <c r="D119" s="138">
        <v>920000</v>
      </c>
      <c r="E119" s="20" t="s">
        <v>393</v>
      </c>
      <c r="F119" s="20" t="s">
        <v>367</v>
      </c>
      <c r="G119" s="8" t="str">
        <f t="shared" si="2"/>
        <v>DAVIS MICHAEL</v>
      </c>
      <c r="H119" s="20" t="str">
        <f t="shared" si="3"/>
        <v>4011</v>
      </c>
    </row>
    <row r="120" spans="1:8" x14ac:dyDescent="0.3">
      <c r="A120" s="8">
        <v>43038.507881944446</v>
      </c>
      <c r="B120" s="20" t="s">
        <v>496</v>
      </c>
      <c r="C120" s="20" t="s">
        <v>784</v>
      </c>
      <c r="D120" s="138">
        <v>2630000</v>
      </c>
      <c r="E120" s="20" t="s">
        <v>558</v>
      </c>
      <c r="F120" s="20" t="s">
        <v>559</v>
      </c>
      <c r="G120" s="8" t="str">
        <f t="shared" si="2"/>
        <v>SAFIEF AEIMEN</v>
      </c>
      <c r="H120" s="20" t="str">
        <f t="shared" si="3"/>
        <v>4054</v>
      </c>
    </row>
    <row r="121" spans="1:8" x14ac:dyDescent="0.3">
      <c r="A121" s="8">
        <v>43038.514872685184</v>
      </c>
      <c r="B121" s="20" t="s">
        <v>540</v>
      </c>
      <c r="C121" s="20" t="s">
        <v>785</v>
      </c>
      <c r="D121" s="138">
        <v>880000</v>
      </c>
      <c r="E121" s="20" t="s">
        <v>775</v>
      </c>
      <c r="F121" s="20" t="s">
        <v>367</v>
      </c>
      <c r="G121" s="8" t="str">
        <f t="shared" si="2"/>
        <v>STEWART MICHAEL</v>
      </c>
      <c r="H121" s="20" t="str">
        <f t="shared" si="3"/>
        <v>4003</v>
      </c>
    </row>
    <row r="122" spans="1:8" x14ac:dyDescent="0.3">
      <c r="A122" s="8">
        <v>43038.517511574071</v>
      </c>
      <c r="B122" s="25" t="s">
        <v>400</v>
      </c>
      <c r="C122" s="20" t="s">
        <v>786</v>
      </c>
      <c r="D122" s="138">
        <v>2550000</v>
      </c>
      <c r="E122" s="20" t="s">
        <v>497</v>
      </c>
      <c r="F122" s="20" t="s">
        <v>498</v>
      </c>
      <c r="G122" s="8" t="str">
        <f t="shared" si="2"/>
        <v>BADERTSCHER DIANE</v>
      </c>
      <c r="H122" s="20" t="str">
        <f t="shared" si="3"/>
        <v>4024</v>
      </c>
    </row>
    <row r="123" spans="1:8" x14ac:dyDescent="0.3">
      <c r="A123" s="8">
        <v>43038.518761574072</v>
      </c>
      <c r="B123" s="20" t="s">
        <v>470</v>
      </c>
      <c r="C123" s="20" t="s">
        <v>787</v>
      </c>
      <c r="D123" s="138">
        <v>1230000</v>
      </c>
      <c r="E123" s="20" t="s">
        <v>708</v>
      </c>
      <c r="F123" s="20" t="s">
        <v>709</v>
      </c>
      <c r="G123" s="8" t="str">
        <f t="shared" si="2"/>
        <v>YANAI IAN</v>
      </c>
      <c r="H123" s="20" t="str">
        <f t="shared" si="3"/>
        <v>4035</v>
      </c>
    </row>
    <row r="124" spans="1:8" x14ac:dyDescent="0.3">
      <c r="A124" s="8">
        <v>43038.52239583333</v>
      </c>
      <c r="B124" s="20" t="s">
        <v>402</v>
      </c>
      <c r="C124" s="20" t="s">
        <v>788</v>
      </c>
      <c r="D124" s="138">
        <v>1180000</v>
      </c>
      <c r="E124" s="20" t="s">
        <v>381</v>
      </c>
      <c r="F124" s="20" t="s">
        <v>382</v>
      </c>
      <c r="G124" s="8" t="str">
        <f t="shared" si="2"/>
        <v>LEVERE CRAIG</v>
      </c>
      <c r="H124" s="20" t="str">
        <f t="shared" si="3"/>
        <v>4057</v>
      </c>
    </row>
    <row r="125" spans="1:8" x14ac:dyDescent="0.3">
      <c r="A125" s="8">
        <v>43038.526701388888</v>
      </c>
      <c r="B125" s="20" t="s">
        <v>539</v>
      </c>
      <c r="C125" s="20" t="s">
        <v>789</v>
      </c>
      <c r="D125" s="138">
        <v>2970000</v>
      </c>
      <c r="E125" s="20" t="s">
        <v>560</v>
      </c>
      <c r="F125" s="20" t="s">
        <v>561</v>
      </c>
      <c r="G125" s="8" t="str">
        <f t="shared" si="2"/>
        <v>GUZMAN DANNY</v>
      </c>
      <c r="H125" s="20" t="str">
        <f t="shared" si="3"/>
        <v>4031</v>
      </c>
    </row>
    <row r="126" spans="1:8" x14ac:dyDescent="0.3">
      <c r="A126" s="8">
        <v>43038.528414351851</v>
      </c>
      <c r="B126" s="20" t="s">
        <v>660</v>
      </c>
      <c r="C126" s="20" t="s">
        <v>790</v>
      </c>
      <c r="D126" s="138">
        <v>1760000</v>
      </c>
      <c r="E126" s="20" t="s">
        <v>791</v>
      </c>
      <c r="F126" s="20" t="s">
        <v>792</v>
      </c>
      <c r="G126" s="8" t="str">
        <f t="shared" si="2"/>
        <v>STRICKLAND EVAN</v>
      </c>
      <c r="H126" s="20" t="str">
        <f t="shared" si="3"/>
        <v>4002</v>
      </c>
    </row>
    <row r="127" spans="1:8" x14ac:dyDescent="0.3">
      <c r="A127" s="8">
        <v>43038.537546296298</v>
      </c>
      <c r="B127" s="20" t="s">
        <v>490</v>
      </c>
      <c r="C127" s="20" t="s">
        <v>793</v>
      </c>
      <c r="D127" s="138">
        <v>2630000</v>
      </c>
      <c r="E127" s="20" t="s">
        <v>558</v>
      </c>
      <c r="F127" s="20" t="s">
        <v>559</v>
      </c>
      <c r="G127" s="8" t="str">
        <f t="shared" si="2"/>
        <v>SAFIEF AEIMEN</v>
      </c>
      <c r="H127" s="20" t="str">
        <f t="shared" si="3"/>
        <v>4053</v>
      </c>
    </row>
    <row r="128" spans="1:8" x14ac:dyDescent="0.3">
      <c r="A128" s="8">
        <v>43038.539988425924</v>
      </c>
      <c r="B128" s="20" t="s">
        <v>553</v>
      </c>
      <c r="C128" s="20" t="s">
        <v>794</v>
      </c>
      <c r="D128" s="138">
        <v>920000</v>
      </c>
      <c r="E128" s="20" t="s">
        <v>393</v>
      </c>
      <c r="F128" s="20" t="s">
        <v>367</v>
      </c>
      <c r="G128" s="8" t="str">
        <f t="shared" si="2"/>
        <v>DAVIS MICHAEL</v>
      </c>
      <c r="H128" s="20" t="str">
        <f t="shared" si="3"/>
        <v>4012</v>
      </c>
    </row>
    <row r="129" spans="1:8" x14ac:dyDescent="0.3">
      <c r="A129" s="8">
        <v>43038.540625000001</v>
      </c>
      <c r="B129" s="20" t="s">
        <v>469</v>
      </c>
      <c r="C129" s="20" t="s">
        <v>658</v>
      </c>
      <c r="D129" s="138">
        <v>2030000</v>
      </c>
      <c r="E129" s="20" t="s">
        <v>795</v>
      </c>
      <c r="F129" s="20" t="s">
        <v>407</v>
      </c>
      <c r="G129" s="8" t="str">
        <f t="shared" si="2"/>
        <v>KILLION DAVID</v>
      </c>
      <c r="H129" s="20" t="str">
        <f t="shared" si="3"/>
        <v>4036</v>
      </c>
    </row>
    <row r="130" spans="1:8" x14ac:dyDescent="0.3">
      <c r="A130" s="8">
        <v>43038.548113425924</v>
      </c>
      <c r="B130" s="20" t="s">
        <v>544</v>
      </c>
      <c r="C130" s="20" t="s">
        <v>796</v>
      </c>
      <c r="D130" s="138">
        <v>880000</v>
      </c>
      <c r="E130" s="20" t="s">
        <v>775</v>
      </c>
      <c r="F130" s="20" t="s">
        <v>367</v>
      </c>
      <c r="G130" s="8" t="str">
        <f t="shared" si="2"/>
        <v>STEWART MICHAEL</v>
      </c>
      <c r="H130" s="20" t="str">
        <f t="shared" si="3"/>
        <v>4004</v>
      </c>
    </row>
    <row r="131" spans="1:8" x14ac:dyDescent="0.3">
      <c r="A131" s="8">
        <v>43038.555532407408</v>
      </c>
      <c r="B131" s="20" t="s">
        <v>401</v>
      </c>
      <c r="C131" s="20" t="s">
        <v>797</v>
      </c>
      <c r="D131" s="138">
        <v>2550000</v>
      </c>
      <c r="E131" s="20" t="s">
        <v>497</v>
      </c>
      <c r="F131" s="20" t="s">
        <v>498</v>
      </c>
      <c r="G131" s="8" t="str">
        <f t="shared" ref="G131:G194" si="4">E131&amp;" "&amp;F131</f>
        <v>BADERTSCHER DIANE</v>
      </c>
      <c r="H131" s="20" t="str">
        <f t="shared" ref="H131:H194" si="5">MID(B131,13,4)</f>
        <v>4023</v>
      </c>
    </row>
    <row r="132" spans="1:8" x14ac:dyDescent="0.3">
      <c r="A132" s="8">
        <v>43038.559548611112</v>
      </c>
      <c r="B132" s="20" t="s">
        <v>399</v>
      </c>
      <c r="C132" s="20" t="s">
        <v>798</v>
      </c>
      <c r="D132" s="138">
        <v>1180000</v>
      </c>
      <c r="E132" s="20" t="s">
        <v>381</v>
      </c>
      <c r="F132" s="20" t="s">
        <v>382</v>
      </c>
      <c r="G132" s="8" t="str">
        <f t="shared" si="4"/>
        <v>LEVERE CRAIG</v>
      </c>
      <c r="H132" s="20" t="str">
        <f t="shared" si="5"/>
        <v>4058</v>
      </c>
    </row>
    <row r="133" spans="1:8" x14ac:dyDescent="0.3">
      <c r="A133" s="8">
        <v>43038.560173611113</v>
      </c>
      <c r="B133" s="20" t="s">
        <v>470</v>
      </c>
      <c r="C133" s="20" t="s">
        <v>799</v>
      </c>
      <c r="D133" s="138">
        <v>2030000</v>
      </c>
      <c r="E133" s="20" t="s">
        <v>795</v>
      </c>
      <c r="F133" s="20" t="s">
        <v>407</v>
      </c>
      <c r="G133" s="8" t="str">
        <f t="shared" si="4"/>
        <v>KILLION DAVID</v>
      </c>
      <c r="H133" s="20" t="str">
        <f t="shared" si="5"/>
        <v>4035</v>
      </c>
    </row>
    <row r="134" spans="1:8" x14ac:dyDescent="0.3">
      <c r="A134" s="8">
        <v>43038.564652777779</v>
      </c>
      <c r="B134" s="20" t="s">
        <v>650</v>
      </c>
      <c r="C134" s="20" t="s">
        <v>800</v>
      </c>
      <c r="D134" s="138">
        <v>1760000</v>
      </c>
      <c r="E134" s="20" t="s">
        <v>791</v>
      </c>
      <c r="F134" s="20" t="s">
        <v>792</v>
      </c>
      <c r="G134" s="8" t="str">
        <f t="shared" si="4"/>
        <v>STRICKLAND EVAN</v>
      </c>
      <c r="H134" s="20" t="str">
        <f t="shared" si="5"/>
        <v>4001</v>
      </c>
    </row>
    <row r="135" spans="1:8" x14ac:dyDescent="0.3">
      <c r="A135" s="8">
        <v>43038.569027777776</v>
      </c>
      <c r="B135" s="20" t="s">
        <v>408</v>
      </c>
      <c r="C135" s="20" t="s">
        <v>801</v>
      </c>
      <c r="D135" s="138">
        <v>2970000</v>
      </c>
      <c r="E135" s="20" t="s">
        <v>560</v>
      </c>
      <c r="F135" s="20" t="s">
        <v>561</v>
      </c>
      <c r="G135" s="8" t="str">
        <f t="shared" si="4"/>
        <v>GUZMAN DANNY</v>
      </c>
      <c r="H135" s="20" t="str">
        <f t="shared" si="5"/>
        <v>4032</v>
      </c>
    </row>
    <row r="136" spans="1:8" x14ac:dyDescent="0.3">
      <c r="A136" s="8">
        <v>43038.579456018517</v>
      </c>
      <c r="B136" s="20" t="s">
        <v>554</v>
      </c>
      <c r="C136" s="20" t="s">
        <v>802</v>
      </c>
      <c r="D136" s="138">
        <v>920000</v>
      </c>
      <c r="E136" s="20" t="s">
        <v>393</v>
      </c>
      <c r="F136" s="20" t="s">
        <v>367</v>
      </c>
      <c r="G136" s="8" t="str">
        <f t="shared" si="4"/>
        <v>DAVIS MICHAEL</v>
      </c>
      <c r="H136" s="20" t="str">
        <f t="shared" si="5"/>
        <v>4011</v>
      </c>
    </row>
    <row r="137" spans="1:8" x14ac:dyDescent="0.3">
      <c r="A137" s="8">
        <v>43038.580648148149</v>
      </c>
      <c r="B137" s="20" t="s">
        <v>496</v>
      </c>
      <c r="C137" s="20" t="s">
        <v>803</v>
      </c>
      <c r="D137" s="138">
        <v>2630000</v>
      </c>
      <c r="E137" s="20" t="s">
        <v>558</v>
      </c>
      <c r="F137" s="20" t="s">
        <v>559</v>
      </c>
      <c r="G137" s="8" t="str">
        <f t="shared" si="4"/>
        <v>SAFIEF AEIMEN</v>
      </c>
      <c r="H137" s="20" t="str">
        <f t="shared" si="5"/>
        <v>4054</v>
      </c>
    </row>
    <row r="138" spans="1:8" x14ac:dyDescent="0.3">
      <c r="A138" s="8">
        <v>43038.581643518519</v>
      </c>
      <c r="B138" s="20" t="s">
        <v>469</v>
      </c>
      <c r="C138" s="20" t="s">
        <v>659</v>
      </c>
      <c r="D138" s="138">
        <v>2030000</v>
      </c>
      <c r="E138" s="20" t="s">
        <v>795</v>
      </c>
      <c r="F138" s="20" t="s">
        <v>407</v>
      </c>
      <c r="G138" s="8" t="str">
        <f t="shared" si="4"/>
        <v>KILLION DAVID</v>
      </c>
      <c r="H138" s="20" t="str">
        <f t="shared" si="5"/>
        <v>4036</v>
      </c>
    </row>
    <row r="139" spans="1:8" x14ac:dyDescent="0.3">
      <c r="A139" s="8">
        <v>43038.587395833332</v>
      </c>
      <c r="B139" s="20" t="s">
        <v>540</v>
      </c>
      <c r="C139" s="20" t="s">
        <v>804</v>
      </c>
      <c r="D139" s="138">
        <v>880000</v>
      </c>
      <c r="E139" s="20" t="s">
        <v>775</v>
      </c>
      <c r="F139" s="20" t="s">
        <v>367</v>
      </c>
      <c r="G139" s="8" t="str">
        <f t="shared" si="4"/>
        <v>STEWART MICHAEL</v>
      </c>
      <c r="H139" s="20" t="str">
        <f t="shared" si="5"/>
        <v>4003</v>
      </c>
    </row>
    <row r="140" spans="1:8" x14ac:dyDescent="0.3">
      <c r="A140" s="8">
        <v>43038.589629629627</v>
      </c>
      <c r="B140" s="20" t="s">
        <v>400</v>
      </c>
      <c r="C140" s="20" t="s">
        <v>805</v>
      </c>
      <c r="D140" s="138">
        <v>2550000</v>
      </c>
      <c r="E140" s="20" t="s">
        <v>497</v>
      </c>
      <c r="F140" s="20" t="s">
        <v>498</v>
      </c>
      <c r="G140" s="8" t="str">
        <f t="shared" si="4"/>
        <v>BADERTSCHER DIANE</v>
      </c>
      <c r="H140" s="20" t="str">
        <f t="shared" si="5"/>
        <v>4024</v>
      </c>
    </row>
    <row r="141" spans="1:8" x14ac:dyDescent="0.3">
      <c r="A141" s="8">
        <v>43038.59710648148</v>
      </c>
      <c r="B141" s="20" t="s">
        <v>402</v>
      </c>
      <c r="C141" s="20" t="s">
        <v>806</v>
      </c>
      <c r="D141" s="138">
        <v>1180000</v>
      </c>
      <c r="E141" s="20" t="s">
        <v>381</v>
      </c>
      <c r="F141" s="20" t="s">
        <v>382</v>
      </c>
      <c r="G141" s="8" t="str">
        <f t="shared" si="4"/>
        <v>LEVERE CRAIG</v>
      </c>
      <c r="H141" s="20" t="str">
        <f t="shared" si="5"/>
        <v>4057</v>
      </c>
    </row>
    <row r="142" spans="1:8" x14ac:dyDescent="0.3">
      <c r="A142" s="8">
        <v>43038.59715277778</v>
      </c>
      <c r="B142" s="20" t="s">
        <v>466</v>
      </c>
      <c r="C142" s="20" t="s">
        <v>664</v>
      </c>
      <c r="D142" s="138">
        <v>2140000</v>
      </c>
      <c r="E142" s="20" t="s">
        <v>768</v>
      </c>
      <c r="F142" s="20" t="s">
        <v>769</v>
      </c>
      <c r="G142" s="8" t="str">
        <f t="shared" si="4"/>
        <v>ROBINSON KADDIBA</v>
      </c>
      <c r="H142" s="20" t="str">
        <f t="shared" si="5"/>
        <v>4050</v>
      </c>
    </row>
    <row r="143" spans="1:8" x14ac:dyDescent="0.3">
      <c r="A143" s="8">
        <v>43038.59983796296</v>
      </c>
      <c r="B143" s="20" t="s">
        <v>539</v>
      </c>
      <c r="C143" s="20" t="s">
        <v>807</v>
      </c>
      <c r="D143" s="138">
        <v>2970000</v>
      </c>
      <c r="E143" s="20" t="s">
        <v>560</v>
      </c>
      <c r="F143" s="20" t="s">
        <v>561</v>
      </c>
      <c r="G143" s="8" t="str">
        <f t="shared" si="4"/>
        <v>GUZMAN DANNY</v>
      </c>
      <c r="H143" s="20" t="str">
        <f t="shared" si="5"/>
        <v>4031</v>
      </c>
    </row>
    <row r="144" spans="1:8" x14ac:dyDescent="0.3">
      <c r="A144" s="8">
        <v>43038.601145833331</v>
      </c>
      <c r="B144" s="20" t="s">
        <v>660</v>
      </c>
      <c r="C144" s="20" t="s">
        <v>661</v>
      </c>
      <c r="D144" s="138">
        <v>1760000</v>
      </c>
      <c r="E144" s="20" t="s">
        <v>791</v>
      </c>
      <c r="F144" s="20" t="s">
        <v>792</v>
      </c>
      <c r="G144" s="8" t="str">
        <f t="shared" si="4"/>
        <v>STRICKLAND EVAN</v>
      </c>
      <c r="H144" s="20" t="str">
        <f t="shared" si="5"/>
        <v>4002</v>
      </c>
    </row>
    <row r="145" spans="1:8" x14ac:dyDescent="0.3">
      <c r="A145" s="8">
        <v>43038.601342592592</v>
      </c>
      <c r="B145" s="20" t="s">
        <v>467</v>
      </c>
      <c r="C145" s="20" t="s">
        <v>664</v>
      </c>
      <c r="D145" s="138">
        <v>2140000</v>
      </c>
      <c r="E145" s="20" t="s">
        <v>768</v>
      </c>
      <c r="F145" s="20" t="s">
        <v>769</v>
      </c>
      <c r="G145" s="8" t="str">
        <f t="shared" si="4"/>
        <v>ROBINSON KADDIBA</v>
      </c>
      <c r="H145" s="20" t="str">
        <f t="shared" si="5"/>
        <v>4049</v>
      </c>
    </row>
    <row r="146" spans="1:8" x14ac:dyDescent="0.3">
      <c r="A146" s="8">
        <v>43038.602233796293</v>
      </c>
      <c r="B146" s="20" t="s">
        <v>470</v>
      </c>
      <c r="C146" s="20" t="s">
        <v>808</v>
      </c>
      <c r="D146" s="138">
        <v>2030000</v>
      </c>
      <c r="E146" s="20" t="s">
        <v>795</v>
      </c>
      <c r="F146" s="20" t="s">
        <v>407</v>
      </c>
      <c r="G146" s="8" t="str">
        <f t="shared" si="4"/>
        <v>KILLION DAVID</v>
      </c>
      <c r="H146" s="20" t="str">
        <f t="shared" si="5"/>
        <v>4035</v>
      </c>
    </row>
    <row r="147" spans="1:8" x14ac:dyDescent="0.3">
      <c r="A147" s="8">
        <v>43038.604618055557</v>
      </c>
      <c r="B147" s="20" t="s">
        <v>554</v>
      </c>
      <c r="C147" s="20" t="s">
        <v>802</v>
      </c>
      <c r="D147" s="138">
        <v>920000</v>
      </c>
      <c r="E147" s="20" t="s">
        <v>393</v>
      </c>
      <c r="F147" s="20" t="s">
        <v>367</v>
      </c>
      <c r="G147" s="8" t="str">
        <f t="shared" si="4"/>
        <v>DAVIS MICHAEL</v>
      </c>
      <c r="H147" s="20" t="str">
        <f t="shared" si="5"/>
        <v>4011</v>
      </c>
    </row>
    <row r="148" spans="1:8" x14ac:dyDescent="0.3">
      <c r="A148" s="8">
        <v>43038.609560185185</v>
      </c>
      <c r="B148" s="20" t="s">
        <v>466</v>
      </c>
      <c r="C148" s="20" t="s">
        <v>809</v>
      </c>
      <c r="D148" s="138">
        <v>2140000</v>
      </c>
      <c r="E148" s="20" t="s">
        <v>768</v>
      </c>
      <c r="F148" s="20" t="s">
        <v>769</v>
      </c>
      <c r="G148" s="8" t="str">
        <f t="shared" si="4"/>
        <v>ROBINSON KADDIBA</v>
      </c>
      <c r="H148" s="20" t="str">
        <f t="shared" si="5"/>
        <v>4050</v>
      </c>
    </row>
    <row r="149" spans="1:8" x14ac:dyDescent="0.3">
      <c r="A149" s="8">
        <v>43038.615300925929</v>
      </c>
      <c r="B149" s="20" t="s">
        <v>490</v>
      </c>
      <c r="C149" s="20" t="s">
        <v>810</v>
      </c>
      <c r="D149" s="138">
        <v>2630000</v>
      </c>
      <c r="E149" s="20" t="s">
        <v>558</v>
      </c>
      <c r="F149" s="20" t="s">
        <v>559</v>
      </c>
      <c r="G149" s="8" t="str">
        <f t="shared" si="4"/>
        <v>SAFIEF AEIMEN</v>
      </c>
      <c r="H149" s="20" t="str">
        <f t="shared" si="5"/>
        <v>4053</v>
      </c>
    </row>
    <row r="150" spans="1:8" x14ac:dyDescent="0.3">
      <c r="A150" s="8">
        <v>43038.623472222222</v>
      </c>
      <c r="B150" s="20" t="s">
        <v>544</v>
      </c>
      <c r="C150" s="20" t="s">
        <v>811</v>
      </c>
      <c r="D150" s="138">
        <v>880000</v>
      </c>
      <c r="E150" s="20" t="s">
        <v>775</v>
      </c>
      <c r="F150" s="20" t="s">
        <v>367</v>
      </c>
      <c r="G150" s="8" t="str">
        <f t="shared" si="4"/>
        <v>STEWART MICHAEL</v>
      </c>
      <c r="H150" s="20" t="str">
        <f t="shared" si="5"/>
        <v>4004</v>
      </c>
    </row>
    <row r="151" spans="1:8" x14ac:dyDescent="0.3">
      <c r="A151" s="8">
        <v>43038.624398148146</v>
      </c>
      <c r="B151" s="20" t="s">
        <v>469</v>
      </c>
      <c r="C151" s="20" t="s">
        <v>812</v>
      </c>
      <c r="D151" s="138">
        <v>2030000</v>
      </c>
      <c r="E151" s="20" t="s">
        <v>795</v>
      </c>
      <c r="F151" s="20" t="s">
        <v>407</v>
      </c>
      <c r="G151" s="8" t="str">
        <f t="shared" si="4"/>
        <v>KILLION DAVID</v>
      </c>
      <c r="H151" s="20" t="str">
        <f t="shared" si="5"/>
        <v>4036</v>
      </c>
    </row>
    <row r="152" spans="1:8" x14ac:dyDescent="0.3">
      <c r="A152" s="8">
        <v>43038.628171296295</v>
      </c>
      <c r="B152" s="20" t="s">
        <v>401</v>
      </c>
      <c r="C152" s="20" t="s">
        <v>813</v>
      </c>
      <c r="D152" s="138">
        <v>2550000</v>
      </c>
      <c r="E152" s="20" t="s">
        <v>497</v>
      </c>
      <c r="F152" s="20" t="s">
        <v>498</v>
      </c>
      <c r="G152" s="8" t="str">
        <f t="shared" si="4"/>
        <v>BADERTSCHER DIANE</v>
      </c>
      <c r="H152" s="20" t="str">
        <f t="shared" si="5"/>
        <v>4023</v>
      </c>
    </row>
    <row r="153" spans="1:8" x14ac:dyDescent="0.3">
      <c r="A153" s="8">
        <v>43038.633564814816</v>
      </c>
      <c r="B153" s="20" t="s">
        <v>399</v>
      </c>
      <c r="C153" s="20" t="s">
        <v>814</v>
      </c>
      <c r="D153" s="138">
        <v>1180000</v>
      </c>
      <c r="E153" s="20" t="s">
        <v>381</v>
      </c>
      <c r="F153" s="20" t="s">
        <v>382</v>
      </c>
      <c r="G153" s="8" t="str">
        <f t="shared" si="4"/>
        <v>LEVERE CRAIG</v>
      </c>
      <c r="H153" s="20" t="str">
        <f t="shared" si="5"/>
        <v>4058</v>
      </c>
    </row>
    <row r="154" spans="1:8" x14ac:dyDescent="0.3">
      <c r="A154" s="8">
        <v>43038.639432870368</v>
      </c>
      <c r="B154" s="20" t="s">
        <v>650</v>
      </c>
      <c r="C154" s="20" t="s">
        <v>815</v>
      </c>
      <c r="D154" s="138">
        <v>1760000</v>
      </c>
      <c r="E154" s="20" t="s">
        <v>791</v>
      </c>
      <c r="F154" s="20" t="s">
        <v>792</v>
      </c>
      <c r="G154" s="8" t="str">
        <f t="shared" si="4"/>
        <v>STRICKLAND EVAN</v>
      </c>
      <c r="H154" s="20" t="str">
        <f t="shared" si="5"/>
        <v>4001</v>
      </c>
    </row>
    <row r="155" spans="1:8" x14ac:dyDescent="0.3">
      <c r="A155" s="8">
        <v>43038.641863425924</v>
      </c>
      <c r="B155" s="20" t="s">
        <v>541</v>
      </c>
      <c r="C155" s="20" t="s">
        <v>662</v>
      </c>
      <c r="D155" s="138">
        <v>2610000</v>
      </c>
      <c r="E155" s="20" t="s">
        <v>816</v>
      </c>
      <c r="F155" s="20" t="s">
        <v>817</v>
      </c>
      <c r="G155" s="8" t="str">
        <f t="shared" si="4"/>
        <v>MAGEE KENYA</v>
      </c>
      <c r="H155" s="20" t="str">
        <f t="shared" si="5"/>
        <v>4063</v>
      </c>
    </row>
    <row r="156" spans="1:8" x14ac:dyDescent="0.3">
      <c r="A156" s="8">
        <v>43038.642939814818</v>
      </c>
      <c r="B156" s="20" t="s">
        <v>408</v>
      </c>
      <c r="C156" s="20" t="s">
        <v>818</v>
      </c>
      <c r="D156" s="138">
        <v>2970000</v>
      </c>
      <c r="E156" s="20" t="s">
        <v>560</v>
      </c>
      <c r="F156" s="20" t="s">
        <v>561</v>
      </c>
      <c r="G156" s="8" t="str">
        <f t="shared" si="4"/>
        <v>GUZMAN DANNY</v>
      </c>
      <c r="H156" s="20" t="str">
        <f t="shared" si="5"/>
        <v>4032</v>
      </c>
    </row>
    <row r="157" spans="1:8" x14ac:dyDescent="0.3">
      <c r="A157" s="8">
        <v>43038.643275462964</v>
      </c>
      <c r="B157" s="20" t="s">
        <v>470</v>
      </c>
      <c r="C157" s="20" t="s">
        <v>819</v>
      </c>
      <c r="D157" s="138">
        <v>2030000</v>
      </c>
      <c r="E157" s="20" t="s">
        <v>795</v>
      </c>
      <c r="F157" s="20" t="s">
        <v>407</v>
      </c>
      <c r="G157" s="8" t="str">
        <f t="shared" si="4"/>
        <v>KILLION DAVID</v>
      </c>
      <c r="H157" s="20" t="str">
        <f t="shared" si="5"/>
        <v>4035</v>
      </c>
    </row>
    <row r="158" spans="1:8" x14ac:dyDescent="0.3">
      <c r="A158" s="8">
        <v>43038.646365740744</v>
      </c>
      <c r="B158" s="20" t="s">
        <v>541</v>
      </c>
      <c r="C158" s="20" t="s">
        <v>662</v>
      </c>
      <c r="D158" s="138">
        <v>2610000</v>
      </c>
      <c r="E158" s="20" t="s">
        <v>816</v>
      </c>
      <c r="F158" s="20" t="s">
        <v>817</v>
      </c>
      <c r="G158" s="8" t="str">
        <f t="shared" si="4"/>
        <v>MAGEE KENYA</v>
      </c>
      <c r="H158" s="20" t="str">
        <f t="shared" si="5"/>
        <v>4063</v>
      </c>
    </row>
    <row r="159" spans="1:8" x14ac:dyDescent="0.3">
      <c r="A159" s="8">
        <v>43038.652407407404</v>
      </c>
      <c r="B159" s="20" t="s">
        <v>467</v>
      </c>
      <c r="C159" s="20" t="s">
        <v>820</v>
      </c>
      <c r="D159" s="138">
        <v>2140000</v>
      </c>
      <c r="E159" s="20" t="s">
        <v>768</v>
      </c>
      <c r="F159" s="20" t="s">
        <v>769</v>
      </c>
      <c r="G159" s="8" t="str">
        <f t="shared" si="4"/>
        <v>ROBINSON KADDIBA</v>
      </c>
      <c r="H159" s="20" t="str">
        <f t="shared" si="5"/>
        <v>4049</v>
      </c>
    </row>
    <row r="160" spans="1:8" x14ac:dyDescent="0.3">
      <c r="A160" s="8">
        <v>43038.652719907404</v>
      </c>
      <c r="B160" s="20" t="s">
        <v>545</v>
      </c>
      <c r="C160" s="20" t="s">
        <v>821</v>
      </c>
      <c r="D160" s="138">
        <v>2610000</v>
      </c>
      <c r="E160" s="20" t="s">
        <v>816</v>
      </c>
      <c r="F160" s="20" t="s">
        <v>817</v>
      </c>
      <c r="G160" s="8" t="str">
        <f t="shared" si="4"/>
        <v>MAGEE KENYA</v>
      </c>
      <c r="H160" s="20" t="str">
        <f t="shared" si="5"/>
        <v>4064</v>
      </c>
    </row>
    <row r="161" spans="1:8" x14ac:dyDescent="0.3">
      <c r="A161" s="8">
        <v>43038.655138888891</v>
      </c>
      <c r="B161" s="20" t="s">
        <v>496</v>
      </c>
      <c r="C161" s="20" t="s">
        <v>822</v>
      </c>
      <c r="D161" s="138">
        <v>2630000</v>
      </c>
      <c r="E161" s="20" t="s">
        <v>558</v>
      </c>
      <c r="F161" s="20" t="s">
        <v>559</v>
      </c>
      <c r="G161" s="8" t="str">
        <f t="shared" si="4"/>
        <v>SAFIEF AEIMEN</v>
      </c>
      <c r="H161" s="20" t="str">
        <f t="shared" si="5"/>
        <v>4054</v>
      </c>
    </row>
    <row r="162" spans="1:8" x14ac:dyDescent="0.3">
      <c r="A162" s="8">
        <v>43038.662106481483</v>
      </c>
      <c r="B162" s="20" t="s">
        <v>540</v>
      </c>
      <c r="C162" s="20" t="s">
        <v>823</v>
      </c>
      <c r="D162" s="138">
        <v>880000</v>
      </c>
      <c r="E162" s="20" t="s">
        <v>775</v>
      </c>
      <c r="F162" s="20" t="s">
        <v>367</v>
      </c>
      <c r="G162" s="8" t="str">
        <f t="shared" si="4"/>
        <v>STEWART MICHAEL</v>
      </c>
      <c r="H162" s="20" t="str">
        <f t="shared" si="5"/>
        <v>4003</v>
      </c>
    </row>
    <row r="163" spans="1:8" x14ac:dyDescent="0.3">
      <c r="A163" s="8">
        <v>43038.662615740737</v>
      </c>
      <c r="B163" s="20" t="s">
        <v>400</v>
      </c>
      <c r="C163" s="20" t="s">
        <v>824</v>
      </c>
      <c r="D163" s="138">
        <v>2550000</v>
      </c>
      <c r="E163" s="20" t="s">
        <v>497</v>
      </c>
      <c r="F163" s="20" t="s">
        <v>498</v>
      </c>
      <c r="G163" s="8" t="str">
        <f t="shared" si="4"/>
        <v>BADERTSCHER DIANE</v>
      </c>
      <c r="H163" s="20" t="str">
        <f t="shared" si="5"/>
        <v>4024</v>
      </c>
    </row>
    <row r="164" spans="1:8" x14ac:dyDescent="0.3">
      <c r="A164" s="8">
        <v>43038.665196759262</v>
      </c>
      <c r="B164" s="20" t="s">
        <v>541</v>
      </c>
      <c r="C164" s="20" t="s">
        <v>825</v>
      </c>
      <c r="D164" s="138">
        <v>2610000</v>
      </c>
      <c r="E164" s="20" t="s">
        <v>816</v>
      </c>
      <c r="F164" s="20" t="s">
        <v>817</v>
      </c>
      <c r="G164" s="8" t="str">
        <f t="shared" si="4"/>
        <v>MAGEE KENYA</v>
      </c>
      <c r="H164" s="20" t="str">
        <f t="shared" si="5"/>
        <v>4063</v>
      </c>
    </row>
    <row r="165" spans="1:8" x14ac:dyDescent="0.3">
      <c r="A165" s="8">
        <v>43038.665335648147</v>
      </c>
      <c r="B165" s="20" t="s">
        <v>469</v>
      </c>
      <c r="C165" s="20" t="s">
        <v>826</v>
      </c>
      <c r="D165" s="138">
        <v>2030000</v>
      </c>
      <c r="E165" s="20" t="s">
        <v>795</v>
      </c>
      <c r="F165" s="20" t="s">
        <v>407</v>
      </c>
      <c r="G165" s="8" t="str">
        <f t="shared" si="4"/>
        <v>KILLION DAVID</v>
      </c>
      <c r="H165" s="20" t="str">
        <f t="shared" si="5"/>
        <v>4036</v>
      </c>
    </row>
    <row r="166" spans="1:8" x14ac:dyDescent="0.3">
      <c r="A166" s="8">
        <v>43038.670381944445</v>
      </c>
      <c r="B166" s="20" t="s">
        <v>402</v>
      </c>
      <c r="C166" s="20" t="s">
        <v>827</v>
      </c>
      <c r="D166" s="138">
        <v>1180000</v>
      </c>
      <c r="E166" s="20" t="s">
        <v>381</v>
      </c>
      <c r="F166" s="20" t="s">
        <v>382</v>
      </c>
      <c r="G166" s="8" t="str">
        <f t="shared" si="4"/>
        <v>LEVERE CRAIG</v>
      </c>
      <c r="H166" s="20" t="str">
        <f t="shared" si="5"/>
        <v>4057</v>
      </c>
    </row>
    <row r="167" spans="1:8" x14ac:dyDescent="0.3">
      <c r="A167" s="8">
        <v>43038.674189814818</v>
      </c>
      <c r="B167" s="20" t="s">
        <v>539</v>
      </c>
      <c r="C167" s="20" t="s">
        <v>828</v>
      </c>
      <c r="D167" s="138">
        <v>2970000</v>
      </c>
      <c r="E167" s="20" t="s">
        <v>560</v>
      </c>
      <c r="F167" s="20" t="s">
        <v>561</v>
      </c>
      <c r="G167" s="8" t="str">
        <f t="shared" si="4"/>
        <v>GUZMAN DANNY</v>
      </c>
      <c r="H167" s="20" t="str">
        <f t="shared" si="5"/>
        <v>4031</v>
      </c>
    </row>
    <row r="168" spans="1:8" x14ac:dyDescent="0.3">
      <c r="A168" s="8">
        <v>43038.674618055556</v>
      </c>
      <c r="B168" s="20" t="s">
        <v>660</v>
      </c>
      <c r="C168" s="20" t="s">
        <v>829</v>
      </c>
      <c r="D168" s="138">
        <v>1760000</v>
      </c>
      <c r="E168" s="20" t="s">
        <v>791</v>
      </c>
      <c r="F168" s="20" t="s">
        <v>792</v>
      </c>
      <c r="G168" s="8" t="str">
        <f t="shared" si="4"/>
        <v>STRICKLAND EVAN</v>
      </c>
      <c r="H168" s="20" t="str">
        <f t="shared" si="5"/>
        <v>4002</v>
      </c>
    </row>
    <row r="169" spans="1:8" x14ac:dyDescent="0.3">
      <c r="A169" s="8">
        <v>43038.683472222219</v>
      </c>
      <c r="B169" s="20" t="s">
        <v>466</v>
      </c>
      <c r="C169" s="20" t="s">
        <v>830</v>
      </c>
      <c r="D169" s="138">
        <v>920000</v>
      </c>
      <c r="E169" s="20" t="s">
        <v>393</v>
      </c>
      <c r="F169" s="20" t="s">
        <v>367</v>
      </c>
      <c r="G169" s="8" t="str">
        <f t="shared" si="4"/>
        <v>DAVIS MICHAEL</v>
      </c>
      <c r="H169" s="20" t="str">
        <f t="shared" si="5"/>
        <v>4050</v>
      </c>
    </row>
    <row r="170" spans="1:8" x14ac:dyDescent="0.3">
      <c r="A170" s="8">
        <v>43038.683877314812</v>
      </c>
      <c r="B170" s="20" t="s">
        <v>490</v>
      </c>
      <c r="C170" s="20" t="s">
        <v>831</v>
      </c>
      <c r="D170" s="138">
        <v>2630000</v>
      </c>
      <c r="E170" s="20" t="s">
        <v>558</v>
      </c>
      <c r="F170" s="20" t="s">
        <v>559</v>
      </c>
      <c r="G170" s="8" t="str">
        <f t="shared" si="4"/>
        <v>SAFIEF AEIMEN</v>
      </c>
      <c r="H170" s="20" t="str">
        <f t="shared" si="5"/>
        <v>4053</v>
      </c>
    </row>
    <row r="171" spans="1:8" x14ac:dyDescent="0.3">
      <c r="A171" s="8">
        <v>43038.685555555552</v>
      </c>
      <c r="B171" s="20" t="s">
        <v>545</v>
      </c>
      <c r="C171" s="20" t="s">
        <v>663</v>
      </c>
      <c r="D171" s="138">
        <v>2610000</v>
      </c>
      <c r="E171" s="20" t="s">
        <v>816</v>
      </c>
      <c r="F171" s="20" t="s">
        <v>817</v>
      </c>
      <c r="G171" s="8" t="str">
        <f t="shared" si="4"/>
        <v>MAGEE KENYA</v>
      </c>
      <c r="H171" s="20" t="str">
        <f t="shared" si="5"/>
        <v>4064</v>
      </c>
    </row>
    <row r="172" spans="1:8" x14ac:dyDescent="0.3">
      <c r="A172" s="8">
        <v>43038.685682870368</v>
      </c>
      <c r="B172" s="20" t="s">
        <v>470</v>
      </c>
      <c r="C172" s="20" t="s">
        <v>832</v>
      </c>
      <c r="D172" s="138">
        <v>2030000</v>
      </c>
      <c r="E172" s="20" t="s">
        <v>795</v>
      </c>
      <c r="F172" s="20" t="s">
        <v>407</v>
      </c>
      <c r="G172" s="8" t="str">
        <f t="shared" si="4"/>
        <v>KILLION DAVID</v>
      </c>
      <c r="H172" s="20" t="str">
        <f t="shared" si="5"/>
        <v>4035</v>
      </c>
    </row>
    <row r="173" spans="1:8" x14ac:dyDescent="0.3">
      <c r="A173" s="8">
        <v>43038.693761574075</v>
      </c>
      <c r="B173" s="20" t="s">
        <v>544</v>
      </c>
      <c r="C173" s="20" t="s">
        <v>833</v>
      </c>
      <c r="D173" s="138">
        <v>880000</v>
      </c>
      <c r="E173" s="20" t="s">
        <v>775</v>
      </c>
      <c r="F173" s="20" t="s">
        <v>367</v>
      </c>
      <c r="G173" s="8" t="str">
        <f t="shared" si="4"/>
        <v>STEWART MICHAEL</v>
      </c>
      <c r="H173" s="20" t="str">
        <f t="shared" si="5"/>
        <v>4004</v>
      </c>
    </row>
    <row r="174" spans="1:8" x14ac:dyDescent="0.3">
      <c r="A174" s="8">
        <v>43038.69903935185</v>
      </c>
      <c r="B174" s="20" t="s">
        <v>401</v>
      </c>
      <c r="C174" s="20" t="s">
        <v>834</v>
      </c>
      <c r="D174" s="138">
        <v>2550000</v>
      </c>
      <c r="E174" s="20" t="s">
        <v>497</v>
      </c>
      <c r="F174" s="20" t="s">
        <v>498</v>
      </c>
      <c r="G174" s="8" t="str">
        <f t="shared" si="4"/>
        <v>BADERTSCHER DIANE</v>
      </c>
      <c r="H174" s="20" t="str">
        <f t="shared" si="5"/>
        <v>4023</v>
      </c>
    </row>
    <row r="175" spans="1:8" x14ac:dyDescent="0.3">
      <c r="A175" s="8">
        <v>43038.704259259262</v>
      </c>
      <c r="B175" s="20" t="s">
        <v>399</v>
      </c>
      <c r="C175" s="20" t="s">
        <v>835</v>
      </c>
      <c r="D175" s="138">
        <v>1180000</v>
      </c>
      <c r="E175" s="20" t="s">
        <v>381</v>
      </c>
      <c r="F175" s="20" t="s">
        <v>382</v>
      </c>
      <c r="G175" s="8" t="str">
        <f t="shared" si="4"/>
        <v>LEVERE CRAIG</v>
      </c>
      <c r="H175" s="20" t="str">
        <f t="shared" si="5"/>
        <v>4058</v>
      </c>
    </row>
    <row r="176" spans="1:8" x14ac:dyDescent="0.3">
      <c r="A176" s="8">
        <v>43038.705381944441</v>
      </c>
      <c r="B176" s="20" t="s">
        <v>553</v>
      </c>
      <c r="C176" s="20" t="s">
        <v>664</v>
      </c>
      <c r="D176" s="138">
        <v>2140000</v>
      </c>
      <c r="E176" s="20" t="s">
        <v>768</v>
      </c>
      <c r="F176" s="20" t="s">
        <v>769</v>
      </c>
      <c r="G176" s="8" t="str">
        <f t="shared" si="4"/>
        <v>ROBINSON KADDIBA</v>
      </c>
      <c r="H176" s="20" t="str">
        <f t="shared" si="5"/>
        <v>4012</v>
      </c>
    </row>
    <row r="177" spans="1:8" x14ac:dyDescent="0.3">
      <c r="A177" s="8">
        <v>43038.706331018519</v>
      </c>
      <c r="B177" s="20" t="s">
        <v>553</v>
      </c>
      <c r="C177" s="20" t="s">
        <v>664</v>
      </c>
      <c r="D177" s="138">
        <v>2140000</v>
      </c>
      <c r="E177" s="20" t="s">
        <v>768</v>
      </c>
      <c r="F177" s="20" t="s">
        <v>769</v>
      </c>
      <c r="G177" s="8" t="str">
        <f t="shared" si="4"/>
        <v>ROBINSON KADDIBA</v>
      </c>
      <c r="H177" s="20" t="str">
        <f t="shared" si="5"/>
        <v>4012</v>
      </c>
    </row>
    <row r="178" spans="1:8" x14ac:dyDescent="0.3">
      <c r="A178" s="8">
        <v>43038.707175925927</v>
      </c>
      <c r="B178" s="20" t="s">
        <v>469</v>
      </c>
      <c r="C178" s="20" t="s">
        <v>836</v>
      </c>
      <c r="D178" s="138">
        <v>2030000</v>
      </c>
      <c r="E178" s="20" t="s">
        <v>795</v>
      </c>
      <c r="F178" s="20" t="s">
        <v>407</v>
      </c>
      <c r="G178" s="8" t="str">
        <f t="shared" si="4"/>
        <v>KILLION DAVID</v>
      </c>
      <c r="H178" s="20" t="str">
        <f t="shared" si="5"/>
        <v>4036</v>
      </c>
    </row>
    <row r="179" spans="1:8" x14ac:dyDescent="0.3">
      <c r="A179" s="8">
        <v>43038.707696759258</v>
      </c>
      <c r="B179" s="20" t="s">
        <v>553</v>
      </c>
      <c r="C179" s="20" t="s">
        <v>664</v>
      </c>
      <c r="D179" s="138">
        <v>2140000</v>
      </c>
      <c r="E179" s="20" t="s">
        <v>768</v>
      </c>
      <c r="F179" s="20" t="s">
        <v>769</v>
      </c>
      <c r="G179" s="8" t="str">
        <f t="shared" si="4"/>
        <v>ROBINSON KADDIBA</v>
      </c>
      <c r="H179" s="20" t="str">
        <f t="shared" si="5"/>
        <v>4012</v>
      </c>
    </row>
    <row r="180" spans="1:8" x14ac:dyDescent="0.3">
      <c r="A180" s="8">
        <v>43038.714606481481</v>
      </c>
      <c r="B180" s="20" t="s">
        <v>650</v>
      </c>
      <c r="C180" s="20" t="s">
        <v>837</v>
      </c>
      <c r="D180" s="138">
        <v>1760000</v>
      </c>
      <c r="E180" s="20" t="s">
        <v>791</v>
      </c>
      <c r="F180" s="20" t="s">
        <v>792</v>
      </c>
      <c r="G180" s="8" t="str">
        <f t="shared" si="4"/>
        <v>STRICKLAND EVAN</v>
      </c>
      <c r="H180" s="20" t="str">
        <f t="shared" si="5"/>
        <v>4001</v>
      </c>
    </row>
    <row r="181" spans="1:8" x14ac:dyDescent="0.3">
      <c r="A181" s="8">
        <v>43038.715081018519</v>
      </c>
      <c r="B181" s="20" t="s">
        <v>541</v>
      </c>
      <c r="C181" s="20" t="s">
        <v>838</v>
      </c>
      <c r="D181" s="138">
        <v>2610000</v>
      </c>
      <c r="E181" s="20" t="s">
        <v>816</v>
      </c>
      <c r="F181" s="20" t="s">
        <v>817</v>
      </c>
      <c r="G181" s="8" t="str">
        <f t="shared" si="4"/>
        <v>MAGEE KENYA</v>
      </c>
      <c r="H181" s="20" t="str">
        <f t="shared" si="5"/>
        <v>4063</v>
      </c>
    </row>
    <row r="182" spans="1:8" x14ac:dyDescent="0.3">
      <c r="A182" s="8">
        <v>43038.715115740742</v>
      </c>
      <c r="B182" s="20" t="s">
        <v>408</v>
      </c>
      <c r="C182" s="20" t="s">
        <v>839</v>
      </c>
      <c r="D182" s="138">
        <v>2970000</v>
      </c>
      <c r="E182" s="20" t="s">
        <v>560</v>
      </c>
      <c r="F182" s="20" t="s">
        <v>561</v>
      </c>
      <c r="G182" s="8" t="str">
        <f t="shared" si="4"/>
        <v>GUZMAN DANNY</v>
      </c>
      <c r="H182" s="20" t="str">
        <f t="shared" si="5"/>
        <v>4032</v>
      </c>
    </row>
    <row r="183" spans="1:8" x14ac:dyDescent="0.3">
      <c r="A183" s="8">
        <v>43038.720138888886</v>
      </c>
      <c r="B183" s="20" t="s">
        <v>491</v>
      </c>
      <c r="C183" s="20" t="s">
        <v>840</v>
      </c>
      <c r="D183" s="138">
        <v>3330000</v>
      </c>
      <c r="E183" s="20" t="s">
        <v>562</v>
      </c>
      <c r="F183" s="20" t="s">
        <v>563</v>
      </c>
      <c r="G183" s="8" t="str">
        <f t="shared" si="4"/>
        <v>GONZALEZ ARMANDO</v>
      </c>
      <c r="H183" s="20" t="str">
        <f t="shared" si="5"/>
        <v>4042</v>
      </c>
    </row>
    <row r="184" spans="1:8" x14ac:dyDescent="0.3">
      <c r="A184" s="8">
        <v>43038.726782407408</v>
      </c>
      <c r="B184" s="20" t="s">
        <v>467</v>
      </c>
      <c r="C184" s="20" t="s">
        <v>841</v>
      </c>
      <c r="D184" s="138">
        <v>920000</v>
      </c>
      <c r="E184" s="20" t="s">
        <v>393</v>
      </c>
      <c r="F184" s="20" t="s">
        <v>367</v>
      </c>
      <c r="G184" s="8" t="str">
        <f t="shared" si="4"/>
        <v>DAVIS MICHAEL</v>
      </c>
      <c r="H184" s="20" t="str">
        <f t="shared" si="5"/>
        <v>4049</v>
      </c>
    </row>
    <row r="185" spans="1:8" x14ac:dyDescent="0.3">
      <c r="A185" s="8">
        <v>43038.727696759262</v>
      </c>
      <c r="B185" s="20" t="s">
        <v>496</v>
      </c>
      <c r="C185" s="20" t="s">
        <v>842</v>
      </c>
      <c r="D185" s="138">
        <v>2630000</v>
      </c>
      <c r="E185" s="20" t="s">
        <v>558</v>
      </c>
      <c r="F185" s="20" t="s">
        <v>559</v>
      </c>
      <c r="G185" s="8" t="str">
        <f t="shared" si="4"/>
        <v>SAFIEF AEIMEN</v>
      </c>
      <c r="H185" s="20" t="str">
        <f t="shared" si="5"/>
        <v>4054</v>
      </c>
    </row>
    <row r="186" spans="1:8" x14ac:dyDescent="0.3">
      <c r="A186" s="8">
        <v>43038.728043981479</v>
      </c>
      <c r="B186" s="20" t="s">
        <v>470</v>
      </c>
      <c r="C186" s="20" t="s">
        <v>843</v>
      </c>
      <c r="D186" s="138">
        <v>2030000</v>
      </c>
      <c r="E186" s="20" t="s">
        <v>795</v>
      </c>
      <c r="F186" s="20" t="s">
        <v>407</v>
      </c>
      <c r="G186" s="8" t="str">
        <f t="shared" si="4"/>
        <v>KILLION DAVID</v>
      </c>
      <c r="H186" s="20" t="str">
        <f t="shared" si="5"/>
        <v>4035</v>
      </c>
    </row>
    <row r="187" spans="1:8" x14ac:dyDescent="0.3">
      <c r="A187" s="8">
        <v>43038.733587962961</v>
      </c>
      <c r="B187" s="20" t="s">
        <v>540</v>
      </c>
      <c r="C187" s="20" t="s">
        <v>844</v>
      </c>
      <c r="D187" s="138">
        <v>880000</v>
      </c>
      <c r="E187" s="20" t="s">
        <v>775</v>
      </c>
      <c r="F187" s="20" t="s">
        <v>367</v>
      </c>
      <c r="G187" s="8" t="str">
        <f t="shared" si="4"/>
        <v>STEWART MICHAEL</v>
      </c>
      <c r="H187" s="20" t="str">
        <f t="shared" si="5"/>
        <v>4003</v>
      </c>
    </row>
    <row r="188" spans="1:8" x14ac:dyDescent="0.3">
      <c r="A188" s="8">
        <v>43038.734189814815</v>
      </c>
      <c r="B188" s="20" t="s">
        <v>545</v>
      </c>
      <c r="C188" s="20" t="s">
        <v>845</v>
      </c>
      <c r="D188" s="138">
        <v>2610000</v>
      </c>
      <c r="E188" s="20" t="s">
        <v>816</v>
      </c>
      <c r="F188" s="20" t="s">
        <v>817</v>
      </c>
      <c r="G188" s="8" t="str">
        <f t="shared" si="4"/>
        <v>MAGEE KENYA</v>
      </c>
      <c r="H188" s="20" t="str">
        <f t="shared" si="5"/>
        <v>4064</v>
      </c>
    </row>
    <row r="189" spans="1:8" x14ac:dyDescent="0.3">
      <c r="A189" s="8">
        <v>43038.738865740743</v>
      </c>
      <c r="B189" s="20" t="s">
        <v>400</v>
      </c>
      <c r="C189" s="20" t="s">
        <v>665</v>
      </c>
      <c r="D189" s="138">
        <v>890000</v>
      </c>
      <c r="E189" s="20" t="s">
        <v>354</v>
      </c>
      <c r="F189" s="20" t="s">
        <v>355</v>
      </c>
      <c r="G189" s="8" t="str">
        <f t="shared" si="4"/>
        <v>LOZA FIDEL</v>
      </c>
      <c r="H189" s="20" t="str">
        <f t="shared" si="5"/>
        <v>4024</v>
      </c>
    </row>
    <row r="190" spans="1:8" x14ac:dyDescent="0.3">
      <c r="A190" s="8">
        <v>43038.740590277775</v>
      </c>
      <c r="B190" s="20" t="s">
        <v>846</v>
      </c>
      <c r="C190" s="20" t="s">
        <v>847</v>
      </c>
      <c r="D190" s="138">
        <v>3500000</v>
      </c>
      <c r="E190" s="20" t="s">
        <v>564</v>
      </c>
      <c r="F190" s="20" t="s">
        <v>565</v>
      </c>
      <c r="G190" s="8" t="str">
        <f t="shared" si="4"/>
        <v>GUNTHIER ERIC</v>
      </c>
      <c r="H190" s="20" t="str">
        <f t="shared" si="5"/>
        <v>4025</v>
      </c>
    </row>
    <row r="191" spans="1:8" x14ac:dyDescent="0.3">
      <c r="A191" s="8">
        <v>43038.743518518517</v>
      </c>
      <c r="B191" s="20" t="s">
        <v>402</v>
      </c>
      <c r="C191" s="20" t="s">
        <v>848</v>
      </c>
      <c r="D191" s="138">
        <v>1180000</v>
      </c>
      <c r="E191" s="20" t="s">
        <v>381</v>
      </c>
      <c r="F191" s="20" t="s">
        <v>382</v>
      </c>
      <c r="G191" s="8" t="str">
        <f t="shared" si="4"/>
        <v>LEVERE CRAIG</v>
      </c>
      <c r="H191" s="20" t="str">
        <f t="shared" si="5"/>
        <v>4057</v>
      </c>
    </row>
    <row r="192" spans="1:8" x14ac:dyDescent="0.3">
      <c r="A192" s="8">
        <v>43038.746006944442</v>
      </c>
      <c r="B192" s="20" t="s">
        <v>539</v>
      </c>
      <c r="C192" s="20" t="s">
        <v>849</v>
      </c>
      <c r="D192" s="138">
        <v>2970000</v>
      </c>
      <c r="E192" s="20" t="s">
        <v>560</v>
      </c>
      <c r="F192" s="20" t="s">
        <v>561</v>
      </c>
      <c r="G192" s="8" t="str">
        <f t="shared" si="4"/>
        <v>GUZMAN DANNY</v>
      </c>
      <c r="H192" s="20" t="str">
        <f t="shared" si="5"/>
        <v>4031</v>
      </c>
    </row>
    <row r="193" spans="1:8" x14ac:dyDescent="0.3">
      <c r="A193" s="8">
        <v>43038.746354166666</v>
      </c>
      <c r="B193" s="20" t="s">
        <v>660</v>
      </c>
      <c r="C193" s="20" t="s">
        <v>850</v>
      </c>
      <c r="D193" s="138">
        <v>1760000</v>
      </c>
      <c r="E193" s="20" t="s">
        <v>791</v>
      </c>
      <c r="F193" s="20" t="s">
        <v>792</v>
      </c>
      <c r="G193" s="8" t="str">
        <f t="shared" si="4"/>
        <v>STRICKLAND EVAN</v>
      </c>
      <c r="H193" s="20" t="str">
        <f t="shared" si="5"/>
        <v>4002</v>
      </c>
    </row>
    <row r="194" spans="1:8" x14ac:dyDescent="0.3">
      <c r="A194" s="8">
        <v>43038.748912037037</v>
      </c>
      <c r="B194" s="20" t="s">
        <v>469</v>
      </c>
      <c r="C194" s="20" t="s">
        <v>851</v>
      </c>
      <c r="D194" s="138">
        <v>2030000</v>
      </c>
      <c r="E194" s="20" t="s">
        <v>795</v>
      </c>
      <c r="F194" s="20" t="s">
        <v>407</v>
      </c>
      <c r="G194" s="8" t="str">
        <f t="shared" si="4"/>
        <v>KILLION DAVID</v>
      </c>
      <c r="H194" s="20" t="str">
        <f t="shared" si="5"/>
        <v>4036</v>
      </c>
    </row>
    <row r="195" spans="1:8" x14ac:dyDescent="0.3">
      <c r="A195" s="8">
        <v>43038.756342592591</v>
      </c>
      <c r="B195" s="20" t="s">
        <v>541</v>
      </c>
      <c r="C195" s="20" t="s">
        <v>852</v>
      </c>
      <c r="D195" s="138">
        <v>2610000</v>
      </c>
      <c r="E195" s="20" t="s">
        <v>816</v>
      </c>
      <c r="F195" s="20" t="s">
        <v>817</v>
      </c>
      <c r="G195" s="8" t="str">
        <f t="shared" ref="G195:G258" si="6">E195&amp;" "&amp;F195</f>
        <v>MAGEE KENYA</v>
      </c>
      <c r="H195" s="20" t="str">
        <f t="shared" ref="H195:H258" si="7">MID(B195,13,4)</f>
        <v>4063</v>
      </c>
    </row>
    <row r="196" spans="1:8" x14ac:dyDescent="0.3">
      <c r="A196" s="8">
        <v>43038.758587962962</v>
      </c>
      <c r="B196" s="20" t="s">
        <v>466</v>
      </c>
      <c r="C196" s="20" t="s">
        <v>853</v>
      </c>
      <c r="D196" s="138">
        <v>3220000</v>
      </c>
      <c r="E196" s="20" t="s">
        <v>566</v>
      </c>
      <c r="F196" s="20" t="s">
        <v>567</v>
      </c>
      <c r="G196" s="8" t="str">
        <f t="shared" si="6"/>
        <v>RESPASS AARON</v>
      </c>
      <c r="H196" s="20" t="str">
        <f t="shared" si="7"/>
        <v>4050</v>
      </c>
    </row>
    <row r="197" spans="1:8" x14ac:dyDescent="0.3">
      <c r="A197" s="8">
        <v>43038.759317129632</v>
      </c>
      <c r="B197" s="20" t="s">
        <v>490</v>
      </c>
      <c r="C197" s="20" t="s">
        <v>854</v>
      </c>
      <c r="D197" s="138">
        <v>2630000</v>
      </c>
      <c r="E197" s="20" t="s">
        <v>558</v>
      </c>
      <c r="F197" s="20" t="s">
        <v>559</v>
      </c>
      <c r="G197" s="8" t="str">
        <f t="shared" si="6"/>
        <v>SAFIEF AEIMEN</v>
      </c>
      <c r="H197" s="20" t="str">
        <f t="shared" si="7"/>
        <v>4053</v>
      </c>
    </row>
    <row r="198" spans="1:8" x14ac:dyDescent="0.3">
      <c r="A198" s="8">
        <v>43038.769409722219</v>
      </c>
      <c r="B198" s="20" t="s">
        <v>544</v>
      </c>
      <c r="C198" s="20" t="s">
        <v>855</v>
      </c>
      <c r="D198" s="138">
        <v>3040000</v>
      </c>
      <c r="E198" s="20" t="s">
        <v>494</v>
      </c>
      <c r="F198" s="20" t="s">
        <v>495</v>
      </c>
      <c r="G198" s="8" t="str">
        <f t="shared" si="6"/>
        <v>WILLIAMS DONTE</v>
      </c>
      <c r="H198" s="20" t="str">
        <f t="shared" si="7"/>
        <v>4004</v>
      </c>
    </row>
    <row r="199" spans="1:8" x14ac:dyDescent="0.3">
      <c r="A199" s="8">
        <v>43038.769560185188</v>
      </c>
      <c r="B199" s="20" t="s">
        <v>470</v>
      </c>
      <c r="C199" s="20" t="s">
        <v>851</v>
      </c>
      <c r="D199" s="138">
        <v>2030000</v>
      </c>
      <c r="E199" s="20" t="s">
        <v>795</v>
      </c>
      <c r="F199" s="20" t="s">
        <v>407</v>
      </c>
      <c r="G199" s="8" t="str">
        <f t="shared" si="6"/>
        <v>KILLION DAVID</v>
      </c>
      <c r="H199" s="20" t="str">
        <f t="shared" si="7"/>
        <v>4035</v>
      </c>
    </row>
    <row r="200" spans="1:8" x14ac:dyDescent="0.3">
      <c r="A200" s="8">
        <v>43038.770775462966</v>
      </c>
      <c r="B200" s="20" t="s">
        <v>470</v>
      </c>
      <c r="C200" s="20" t="s">
        <v>856</v>
      </c>
      <c r="D200" s="138">
        <v>2030000</v>
      </c>
      <c r="E200" s="20" t="s">
        <v>795</v>
      </c>
      <c r="F200" s="20" t="s">
        <v>407</v>
      </c>
      <c r="G200" s="8" t="str">
        <f t="shared" si="6"/>
        <v>KILLION DAVID</v>
      </c>
      <c r="H200" s="20" t="str">
        <f t="shared" si="7"/>
        <v>4035</v>
      </c>
    </row>
    <row r="201" spans="1:8" x14ac:dyDescent="0.3">
      <c r="A201" s="8">
        <v>43038.773900462962</v>
      </c>
      <c r="B201" s="20" t="s">
        <v>545</v>
      </c>
      <c r="C201" s="20" t="s">
        <v>857</v>
      </c>
      <c r="D201" s="138">
        <v>2610000</v>
      </c>
      <c r="E201" s="20" t="s">
        <v>816</v>
      </c>
      <c r="F201" s="20" t="s">
        <v>817</v>
      </c>
      <c r="G201" s="8" t="str">
        <f t="shared" si="6"/>
        <v>MAGEE KENYA</v>
      </c>
      <c r="H201" s="20" t="str">
        <f t="shared" si="7"/>
        <v>4064</v>
      </c>
    </row>
    <row r="202" spans="1:8" x14ac:dyDescent="0.3">
      <c r="A202" s="26">
        <v>43038.776875000003</v>
      </c>
      <c r="B202" s="20" t="s">
        <v>545</v>
      </c>
      <c r="C202" s="20" t="s">
        <v>857</v>
      </c>
      <c r="D202" s="138">
        <v>2610000</v>
      </c>
      <c r="E202" s="20" t="s">
        <v>816</v>
      </c>
      <c r="F202" s="20" t="s">
        <v>817</v>
      </c>
      <c r="G202" s="8" t="str">
        <f t="shared" si="6"/>
        <v>MAGEE KENYA</v>
      </c>
      <c r="H202" s="20" t="str">
        <f t="shared" si="7"/>
        <v>4064</v>
      </c>
    </row>
    <row r="203" spans="1:8" x14ac:dyDescent="0.3">
      <c r="A203" s="8">
        <v>43038.777754629627</v>
      </c>
      <c r="B203" s="20" t="s">
        <v>401</v>
      </c>
      <c r="C203" s="20" t="s">
        <v>858</v>
      </c>
      <c r="D203" s="138">
        <v>890000</v>
      </c>
      <c r="E203" s="20" t="s">
        <v>354</v>
      </c>
      <c r="F203" s="20" t="s">
        <v>355</v>
      </c>
      <c r="G203" s="8" t="str">
        <f t="shared" si="6"/>
        <v>LOZA FIDEL</v>
      </c>
      <c r="H203" s="20" t="str">
        <f t="shared" si="7"/>
        <v>4023</v>
      </c>
    </row>
    <row r="204" spans="1:8" x14ac:dyDescent="0.3">
      <c r="A204" s="8">
        <v>43038.781423611108</v>
      </c>
      <c r="B204" s="20" t="s">
        <v>399</v>
      </c>
      <c r="C204" s="20" t="s">
        <v>859</v>
      </c>
      <c r="D204" s="138">
        <v>1180000</v>
      </c>
      <c r="E204" s="20" t="s">
        <v>381</v>
      </c>
      <c r="F204" s="20" t="s">
        <v>382</v>
      </c>
      <c r="G204" s="8" t="str">
        <f t="shared" si="6"/>
        <v>LEVERE CRAIG</v>
      </c>
      <c r="H204" s="20" t="str">
        <f t="shared" si="7"/>
        <v>4058</v>
      </c>
    </row>
    <row r="205" spans="1:8" x14ac:dyDescent="0.3">
      <c r="A205" s="8">
        <v>43038.781747685185</v>
      </c>
      <c r="B205" s="20" t="s">
        <v>650</v>
      </c>
      <c r="C205" s="20" t="s">
        <v>860</v>
      </c>
      <c r="D205" s="138">
        <v>1760000</v>
      </c>
      <c r="E205" s="20" t="s">
        <v>791</v>
      </c>
      <c r="F205" s="20" t="s">
        <v>792</v>
      </c>
      <c r="G205" s="8" t="str">
        <f t="shared" si="6"/>
        <v>STRICKLAND EVAN</v>
      </c>
      <c r="H205" s="20" t="str">
        <f t="shared" si="7"/>
        <v>4001</v>
      </c>
    </row>
    <row r="206" spans="1:8" x14ac:dyDescent="0.3">
      <c r="A206" s="8">
        <v>43038.787534722222</v>
      </c>
      <c r="B206" s="20" t="s">
        <v>408</v>
      </c>
      <c r="C206" s="20" t="s">
        <v>861</v>
      </c>
      <c r="D206" s="138">
        <v>3340000</v>
      </c>
      <c r="E206" s="20" t="s">
        <v>412</v>
      </c>
      <c r="F206" s="20" t="s">
        <v>413</v>
      </c>
      <c r="G206" s="8" t="str">
        <f t="shared" si="6"/>
        <v>ELBAUM MIKE</v>
      </c>
      <c r="H206" s="20" t="str">
        <f t="shared" si="7"/>
        <v>4032</v>
      </c>
    </row>
    <row r="207" spans="1:8" x14ac:dyDescent="0.3">
      <c r="A207" s="8">
        <v>43038.790763888886</v>
      </c>
      <c r="B207" s="20" t="s">
        <v>541</v>
      </c>
      <c r="C207" s="20" t="s">
        <v>862</v>
      </c>
      <c r="D207" s="138">
        <v>2610000</v>
      </c>
      <c r="E207" s="20" t="s">
        <v>816</v>
      </c>
      <c r="F207" s="20" t="s">
        <v>817</v>
      </c>
      <c r="G207" s="8" t="str">
        <f t="shared" si="6"/>
        <v>MAGEE KENYA</v>
      </c>
      <c r="H207" s="20" t="str">
        <f t="shared" si="7"/>
        <v>4063</v>
      </c>
    </row>
    <row r="208" spans="1:8" x14ac:dyDescent="0.3">
      <c r="A208" s="8">
        <v>43038.791319444441</v>
      </c>
      <c r="B208" s="20" t="s">
        <v>469</v>
      </c>
      <c r="C208" s="20" t="s">
        <v>863</v>
      </c>
      <c r="D208" s="138">
        <v>2030000</v>
      </c>
      <c r="E208" s="20" t="s">
        <v>795</v>
      </c>
      <c r="F208" s="20" t="s">
        <v>407</v>
      </c>
      <c r="G208" s="8" t="str">
        <f t="shared" si="6"/>
        <v>KILLION DAVID</v>
      </c>
      <c r="H208" s="20" t="str">
        <f t="shared" si="7"/>
        <v>4036</v>
      </c>
    </row>
    <row r="209" spans="1:8" x14ac:dyDescent="0.3">
      <c r="A209" s="8">
        <v>43038.797824074078</v>
      </c>
      <c r="B209" s="20" t="s">
        <v>467</v>
      </c>
      <c r="C209" s="20" t="s">
        <v>864</v>
      </c>
      <c r="D209" s="138">
        <v>3220000</v>
      </c>
      <c r="E209" s="20" t="s">
        <v>566</v>
      </c>
      <c r="F209" s="20" t="s">
        <v>567</v>
      </c>
      <c r="G209" s="8" t="str">
        <f t="shared" si="6"/>
        <v>RESPASS AARON</v>
      </c>
      <c r="H209" s="20" t="str">
        <f t="shared" si="7"/>
        <v>4049</v>
      </c>
    </row>
    <row r="210" spans="1:8" x14ac:dyDescent="0.3">
      <c r="A210" s="8">
        <v>43038.799513888887</v>
      </c>
      <c r="B210" s="20" t="s">
        <v>496</v>
      </c>
      <c r="C210" s="20" t="s">
        <v>865</v>
      </c>
      <c r="D210" s="138">
        <v>2630000</v>
      </c>
      <c r="E210" s="20" t="s">
        <v>558</v>
      </c>
      <c r="F210" s="20" t="s">
        <v>559</v>
      </c>
      <c r="G210" s="8" t="str">
        <f t="shared" si="6"/>
        <v>SAFIEF AEIMEN</v>
      </c>
      <c r="H210" s="20" t="str">
        <f t="shared" si="7"/>
        <v>4054</v>
      </c>
    </row>
    <row r="211" spans="1:8" x14ac:dyDescent="0.3">
      <c r="A211" s="8">
        <v>43038.805231481485</v>
      </c>
      <c r="B211" s="20" t="s">
        <v>540</v>
      </c>
      <c r="C211" s="20" t="s">
        <v>866</v>
      </c>
      <c r="D211" s="138">
        <v>3040000</v>
      </c>
      <c r="E211" s="20" t="s">
        <v>494</v>
      </c>
      <c r="F211" s="20" t="s">
        <v>495</v>
      </c>
      <c r="G211" s="8" t="str">
        <f t="shared" si="6"/>
        <v>WILLIAMS DONTE</v>
      </c>
      <c r="H211" s="20" t="str">
        <f t="shared" si="7"/>
        <v>4003</v>
      </c>
    </row>
    <row r="212" spans="1:8" x14ac:dyDescent="0.3">
      <c r="A212" s="8">
        <v>43038.809224537035</v>
      </c>
      <c r="B212" s="20" t="s">
        <v>400</v>
      </c>
      <c r="C212" s="20" t="s">
        <v>667</v>
      </c>
      <c r="D212" s="138">
        <v>3670000</v>
      </c>
      <c r="E212" s="20" t="s">
        <v>867</v>
      </c>
      <c r="F212" s="20" t="s">
        <v>494</v>
      </c>
      <c r="G212" s="8" t="str">
        <f t="shared" si="6"/>
        <v>ANDREA WILLIAMS</v>
      </c>
      <c r="H212" s="20" t="str">
        <f t="shared" si="7"/>
        <v>4024</v>
      </c>
    </row>
    <row r="213" spans="1:8" x14ac:dyDescent="0.3">
      <c r="A213" s="8">
        <v>43038.810243055559</v>
      </c>
      <c r="B213" s="20" t="s">
        <v>470</v>
      </c>
      <c r="C213" s="20" t="s">
        <v>666</v>
      </c>
      <c r="D213" s="138">
        <v>2030000</v>
      </c>
      <c r="E213" s="20" t="s">
        <v>795</v>
      </c>
      <c r="F213" s="20" t="s">
        <v>407</v>
      </c>
      <c r="G213" s="8" t="str">
        <f t="shared" si="6"/>
        <v>KILLION DAVID</v>
      </c>
      <c r="H213" s="20" t="str">
        <f t="shared" si="7"/>
        <v>4035</v>
      </c>
    </row>
    <row r="214" spans="1:8" x14ac:dyDescent="0.3">
      <c r="A214" s="8">
        <v>43038.818032407406</v>
      </c>
      <c r="B214" s="20" t="s">
        <v>539</v>
      </c>
      <c r="C214" s="20" t="s">
        <v>868</v>
      </c>
      <c r="D214" s="138">
        <v>3340000</v>
      </c>
      <c r="E214" s="20" t="s">
        <v>412</v>
      </c>
      <c r="F214" s="20" t="s">
        <v>413</v>
      </c>
      <c r="G214" s="8" t="str">
        <f t="shared" si="6"/>
        <v>ELBAUM MIKE</v>
      </c>
      <c r="H214" s="20" t="str">
        <f t="shared" si="7"/>
        <v>4031</v>
      </c>
    </row>
    <row r="215" spans="1:8" x14ac:dyDescent="0.3">
      <c r="A215" s="8">
        <v>43038.820520833331</v>
      </c>
      <c r="B215" s="20" t="s">
        <v>660</v>
      </c>
      <c r="C215" s="20" t="s">
        <v>869</v>
      </c>
      <c r="D215" s="138">
        <v>1760000</v>
      </c>
      <c r="E215" s="20" t="s">
        <v>791</v>
      </c>
      <c r="F215" s="20" t="s">
        <v>792</v>
      </c>
      <c r="G215" s="8" t="str">
        <f t="shared" si="6"/>
        <v>STRICKLAND EVAN</v>
      </c>
      <c r="H215" s="20" t="str">
        <f t="shared" si="7"/>
        <v>4002</v>
      </c>
    </row>
    <row r="216" spans="1:8" x14ac:dyDescent="0.3">
      <c r="A216" s="8">
        <v>43038.828819444447</v>
      </c>
      <c r="B216" s="20" t="s">
        <v>466</v>
      </c>
      <c r="C216" s="20" t="s">
        <v>870</v>
      </c>
      <c r="D216" s="138">
        <v>3220000</v>
      </c>
      <c r="E216" s="20" t="s">
        <v>566</v>
      </c>
      <c r="F216" s="20" t="s">
        <v>567</v>
      </c>
      <c r="G216" s="8" t="str">
        <f t="shared" si="6"/>
        <v>RESPASS AARON</v>
      </c>
      <c r="H216" s="20" t="str">
        <f t="shared" si="7"/>
        <v>4050</v>
      </c>
    </row>
    <row r="217" spans="1:8" x14ac:dyDescent="0.3">
      <c r="A217" s="8">
        <v>43038.833067129628</v>
      </c>
      <c r="B217" s="20" t="s">
        <v>469</v>
      </c>
      <c r="C217" s="20" t="s">
        <v>871</v>
      </c>
      <c r="D217" s="138">
        <v>2030000</v>
      </c>
      <c r="E217" s="20" t="s">
        <v>795</v>
      </c>
      <c r="F217" s="20" t="s">
        <v>407</v>
      </c>
      <c r="G217" s="8" t="str">
        <f t="shared" si="6"/>
        <v>KILLION DAVID</v>
      </c>
      <c r="H217" s="20" t="str">
        <f t="shared" si="7"/>
        <v>4036</v>
      </c>
    </row>
    <row r="218" spans="1:8" x14ac:dyDescent="0.3">
      <c r="A218" s="8">
        <v>43038.84988425926</v>
      </c>
      <c r="B218" s="20" t="s">
        <v>544</v>
      </c>
      <c r="C218" s="20" t="s">
        <v>872</v>
      </c>
      <c r="D218" s="138">
        <v>3040000</v>
      </c>
      <c r="E218" s="20" t="s">
        <v>494</v>
      </c>
      <c r="F218" s="20" t="s">
        <v>495</v>
      </c>
      <c r="G218" s="8" t="str">
        <f t="shared" si="6"/>
        <v>WILLIAMS DONTE</v>
      </c>
      <c r="H218" s="20" t="str">
        <f t="shared" si="7"/>
        <v>4004</v>
      </c>
    </row>
    <row r="219" spans="1:8" x14ac:dyDescent="0.3">
      <c r="A219" s="8">
        <v>43038.850127314814</v>
      </c>
      <c r="B219" s="20" t="s">
        <v>401</v>
      </c>
      <c r="C219" s="20" t="s">
        <v>873</v>
      </c>
      <c r="D219" s="138">
        <v>890000</v>
      </c>
      <c r="E219" s="20" t="s">
        <v>354</v>
      </c>
      <c r="F219" s="20" t="s">
        <v>355</v>
      </c>
      <c r="G219" s="8" t="str">
        <f t="shared" si="6"/>
        <v>LOZA FIDEL</v>
      </c>
      <c r="H219" s="20" t="str">
        <f t="shared" si="7"/>
        <v>4023</v>
      </c>
    </row>
    <row r="220" spans="1:8" x14ac:dyDescent="0.3">
      <c r="A220" s="8">
        <v>43038.852442129632</v>
      </c>
      <c r="B220" s="20" t="s">
        <v>470</v>
      </c>
      <c r="C220" s="20" t="s">
        <v>874</v>
      </c>
      <c r="D220" s="138">
        <v>2030000</v>
      </c>
      <c r="E220" s="20" t="s">
        <v>795</v>
      </c>
      <c r="F220" s="20" t="s">
        <v>407</v>
      </c>
      <c r="G220" s="8" t="str">
        <f t="shared" si="6"/>
        <v>KILLION DAVID</v>
      </c>
      <c r="H220" s="20" t="str">
        <f t="shared" si="7"/>
        <v>4035</v>
      </c>
    </row>
    <row r="221" spans="1:8" x14ac:dyDescent="0.3">
      <c r="A221" s="8">
        <v>43038.859340277777</v>
      </c>
      <c r="B221" s="20" t="s">
        <v>408</v>
      </c>
      <c r="C221" s="20" t="s">
        <v>875</v>
      </c>
      <c r="D221" s="138">
        <v>3340000</v>
      </c>
      <c r="E221" s="20" t="s">
        <v>412</v>
      </c>
      <c r="F221" s="20" t="s">
        <v>413</v>
      </c>
      <c r="G221" s="8" t="str">
        <f t="shared" si="6"/>
        <v>ELBAUM MIKE</v>
      </c>
      <c r="H221" s="20" t="str">
        <f t="shared" si="7"/>
        <v>4032</v>
      </c>
    </row>
    <row r="222" spans="1:8" x14ac:dyDescent="0.3">
      <c r="A222" s="8">
        <v>43038.870162037034</v>
      </c>
      <c r="B222" s="20" t="s">
        <v>467</v>
      </c>
      <c r="C222" s="20" t="s">
        <v>876</v>
      </c>
      <c r="D222" s="138">
        <v>3220000</v>
      </c>
      <c r="E222" s="20" t="s">
        <v>566</v>
      </c>
      <c r="F222" s="20" t="s">
        <v>567</v>
      </c>
      <c r="G222" s="8" t="str">
        <f t="shared" si="6"/>
        <v>RESPASS AARON</v>
      </c>
      <c r="H222" s="20" t="str">
        <f t="shared" si="7"/>
        <v>4049</v>
      </c>
    </row>
    <row r="223" spans="1:8" x14ac:dyDescent="0.3">
      <c r="A223" s="8">
        <v>43038.876377314817</v>
      </c>
      <c r="B223" s="20" t="s">
        <v>469</v>
      </c>
      <c r="C223" s="20" t="s">
        <v>668</v>
      </c>
      <c r="D223" s="138">
        <v>2610000</v>
      </c>
      <c r="E223" s="20" t="s">
        <v>816</v>
      </c>
      <c r="F223" s="20" t="s">
        <v>817</v>
      </c>
      <c r="G223" s="8" t="str">
        <f t="shared" si="6"/>
        <v>MAGEE KENYA</v>
      </c>
      <c r="H223" s="20" t="str">
        <f t="shared" si="7"/>
        <v>4036</v>
      </c>
    </row>
    <row r="224" spans="1:8" x14ac:dyDescent="0.3">
      <c r="A224" s="8">
        <v>43038.890972222223</v>
      </c>
      <c r="B224" t="s">
        <v>540</v>
      </c>
      <c r="C224" t="s">
        <v>877</v>
      </c>
      <c r="D224" s="138">
        <v>3040000</v>
      </c>
      <c r="E224" t="s">
        <v>494</v>
      </c>
      <c r="F224" s="20" t="s">
        <v>495</v>
      </c>
      <c r="G224" s="8" t="str">
        <f t="shared" si="6"/>
        <v>WILLIAMS DONTE</v>
      </c>
      <c r="H224" s="20" t="str">
        <f t="shared" si="7"/>
        <v>4003</v>
      </c>
    </row>
    <row r="225" spans="1:8" x14ac:dyDescent="0.3">
      <c r="A225" s="8">
        <v>43038.892118055555</v>
      </c>
      <c r="B225" t="s">
        <v>400</v>
      </c>
      <c r="C225" t="s">
        <v>878</v>
      </c>
      <c r="D225" s="138">
        <v>3670000</v>
      </c>
      <c r="E225" t="s">
        <v>867</v>
      </c>
      <c r="F225" s="20" t="s">
        <v>494</v>
      </c>
      <c r="G225" s="8" t="str">
        <f t="shared" si="6"/>
        <v>ANDREA WILLIAMS</v>
      </c>
      <c r="H225" s="20" t="str">
        <f t="shared" si="7"/>
        <v>4024</v>
      </c>
    </row>
    <row r="226" spans="1:8" x14ac:dyDescent="0.3">
      <c r="A226" s="8">
        <v>43038.893784722219</v>
      </c>
      <c r="B226" t="s">
        <v>470</v>
      </c>
      <c r="C226" t="s">
        <v>879</v>
      </c>
      <c r="D226" s="138">
        <v>2610000</v>
      </c>
      <c r="E226" t="s">
        <v>816</v>
      </c>
      <c r="F226" s="20" t="s">
        <v>817</v>
      </c>
      <c r="G226" s="8" t="str">
        <f t="shared" si="6"/>
        <v>MAGEE KENYA</v>
      </c>
      <c r="H226" s="20" t="str">
        <f t="shared" si="7"/>
        <v>4035</v>
      </c>
    </row>
    <row r="227" spans="1:8" x14ac:dyDescent="0.3">
      <c r="A227" s="8">
        <v>43038.901250000003</v>
      </c>
      <c r="B227" t="s">
        <v>539</v>
      </c>
      <c r="C227" t="s">
        <v>880</v>
      </c>
      <c r="D227" s="138">
        <v>3340000</v>
      </c>
      <c r="E227" t="s">
        <v>412</v>
      </c>
      <c r="F227" s="20" t="s">
        <v>413</v>
      </c>
      <c r="G227" s="8" t="str">
        <f t="shared" si="6"/>
        <v>ELBAUM MIKE</v>
      </c>
      <c r="H227" s="20" t="str">
        <f t="shared" si="7"/>
        <v>4031</v>
      </c>
    </row>
    <row r="228" spans="1:8" x14ac:dyDescent="0.3">
      <c r="A228" s="8">
        <v>43038.912685185183</v>
      </c>
      <c r="B228" t="s">
        <v>466</v>
      </c>
      <c r="C228" t="s">
        <v>881</v>
      </c>
      <c r="D228" s="138">
        <v>3220000</v>
      </c>
      <c r="E228" t="s">
        <v>566</v>
      </c>
      <c r="F228" s="20" t="s">
        <v>567</v>
      </c>
      <c r="G228" s="8" t="str">
        <f t="shared" si="6"/>
        <v>RESPASS AARON</v>
      </c>
      <c r="H228" s="20" t="str">
        <f t="shared" si="7"/>
        <v>4050</v>
      </c>
    </row>
    <row r="229" spans="1:8" x14ac:dyDescent="0.3">
      <c r="A229" s="8">
        <v>43038.919652777775</v>
      </c>
      <c r="B229" t="s">
        <v>469</v>
      </c>
      <c r="C229" t="s">
        <v>882</v>
      </c>
      <c r="D229" s="138">
        <v>2610000</v>
      </c>
      <c r="E229" t="s">
        <v>816</v>
      </c>
      <c r="F229" s="20" t="s">
        <v>817</v>
      </c>
      <c r="G229" s="8" t="str">
        <f t="shared" si="6"/>
        <v>MAGEE KENYA</v>
      </c>
      <c r="H229" s="20" t="str">
        <f t="shared" si="7"/>
        <v>4036</v>
      </c>
    </row>
    <row r="230" spans="1:8" x14ac:dyDescent="0.3">
      <c r="A230" s="8">
        <v>43038.933113425926</v>
      </c>
      <c r="B230" t="s">
        <v>401</v>
      </c>
      <c r="C230" t="s">
        <v>883</v>
      </c>
      <c r="D230" s="138">
        <v>890000</v>
      </c>
      <c r="E230" t="s">
        <v>354</v>
      </c>
      <c r="F230" s="20" t="s">
        <v>355</v>
      </c>
      <c r="G230" s="8" t="str">
        <f t="shared" si="6"/>
        <v>LOZA FIDEL</v>
      </c>
      <c r="H230" s="20" t="str">
        <f t="shared" si="7"/>
        <v>4023</v>
      </c>
    </row>
    <row r="231" spans="1:8" x14ac:dyDescent="0.3">
      <c r="A231" s="8">
        <v>43038.933449074073</v>
      </c>
      <c r="B231" t="s">
        <v>544</v>
      </c>
      <c r="C231" t="s">
        <v>884</v>
      </c>
      <c r="D231" s="138">
        <v>3040000</v>
      </c>
      <c r="E231" t="s">
        <v>494</v>
      </c>
      <c r="F231" s="20" t="s">
        <v>495</v>
      </c>
      <c r="G231" s="8" t="str">
        <f t="shared" si="6"/>
        <v>WILLIAMS DONTE</v>
      </c>
      <c r="H231" s="20" t="str">
        <f t="shared" si="7"/>
        <v>4004</v>
      </c>
    </row>
    <row r="232" spans="1:8" x14ac:dyDescent="0.3">
      <c r="A232" s="8">
        <v>43038.935879629629</v>
      </c>
      <c r="B232" t="s">
        <v>470</v>
      </c>
      <c r="C232" t="s">
        <v>882</v>
      </c>
      <c r="D232" s="138">
        <v>2610000</v>
      </c>
      <c r="E232" t="s">
        <v>816</v>
      </c>
      <c r="F232" s="20" t="s">
        <v>817</v>
      </c>
      <c r="G232" s="8" t="str">
        <f t="shared" si="6"/>
        <v>MAGEE KENYA</v>
      </c>
      <c r="H232" s="20" t="str">
        <f t="shared" si="7"/>
        <v>4035</v>
      </c>
    </row>
    <row r="233" spans="1:8" x14ac:dyDescent="0.3">
      <c r="A233" s="8">
        <v>43038.936620370368</v>
      </c>
      <c r="B233" t="s">
        <v>470</v>
      </c>
      <c r="C233" t="s">
        <v>669</v>
      </c>
      <c r="D233" s="138">
        <v>2610000</v>
      </c>
      <c r="E233" t="s">
        <v>816</v>
      </c>
      <c r="F233" s="20" t="s">
        <v>817</v>
      </c>
      <c r="G233" s="8" t="str">
        <f t="shared" si="6"/>
        <v>MAGEE KENYA</v>
      </c>
      <c r="H233" s="20" t="str">
        <f t="shared" si="7"/>
        <v>4035</v>
      </c>
    </row>
    <row r="234" spans="1:8" x14ac:dyDescent="0.3">
      <c r="A234" s="8">
        <v>43038.946284722224</v>
      </c>
      <c r="B234" t="s">
        <v>408</v>
      </c>
      <c r="C234" t="s">
        <v>885</v>
      </c>
      <c r="D234" s="138">
        <v>3340000</v>
      </c>
      <c r="E234" t="s">
        <v>412</v>
      </c>
      <c r="F234" s="20" t="s">
        <v>413</v>
      </c>
      <c r="G234" s="8" t="str">
        <f t="shared" si="6"/>
        <v>ELBAUM MIKE</v>
      </c>
      <c r="H234" s="20" t="str">
        <f t="shared" si="7"/>
        <v>4032</v>
      </c>
    </row>
    <row r="235" spans="1:8" x14ac:dyDescent="0.3">
      <c r="A235" s="8">
        <v>43038.950543981482</v>
      </c>
      <c r="B235" t="s">
        <v>467</v>
      </c>
      <c r="C235" t="s">
        <v>886</v>
      </c>
      <c r="D235" s="138">
        <v>3220000</v>
      </c>
      <c r="E235" t="s">
        <v>566</v>
      </c>
      <c r="F235" s="20" t="s">
        <v>567</v>
      </c>
      <c r="G235" s="8" t="str">
        <f t="shared" si="6"/>
        <v>RESPASS AARON</v>
      </c>
      <c r="H235" s="20" t="str">
        <f t="shared" si="7"/>
        <v>4049</v>
      </c>
    </row>
    <row r="236" spans="1:8" x14ac:dyDescent="0.3">
      <c r="A236" s="8">
        <v>43038.957800925928</v>
      </c>
      <c r="B236" t="s">
        <v>469</v>
      </c>
      <c r="C236" t="s">
        <v>670</v>
      </c>
      <c r="D236" s="138">
        <v>2610000</v>
      </c>
      <c r="E236" t="s">
        <v>816</v>
      </c>
      <c r="F236" s="20" t="s">
        <v>817</v>
      </c>
      <c r="G236" s="8" t="str">
        <f t="shared" si="6"/>
        <v>MAGEE KENYA</v>
      </c>
      <c r="H236" s="20" t="str">
        <f t="shared" si="7"/>
        <v>4036</v>
      </c>
    </row>
    <row r="237" spans="1:8" x14ac:dyDescent="0.3">
      <c r="A237" s="8">
        <v>43038.968310185184</v>
      </c>
      <c r="B237" t="s">
        <v>400</v>
      </c>
      <c r="C237" t="s">
        <v>887</v>
      </c>
      <c r="D237" s="138">
        <v>3670000</v>
      </c>
      <c r="E237" t="s">
        <v>867</v>
      </c>
      <c r="F237" s="20" t="s">
        <v>494</v>
      </c>
      <c r="G237" s="8" t="str">
        <f t="shared" si="6"/>
        <v>ANDREA WILLIAMS</v>
      </c>
      <c r="H237" s="20" t="str">
        <f t="shared" si="7"/>
        <v>4024</v>
      </c>
    </row>
    <row r="238" spans="1:8" x14ac:dyDescent="0.3">
      <c r="A238" s="8">
        <v>43038.972905092596</v>
      </c>
      <c r="B238" t="s">
        <v>540</v>
      </c>
      <c r="C238" t="s">
        <v>888</v>
      </c>
      <c r="D238" s="138">
        <v>3040000</v>
      </c>
      <c r="E238" t="s">
        <v>494</v>
      </c>
      <c r="F238" s="20" t="s">
        <v>495</v>
      </c>
      <c r="G238" s="8" t="str">
        <f t="shared" si="6"/>
        <v>WILLIAMS DONTE</v>
      </c>
      <c r="H238" s="20" t="str">
        <f t="shared" si="7"/>
        <v>4003</v>
      </c>
    </row>
    <row r="239" spans="1:8" x14ac:dyDescent="0.3">
      <c r="A239" s="8">
        <v>43038.976076388892</v>
      </c>
      <c r="B239" t="s">
        <v>470</v>
      </c>
      <c r="C239" t="s">
        <v>889</v>
      </c>
      <c r="D239" s="138">
        <v>2610000</v>
      </c>
      <c r="E239" t="s">
        <v>816</v>
      </c>
      <c r="F239" s="20" t="s">
        <v>817</v>
      </c>
      <c r="G239" s="8" t="str">
        <f t="shared" si="6"/>
        <v>MAGEE KENYA</v>
      </c>
      <c r="H239" s="20" t="str">
        <f t="shared" si="7"/>
        <v>4035</v>
      </c>
    </row>
    <row r="240" spans="1:8" x14ac:dyDescent="0.3">
      <c r="A240" s="8">
        <v>43038.986550925925</v>
      </c>
      <c r="B240" t="s">
        <v>539</v>
      </c>
      <c r="C240" t="s">
        <v>890</v>
      </c>
      <c r="D240" s="138">
        <v>3340000</v>
      </c>
      <c r="E240" t="s">
        <v>412</v>
      </c>
      <c r="F240" s="20" t="s">
        <v>413</v>
      </c>
      <c r="G240" s="8" t="str">
        <f t="shared" si="6"/>
        <v>ELBAUM MIKE</v>
      </c>
      <c r="H240" s="20" t="str">
        <f t="shared" si="7"/>
        <v>4031</v>
      </c>
    </row>
    <row r="241" spans="1:8" x14ac:dyDescent="0.3">
      <c r="A241" s="8">
        <v>43038.994317129633</v>
      </c>
      <c r="B241" t="s">
        <v>466</v>
      </c>
      <c r="C241" t="s">
        <v>891</v>
      </c>
      <c r="D241" s="138">
        <v>3220000</v>
      </c>
      <c r="E241" t="s">
        <v>566</v>
      </c>
      <c r="F241" s="20" t="s">
        <v>567</v>
      </c>
      <c r="G241" s="8" t="str">
        <f t="shared" si="6"/>
        <v>RESPASS AARON</v>
      </c>
      <c r="H241" s="20" t="str">
        <f t="shared" si="7"/>
        <v>4050</v>
      </c>
    </row>
    <row r="242" spans="1:8" x14ac:dyDescent="0.3">
      <c r="A242" s="8">
        <v>43039.015914351854</v>
      </c>
      <c r="B242" t="s">
        <v>544</v>
      </c>
      <c r="C242" t="s">
        <v>892</v>
      </c>
      <c r="D242" s="138">
        <v>3040000</v>
      </c>
      <c r="E242" t="s">
        <v>494</v>
      </c>
      <c r="F242" s="20" t="s">
        <v>495</v>
      </c>
      <c r="G242" s="8" t="str">
        <f t="shared" si="6"/>
        <v>WILLIAMS DONTE</v>
      </c>
      <c r="H242" s="20" t="str">
        <f t="shared" si="7"/>
        <v>4004</v>
      </c>
    </row>
    <row r="243" spans="1:8" x14ac:dyDescent="0.3">
      <c r="A243" s="8">
        <v>43039.017523148148</v>
      </c>
      <c r="B243" t="s">
        <v>401</v>
      </c>
      <c r="C243" t="s">
        <v>893</v>
      </c>
      <c r="D243" s="138">
        <v>890000</v>
      </c>
      <c r="E243" t="s">
        <v>354</v>
      </c>
      <c r="F243" s="20" t="s">
        <v>355</v>
      </c>
      <c r="G243" s="8" t="str">
        <f t="shared" si="6"/>
        <v>LOZA FIDEL</v>
      </c>
      <c r="H243" s="20" t="str">
        <f t="shared" si="7"/>
        <v>4023</v>
      </c>
    </row>
    <row r="244" spans="1:8" x14ac:dyDescent="0.3">
      <c r="A244" s="8">
        <v>43039.030046296299</v>
      </c>
      <c r="B244" t="s">
        <v>408</v>
      </c>
      <c r="C244" t="s">
        <v>894</v>
      </c>
      <c r="D244" s="138">
        <v>3340000</v>
      </c>
      <c r="E244" t="s">
        <v>412</v>
      </c>
      <c r="F244" s="20" t="s">
        <v>413</v>
      </c>
      <c r="G244" s="8" t="str">
        <f t="shared" si="6"/>
        <v>ELBAUM MIKE</v>
      </c>
      <c r="H244" s="20" t="str">
        <f t="shared" si="7"/>
        <v>4032</v>
      </c>
    </row>
    <row r="245" spans="1:8" x14ac:dyDescent="0.3">
      <c r="A245" s="8">
        <v>43039.037152777775</v>
      </c>
      <c r="B245" t="s">
        <v>467</v>
      </c>
      <c r="C245" t="s">
        <v>895</v>
      </c>
      <c r="D245" s="138">
        <v>3220000</v>
      </c>
      <c r="E245" t="s">
        <v>566</v>
      </c>
      <c r="F245" s="20" t="s">
        <v>567</v>
      </c>
      <c r="G245" s="8" t="str">
        <f t="shared" si="6"/>
        <v>RESPASS AARON</v>
      </c>
      <c r="H245" s="20" t="str">
        <f t="shared" si="7"/>
        <v>4049</v>
      </c>
    </row>
    <row r="246" spans="1:8" x14ac:dyDescent="0.3">
      <c r="A246" s="8">
        <v>43039.047233796293</v>
      </c>
      <c r="B246" t="s">
        <v>400</v>
      </c>
      <c r="C246" t="s">
        <v>896</v>
      </c>
      <c r="D246" s="138">
        <v>890000</v>
      </c>
      <c r="E246" t="s">
        <v>354</v>
      </c>
      <c r="F246" s="20" t="s">
        <v>355</v>
      </c>
      <c r="G246" s="8" t="str">
        <f t="shared" si="6"/>
        <v>LOZA FIDEL</v>
      </c>
      <c r="H246" s="20" t="str">
        <f t="shared" si="7"/>
        <v>4024</v>
      </c>
    </row>
    <row r="247" spans="1:8" x14ac:dyDescent="0.3">
      <c r="A247" s="8">
        <v>43039.055254629631</v>
      </c>
      <c r="B247" t="s">
        <v>540</v>
      </c>
      <c r="C247" t="s">
        <v>897</v>
      </c>
      <c r="D247" s="138">
        <v>3040000</v>
      </c>
      <c r="E247" t="s">
        <v>494</v>
      </c>
      <c r="F247" s="20" t="s">
        <v>495</v>
      </c>
      <c r="G247" s="8" t="str">
        <f t="shared" si="6"/>
        <v>WILLIAMS DONTE</v>
      </c>
      <c r="H247" s="20" t="str">
        <f t="shared" si="7"/>
        <v>4003</v>
      </c>
    </row>
    <row r="248" spans="1:8" x14ac:dyDescent="0.3">
      <c r="A248" s="8">
        <v>43039.068599537037</v>
      </c>
      <c r="B248" t="s">
        <v>466</v>
      </c>
      <c r="C248" t="s">
        <v>898</v>
      </c>
      <c r="D248" s="138">
        <v>3220000</v>
      </c>
      <c r="E248" t="s">
        <v>566</v>
      </c>
      <c r="F248" s="20" t="s">
        <v>567</v>
      </c>
      <c r="G248" s="8" t="str">
        <f t="shared" si="6"/>
        <v>RESPASS AARON</v>
      </c>
      <c r="H248" s="20" t="str">
        <f t="shared" si="7"/>
        <v>4050</v>
      </c>
    </row>
    <row r="249" spans="1:8" x14ac:dyDescent="0.3">
      <c r="A249" s="8">
        <v>43039.09065972222</v>
      </c>
      <c r="B249" t="s">
        <v>544</v>
      </c>
      <c r="C249" t="s">
        <v>899</v>
      </c>
      <c r="D249" s="138">
        <v>3040000</v>
      </c>
      <c r="E249" t="s">
        <v>494</v>
      </c>
      <c r="F249" s="20" t="s">
        <v>495</v>
      </c>
      <c r="G249" s="8" t="str">
        <f t="shared" si="6"/>
        <v>WILLIAMS DONTE</v>
      </c>
      <c r="H249" s="20" t="str">
        <f t="shared" si="7"/>
        <v>4004</v>
      </c>
    </row>
    <row r="250" spans="1:8" x14ac:dyDescent="0.3">
      <c r="A250" s="8">
        <v>43037.084918981483</v>
      </c>
      <c r="B250" t="s">
        <v>542</v>
      </c>
      <c r="C250" t="s">
        <v>543</v>
      </c>
      <c r="D250" s="138">
        <v>3490000</v>
      </c>
      <c r="E250" t="s">
        <v>568</v>
      </c>
      <c r="F250" s="20" t="s">
        <v>569</v>
      </c>
      <c r="G250" s="8" t="str">
        <f t="shared" si="6"/>
        <v>WEST BRYAN</v>
      </c>
      <c r="H250" s="20" t="str">
        <f t="shared" si="7"/>
        <v>4047</v>
      </c>
    </row>
    <row r="251" spans="1:8" x14ac:dyDescent="0.3">
      <c r="A251" s="8">
        <v>43037.090254629627</v>
      </c>
      <c r="B251" t="s">
        <v>544</v>
      </c>
      <c r="C251" t="s">
        <v>571</v>
      </c>
      <c r="D251" s="138">
        <v>3320000</v>
      </c>
      <c r="E251" t="s">
        <v>410</v>
      </c>
      <c r="F251" s="20" t="s">
        <v>411</v>
      </c>
      <c r="G251" s="8" t="str">
        <f t="shared" si="6"/>
        <v>NICHOLSON WESLEY</v>
      </c>
      <c r="H251" s="20" t="str">
        <f t="shared" si="7"/>
        <v>4004</v>
      </c>
    </row>
    <row r="252" spans="1:8" x14ac:dyDescent="0.3">
      <c r="A252" s="8">
        <v>43037.109537037039</v>
      </c>
      <c r="B252" t="s">
        <v>491</v>
      </c>
      <c r="C252" t="s">
        <v>572</v>
      </c>
      <c r="D252" s="138">
        <v>3220000</v>
      </c>
      <c r="E252" t="s">
        <v>566</v>
      </c>
      <c r="F252" s="20" t="s">
        <v>567</v>
      </c>
      <c r="G252" s="8" t="str">
        <f t="shared" si="6"/>
        <v>RESPASS AARON</v>
      </c>
      <c r="H252" s="20" t="str">
        <f t="shared" si="7"/>
        <v>4042</v>
      </c>
    </row>
    <row r="253" spans="1:8" x14ac:dyDescent="0.3">
      <c r="A253" s="8">
        <v>43034.03800925926</v>
      </c>
      <c r="B253" t="s">
        <v>390</v>
      </c>
      <c r="C253" t="s">
        <v>477</v>
      </c>
      <c r="D253" s="138">
        <v>890000</v>
      </c>
      <c r="E253" t="s">
        <v>354</v>
      </c>
      <c r="F253" s="20" t="s">
        <v>355</v>
      </c>
      <c r="G253" s="8" t="str">
        <f t="shared" si="6"/>
        <v>LOZA FIDEL</v>
      </c>
      <c r="H253" s="20" t="str">
        <f t="shared" si="7"/>
        <v>4017</v>
      </c>
    </row>
    <row r="254" spans="1:8" x14ac:dyDescent="0.3">
      <c r="A254" s="8">
        <v>43034.048090277778</v>
      </c>
      <c r="B254" t="s">
        <v>470</v>
      </c>
      <c r="C254" t="s">
        <v>478</v>
      </c>
      <c r="D254" s="138">
        <v>3310000</v>
      </c>
      <c r="E254" t="s">
        <v>364</v>
      </c>
      <c r="F254" s="20" t="s">
        <v>365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466</v>
      </c>
      <c r="C255" t="s">
        <v>479</v>
      </c>
      <c r="D255" s="138">
        <v>2440000</v>
      </c>
      <c r="E255" t="s">
        <v>437</v>
      </c>
      <c r="F255" s="20" t="s">
        <v>438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387</v>
      </c>
      <c r="C256" t="s">
        <v>480</v>
      </c>
      <c r="D256" s="138">
        <v>890000</v>
      </c>
      <c r="E256" t="s">
        <v>354</v>
      </c>
      <c r="F256" s="20" t="s">
        <v>355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469</v>
      </c>
      <c r="C257" t="s">
        <v>481</v>
      </c>
      <c r="D257" s="138">
        <v>3310000</v>
      </c>
      <c r="E257" t="s">
        <v>364</v>
      </c>
      <c r="F257" s="20" t="s">
        <v>365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401</v>
      </c>
      <c r="C258" t="s">
        <v>482</v>
      </c>
      <c r="D258" s="138">
        <v>1830000</v>
      </c>
      <c r="E258" t="s">
        <v>359</v>
      </c>
      <c r="F258" s="20" t="s">
        <v>360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400</v>
      </c>
      <c r="C259" t="s">
        <v>414</v>
      </c>
      <c r="D259" s="138">
        <v>3280000</v>
      </c>
      <c r="E259" t="s">
        <v>385</v>
      </c>
      <c r="F259" s="20" t="s">
        <v>386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388</v>
      </c>
      <c r="C260" t="s">
        <v>415</v>
      </c>
      <c r="D260" s="138">
        <v>890000</v>
      </c>
      <c r="E260" t="s">
        <v>354</v>
      </c>
      <c r="F260" s="20" t="s">
        <v>355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405</v>
      </c>
      <c r="C261" t="s">
        <v>416</v>
      </c>
      <c r="D261" s="138">
        <v>1300000</v>
      </c>
      <c r="E261" t="s">
        <v>383</v>
      </c>
      <c r="F261" s="20" t="s">
        <v>384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369</v>
      </c>
      <c r="C262" t="s">
        <v>403</v>
      </c>
      <c r="D262" s="138">
        <v>2420000</v>
      </c>
      <c r="E262" t="s">
        <v>395</v>
      </c>
      <c r="F262" s="20" t="s">
        <v>396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402</v>
      </c>
      <c r="C263" t="s">
        <v>417</v>
      </c>
      <c r="D263" s="138">
        <v>3340000</v>
      </c>
      <c r="E263" t="s">
        <v>412</v>
      </c>
      <c r="F263" s="20" t="s">
        <v>413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377</v>
      </c>
      <c r="C264" t="s">
        <v>418</v>
      </c>
      <c r="D264" s="138">
        <v>1360000</v>
      </c>
      <c r="E264" t="s">
        <v>419</v>
      </c>
      <c r="F264" s="20" t="s">
        <v>420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401</v>
      </c>
      <c r="C265" t="s">
        <v>421</v>
      </c>
      <c r="D265" s="138">
        <v>3280000</v>
      </c>
      <c r="E265" t="s">
        <v>385</v>
      </c>
      <c r="F265" s="20" t="s">
        <v>386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392</v>
      </c>
      <c r="C266" t="s">
        <v>422</v>
      </c>
      <c r="D266" s="138">
        <v>2600000</v>
      </c>
      <c r="E266" t="s">
        <v>423</v>
      </c>
      <c r="F266" s="20" t="s">
        <v>407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392</v>
      </c>
      <c r="C267" t="s">
        <v>422</v>
      </c>
      <c r="D267" s="138">
        <v>2600000</v>
      </c>
      <c r="E267" t="s">
        <v>423</v>
      </c>
      <c r="F267" s="20" t="s">
        <v>407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392</v>
      </c>
      <c r="C268" t="s">
        <v>424</v>
      </c>
      <c r="D268" s="138">
        <v>2600000</v>
      </c>
      <c r="E268" t="s">
        <v>423</v>
      </c>
      <c r="F268" s="20" t="s">
        <v>407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406</v>
      </c>
      <c r="C269" t="s">
        <v>425</v>
      </c>
      <c r="D269" s="138">
        <v>1180000</v>
      </c>
      <c r="E269" t="s">
        <v>381</v>
      </c>
      <c r="F269" s="20" t="s">
        <v>382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369</v>
      </c>
      <c r="C270" t="s">
        <v>403</v>
      </c>
      <c r="D270" s="138">
        <v>2420000</v>
      </c>
      <c r="E270" t="s">
        <v>395</v>
      </c>
      <c r="F270" s="20" t="s">
        <v>396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390</v>
      </c>
      <c r="C271" t="s">
        <v>426</v>
      </c>
      <c r="D271" s="138">
        <v>2540000</v>
      </c>
      <c r="E271" t="s">
        <v>370</v>
      </c>
      <c r="F271" s="20" t="s">
        <v>371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391</v>
      </c>
      <c r="C272" t="s">
        <v>422</v>
      </c>
      <c r="D272" s="138">
        <v>2600000</v>
      </c>
      <c r="E272" t="s">
        <v>423</v>
      </c>
      <c r="F272" s="20" t="s">
        <v>407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394</v>
      </c>
      <c r="C273" t="s">
        <v>427</v>
      </c>
      <c r="D273" s="138">
        <v>890000</v>
      </c>
      <c r="E273" t="s">
        <v>354</v>
      </c>
      <c r="F273" s="20" t="s">
        <v>355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389</v>
      </c>
      <c r="C274" t="s">
        <v>428</v>
      </c>
      <c r="D274" s="138">
        <v>1360000</v>
      </c>
      <c r="E274" t="s">
        <v>419</v>
      </c>
      <c r="F274" s="20" t="s">
        <v>420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368</v>
      </c>
      <c r="C275" t="s">
        <v>429</v>
      </c>
      <c r="D275" s="138">
        <v>2420000</v>
      </c>
      <c r="E275" t="s">
        <v>395</v>
      </c>
      <c r="F275" s="20" t="s">
        <v>396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380</v>
      </c>
      <c r="C276" t="s">
        <v>409</v>
      </c>
      <c r="D276" s="138">
        <v>3320000</v>
      </c>
      <c r="E276" t="s">
        <v>410</v>
      </c>
      <c r="F276" s="20" t="s">
        <v>411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399</v>
      </c>
      <c r="C277" t="s">
        <v>430</v>
      </c>
      <c r="D277" s="138">
        <v>3340000</v>
      </c>
      <c r="E277" t="s">
        <v>412</v>
      </c>
      <c r="F277" s="20" t="s">
        <v>413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379</v>
      </c>
      <c r="C278" t="s">
        <v>409</v>
      </c>
      <c r="D278" s="138">
        <v>3320000</v>
      </c>
      <c r="E278" t="s">
        <v>410</v>
      </c>
      <c r="F278" s="20" t="s">
        <v>411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392</v>
      </c>
      <c r="C279" t="s">
        <v>431</v>
      </c>
      <c r="D279" s="138">
        <v>3130000</v>
      </c>
      <c r="E279" t="s">
        <v>397</v>
      </c>
      <c r="F279" s="20" t="s">
        <v>398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388</v>
      </c>
      <c r="C280" t="s">
        <v>432</v>
      </c>
      <c r="D280" s="138">
        <v>890000</v>
      </c>
      <c r="E280" t="s">
        <v>354</v>
      </c>
      <c r="F280" s="20" t="s">
        <v>355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380</v>
      </c>
      <c r="C281" t="s">
        <v>433</v>
      </c>
      <c r="D281" s="138">
        <v>2540000</v>
      </c>
      <c r="E281" t="s">
        <v>370</v>
      </c>
      <c r="F281" s="20" t="s">
        <v>371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391</v>
      </c>
      <c r="C282" t="s">
        <v>434</v>
      </c>
      <c r="D282" s="138">
        <v>3130000</v>
      </c>
      <c r="E282" t="s">
        <v>397</v>
      </c>
      <c r="F282" s="20" t="s">
        <v>398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402</v>
      </c>
      <c r="C283" t="s">
        <v>404</v>
      </c>
      <c r="D283" s="138">
        <v>3340000</v>
      </c>
      <c r="E283" t="s">
        <v>412</v>
      </c>
      <c r="F283" s="20" t="s">
        <v>413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377</v>
      </c>
      <c r="C284" t="s">
        <v>435</v>
      </c>
      <c r="D284" s="138">
        <v>3310000</v>
      </c>
      <c r="E284" t="s">
        <v>364</v>
      </c>
      <c r="F284" s="20" t="s">
        <v>365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392</v>
      </c>
      <c r="C285" t="s">
        <v>436</v>
      </c>
      <c r="D285" s="138">
        <v>2440000</v>
      </c>
      <c r="E285" t="s">
        <v>437</v>
      </c>
      <c r="F285" s="20" t="s">
        <v>438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394</v>
      </c>
      <c r="C286" t="s">
        <v>439</v>
      </c>
      <c r="D286" s="138">
        <v>3320000</v>
      </c>
      <c r="E286" t="s">
        <v>410</v>
      </c>
      <c r="F286" s="20" t="s">
        <v>411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379</v>
      </c>
      <c r="C287" t="s">
        <v>440</v>
      </c>
      <c r="D287" s="138">
        <v>2540000</v>
      </c>
      <c r="E287" t="s">
        <v>370</v>
      </c>
      <c r="F287" s="20" t="s">
        <v>371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391</v>
      </c>
      <c r="C288" t="s">
        <v>441</v>
      </c>
      <c r="D288" s="138">
        <v>2440000</v>
      </c>
      <c r="E288" t="s">
        <v>437</v>
      </c>
      <c r="F288" s="20" t="s">
        <v>438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399</v>
      </c>
      <c r="C289" t="s">
        <v>442</v>
      </c>
      <c r="D289" s="138">
        <v>3340000</v>
      </c>
      <c r="E289" t="s">
        <v>412</v>
      </c>
      <c r="F289" s="20" t="s">
        <v>413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387</v>
      </c>
      <c r="C290" t="s">
        <v>409</v>
      </c>
      <c r="D290" s="138">
        <v>2600000</v>
      </c>
      <c r="E290" t="s">
        <v>423</v>
      </c>
      <c r="F290" s="20" t="s">
        <v>407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390</v>
      </c>
      <c r="C291" t="s">
        <v>409</v>
      </c>
      <c r="D291" s="138">
        <v>2600000</v>
      </c>
      <c r="E291" t="s">
        <v>423</v>
      </c>
      <c r="F291" s="20" t="s">
        <v>407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389</v>
      </c>
      <c r="C292" t="s">
        <v>443</v>
      </c>
      <c r="D292" s="138">
        <v>3310000</v>
      </c>
      <c r="E292" t="s">
        <v>364</v>
      </c>
      <c r="F292" s="20" t="s">
        <v>365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392</v>
      </c>
      <c r="C293" t="s">
        <v>444</v>
      </c>
      <c r="D293" s="138">
        <v>3280000</v>
      </c>
      <c r="E293" t="s">
        <v>385</v>
      </c>
      <c r="F293" s="20" t="s">
        <v>386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388</v>
      </c>
      <c r="C294" t="s">
        <v>445</v>
      </c>
      <c r="D294" s="138">
        <v>3320000</v>
      </c>
      <c r="E294" t="s">
        <v>410</v>
      </c>
      <c r="F294" s="20" t="s">
        <v>411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387</v>
      </c>
      <c r="C295" t="s">
        <v>446</v>
      </c>
      <c r="D295" s="138">
        <v>2540000</v>
      </c>
      <c r="E295" t="s">
        <v>370</v>
      </c>
      <c r="F295" s="20" t="s">
        <v>371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391</v>
      </c>
      <c r="C296" t="s">
        <v>447</v>
      </c>
      <c r="D296" s="138">
        <v>3280000</v>
      </c>
      <c r="E296" t="s">
        <v>385</v>
      </c>
      <c r="F296" s="20" t="s">
        <v>386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402</v>
      </c>
      <c r="C297" t="s">
        <v>448</v>
      </c>
      <c r="D297" s="138">
        <v>3340000</v>
      </c>
      <c r="E297" t="s">
        <v>412</v>
      </c>
      <c r="F297" s="20" t="s">
        <v>413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377</v>
      </c>
      <c r="C298" t="s">
        <v>449</v>
      </c>
      <c r="D298" s="138">
        <v>3310000</v>
      </c>
      <c r="E298" t="s">
        <v>364</v>
      </c>
      <c r="F298" s="20" t="s">
        <v>365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392</v>
      </c>
      <c r="C299" t="s">
        <v>450</v>
      </c>
      <c r="D299" s="138">
        <v>3280000</v>
      </c>
      <c r="E299" t="s">
        <v>385</v>
      </c>
      <c r="F299" s="20" t="s">
        <v>386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390</v>
      </c>
      <c r="C300" t="s">
        <v>451</v>
      </c>
      <c r="D300" s="138">
        <v>2540000</v>
      </c>
      <c r="E300" t="s">
        <v>370</v>
      </c>
      <c r="F300" s="20" t="s">
        <v>371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391</v>
      </c>
      <c r="C301" t="s">
        <v>452</v>
      </c>
      <c r="D301" s="138">
        <v>3280000</v>
      </c>
      <c r="E301" t="s">
        <v>385</v>
      </c>
      <c r="F301" s="20" t="s">
        <v>386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394</v>
      </c>
      <c r="C302" t="s">
        <v>453</v>
      </c>
      <c r="D302" s="138">
        <v>890000</v>
      </c>
      <c r="E302" t="s">
        <v>354</v>
      </c>
      <c r="F302" s="20" t="s">
        <v>355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399</v>
      </c>
      <c r="C303" t="s">
        <v>454</v>
      </c>
      <c r="D303" s="138">
        <v>3340000</v>
      </c>
      <c r="E303" t="s">
        <v>412</v>
      </c>
      <c r="F303" s="20" t="s">
        <v>413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389</v>
      </c>
      <c r="C304" t="s">
        <v>455</v>
      </c>
      <c r="D304" s="138">
        <v>3310000</v>
      </c>
      <c r="E304" t="s">
        <v>364</v>
      </c>
      <c r="F304" s="20" t="s">
        <v>365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387</v>
      </c>
      <c r="C305" t="s">
        <v>456</v>
      </c>
      <c r="D305" s="138">
        <v>2540000</v>
      </c>
      <c r="E305" t="s">
        <v>370</v>
      </c>
      <c r="F305" s="20" t="s">
        <v>371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388</v>
      </c>
      <c r="C306" t="s">
        <v>457</v>
      </c>
      <c r="D306" s="138">
        <v>890000</v>
      </c>
      <c r="E306" t="s">
        <v>354</v>
      </c>
      <c r="F306" s="20" t="s">
        <v>355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377</v>
      </c>
      <c r="C307" t="s">
        <v>458</v>
      </c>
      <c r="D307" s="138">
        <v>3310000</v>
      </c>
      <c r="E307" t="s">
        <v>364</v>
      </c>
      <c r="F307" s="20" t="s">
        <v>365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402</v>
      </c>
      <c r="C308" t="s">
        <v>459</v>
      </c>
      <c r="D308" s="138">
        <v>3340000</v>
      </c>
      <c r="E308" t="s">
        <v>412</v>
      </c>
      <c r="F308" s="20" t="s">
        <v>413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394</v>
      </c>
      <c r="C309" t="s">
        <v>460</v>
      </c>
      <c r="D309" s="138">
        <v>890000</v>
      </c>
      <c r="E309" t="s">
        <v>354</v>
      </c>
      <c r="F309" s="20" t="s">
        <v>355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390</v>
      </c>
      <c r="C310" t="s">
        <v>461</v>
      </c>
      <c r="D310" s="138">
        <v>2540000</v>
      </c>
      <c r="E310" t="s">
        <v>370</v>
      </c>
      <c r="F310" s="20" t="s">
        <v>371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399</v>
      </c>
      <c r="C311" t="s">
        <v>462</v>
      </c>
      <c r="D311" s="138">
        <v>3340000</v>
      </c>
      <c r="E311" t="s">
        <v>412</v>
      </c>
      <c r="F311" s="20" t="s">
        <v>413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387</v>
      </c>
      <c r="C312" t="s">
        <v>463</v>
      </c>
      <c r="D312" s="138">
        <v>2540000</v>
      </c>
      <c r="E312" t="s">
        <v>370</v>
      </c>
      <c r="F312" s="20" t="s">
        <v>371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366</v>
      </c>
      <c r="C313" t="s">
        <v>464</v>
      </c>
      <c r="D313" s="138">
        <v>1830000</v>
      </c>
      <c r="E313" t="s">
        <v>359</v>
      </c>
      <c r="F313" s="20" t="s">
        <v>360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900</v>
      </c>
      <c r="I1" s="218" t="s">
        <v>162</v>
      </c>
      <c r="J1" s="218" t="s">
        <v>163</v>
      </c>
      <c r="K1" s="218" t="s">
        <v>483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341</v>
      </c>
      <c r="Q1" s="218" t="s">
        <v>154</v>
      </c>
      <c r="R1" s="218" t="s">
        <v>161</v>
      </c>
      <c r="S1" s="218" t="s">
        <v>342</v>
      </c>
      <c r="T1" s="218" t="s">
        <v>158</v>
      </c>
    </row>
    <row r="2" spans="1:20" x14ac:dyDescent="0.3">
      <c r="A2" s="196">
        <v>38.71</v>
      </c>
      <c r="B2" s="196">
        <v>0.94</v>
      </c>
      <c r="C2" s="196">
        <v>30.18</v>
      </c>
      <c r="D2" s="8">
        <v>43038</v>
      </c>
      <c r="E2" s="196">
        <v>0.63</v>
      </c>
      <c r="F2" s="196" t="s">
        <v>502</v>
      </c>
      <c r="G2" s="196">
        <v>256.27999999999997</v>
      </c>
      <c r="H2" s="196"/>
      <c r="I2" s="196">
        <v>0</v>
      </c>
      <c r="J2" s="196">
        <v>0</v>
      </c>
      <c r="K2" s="196"/>
      <c r="L2" s="196">
        <v>1016.03</v>
      </c>
      <c r="M2" s="196" t="s">
        <v>503</v>
      </c>
      <c r="N2" s="196">
        <v>41.68</v>
      </c>
      <c r="O2" s="196">
        <v>1509343200</v>
      </c>
      <c r="P2" s="196">
        <v>0</v>
      </c>
      <c r="Q2" s="196">
        <v>3.42</v>
      </c>
      <c r="R2" s="196">
        <v>15</v>
      </c>
      <c r="S2" s="196">
        <v>9.68</v>
      </c>
      <c r="T2" s="196">
        <v>4.66</v>
      </c>
    </row>
    <row r="3" spans="1:20" x14ac:dyDescent="0.3">
      <c r="A3" s="196">
        <v>35.39</v>
      </c>
      <c r="B3" s="196">
        <v>0.91</v>
      </c>
      <c r="C3" s="196">
        <v>28.11</v>
      </c>
      <c r="D3" s="8">
        <v>43038.041666666664</v>
      </c>
      <c r="E3" s="196">
        <v>0.63</v>
      </c>
      <c r="F3" s="196" t="s">
        <v>501</v>
      </c>
      <c r="G3" s="196">
        <v>256.14999999999998</v>
      </c>
      <c r="H3" s="196"/>
      <c r="I3" s="196">
        <v>0</v>
      </c>
      <c r="J3" s="196">
        <v>0</v>
      </c>
      <c r="K3" s="196"/>
      <c r="L3" s="196">
        <v>1017.03</v>
      </c>
      <c r="M3" s="196" t="s">
        <v>500</v>
      </c>
      <c r="N3" s="196">
        <v>39.58</v>
      </c>
      <c r="O3" s="196">
        <v>1509346800</v>
      </c>
      <c r="P3" s="196">
        <v>0</v>
      </c>
      <c r="Q3" s="196">
        <v>3.35</v>
      </c>
      <c r="R3" s="196">
        <v>23</v>
      </c>
      <c r="S3" s="196">
        <v>11.7</v>
      </c>
      <c r="T3" s="196">
        <v>5.8</v>
      </c>
    </row>
    <row r="4" spans="1:20" x14ac:dyDescent="0.3">
      <c r="A4" s="196">
        <v>32.520000000000003</v>
      </c>
      <c r="B4" s="196">
        <v>0.83</v>
      </c>
      <c r="C4" s="196">
        <v>28.75</v>
      </c>
      <c r="D4" s="8">
        <v>43038.083333333336</v>
      </c>
      <c r="E4" s="196">
        <v>0.72</v>
      </c>
      <c r="F4" s="196" t="s">
        <v>501</v>
      </c>
      <c r="G4" s="196">
        <v>256.14999999999998</v>
      </c>
      <c r="H4" s="196"/>
      <c r="I4" s="196">
        <v>0</v>
      </c>
      <c r="J4" s="196">
        <v>0</v>
      </c>
      <c r="K4" s="196"/>
      <c r="L4" s="196">
        <v>1017.85</v>
      </c>
      <c r="M4" s="196" t="s">
        <v>500</v>
      </c>
      <c r="N4" s="196">
        <v>36.89</v>
      </c>
      <c r="O4" s="196">
        <v>1509350400</v>
      </c>
      <c r="P4" s="196">
        <v>0</v>
      </c>
      <c r="Q4" s="196">
        <v>2.83</v>
      </c>
      <c r="R4" s="196">
        <v>20</v>
      </c>
      <c r="S4" s="196">
        <v>11.5</v>
      </c>
      <c r="T4" s="196">
        <v>5.37</v>
      </c>
    </row>
    <row r="5" spans="1:20" x14ac:dyDescent="0.3">
      <c r="A5" s="196">
        <v>28.92</v>
      </c>
      <c r="B5" s="196">
        <v>0.54</v>
      </c>
      <c r="C5" s="196">
        <v>30.19</v>
      </c>
      <c r="D5" s="8">
        <v>43038.125</v>
      </c>
      <c r="E5" s="196">
        <v>0.87</v>
      </c>
      <c r="F5" s="196" t="s">
        <v>901</v>
      </c>
      <c r="G5" s="196">
        <v>256.27999999999997</v>
      </c>
      <c r="H5" s="196">
        <v>5.0000000000000001E-3</v>
      </c>
      <c r="I5" s="196">
        <v>6.9999999999999999E-4</v>
      </c>
      <c r="J5" s="196">
        <v>0.16</v>
      </c>
      <c r="K5" s="196" t="s">
        <v>902</v>
      </c>
      <c r="L5" s="196">
        <v>1019.28</v>
      </c>
      <c r="M5" s="196" t="s">
        <v>903</v>
      </c>
      <c r="N5" s="196">
        <v>33.67</v>
      </c>
      <c r="O5" s="196">
        <v>1509354000</v>
      </c>
      <c r="P5" s="196">
        <v>0</v>
      </c>
      <c r="Q5" s="196">
        <v>1.86</v>
      </c>
      <c r="R5" s="196">
        <v>25</v>
      </c>
      <c r="S5" s="196">
        <v>10.53</v>
      </c>
      <c r="T5" s="196">
        <v>5.13</v>
      </c>
    </row>
    <row r="6" spans="1:20" x14ac:dyDescent="0.3">
      <c r="A6" s="196">
        <v>25.94</v>
      </c>
      <c r="B6" s="196">
        <v>0.62</v>
      </c>
      <c r="C6" s="196">
        <v>28.34</v>
      </c>
      <c r="D6" s="8">
        <v>43038.166666666664</v>
      </c>
      <c r="E6" s="196">
        <v>0.89</v>
      </c>
      <c r="F6" s="196" t="s">
        <v>501</v>
      </c>
      <c r="G6" s="196">
        <v>256.27999999999997</v>
      </c>
      <c r="H6" s="196">
        <v>2.3E-2</v>
      </c>
      <c r="I6" s="196">
        <v>2.8999999999999998E-3</v>
      </c>
      <c r="J6" s="196">
        <v>0.32</v>
      </c>
      <c r="K6" s="196" t="s">
        <v>902</v>
      </c>
      <c r="L6" s="196">
        <v>1020.12</v>
      </c>
      <c r="M6" s="196" t="s">
        <v>500</v>
      </c>
      <c r="N6" s="196">
        <v>31.32</v>
      </c>
      <c r="O6" s="196">
        <v>1509357600</v>
      </c>
      <c r="P6" s="196">
        <v>0</v>
      </c>
      <c r="Q6" s="196">
        <v>2.23</v>
      </c>
      <c r="R6" s="196">
        <v>32</v>
      </c>
      <c r="S6" s="196">
        <v>11.71</v>
      </c>
      <c r="T6" s="196">
        <v>5.38</v>
      </c>
    </row>
    <row r="7" spans="1:20" x14ac:dyDescent="0.3">
      <c r="A7" s="196">
        <v>25.59</v>
      </c>
      <c r="B7" s="196">
        <v>0.56000000000000005</v>
      </c>
      <c r="C7" s="196">
        <v>27.19</v>
      </c>
      <c r="D7" s="8">
        <v>43038.208333333336</v>
      </c>
      <c r="E7" s="196">
        <v>0.89</v>
      </c>
      <c r="F7" s="196" t="s">
        <v>501</v>
      </c>
      <c r="G7" s="196">
        <v>256.29000000000002</v>
      </c>
      <c r="H7" s="196">
        <v>8.9999999999999993E-3</v>
      </c>
      <c r="I7" s="196">
        <v>1.1000000000000001E-3</v>
      </c>
      <c r="J7" s="196">
        <v>0.2</v>
      </c>
      <c r="K7" s="196" t="s">
        <v>902</v>
      </c>
      <c r="L7" s="196">
        <v>1021.17</v>
      </c>
      <c r="M7" s="196" t="s">
        <v>504</v>
      </c>
      <c r="N7" s="196">
        <v>29.97</v>
      </c>
      <c r="O7" s="196">
        <v>1509361200</v>
      </c>
      <c r="P7" s="196">
        <v>0</v>
      </c>
      <c r="Q7" s="196">
        <v>3.19</v>
      </c>
      <c r="R7" s="196">
        <v>34</v>
      </c>
      <c r="S7" s="196">
        <v>9.07</v>
      </c>
      <c r="T7" s="196">
        <v>4.12</v>
      </c>
    </row>
    <row r="8" spans="1:20" x14ac:dyDescent="0.3">
      <c r="A8" s="196">
        <v>29.59</v>
      </c>
      <c r="B8" s="196">
        <v>0.74</v>
      </c>
      <c r="C8" s="196">
        <v>26.04</v>
      </c>
      <c r="D8" s="8">
        <v>43038.25</v>
      </c>
      <c r="E8" s="196">
        <v>0.86</v>
      </c>
      <c r="F8" s="196" t="s">
        <v>501</v>
      </c>
      <c r="G8" s="196">
        <v>256.42</v>
      </c>
      <c r="H8" s="196">
        <v>1E-3</v>
      </c>
      <c r="I8" s="196">
        <v>1E-4</v>
      </c>
      <c r="J8" s="196">
        <v>0.06</v>
      </c>
      <c r="K8" s="196" t="s">
        <v>902</v>
      </c>
      <c r="L8" s="196">
        <v>1022.86</v>
      </c>
      <c r="M8" s="196" t="s">
        <v>500</v>
      </c>
      <c r="N8" s="196">
        <v>29.59</v>
      </c>
      <c r="O8" s="196">
        <v>1509364800</v>
      </c>
      <c r="P8" s="196">
        <v>0</v>
      </c>
      <c r="Q8" s="196">
        <v>3.29</v>
      </c>
      <c r="R8" s="196">
        <v>32</v>
      </c>
      <c r="S8" s="196">
        <v>5.62</v>
      </c>
      <c r="T8" s="196">
        <v>2.58</v>
      </c>
    </row>
    <row r="9" spans="1:20" x14ac:dyDescent="0.3">
      <c r="A9" s="196">
        <v>29.34</v>
      </c>
      <c r="B9" s="196">
        <v>0.69</v>
      </c>
      <c r="C9" s="196">
        <v>25.35</v>
      </c>
      <c r="D9" s="8">
        <v>43038.291666666664</v>
      </c>
      <c r="E9" s="196">
        <v>0.85</v>
      </c>
      <c r="F9" s="196" t="s">
        <v>501</v>
      </c>
      <c r="G9" s="196">
        <v>257.08</v>
      </c>
      <c r="H9" s="196">
        <v>1E-3</v>
      </c>
      <c r="I9" s="196">
        <v>1E-4</v>
      </c>
      <c r="J9" s="196">
        <v>0.02</v>
      </c>
      <c r="K9" s="196" t="s">
        <v>902</v>
      </c>
      <c r="L9" s="196">
        <v>1023.69</v>
      </c>
      <c r="M9" s="196" t="s">
        <v>500</v>
      </c>
      <c r="N9" s="196">
        <v>29.34</v>
      </c>
      <c r="O9" s="196">
        <v>1509368400</v>
      </c>
      <c r="P9" s="196">
        <v>0</v>
      </c>
      <c r="Q9" s="196">
        <v>2.94</v>
      </c>
      <c r="R9" s="196">
        <v>31</v>
      </c>
      <c r="S9" s="196">
        <v>4.57</v>
      </c>
      <c r="T9" s="196">
        <v>2.04</v>
      </c>
    </row>
    <row r="10" spans="1:20" x14ac:dyDescent="0.3">
      <c r="A10" s="196">
        <v>29.21</v>
      </c>
      <c r="B10" s="196">
        <v>0.64</v>
      </c>
      <c r="C10" s="196">
        <v>25.71</v>
      </c>
      <c r="D10" s="8">
        <v>43038.333333333336</v>
      </c>
      <c r="E10" s="196">
        <v>0.87</v>
      </c>
      <c r="F10" s="196" t="s">
        <v>499</v>
      </c>
      <c r="G10" s="196">
        <v>257.99</v>
      </c>
      <c r="H10" s="196"/>
      <c r="I10" s="196">
        <v>0</v>
      </c>
      <c r="J10" s="196">
        <v>0</v>
      </c>
      <c r="K10" s="196"/>
      <c r="L10" s="196">
        <v>1024.58</v>
      </c>
      <c r="M10" s="196" t="s">
        <v>500</v>
      </c>
      <c r="N10" s="196">
        <v>29.21</v>
      </c>
      <c r="O10" s="196">
        <v>1509372000</v>
      </c>
      <c r="P10" s="196">
        <v>0</v>
      </c>
      <c r="Q10" s="196">
        <v>2.79</v>
      </c>
      <c r="R10" s="196">
        <v>38</v>
      </c>
      <c r="S10" s="196">
        <v>3.16</v>
      </c>
      <c r="T10" s="196">
        <v>1.36</v>
      </c>
    </row>
    <row r="11" spans="1:20" x14ac:dyDescent="0.3">
      <c r="A11" s="196">
        <v>29.3</v>
      </c>
      <c r="B11" s="196">
        <v>0.6</v>
      </c>
      <c r="C11" s="196">
        <v>25.93</v>
      </c>
      <c r="D11" s="8">
        <v>43038.375</v>
      </c>
      <c r="E11" s="196">
        <v>0.87</v>
      </c>
      <c r="F11" s="196" t="s">
        <v>499</v>
      </c>
      <c r="G11" s="196">
        <v>258.89999999999998</v>
      </c>
      <c r="H11" s="196"/>
      <c r="I11" s="196">
        <v>0</v>
      </c>
      <c r="J11" s="196">
        <v>0</v>
      </c>
      <c r="K11" s="196"/>
      <c r="L11" s="196">
        <v>1025.0999999999999</v>
      </c>
      <c r="M11" s="196" t="s">
        <v>500</v>
      </c>
      <c r="N11" s="196">
        <v>29.3</v>
      </c>
      <c r="O11" s="196">
        <v>1509375600</v>
      </c>
      <c r="P11" s="196">
        <v>1</v>
      </c>
      <c r="Q11" s="196">
        <v>2.58</v>
      </c>
      <c r="R11" s="196">
        <v>44</v>
      </c>
      <c r="S11" s="196">
        <v>4.12</v>
      </c>
      <c r="T11" s="196">
        <v>1.77</v>
      </c>
    </row>
    <row r="12" spans="1:20" x14ac:dyDescent="0.3">
      <c r="A12" s="196">
        <v>29.56</v>
      </c>
      <c r="B12" s="196">
        <v>0.76</v>
      </c>
      <c r="C12" s="196">
        <v>25.35</v>
      </c>
      <c r="D12" s="8">
        <v>43038.416666666664</v>
      </c>
      <c r="E12" s="196">
        <v>0.84</v>
      </c>
      <c r="F12" s="196" t="s">
        <v>499</v>
      </c>
      <c r="G12" s="196">
        <v>259.67</v>
      </c>
      <c r="H12" s="196">
        <v>1E-3</v>
      </c>
      <c r="I12" s="196">
        <v>1E-4</v>
      </c>
      <c r="J12" s="196">
        <v>0.01</v>
      </c>
      <c r="K12" s="196" t="s">
        <v>902</v>
      </c>
      <c r="L12" s="196">
        <v>1025.1500000000001</v>
      </c>
      <c r="M12" s="196" t="s">
        <v>500</v>
      </c>
      <c r="N12" s="196">
        <v>29.56</v>
      </c>
      <c r="O12" s="196">
        <v>1509379200</v>
      </c>
      <c r="P12" s="196">
        <v>1</v>
      </c>
      <c r="Q12" s="196">
        <v>2.98</v>
      </c>
      <c r="R12" s="196">
        <v>60</v>
      </c>
      <c r="S12" s="196">
        <v>4.83</v>
      </c>
      <c r="T12" s="196">
        <v>2.04</v>
      </c>
    </row>
    <row r="13" spans="1:20" x14ac:dyDescent="0.3">
      <c r="A13" s="196">
        <v>29.84</v>
      </c>
      <c r="B13" s="196">
        <v>0.92</v>
      </c>
      <c r="C13" s="196">
        <v>24.92</v>
      </c>
      <c r="D13" s="8">
        <v>43038.458333333336</v>
      </c>
      <c r="E13" s="196">
        <v>0.82</v>
      </c>
      <c r="F13" s="196" t="s">
        <v>499</v>
      </c>
      <c r="G13" s="196">
        <v>260.31</v>
      </c>
      <c r="H13" s="196">
        <v>2E-3</v>
      </c>
      <c r="I13" s="196">
        <v>2.9999999999999997E-4</v>
      </c>
      <c r="J13" s="196">
        <v>0.02</v>
      </c>
      <c r="K13" s="196" t="s">
        <v>902</v>
      </c>
      <c r="L13" s="196">
        <v>1025</v>
      </c>
      <c r="M13" s="196" t="s">
        <v>500</v>
      </c>
      <c r="N13" s="196">
        <v>29.84</v>
      </c>
      <c r="O13" s="196">
        <v>1509382800</v>
      </c>
      <c r="P13" s="196">
        <v>2</v>
      </c>
      <c r="Q13" s="196">
        <v>3.36</v>
      </c>
      <c r="R13" s="196">
        <v>59</v>
      </c>
      <c r="S13" s="196">
        <v>6.05</v>
      </c>
      <c r="T13" s="196">
        <v>2.7</v>
      </c>
    </row>
    <row r="14" spans="1:20" x14ac:dyDescent="0.3">
      <c r="A14" s="196">
        <v>30.21</v>
      </c>
      <c r="B14" s="196">
        <v>0.79</v>
      </c>
      <c r="C14" s="196">
        <v>24.75</v>
      </c>
      <c r="D14" s="8">
        <v>43038.5</v>
      </c>
      <c r="E14" s="196">
        <v>0.8</v>
      </c>
      <c r="F14" s="196" t="s">
        <v>499</v>
      </c>
      <c r="G14" s="196">
        <v>261.33</v>
      </c>
      <c r="H14" s="196">
        <v>3.0000000000000001E-3</v>
      </c>
      <c r="I14" s="196">
        <v>2.9999999999999997E-4</v>
      </c>
      <c r="J14" s="196">
        <v>0.05</v>
      </c>
      <c r="K14" s="196" t="s">
        <v>902</v>
      </c>
      <c r="L14" s="196">
        <v>1025.1199999999999</v>
      </c>
      <c r="M14" s="196" t="s">
        <v>500</v>
      </c>
      <c r="N14" s="196">
        <v>30.21</v>
      </c>
      <c r="O14" s="196">
        <v>1509386400</v>
      </c>
      <c r="P14" s="196">
        <v>2</v>
      </c>
      <c r="Q14" s="196">
        <v>3.46</v>
      </c>
      <c r="R14" s="196">
        <v>64</v>
      </c>
      <c r="S14" s="196">
        <v>6.3</v>
      </c>
      <c r="T14" s="196">
        <v>2.79</v>
      </c>
    </row>
    <row r="15" spans="1:20" x14ac:dyDescent="0.3">
      <c r="A15" s="196">
        <v>30.62</v>
      </c>
      <c r="B15" s="196">
        <v>0.89</v>
      </c>
      <c r="C15" s="196">
        <v>24.62</v>
      </c>
      <c r="D15" s="8">
        <v>43038.541666666664</v>
      </c>
      <c r="E15" s="196">
        <v>0.78</v>
      </c>
      <c r="F15" s="196" t="s">
        <v>499</v>
      </c>
      <c r="G15" s="196">
        <v>261.70999999999998</v>
      </c>
      <c r="H15" s="196">
        <v>5.0000000000000001E-3</v>
      </c>
      <c r="I15" s="196">
        <v>5.9999999999999995E-4</v>
      </c>
      <c r="J15" s="196">
        <v>0.09</v>
      </c>
      <c r="K15" s="196" t="s">
        <v>902</v>
      </c>
      <c r="L15" s="196">
        <v>1024.1199999999999</v>
      </c>
      <c r="M15" s="196" t="s">
        <v>500</v>
      </c>
      <c r="N15" s="196">
        <v>30.62</v>
      </c>
      <c r="O15" s="196">
        <v>1509390000</v>
      </c>
      <c r="P15" s="196">
        <v>2</v>
      </c>
      <c r="Q15" s="196">
        <v>3.52</v>
      </c>
      <c r="R15" s="196">
        <v>69</v>
      </c>
      <c r="S15" s="196">
        <v>4.53</v>
      </c>
      <c r="T15" s="196">
        <v>1.99</v>
      </c>
    </row>
    <row r="16" spans="1:20" x14ac:dyDescent="0.3">
      <c r="A16" s="196">
        <v>31.22</v>
      </c>
      <c r="B16" s="196">
        <v>0.91</v>
      </c>
      <c r="C16" s="196">
        <v>24.5</v>
      </c>
      <c r="D16" s="8">
        <v>43038.583333333336</v>
      </c>
      <c r="E16" s="196">
        <v>0.76</v>
      </c>
      <c r="F16" s="196" t="s">
        <v>499</v>
      </c>
      <c r="G16" s="196">
        <v>261.95999999999998</v>
      </c>
      <c r="H16" s="196">
        <v>7.0000000000000001E-3</v>
      </c>
      <c r="I16" s="196">
        <v>8.0000000000000004E-4</v>
      </c>
      <c r="J16" s="196">
        <v>0.15</v>
      </c>
      <c r="K16" s="196" t="s">
        <v>902</v>
      </c>
      <c r="L16" s="196">
        <v>1023.05</v>
      </c>
      <c r="M16" s="196" t="s">
        <v>500</v>
      </c>
      <c r="N16" s="196">
        <v>31.22</v>
      </c>
      <c r="O16" s="196">
        <v>1509393600</v>
      </c>
      <c r="P16" s="196">
        <v>2</v>
      </c>
      <c r="Q16" s="196">
        <v>3.52</v>
      </c>
      <c r="R16" s="196">
        <v>79</v>
      </c>
      <c r="S16" s="196">
        <v>3.71</v>
      </c>
      <c r="T16" s="196">
        <v>1.33</v>
      </c>
    </row>
    <row r="17" spans="1:20" x14ac:dyDescent="0.3">
      <c r="A17" s="196">
        <v>31.82</v>
      </c>
      <c r="B17" s="196">
        <v>0.91</v>
      </c>
      <c r="C17" s="196">
        <v>24.56</v>
      </c>
      <c r="D17" s="8">
        <v>43038.625</v>
      </c>
      <c r="E17" s="196">
        <v>0.74</v>
      </c>
      <c r="F17" s="196" t="s">
        <v>499</v>
      </c>
      <c r="G17" s="196">
        <v>262.08999999999997</v>
      </c>
      <c r="H17" s="196">
        <v>1.7999999999999999E-2</v>
      </c>
      <c r="I17" s="196">
        <v>2.3E-3</v>
      </c>
      <c r="J17" s="196">
        <v>0.25</v>
      </c>
      <c r="K17" s="196" t="s">
        <v>902</v>
      </c>
      <c r="L17" s="196">
        <v>1022.81</v>
      </c>
      <c r="M17" s="196" t="s">
        <v>500</v>
      </c>
      <c r="N17" s="196">
        <v>31.82</v>
      </c>
      <c r="O17" s="196">
        <v>1509397200</v>
      </c>
      <c r="P17" s="196">
        <v>1</v>
      </c>
      <c r="Q17" s="196">
        <v>3.52</v>
      </c>
      <c r="R17" s="196">
        <v>94</v>
      </c>
      <c r="S17" s="196">
        <v>3.34</v>
      </c>
      <c r="T17" s="196">
        <v>0.91</v>
      </c>
    </row>
    <row r="18" spans="1:20" x14ac:dyDescent="0.3">
      <c r="A18" s="196">
        <v>32.29</v>
      </c>
      <c r="B18" s="196">
        <v>0.91</v>
      </c>
      <c r="C18" s="196">
        <v>24.67</v>
      </c>
      <c r="D18" s="8">
        <v>43038.666666666664</v>
      </c>
      <c r="E18" s="196">
        <v>0.73</v>
      </c>
      <c r="F18" s="196" t="s">
        <v>499</v>
      </c>
      <c r="G18" s="196">
        <v>262.33999999999997</v>
      </c>
      <c r="H18" s="196">
        <v>1.0999999999999999E-2</v>
      </c>
      <c r="I18" s="196">
        <v>1.4E-3</v>
      </c>
      <c r="J18" s="196">
        <v>0.18</v>
      </c>
      <c r="K18" s="196" t="s">
        <v>902</v>
      </c>
      <c r="L18" s="196">
        <v>1023.03</v>
      </c>
      <c r="M18" s="196" t="s">
        <v>500</v>
      </c>
      <c r="N18" s="196">
        <v>32.29</v>
      </c>
      <c r="O18" s="196">
        <v>1509400800</v>
      </c>
      <c r="P18" s="196">
        <v>1</v>
      </c>
      <c r="Q18" s="196">
        <v>3.52</v>
      </c>
      <c r="R18" s="196">
        <v>115</v>
      </c>
      <c r="S18" s="196">
        <v>2.78</v>
      </c>
      <c r="T18" s="196">
        <v>0.87</v>
      </c>
    </row>
    <row r="19" spans="1:20" x14ac:dyDescent="0.3">
      <c r="A19" s="196">
        <v>32.549999999999997</v>
      </c>
      <c r="B19" s="196">
        <v>0.75</v>
      </c>
      <c r="C19" s="196">
        <v>24.77</v>
      </c>
      <c r="D19" s="8">
        <v>43038.708333333336</v>
      </c>
      <c r="E19" s="196">
        <v>0.73</v>
      </c>
      <c r="F19" s="196" t="s">
        <v>499</v>
      </c>
      <c r="G19" s="196">
        <v>262.48</v>
      </c>
      <c r="H19" s="196">
        <v>3.0000000000000001E-3</v>
      </c>
      <c r="I19" s="196">
        <v>2.9999999999999997E-4</v>
      </c>
      <c r="J19" s="196">
        <v>0.09</v>
      </c>
      <c r="K19" s="196" t="s">
        <v>902</v>
      </c>
      <c r="L19" s="196">
        <v>1023.13</v>
      </c>
      <c r="M19" s="196" t="s">
        <v>500</v>
      </c>
      <c r="N19" s="196">
        <v>32.549999999999997</v>
      </c>
      <c r="O19" s="196">
        <v>1509404400</v>
      </c>
      <c r="P19" s="196">
        <v>0</v>
      </c>
      <c r="Q19" s="196">
        <v>3.52</v>
      </c>
      <c r="R19" s="196">
        <v>146</v>
      </c>
      <c r="S19" s="196">
        <v>2.4900000000000002</v>
      </c>
      <c r="T19" s="196">
        <v>0.5</v>
      </c>
    </row>
    <row r="20" spans="1:20" x14ac:dyDescent="0.3">
      <c r="A20" s="196">
        <v>32.369999999999997</v>
      </c>
      <c r="B20" s="196">
        <v>0.74</v>
      </c>
      <c r="C20" s="196">
        <v>24.9</v>
      </c>
      <c r="D20" s="8">
        <v>43038.75</v>
      </c>
      <c r="E20" s="196">
        <v>0.74</v>
      </c>
      <c r="F20" s="196" t="s">
        <v>501</v>
      </c>
      <c r="G20" s="196">
        <v>264.39</v>
      </c>
      <c r="H20" s="196">
        <v>3.0000000000000001E-3</v>
      </c>
      <c r="I20" s="196">
        <v>4.0000000000000002E-4</v>
      </c>
      <c r="J20" s="196">
        <v>0.05</v>
      </c>
      <c r="K20" s="196" t="s">
        <v>902</v>
      </c>
      <c r="L20" s="196">
        <v>1023.6</v>
      </c>
      <c r="M20" s="196" t="s">
        <v>500</v>
      </c>
      <c r="N20" s="196">
        <v>32.369999999999997</v>
      </c>
      <c r="O20" s="196">
        <v>1509408000</v>
      </c>
      <c r="P20" s="196">
        <v>0</v>
      </c>
      <c r="Q20" s="196">
        <v>3.52</v>
      </c>
      <c r="R20" s="196">
        <v>165</v>
      </c>
      <c r="S20" s="196">
        <v>3.2</v>
      </c>
      <c r="T20" s="196">
        <v>0.76</v>
      </c>
    </row>
    <row r="21" spans="1:20" x14ac:dyDescent="0.3">
      <c r="A21" s="196">
        <v>32.19</v>
      </c>
      <c r="B21" s="196">
        <v>0.81</v>
      </c>
      <c r="C21" s="196">
        <v>25.2</v>
      </c>
      <c r="D21" s="8">
        <v>43038.791666666664</v>
      </c>
      <c r="E21" s="196">
        <v>0.75</v>
      </c>
      <c r="F21" s="196" t="s">
        <v>501</v>
      </c>
      <c r="G21" s="196">
        <v>265.77</v>
      </c>
      <c r="H21" s="196">
        <v>4.0000000000000001E-3</v>
      </c>
      <c r="I21" s="196">
        <v>5.0000000000000001E-4</v>
      </c>
      <c r="J21" s="196">
        <v>0.06</v>
      </c>
      <c r="K21" s="196" t="s">
        <v>902</v>
      </c>
      <c r="L21" s="196">
        <v>1023.54</v>
      </c>
      <c r="M21" s="196" t="s">
        <v>500</v>
      </c>
      <c r="N21" s="196">
        <v>32.19</v>
      </c>
      <c r="O21" s="196">
        <v>1509411600</v>
      </c>
      <c r="P21" s="196">
        <v>0</v>
      </c>
      <c r="Q21" s="196">
        <v>3.52</v>
      </c>
      <c r="R21" s="196">
        <v>191</v>
      </c>
      <c r="S21" s="196">
        <v>3.73</v>
      </c>
      <c r="T21" s="196">
        <v>1.41</v>
      </c>
    </row>
    <row r="22" spans="1:20" x14ac:dyDescent="0.3">
      <c r="A22" s="196">
        <v>32.33</v>
      </c>
      <c r="B22" s="196">
        <v>0.82</v>
      </c>
      <c r="C22" s="196">
        <v>25.65</v>
      </c>
      <c r="D22" s="8">
        <v>43038.833333333336</v>
      </c>
      <c r="E22" s="196">
        <v>0.76</v>
      </c>
      <c r="F22" s="196" t="s">
        <v>501</v>
      </c>
      <c r="G22" s="196">
        <v>267.39</v>
      </c>
      <c r="H22" s="196">
        <v>1E-3</v>
      </c>
      <c r="I22" s="196">
        <v>1E-4</v>
      </c>
      <c r="J22" s="196">
        <v>0.06</v>
      </c>
      <c r="K22" s="196" t="s">
        <v>902</v>
      </c>
      <c r="L22" s="196">
        <v>1023.19</v>
      </c>
      <c r="M22" s="196" t="s">
        <v>500</v>
      </c>
      <c r="N22" s="196">
        <v>32.33</v>
      </c>
      <c r="O22" s="196">
        <v>1509415200</v>
      </c>
      <c r="P22" s="196">
        <v>0</v>
      </c>
      <c r="Q22" s="196">
        <v>3.52</v>
      </c>
      <c r="R22" s="196">
        <v>185</v>
      </c>
      <c r="S22" s="196">
        <v>3.86</v>
      </c>
      <c r="T22" s="196">
        <v>1.54</v>
      </c>
    </row>
    <row r="23" spans="1:20" x14ac:dyDescent="0.3">
      <c r="A23" s="196">
        <v>32.590000000000003</v>
      </c>
      <c r="B23" s="196">
        <v>0.9</v>
      </c>
      <c r="C23" s="196">
        <v>25.97</v>
      </c>
      <c r="D23" s="8">
        <v>43038.875</v>
      </c>
      <c r="E23" s="196">
        <v>0.76</v>
      </c>
      <c r="F23" s="196" t="s">
        <v>501</v>
      </c>
      <c r="G23" s="196">
        <v>268.88</v>
      </c>
      <c r="H23" s="196"/>
      <c r="I23" s="196">
        <v>0</v>
      </c>
      <c r="J23" s="196">
        <v>0</v>
      </c>
      <c r="K23" s="196"/>
      <c r="L23" s="196">
        <v>1022.24</v>
      </c>
      <c r="M23" s="196" t="s">
        <v>500</v>
      </c>
      <c r="N23" s="196">
        <v>32.590000000000003</v>
      </c>
      <c r="O23" s="196">
        <v>1509418800</v>
      </c>
      <c r="P23" s="196">
        <v>0</v>
      </c>
      <c r="Q23" s="196">
        <v>3.52</v>
      </c>
      <c r="R23" s="196">
        <v>157</v>
      </c>
      <c r="S23" s="196">
        <v>3.87</v>
      </c>
      <c r="T23" s="196">
        <v>1.46</v>
      </c>
    </row>
    <row r="24" spans="1:20" x14ac:dyDescent="0.3">
      <c r="A24" s="196">
        <v>32.74</v>
      </c>
      <c r="B24" s="196">
        <v>1</v>
      </c>
      <c r="C24" s="196">
        <v>26.29</v>
      </c>
      <c r="D24" s="8">
        <v>43038.916666666664</v>
      </c>
      <c r="E24" s="196">
        <v>0.77</v>
      </c>
      <c r="F24" s="196" t="s">
        <v>502</v>
      </c>
      <c r="G24" s="196">
        <v>270.11</v>
      </c>
      <c r="H24" s="196"/>
      <c r="I24" s="196">
        <v>0</v>
      </c>
      <c r="J24" s="196">
        <v>0</v>
      </c>
      <c r="K24" s="196"/>
      <c r="L24" s="196">
        <v>1021.79</v>
      </c>
      <c r="M24" s="196" t="s">
        <v>503</v>
      </c>
      <c r="N24" s="196">
        <v>32.74</v>
      </c>
      <c r="O24" s="196">
        <v>1509422400</v>
      </c>
      <c r="P24" s="196">
        <v>0</v>
      </c>
      <c r="Q24" s="196">
        <v>3.84</v>
      </c>
      <c r="R24" s="196">
        <v>133</v>
      </c>
      <c r="S24" s="196">
        <v>3.55</v>
      </c>
      <c r="T24" s="196">
        <v>1.25</v>
      </c>
    </row>
    <row r="25" spans="1:20" x14ac:dyDescent="0.3">
      <c r="A25" s="196">
        <v>32.880000000000003</v>
      </c>
      <c r="B25" s="196">
        <v>0.94</v>
      </c>
      <c r="C25" s="196">
        <v>26.47</v>
      </c>
      <c r="D25" s="8">
        <v>43038.958333333336</v>
      </c>
      <c r="E25" s="196">
        <v>0.77</v>
      </c>
      <c r="F25" s="196" t="s">
        <v>502</v>
      </c>
      <c r="G25" s="196">
        <v>271.45999999999998</v>
      </c>
      <c r="H25" s="196"/>
      <c r="I25" s="196">
        <v>0</v>
      </c>
      <c r="J25" s="196">
        <v>0</v>
      </c>
      <c r="K25" s="196"/>
      <c r="L25" s="196">
        <v>1020.95</v>
      </c>
      <c r="M25" s="196" t="s">
        <v>503</v>
      </c>
      <c r="N25" s="196">
        <v>32.880000000000003</v>
      </c>
      <c r="O25" s="196">
        <v>1509426000</v>
      </c>
      <c r="P25" s="196">
        <v>0</v>
      </c>
      <c r="Q25" s="196">
        <v>3.52</v>
      </c>
      <c r="R25" s="196">
        <v>129</v>
      </c>
      <c r="S25" s="196">
        <v>3.81</v>
      </c>
      <c r="T25" s="196">
        <v>1.54</v>
      </c>
    </row>
    <row r="26" spans="1:20" x14ac:dyDescent="0.3">
      <c r="A26" s="196">
        <v>32.78</v>
      </c>
      <c r="B26" s="196">
        <v>0.93</v>
      </c>
      <c r="C26" s="196">
        <v>26.21</v>
      </c>
      <c r="D26" s="8">
        <v>43039</v>
      </c>
      <c r="E26" s="196">
        <v>0.76</v>
      </c>
      <c r="F26" s="196" t="s">
        <v>501</v>
      </c>
      <c r="G26" s="196">
        <v>272.8</v>
      </c>
      <c r="H26" s="196"/>
      <c r="I26" s="196">
        <v>0</v>
      </c>
      <c r="J26" s="196">
        <v>0</v>
      </c>
      <c r="K26" s="196"/>
      <c r="L26" s="196">
        <v>1020.11</v>
      </c>
      <c r="M26" s="196" t="s">
        <v>500</v>
      </c>
      <c r="N26" s="196">
        <v>32.78</v>
      </c>
      <c r="O26" s="196">
        <v>1509429600</v>
      </c>
      <c r="P26" s="196">
        <v>0</v>
      </c>
      <c r="Q26" s="196">
        <v>3.52</v>
      </c>
      <c r="R26" s="196">
        <v>134</v>
      </c>
      <c r="S26" s="196">
        <v>3.72</v>
      </c>
      <c r="T26" s="196">
        <v>1.29</v>
      </c>
    </row>
    <row r="27" spans="1:20" x14ac:dyDescent="0.3">
      <c r="A27" s="196">
        <v>32.450000000000003</v>
      </c>
      <c r="B27" s="196">
        <v>0.69</v>
      </c>
      <c r="C27" s="196">
        <v>26.24</v>
      </c>
      <c r="D27" s="8">
        <v>43039.041666666664</v>
      </c>
      <c r="E27" s="196">
        <v>0.78</v>
      </c>
      <c r="F27" s="196" t="s">
        <v>501</v>
      </c>
      <c r="G27" s="196">
        <v>274.37</v>
      </c>
      <c r="H27" s="196">
        <v>0</v>
      </c>
      <c r="I27" s="196">
        <v>1E-4</v>
      </c>
      <c r="J27" s="196">
        <v>0.01</v>
      </c>
      <c r="K27" s="196" t="s">
        <v>902</v>
      </c>
      <c r="L27" s="196">
        <v>1018.82</v>
      </c>
      <c r="M27" s="196" t="s">
        <v>500</v>
      </c>
      <c r="N27" s="196">
        <v>32.450000000000003</v>
      </c>
      <c r="O27" s="196">
        <v>1509433200</v>
      </c>
      <c r="P27" s="196">
        <v>0</v>
      </c>
      <c r="Q27" s="196">
        <v>3.52</v>
      </c>
      <c r="R27" s="196">
        <v>154</v>
      </c>
      <c r="S27" s="196">
        <v>3.25</v>
      </c>
      <c r="T27" s="196">
        <v>1.22</v>
      </c>
    </row>
    <row r="28" spans="1:20" x14ac:dyDescent="0.3">
      <c r="A28" s="196">
        <v>32.01</v>
      </c>
      <c r="B28" s="196">
        <v>0.75</v>
      </c>
      <c r="C28" s="196">
        <v>26.57</v>
      </c>
      <c r="D28" s="8">
        <v>43039.083333333336</v>
      </c>
      <c r="E28" s="196">
        <v>0.8</v>
      </c>
      <c r="F28" s="196" t="s">
        <v>501</v>
      </c>
      <c r="G28" s="196">
        <v>276.18</v>
      </c>
      <c r="H28" s="196"/>
      <c r="I28" s="196">
        <v>0</v>
      </c>
      <c r="J28" s="196">
        <v>0</v>
      </c>
      <c r="K28" s="196"/>
      <c r="L28" s="196">
        <v>1017.09</v>
      </c>
      <c r="M28" s="196" t="s">
        <v>500</v>
      </c>
      <c r="N28" s="196">
        <v>32.01</v>
      </c>
      <c r="O28" s="196">
        <v>1509436800</v>
      </c>
      <c r="P28" s="196">
        <v>0</v>
      </c>
      <c r="Q28" s="196">
        <v>3.23</v>
      </c>
      <c r="R28" s="196">
        <v>164</v>
      </c>
      <c r="S28" s="196">
        <v>3.43</v>
      </c>
      <c r="T28" s="196">
        <v>0.76</v>
      </c>
    </row>
    <row r="29" spans="1:20" x14ac:dyDescent="0.3">
      <c r="A29" s="196">
        <v>31.93</v>
      </c>
      <c r="B29" s="196">
        <v>0.65</v>
      </c>
      <c r="C29" s="196">
        <v>26.81</v>
      </c>
      <c r="D29" s="8">
        <v>43039.125</v>
      </c>
      <c r="E29" s="196">
        <v>0.81</v>
      </c>
      <c r="F29" s="196" t="s">
        <v>501</v>
      </c>
      <c r="G29" s="196">
        <v>277.97000000000003</v>
      </c>
      <c r="H29" s="196">
        <v>3.0000000000000001E-3</v>
      </c>
      <c r="I29" s="196">
        <v>4.0000000000000002E-4</v>
      </c>
      <c r="J29" s="196">
        <v>0.04</v>
      </c>
      <c r="K29" s="196" t="s">
        <v>902</v>
      </c>
      <c r="L29" s="196">
        <v>1015.9</v>
      </c>
      <c r="M29" s="196" t="s">
        <v>500</v>
      </c>
      <c r="N29" s="196">
        <v>31.93</v>
      </c>
      <c r="O29" s="196">
        <v>1509440400</v>
      </c>
      <c r="P29" s="196">
        <v>0</v>
      </c>
      <c r="Q29" s="196">
        <v>2.44</v>
      </c>
      <c r="R29" s="196">
        <v>202</v>
      </c>
      <c r="S29" s="196">
        <v>2.57</v>
      </c>
      <c r="T29" s="196">
        <v>0.52</v>
      </c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344</v>
      </c>
      <c r="AE2" s="56" t="s">
        <v>347</v>
      </c>
      <c r="AF2" s="56" t="s">
        <v>348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345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346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362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349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1116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1117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1118</v>
      </c>
      <c r="J20" s="140" t="s">
        <v>87</v>
      </c>
      <c r="M20" s="154" t="s">
        <v>339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1119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1120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1121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1122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1123</v>
      </c>
      <c r="J25" s="140" t="s">
        <v>144</v>
      </c>
      <c r="M25" s="154" t="b">
        <v>1</v>
      </c>
    </row>
    <row r="26" spans="3:24" x14ac:dyDescent="0.3">
      <c r="C26" t="s">
        <v>1124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%USERPROFILE%\Documents\GitHub\eaglep3-reporting\EC\2017-10-30-refined-times.txt</v>
      </c>
    </row>
    <row r="27" spans="3:24" x14ac:dyDescent="0.3">
      <c r="C27" t="s">
        <v>1125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%USERPROFILE%\Documents\GitHub\eaglep3-reporting\EC\2017-10-30-Enforcements.txt</v>
      </c>
    </row>
    <row r="28" spans="3:24" x14ac:dyDescent="0.3">
      <c r="C28" t="s">
        <v>1126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%USERPROFILE%\Documents\GitHub\eaglep3-reporting\EC\2017-10-30-Runs-refined.txt</v>
      </c>
    </row>
    <row r="29" spans="3:24" x14ac:dyDescent="0.3">
      <c r="C29" t="s">
        <v>1127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%USERPROFILE%\Documents\GitHub\eaglep3-reporting\EC\2017-10-30-Trips.txt</v>
      </c>
    </row>
    <row r="30" spans="3:24" x14ac:dyDescent="0.3">
      <c r="C30" t="s">
        <v>1128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%USERPROFILE%\Documents\GitHub\eaglep3-reporting\EC\2017-10-30-Weather.txt</v>
      </c>
    </row>
    <row r="31" spans="3:24" x14ac:dyDescent="0.3"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372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2017-10-31T16:45:42Z</dcterms:modified>
</cp:coreProperties>
</file>