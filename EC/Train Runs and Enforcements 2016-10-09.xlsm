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Y174" i="1"/>
  <c r="X175" i="1"/>
  <c r="Y175" i="1"/>
  <c r="X176" i="1"/>
  <c r="Y176" i="1"/>
  <c r="X177" i="1"/>
  <c r="Y177" i="1"/>
  <c r="X178" i="1"/>
  <c r="Y178" i="1"/>
  <c r="X160" i="1" l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X28" i="1"/>
  <c r="Y28" i="1"/>
  <c r="Z28" i="1"/>
  <c r="AB28" i="1"/>
  <c r="AC28" i="1"/>
  <c r="AD28" i="1"/>
  <c r="T28" i="1" s="1"/>
  <c r="AE28" i="1"/>
  <c r="AF28" i="1"/>
  <c r="AG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K40" i="1"/>
  <c r="L40" i="1"/>
  <c r="M40" i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K168" i="1"/>
  <c r="L168" i="1"/>
  <c r="M168" i="1"/>
  <c r="N168" i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Z177" i="1"/>
  <c r="AB177" i="1"/>
  <c r="AC177" i="1"/>
  <c r="AD177" i="1"/>
  <c r="T177" i="1" s="1"/>
  <c r="AE177" i="1"/>
  <c r="AF177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178" i="1"/>
  <c r="L178" i="1"/>
  <c r="M178" i="1"/>
  <c r="N178" i="1" s="1"/>
  <c r="V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T185" i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T98" i="1"/>
  <c r="V98" i="1"/>
  <c r="X98" i="1"/>
  <c r="Y98" i="1"/>
  <c r="Z98" i="1"/>
  <c r="AA98" i="1" s="1"/>
  <c r="W98" i="1" s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T111" i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A130" i="1" s="1"/>
  <c r="W130" i="1" s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P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T211" i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U17" i="3"/>
  <c r="T17" i="3" s="1"/>
  <c r="V17" i="3"/>
  <c r="W17" i="3"/>
  <c r="X17" i="3"/>
  <c r="AC17" i="3"/>
  <c r="U13" i="3"/>
  <c r="AC13" i="3" s="1"/>
  <c r="V13" i="3"/>
  <c r="W13" i="3"/>
  <c r="X13" i="3"/>
  <c r="U11" i="3"/>
  <c r="T11" i="3" s="1"/>
  <c r="V11" i="3"/>
  <c r="W11" i="3"/>
  <c r="X11" i="3"/>
  <c r="AC11" i="3"/>
  <c r="U26" i="3"/>
  <c r="T26" i="3" s="1"/>
  <c r="V26" i="3"/>
  <c r="W26" i="3"/>
  <c r="X26" i="3"/>
  <c r="U15" i="3"/>
  <c r="T15" i="3" s="1"/>
  <c r="V15" i="3"/>
  <c r="W15" i="3"/>
  <c r="X15" i="3"/>
  <c r="AC15" i="3"/>
  <c r="U16" i="3"/>
  <c r="AC16" i="3" s="1"/>
  <c r="V16" i="3"/>
  <c r="W16" i="3"/>
  <c r="X16" i="3"/>
  <c r="U30" i="3"/>
  <c r="AC30" i="3" s="1"/>
  <c r="V30" i="3"/>
  <c r="W30" i="3"/>
  <c r="X30" i="3"/>
  <c r="U27" i="3"/>
  <c r="T27" i="3" s="1"/>
  <c r="V27" i="3"/>
  <c r="W27" i="3"/>
  <c r="X27" i="3"/>
  <c r="Y27" i="3"/>
  <c r="U10" i="3"/>
  <c r="T10" i="3" s="1"/>
  <c r="V10" i="3"/>
  <c r="W10" i="3"/>
  <c r="X10" i="3"/>
  <c r="AC10" i="3"/>
  <c r="U24" i="3"/>
  <c r="AC24" i="3" s="1"/>
  <c r="V24" i="3"/>
  <c r="W24" i="3"/>
  <c r="Y24" i="3" s="1"/>
  <c r="X24" i="3"/>
  <c r="U12" i="3"/>
  <c r="AC12" i="3" s="1"/>
  <c r="V12" i="3"/>
  <c r="W12" i="3"/>
  <c r="X12" i="3"/>
  <c r="U7" i="3"/>
  <c r="T7" i="3" s="1"/>
  <c r="V7" i="3"/>
  <c r="W7" i="3"/>
  <c r="Y7" i="3" s="1"/>
  <c r="X7" i="3"/>
  <c r="U14" i="3"/>
  <c r="T14" i="3" s="1"/>
  <c r="V14" i="3"/>
  <c r="W14" i="3"/>
  <c r="Y14" i="3" s="1"/>
  <c r="X14" i="3"/>
  <c r="AC14" i="3"/>
  <c r="U18" i="3"/>
  <c r="AC18" i="3" s="1"/>
  <c r="V18" i="3"/>
  <c r="W18" i="3"/>
  <c r="X18" i="3"/>
  <c r="U28" i="3"/>
  <c r="T28" i="3" s="1"/>
  <c r="V28" i="3"/>
  <c r="W28" i="3"/>
  <c r="X28" i="3"/>
  <c r="U29" i="3"/>
  <c r="T29" i="3" s="1"/>
  <c r="V29" i="3"/>
  <c r="W29" i="3"/>
  <c r="X29" i="3"/>
  <c r="U19" i="3"/>
  <c r="T19" i="3" s="1"/>
  <c r="V19" i="3"/>
  <c r="W19" i="3"/>
  <c r="X19" i="3"/>
  <c r="AC19" i="3"/>
  <c r="U20" i="3"/>
  <c r="AC20" i="3" s="1"/>
  <c r="V20" i="3"/>
  <c r="W20" i="3"/>
  <c r="X20" i="3"/>
  <c r="U34" i="3"/>
  <c r="T34" i="3" s="1"/>
  <c r="V34" i="3"/>
  <c r="W34" i="3"/>
  <c r="X34" i="3"/>
  <c r="AC34" i="3"/>
  <c r="U39" i="3"/>
  <c r="T39" i="3" s="1"/>
  <c r="V39" i="3"/>
  <c r="W39" i="3"/>
  <c r="X39" i="3"/>
  <c r="U36" i="3"/>
  <c r="AC36" i="3" s="1"/>
  <c r="V36" i="3"/>
  <c r="W36" i="3"/>
  <c r="X36" i="3"/>
  <c r="U37" i="3"/>
  <c r="AC37" i="3" s="1"/>
  <c r="V37" i="3"/>
  <c r="W37" i="3"/>
  <c r="X37" i="3"/>
  <c r="U32" i="3"/>
  <c r="T32" i="3" s="1"/>
  <c r="V32" i="3"/>
  <c r="W32" i="3"/>
  <c r="X32" i="3"/>
  <c r="U8" i="3"/>
  <c r="T8" i="3" s="1"/>
  <c r="V8" i="3"/>
  <c r="W8" i="3"/>
  <c r="X8" i="3"/>
  <c r="U35" i="3"/>
  <c r="T35" i="3" s="1"/>
  <c r="V35" i="3"/>
  <c r="W35" i="3"/>
  <c r="X35" i="3"/>
  <c r="AC35" i="3"/>
  <c r="U33" i="3"/>
  <c r="AC33" i="3" s="1"/>
  <c r="V33" i="3"/>
  <c r="W33" i="3"/>
  <c r="X33" i="3"/>
  <c r="U38" i="3"/>
  <c r="T38" i="3" s="1"/>
  <c r="V38" i="3"/>
  <c r="W38" i="3"/>
  <c r="Y38" i="3" s="1"/>
  <c r="X38" i="3"/>
  <c r="AC38" i="3"/>
  <c r="U9" i="3"/>
  <c r="T9" i="3" s="1"/>
  <c r="V9" i="3"/>
  <c r="W9" i="3"/>
  <c r="X9" i="3"/>
  <c r="U21" i="3"/>
  <c r="AC21" i="3" s="1"/>
  <c r="V21" i="3"/>
  <c r="W21" i="3"/>
  <c r="X21" i="3"/>
  <c r="Y21" i="3"/>
  <c r="U31" i="3"/>
  <c r="AC31" i="3" s="1"/>
  <c r="V31" i="3"/>
  <c r="W31" i="3"/>
  <c r="X31" i="3"/>
  <c r="U22" i="3"/>
  <c r="T22" i="3" s="1"/>
  <c r="V22" i="3"/>
  <c r="W22" i="3"/>
  <c r="X22" i="3"/>
  <c r="AC22" i="3"/>
  <c r="U25" i="3"/>
  <c r="T25" i="3" s="1"/>
  <c r="V25" i="3"/>
  <c r="W25" i="3"/>
  <c r="X25" i="3"/>
  <c r="AA142" i="1" l="1"/>
  <c r="AA141" i="1"/>
  <c r="AA189" i="1"/>
  <c r="W189" i="1" s="1"/>
  <c r="AA166" i="1"/>
  <c r="AA161" i="1"/>
  <c r="X74" i="1"/>
  <c r="X70" i="1"/>
  <c r="AG68" i="1"/>
  <c r="U68" i="1" s="1"/>
  <c r="X65" i="1"/>
  <c r="P39" i="1"/>
  <c r="X161" i="1"/>
  <c r="AA153" i="1"/>
  <c r="AA145" i="1"/>
  <c r="AG84" i="1"/>
  <c r="AI84" i="1" s="1"/>
  <c r="AA54" i="1"/>
  <c r="X53" i="1"/>
  <c r="AA53" i="1"/>
  <c r="X159" i="1"/>
  <c r="U162" i="1"/>
  <c r="S162" i="1" s="1"/>
  <c r="Y36" i="3"/>
  <c r="Y39" i="3"/>
  <c r="Y9" i="3"/>
  <c r="Y30" i="3"/>
  <c r="X201" i="1"/>
  <c r="AA71" i="1"/>
  <c r="AA25" i="1"/>
  <c r="Y11" i="3"/>
  <c r="AA176" i="1"/>
  <c r="Y33" i="3"/>
  <c r="AC32" i="3"/>
  <c r="Y34" i="3"/>
  <c r="Y8" i="3"/>
  <c r="T36" i="3"/>
  <c r="Y29" i="3"/>
  <c r="Y13" i="3"/>
  <c r="AA154" i="1"/>
  <c r="AA137" i="1"/>
  <c r="T97" i="1"/>
  <c r="X92" i="1"/>
  <c r="AA88" i="1"/>
  <c r="X78" i="1"/>
  <c r="AG76" i="1"/>
  <c r="U76" i="1" s="1"/>
  <c r="S76" i="1" s="1"/>
  <c r="X66" i="1"/>
  <c r="AA66" i="1"/>
  <c r="AA61" i="1"/>
  <c r="X33" i="1"/>
  <c r="AG31" i="1"/>
  <c r="AI31" i="1" s="1"/>
  <c r="AA21" i="1"/>
  <c r="AA120" i="1"/>
  <c r="AA187" i="1"/>
  <c r="AG92" i="1"/>
  <c r="AI92" i="1" s="1"/>
  <c r="AG82" i="1"/>
  <c r="T65" i="1"/>
  <c r="AI62" i="1"/>
  <c r="AG220" i="1"/>
  <c r="U220" i="1" s="1"/>
  <c r="S220" i="1" s="1"/>
  <c r="AA213" i="1"/>
  <c r="AA208" i="1"/>
  <c r="AA193" i="1"/>
  <c r="W193" i="1" s="1"/>
  <c r="AI140" i="1"/>
  <c r="AA104" i="1"/>
  <c r="W104" i="1" s="1"/>
  <c r="AA179" i="1"/>
  <c r="AA220" i="1"/>
  <c r="T155" i="1"/>
  <c r="U155" i="1" s="1"/>
  <c r="S155" i="1" s="1"/>
  <c r="AA144" i="1"/>
  <c r="AA138" i="1"/>
  <c r="AA133" i="1"/>
  <c r="AA128" i="1"/>
  <c r="AG126" i="1"/>
  <c r="AI126" i="1" s="1"/>
  <c r="AA173" i="1"/>
  <c r="AI46" i="1"/>
  <c r="X36" i="1"/>
  <c r="AG27" i="1"/>
  <c r="AG17" i="1"/>
  <c r="AI17" i="1" s="1"/>
  <c r="T226" i="1"/>
  <c r="U226" i="1" s="1"/>
  <c r="S226" i="1" s="1"/>
  <c r="X136" i="1"/>
  <c r="AA125" i="1"/>
  <c r="AG120" i="1"/>
  <c r="AA116" i="1"/>
  <c r="AA111" i="1"/>
  <c r="W111" i="1" s="1"/>
  <c r="AA106" i="1"/>
  <c r="AA102" i="1"/>
  <c r="X186" i="1"/>
  <c r="AA180" i="1"/>
  <c r="AG176" i="1"/>
  <c r="U176" i="1" s="1"/>
  <c r="S176" i="1" s="1"/>
  <c r="X172" i="1"/>
  <c r="AA162" i="1"/>
  <c r="W162" i="1" s="1"/>
  <c r="AA78" i="1"/>
  <c r="AG60" i="1"/>
  <c r="U60" i="1" s="1"/>
  <c r="S60" i="1" s="1"/>
  <c r="AA58" i="1"/>
  <c r="W58" i="1" s="1"/>
  <c r="AA46" i="1"/>
  <c r="W46" i="1" s="1"/>
  <c r="AA26" i="1"/>
  <c r="X25" i="1"/>
  <c r="X20" i="1"/>
  <c r="AA198" i="1"/>
  <c r="X219" i="1"/>
  <c r="AA216" i="1"/>
  <c r="AA211" i="1"/>
  <c r="AA209" i="1"/>
  <c r="T206" i="1"/>
  <c r="U206" i="1" s="1"/>
  <c r="S206" i="1" s="1"/>
  <c r="AA204" i="1"/>
  <c r="AA195" i="1"/>
  <c r="AG151" i="1"/>
  <c r="AA146" i="1"/>
  <c r="T123" i="1"/>
  <c r="T119" i="1"/>
  <c r="U119" i="1" s="1"/>
  <c r="S119" i="1" s="1"/>
  <c r="AA103" i="1"/>
  <c r="T178" i="1"/>
  <c r="U178" i="1" s="1"/>
  <c r="S178" i="1" s="1"/>
  <c r="T171" i="1"/>
  <c r="AA79" i="1"/>
  <c r="W79" i="1" s="1"/>
  <c r="AA68" i="1"/>
  <c r="AA59" i="1"/>
  <c r="X37" i="1"/>
  <c r="AG35" i="1"/>
  <c r="U35" i="1" s="1"/>
  <c r="S35" i="1" s="1"/>
  <c r="AG29" i="1"/>
  <c r="X29" i="1"/>
  <c r="AA14" i="1"/>
  <c r="AG224" i="1"/>
  <c r="W224" i="1" s="1"/>
  <c r="AA212" i="1"/>
  <c r="AA205" i="1"/>
  <c r="AA157" i="1"/>
  <c r="T144" i="1"/>
  <c r="AA129" i="1"/>
  <c r="W129" i="1" s="1"/>
  <c r="AA123" i="1"/>
  <c r="AA119" i="1"/>
  <c r="W119" i="1" s="1"/>
  <c r="AA186" i="1"/>
  <c r="W186" i="1" s="1"/>
  <c r="T186" i="1"/>
  <c r="U186" i="1" s="1"/>
  <c r="S186" i="1" s="1"/>
  <c r="AA178" i="1"/>
  <c r="AA170" i="1"/>
  <c r="AA165" i="1"/>
  <c r="AA160" i="1"/>
  <c r="AA70" i="1"/>
  <c r="AA62" i="1"/>
  <c r="W62" i="1" s="1"/>
  <c r="AA60" i="1"/>
  <c r="AA50" i="1"/>
  <c r="W50" i="1" s="1"/>
  <c r="T198" i="1"/>
  <c r="AG198" i="1"/>
  <c r="AG128" i="1"/>
  <c r="W128" i="1" s="1"/>
  <c r="T128" i="1"/>
  <c r="W120" i="1"/>
  <c r="T133" i="1"/>
  <c r="AG133" i="1"/>
  <c r="W133" i="1" s="1"/>
  <c r="T118" i="1"/>
  <c r="AG118" i="1"/>
  <c r="AA200" i="1"/>
  <c r="AG112" i="1"/>
  <c r="U112" i="1" s="1"/>
  <c r="S112" i="1" s="1"/>
  <c r="AA190" i="1"/>
  <c r="AG188" i="1"/>
  <c r="AI188" i="1" s="1"/>
  <c r="AG218" i="1"/>
  <c r="AA206" i="1"/>
  <c r="W206" i="1" s="1"/>
  <c r="AG200" i="1"/>
  <c r="AI200" i="1" s="1"/>
  <c r="X152" i="1"/>
  <c r="AA149" i="1"/>
  <c r="AG135" i="1"/>
  <c r="U135" i="1" s="1"/>
  <c r="S135" i="1" s="1"/>
  <c r="AI130" i="1"/>
  <c r="AI162" i="1"/>
  <c r="X119" i="1"/>
  <c r="AG116" i="1"/>
  <c r="U116" i="1" s="1"/>
  <c r="S116" i="1" s="1"/>
  <c r="AA114" i="1"/>
  <c r="X111" i="1"/>
  <c r="AG106" i="1"/>
  <c r="W106" i="1" s="1"/>
  <c r="X106" i="1"/>
  <c r="AA105" i="1"/>
  <c r="AG203" i="1"/>
  <c r="U203" i="1" s="1"/>
  <c r="S203" i="1" s="1"/>
  <c r="AI102" i="1"/>
  <c r="AG190" i="1"/>
  <c r="U190" i="1" s="1"/>
  <c r="S190" i="1" s="1"/>
  <c r="AG183" i="1"/>
  <c r="U183" i="1" s="1"/>
  <c r="S183" i="1" s="1"/>
  <c r="AA181" i="1"/>
  <c r="AG95" i="1"/>
  <c r="AA171" i="1"/>
  <c r="W171" i="1" s="1"/>
  <c r="T159" i="1"/>
  <c r="T87" i="1"/>
  <c r="AI79" i="1"/>
  <c r="AG66" i="1"/>
  <c r="U66" i="1" s="1"/>
  <c r="S66" i="1" s="1"/>
  <c r="AG61" i="1"/>
  <c r="X61" i="1"/>
  <c r="AG57" i="1"/>
  <c r="X57" i="1"/>
  <c r="X44" i="1"/>
  <c r="W29" i="1"/>
  <c r="T16" i="1"/>
  <c r="W116" i="1"/>
  <c r="AA222" i="1"/>
  <c r="W222" i="1" s="1"/>
  <c r="AA139" i="1"/>
  <c r="AA122" i="1"/>
  <c r="AG101" i="1"/>
  <c r="U101" i="1" s="1"/>
  <c r="AA155" i="1"/>
  <c r="AI226" i="1"/>
  <c r="T222" i="1"/>
  <c r="AG216" i="1"/>
  <c r="AI216" i="1" s="1"/>
  <c r="AA214" i="1"/>
  <c r="T193" i="1"/>
  <c r="U193" i="1" s="1"/>
  <c r="S193" i="1" s="1"/>
  <c r="AA151" i="1"/>
  <c r="AG149" i="1"/>
  <c r="AI149" i="1" s="1"/>
  <c r="AA147" i="1"/>
  <c r="AI176" i="1"/>
  <c r="T139" i="1"/>
  <c r="AI165" i="1"/>
  <c r="AA117" i="1"/>
  <c r="AA109" i="1"/>
  <c r="AA108" i="1"/>
  <c r="AG99" i="1"/>
  <c r="U99" i="1" s="1"/>
  <c r="T189" i="1"/>
  <c r="AG187" i="1"/>
  <c r="W187" i="1" s="1"/>
  <c r="AG166" i="1"/>
  <c r="AA159" i="1"/>
  <c r="W159" i="1" s="1"/>
  <c r="AA92" i="1"/>
  <c r="AA90" i="1"/>
  <c r="AA89" i="1"/>
  <c r="AA87" i="1"/>
  <c r="W87" i="1" s="1"/>
  <c r="AA82" i="1"/>
  <c r="W82" i="1" s="1"/>
  <c r="AA81" i="1"/>
  <c r="X79" i="1"/>
  <c r="X77" i="1"/>
  <c r="AA76" i="1"/>
  <c r="W76" i="1" s="1"/>
  <c r="AA75" i="1"/>
  <c r="AA74" i="1"/>
  <c r="AG72" i="1"/>
  <c r="U72" i="1" s="1"/>
  <c r="AG65" i="1"/>
  <c r="U65" i="1" s="1"/>
  <c r="S65" i="1" s="1"/>
  <c r="AA63" i="1"/>
  <c r="X62" i="1"/>
  <c r="AG52" i="1"/>
  <c r="AI52" i="1" s="1"/>
  <c r="AI50" i="1"/>
  <c r="AA49" i="1"/>
  <c r="AA48" i="1"/>
  <c r="AG45" i="1"/>
  <c r="U45" i="1" s="1"/>
  <c r="S45" i="1" s="1"/>
  <c r="AG41" i="1"/>
  <c r="U41" i="1" s="1"/>
  <c r="S41" i="1" s="1"/>
  <c r="X41" i="1"/>
  <c r="AG39" i="1"/>
  <c r="AA33" i="1"/>
  <c r="X24" i="1"/>
  <c r="AG21" i="1"/>
  <c r="W21" i="1" s="1"/>
  <c r="X21" i="1"/>
  <c r="AA20" i="1"/>
  <c r="T20" i="1"/>
  <c r="X17" i="1"/>
  <c r="AA16" i="1"/>
  <c r="W16" i="1" s="1"/>
  <c r="X58" i="1"/>
  <c r="AA218" i="1"/>
  <c r="W218" i="1" s="1"/>
  <c r="AA196" i="1"/>
  <c r="AG110" i="1"/>
  <c r="AI110" i="1" s="1"/>
  <c r="AA203" i="1"/>
  <c r="AA183" i="1"/>
  <c r="W183" i="1" s="1"/>
  <c r="AG173" i="1"/>
  <c r="AI173" i="1" s="1"/>
  <c r="AG90" i="1"/>
  <c r="W66" i="1"/>
  <c r="AA52" i="1"/>
  <c r="AA51" i="1"/>
  <c r="AG48" i="1"/>
  <c r="X48" i="1"/>
  <c r="X46" i="1"/>
  <c r="AA45" i="1"/>
  <c r="AA41" i="1"/>
  <c r="AG40" i="1"/>
  <c r="AI40" i="1" s="1"/>
  <c r="X40" i="1"/>
  <c r="AA39" i="1"/>
  <c r="AA38" i="1"/>
  <c r="AA37" i="1"/>
  <c r="AG33" i="1"/>
  <c r="AG23" i="1"/>
  <c r="AG20" i="1"/>
  <c r="AA19" i="1"/>
  <c r="AA18" i="1"/>
  <c r="X223" i="1"/>
  <c r="AA217" i="1"/>
  <c r="AA215" i="1"/>
  <c r="W215" i="1" s="1"/>
  <c r="T215" i="1"/>
  <c r="U215" i="1" s="1"/>
  <c r="S215" i="1" s="1"/>
  <c r="AG148" i="1"/>
  <c r="T148" i="1"/>
  <c r="X148" i="1"/>
  <c r="U218" i="1"/>
  <c r="W198" i="1"/>
  <c r="AG197" i="1"/>
  <c r="T197" i="1"/>
  <c r="U197" i="1" s="1"/>
  <c r="S197" i="1" s="1"/>
  <c r="X197" i="1"/>
  <c r="T147" i="1"/>
  <c r="AG147" i="1"/>
  <c r="W147" i="1" s="1"/>
  <c r="T145" i="1"/>
  <c r="AG145" i="1"/>
  <c r="W145" i="1" s="1"/>
  <c r="AA225" i="1"/>
  <c r="AA223" i="1"/>
  <c r="T223" i="1"/>
  <c r="U223" i="1" s="1"/>
  <c r="S223" i="1" s="1"/>
  <c r="X215" i="1"/>
  <c r="AG214" i="1"/>
  <c r="W214" i="1" s="1"/>
  <c r="AG212" i="1"/>
  <c r="AA210" i="1"/>
  <c r="AG208" i="1"/>
  <c r="AG207" i="1"/>
  <c r="X207" i="1"/>
  <c r="T207" i="1"/>
  <c r="U207" i="1" s="1"/>
  <c r="S207" i="1" s="1"/>
  <c r="T196" i="1"/>
  <c r="AG196" i="1"/>
  <c r="AI196" i="1" s="1"/>
  <c r="T194" i="1"/>
  <c r="AG194" i="1"/>
  <c r="AI194" i="1" s="1"/>
  <c r="AA226" i="1"/>
  <c r="W226" i="1" s="1"/>
  <c r="AA221" i="1"/>
  <c r="AA219" i="1"/>
  <c r="W219" i="1" s="1"/>
  <c r="T219" i="1"/>
  <c r="U219" i="1" s="1"/>
  <c r="S219" i="1" s="1"/>
  <c r="X211" i="1"/>
  <c r="AG210" i="1"/>
  <c r="AG163" i="1"/>
  <c r="X163" i="1"/>
  <c r="T163" i="1"/>
  <c r="AA207" i="1"/>
  <c r="AA192" i="1"/>
  <c r="AA156" i="1"/>
  <c r="W156" i="1" s="1"/>
  <c r="T156" i="1"/>
  <c r="U156" i="1" s="1"/>
  <c r="S156" i="1" s="1"/>
  <c r="AA143" i="1"/>
  <c r="AA140" i="1"/>
  <c r="W140" i="1" s="1"/>
  <c r="T140" i="1"/>
  <c r="U140" i="1" s="1"/>
  <c r="S140" i="1" s="1"/>
  <c r="X132" i="1"/>
  <c r="AG131" i="1"/>
  <c r="X131" i="1"/>
  <c r="T129" i="1"/>
  <c r="U126" i="1"/>
  <c r="AA126" i="1"/>
  <c r="W126" i="1" s="1"/>
  <c r="AG124" i="1"/>
  <c r="U124" i="1" s="1"/>
  <c r="S124" i="1" s="1"/>
  <c r="AA121" i="1"/>
  <c r="X115" i="1"/>
  <c r="AG114" i="1"/>
  <c r="AI114" i="1" s="1"/>
  <c r="AA110" i="1"/>
  <c r="W110" i="1" s="1"/>
  <c r="AG108" i="1"/>
  <c r="U108" i="1" s="1"/>
  <c r="S108" i="1" s="1"/>
  <c r="AA107" i="1"/>
  <c r="T107" i="1"/>
  <c r="U106" i="1"/>
  <c r="S106" i="1" s="1"/>
  <c r="AG105" i="1"/>
  <c r="AI105" i="1" s="1"/>
  <c r="T104" i="1"/>
  <c r="W103" i="1"/>
  <c r="AA101" i="1"/>
  <c r="AA100" i="1"/>
  <c r="AA188" i="1"/>
  <c r="W188" i="1" s="1"/>
  <c r="AA96" i="1"/>
  <c r="X182" i="1"/>
  <c r="AG181" i="1"/>
  <c r="W181" i="1" s="1"/>
  <c r="AG179" i="1"/>
  <c r="U179" i="1" s="1"/>
  <c r="S179" i="1" s="1"/>
  <c r="AA95" i="1"/>
  <c r="W95" i="1" s="1"/>
  <c r="AA177" i="1"/>
  <c r="AA175" i="1"/>
  <c r="W175" i="1" s="1"/>
  <c r="T175" i="1"/>
  <c r="AG169" i="1"/>
  <c r="X168" i="1"/>
  <c r="AG94" i="1"/>
  <c r="W94" i="1" s="1"/>
  <c r="AG164" i="1"/>
  <c r="U164" i="1" s="1"/>
  <c r="S164" i="1" s="1"/>
  <c r="AA201" i="1"/>
  <c r="W201" i="1" s="1"/>
  <c r="T201" i="1"/>
  <c r="X193" i="1"/>
  <c r="AG192" i="1"/>
  <c r="AI192" i="1" s="1"/>
  <c r="AG157" i="1"/>
  <c r="W155" i="1"/>
  <c r="AA152" i="1"/>
  <c r="W152" i="1" s="1"/>
  <c r="T152" i="1"/>
  <c r="U152" i="1" s="1"/>
  <c r="S152" i="1" s="1"/>
  <c r="X144" i="1"/>
  <c r="AG143" i="1"/>
  <c r="U143" i="1" s="1"/>
  <c r="S143" i="1" s="1"/>
  <c r="AG141" i="1"/>
  <c r="W139" i="1"/>
  <c r="AA136" i="1"/>
  <c r="W136" i="1" s="1"/>
  <c r="T136" i="1"/>
  <c r="U120" i="1"/>
  <c r="S120" i="1" s="1"/>
  <c r="AI106" i="1"/>
  <c r="X189" i="1"/>
  <c r="AG204" i="1"/>
  <c r="AI204" i="1" s="1"/>
  <c r="W200" i="1"/>
  <c r="AA199" i="1"/>
  <c r="AA197" i="1"/>
  <c r="W197" i="1" s="1"/>
  <c r="X156" i="1"/>
  <c r="AG153" i="1"/>
  <c r="W151" i="1"/>
  <c r="AA150" i="1"/>
  <c r="AA148" i="1"/>
  <c r="X140" i="1"/>
  <c r="AG137" i="1"/>
  <c r="U137" i="1" s="1"/>
  <c r="S137" i="1" s="1"/>
  <c r="AA135" i="1"/>
  <c r="AA134" i="1"/>
  <c r="AA132" i="1"/>
  <c r="W132" i="1" s="1"/>
  <c r="T132" i="1"/>
  <c r="U132" i="1" s="1"/>
  <c r="S132" i="1" s="1"/>
  <c r="AA131" i="1"/>
  <c r="X127" i="1"/>
  <c r="X123" i="1"/>
  <c r="AG122" i="1"/>
  <c r="AI122" i="1" s="1"/>
  <c r="AA118" i="1"/>
  <c r="W118" i="1" s="1"/>
  <c r="AA115" i="1"/>
  <c r="W115" i="1" s="1"/>
  <c r="T115" i="1"/>
  <c r="U115" i="1" s="1"/>
  <c r="S115" i="1" s="1"/>
  <c r="AA113" i="1"/>
  <c r="X107" i="1"/>
  <c r="X104" i="1"/>
  <c r="X102" i="1"/>
  <c r="AA97" i="1"/>
  <c r="W97" i="1" s="1"/>
  <c r="AA191" i="1"/>
  <c r="AA185" i="1"/>
  <c r="W185" i="1" s="1"/>
  <c r="AA184" i="1"/>
  <c r="AA182" i="1"/>
  <c r="W182" i="1" s="1"/>
  <c r="T182" i="1"/>
  <c r="AI118" i="1"/>
  <c r="AG172" i="1"/>
  <c r="T172" i="1"/>
  <c r="AA169" i="1"/>
  <c r="W169" i="1" s="1"/>
  <c r="AA168" i="1"/>
  <c r="W168" i="1" s="1"/>
  <c r="T168" i="1"/>
  <c r="U168" i="1" s="1"/>
  <c r="S168" i="1" s="1"/>
  <c r="AA167" i="1"/>
  <c r="AA164" i="1"/>
  <c r="T158" i="1"/>
  <c r="AG158" i="1"/>
  <c r="AA163" i="1"/>
  <c r="W163" i="1" s="1"/>
  <c r="AG160" i="1"/>
  <c r="AA158" i="1"/>
  <c r="AA93" i="1"/>
  <c r="T92" i="1"/>
  <c r="X91" i="1"/>
  <c r="AA86" i="1"/>
  <c r="AA85" i="1"/>
  <c r="W85" i="1" s="1"/>
  <c r="AA84" i="1"/>
  <c r="W84" i="1" s="1"/>
  <c r="AA83" i="1"/>
  <c r="W83" i="1" s="1"/>
  <c r="T83" i="1"/>
  <c r="U83" i="1" s="1"/>
  <c r="S83" i="1" s="1"/>
  <c r="AA77" i="1"/>
  <c r="T77" i="1"/>
  <c r="AG74" i="1"/>
  <c r="AG73" i="1"/>
  <c r="U73" i="1" s="1"/>
  <c r="S73" i="1" s="1"/>
  <c r="X73" i="1"/>
  <c r="AA69" i="1"/>
  <c r="T69" i="1"/>
  <c r="AA67" i="1"/>
  <c r="T66" i="1"/>
  <c r="AA65" i="1"/>
  <c r="AG64" i="1"/>
  <c r="U64" i="1" s="1"/>
  <c r="S64" i="1" s="1"/>
  <c r="AA57" i="1"/>
  <c r="W57" i="1" s="1"/>
  <c r="AG56" i="1"/>
  <c r="U56" i="1" s="1"/>
  <c r="T54" i="1"/>
  <c r="U54" i="1" s="1"/>
  <c r="S54" i="1" s="1"/>
  <c r="T53" i="1"/>
  <c r="AG49" i="1"/>
  <c r="AI49" i="1" s="1"/>
  <c r="X49" i="1"/>
  <c r="AA47" i="1"/>
  <c r="W47" i="1" s="1"/>
  <c r="AA36" i="1"/>
  <c r="T36" i="1"/>
  <c r="AA34" i="1"/>
  <c r="T33" i="1"/>
  <c r="U33" i="1" s="1"/>
  <c r="S33" i="1" s="1"/>
  <c r="AA32" i="1"/>
  <c r="T32" i="1"/>
  <c r="U29" i="1"/>
  <c r="S29" i="1" s="1"/>
  <c r="AA24" i="1"/>
  <c r="T24" i="1"/>
  <c r="U24" i="1" s="1"/>
  <c r="S24" i="1" s="1"/>
  <c r="U23" i="1"/>
  <c r="U21" i="1"/>
  <c r="S21" i="1" s="1"/>
  <c r="T78" i="1"/>
  <c r="T70" i="1"/>
  <c r="T50" i="1"/>
  <c r="T37" i="1"/>
  <c r="T25" i="1"/>
  <c r="AA174" i="1"/>
  <c r="AA172" i="1"/>
  <c r="AA91" i="1"/>
  <c r="W91" i="1" s="1"/>
  <c r="T91" i="1"/>
  <c r="AG88" i="1"/>
  <c r="AI88" i="1" s="1"/>
  <c r="AG86" i="1"/>
  <c r="U86" i="1" s="1"/>
  <c r="X83" i="1"/>
  <c r="AA80" i="1"/>
  <c r="W80" i="1" s="1"/>
  <c r="AG78" i="1"/>
  <c r="W78" i="1" s="1"/>
  <c r="AG77" i="1"/>
  <c r="AA73" i="1"/>
  <c r="AG70" i="1"/>
  <c r="W70" i="1" s="1"/>
  <c r="AG69" i="1"/>
  <c r="T62" i="1"/>
  <c r="U62" i="1" s="1"/>
  <c r="S62" i="1" s="1"/>
  <c r="AA56" i="1"/>
  <c r="AA55" i="1"/>
  <c r="W55" i="1" s="1"/>
  <c r="X54" i="1"/>
  <c r="AG53" i="1"/>
  <c r="W53" i="1" s="1"/>
  <c r="U48" i="1"/>
  <c r="AI45" i="1"/>
  <c r="AA43" i="1"/>
  <c r="AA40" i="1"/>
  <c r="U39" i="1"/>
  <c r="AG37" i="1"/>
  <c r="AG36" i="1"/>
  <c r="AG32" i="1"/>
  <c r="AI32" i="1" s="1"/>
  <c r="AI29" i="1"/>
  <c r="AA28" i="1"/>
  <c r="W28" i="1" s="1"/>
  <c r="AG25" i="1"/>
  <c r="AG24" i="1"/>
  <c r="AI24" i="1" s="1"/>
  <c r="AI21" i="1"/>
  <c r="W20" i="1"/>
  <c r="AG15" i="1"/>
  <c r="U15" i="1" s="1"/>
  <c r="X87" i="1"/>
  <c r="T79" i="1"/>
  <c r="W68" i="1"/>
  <c r="W61" i="1"/>
  <c r="T58" i="1"/>
  <c r="W52" i="1"/>
  <c r="X50" i="1"/>
  <c r="AA42" i="1"/>
  <c r="AA35" i="1"/>
  <c r="AI33" i="1"/>
  <c r="AA30" i="1"/>
  <c r="U27" i="1"/>
  <c r="AA23" i="1"/>
  <c r="AA22" i="1"/>
  <c r="AG19" i="1"/>
  <c r="U19" i="1" s="1"/>
  <c r="S19" i="1" s="1"/>
  <c r="U16" i="1"/>
  <c r="X16" i="1"/>
  <c r="AI219" i="1"/>
  <c r="AI215" i="1"/>
  <c r="W211" i="1"/>
  <c r="U148" i="1"/>
  <c r="S148" i="1" s="1"/>
  <c r="W144" i="1"/>
  <c r="AI168" i="1"/>
  <c r="W223" i="1"/>
  <c r="U211" i="1"/>
  <c r="S211" i="1" s="1"/>
  <c r="AI211" i="1"/>
  <c r="W207" i="1"/>
  <c r="U144" i="1"/>
  <c r="S144" i="1" s="1"/>
  <c r="AI179" i="1"/>
  <c r="AI207" i="1"/>
  <c r="AI175" i="1"/>
  <c r="AI223" i="1"/>
  <c r="U204" i="1"/>
  <c r="S204" i="1" s="1"/>
  <c r="U201" i="1"/>
  <c r="S201" i="1" s="1"/>
  <c r="AI203" i="1"/>
  <c r="AI187" i="1"/>
  <c r="U136" i="1"/>
  <c r="S136" i="1" s="1"/>
  <c r="AI172" i="1"/>
  <c r="U214" i="1"/>
  <c r="S214" i="1" s="1"/>
  <c r="U210" i="1"/>
  <c r="S210" i="1" s="1"/>
  <c r="U196" i="1"/>
  <c r="S196" i="1" s="1"/>
  <c r="U151" i="1"/>
  <c r="S151" i="1" s="1"/>
  <c r="U147" i="1"/>
  <c r="S147" i="1" s="1"/>
  <c r="U139" i="1"/>
  <c r="S139" i="1" s="1"/>
  <c r="AI152" i="1"/>
  <c r="X226" i="1"/>
  <c r="AG225" i="1"/>
  <c r="W225" i="1" s="1"/>
  <c r="X222" i="1"/>
  <c r="AG221" i="1"/>
  <c r="X218" i="1"/>
  <c r="AG217" i="1"/>
  <c r="W217" i="1" s="1"/>
  <c r="X214" i="1"/>
  <c r="AG213" i="1"/>
  <c r="X210" i="1"/>
  <c r="AG209" i="1"/>
  <c r="W209" i="1" s="1"/>
  <c r="X206" i="1"/>
  <c r="AG205" i="1"/>
  <c r="W205" i="1" s="1"/>
  <c r="X200" i="1"/>
  <c r="AG199" i="1"/>
  <c r="AI199" i="1" s="1"/>
  <c r="X196" i="1"/>
  <c r="AG195" i="1"/>
  <c r="X192" i="1"/>
  <c r="X155" i="1"/>
  <c r="AG154" i="1"/>
  <c r="X151" i="1"/>
  <c r="AG150" i="1"/>
  <c r="W150" i="1" s="1"/>
  <c r="X147" i="1"/>
  <c r="AG146" i="1"/>
  <c r="X143" i="1"/>
  <c r="AG142" i="1"/>
  <c r="W142" i="1" s="1"/>
  <c r="X139" i="1"/>
  <c r="AG138" i="1"/>
  <c r="W138" i="1" s="1"/>
  <c r="X135" i="1"/>
  <c r="AG134" i="1"/>
  <c r="T130" i="1"/>
  <c r="U130" i="1" s="1"/>
  <c r="S130" i="1" s="1"/>
  <c r="X130" i="1"/>
  <c r="X129" i="1"/>
  <c r="X128" i="1"/>
  <c r="AA127" i="1"/>
  <c r="S126" i="1"/>
  <c r="T125" i="1"/>
  <c r="X125" i="1"/>
  <c r="AG125" i="1"/>
  <c r="AI125" i="1" s="1"/>
  <c r="W123" i="1"/>
  <c r="U114" i="1"/>
  <c r="U111" i="1"/>
  <c r="S111" i="1" s="1"/>
  <c r="AI148" i="1"/>
  <c r="W107" i="1"/>
  <c r="U222" i="1"/>
  <c r="S222" i="1" s="1"/>
  <c r="AI222" i="1"/>
  <c r="AI218" i="1"/>
  <c r="S218" i="1"/>
  <c r="X217" i="1"/>
  <c r="AI214" i="1"/>
  <c r="X213" i="1"/>
  <c r="AI210" i="1"/>
  <c r="X209" i="1"/>
  <c r="AI206" i="1"/>
  <c r="X205" i="1"/>
  <c r="X199" i="1"/>
  <c r="AI198" i="1"/>
  <c r="X195" i="1"/>
  <c r="X154" i="1"/>
  <c r="AI186" i="1"/>
  <c r="X150" i="1"/>
  <c r="AI182" i="1"/>
  <c r="X146" i="1"/>
  <c r="AI178" i="1"/>
  <c r="X142" i="1"/>
  <c r="X138" i="1"/>
  <c r="AI171" i="1"/>
  <c r="X134" i="1"/>
  <c r="W131" i="1"/>
  <c r="U131" i="1"/>
  <c r="S131" i="1" s="1"/>
  <c r="AI164" i="1"/>
  <c r="T127" i="1"/>
  <c r="U123" i="1"/>
  <c r="S123" i="1" s="1"/>
  <c r="AI159" i="1"/>
  <c r="U110" i="1"/>
  <c r="S110" i="1" s="1"/>
  <c r="U107" i="1"/>
  <c r="S107" i="1" s="1"/>
  <c r="AI144" i="1"/>
  <c r="X225" i="1"/>
  <c r="X221" i="1"/>
  <c r="X224" i="1"/>
  <c r="X220" i="1"/>
  <c r="X216" i="1"/>
  <c r="X212" i="1"/>
  <c r="X208" i="1"/>
  <c r="X204" i="1"/>
  <c r="X198" i="1"/>
  <c r="X194" i="1"/>
  <c r="X157" i="1"/>
  <c r="X153" i="1"/>
  <c r="X149" i="1"/>
  <c r="X145" i="1"/>
  <c r="X141" i="1"/>
  <c r="X137" i="1"/>
  <c r="X133" i="1"/>
  <c r="U129" i="1"/>
  <c r="S129" i="1" s="1"/>
  <c r="AG127" i="1"/>
  <c r="AI156" i="1"/>
  <c r="X126" i="1"/>
  <c r="X122" i="1"/>
  <c r="AG121" i="1"/>
  <c r="AI121" i="1" s="1"/>
  <c r="X118" i="1"/>
  <c r="AG117" i="1"/>
  <c r="W117" i="1" s="1"/>
  <c r="X114" i="1"/>
  <c r="AG113" i="1"/>
  <c r="AI113" i="1" s="1"/>
  <c r="X110" i="1"/>
  <c r="AG109" i="1"/>
  <c r="U104" i="1"/>
  <c r="S104" i="1" s="1"/>
  <c r="AG202" i="1"/>
  <c r="AI202" i="1" s="1"/>
  <c r="X202" i="1"/>
  <c r="W102" i="1"/>
  <c r="T102" i="1"/>
  <c r="U102" i="1" s="1"/>
  <c r="S102" i="1" s="1"/>
  <c r="X100" i="1"/>
  <c r="AI132" i="1"/>
  <c r="U182" i="1"/>
  <c r="S182" i="1" s="1"/>
  <c r="W178" i="1"/>
  <c r="AI101" i="1"/>
  <c r="AI97" i="1"/>
  <c r="W93" i="1"/>
  <c r="AI158" i="1"/>
  <c r="X121" i="1"/>
  <c r="AI155" i="1"/>
  <c r="X117" i="1"/>
  <c r="AI151" i="1"/>
  <c r="S114" i="1"/>
  <c r="X113" i="1"/>
  <c r="AI147" i="1"/>
  <c r="X109" i="1"/>
  <c r="AI143" i="1"/>
  <c r="T103" i="1"/>
  <c r="U103" i="1" s="1"/>
  <c r="S103" i="1" s="1"/>
  <c r="X103" i="1"/>
  <c r="AI136" i="1"/>
  <c r="U97" i="1"/>
  <c r="S97" i="1" s="1"/>
  <c r="T191" i="1"/>
  <c r="X191" i="1"/>
  <c r="AG191" i="1"/>
  <c r="AI191" i="1" s="1"/>
  <c r="X97" i="1"/>
  <c r="U188" i="1"/>
  <c r="S188" i="1" s="1"/>
  <c r="T96" i="1"/>
  <c r="X96" i="1"/>
  <c r="AG96" i="1"/>
  <c r="AI96" i="1" s="1"/>
  <c r="X188" i="1"/>
  <c r="AI99" i="1"/>
  <c r="U163" i="1"/>
  <c r="S163" i="1" s="1"/>
  <c r="AI93" i="1"/>
  <c r="W89" i="1"/>
  <c r="AI85" i="1"/>
  <c r="AI83" i="1"/>
  <c r="U82" i="1"/>
  <c r="S82" i="1" s="1"/>
  <c r="X124" i="1"/>
  <c r="X120" i="1"/>
  <c r="X116" i="1"/>
  <c r="X112" i="1"/>
  <c r="X108" i="1"/>
  <c r="T105" i="1"/>
  <c r="X105" i="1"/>
  <c r="X203" i="1"/>
  <c r="AA202" i="1"/>
  <c r="U175" i="1"/>
  <c r="S175" i="1" s="1"/>
  <c r="AI95" i="1"/>
  <c r="U159" i="1"/>
  <c r="S159" i="1" s="1"/>
  <c r="AI89" i="1"/>
  <c r="AI87" i="1"/>
  <c r="U87" i="1"/>
  <c r="S87" i="1" s="1"/>
  <c r="AG100" i="1"/>
  <c r="AI100" i="1" s="1"/>
  <c r="X101" i="1"/>
  <c r="U98" i="1"/>
  <c r="S98" i="1" s="1"/>
  <c r="U189" i="1"/>
  <c r="S189" i="1" s="1"/>
  <c r="AI129" i="1"/>
  <c r="U173" i="1"/>
  <c r="S173" i="1" s="1"/>
  <c r="W165" i="1"/>
  <c r="W161" i="1"/>
  <c r="AI91" i="1"/>
  <c r="U91" i="1"/>
  <c r="S91" i="1" s="1"/>
  <c r="U90" i="1"/>
  <c r="S90" i="1" s="1"/>
  <c r="U185" i="1"/>
  <c r="S185" i="1" s="1"/>
  <c r="U95" i="1"/>
  <c r="S95" i="1" s="1"/>
  <c r="U171" i="1"/>
  <c r="S171" i="1" s="1"/>
  <c r="X165" i="1"/>
  <c r="T165" i="1"/>
  <c r="U165" i="1" s="1"/>
  <c r="S165" i="1" s="1"/>
  <c r="AI98" i="1"/>
  <c r="T161" i="1"/>
  <c r="U161" i="1" s="1"/>
  <c r="S161" i="1" s="1"/>
  <c r="AI94" i="1"/>
  <c r="X93" i="1"/>
  <c r="T93" i="1"/>
  <c r="U93" i="1" s="1"/>
  <c r="S93" i="1" s="1"/>
  <c r="AI90" i="1"/>
  <c r="X89" i="1"/>
  <c r="T89" i="1"/>
  <c r="U89" i="1" s="1"/>
  <c r="S89" i="1" s="1"/>
  <c r="AI86" i="1"/>
  <c r="S86" i="1"/>
  <c r="X85" i="1"/>
  <c r="T85" i="1"/>
  <c r="U85" i="1" s="1"/>
  <c r="S85" i="1" s="1"/>
  <c r="U84" i="1"/>
  <c r="S84" i="1" s="1"/>
  <c r="AI82" i="1"/>
  <c r="X81" i="1"/>
  <c r="AI80" i="1"/>
  <c r="S68" i="1"/>
  <c r="AI68" i="1"/>
  <c r="AG67" i="1"/>
  <c r="T67" i="1"/>
  <c r="X67" i="1"/>
  <c r="AI54" i="1"/>
  <c r="X185" i="1"/>
  <c r="AG184" i="1"/>
  <c r="AI184" i="1" s="1"/>
  <c r="X181" i="1"/>
  <c r="AG180" i="1"/>
  <c r="AI180" i="1" s="1"/>
  <c r="X95" i="1"/>
  <c r="AG177" i="1"/>
  <c r="AG174" i="1"/>
  <c r="X171" i="1"/>
  <c r="AG170" i="1"/>
  <c r="X94" i="1"/>
  <c r="AG167" i="1"/>
  <c r="W167" i="1" s="1"/>
  <c r="X164" i="1"/>
  <c r="X88" i="1"/>
  <c r="X84" i="1"/>
  <c r="T80" i="1"/>
  <c r="U80" i="1" s="1"/>
  <c r="S80" i="1" s="1"/>
  <c r="X80" i="1"/>
  <c r="AA72" i="1"/>
  <c r="W72" i="1" s="1"/>
  <c r="AG63" i="1"/>
  <c r="T63" i="1"/>
  <c r="X63" i="1"/>
  <c r="W59" i="1"/>
  <c r="X184" i="1"/>
  <c r="AI120" i="1"/>
  <c r="X180" i="1"/>
  <c r="X170" i="1"/>
  <c r="AI104" i="1"/>
  <c r="X167" i="1"/>
  <c r="AG75" i="1"/>
  <c r="W75" i="1" s="1"/>
  <c r="T75" i="1"/>
  <c r="X75" i="1"/>
  <c r="AI60" i="1"/>
  <c r="AI59" i="1"/>
  <c r="X99" i="1"/>
  <c r="X190" i="1"/>
  <c r="X187" i="1"/>
  <c r="X183" i="1"/>
  <c r="X179" i="1"/>
  <c r="X173" i="1"/>
  <c r="X169" i="1"/>
  <c r="X166" i="1"/>
  <c r="X162" i="1"/>
  <c r="X90" i="1"/>
  <c r="X86" i="1"/>
  <c r="X82" i="1"/>
  <c r="AG81" i="1"/>
  <c r="W81" i="1" s="1"/>
  <c r="U79" i="1"/>
  <c r="S79" i="1" s="1"/>
  <c r="AI72" i="1"/>
  <c r="AG71" i="1"/>
  <c r="T71" i="1"/>
  <c r="X71" i="1"/>
  <c r="AA64" i="1"/>
  <c r="AI58" i="1"/>
  <c r="U58" i="1"/>
  <c r="S58" i="1" s="1"/>
  <c r="AI55" i="1"/>
  <c r="W54" i="1"/>
  <c r="X59" i="1"/>
  <c r="T59" i="1"/>
  <c r="U59" i="1" s="1"/>
  <c r="S59" i="1" s="1"/>
  <c r="AI56" i="1"/>
  <c r="S56" i="1"/>
  <c r="X55" i="1"/>
  <c r="T55" i="1"/>
  <c r="U55" i="1" s="1"/>
  <c r="S55" i="1" s="1"/>
  <c r="U50" i="1"/>
  <c r="S50" i="1" s="1"/>
  <c r="S48" i="1"/>
  <c r="AI48" i="1"/>
  <c r="AI47" i="1"/>
  <c r="T46" i="1"/>
  <c r="U46" i="1" s="1"/>
  <c r="S46" i="1" s="1"/>
  <c r="T43" i="1"/>
  <c r="U43" i="1" s="1"/>
  <c r="S43" i="1" s="1"/>
  <c r="X43" i="1"/>
  <c r="AI39" i="1"/>
  <c r="T38" i="1"/>
  <c r="X38" i="1"/>
  <c r="AG38" i="1"/>
  <c r="AA31" i="1"/>
  <c r="U28" i="1"/>
  <c r="S28" i="1" s="1"/>
  <c r="S23" i="1"/>
  <c r="AI23" i="1"/>
  <c r="T22" i="1"/>
  <c r="X22" i="1"/>
  <c r="AG22" i="1"/>
  <c r="AA15" i="1"/>
  <c r="U77" i="1"/>
  <c r="S77" i="1" s="1"/>
  <c r="U61" i="1"/>
  <c r="S61" i="1" s="1"/>
  <c r="U57" i="1"/>
  <c r="S57" i="1" s="1"/>
  <c r="U53" i="1"/>
  <c r="S53" i="1" s="1"/>
  <c r="T47" i="1"/>
  <c r="U47" i="1" s="1"/>
  <c r="S47" i="1" s="1"/>
  <c r="X47" i="1"/>
  <c r="X45" i="1"/>
  <c r="AA44" i="1"/>
  <c r="T34" i="1"/>
  <c r="X34" i="1"/>
  <c r="AG34" i="1"/>
  <c r="AA27" i="1"/>
  <c r="W27" i="1" s="1"/>
  <c r="T18" i="1"/>
  <c r="X18" i="1"/>
  <c r="AG18" i="1"/>
  <c r="T51" i="1"/>
  <c r="X51" i="1"/>
  <c r="T44" i="1"/>
  <c r="T30" i="1"/>
  <c r="X30" i="1"/>
  <c r="AG30" i="1"/>
  <c r="S15" i="1"/>
  <c r="T14" i="1"/>
  <c r="AG14" i="1"/>
  <c r="AI77" i="1"/>
  <c r="X76" i="1"/>
  <c r="X72" i="1"/>
  <c r="AI69" i="1"/>
  <c r="X68" i="1"/>
  <c r="AI65" i="1"/>
  <c r="X64" i="1"/>
  <c r="AI61" i="1"/>
  <c r="X60" i="1"/>
  <c r="AI57" i="1"/>
  <c r="X56" i="1"/>
  <c r="X52" i="1"/>
  <c r="AG51" i="1"/>
  <c r="AG44" i="1"/>
  <c r="AI43" i="1"/>
  <c r="W43" i="1"/>
  <c r="T42" i="1"/>
  <c r="X42" i="1"/>
  <c r="AG42" i="1"/>
  <c r="W42" i="1" s="1"/>
  <c r="W38" i="1"/>
  <c r="S27" i="1"/>
  <c r="AI27" i="1"/>
  <c r="T26" i="1"/>
  <c r="X26" i="1"/>
  <c r="AG26" i="1"/>
  <c r="X39" i="1"/>
  <c r="AI36" i="1"/>
  <c r="X35" i="1"/>
  <c r="X31" i="1"/>
  <c r="AI28" i="1"/>
  <c r="X27" i="1"/>
  <c r="X23" i="1"/>
  <c r="AI20" i="1"/>
  <c r="X19" i="1"/>
  <c r="AI16" i="1"/>
  <c r="S16" i="1"/>
  <c r="X15" i="1"/>
  <c r="T12" i="3"/>
  <c r="Y12" i="3"/>
  <c r="Y26" i="3"/>
  <c r="T21" i="3"/>
  <c r="Y25" i="3"/>
  <c r="Y19" i="3"/>
  <c r="AC28" i="3"/>
  <c r="Y35" i="3"/>
  <c r="Y20" i="3"/>
  <c r="Y15" i="3"/>
  <c r="Y37" i="3"/>
  <c r="Y18" i="3"/>
  <c r="T30" i="3"/>
  <c r="Y16" i="3"/>
  <c r="Y31" i="3"/>
  <c r="Y22" i="3"/>
  <c r="Y32" i="3"/>
  <c r="Y28" i="3"/>
  <c r="Y10" i="3"/>
  <c r="Y17" i="3"/>
  <c r="AC25" i="3"/>
  <c r="T31" i="3"/>
  <c r="AC9" i="3"/>
  <c r="T33" i="3"/>
  <c r="AC8" i="3"/>
  <c r="T37" i="3"/>
  <c r="AC39" i="3"/>
  <c r="T20" i="3"/>
  <c r="AC29" i="3"/>
  <c r="T18" i="3"/>
  <c r="AC7" i="3"/>
  <c r="T24" i="3"/>
  <c r="AC27" i="3"/>
  <c r="T16" i="3"/>
  <c r="AC26" i="3"/>
  <c r="T13" i="3"/>
  <c r="M17" i="3"/>
  <c r="N17" i="3"/>
  <c r="M13" i="3"/>
  <c r="N13" i="3"/>
  <c r="M11" i="3"/>
  <c r="N11" i="3"/>
  <c r="M26" i="3"/>
  <c r="N26" i="3"/>
  <c r="M15" i="3"/>
  <c r="N15" i="3"/>
  <c r="M16" i="3"/>
  <c r="N16" i="3"/>
  <c r="M30" i="3"/>
  <c r="N30" i="3"/>
  <c r="M27" i="3"/>
  <c r="N27" i="3"/>
  <c r="M10" i="3"/>
  <c r="N10" i="3"/>
  <c r="M24" i="3"/>
  <c r="N24" i="3"/>
  <c r="M12" i="3"/>
  <c r="N12" i="3"/>
  <c r="M7" i="3"/>
  <c r="N7" i="3"/>
  <c r="M14" i="3"/>
  <c r="N14" i="3"/>
  <c r="M18" i="3"/>
  <c r="N18" i="3"/>
  <c r="M28" i="3"/>
  <c r="N28" i="3"/>
  <c r="M29" i="3"/>
  <c r="N29" i="3"/>
  <c r="M19" i="3"/>
  <c r="N19" i="3"/>
  <c r="M20" i="3"/>
  <c r="N20" i="3"/>
  <c r="M34" i="3"/>
  <c r="N34" i="3"/>
  <c r="M39" i="3"/>
  <c r="N39" i="3"/>
  <c r="M36" i="3"/>
  <c r="N36" i="3"/>
  <c r="M37" i="3"/>
  <c r="N37" i="3"/>
  <c r="M32" i="3"/>
  <c r="N32" i="3"/>
  <c r="M8" i="3"/>
  <c r="N8" i="3"/>
  <c r="M35" i="3"/>
  <c r="N35" i="3"/>
  <c r="M33" i="3"/>
  <c r="N33" i="3"/>
  <c r="M38" i="3"/>
  <c r="N38" i="3"/>
  <c r="M9" i="3"/>
  <c r="N9" i="3"/>
  <c r="M21" i="3"/>
  <c r="N21" i="3"/>
  <c r="M31" i="3"/>
  <c r="N31" i="3"/>
  <c r="M22" i="3"/>
  <c r="N22" i="3"/>
  <c r="M25" i="3"/>
  <c r="N25" i="3"/>
  <c r="N23" i="3"/>
  <c r="M23" i="3"/>
  <c r="S26" i="3"/>
  <c r="R26" i="3"/>
  <c r="S17" i="3"/>
  <c r="R17" i="3"/>
  <c r="S13" i="3"/>
  <c r="R13" i="3"/>
  <c r="S11" i="3"/>
  <c r="R11" i="3"/>
  <c r="S12" i="3"/>
  <c r="R12" i="3"/>
  <c r="S18" i="3"/>
  <c r="R18" i="3"/>
  <c r="S28" i="3"/>
  <c r="R28" i="3"/>
  <c r="S9" i="3"/>
  <c r="R9" i="3"/>
  <c r="S8" i="3"/>
  <c r="R8" i="3"/>
  <c r="S21" i="3"/>
  <c r="R21" i="3"/>
  <c r="S22" i="3"/>
  <c r="R22" i="3"/>
  <c r="S25" i="3"/>
  <c r="R25" i="3"/>
  <c r="S30" i="3"/>
  <c r="R30" i="3"/>
  <c r="S29" i="3"/>
  <c r="R29" i="3"/>
  <c r="S32" i="3"/>
  <c r="R32" i="3"/>
  <c r="S31" i="3"/>
  <c r="R31" i="3"/>
  <c r="S39" i="3"/>
  <c r="R39" i="3"/>
  <c r="S33" i="3"/>
  <c r="R33" i="3"/>
  <c r="U23" i="3"/>
  <c r="T23" i="3" s="1"/>
  <c r="V23" i="3"/>
  <c r="W23" i="3"/>
  <c r="X23" i="3"/>
  <c r="U52" i="1" l="1"/>
  <c r="S52" i="1" s="1"/>
  <c r="S101" i="1"/>
  <c r="U128" i="1"/>
  <c r="S128" i="1" s="1"/>
  <c r="AI66" i="1"/>
  <c r="W92" i="1"/>
  <c r="U224" i="1"/>
  <c r="S224" i="1" s="1"/>
  <c r="W26" i="1"/>
  <c r="AI73" i="1"/>
  <c r="W31" i="1"/>
  <c r="S72" i="1"/>
  <c r="AI108" i="1"/>
  <c r="U181" i="1"/>
  <c r="S181" i="1" s="1"/>
  <c r="AI133" i="1"/>
  <c r="S99" i="1"/>
  <c r="U216" i="1"/>
  <c r="S216" i="1" s="1"/>
  <c r="U69" i="1"/>
  <c r="S69" i="1" s="1"/>
  <c r="W101" i="1"/>
  <c r="W48" i="1"/>
  <c r="AI220" i="1"/>
  <c r="W220" i="1"/>
  <c r="U31" i="1"/>
  <c r="S31" i="1" s="1"/>
  <c r="U94" i="1"/>
  <c r="S94" i="1" s="1"/>
  <c r="U105" i="1"/>
  <c r="S105" i="1" s="1"/>
  <c r="U149" i="1"/>
  <c r="S149" i="1" s="1"/>
  <c r="W49" i="1"/>
  <c r="U92" i="1"/>
  <c r="S92" i="1" s="1"/>
  <c r="W45" i="1"/>
  <c r="U40" i="1"/>
  <c r="S39" i="1" s="1"/>
  <c r="W64" i="1"/>
  <c r="AI76" i="1"/>
  <c r="AI116" i="1"/>
  <c r="AI124" i="1"/>
  <c r="W170" i="1"/>
  <c r="U133" i="1"/>
  <c r="S133" i="1" s="1"/>
  <c r="W56" i="1"/>
  <c r="W158" i="1"/>
  <c r="U172" i="1"/>
  <c r="S172" i="1" s="1"/>
  <c r="W135" i="1"/>
  <c r="W112" i="1"/>
  <c r="AI224" i="1"/>
  <c r="AI35" i="1"/>
  <c r="AI112" i="1"/>
  <c r="AI64" i="1"/>
  <c r="AI128" i="1"/>
  <c r="W35" i="1"/>
  <c r="W65" i="1"/>
  <c r="W164" i="1"/>
  <c r="AI53" i="1"/>
  <c r="W22" i="1"/>
  <c r="U187" i="1"/>
  <c r="S187" i="1" s="1"/>
  <c r="AI137" i="1"/>
  <c r="U122" i="1"/>
  <c r="S122" i="1" s="1"/>
  <c r="AI190" i="1"/>
  <c r="W195" i="1"/>
  <c r="U198" i="1"/>
  <c r="S198" i="1" s="1"/>
  <c r="AI15" i="1"/>
  <c r="AI19" i="1"/>
  <c r="W40" i="1"/>
  <c r="W148" i="1"/>
  <c r="W203" i="1"/>
  <c r="U88" i="1"/>
  <c r="S88" i="1" s="1"/>
  <c r="U200" i="1"/>
  <c r="S200" i="1" s="1"/>
  <c r="AI183" i="1"/>
  <c r="AI41" i="1"/>
  <c r="W60" i="1"/>
  <c r="W14" i="1"/>
  <c r="W30" i="1"/>
  <c r="U49" i="1"/>
  <c r="S49" i="1" s="1"/>
  <c r="W15" i="1"/>
  <c r="AI138" i="1"/>
  <c r="W109" i="1"/>
  <c r="U17" i="1"/>
  <c r="S17" i="1" s="1"/>
  <c r="W105" i="1"/>
  <c r="U118" i="1"/>
  <c r="S118" i="1" s="1"/>
  <c r="W17" i="1"/>
  <c r="W23" i="1"/>
  <c r="U36" i="1"/>
  <c r="S36" i="1" s="1"/>
  <c r="W190" i="1"/>
  <c r="AI142" i="1"/>
  <c r="U192" i="1"/>
  <c r="S192" i="1" s="1"/>
  <c r="U20" i="1"/>
  <c r="S20" i="1" s="1"/>
  <c r="W41" i="1"/>
  <c r="AI109" i="1"/>
  <c r="W202" i="1"/>
  <c r="W196" i="1"/>
  <c r="W176" i="1"/>
  <c r="W172" i="1"/>
  <c r="U158" i="1"/>
  <c r="S158" i="1" s="1"/>
  <c r="W114" i="1"/>
  <c r="U194" i="1"/>
  <c r="S194" i="1" s="1"/>
  <c r="W39" i="1"/>
  <c r="W33" i="1"/>
  <c r="U166" i="1"/>
  <c r="S166" i="1" s="1"/>
  <c r="AI166" i="1"/>
  <c r="W149" i="1"/>
  <c r="AI117" i="1"/>
  <c r="U32" i="1"/>
  <c r="S32" i="1" s="1"/>
  <c r="W166" i="1"/>
  <c r="W122" i="1"/>
  <c r="W216" i="1"/>
  <c r="W90" i="1"/>
  <c r="W173" i="1"/>
  <c r="W73" i="1"/>
  <c r="W99" i="1"/>
  <c r="W184" i="1"/>
  <c r="W134" i="1"/>
  <c r="AI134" i="1"/>
  <c r="AI195" i="1"/>
  <c r="W88" i="1"/>
  <c r="W24" i="1"/>
  <c r="W86" i="1"/>
  <c r="U153" i="1"/>
  <c r="S153" i="1" s="1"/>
  <c r="AI153" i="1"/>
  <c r="W204" i="1"/>
  <c r="W153" i="1"/>
  <c r="W194" i="1"/>
  <c r="W137" i="1"/>
  <c r="U70" i="1"/>
  <c r="S70" i="1" s="1"/>
  <c r="AI70" i="1"/>
  <c r="U78" i="1"/>
  <c r="S78" i="1" s="1"/>
  <c r="AI78" i="1"/>
  <c r="U74" i="1"/>
  <c r="S74" i="1" s="1"/>
  <c r="AI74" i="1"/>
  <c r="U160" i="1"/>
  <c r="S160" i="1" s="1"/>
  <c r="AI160" i="1"/>
  <c r="U141" i="1"/>
  <c r="S141" i="1" s="1"/>
  <c r="AI141" i="1"/>
  <c r="W74" i="1"/>
  <c r="W192" i="1"/>
  <c r="W160" i="1"/>
  <c r="U208" i="1"/>
  <c r="S208" i="1" s="1"/>
  <c r="AI208" i="1"/>
  <c r="W108" i="1"/>
  <c r="AI167" i="1"/>
  <c r="U25" i="1"/>
  <c r="S25" i="1" s="1"/>
  <c r="AI25" i="1"/>
  <c r="W19" i="1"/>
  <c r="W69" i="1"/>
  <c r="U169" i="1"/>
  <c r="S169" i="1" s="1"/>
  <c r="AI169" i="1"/>
  <c r="W143" i="1"/>
  <c r="W141" i="1"/>
  <c r="W210" i="1"/>
  <c r="U145" i="1"/>
  <c r="S145" i="1" s="1"/>
  <c r="AI145" i="1"/>
  <c r="W208" i="1"/>
  <c r="U37" i="1"/>
  <c r="S37" i="1" s="1"/>
  <c r="AI37" i="1"/>
  <c r="W32" i="1"/>
  <c r="W36" i="1"/>
  <c r="W77" i="1"/>
  <c r="W37" i="1"/>
  <c r="U157" i="1"/>
  <c r="S157" i="1" s="1"/>
  <c r="AI157" i="1"/>
  <c r="W25" i="1"/>
  <c r="W179" i="1"/>
  <c r="U212" i="1"/>
  <c r="S212" i="1" s="1"/>
  <c r="AI212" i="1"/>
  <c r="W157" i="1"/>
  <c r="W124" i="1"/>
  <c r="W212" i="1"/>
  <c r="AI26" i="1"/>
  <c r="U26" i="1"/>
  <c r="S26" i="1" s="1"/>
  <c r="AI44" i="1"/>
  <c r="U44" i="1"/>
  <c r="S44" i="1" s="1"/>
  <c r="W44" i="1"/>
  <c r="U75" i="1"/>
  <c r="S75" i="1" s="1"/>
  <c r="AI75" i="1"/>
  <c r="AI107" i="1"/>
  <c r="U170" i="1"/>
  <c r="S170" i="1" s="1"/>
  <c r="AI115" i="1"/>
  <c r="U177" i="1"/>
  <c r="S177" i="1" s="1"/>
  <c r="AI123" i="1"/>
  <c r="U184" i="1"/>
  <c r="S184" i="1" s="1"/>
  <c r="AI135" i="1"/>
  <c r="U100" i="1"/>
  <c r="S100" i="1" s="1"/>
  <c r="W100" i="1"/>
  <c r="AI139" i="1"/>
  <c r="U202" i="1"/>
  <c r="S202" i="1" s="1"/>
  <c r="AI150" i="1"/>
  <c r="U113" i="1"/>
  <c r="S113" i="1" s="1"/>
  <c r="U121" i="1"/>
  <c r="S121" i="1" s="1"/>
  <c r="W113" i="1"/>
  <c r="AI14" i="1"/>
  <c r="U14" i="1"/>
  <c r="S14" i="1" s="1"/>
  <c r="AI18" i="1"/>
  <c r="U18" i="1"/>
  <c r="S18" i="1" s="1"/>
  <c r="AI34" i="1"/>
  <c r="U34" i="1"/>
  <c r="S34" i="1" s="1"/>
  <c r="U71" i="1"/>
  <c r="S71" i="1" s="1"/>
  <c r="AI71" i="1"/>
  <c r="W71" i="1"/>
  <c r="U67" i="1"/>
  <c r="S67" i="1" s="1"/>
  <c r="AI67" i="1"/>
  <c r="AI127" i="1"/>
  <c r="U96" i="1"/>
  <c r="S96" i="1" s="1"/>
  <c r="AI161" i="1"/>
  <c r="U125" i="1"/>
  <c r="S125" i="1" s="1"/>
  <c r="W127" i="1"/>
  <c r="AI174" i="1"/>
  <c r="U138" i="1"/>
  <c r="S138" i="1" s="1"/>
  <c r="AI181" i="1"/>
  <c r="U146" i="1"/>
  <c r="S146" i="1" s="1"/>
  <c r="AI189" i="1"/>
  <c r="U154" i="1"/>
  <c r="S154" i="1" s="1"/>
  <c r="AI197" i="1"/>
  <c r="U195" i="1"/>
  <c r="S195" i="1" s="1"/>
  <c r="AI205" i="1"/>
  <c r="U205" i="1"/>
  <c r="S205" i="1" s="1"/>
  <c r="AI213" i="1"/>
  <c r="U213" i="1"/>
  <c r="S213" i="1" s="1"/>
  <c r="AI221" i="1"/>
  <c r="U221" i="1"/>
  <c r="S221" i="1" s="1"/>
  <c r="W125" i="1"/>
  <c r="W221" i="1"/>
  <c r="W146" i="1"/>
  <c r="U51" i="1"/>
  <c r="S51" i="1" s="1"/>
  <c r="AI51" i="1"/>
  <c r="W18" i="1"/>
  <c r="W34" i="1"/>
  <c r="W67" i="1"/>
  <c r="U63" i="1"/>
  <c r="S63" i="1" s="1"/>
  <c r="AI63" i="1"/>
  <c r="AI103" i="1"/>
  <c r="U167" i="1"/>
  <c r="S167" i="1" s="1"/>
  <c r="AI111" i="1"/>
  <c r="U174" i="1"/>
  <c r="S174" i="1" s="1"/>
  <c r="AI119" i="1"/>
  <c r="U180" i="1"/>
  <c r="S180" i="1" s="1"/>
  <c r="W63" i="1"/>
  <c r="W177" i="1"/>
  <c r="AI131" i="1"/>
  <c r="U191" i="1"/>
  <c r="S191" i="1" s="1"/>
  <c r="W180" i="1"/>
  <c r="W191" i="1"/>
  <c r="AI146" i="1"/>
  <c r="U109" i="1"/>
  <c r="S109" i="1" s="1"/>
  <c r="AI154" i="1"/>
  <c r="U117" i="1"/>
  <c r="S117" i="1" s="1"/>
  <c r="AI163" i="1"/>
  <c r="U127" i="1"/>
  <c r="S127" i="1" s="1"/>
  <c r="W154" i="1"/>
  <c r="U42" i="1"/>
  <c r="S42" i="1" s="1"/>
  <c r="AI42" i="1"/>
  <c r="AI30" i="1"/>
  <c r="U30" i="1"/>
  <c r="S30" i="1" s="1"/>
  <c r="AI22" i="1"/>
  <c r="U22" i="1"/>
  <c r="S22" i="1" s="1"/>
  <c r="AI38" i="1"/>
  <c r="U38" i="1"/>
  <c r="S38" i="1" s="1"/>
  <c r="W51" i="1"/>
  <c r="U81" i="1"/>
  <c r="S81" i="1" s="1"/>
  <c r="AI81" i="1"/>
  <c r="W174" i="1"/>
  <c r="W96" i="1"/>
  <c r="W121" i="1"/>
  <c r="AI170" i="1"/>
  <c r="U134" i="1"/>
  <c r="S134" i="1" s="1"/>
  <c r="AI177" i="1"/>
  <c r="U142" i="1"/>
  <c r="S142" i="1" s="1"/>
  <c r="AI185" i="1"/>
  <c r="U150" i="1"/>
  <c r="S150" i="1" s="1"/>
  <c r="AI193" i="1"/>
  <c r="AI201" i="1"/>
  <c r="U199" i="1"/>
  <c r="S199" i="1" s="1"/>
  <c r="AI209" i="1"/>
  <c r="U209" i="1"/>
  <c r="S209" i="1" s="1"/>
  <c r="AI217" i="1"/>
  <c r="U217" i="1"/>
  <c r="S217" i="1" s="1"/>
  <c r="AI225" i="1"/>
  <c r="U225" i="1"/>
  <c r="S225" i="1" s="1"/>
  <c r="W199" i="1"/>
  <c r="W213" i="1"/>
  <c r="S14" i="3"/>
  <c r="S7" i="3"/>
  <c r="R24" i="3"/>
  <c r="R10" i="3"/>
  <c r="S35" i="3"/>
  <c r="S38" i="3"/>
  <c r="S20" i="3"/>
  <c r="S19" i="3"/>
  <c r="R16" i="3"/>
  <c r="R15" i="3"/>
  <c r="R27" i="3"/>
  <c r="S36" i="3"/>
  <c r="S34" i="3"/>
  <c r="S37" i="3"/>
  <c r="R7" i="3"/>
  <c r="R14" i="3"/>
  <c r="S24" i="3"/>
  <c r="S10" i="3"/>
  <c r="R35" i="3"/>
  <c r="R38" i="3"/>
  <c r="R34" i="3"/>
  <c r="R37" i="3"/>
  <c r="R36" i="3"/>
  <c r="R20" i="3"/>
  <c r="R19" i="3"/>
  <c r="S15" i="3"/>
  <c r="S27" i="3"/>
  <c r="S16" i="3"/>
  <c r="AC23" i="3"/>
  <c r="Y23" i="3"/>
  <c r="S23" i="3" l="1"/>
  <c r="R23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22" i="1" l="1"/>
  <c r="AH23" i="1"/>
  <c r="AH24" i="1"/>
  <c r="AH25" i="1"/>
  <c r="AH26" i="1"/>
  <c r="AH43" i="1"/>
  <c r="AH55" i="1"/>
  <c r="AH56" i="1"/>
  <c r="AH57" i="1"/>
  <c r="AH58" i="1"/>
  <c r="AH59" i="1"/>
  <c r="AH65" i="1"/>
  <c r="AH66" i="1"/>
  <c r="AH76" i="1"/>
  <c r="AH77" i="1"/>
  <c r="AH78" i="1"/>
  <c r="AH79" i="1"/>
  <c r="AH80" i="1"/>
  <c r="AH81" i="1"/>
  <c r="AH96" i="1"/>
  <c r="AH97" i="1"/>
  <c r="AH108" i="1"/>
  <c r="AH109" i="1"/>
  <c r="AH110" i="1"/>
  <c r="AH129" i="1"/>
  <c r="AH130" i="1"/>
  <c r="AH133" i="1"/>
  <c r="AH156" i="1"/>
  <c r="AH159" i="1"/>
  <c r="AH160" i="1"/>
  <c r="AH161" i="1"/>
  <c r="AH170" i="1"/>
  <c r="AH171" i="1"/>
  <c r="AH179" i="1"/>
  <c r="AH180" i="1"/>
  <c r="AH181" i="1"/>
  <c r="AH182" i="1"/>
  <c r="AH186" i="1"/>
  <c r="AH187" i="1"/>
  <c r="AH188" i="1"/>
  <c r="AH195" i="1"/>
  <c r="AH196" i="1"/>
  <c r="AH197" i="1"/>
  <c r="AH198" i="1"/>
  <c r="AH206" i="1"/>
  <c r="AH207" i="1"/>
  <c r="AH208" i="1"/>
  <c r="AH209" i="1"/>
  <c r="AH210" i="1"/>
  <c r="AH219" i="1"/>
  <c r="AH225" i="1"/>
  <c r="AH150" i="1"/>
  <c r="AH154" i="1"/>
  <c r="AH193" i="1"/>
  <c r="AH205" i="1"/>
  <c r="AH218" i="1"/>
  <c r="AH17" i="1"/>
  <c r="AH27" i="1"/>
  <c r="AH29" i="1"/>
  <c r="AH30" i="1"/>
  <c r="AH44" i="1"/>
  <c r="AH45" i="1"/>
  <c r="AH46" i="1"/>
  <c r="AH60" i="1"/>
  <c r="AH61" i="1"/>
  <c r="AH67" i="1"/>
  <c r="AH82" i="1"/>
  <c r="AH83" i="1"/>
  <c r="AH98" i="1"/>
  <c r="AH99" i="1"/>
  <c r="AH100" i="1"/>
  <c r="AH101" i="1"/>
  <c r="AH102" i="1"/>
  <c r="AH111" i="1"/>
  <c r="AH112" i="1"/>
  <c r="AH117" i="1"/>
  <c r="AH118" i="1"/>
  <c r="AH119" i="1"/>
  <c r="AH120" i="1"/>
  <c r="AH121" i="1"/>
  <c r="AH122" i="1"/>
  <c r="AH125" i="1"/>
  <c r="AH131" i="1"/>
  <c r="AH134" i="1"/>
  <c r="AH141" i="1"/>
  <c r="AH142" i="1"/>
  <c r="AH143" i="1"/>
  <c r="AH144" i="1"/>
  <c r="AH145" i="1"/>
  <c r="AH146" i="1"/>
  <c r="AH147" i="1"/>
  <c r="AH162" i="1"/>
  <c r="AH163" i="1"/>
  <c r="AH164" i="1"/>
  <c r="AH172" i="1"/>
  <c r="AH173" i="1"/>
  <c r="AH174" i="1"/>
  <c r="AH183" i="1"/>
  <c r="AH184" i="1"/>
  <c r="AH189" i="1"/>
  <c r="AH199" i="1"/>
  <c r="AH200" i="1"/>
  <c r="AH220" i="1"/>
  <c r="AH221" i="1"/>
  <c r="AH222" i="1"/>
  <c r="AH226" i="1"/>
  <c r="AH192" i="1"/>
  <c r="AH202" i="1"/>
  <c r="AH212" i="1"/>
  <c r="AH214" i="1"/>
  <c r="AH106" i="1"/>
  <c r="AH115" i="1"/>
  <c r="AH127" i="1"/>
  <c r="AH138" i="1"/>
  <c r="AH152" i="1"/>
  <c r="AH168" i="1"/>
  <c r="AH203" i="1"/>
  <c r="AH216" i="1"/>
  <c r="AH31" i="1"/>
  <c r="AH32" i="1"/>
  <c r="AH33" i="1"/>
  <c r="AH34" i="1"/>
  <c r="AH47" i="1"/>
  <c r="AH48" i="1"/>
  <c r="AH49" i="1"/>
  <c r="AH50" i="1"/>
  <c r="AH51" i="1"/>
  <c r="AH52" i="1"/>
  <c r="AH53" i="1"/>
  <c r="AH62" i="1"/>
  <c r="AH68" i="1"/>
  <c r="AH69" i="1"/>
  <c r="AH70" i="1"/>
  <c r="AH71" i="1"/>
  <c r="AH72" i="1"/>
  <c r="AH73" i="1"/>
  <c r="AH84" i="1"/>
  <c r="AH85" i="1"/>
  <c r="AH86" i="1"/>
  <c r="AH87" i="1"/>
  <c r="AH88" i="1"/>
  <c r="AH89" i="1"/>
  <c r="AH90" i="1"/>
  <c r="AH91" i="1"/>
  <c r="AH103" i="1"/>
  <c r="AH104" i="1"/>
  <c r="AH113" i="1"/>
  <c r="AH123" i="1"/>
  <c r="AH126" i="1"/>
  <c r="AH132" i="1"/>
  <c r="AH135" i="1"/>
  <c r="AH136" i="1"/>
  <c r="AH148" i="1"/>
  <c r="AH149" i="1"/>
  <c r="AH157" i="1"/>
  <c r="AH158" i="1"/>
  <c r="AH165" i="1"/>
  <c r="AH166" i="1"/>
  <c r="AH167" i="1"/>
  <c r="AH175" i="1"/>
  <c r="AH176" i="1"/>
  <c r="AH177" i="1"/>
  <c r="AH178" i="1"/>
  <c r="AH185" i="1"/>
  <c r="AH190" i="1"/>
  <c r="AH191" i="1"/>
  <c r="AH201" i="1"/>
  <c r="AH211" i="1"/>
  <c r="AH213" i="1"/>
  <c r="AH223" i="1"/>
  <c r="AH114" i="1"/>
  <c r="AH124" i="1"/>
  <c r="AH137" i="1"/>
  <c r="AH140" i="1"/>
  <c r="AH153" i="1"/>
  <c r="AH169" i="1"/>
  <c r="AH204" i="1"/>
  <c r="AH217" i="1"/>
  <c r="AH14" i="1"/>
  <c r="AH15" i="1"/>
  <c r="AH16" i="1"/>
  <c r="AH18" i="1"/>
  <c r="AH19" i="1"/>
  <c r="AH20" i="1"/>
  <c r="AH21" i="1"/>
  <c r="AH28" i="1"/>
  <c r="AH35" i="1"/>
  <c r="AH36" i="1"/>
  <c r="AH37" i="1"/>
  <c r="AH38" i="1"/>
  <c r="AH39" i="1"/>
  <c r="AH40" i="1"/>
  <c r="AH41" i="1"/>
  <c r="AH42" i="1"/>
  <c r="AH54" i="1"/>
  <c r="AH63" i="1"/>
  <c r="AH64" i="1"/>
  <c r="AH74" i="1"/>
  <c r="AH75" i="1"/>
  <c r="AH92" i="1"/>
  <c r="AH93" i="1"/>
  <c r="AH94" i="1"/>
  <c r="AH95" i="1"/>
  <c r="AH105" i="1"/>
  <c r="AH107" i="1"/>
  <c r="AH116" i="1"/>
  <c r="AH128" i="1"/>
  <c r="AH139" i="1"/>
  <c r="AH151" i="1"/>
  <c r="AH155" i="1"/>
  <c r="AH194" i="1"/>
  <c r="AH215" i="1"/>
  <c r="AH224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<sst xmlns="http://schemas.openxmlformats.org/spreadsheetml/2006/main" count="2172" uniqueCount="773">
  <si>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</si>
  <si>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</si>
  <si>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</si>
  <si>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</si>
  <si>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</si>
  <si>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</si>
  <si>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</si>
  <si>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</si>
  <si>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</si>
  <si>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</si>
  <si>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</si>
  <si>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</si>
  <si>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</si>
  <si>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</si>
  <si>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</si>
  <si>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</si>
  <si>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</si>
  <si>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</si>
  <si>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</si>
  <si>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</si>
  <si>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</si>
  <si>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</si>
  <si>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</si>
  <si>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</si>
  <si>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</si>
  <si>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</si>
  <si>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</si>
  <si>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</si>
  <si>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</si>
  <si>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</si>
  <si>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</si>
  <si>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</si>
  <si>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</si>
  <si>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</si>
  <si>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</si>
  <si>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</si>
  <si>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</si>
  <si>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</si>
  <si>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</si>
  <si>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</si>
  <si>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</si>
  <si>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</si>
  <si>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</si>
  <si>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</si>
  <si>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</si>
  <si>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</si>
  <si>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</si>
  <si>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</si>
  <si>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</si>
  <si>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</si>
  <si>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</si>
  <si>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</si>
  <si>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</si>
  <si>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</si>
  <si>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</si>
  <si>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</si>
  <si>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</si>
  <si>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</si>
  <si>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</si>
  <si>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</si>
  <si>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</si>
  <si>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</si>
  <si>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</si>
  <si>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</si>
  <si>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</si>
  <si>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</si>
  <si>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</si>
  <si>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</si>
  <si>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</si>
  <si>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</si>
  <si>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</si>
  <si>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</si>
  <si>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</si>
  <si>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</si>
  <si>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</si>
  <si>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</si>
  <si>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</si>
  <si>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</si>
  <si>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</si>
  <si>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</si>
  <si>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</si>
  <si>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</si>
  <si>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</si>
  <si>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</si>
  <si>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</si>
  <si>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</si>
  <si>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</si>
  <si>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</si>
  <si>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</si>
  <si>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</si>
  <si>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</si>
  <si>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</si>
  <si>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</si>
  <si>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</si>
  <si>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</si>
  <si>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</si>
  <si>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</si>
  <si>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</si>
  <si>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</si>
  <si>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</si>
  <si>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</si>
  <si>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</si>
  <si>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</si>
  <si>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</si>
  <si>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</si>
  <si>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</si>
  <si>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</si>
  <si>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</si>
  <si>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</si>
  <si>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</si>
  <si>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</si>
  <si>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</si>
  <si>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</si>
  <si>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</si>
  <si>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</si>
  <si>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</si>
  <si>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</si>
  <si>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</si>
  <si>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</si>
  <si>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</si>
  <si>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</si>
  <si>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</si>
  <si>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</si>
  <si>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</si>
  <si>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</si>
  <si>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</si>
  <si>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</si>
  <si>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</si>
  <si>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</si>
  <si>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</si>
  <si>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</si>
  <si>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</si>
  <si>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</si>
  <si>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</si>
  <si>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</si>
  <si>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</si>
  <si>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</si>
  <si>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</si>
  <si>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</si>
  <si>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</si>
  <si>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</si>
  <si>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</si>
  <si>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</si>
  <si>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</si>
  <si>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</si>
  <si>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</si>
  <si>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</si>
  <si>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</si>
  <si>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</si>
  <si>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</si>
  <si>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</si>
  <si>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</si>
  <si>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</si>
  <si>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</si>
  <si>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</si>
  <si>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</si>
  <si>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</si>
  <si>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</si>
  <si>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</si>
  <si>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</si>
  <si>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</si>
  <si>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</si>
  <si>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</si>
  <si>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</si>
  <si>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</si>
  <si>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</si>
  <si>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</si>
  <si>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</si>
  <si>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</si>
  <si>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</si>
  <si>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</si>
  <si>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</si>
  <si>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</si>
  <si>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</si>
  <si>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</si>
  <si>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</si>
  <si>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</si>
  <si>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</si>
  <si>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</si>
  <si>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</si>
  <si>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</si>
  <si>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</si>
  <si>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</si>
  <si>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</si>
  <si>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</si>
  <si>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</si>
  <si>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</si>
  <si>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</si>
  <si>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</si>
  <si>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</si>
  <si>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</si>
  <si>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</si>
  <si>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</si>
  <si>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</si>
  <si>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</si>
  <si>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</si>
  <si>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</si>
  <si>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</si>
  <si>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</si>
  <si>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</si>
  <si>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</si>
  <si>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</si>
  <si>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</si>
  <si>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</si>
  <si>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</si>
  <si>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</si>
  <si>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</si>
  <si>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</si>
  <si>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</si>
  <si>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</si>
  <si>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</si>
  <si>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</si>
  <si>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</si>
  <si>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</si>
  <si>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</si>
  <si>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</si>
  <si>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</si>
  <si>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</si>
  <si>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</si>
  <si>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</si>
  <si>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</si>
  <si>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</si>
  <si>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</si>
  <si>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</si>
  <si>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</si>
  <si>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</si>
  <si>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s3://rtdc.mdm.uploadarchive.raw</t>
  </si>
  <si>
    <t>204:232980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</si>
  <si>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</si>
  <si>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</si>
  <si>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</si>
  <si>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</si>
  <si>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</si>
  <si>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</si>
  <si>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</si>
  <si>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</si>
  <si>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</si>
  <si>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</si>
  <si>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</si>
  <si>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</si>
  <si>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</si>
  <si>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</si>
  <si>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</si>
  <si>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204:469</t>
  </si>
  <si>
    <t>204:233276</t>
  </si>
  <si>
    <t>204:233299</t>
  </si>
  <si>
    <t>204:232985</t>
  </si>
  <si>
    <t>204:446</t>
  </si>
  <si>
    <t>204:233319</t>
  </si>
  <si>
    <t>rtdc.l.rtdc.4001:itc</t>
  </si>
  <si>
    <t>rtdc.l.rtdc.4002:itc</t>
  </si>
  <si>
    <t>rtdc.l.rtdc.4008:itc</t>
  </si>
  <si>
    <t>rtdc.l.rtdc.4044:itc</t>
  </si>
  <si>
    <t>rtdc.l.rtdc.4007:itc</t>
  </si>
  <si>
    <t>204:233002</t>
  </si>
  <si>
    <t>204:232993</t>
  </si>
  <si>
    <t>204:232974</t>
  </si>
  <si>
    <t>204:460</t>
  </si>
  <si>
    <t>DE.1.0.8.0</t>
  </si>
  <si>
    <t>300:58931</t>
  </si>
  <si>
    <t>MAELZER</t>
  </si>
  <si>
    <t>STRICKLAND</t>
  </si>
  <si>
    <t>MOSES</t>
  </si>
  <si>
    <t>YOUNG</t>
  </si>
  <si>
    <t>204:232976</t>
  </si>
  <si>
    <t>204:232990</t>
  </si>
  <si>
    <t>204:233286</t>
  </si>
  <si>
    <t>204:232961</t>
  </si>
  <si>
    <t>204:232989</t>
  </si>
  <si>
    <t>204:233000</t>
  </si>
  <si>
    <t>300:58952</t>
  </si>
  <si>
    <t>rtdc.l.rtdc.4046:itc</t>
  </si>
  <si>
    <t>rtdc.l.rtdc.4054:itc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</si>
  <si>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</si>
  <si>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</si>
  <si>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</si>
  <si>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</si>
  <si>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</si>
  <si>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</si>
  <si>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</si>
  <si>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</si>
  <si>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</si>
  <si>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204:475</t>
  </si>
  <si>
    <t>204:444</t>
  </si>
  <si>
    <t>204:440</t>
  </si>
  <si>
    <t>204:437</t>
  </si>
  <si>
    <t>204:233311</t>
  </si>
  <si>
    <t>204:139</t>
  </si>
  <si>
    <t>204:233280</t>
  </si>
  <si>
    <t>204:143</t>
  </si>
  <si>
    <t>204:435</t>
  </si>
  <si>
    <t>300:23308</t>
  </si>
  <si>
    <t>clear-night</t>
  </si>
  <si>
    <t>204:172</t>
  </si>
  <si>
    <t>204:232991</t>
  </si>
  <si>
    <t>204:232994</t>
  </si>
  <si>
    <t>204:232981</t>
  </si>
  <si>
    <t>204:233284</t>
  </si>
  <si>
    <t>204:167</t>
  </si>
  <si>
    <t>204:233295</t>
  </si>
  <si>
    <t>204:233322</t>
  </si>
  <si>
    <t>204:233017</t>
  </si>
  <si>
    <t>204:232984</t>
  </si>
  <si>
    <t>204:233288</t>
  </si>
  <si>
    <t>204:232982</t>
  </si>
  <si>
    <t>204:233316</t>
  </si>
  <si>
    <t>204:233028</t>
  </si>
  <si>
    <t>232-07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</si>
  <si>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</si>
  <si>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</si>
  <si>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</si>
  <si>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</si>
  <si>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</si>
  <si>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</si>
  <si>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</si>
  <si>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</si>
  <si>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</si>
  <si>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</si>
  <si>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244-07</t>
  </si>
  <si>
    <t>245-07</t>
  </si>
  <si>
    <t>246-07</t>
  </si>
  <si>
    <t>309-07</t>
  </si>
  <si>
    <t>311-07</t>
  </si>
  <si>
    <t>313-07</t>
  </si>
  <si>
    <t>315-07</t>
  </si>
  <si>
    <t>56-08</t>
  </si>
  <si>
    <t>60-07</t>
  </si>
  <si>
    <t>62-07</t>
  </si>
  <si>
    <t>300:58609</t>
  </si>
  <si>
    <t>300:58920</t>
  </si>
  <si>
    <t>300:58611</t>
  </si>
  <si>
    <t>300:58630</t>
  </si>
  <si>
    <t>300:58619</t>
  </si>
  <si>
    <t>908-07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</si>
  <si>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</si>
  <si>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</si>
  <si>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</si>
  <si>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</si>
  <si>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</si>
  <si>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</si>
  <si>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</si>
  <si>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</si>
  <si>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rtdc.l.rtdc.4014:itc</t>
  </si>
  <si>
    <t>SWANSON</t>
  </si>
  <si>
    <t>CHANDLER</t>
  </si>
  <si>
    <t>Powered by darksky [darksky.net]</t>
  </si>
  <si>
    <t>rtdc.l.rtdc.4028:itc</t>
  </si>
  <si>
    <t>rtdc.l.rtdc.4043:itc</t>
  </si>
  <si>
    <t>ACKERMAN</t>
  </si>
  <si>
    <t>KILLION</t>
  </si>
  <si>
    <t>rtdc.l.rtdc.4027:itc</t>
  </si>
  <si>
    <t>YORK</t>
  </si>
  <si>
    <t>BARTLETT</t>
  </si>
  <si>
    <t>BROWN</t>
  </si>
  <si>
    <t>rtdc.l.rtdc.4040:itc</t>
  </si>
  <si>
    <t>HAUSER</t>
  </si>
  <si>
    <t>ROBINSON</t>
  </si>
  <si>
    <t>245-08</t>
  </si>
  <si>
    <t>242-08</t>
  </si>
  <si>
    <t>309-08</t>
  </si>
  <si>
    <t>244-08</t>
  </si>
  <si>
    <t>311-08</t>
  </si>
  <si>
    <t>246-08</t>
  </si>
  <si>
    <t>313-08</t>
  </si>
  <si>
    <t>315-08</t>
  </si>
  <si>
    <t>Track device (7)</t>
  </si>
  <si>
    <t>204:233301</t>
  </si>
  <si>
    <t>204:233306</t>
  </si>
  <si>
    <t>204:232963</t>
  </si>
  <si>
    <t>204:232987</t>
  </si>
  <si>
    <t>204:233004</t>
  </si>
  <si>
    <t>204:438</t>
  </si>
  <si>
    <t>204:232955</t>
  </si>
  <si>
    <t>204:233047</t>
  </si>
  <si>
    <t>204:232965</t>
  </si>
  <si>
    <t>204:1025</t>
  </si>
  <si>
    <t>300:58621</t>
  </si>
  <si>
    <t>204:729</t>
  </si>
  <si>
    <t>300:58943</t>
  </si>
  <si>
    <t>300:58636</t>
  </si>
  <si>
    <t>300:58638</t>
  </si>
  <si>
    <t>204:1014</t>
  </si>
  <si>
    <t>300:58645</t>
  </si>
  <si>
    <t>204:442</t>
  </si>
  <si>
    <t>204:471</t>
  </si>
  <si>
    <t>204:233315</t>
  </si>
  <si>
    <t>204:233343</t>
  </si>
  <si>
    <t>204:533</t>
  </si>
  <si>
    <t>204:232992</t>
  </si>
  <si>
    <t>204:232971</t>
  </si>
  <si>
    <t>204:163</t>
  </si>
  <si>
    <t>204:233289</t>
  </si>
  <si>
    <t>204:232952</t>
  </si>
  <si>
    <t>204:484</t>
  </si>
  <si>
    <t>300:22253</t>
  </si>
  <si>
    <t>204:1190</t>
  </si>
  <si>
    <t>partly-cloudy-day</t>
  </si>
  <si>
    <t>Partly Cloudy</t>
  </si>
  <si>
    <t>Mostly Cloudy</t>
  </si>
  <si>
    <t>partly-cloudy-night</t>
  </si>
  <si>
    <t>302-09</t>
  </si>
  <si>
    <t>101-09</t>
  </si>
  <si>
    <t>rtdc.l.rtdc.4039:itc</t>
  </si>
  <si>
    <t>304-09</t>
  </si>
  <si>
    <t>103-09</t>
  </si>
  <si>
    <t>rtdc.l.rtdc.4030:itc</t>
  </si>
  <si>
    <t>306-09</t>
  </si>
  <si>
    <t>102-09</t>
  </si>
  <si>
    <t>105-09</t>
  </si>
  <si>
    <t>308-09</t>
  </si>
  <si>
    <t>107-09</t>
  </si>
  <si>
    <t>104-09</t>
  </si>
  <si>
    <t>109-09</t>
  </si>
  <si>
    <t>111-09</t>
  </si>
  <si>
    <t>113-09</t>
  </si>
  <si>
    <t>106-09</t>
  </si>
  <si>
    <t>108-09</t>
  </si>
  <si>
    <t>115-09</t>
  </si>
  <si>
    <t>1901-09</t>
  </si>
  <si>
    <t>117-09</t>
  </si>
  <si>
    <t>110-09</t>
  </si>
  <si>
    <t>1800-09</t>
  </si>
  <si>
    <t>112-09</t>
  </si>
  <si>
    <t>119-09</t>
  </si>
  <si>
    <t>114-09</t>
  </si>
  <si>
    <t>116-09</t>
  </si>
  <si>
    <t>121-09</t>
  </si>
  <si>
    <t>1801-09</t>
  </si>
  <si>
    <t>123-09</t>
  </si>
  <si>
    <t>118-09</t>
  </si>
  <si>
    <t>1802-09</t>
  </si>
  <si>
    <t>125-09</t>
  </si>
  <si>
    <t>120-09</t>
  </si>
  <si>
    <t>127-09</t>
  </si>
  <si>
    <t>1803-09</t>
  </si>
  <si>
    <t>129-09</t>
  </si>
  <si>
    <t>122-09</t>
  </si>
  <si>
    <t>131-09</t>
  </si>
  <si>
    <t>124-09</t>
  </si>
  <si>
    <t>1804-09</t>
  </si>
  <si>
    <t>126-09</t>
  </si>
  <si>
    <t>133-09</t>
  </si>
  <si>
    <t>128-09</t>
  </si>
  <si>
    <t>135-09</t>
  </si>
  <si>
    <t>130-09</t>
  </si>
  <si>
    <t>1805-09</t>
  </si>
  <si>
    <t>137-09</t>
  </si>
  <si>
    <t>132-09</t>
  </si>
  <si>
    <t>139-09</t>
  </si>
  <si>
    <t>134-09</t>
  </si>
  <si>
    <t>1806-09</t>
  </si>
  <si>
    <t>141-09</t>
  </si>
  <si>
    <t>136-09</t>
  </si>
  <si>
    <t>143-09</t>
  </si>
  <si>
    <t>1807-09</t>
  </si>
  <si>
    <t>145-09</t>
  </si>
  <si>
    <t>138-09</t>
  </si>
  <si>
    <t>140-09</t>
  </si>
  <si>
    <t>147-09</t>
  </si>
  <si>
    <t>142-09</t>
  </si>
  <si>
    <t>144-09</t>
  </si>
  <si>
    <t>1808-09</t>
  </si>
  <si>
    <t>149-09</t>
  </si>
  <si>
    <t>151-09</t>
  </si>
  <si>
    <t>1809-09</t>
  </si>
  <si>
    <t>146-09</t>
  </si>
  <si>
    <t>153-09</t>
  </si>
  <si>
    <t>148-09</t>
  </si>
  <si>
    <t>155-09</t>
  </si>
  <si>
    <t>150-09</t>
  </si>
  <si>
    <t>157-09</t>
  </si>
  <si>
    <t>1810-09</t>
  </si>
  <si>
    <t>152-09</t>
  </si>
  <si>
    <t>159-09</t>
  </si>
  <si>
    <t>154-09</t>
  </si>
  <si>
    <t>161-09</t>
  </si>
  <si>
    <t>1811-09</t>
  </si>
  <si>
    <t>156-09</t>
  </si>
  <si>
    <t>158-09</t>
  </si>
  <si>
    <t>163-09</t>
  </si>
  <si>
    <t>BRUDER</t>
  </si>
  <si>
    <t>1812-09</t>
  </si>
  <si>
    <t>165-09</t>
  </si>
  <si>
    <t>160-09</t>
  </si>
  <si>
    <t>167-09</t>
  </si>
  <si>
    <t>162-09</t>
  </si>
  <si>
    <t>1813-09</t>
  </si>
  <si>
    <t>169-09</t>
  </si>
  <si>
    <t>164-09</t>
  </si>
  <si>
    <t>171-09</t>
  </si>
  <si>
    <t>166-09</t>
  </si>
  <si>
    <t>1814-09</t>
  </si>
  <si>
    <t>173-09</t>
  </si>
  <si>
    <t>168-09</t>
  </si>
  <si>
    <t>175-09</t>
  </si>
  <si>
    <t>170-09</t>
  </si>
  <si>
    <t>177-09</t>
  </si>
  <si>
    <t>1815-09</t>
  </si>
  <si>
    <t>172-09</t>
  </si>
  <si>
    <t>179-09</t>
  </si>
  <si>
    <t>174-09</t>
  </si>
  <si>
    <t>1816-09</t>
  </si>
  <si>
    <t>176-09</t>
  </si>
  <si>
    <t>181-09</t>
  </si>
  <si>
    <t>183-09</t>
  </si>
  <si>
    <t>1817-09</t>
  </si>
  <si>
    <t>CRAYTON</t>
  </si>
  <si>
    <t>178-09</t>
  </si>
  <si>
    <t>185-09</t>
  </si>
  <si>
    <t>180-09</t>
  </si>
  <si>
    <t>187-09</t>
  </si>
  <si>
    <t>182-09</t>
  </si>
  <si>
    <t>1818-09</t>
  </si>
  <si>
    <t>189-09</t>
  </si>
  <si>
    <t>184-09</t>
  </si>
  <si>
    <t>191-09</t>
  </si>
  <si>
    <t>1819-09</t>
  </si>
  <si>
    <t>186-09</t>
  </si>
  <si>
    <t>193-09</t>
  </si>
  <si>
    <t>188-09</t>
  </si>
  <si>
    <t>190-09</t>
  </si>
  <si>
    <t>195-09</t>
  </si>
  <si>
    <t>1820-09</t>
  </si>
  <si>
    <t>197-09</t>
  </si>
  <si>
    <t>192-09</t>
  </si>
  <si>
    <t>199-09</t>
  </si>
  <si>
    <t>1821-09</t>
  </si>
  <si>
    <t>194-09</t>
  </si>
  <si>
    <t>201-09</t>
  </si>
  <si>
    <t>196-09</t>
  </si>
  <si>
    <t>203-09</t>
  </si>
  <si>
    <t>198-09</t>
  </si>
  <si>
    <t>205-09</t>
  </si>
  <si>
    <t>1822-09</t>
  </si>
  <si>
    <t>200-09</t>
  </si>
  <si>
    <t>207-09</t>
  </si>
  <si>
    <t>1823-09</t>
  </si>
  <si>
    <t>202-09</t>
  </si>
  <si>
    <t>204-09</t>
  </si>
  <si>
    <t>209-09</t>
  </si>
  <si>
    <t>60-09</t>
  </si>
  <si>
    <t>COOLAHAN</t>
  </si>
  <si>
    <t>211-09</t>
  </si>
  <si>
    <t>rtdc.l.rtdc.4029:itc</t>
  </si>
  <si>
    <t>63-09</t>
  </si>
  <si>
    <t>206-09</t>
  </si>
  <si>
    <t>1824-09</t>
  </si>
  <si>
    <t>213-09</t>
  </si>
  <si>
    <t>64-09</t>
  </si>
  <si>
    <t>BERLING</t>
  </si>
  <si>
    <t>208-09</t>
  </si>
  <si>
    <t>215-09</t>
  </si>
  <si>
    <t>62-09</t>
  </si>
  <si>
    <t>61-09</t>
  </si>
  <si>
    <t>210-09</t>
  </si>
  <si>
    <t>1825-09</t>
  </si>
  <si>
    <t>217-09</t>
  </si>
  <si>
    <t>212-09</t>
  </si>
  <si>
    <t>219-09</t>
  </si>
  <si>
    <t>67-09</t>
  </si>
  <si>
    <t>214-09</t>
  </si>
  <si>
    <t>66-09</t>
  </si>
  <si>
    <t>SMITH</t>
  </si>
  <si>
    <t>1826-09</t>
  </si>
  <si>
    <t>81-09</t>
  </si>
  <si>
    <t>216-09</t>
  </si>
  <si>
    <t>221-09</t>
  </si>
  <si>
    <t>218-09</t>
  </si>
  <si>
    <t>1827-09</t>
  </si>
  <si>
    <t>83-09</t>
  </si>
  <si>
    <t>305-09</t>
  </si>
  <si>
    <t>223-09</t>
  </si>
  <si>
    <t>220-09</t>
  </si>
  <si>
    <t>80-09</t>
  </si>
  <si>
    <t>1828-09</t>
  </si>
  <si>
    <t>85-09</t>
  </si>
  <si>
    <t>PUGH</t>
  </si>
  <si>
    <t>222-09</t>
  </si>
  <si>
    <t>225-09</t>
  </si>
  <si>
    <t>1829-09</t>
  </si>
  <si>
    <t>82-09</t>
  </si>
  <si>
    <t>224-09</t>
  </si>
  <si>
    <t>87-09</t>
  </si>
  <si>
    <t>227-09</t>
  </si>
  <si>
    <t>84-09</t>
  </si>
  <si>
    <t>1830-09</t>
  </si>
  <si>
    <t>226-09</t>
  </si>
  <si>
    <t>229-09</t>
  </si>
  <si>
    <t>1831-09</t>
  </si>
  <si>
    <t>89-09</t>
  </si>
  <si>
    <t>228-09</t>
  </si>
  <si>
    <t>231-09</t>
  </si>
  <si>
    <t>91-09</t>
  </si>
  <si>
    <t>233-09</t>
  </si>
  <si>
    <t>1832-09</t>
  </si>
  <si>
    <t>230-09</t>
  </si>
  <si>
    <t>1833-09</t>
  </si>
  <si>
    <t>232-09</t>
  </si>
  <si>
    <t>235-09</t>
  </si>
  <si>
    <t>1902-09</t>
  </si>
  <si>
    <t>234-09</t>
  </si>
  <si>
    <t>237-09</t>
  </si>
  <si>
    <t>239-09</t>
  </si>
  <si>
    <t>236-09</t>
  </si>
  <si>
    <t>241-09</t>
  </si>
  <si>
    <t>238-09</t>
  </si>
  <si>
    <t>240-09</t>
  </si>
  <si>
    <t>56-09</t>
  </si>
  <si>
    <t>GOLIGHTLY</t>
  </si>
  <si>
    <t>243-09</t>
  </si>
  <si>
    <t>309-09</t>
  </si>
  <si>
    <t>242-09</t>
  </si>
  <si>
    <t>311-09</t>
  </si>
  <si>
    <t>244-09</t>
  </si>
  <si>
    <t>313-09</t>
  </si>
  <si>
    <t>315-09</t>
  </si>
  <si>
    <t>SWITCH ALIGNMENT</t>
  </si>
  <si>
    <t>204:792</t>
  </si>
  <si>
    <t>204:232642</t>
  </si>
  <si>
    <t>204:688</t>
  </si>
  <si>
    <t>204:232725</t>
  </si>
  <si>
    <t>204:715</t>
  </si>
  <si>
    <t>204:233326</t>
  </si>
  <si>
    <t>204:232685</t>
  </si>
  <si>
    <t>204:233329</t>
  </si>
  <si>
    <t>204:232957</t>
  </si>
  <si>
    <t>204:755</t>
  </si>
  <si>
    <t>204:775</t>
  </si>
  <si>
    <t>204:233287</t>
  </si>
  <si>
    <t>204:752</t>
  </si>
  <si>
    <t>204:233272</t>
  </si>
  <si>
    <t>204:232967</t>
  </si>
  <si>
    <t>204:473</t>
  </si>
  <si>
    <t>204:233264</t>
  </si>
  <si>
    <t>204:154446</t>
  </si>
  <si>
    <t>204:127959</t>
  </si>
  <si>
    <t>204:232960</t>
  </si>
  <si>
    <t>204:232959</t>
  </si>
  <si>
    <t>204:125</t>
  </si>
  <si>
    <t>204:233310</t>
  </si>
  <si>
    <t>204:232978</t>
  </si>
  <si>
    <t>204:132</t>
  </si>
  <si>
    <t>204:233161</t>
  </si>
  <si>
    <t>204:232849</t>
  </si>
  <si>
    <t>204:136</t>
  </si>
  <si>
    <t>204:232983</t>
  </si>
  <si>
    <t>204:426</t>
  </si>
  <si>
    <t>204:212</t>
  </si>
  <si>
    <t>204:233347</t>
  </si>
  <si>
    <t>204:233042</t>
  </si>
  <si>
    <t>204:233320</t>
  </si>
  <si>
    <t>204:233332</t>
  </si>
  <si>
    <t>300:58688</t>
  </si>
  <si>
    <t>204:694</t>
  </si>
  <si>
    <t>204:986</t>
  </si>
  <si>
    <t>300:58954</t>
  </si>
  <si>
    <t>204:972</t>
  </si>
  <si>
    <t>300:58973</t>
  </si>
  <si>
    <t>300:58658</t>
  </si>
  <si>
    <t>204:685</t>
  </si>
  <si>
    <t>204:969</t>
  </si>
  <si>
    <t>204:678</t>
  </si>
  <si>
    <t>204:967</t>
  </si>
  <si>
    <t>300:58978</t>
  </si>
  <si>
    <t>300:58655</t>
  </si>
  <si>
    <t>204:687</t>
  </si>
  <si>
    <t>204:960</t>
  </si>
  <si>
    <t>204:515</t>
  </si>
  <si>
    <t>204:233318</t>
  </si>
  <si>
    <t>204:964</t>
  </si>
  <si>
    <t>300:58641</t>
  </si>
  <si>
    <t>204:696</t>
  </si>
  <si>
    <t>204:978</t>
  </si>
  <si>
    <t>300:58997</t>
  </si>
  <si>
    <t>204:692</t>
  </si>
  <si>
    <t>300:57327</t>
  </si>
  <si>
    <t>300:58946</t>
  </si>
  <si>
    <t>204:736</t>
  </si>
  <si>
    <t>300:58937</t>
  </si>
  <si>
    <t>204:185</t>
  </si>
  <si>
    <t>300:58615</t>
  </si>
  <si>
    <t>204:757</t>
  </si>
  <si>
    <t>204:1027</t>
  </si>
  <si>
    <t>204:750</t>
  </si>
  <si>
    <t>204:1039</t>
  </si>
  <si>
    <t>300:58941</t>
  </si>
  <si>
    <t>204:148</t>
  </si>
  <si>
    <t>300:58916</t>
  </si>
  <si>
    <t>300:58594</t>
  </si>
  <si>
    <t>204:761</t>
  </si>
  <si>
    <t>204:1051</t>
  </si>
  <si>
    <t>300:58918</t>
  </si>
  <si>
    <t>300:58604</t>
  </si>
  <si>
    <t>204:764</t>
  </si>
  <si>
    <t>204:1034</t>
  </si>
  <si>
    <t>300:58922</t>
  </si>
  <si>
    <t>204:1041</t>
  </si>
  <si>
    <t>300:29331</t>
  </si>
  <si>
    <t>300:59005</t>
  </si>
  <si>
    <t>300:28791</t>
  </si>
  <si>
    <t>204:187</t>
  </si>
  <si>
    <t>204:233363</t>
  </si>
  <si>
    <t>204:233307</t>
  </si>
  <si>
    <t>204:233366</t>
  </si>
  <si>
    <t>204:233060</t>
  </si>
  <si>
    <t>204:495</t>
  </si>
  <si>
    <t>204:233331</t>
  </si>
  <si>
    <t>204:192</t>
  </si>
  <si>
    <t>204:233053</t>
  </si>
  <si>
    <t>204:232975</t>
  </si>
  <si>
    <t>204:232972</t>
  </si>
  <si>
    <t>204:233008</t>
  </si>
  <si>
    <t>204:233323</t>
  </si>
  <si>
    <t>204:10706</t>
  </si>
  <si>
    <t>204:233303</t>
  </si>
  <si>
    <t>204:90</t>
  </si>
  <si>
    <t>204:243</t>
  </si>
  <si>
    <t>300:23108</t>
  </si>
  <si>
    <t>300:24210</t>
  </si>
  <si>
    <t>300:23216</t>
  </si>
  <si>
    <t>300:23404</t>
  </si>
  <si>
    <t>204:406</t>
  </si>
  <si>
    <t>300:22837</t>
  </si>
  <si>
    <t>204:549</t>
  </si>
  <si>
    <t>300:23109</t>
  </si>
  <si>
    <t>300:23312</t>
  </si>
  <si>
    <t>300:23316</t>
  </si>
  <si>
    <t>204:10269</t>
  </si>
  <si>
    <t>204:128351</t>
  </si>
  <si>
    <t>204:10407</t>
  </si>
  <si>
    <t>204:128346</t>
  </si>
  <si>
    <t>204:488</t>
  </si>
  <si>
    <t>204:128081</t>
  </si>
  <si>
    <t>204:10036</t>
  </si>
  <si>
    <t>204:128084</t>
  </si>
  <si>
    <t>204:10175</t>
  </si>
  <si>
    <t>300:23311</t>
  </si>
  <si>
    <t>204:902</t>
  </si>
  <si>
    <t>204:1214</t>
  </si>
  <si>
    <t>300:25524</t>
  </si>
  <si>
    <t>300:23364</t>
  </si>
  <si>
    <t>204:924</t>
  </si>
  <si>
    <t>300:24620</t>
  </si>
  <si>
    <t>300:24263</t>
  </si>
  <si>
    <t>204:1475</t>
  </si>
  <si>
    <t>300:23301</t>
  </si>
  <si>
    <t>300:23346</t>
  </si>
  <si>
    <t>204:922</t>
  </si>
  <si>
    <t>300:21926</t>
  </si>
  <si>
    <t>204:874</t>
  </si>
  <si>
    <t>300:24191</t>
  </si>
  <si>
    <t>300:23837</t>
  </si>
  <si>
    <t>204:1236</t>
  </si>
  <si>
    <t>300:22514</t>
  </si>
  <si>
    <t>204:99</t>
  </si>
  <si>
    <t>204:427</t>
  </si>
  <si>
    <t>204:189</t>
  </si>
  <si>
    <t>204:535</t>
  </si>
  <si>
    <t>204:91</t>
  </si>
  <si>
    <t>300:23314</t>
  </si>
  <si>
    <t>204:397</t>
  </si>
  <si>
    <t>fog</t>
  </si>
  <si>
    <t>Foggy</t>
  </si>
  <si>
    <t>cloudy</t>
  </si>
  <si>
    <t>Overcast</t>
  </si>
  <si>
    <t>Summary for DUS 2016-10-09: Foggy until afternoon.</t>
  </si>
  <si>
    <t>40th 2N - Premature downgrade</t>
  </si>
  <si>
    <t>Aspect of 40th 2N changed from PROCEED CAB to STOP, seems like this wasn't expected/intended by the operator and dispatcher. Any issues here?</t>
  </si>
  <si>
    <t>Onboard in-route failure</t>
  </si>
  <si>
    <t>2016-10-09 19:53:54 - multiple cpu faults</t>
  </si>
  <si>
    <t>Initialized past Westminster 2S</t>
  </si>
  <si>
    <t>Pena 4S STOP, cleared afterward</t>
  </si>
  <si>
    <t>Early arrival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</si>
</sst>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9" fontId="0" fillId="0" borderId="0" xfId="2" applyNumberFormat="1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topLeftCell="A120" workbookViewId="0">
      <selection activeCell="R138" sqref="R138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42652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42652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34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COUNTIFS($N$13:$N$9388,"&gt;0",$AG$13:$AG$9388,I1)</f>
        <v>142</v>
      </c>
      <c r="K5" s="46"/>
      <c r="L5" s="46"/>
      <c r="M5" s="47">
        <f>AVERAGEIFS($N$13:$N$9388,$AG$13:$AG$9388,I1)</f>
        <v>38.070070422369277</v>
      </c>
      <c r="N5" s="45">
        <f t="array" ref="N5">MIN(IF($AG$13:$AG$9388=I1,IF(ISNUMBER($N$13:$N$9388),IF($N$13:$N$9388&gt;0,$N$13:$N$9388))))</f>
        <v>34.750000003259629</v>
      </c>
      <c r="O5" s="3">
        <f t="array" ref="O5">MAX(IF($AG$13:$AG$9388=I1,IF(ISNUMBER($N$13:$N$9388),IF($N$13:$N$9388&gt;0,$N$13:$N$9388))))</f>
        <v>43.21666665840894</v>
      </c>
      <c r="P5" s="2"/>
      <c r="R5" s="82" t="s">
        <v>17</v>
      </c>
      <c r="S5" s="57">
        <f>COUNTIFS($N$13:$N$9388,"&gt;0",$AG$13:$AG$9388,R1)</f>
        <v>34</v>
      </c>
      <c r="T5" s="46"/>
      <c r="U5" s="155"/>
      <c r="V5" s="47">
        <f>AVERAGEIFS($N$13:$N$9388,$AG$13:$AG$9388,R1)</f>
        <v>15.259803922107334</v>
      </c>
      <c r="W5" s="45">
        <f t="array" ref="W5">MIN(IF($AG$13:$AG$9388=R1,IF(ISNUMBER($N$13:$N$9388),IF($N$13:$N$9388&gt;0,$N$13:$N$9388))))</f>
        <v>13.500000002095476</v>
      </c>
      <c r="X5" s="160">
        <f t="array" ref="X5">MAX(IF($AG$13:$AG$9388=R1,IF(ISNUMBER($N$13:$N$9388),IF($N$13:$N$9388&gt;0,$N$13:$N$9388))))</f>
        <v>18.599999999860302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COUNT($O$13:$O$167)</f>
        <v>0</v>
      </c>
      <c r="K6" s="46"/>
      <c r="L6" s="46"/>
      <c r="M6" s="47">
        <f>IFERROR(AVERAGE($O$13:$O$167),0)</f>
        <v>0</v>
      </c>
      <c r="N6" s="45">
        <f>MIN($O$13:$O$167)</f>
        <v>0</v>
      </c>
      <c r="O6" s="3">
        <f>MAX($O$13:$O$167)</f>
        <v>0</v>
      </c>
      <c r="P6" s="2"/>
      <c r="R6" s="83" t="s">
        <v>43</v>
      </c>
      <c r="S6" s="57">
        <f>COUNT($O$13:$O$167)</f>
        <v>0</v>
      </c>
      <c r="T6" s="46"/>
      <c r="U6" s="155"/>
      <c r="V6" s="47">
        <f>IFERROR(AVERAGE($O$13:$O$167),0)</f>
        <v>0</v>
      </c>
      <c r="W6" s="45">
        <f>MIN($O$13:$O$167)</f>
        <v>0</v>
      </c>
      <c r="X6" s="160">
        <f>MAX($O$13:$O$167)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COUNTIFS($P$13:$P$9388,"&gt;0",$AG$13:$AG$9388,I1)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COUNTIFS($P$13:$P$9388,"&gt;0",$AG$13:$AG$9388,R1)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142</v>
      </c>
      <c r="K8" s="46"/>
      <c r="L8" s="46"/>
      <c r="M8" s="47">
        <f>M5</f>
        <v>38.070070422369277</v>
      </c>
      <c r="N8" s="45">
        <f>N5</f>
        <v>34.750000003259629</v>
      </c>
      <c r="O8" s="3">
        <f>O5</f>
        <v>43.21666665840894</v>
      </c>
      <c r="P8" s="2"/>
      <c r="R8" s="82" t="s">
        <v>16</v>
      </c>
      <c r="S8" s="57">
        <f>S5</f>
        <v>34</v>
      </c>
      <c r="T8" s="46"/>
      <c r="U8" s="155"/>
      <c r="V8" s="47">
        <f>V5</f>
        <v>15.259803922107334</v>
      </c>
      <c r="W8" s="45">
        <f>W5</f>
        <v>13.500000002095476</v>
      </c>
      <c r="X8" s="160">
        <f>X5</f>
        <v>18.599999999860302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4">
        <f>J8/J4</f>
        <v>0.98611111111111116</v>
      </c>
      <c r="K9" s="48"/>
      <c r="L9" s="48"/>
      <c r="M9" s="85"/>
      <c r="N9" s="43"/>
      <c r="O9" s="86"/>
      <c r="P9" s="2"/>
      <c r="R9" s="82" t="s">
        <v>19</v>
      </c>
      <c r="S9" s="184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1">
        <f>AVERAGE(S13:S114)</f>
        <v>1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401</v>
      </c>
      <c r="B13" s="7">
        <v>4002</v>
      </c>
      <c r="C13" s="24" t="s">
        <v>106</v>
      </c>
      <c r="D13" s="24" t="s">
        <v>617</v>
      </c>
      <c r="E13" s="15">
        <v>42652.127847222226</v>
      </c>
      <c r="F13" s="15">
        <v>42652.135636574072</v>
      </c>
      <c r="G13" s="7">
        <v>2</v>
      </c>
      <c r="H13" s="15" t="s">
        <v>266</v>
      </c>
      <c r="I13" s="15">
        <v>42652.161909722221</v>
      </c>
      <c r="J13" s="7">
        <v>0</v>
      </c>
      <c r="K13" s="116" t="str">
        <f t="shared" ref="K13:K76" si="0">IF(ISEVEN(B13),(B13-1)&amp;"/"&amp;B13,B13&amp;"/"&amp;(B13+1))</f>
        <v>4001/4002</v>
      </c>
      <c r="L13" s="24" t="str">
        <f>VLOOKUP(A13,'Trips&amp;Operators'!$C$1:$E$10000,3,FALSE)</f>
        <v>KILLION</v>
      </c>
      <c r="M13" s="6">
        <f t="shared" ref="M13:M76" si="1">I13-F13</f>
        <v>2.6273148148902692E-2</v>
      </c>
      <c r="N13" s="7">
        <f t="shared" ref="N13:N76" si="2">24*60*SUM($M13:$M13)</f>
        <v>37.833333334419876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https://search-rtdc-monitor-bjffxe2xuh6vdkpspy63sjmuny.us-east-1.es.amazonaws.com/_plugin/kibana/#/discover/Steve-Slow-Train-Analysis-(2080s-and-2083s)?_g=(refreshInterval:(display:Off,section:0,value:0),time:(from:'2016-10-09 02:04:06-0600',mode:absolute,to:'2016-10-09 04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4" t="str">
        <f t="shared" ref="W13:W76" si="6">IF(AA13&lt;IF(AG13="EC",23,5.65),"Y","N")</f>
        <v>N</v>
      </c>
      <c r="X13" s="163" t="e">
        <f t="shared" ref="X13:X44" si="7">VALUE(LEFT(AD13,4))-VALUE(LEFT(AD12,4))</f>
        <v>#VALUE!</v>
      </c>
      <c r="Y13" s="69">
        <f t="shared" ref="Y13:Y76" si="8">RIGHT(D13,LEN(D13)-4)/10000</f>
        <v>7.9200000000000007E-2</v>
      </c>
      <c r="Z13" s="69">
        <f t="shared" ref="Z13:Z76" si="9">RIGHT(H13,LEN(H13)-4)/10000</f>
        <v>23.328600000000002</v>
      </c>
      <c r="AA13" s="69">
        <f t="shared" ref="AA13:AA76" si="10">ABS(Z13-Y13)</f>
        <v>23.249400000000001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0101-09</v>
      </c>
      <c r="AE13" s="94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3" s="91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/stypes="app*4002*20161009*"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5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4002 --swversion DE.1.0.7.0 --startMP 204:792 --initTime 2016-10-09T03:04:06 --startdatetime 2016-10-09T03:15:19 --delay 2 --endMP 204:233286 --enddatetime 2016-10-09T03:53:09 --enforcementcount 0 &gt;&gt;C:\Users\stu\Documents\GitHub\eaglep3-reporting\EC\2016-10-09-refined-times.txt</v>
      </c>
      <c r="AI13" s="12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ID","value":"101-09"},{"id":16,"name":"Locomotive ID","value":"4002"},{"id":130,"name":"Impact","value":""},{"id":150,"name":"Time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407</v>
      </c>
      <c r="B14" s="7">
        <v>4008</v>
      </c>
      <c r="C14" s="24" t="s">
        <v>106</v>
      </c>
      <c r="D14" s="24" t="s">
        <v>618</v>
      </c>
      <c r="E14" s="15">
        <v>42652.169386574074</v>
      </c>
      <c r="F14" s="15">
        <v>42652.174513888887</v>
      </c>
      <c r="G14" s="7">
        <v>1</v>
      </c>
      <c r="H14" s="15" t="s">
        <v>191</v>
      </c>
      <c r="I14" s="15">
        <v>42652.201516203706</v>
      </c>
      <c r="J14" s="7">
        <v>0</v>
      </c>
      <c r="K14" s="116" t="str">
        <f t="shared" si="0"/>
        <v>4007/4008</v>
      </c>
      <c r="L14" s="24" t="str">
        <f>VLOOKUP(A14,'Trips&amp;Operators'!$C$1:$E$10000,3,FALSE)</f>
        <v>KILLION</v>
      </c>
      <c r="M14" s="6">
        <f t="shared" si="1"/>
        <v>2.7002314818673767E-2</v>
      </c>
      <c r="N14" s="7">
        <f t="shared" si="2"/>
        <v>38.883333338890225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03:03:55-0600',mode:absolute,to:'2016-10-09 05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54" t="str">
        <f t="shared" si="6"/>
        <v>N</v>
      </c>
      <c r="X14" s="163">
        <f t="shared" si="7"/>
        <v>1</v>
      </c>
      <c r="Y14" s="69">
        <f t="shared" si="8"/>
        <v>23.264199999999999</v>
      </c>
      <c r="Z14" s="69">
        <f t="shared" si="9"/>
        <v>1.4999999999999999E-2</v>
      </c>
      <c r="AA14" s="69">
        <f t="shared" si="10"/>
        <v>23.249199999999998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0102-09</v>
      </c>
      <c r="AE14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4" s="91" t="str">
        <f t="shared" si="13"/>
        <v>"C:\Program Files (x86)\AstroGrep\AstroGrep.exe" /spath="%USERPROFILE%\AppData\Local\Temp\OnboardLogs" /stypes="app*4008*20161009*"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5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4008 --swversion DE.1.0.7.0 --startMP 204:232642 --initTime 2016-10-09T04:03:55 --startdatetime 2016-10-09T04:11:18 --delay 1 --endMP 204:150 --enddatetime 2016-10-09T04:50:11 --enforcementcount 0 &gt;&gt;C:\Users\stu\Documents\GitHub\eaglep3-reporting\EC\2016-10-09-refined-times.txt</v>
      </c>
      <c r="AI14" s="12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ID","value":"102-09"},{"id":16,"name":"Locomotive ID","value":"4008"},{"id":130,"name":"Impact","value":""},{"id":150,"name":"Time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404</v>
      </c>
      <c r="B15" s="7">
        <v>4025</v>
      </c>
      <c r="C15" s="24" t="s">
        <v>106</v>
      </c>
      <c r="D15" s="24" t="s">
        <v>619</v>
      </c>
      <c r="E15" s="15">
        <v>42652.150983796295</v>
      </c>
      <c r="F15" s="15">
        <v>42652.156481481485</v>
      </c>
      <c r="G15" s="7">
        <v>2</v>
      </c>
      <c r="H15" s="15" t="s">
        <v>386</v>
      </c>
      <c r="I15" s="15">
        <v>42652.181759259256</v>
      </c>
      <c r="J15" s="7">
        <v>0</v>
      </c>
      <c r="K15" s="116" t="str">
        <f t="shared" si="0"/>
        <v>4025/4026</v>
      </c>
      <c r="L15" s="24" t="str">
        <f>VLOOKUP(A15,'Trips&amp;Operators'!$C$1:$E$10000,3,FALSE)</f>
        <v>ACKERMAN</v>
      </c>
      <c r="M15" s="6">
        <f t="shared" si="1"/>
        <v>2.5277777771407273E-2</v>
      </c>
      <c r="N15" s="7">
        <f t="shared" si="2"/>
        <v>36.399999990826473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02:37:25-0600',mode:absolute,to:'2016-10-09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4" t="str">
        <f t="shared" si="6"/>
        <v>N</v>
      </c>
      <c r="X15" s="163">
        <f t="shared" si="7"/>
        <v>1</v>
      </c>
      <c r="Y15" s="69">
        <f t="shared" si="8"/>
        <v>6.88E-2</v>
      </c>
      <c r="Z15" s="69">
        <f t="shared" si="9"/>
        <v>23.334299999999999</v>
      </c>
      <c r="AA15" s="69">
        <f t="shared" si="10"/>
        <v>23.265499999999999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0103-09</v>
      </c>
      <c r="AE15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5" s="91" t="str">
        <f t="shared" si="13"/>
        <v>"C:\Program Files (x86)\AstroGrep\AstroGrep.exe" /spath="%USERPROFILE%\AppData\Local\Temp\OnboardLogs" /stypes="app*4025*20161009*"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5" t="str">
        <f t="shared" si="17"/>
        <v>"%USERPROFILE%\Documents\GitHub\eaglep3\Utilities\RefineRTDCRunTimes.py" --tripid 103-09 --locoid 4025 --swversion DE.1.0.7.0 --startMP 204:688 --initTime 2016-10-09T03:37:25 --startdatetime 2016-10-09T03:45:20 --delay 2 --endMP 204:233343 --enddatetime 2016-10-09T04:21:44 --enforcementcount 0 &gt;&gt;C:\Users\stu\Documents\GitHub\eaglep3-reporting\EC\2016-10-09-refined-times.txt</v>
      </c>
      <c r="AI1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{"issue":{"subject":"","project_id":79,"tracker_id":40,"status_id":1,"priority_id":2,"assigned_to_id":23,"start_date":"2016-10-09","description":"","custom_fields":[{"id":1,"name":"Subdivision","value":"EC"},{"id":4,"name":"Milepost","value":"23.3343"},{"id":17,"name":"Train ID","value":"103-09"},{"id":16,"name":"Locomotive ID","value":"4025"},{"id":130,"name":"Impact","value":""},{"id":150,"name":"Time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411</v>
      </c>
      <c r="B16" s="7">
        <v>4039</v>
      </c>
      <c r="C16" s="24" t="s">
        <v>106</v>
      </c>
      <c r="D16" s="24" t="s">
        <v>620</v>
      </c>
      <c r="E16" s="15">
        <v>42652.188692129632</v>
      </c>
      <c r="F16" s="15">
        <v>42652.1953587963</v>
      </c>
      <c r="G16" s="7">
        <v>1</v>
      </c>
      <c r="H16" s="15" t="s">
        <v>191</v>
      </c>
      <c r="I16" s="15">
        <v>42652.222719907404</v>
      </c>
      <c r="J16" s="7">
        <v>0</v>
      </c>
      <c r="K16" s="116" t="str">
        <f t="shared" si="0"/>
        <v>4039/4040</v>
      </c>
      <c r="L16" s="24" t="str">
        <f>VLOOKUP(A16,'Trips&amp;Operators'!$C$1:$E$10000,3,FALSE)</f>
        <v>ACKERMAN</v>
      </c>
      <c r="M16" s="6">
        <f t="shared" si="1"/>
        <v>2.7361111104255542E-2</v>
      </c>
      <c r="N16" s="7">
        <f t="shared" si="2"/>
        <v>39.399999990127981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03:31:43-0600',mode:absolute,to:'2016-10-09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4" t="str">
        <f t="shared" si="6"/>
        <v>N</v>
      </c>
      <c r="X16" s="163">
        <f t="shared" si="7"/>
        <v>1</v>
      </c>
      <c r="Y16" s="69">
        <f t="shared" si="8"/>
        <v>23.272500000000001</v>
      </c>
      <c r="Z16" s="69">
        <f t="shared" si="9"/>
        <v>1.4999999999999999E-2</v>
      </c>
      <c r="AA16" s="69">
        <f t="shared" si="10"/>
        <v>23.2575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0104-09</v>
      </c>
      <c r="AE16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6" s="91" t="str">
        <f t="shared" si="13"/>
        <v>"C:\Program Files (x86)\AstroGrep\AstroGrep.exe" /spath="%USERPROFILE%\AppData\Local\Temp\OnboardLogs" /stypes="app*4039*20161009*"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5" t="str">
        <f t="shared" si="17"/>
        <v>"%USERPROFILE%\Documents\GitHub\eaglep3\Utilities\RefineRTDCRunTimes.py" --tripid 104-09 --locoid 4039 --swversion DE.1.0.7.0 --startMP 204:232725 --initTime 2016-10-09T04:31:43 --startdatetime 2016-10-09T04:41:19 --delay 1 --endMP 204:150 --enddatetime 2016-10-09T05:20:43 --enforcementcount 0 &gt;&gt;C:\Users\stu\Documents\GitHub\eaglep3-reporting\EC\2016-10-09-refined-times.txt</v>
      </c>
      <c r="AI1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ID","value":"104-09"},{"id":16,"name":"Locomotive ID","value":"4039"},{"id":130,"name":"Impact","value":""},{"id":150,"name":"Time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408</v>
      </c>
      <c r="B17" s="7">
        <v>4014</v>
      </c>
      <c r="C17" s="24" t="s">
        <v>106</v>
      </c>
      <c r="D17" s="24" t="s">
        <v>621</v>
      </c>
      <c r="E17" s="15">
        <v>42652.169444444444</v>
      </c>
      <c r="F17" s="15">
        <v>42652.177395833336</v>
      </c>
      <c r="G17" s="7">
        <v>1</v>
      </c>
      <c r="H17" s="15" t="s">
        <v>622</v>
      </c>
      <c r="I17" s="15">
        <v>42652.203125</v>
      </c>
      <c r="J17" s="7">
        <v>0</v>
      </c>
      <c r="K17" s="116" t="str">
        <f t="shared" si="0"/>
        <v>4013/4014</v>
      </c>
      <c r="L17" s="24" t="str">
        <f>VLOOKUP(A17,'Trips&amp;Operators'!$C$1:$E$10000,3,FALSE)</f>
        <v>MAELZER</v>
      </c>
      <c r="M17" s="6">
        <f t="shared" si="1"/>
        <v>2.5729166663950309E-2</v>
      </c>
      <c r="N17" s="7">
        <f t="shared" si="2"/>
        <v>37.049999996088445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03:04:00-0600',mode:absolute,to:'2016-10-09 05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4" t="str">
        <f t="shared" si="6"/>
        <v>N</v>
      </c>
      <c r="X17" s="163">
        <f t="shared" si="7"/>
        <v>1</v>
      </c>
      <c r="Y17" s="69">
        <f t="shared" si="8"/>
        <v>7.1499999999999994E-2</v>
      </c>
      <c r="Z17" s="69">
        <f t="shared" si="9"/>
        <v>23.332599999999999</v>
      </c>
      <c r="AA17" s="69">
        <f t="shared" si="10"/>
        <v>23.261099999999999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0105-09</v>
      </c>
      <c r="AE17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7" s="91" t="str">
        <f t="shared" si="13"/>
        <v>"C:\Program Files (x86)\AstroGrep\AstroGrep.exe" /spath="%USERPROFILE%\AppData\Local\Temp\OnboardLogs" /stypes="app*4014*20161009*"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5" t="str">
        <f t="shared" si="17"/>
        <v>"%USERPROFILE%\Documents\GitHub\eaglep3\Utilities\RefineRTDCRunTimes.py" --tripid 105-09 --locoid 4014 --swversion DE.1.0.7.0 --startMP 204:715 --initTime 2016-10-09T04:04:00 --startdatetime 2016-10-09T04:15:27 --delay 1 --endMP 204:233326 --enddatetime 2016-10-09T04:52:30 --enforcementcount 0 &gt;&gt;C:\Users\stu\Documents\GitHub\eaglep3-reporting\EC\2016-10-09-refined-times.txt</v>
      </c>
      <c r="AI1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{"issue":{"subject":"","project_id":79,"tracker_id":40,"status_id":1,"priority_id":2,"assigned_to_id":23,"start_date":"2016-10-09","description":"","custom_fields":[{"id":1,"name":"Subdivision","value":"EC"},{"id":4,"name":"Milepost","value":"23.3326"},{"id":17,"name":"Train ID","value":"105-09"},{"id":16,"name":"Locomotive ID","value":"4014"},{"id":130,"name":"Impact","value":""},{"id":150,"name":"Time of Event (Mountain Time)","value":"04:52:30"},{"id":151,"name":"Denver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415</v>
      </c>
      <c r="B18" s="7">
        <v>4030</v>
      </c>
      <c r="C18" s="24" t="s">
        <v>106</v>
      </c>
      <c r="D18" s="24" t="s">
        <v>623</v>
      </c>
      <c r="E18" s="15">
        <v>42652.211747685185</v>
      </c>
      <c r="F18" s="15">
        <v>42652.216296296298</v>
      </c>
      <c r="G18" s="7">
        <v>1</v>
      </c>
      <c r="H18" s="15" t="s">
        <v>189</v>
      </c>
      <c r="I18" s="15">
        <v>42652.242881944447</v>
      </c>
      <c r="J18" s="7">
        <v>0</v>
      </c>
      <c r="K18" s="116" t="str">
        <f t="shared" si="0"/>
        <v>4029/4030</v>
      </c>
      <c r="L18" s="24" t="str">
        <f>VLOOKUP(A18,'Trips&amp;Operators'!$C$1:$E$10000,3,FALSE)</f>
        <v>MAELZER</v>
      </c>
      <c r="M18" s="6">
        <f t="shared" si="1"/>
        <v>2.658564814919373E-2</v>
      </c>
      <c r="N18" s="7">
        <f t="shared" si="2"/>
        <v>38.283333334838971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04:04:55-0600',mode:absolute,to:'2016-10-09 06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4" t="str">
        <f t="shared" si="6"/>
        <v>N</v>
      </c>
      <c r="X18" s="163">
        <f t="shared" si="7"/>
        <v>1</v>
      </c>
      <c r="Y18" s="69">
        <f t="shared" si="8"/>
        <v>23.2685</v>
      </c>
      <c r="Z18" s="69">
        <f t="shared" si="9"/>
        <v>1.47E-2</v>
      </c>
      <c r="AA18" s="69">
        <f t="shared" si="10"/>
        <v>23.253799999999998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0106-09</v>
      </c>
      <c r="AE18" s="94" t="str">
        <f t="shared" si="12"/>
        <v>aws s3 cp s3://rtdc.mdm.uploadarchive.raw/RTDC4030/ "%USERPROFILE%\AppData\Local\Temp\OnboardLogs"\RTDC4030\2016-10-09 --exclude "*" --recursive --include "*20161009*" &amp; "%USERPROFILE%\Documents\GitHub\mrs-test-scripts\Headless Mode &amp; Sideloading\WalkAndUnGZ.bat" "%USERPROFILE%\AppData\Local\Temp\OnboardLogs"\RTDC4030\2016-10-09 &amp; 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</v>
      </c>
      <c r="AF18" s="91" t="str">
        <f t="shared" si="13"/>
        <v>"C:\Program Files (x86)\AstroGrep\AstroGrep.exe" /spath="%USERPROFILE%\AppData\Local\Temp\OnboardLogs" /stypes="app*4030*20161009*"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5" t="str">
        <f t="shared" si="17"/>
        <v>"%USERPROFILE%\Documents\GitHub\eaglep3\Utilities\RefineRTDCRunTimes.py" --tripid 106-09 --locoid 4030 --swversion DE.1.0.7.0 --startMP 204:232685 --initTime 2016-10-09T05:04:55 --startdatetime 2016-10-09T05:11:28 --delay 1 --endMP 204:147 --enddatetime 2016-10-09T05:49:45 --enforcementcount 0 &gt;&gt;C:\Users\stu\Documents\GitHub\eaglep3-reporting\EC\2016-10-09-refined-times.txt</v>
      </c>
      <c r="AI1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ID","value":"106-09"},{"id":16,"name":"Locomotive ID","value":"4030"},{"id":130,"name":"Impact","value":""},{"id":150,"name":"Time of Event (Mountain Time)","value":"05:49:45"},{"id":151,"name":"Denver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410</v>
      </c>
      <c r="B19" s="7">
        <v>4027</v>
      </c>
      <c r="C19" s="24" t="s">
        <v>106</v>
      </c>
      <c r="D19" s="24" t="s">
        <v>196</v>
      </c>
      <c r="E19" s="15">
        <v>42652.183668981481</v>
      </c>
      <c r="F19" s="15">
        <v>42652.187708333331</v>
      </c>
      <c r="G19" s="7">
        <v>1</v>
      </c>
      <c r="H19" s="15" t="s">
        <v>624</v>
      </c>
      <c r="I19" s="15">
        <v>42652.214548611111</v>
      </c>
      <c r="J19" s="7">
        <v>0</v>
      </c>
      <c r="K19" s="116" t="str">
        <f t="shared" si="0"/>
        <v>4027/4028</v>
      </c>
      <c r="L19" s="24" t="str">
        <f>VLOOKUP(A19,'Trips&amp;Operators'!$C$1:$E$10000,3,FALSE)</f>
        <v>DAVIS</v>
      </c>
      <c r="M19" s="6">
        <f t="shared" si="1"/>
        <v>2.6840277780138422E-2</v>
      </c>
      <c r="N19" s="7">
        <f t="shared" si="2"/>
        <v>38.650000003399327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03:24:29-0600',mode:absolute,to:'2016-10-09 06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4" t="str">
        <f t="shared" si="6"/>
        <v>N</v>
      </c>
      <c r="X19" s="163">
        <f t="shared" si="7"/>
        <v>1</v>
      </c>
      <c r="Y19" s="69">
        <f t="shared" si="8"/>
        <v>4.5100000000000001E-2</v>
      </c>
      <c r="Z19" s="69">
        <f t="shared" si="9"/>
        <v>23.332899999999999</v>
      </c>
      <c r="AA19" s="69">
        <f t="shared" si="10"/>
        <v>23.287799999999997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0107-09</v>
      </c>
      <c r="AE19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9" s="91" t="str">
        <f t="shared" si="13"/>
        <v>"C:\Program Files (x86)\AstroGrep\AstroGrep.exe" /spath="%USERPROFILE%\AppData\Local\Temp\OnboardLogs" /stypes="app*4027*20161009*"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5" t="str">
        <f t="shared" si="17"/>
        <v>"%USERPROFILE%\Documents\GitHub\eaglep3\Utilities\RefineRTDCRunTimes.py" --tripid 107-09 --locoid 4027 --swversion DE.1.0.7.0 --startMP 204:451 --initTime 2016-10-09T04:24:29 --startdatetime 2016-10-09T04:30:18 --delay 1 --endMP 204:233329 --enddatetime 2016-10-09T05:08:57 --enforcementcount 0 &gt;&gt;C:\Users\stu\Documents\GitHub\eaglep3-reporting\EC\2016-10-09-refined-times.txt</v>
      </c>
      <c r="AI1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{"issue":{"subject":"","project_id":79,"tracker_id":40,"status_id":1,"priority_id":2,"assigned_to_id":23,"start_date":"2016-10-09","description":"","custom_fields":[{"id":1,"name":"Subdivision","value":"EC"},{"id":4,"name":"Milepost","value":"23.3329"},{"id":17,"name":"Train ID","value":"107-09"},{"id":16,"name":"Locomotive ID","value":"4027"},{"id":130,"name":"Impact","value":""},{"id":150,"name":"Time of Event (Mountain Time)","value":"05:08:57"},{"id":151,"name":"Denver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416</v>
      </c>
      <c r="B20" s="7">
        <v>4028</v>
      </c>
      <c r="C20" s="24" t="s">
        <v>106</v>
      </c>
      <c r="D20" s="24" t="s">
        <v>301</v>
      </c>
      <c r="E20" s="15">
        <v>42652.223101851851</v>
      </c>
      <c r="F20" s="15">
        <v>42652.226574074077</v>
      </c>
      <c r="G20" s="7">
        <v>1</v>
      </c>
      <c r="H20" s="15" t="s">
        <v>289</v>
      </c>
      <c r="I20" s="15">
        <v>42652.254467592589</v>
      </c>
      <c r="J20" s="7">
        <v>0</v>
      </c>
      <c r="K20" s="116" t="str">
        <f t="shared" si="0"/>
        <v>4027/4028</v>
      </c>
      <c r="L20" s="24" t="str">
        <f>VLOOKUP(A20,'Trips&amp;Operators'!$C$1:$E$10000,3,FALSE)</f>
        <v>DAVIS</v>
      </c>
      <c r="M20" s="6">
        <f t="shared" si="1"/>
        <v>2.7893518512428273E-2</v>
      </c>
      <c r="N20" s="7">
        <f t="shared" si="2"/>
        <v>40.166666657896712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04:21:16-0600',mode:absolute,to:'2016-10-09 07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4" t="str">
        <f t="shared" si="6"/>
        <v>N</v>
      </c>
      <c r="X20" s="163">
        <f t="shared" si="7"/>
        <v>1</v>
      </c>
      <c r="Y20" s="69">
        <f t="shared" si="8"/>
        <v>23.3017</v>
      </c>
      <c r="Z20" s="69">
        <f t="shared" si="9"/>
        <v>1.43E-2</v>
      </c>
      <c r="AA20" s="69">
        <f t="shared" si="10"/>
        <v>23.287400000000002</v>
      </c>
      <c r="AB20" s="66" t="str">
        <f>VLOOKUP(A20,Enforcements!$C$7:$K$21,8,0)</f>
        <v>Signal based authority (5)</v>
      </c>
      <c r="AC20" s="62" t="str">
        <f>VLOOKUP(A20,Enforcements!$C$7:$E$21,3,0)</f>
        <v>SIGNAL</v>
      </c>
      <c r="AD20" s="63" t="str">
        <f t="shared" si="11"/>
        <v>0108-09</v>
      </c>
      <c r="AE20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20" s="91" t="str">
        <f t="shared" si="13"/>
        <v>"C:\Program Files (x86)\AstroGrep\AstroGrep.exe" /spath="%USERPROFILE%\AppData\Local\Temp\OnboardLogs" /stypes="app*4028*20161009*"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5" t="str">
        <f t="shared" si="17"/>
        <v>"%USERPROFILE%\Documents\GitHub\eaglep3\Utilities\RefineRTDCRunTimes.py" --tripid 108-09 --locoid 4028 --swversion DE.1.0.7.0 --startMP 204:233017 --initTime 2016-10-09T05:21:16 --startdatetime 2016-10-09T05:26:16 --delay 1 --endMP 204:143 --enddatetime 2016-10-09T06:06:26 --enforcementcount 0 &gt;&gt;C:\Users\stu\Documents\GitHub\eaglep3-reporting\EC\2016-10-09-refined-times.txt</v>
      </c>
      <c r="AI2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ID","value":"108-09"},{"id":16,"name":"Locomotive ID","value":"4028"},{"id":130,"name":"Impact","value":""},{"id":150,"name":"Time of Event (Mountain Time)","value":"06:06:26"},{"id":151,"name":"Denver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412</v>
      </c>
      <c r="B21" s="7">
        <v>4018</v>
      </c>
      <c r="C21" s="24" t="s">
        <v>106</v>
      </c>
      <c r="D21" s="24" t="s">
        <v>197</v>
      </c>
      <c r="E21" s="15">
        <v>42652.196597222224</v>
      </c>
      <c r="F21" s="15">
        <v>42652.198159722226</v>
      </c>
      <c r="G21" s="7">
        <v>1</v>
      </c>
      <c r="H21" s="15" t="s">
        <v>192</v>
      </c>
      <c r="I21" s="15">
        <v>42652.223483796297</v>
      </c>
      <c r="J21" s="7">
        <v>0</v>
      </c>
      <c r="K21" s="116" t="str">
        <f t="shared" si="0"/>
        <v>4017/4018</v>
      </c>
      <c r="L21" s="24" t="str">
        <f>VLOOKUP(A21,'Trips&amp;Operators'!$C$1:$E$10000,3,FALSE)</f>
        <v>MALAVE</v>
      </c>
      <c r="M21" s="6">
        <f t="shared" si="1"/>
        <v>2.5324074071249925E-2</v>
      </c>
      <c r="N21" s="7">
        <f t="shared" si="2"/>
        <v>36.466666662599891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03:43:06-0600',mode:absolute,to:'2016-10-09 06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4" t="str">
        <f t="shared" si="6"/>
        <v>N</v>
      </c>
      <c r="X21" s="163">
        <f t="shared" si="7"/>
        <v>1</v>
      </c>
      <c r="Y21" s="69">
        <f t="shared" si="8"/>
        <v>4.5499999999999999E-2</v>
      </c>
      <c r="Z21" s="69">
        <f t="shared" si="9"/>
        <v>23.3291</v>
      </c>
      <c r="AA21" s="69">
        <f t="shared" si="10"/>
        <v>23.2836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0109-09</v>
      </c>
      <c r="AE21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21" s="91" t="str">
        <f t="shared" si="13"/>
        <v>"C:\Program Files (x86)\AstroGrep\AstroGrep.exe" /spath="%USERPROFILE%\AppData\Local\Temp\OnboardLogs" /stypes="app*4018*20161009*"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5" t="str">
        <f t="shared" si="17"/>
        <v>"%USERPROFILE%\Documents\GitHub\eaglep3\Utilities\RefineRTDCRunTimes.py" --tripid 109-09 --locoid 4018 --swversion DE.1.0.7.0 --startMP 204:455 --initTime 2016-10-09T04:43:06 --startdatetime 2016-10-09T04:45:21 --delay 1 --endMP 204:233291 --enddatetime 2016-10-09T05:21:49 --enforcementcount 0 &gt;&gt;C:\Users\stu\Documents\GitHub\eaglep3-reporting\EC\2016-10-09-refined-times.txt</v>
      </c>
      <c r="AI2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ID","value":"109-09"},{"id":16,"name":"Locomotive ID","value":"4018"},{"id":130,"name":"Impact","value":""},{"id":150,"name":"Time of Event (Mountain Time)","value":"05:21:49"},{"id":151,"name":"Denver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420</v>
      </c>
      <c r="B22" s="7">
        <v>4017</v>
      </c>
      <c r="C22" s="24" t="s">
        <v>106</v>
      </c>
      <c r="D22" s="24" t="s">
        <v>625</v>
      </c>
      <c r="E22" s="15">
        <v>42652.233391203707</v>
      </c>
      <c r="F22" s="15">
        <v>42652.237025462964</v>
      </c>
      <c r="G22" s="7">
        <v>2</v>
      </c>
      <c r="H22" s="15" t="s">
        <v>126</v>
      </c>
      <c r="I22" s="15">
        <v>42652.264502314814</v>
      </c>
      <c r="J22" s="7">
        <v>0</v>
      </c>
      <c r="K22" s="116" t="str">
        <f t="shared" si="0"/>
        <v>4017/4018</v>
      </c>
      <c r="L22" s="24" t="str">
        <f>VLOOKUP(A22,'Trips&amp;Operators'!$C$1:$E$10000,3,FALSE)</f>
        <v>MALAVE</v>
      </c>
      <c r="M22" s="6">
        <f t="shared" si="1"/>
        <v>2.7476851850224193E-2</v>
      </c>
      <c r="N22" s="7">
        <f t="shared" si="2"/>
        <v>39.566666664322838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04:36:05-0600',mode:absolute,to:'2016-10-09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4" t="str">
        <f t="shared" si="6"/>
        <v>N</v>
      </c>
      <c r="X22" s="163">
        <f t="shared" si="7"/>
        <v>1</v>
      </c>
      <c r="Y22" s="69">
        <f t="shared" si="8"/>
        <v>23.2957</v>
      </c>
      <c r="Z22" s="69">
        <f t="shared" si="9"/>
        <v>1.54E-2</v>
      </c>
      <c r="AA22" s="69">
        <f t="shared" si="10"/>
        <v>23.2803</v>
      </c>
      <c r="AB22" s="66" t="str">
        <f>VLOOKUP(A22,Enforcements!$C$7:$K$21,8,0)</f>
        <v>Speed (6)</v>
      </c>
      <c r="AC22" s="62" t="str">
        <f>VLOOKUP(A22,Enforcements!$C$7:$E$21,3,0)</f>
        <v>PERMANENT SPEED RESTRICTION</v>
      </c>
      <c r="AD22" s="63" t="str">
        <f t="shared" si="11"/>
        <v>0110-09</v>
      </c>
      <c r="AE22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22" s="91" t="str">
        <f t="shared" si="13"/>
        <v>"C:\Program Files (x86)\AstroGrep\AstroGrep.exe" /spath="%USERPROFILE%\AppData\Local\Temp\OnboardLogs" /stypes="app*4017*20161009*"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5" t="str">
        <f t="shared" si="17"/>
        <v>"%USERPROFILE%\Documents\GitHub\eaglep3\Utilities\RefineRTDCRunTimes.py" --tripid 110-09 --locoid 4017 --swversion DE.1.0.7.0 --startMP 204:232957 --initTime 2016-10-09T05:36:05 --startdatetime 2016-10-09T05:41:19 --delay 2 --endMP 204:154 --enddatetime 2016-10-09T06:20:53 --enforcementcount 0 &gt;&gt;C:\Users\stu\Documents\GitHub\eaglep3-reporting\EC\2016-10-09-refined-times.txt</v>
      </c>
      <c r="AI2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ID","value":"110-09"},{"id":16,"name":"Locomotive ID","value":"4017"},{"id":130,"name":"Impact","value":""},{"id":150,"name":"Time of Event (Mountain Time)","value":"06:20:53"},{"id":151,"name":"Denver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413</v>
      </c>
      <c r="B23" s="7">
        <v>4002</v>
      </c>
      <c r="C23" s="24" t="s">
        <v>106</v>
      </c>
      <c r="D23" s="24" t="s">
        <v>626</v>
      </c>
      <c r="E23" s="15">
        <v>42652.203541666669</v>
      </c>
      <c r="F23" s="15">
        <v>42652.208645833336</v>
      </c>
      <c r="G23" s="7">
        <v>2</v>
      </c>
      <c r="H23" s="15" t="s">
        <v>242</v>
      </c>
      <c r="I23" s="15">
        <v>42652.234930555554</v>
      </c>
      <c r="J23" s="7">
        <v>0</v>
      </c>
      <c r="K23" s="116" t="str">
        <f t="shared" si="0"/>
        <v>4001/4002</v>
      </c>
      <c r="L23" s="24" t="str">
        <f>VLOOKUP(A23,'Trips&amp;Operators'!$C$1:$E$10000,3,FALSE)</f>
        <v>STRICKLAND</v>
      </c>
      <c r="M23" s="6">
        <f t="shared" si="1"/>
        <v>2.6284722218406387E-2</v>
      </c>
      <c r="N23" s="7">
        <f t="shared" si="2"/>
        <v>37.849999994505197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03:53:06-0600',mode:absolute,to:'2016-10-09 06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" s="54" t="str">
        <f t="shared" si="6"/>
        <v>N</v>
      </c>
      <c r="X23" s="163">
        <f t="shared" si="7"/>
        <v>1</v>
      </c>
      <c r="Y23" s="69">
        <f t="shared" si="8"/>
        <v>7.5499999999999998E-2</v>
      </c>
      <c r="Z23" s="69">
        <f t="shared" si="9"/>
        <v>23.329699999999999</v>
      </c>
      <c r="AA23" s="69">
        <f t="shared" si="10"/>
        <v>23.254199999999997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0111-09</v>
      </c>
      <c r="AE23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23" s="91" t="str">
        <f t="shared" si="13"/>
        <v>"C:\Program Files (x86)\AstroGrep\AstroGrep.exe" /spath="%USERPROFILE%\AppData\Local\Temp\OnboardLogs" /stypes="app*4002*20161009*"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5" t="str">
        <f t="shared" si="17"/>
        <v>"%USERPROFILE%\Documents\GitHub\eaglep3\Utilities\RefineRTDCRunTimes.py" --tripid 111-09 --locoid 4002 --swversion DE.1.0.7.0 --startMP 204:755 --initTime 2016-10-09T04:53:06 --startdatetime 2016-10-09T05:00:27 --delay 2 --endMP 204:233297 --enddatetime 2016-10-09T05:38:18 --enforcementcount 0 &gt;&gt;C:\Users\stu\Documents\GitHub\eaglep3-reporting\EC\2016-10-09-refined-times.txt</v>
      </c>
      <c r="AI2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ID","value":"111-09"},{"id":16,"name":"Locomotive ID","value":"4002"},{"id":130,"name":"Impact","value":""},{"id":150,"name":"Time of Event (Mountain Time)","value":"05:38:18"},{"id":151,"name":"Denver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422</v>
      </c>
      <c r="B24" s="7">
        <v>4001</v>
      </c>
      <c r="C24" s="24" t="s">
        <v>106</v>
      </c>
      <c r="D24" s="24" t="s">
        <v>264</v>
      </c>
      <c r="E24" s="15">
        <v>42652.241597222222</v>
      </c>
      <c r="F24" s="15">
        <v>42652.247754629629</v>
      </c>
      <c r="G24" s="7">
        <v>4</v>
      </c>
      <c r="H24" s="15" t="s">
        <v>193</v>
      </c>
      <c r="I24" s="15">
        <v>42652.275231481479</v>
      </c>
      <c r="J24" s="7">
        <v>0</v>
      </c>
      <c r="K24" s="116" t="str">
        <f t="shared" si="0"/>
        <v>4001/4002</v>
      </c>
      <c r="L24" s="24" t="str">
        <f>VLOOKUP(A24,'Trips&amp;Operators'!$C$1:$E$10000,3,FALSE)</f>
        <v>STRICKLAND</v>
      </c>
      <c r="M24" s="6">
        <f t="shared" si="1"/>
        <v>2.7476851850224193E-2</v>
      </c>
      <c r="N24" s="7">
        <f t="shared" si="2"/>
        <v>39.566666664322838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04:47:54-0600',mode:absolute,to:'2016-10-09 07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4" s="54" t="str">
        <f t="shared" si="6"/>
        <v>N</v>
      </c>
      <c r="X24" s="163">
        <f t="shared" si="7"/>
        <v>1</v>
      </c>
      <c r="Y24" s="69">
        <f t="shared" si="8"/>
        <v>23.297599999999999</v>
      </c>
      <c r="Z24" s="69">
        <f t="shared" si="9"/>
        <v>1.52E-2</v>
      </c>
      <c r="AA24" s="69">
        <f t="shared" si="10"/>
        <v>23.282399999999999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0112-09</v>
      </c>
      <c r="AE24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24" s="91" t="str">
        <f t="shared" si="13"/>
        <v>"C:\Program Files (x86)\AstroGrep\AstroGrep.exe" /spath="%USERPROFILE%\AppData\Local\Temp\OnboardLogs" /stypes="app*4001*20161009*"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5" t="str">
        <f t="shared" si="17"/>
        <v>"%USERPROFILE%\Documents\GitHub\eaglep3\Utilities\RefineRTDCRunTimes.py" --tripid 112-09 --locoid 4001 --swversion DE.1.0.7.0 --startMP 204:232976 --initTime 2016-10-09T05:47:54 --startdatetime 2016-10-09T05:56:46 --delay 4 --endMP 204:152 --enddatetime 2016-10-09T06:36:20 --enforcementcount 0 &gt;&gt;C:\Users\stu\Documents\GitHub\eaglep3-reporting\EC\2016-10-09-refined-times.txt</v>
      </c>
      <c r="AI2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ID","value":"112-09"},{"id":16,"name":"Locomotive ID","value":"4001"},{"id":130,"name":"Impact","value":""},{"id":150,"name":"Time of Event (Mountain Time)","value":"06:36:20"},{"id":151,"name":"Denver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414</v>
      </c>
      <c r="B25" s="7">
        <v>4007</v>
      </c>
      <c r="C25" s="24" t="s">
        <v>106</v>
      </c>
      <c r="D25" s="24" t="s">
        <v>190</v>
      </c>
      <c r="E25" s="15">
        <v>42652.204710648148</v>
      </c>
      <c r="F25" s="15">
        <v>42652.219085648147</v>
      </c>
      <c r="G25" s="7">
        <v>1</v>
      </c>
      <c r="H25" s="15" t="s">
        <v>244</v>
      </c>
      <c r="I25" s="15">
        <v>42652.244502314818</v>
      </c>
      <c r="J25" s="7">
        <v>0</v>
      </c>
      <c r="K25" s="116" t="str">
        <f t="shared" si="0"/>
        <v>4007/4008</v>
      </c>
      <c r="L25" s="24" t="str">
        <f>VLOOKUP(A25,'Trips&amp;Operators'!$C$1:$E$10000,3,FALSE)</f>
        <v>KILLION</v>
      </c>
      <c r="M25" s="6">
        <f t="shared" si="1"/>
        <v>2.5416666670935228E-2</v>
      </c>
      <c r="N25" s="7">
        <f t="shared" si="2"/>
        <v>36.600000006146729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03:54:47-0600',mode:absolute,to:'2016-10-09 06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5" s="54" t="str">
        <f t="shared" si="6"/>
        <v>N</v>
      </c>
      <c r="X25" s="163">
        <f t="shared" si="7"/>
        <v>1</v>
      </c>
      <c r="Y25" s="69">
        <f t="shared" si="8"/>
        <v>4.53E-2</v>
      </c>
      <c r="Z25" s="69">
        <f t="shared" si="9"/>
        <v>23.3276</v>
      </c>
      <c r="AA25" s="69">
        <f t="shared" si="10"/>
        <v>23.282299999999999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0113-09</v>
      </c>
      <c r="AE25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25" s="91" t="str">
        <f t="shared" si="13"/>
        <v>"C:\Program Files (x86)\AstroGrep\AstroGrep.exe" /spath="%USERPROFILE%\AppData\Local\Temp\OnboardLogs" /stypes="app*4007*20161009*"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5" t="str">
        <f t="shared" si="17"/>
        <v>"%USERPROFILE%\Documents\GitHub\eaglep3\Utilities\RefineRTDCRunTimes.py" --tripid 113-09 --locoid 4007 --swversion DE.1.0.7.0 --startMP 204:453 --initTime 2016-10-09T04:54:47 --startdatetime 2016-10-09T05:15:29 --delay 1 --endMP 204:233276 --enddatetime 2016-10-09T05:52:05 --enforcementcount 0 &gt;&gt;C:\Users\stu\Documents\GitHub\eaglep3-reporting\EC\2016-10-09-refined-times.txt</v>
      </c>
      <c r="AI2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{"issue":{"subject":"","project_id":79,"tracker_id":40,"status_id":1,"priority_id":2,"assigned_to_id":23,"start_date":"2016-10-09","description":"","custom_fields":[{"id":1,"name":"Subdivision","value":"EC"},{"id":4,"name":"Milepost","value":"23.3276"},{"id":17,"name":"Train ID","value":"113-09"},{"id":16,"name":"Locomotive ID","value":"4007"},{"id":130,"name":"Impact","value":""},{"id":150,"name":"Time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424</v>
      </c>
      <c r="B26" s="7">
        <v>4008</v>
      </c>
      <c r="C26" s="24" t="s">
        <v>106</v>
      </c>
      <c r="D26" s="24" t="s">
        <v>392</v>
      </c>
      <c r="E26" s="15">
        <v>42652.254837962966</v>
      </c>
      <c r="F26" s="15">
        <v>42652.257835648146</v>
      </c>
      <c r="G26" s="7">
        <v>1</v>
      </c>
      <c r="H26" s="15" t="s">
        <v>126</v>
      </c>
      <c r="I26" s="15">
        <v>42652.284930555557</v>
      </c>
      <c r="J26" s="7">
        <v>0</v>
      </c>
      <c r="K26" s="116" t="str">
        <f t="shared" si="0"/>
        <v>4007/4008</v>
      </c>
      <c r="L26" s="24" t="str">
        <f>VLOOKUP(A26,'Trips&amp;Operators'!$C$1:$E$10000,3,FALSE)</f>
        <v>KILLION</v>
      </c>
      <c r="M26" s="6">
        <f t="shared" si="1"/>
        <v>2.7094907411083113E-2</v>
      </c>
      <c r="N26" s="7">
        <f t="shared" si="2"/>
        <v>39.016666671959683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05:06:58-0600',mode:absolute,to:'2016-10-09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6" s="54" t="str">
        <f t="shared" si="6"/>
        <v>N</v>
      </c>
      <c r="X26" s="163">
        <f t="shared" si="7"/>
        <v>1</v>
      </c>
      <c r="Y26" s="69">
        <f t="shared" si="8"/>
        <v>23.295200000000001</v>
      </c>
      <c r="Z26" s="69">
        <f t="shared" si="9"/>
        <v>1.54E-2</v>
      </c>
      <c r="AA26" s="69">
        <f t="shared" si="10"/>
        <v>23.279800000000002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0114-09</v>
      </c>
      <c r="AE26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26" s="91" t="str">
        <f t="shared" si="13"/>
        <v>"C:\Program Files (x86)\AstroGrep\AstroGrep.exe" /spath="%USERPROFILE%\AppData\Local\Temp\OnboardLogs" /stypes="app*4008*20161009*"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5" t="str">
        <f t="shared" si="17"/>
        <v>"%USERPROFILE%\Documents\GitHub\eaglep3\Utilities\RefineRTDCRunTimes.py" --tripid 114-09 --locoid 4008 --swversion DE.1.0.7.0 --startMP 204:232952 --initTime 2016-10-09T06:06:58 --startdatetime 2016-10-09T06:11:17 --delay 1 --endMP 204:154 --enddatetime 2016-10-09T06:50:18 --enforcementcount 0 &gt;&gt;C:\Users\stu\Documents\GitHub\eaglep3-reporting\EC\2016-10-09-refined-times.txt</v>
      </c>
      <c r="AI2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ID","value":"114-09"},{"id":16,"name":"Locomotive ID","value":"4008"},{"id":130,"name":"Impact","value":""},{"id":150,"name":"Time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417</v>
      </c>
      <c r="B27" s="7">
        <v>4025</v>
      </c>
      <c r="C27" s="24" t="s">
        <v>106</v>
      </c>
      <c r="D27" s="24" t="s">
        <v>627</v>
      </c>
      <c r="E27" s="15">
        <v>42652.224699074075</v>
      </c>
      <c r="F27" s="15">
        <v>42652.229409722226</v>
      </c>
      <c r="G27" s="7">
        <v>1</v>
      </c>
      <c r="H27" s="15" t="s">
        <v>628</v>
      </c>
      <c r="I27" s="15">
        <v>42652.253761574073</v>
      </c>
      <c r="J27" s="7">
        <v>0</v>
      </c>
      <c r="K27" s="116" t="str">
        <f t="shared" si="0"/>
        <v>4025/4026</v>
      </c>
      <c r="L27" s="24" t="str">
        <f>VLOOKUP(A27,'Trips&amp;Operators'!$C$1:$E$10000,3,FALSE)</f>
        <v>YORK</v>
      </c>
      <c r="M27" s="6">
        <f t="shared" si="1"/>
        <v>2.435185184731381E-2</v>
      </c>
      <c r="N27" s="7">
        <f t="shared" si="2"/>
        <v>35.066666660131887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04:23:34-0600',mode:absolute,to:'2016-10-09 07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4" t="str">
        <f t="shared" si="6"/>
        <v>N</v>
      </c>
      <c r="X27" s="163">
        <f t="shared" si="7"/>
        <v>1</v>
      </c>
      <c r="Y27" s="69">
        <f t="shared" si="8"/>
        <v>7.7499999999999999E-2</v>
      </c>
      <c r="Z27" s="69">
        <f t="shared" si="9"/>
        <v>23.328700000000001</v>
      </c>
      <c r="AA27" s="69">
        <f t="shared" si="10"/>
        <v>23.251200000000001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0115-09</v>
      </c>
      <c r="AE27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27" s="91" t="str">
        <f t="shared" si="13"/>
        <v>"C:\Program Files (x86)\AstroGrep\AstroGrep.exe" /spath="%USERPROFILE%\AppData\Local\Temp\OnboardLogs" /stypes="app*4025*20161009*"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5" t="str">
        <f t="shared" si="17"/>
        <v>"%USERPROFILE%\Documents\GitHub\eaglep3\Utilities\RefineRTDCRunTimes.py" --tripid 115-09 --locoid 4025 --swversion DE.1.0.7.0 --startMP 204:775 --initTime 2016-10-09T05:23:34 --startdatetime 2016-10-09T05:30:21 --delay 1 --endMP 204:233287 --enddatetime 2016-10-09T06:05:25 --enforcementcount 0 &gt;&gt;C:\Users\stu\Documents\GitHub\eaglep3-reporting\EC\2016-10-09-refined-times.txt</v>
      </c>
      <c r="AI2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ID","value":"115-09"},{"id":16,"name":"Locomotive ID","value":"4025"},{"id":130,"name":"Impact","value":""},{"id":150,"name":"Time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425</v>
      </c>
      <c r="B28" s="7">
        <v>4026</v>
      </c>
      <c r="C28" s="24" t="s">
        <v>106</v>
      </c>
      <c r="D28" s="24" t="s">
        <v>256</v>
      </c>
      <c r="E28" s="15">
        <v>42652.254872685182</v>
      </c>
      <c r="F28" s="15">
        <v>42652.26834490741</v>
      </c>
      <c r="G28" s="7">
        <v>1</v>
      </c>
      <c r="H28" s="15" t="s">
        <v>189</v>
      </c>
      <c r="I28" s="15">
        <v>42652.294398148151</v>
      </c>
      <c r="J28" s="7">
        <v>0</v>
      </c>
      <c r="K28" s="116" t="str">
        <f t="shared" si="0"/>
        <v>4025/4026</v>
      </c>
      <c r="L28" s="24" t="str">
        <f>VLOOKUP(A28,'Trips&amp;Operators'!$C$1:$E$10000,3,FALSE)</f>
        <v>YORK</v>
      </c>
      <c r="M28" s="6">
        <f t="shared" si="1"/>
        <v>2.6053240741021E-2</v>
      </c>
      <c r="N28" s="7">
        <f t="shared" si="2"/>
        <v>37.51666666707024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05:07:01-0600',mode:absolute,to:'2016-10-09 08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4" t="str">
        <f t="shared" si="6"/>
        <v>N</v>
      </c>
      <c r="X28" s="163">
        <f t="shared" si="7"/>
        <v>1</v>
      </c>
      <c r="Y28" s="69">
        <f t="shared" si="8"/>
        <v>23.2974</v>
      </c>
      <c r="Z28" s="69">
        <f t="shared" si="9"/>
        <v>1.47E-2</v>
      </c>
      <c r="AA28" s="69">
        <f t="shared" si="10"/>
        <v>23.282699999999998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0116-09</v>
      </c>
      <c r="AE28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28" s="91" t="str">
        <f t="shared" si="13"/>
        <v>"C:\Program Files (x86)\AstroGrep\AstroGrep.exe" /spath="%USERPROFILE%\AppData\Local\Temp\OnboardLogs" /stypes="app*4026*20161009*"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5" t="str">
        <f t="shared" si="17"/>
        <v>"%USERPROFILE%\Documents\GitHub\eaglep3\Utilities\RefineRTDCRunTimes.py" --tripid 116-09 --locoid 4026 --swversion DE.1.0.7.0 --startMP 204:232974 --initTime 2016-10-09T06:07:01 --startdatetime 2016-10-09T06:26:25 --delay 1 --endMP 204:147 --enddatetime 2016-10-09T07:03:56 --enforcementcount 0 &gt;&gt;C:\Users\stu\Documents\GitHub\eaglep3-reporting\EC\2016-10-09-refined-times.txt</v>
      </c>
      <c r="AI2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ID","value":"116-09"},{"id":16,"name":"Locomotive ID","value":"4026"},{"id":130,"name":"Impact","value":""},{"id":150,"name":"Time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419</v>
      </c>
      <c r="B29" s="7">
        <v>4040</v>
      </c>
      <c r="C29" s="24" t="s">
        <v>106</v>
      </c>
      <c r="D29" s="24" t="s">
        <v>237</v>
      </c>
      <c r="E29" s="15">
        <v>42652.232546296298</v>
      </c>
      <c r="F29" s="15">
        <v>42652.239791666667</v>
      </c>
      <c r="G29" s="7">
        <v>1</v>
      </c>
      <c r="H29" s="15" t="s">
        <v>299</v>
      </c>
      <c r="I29" s="15">
        <v>42652.264918981484</v>
      </c>
      <c r="J29" s="7">
        <v>0</v>
      </c>
      <c r="K29" s="116" t="str">
        <f t="shared" si="0"/>
        <v>4039/4040</v>
      </c>
      <c r="L29" s="24" t="str">
        <f>VLOOKUP(A29,'Trips&amp;Operators'!$C$1:$E$10000,3,FALSE)</f>
        <v>ACKERMAN</v>
      </c>
      <c r="M29" s="6">
        <f t="shared" si="1"/>
        <v>2.5127314816927537E-2</v>
      </c>
      <c r="N29" s="7">
        <f t="shared" si="2"/>
        <v>36.183333336375654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04:34:52-0600',mode:absolute,to:'2016-10-09 07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9" s="54" t="str">
        <f t="shared" si="6"/>
        <v>N</v>
      </c>
      <c r="X29" s="163">
        <f t="shared" si="7"/>
        <v>1</v>
      </c>
      <c r="Y29" s="69">
        <f t="shared" si="8"/>
        <v>4.4699999999999997E-2</v>
      </c>
      <c r="Z29" s="69">
        <f t="shared" si="9"/>
        <v>23.329499999999999</v>
      </c>
      <c r="AA29" s="69">
        <f t="shared" si="10"/>
        <v>23.284800000000001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0117-09</v>
      </c>
      <c r="AE29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29" s="91" t="str">
        <f t="shared" si="13"/>
        <v>"C:\Program Files (x86)\AstroGrep\AstroGrep.exe" /spath="%USERPROFILE%\AppData\Local\Temp\OnboardLogs" /stypes="app*4040*20161009*"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5" t="str">
        <f t="shared" si="17"/>
        <v>"%USERPROFILE%\Documents\GitHub\eaglep3\Utilities\RefineRTDCRunTimes.py" --tripid 117-09 --locoid 4040 --swversion DE.1.0.7.0 --startMP 204:447 --initTime 2016-10-09T05:34:52 --startdatetime 2016-10-09T05:45:18 --delay 1 --endMP 204:233295 --enddatetime 2016-10-09T06:21:29 --enforcementcount 0 &gt;&gt;C:\Users\stu\Documents\GitHub\eaglep3-reporting\EC\2016-10-09-refined-times.txt</v>
      </c>
      <c r="AI2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ID","value":"117-09"},{"id":16,"name":"Locomotive ID","value":"4040"},{"id":130,"name":"Impact","value":""},{"id":150,"name":"Time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429</v>
      </c>
      <c r="B30" s="7">
        <v>4039</v>
      </c>
      <c r="C30" s="24" t="s">
        <v>106</v>
      </c>
      <c r="D30" s="24" t="s">
        <v>389</v>
      </c>
      <c r="E30" s="15">
        <v>42652.271898148145</v>
      </c>
      <c r="F30" s="15">
        <v>42652.278692129628</v>
      </c>
      <c r="G30" s="7">
        <v>1</v>
      </c>
      <c r="H30" s="15" t="s">
        <v>186</v>
      </c>
      <c r="I30" s="15">
        <v>42652.305706018517</v>
      </c>
      <c r="J30" s="7">
        <v>0</v>
      </c>
      <c r="K30" s="116" t="str">
        <f t="shared" si="0"/>
        <v>4039/4040</v>
      </c>
      <c r="L30" s="24" t="str">
        <f>VLOOKUP(A30,'Trips&amp;Operators'!$C$1:$E$10000,3,FALSE)</f>
        <v>ACKERMAN</v>
      </c>
      <c r="M30" s="6">
        <f t="shared" si="1"/>
        <v>2.7013888888177462E-2</v>
      </c>
      <c r="N30" s="7">
        <f t="shared" si="2"/>
        <v>38.899999998975545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05:31:32-0600',mode:absolute,to:'2016-10-09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0" s="54" t="str">
        <f t="shared" si="6"/>
        <v>N</v>
      </c>
      <c r="X30" s="163">
        <f t="shared" si="7"/>
        <v>1</v>
      </c>
      <c r="Y30" s="69">
        <f t="shared" si="8"/>
        <v>23.2971</v>
      </c>
      <c r="Z30" s="69">
        <f t="shared" si="9"/>
        <v>1.49E-2</v>
      </c>
      <c r="AA30" s="69">
        <f t="shared" si="10"/>
        <v>23.2822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0118-09</v>
      </c>
      <c r="AE30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30" s="91" t="str">
        <f t="shared" si="13"/>
        <v>"C:\Program Files (x86)\AstroGrep\AstroGrep.exe" /spath="%USERPROFILE%\AppData\Local\Temp\OnboardLogs" /stypes="app*4039*20161009*"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5" t="str">
        <f t="shared" si="17"/>
        <v>"%USERPROFILE%\Documents\GitHub\eaglep3\Utilities\RefineRTDCRunTimes.py" --tripid 118-09 --locoid 4039 --swversion DE.1.0.7.0 --startMP 204:232971 --initTime 2016-10-09T06:31:32 --startdatetime 2016-10-09T06:41:19 --delay 1 --endMP 204:149 --enddatetime 2016-10-09T07:20:13 --enforcementcount 0 &gt;&gt;C:\Users\stu\Documents\GitHub\eaglep3-reporting\EC\2016-10-09-refined-times.txt</v>
      </c>
      <c r="AI3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ID","value":"118-09"},{"id":16,"name":"Locomotive ID","value":"4039"},{"id":130,"name":"Impact","value":""},{"id":150,"name":"Time of Event (Mountain Time)","value":"07:20:13"},{"id":151,"name":"Denver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423</v>
      </c>
      <c r="B31" s="7">
        <v>4014</v>
      </c>
      <c r="C31" s="24" t="s">
        <v>106</v>
      </c>
      <c r="D31" s="24" t="s">
        <v>629</v>
      </c>
      <c r="E31" s="15">
        <v>42652.246701388889</v>
      </c>
      <c r="F31" s="15">
        <v>42652.250451388885</v>
      </c>
      <c r="G31" s="7">
        <v>1</v>
      </c>
      <c r="H31" s="15" t="s">
        <v>205</v>
      </c>
      <c r="I31" s="15">
        <v>42652.276597222219</v>
      </c>
      <c r="J31" s="7">
        <v>0</v>
      </c>
      <c r="K31" s="116" t="str">
        <f t="shared" si="0"/>
        <v>4013/4014</v>
      </c>
      <c r="L31" s="24" t="str">
        <f>VLOOKUP(A31,'Trips&amp;Operators'!$C$1:$E$10000,3,FALSE)</f>
        <v>MAELZER</v>
      </c>
      <c r="M31" s="6">
        <f t="shared" si="1"/>
        <v>2.6145833333430346E-2</v>
      </c>
      <c r="N31" s="7">
        <f t="shared" si="2"/>
        <v>37.650000000139698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04:55:15-0600',mode:absolute,to:'2016-10-09 07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4" t="str">
        <f t="shared" si="6"/>
        <v>N</v>
      </c>
      <c r="X31" s="163">
        <f t="shared" si="7"/>
        <v>1</v>
      </c>
      <c r="Y31" s="69">
        <f t="shared" si="8"/>
        <v>7.5200000000000003E-2</v>
      </c>
      <c r="Z31" s="69">
        <f t="shared" si="9"/>
        <v>23.331399999999999</v>
      </c>
      <c r="AA31" s="69">
        <f t="shared" si="10"/>
        <v>23.2562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0119-09</v>
      </c>
      <c r="AE31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31" s="91" t="str">
        <f t="shared" si="13"/>
        <v>"C:\Program Files (x86)\AstroGrep\AstroGrep.exe" /spath="%USERPROFILE%\AppData\Local\Temp\OnboardLogs" /stypes="app*4014*20161009*"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5" t="str">
        <f t="shared" si="17"/>
        <v>"%USERPROFILE%\Documents\GitHub\eaglep3\Utilities\RefineRTDCRunTimes.py" --tripid 119-09 --locoid 4014 --swversion DE.1.0.7.0 --startMP 204:752 --initTime 2016-10-09T05:55:15 --startdatetime 2016-10-09T06:00:39 --delay 1 --endMP 204:233314 --enddatetime 2016-10-09T06:38:18 --enforcementcount 0 &gt;&gt;C:\Users\stu\Documents\GitHub\eaglep3-reporting\EC\2016-10-09-refined-times.txt</v>
      </c>
      <c r="AI3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{"issue":{"subject":"","project_id":79,"tracker_id":40,"status_id":1,"priority_id":2,"assigned_to_id":23,"start_date":"2016-10-09","description":"","custom_fields":[{"id":1,"name":"Subdivision","value":"EC"},{"id":4,"name":"Milepost","value":"23.3314"},{"id":17,"name":"Train ID","value":"119-09"},{"id":16,"name":"Locomotive ID","value":"4014"},{"id":130,"name":"Impact","value":""},{"id":150,"name":"Time of Event (Mountain Time)","value":"06:38:18"},{"id":151,"name":"Denver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432</v>
      </c>
      <c r="B32" s="7">
        <v>4013</v>
      </c>
      <c r="C32" s="24" t="s">
        <v>106</v>
      </c>
      <c r="D32" s="24" t="s">
        <v>256</v>
      </c>
      <c r="E32" s="15">
        <v>42652.284537037034</v>
      </c>
      <c r="F32" s="15">
        <v>42652.289201388892</v>
      </c>
      <c r="G32" s="7">
        <v>1</v>
      </c>
      <c r="H32" s="15" t="s">
        <v>187</v>
      </c>
      <c r="I32" s="15">
        <v>42652.315879629627</v>
      </c>
      <c r="J32" s="7">
        <v>0</v>
      </c>
      <c r="K32" s="116" t="str">
        <f t="shared" si="0"/>
        <v>4013/4014</v>
      </c>
      <c r="L32" s="24" t="str">
        <f>VLOOKUP(A32,'Trips&amp;Operators'!$C$1:$E$10000,3,FALSE)</f>
        <v>MAELZER</v>
      </c>
      <c r="M32" s="6">
        <f t="shared" si="1"/>
        <v>2.6678240734327119E-2</v>
      </c>
      <c r="N32" s="7">
        <f t="shared" si="2"/>
        <v>38.416666657431051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05:49:44-0600',mode:absolute,to:'2016-10-09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4" t="str">
        <f t="shared" si="6"/>
        <v>N</v>
      </c>
      <c r="X32" s="163">
        <f t="shared" si="7"/>
        <v>1</v>
      </c>
      <c r="Y32" s="69">
        <f t="shared" si="8"/>
        <v>23.2974</v>
      </c>
      <c r="Z32" s="69">
        <f t="shared" si="9"/>
        <v>1.6E-2</v>
      </c>
      <c r="AA32" s="69">
        <f t="shared" si="10"/>
        <v>23.281400000000001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0120-09</v>
      </c>
      <c r="AE32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32" s="91" t="str">
        <f t="shared" si="13"/>
        <v>"C:\Program Files (x86)\AstroGrep\AstroGrep.exe" /spath="%USERPROFILE%\AppData\Local\Temp\OnboardLogs" /stypes="app*4013*20161009*"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5" t="str">
        <f t="shared" si="17"/>
        <v>"%USERPROFILE%\Documents\GitHub\eaglep3\Utilities\RefineRTDCRunTimes.py" --tripid 120-09 --locoid 4013 --swversion DE.1.0.7.0 --startMP 204:232974 --initTime 2016-10-09T06:49:44 --startdatetime 2016-10-09T06:56:27 --delay 1 --endMP 204:160 --enddatetime 2016-10-09T07:34:52 --enforcementcount 0 &gt;&gt;C:\Users\stu\Documents\GitHub\eaglep3-reporting\EC\2016-10-09-refined-times.txt</v>
      </c>
      <c r="AI3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ID","value":"120-09"},{"id":16,"name":"Locomotive ID","value":"4013"},{"id":130,"name":"Impact","value":""},{"id":150,"name":"Time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426</v>
      </c>
      <c r="B33" s="7">
        <v>4027</v>
      </c>
      <c r="C33" s="24" t="s">
        <v>106</v>
      </c>
      <c r="D33" s="24" t="s">
        <v>195</v>
      </c>
      <c r="E33" s="15">
        <v>42652.256307870368</v>
      </c>
      <c r="F33" s="15">
        <v>42652.260567129626</v>
      </c>
      <c r="G33" s="7">
        <v>1</v>
      </c>
      <c r="H33" s="15" t="s">
        <v>630</v>
      </c>
      <c r="I33" s="15">
        <v>42652.286400462966</v>
      </c>
      <c r="J33" s="7">
        <v>0</v>
      </c>
      <c r="K33" s="116" t="str">
        <f t="shared" si="0"/>
        <v>4027/4028</v>
      </c>
      <c r="L33" s="24" t="str">
        <f>VLOOKUP(A33,'Trips&amp;Operators'!$C$1:$E$10000,3,FALSE)</f>
        <v>DAVIS</v>
      </c>
      <c r="M33" s="6">
        <f t="shared" si="1"/>
        <v>2.5833333340415265E-2</v>
      </c>
      <c r="N33" s="7">
        <f t="shared" si="2"/>
        <v>37.200000010197982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05:09:05-0600',mode:absolute,to:'2016-10-09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3" s="54" t="str">
        <f t="shared" si="6"/>
        <v>N</v>
      </c>
      <c r="X33" s="163">
        <f t="shared" si="7"/>
        <v>1</v>
      </c>
      <c r="Y33" s="69">
        <f t="shared" si="8"/>
        <v>4.6600000000000003E-2</v>
      </c>
      <c r="Z33" s="69">
        <f t="shared" si="9"/>
        <v>23.327200000000001</v>
      </c>
      <c r="AA33" s="69">
        <f t="shared" si="10"/>
        <v>23.2806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0121-09</v>
      </c>
      <c r="AE33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33" s="91" t="str">
        <f t="shared" si="13"/>
        <v>"C:\Program Files (x86)\AstroGrep\AstroGrep.exe" /spath="%USERPROFILE%\AppData\Local\Temp\OnboardLogs" /stypes="app*4027*20161009*"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5" t="str">
        <f t="shared" si="17"/>
        <v>"%USERPROFILE%\Documents\GitHub\eaglep3\Utilities\RefineRTDCRunTimes.py" --tripid 121-09 --locoid 4027 --swversion DE.1.0.7.0 --startMP 204:466 --initTime 2016-10-09T06:09:05 --startdatetime 2016-10-09T06:15:13 --delay 1 --endMP 204:233272 --enddatetime 2016-10-09T06:52:25 --enforcementcount 0 &gt;&gt;C:\Users\stu\Documents\GitHub\eaglep3-reporting\EC\2016-10-09-refined-times.txt</v>
      </c>
      <c r="AI3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{"issue":{"subject":"","project_id":79,"tracker_id":40,"status_id":1,"priority_id":2,"assigned_to_id":23,"start_date":"2016-10-09","description":"","custom_fields":[{"id":1,"name":"Subdivision","value":"EC"},{"id":4,"name":"Milepost","value":"23.3272"},{"id":17,"name":"Train ID","value":"121-09"},{"id":16,"name":"Locomotive ID","value":"4027"},{"id":130,"name":"Impact","value":""},{"id":150,"name":"Time of Event (Mountain Time)","value":"06:52:25"},{"id":151,"name":"Denver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436</v>
      </c>
      <c r="B34" s="7">
        <v>4028</v>
      </c>
      <c r="C34" s="24" t="s">
        <v>106</v>
      </c>
      <c r="D34" s="24" t="s">
        <v>631</v>
      </c>
      <c r="E34" s="15">
        <v>42652.298125000001</v>
      </c>
      <c r="F34" s="15">
        <v>42652.299479166664</v>
      </c>
      <c r="G34" s="7">
        <v>0</v>
      </c>
      <c r="H34" s="15" t="s">
        <v>287</v>
      </c>
      <c r="I34" s="15">
        <v>42652.327650462961</v>
      </c>
      <c r="J34" s="7">
        <v>0</v>
      </c>
      <c r="K34" s="116" t="str">
        <f t="shared" si="0"/>
        <v>4027/4028</v>
      </c>
      <c r="L34" s="24" t="str">
        <f>VLOOKUP(A34,'Trips&amp;Operators'!$C$1:$E$10000,3,FALSE)</f>
        <v>DAVIS</v>
      </c>
      <c r="M34" s="6">
        <f t="shared" si="1"/>
        <v>2.8171296296932269E-2</v>
      </c>
      <c r="N34" s="7">
        <f t="shared" si="2"/>
        <v>40.566666667582467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06:09:18-0600',mode:absolute,to:'2016-10-09 08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54" t="str">
        <f t="shared" si="6"/>
        <v>N</v>
      </c>
      <c r="X34" s="163">
        <f t="shared" si="7"/>
        <v>1</v>
      </c>
      <c r="Y34" s="69">
        <f t="shared" si="8"/>
        <v>23.296700000000001</v>
      </c>
      <c r="Z34" s="69">
        <f t="shared" si="9"/>
        <v>1.3899999999999999E-2</v>
      </c>
      <c r="AA34" s="69">
        <f t="shared" si="10"/>
        <v>23.282800000000002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0122-09</v>
      </c>
      <c r="AE34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34" s="91" t="str">
        <f t="shared" si="13"/>
        <v>"C:\Program Files (x86)\AstroGrep\AstroGrep.exe" /spath="%USERPROFILE%\AppData\Local\Temp\OnboardLogs" /stypes="app*4028*20161009*"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5" t="str">
        <f t="shared" si="17"/>
        <v>"%USERPROFILE%\Documents\GitHub\eaglep3\Utilities\RefineRTDCRunTimes.py" --tripid 122-09 --locoid 4028 --swversion DE.1.0.7.0 --startMP 204:232967 --initTime 2016-10-09T07:09:18 --startdatetime 2016-10-09T07:11:15 --delay 0 --endMP 204:139 --enddatetime 2016-10-09T07:51:49 --enforcementcount 0 &gt;&gt;C:\Users\stu\Documents\GitHub\eaglep3-reporting\EC\2016-10-09-refined-times.txt</v>
      </c>
      <c r="AI3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ID","value":"122-09"},{"id":16,"name":"Locomotive ID","value":"4028"},{"id":130,"name":"Impact","value":""},{"id":150,"name":"Time of Event (Mountain Time)","value":"07:51:49"},{"id":151,"name":"Denver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4018</v>
      </c>
      <c r="C35" s="24" t="s">
        <v>106</v>
      </c>
      <c r="D35" s="24" t="s">
        <v>632</v>
      </c>
      <c r="E35" s="15">
        <v>42652.270104166666</v>
      </c>
      <c r="F35" s="15">
        <v>42652.271249999998</v>
      </c>
      <c r="G35" s="7">
        <v>0</v>
      </c>
      <c r="H35" s="15" t="s">
        <v>633</v>
      </c>
      <c r="I35" s="15">
        <v>42652.296967592592</v>
      </c>
      <c r="J35" s="7">
        <v>0</v>
      </c>
      <c r="K35" s="116" t="str">
        <f t="shared" si="0"/>
        <v>4017/4018</v>
      </c>
      <c r="L35" s="24" t="str">
        <f>VLOOKUP(A35,'Trips&amp;Operators'!$C$1:$E$10000,3,FALSE)</f>
        <v>MALAVE</v>
      </c>
      <c r="M35" s="6">
        <f t="shared" si="1"/>
        <v>2.5717592594446614E-2</v>
      </c>
      <c r="N35" s="7">
        <f t="shared" si="2"/>
        <v>37.033333336003125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05:28:57-0600',mode:absolute,to:'2016-10-09 08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4" t="str">
        <f t="shared" si="6"/>
        <v>N</v>
      </c>
      <c r="X35" s="163">
        <f t="shared" si="7"/>
        <v>1</v>
      </c>
      <c r="Y35" s="69">
        <f t="shared" si="8"/>
        <v>4.7300000000000002E-2</v>
      </c>
      <c r="Z35" s="69">
        <f t="shared" si="9"/>
        <v>23.3264</v>
      </c>
      <c r="AA35" s="69">
        <f t="shared" si="10"/>
        <v>23.2791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0123-09</v>
      </c>
      <c r="AE35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35" s="91" t="str">
        <f t="shared" si="13"/>
        <v>"C:\Program Files (x86)\AstroGrep\AstroGrep.exe" /spath="%USERPROFILE%\AppData\Local\Temp\OnboardLogs" /stypes="app*4018*20161009*"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5" t="str">
        <f t="shared" si="17"/>
        <v>"%USERPROFILE%\Documents\GitHub\eaglep3\Utilities\RefineRTDCRunTimes.py" --tripid 123-09 --locoid 4018 --swversion DE.1.0.7.0 --startMP 204:473 --initTime 2016-10-09T06:28:57 --startdatetime 2016-10-09T06:30:36 --delay 0 --endMP 204:233264 --enddatetime 2016-10-09T07:07:38 --enforcementcount 0 &gt;&gt;C:\Users\stu\Documents\GitHub\eaglep3-reporting\EC\2016-10-09-refined-times.txt</v>
      </c>
      <c r="AI3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{"issue":{"subject":"","project_id":79,"tracker_id":40,"status_id":1,"priority_id":2,"assigned_to_id":23,"start_date":"2016-10-09","description":"","custom_fields":[{"id":1,"name":"Subdivision","value":"EC"},{"id":4,"name":"Milepost","value":"23.3264"},{"id":17,"name":"Train ID","value":"123-09"},{"id":16,"name":"Locomotive ID","value":"4018"},{"id":130,"name":"Impact","value":""},{"id":150,"name":"Time of Event (Mountain Time)","value":"07:07:38"},{"id":151,"name":"Denver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438</v>
      </c>
      <c r="B36" s="7">
        <v>4017</v>
      </c>
      <c r="C36" s="24" t="s">
        <v>106</v>
      </c>
      <c r="D36" s="24" t="s">
        <v>372</v>
      </c>
      <c r="E36" s="15">
        <v>42652.308391203704</v>
      </c>
      <c r="F36" s="15">
        <v>42652.310023148151</v>
      </c>
      <c r="G36" s="7">
        <v>2</v>
      </c>
      <c r="H36" s="15" t="s">
        <v>126</v>
      </c>
      <c r="I36" s="15">
        <v>42652.338136574072</v>
      </c>
      <c r="J36" s="7">
        <v>0</v>
      </c>
      <c r="K36" s="116" t="str">
        <f t="shared" si="0"/>
        <v>4017/4018</v>
      </c>
      <c r="L36" s="24" t="str">
        <f>VLOOKUP(A36,'Trips&amp;Operators'!$C$1:$E$10000,3,FALSE)</f>
        <v>MALAVE</v>
      </c>
      <c r="M36" s="6">
        <f t="shared" si="1"/>
        <v>2.8113425920309965E-2</v>
      </c>
      <c r="N36" s="7">
        <f t="shared" si="2"/>
        <v>40.483333325246349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06:24:05-0600',mode:absolute,to:'2016-10-09 09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4" t="str">
        <f t="shared" si="6"/>
        <v>N</v>
      </c>
      <c r="X36" s="163">
        <f t="shared" si="7"/>
        <v>1</v>
      </c>
      <c r="Y36" s="69">
        <f t="shared" si="8"/>
        <v>23.295500000000001</v>
      </c>
      <c r="Z36" s="69">
        <f t="shared" si="9"/>
        <v>1.54E-2</v>
      </c>
      <c r="AA36" s="69">
        <f t="shared" si="10"/>
        <v>23.280100000000001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0124-09</v>
      </c>
      <c r="AE36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36" s="91" t="str">
        <f t="shared" si="13"/>
        <v>"C:\Program Files (x86)\AstroGrep\AstroGrep.exe" /spath="%USERPROFILE%\AppData\Local\Temp\OnboardLogs" /stypes="app*4017*20161009*"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5" t="str">
        <f t="shared" si="17"/>
        <v>"%USERPROFILE%\Documents\GitHub\eaglep3\Utilities\RefineRTDCRunTimes.py" --tripid 124-09 --locoid 4017 --swversion DE.1.0.7.0 --startMP 204:232955 --initTime 2016-10-09T07:24:05 --startdatetime 2016-10-09T07:26:26 --delay 2 --endMP 204:154 --enddatetime 2016-10-09T08:06:55 --enforcementcount 0 &gt;&gt;C:\Users\stu\Documents\GitHub\eaglep3-reporting\EC\2016-10-09-refined-times.txt</v>
      </c>
      <c r="AI3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ID","value":"124-09"},{"id":16,"name":"Locomotive ID","value":"4017"},{"id":130,"name":"Impact","value":""},{"id":150,"name":"Time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431</v>
      </c>
      <c r="B37" s="7">
        <v>4002</v>
      </c>
      <c r="C37" s="24" t="s">
        <v>106</v>
      </c>
      <c r="D37" s="24" t="s">
        <v>384</v>
      </c>
      <c r="E37" s="15">
        <v>42652.277395833335</v>
      </c>
      <c r="F37" s="15">
        <v>42652.281875000001</v>
      </c>
      <c r="G37" s="7">
        <v>5</v>
      </c>
      <c r="H37" s="15" t="s">
        <v>299</v>
      </c>
      <c r="I37" s="15">
        <v>42652.308298611111</v>
      </c>
      <c r="J37" s="7">
        <v>0</v>
      </c>
      <c r="K37" s="116" t="str">
        <f t="shared" si="0"/>
        <v>4001/4002</v>
      </c>
      <c r="L37" s="24" t="str">
        <f>VLOOKUP(A37,'Trips&amp;Operators'!$C$1:$E$10000,3,FALSE)</f>
        <v>STRICKLAND</v>
      </c>
      <c r="M37" s="6">
        <f t="shared" si="1"/>
        <v>2.6423611110658385E-2</v>
      </c>
      <c r="N37" s="7">
        <f t="shared" si="2"/>
        <v>38.049999999348074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05:39:27-0600',mode:absolute,to:'2016-10-09 08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4" t="str">
        <f t="shared" si="6"/>
        <v>N</v>
      </c>
      <c r="X37" s="163">
        <f t="shared" si="7"/>
        <v>1</v>
      </c>
      <c r="Y37" s="69">
        <f t="shared" si="8"/>
        <v>4.7100000000000003E-2</v>
      </c>
      <c r="Z37" s="69">
        <f t="shared" si="9"/>
        <v>23.329499999999999</v>
      </c>
      <c r="AA37" s="69">
        <f t="shared" si="10"/>
        <v>23.282399999999999</v>
      </c>
      <c r="AB37" s="66" t="str">
        <f>VLOOKUP(A37,Enforcements!$C$7:$K$21,8,0)</f>
        <v>Speed (6)</v>
      </c>
      <c r="AC37" s="62" t="str">
        <f>VLOOKUP(A37,Enforcements!$C$7:$E$21,3,0)</f>
        <v>PERMANENT SPEED RESTRICTION</v>
      </c>
      <c r="AD37" s="63" t="str">
        <f t="shared" si="11"/>
        <v>0125-09</v>
      </c>
      <c r="AE37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37" s="91" t="str">
        <f t="shared" si="13"/>
        <v>"C:\Program Files (x86)\AstroGrep\AstroGrep.exe" /spath="%USERPROFILE%\AppData\Local\Temp\OnboardLogs" /stypes="app*4002*20161009*"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5" t="str">
        <f t="shared" si="17"/>
        <v>"%USERPROFILE%\Documents\GitHub\eaglep3\Utilities\RefineRTDCRunTimes.py" --tripid 125-09 --locoid 4002 --swversion DE.1.0.7.0 --startMP 204:471 --initTime 2016-10-09T06:39:27 --startdatetime 2016-10-09T06:45:54 --delay 5 --endMP 204:233295 --enddatetime 2016-10-09T07:23:57 --enforcementcount 0 &gt;&gt;C:\Users\stu\Documents\GitHub\eaglep3-reporting\EC\2016-10-09-refined-times.txt</v>
      </c>
      <c r="AI3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ID","value":"125-09"},{"id":16,"name":"Locomotive ID","value":"4002"},{"id":130,"name":"Impact","value":""},{"id":150,"name":"Time of Event (Mountain Time)","value":"07:23:57"},{"id":151,"name":"Denver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440</v>
      </c>
      <c r="B38" s="7">
        <v>4001</v>
      </c>
      <c r="C38" s="24" t="s">
        <v>106</v>
      </c>
      <c r="D38" s="24" t="s">
        <v>625</v>
      </c>
      <c r="E38" s="15">
        <v>42652.317384259259</v>
      </c>
      <c r="F38" s="15">
        <v>42652.320474537039</v>
      </c>
      <c r="G38" s="7">
        <v>1</v>
      </c>
      <c r="H38" s="15" t="s">
        <v>207</v>
      </c>
      <c r="I38" s="15">
        <v>42652.348449074074</v>
      </c>
      <c r="J38" s="7">
        <v>0</v>
      </c>
      <c r="K38" s="116" t="str">
        <f t="shared" si="0"/>
        <v>4001/4002</v>
      </c>
      <c r="L38" s="24" t="str">
        <f>VLOOKUP(A38,'Trips&amp;Operators'!$C$1:$E$10000,3,FALSE)</f>
        <v>STRICKLAND</v>
      </c>
      <c r="M38" s="6">
        <f t="shared" si="1"/>
        <v>2.7974537035333924E-2</v>
      </c>
      <c r="N38" s="7">
        <f t="shared" si="2"/>
        <v>40.283333330880851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4" t="str">
        <f t="shared" si="6"/>
        <v>N</v>
      </c>
      <c r="X38" s="163">
        <f t="shared" si="7"/>
        <v>1</v>
      </c>
      <c r="Y38" s="69">
        <f t="shared" si="8"/>
        <v>23.2957</v>
      </c>
      <c r="Z38" s="69">
        <f t="shared" si="9"/>
        <v>1.4500000000000001E-2</v>
      </c>
      <c r="AA38" s="69">
        <f t="shared" si="10"/>
        <v>23.281199999999998</v>
      </c>
      <c r="AB38" s="66" t="str">
        <f>VLOOKUP(A38,Enforcements!$C$7:$K$21,8,0)</f>
        <v>Speed (6)</v>
      </c>
      <c r="AC38" s="62" t="str">
        <f>VLOOKUP(A38,Enforcements!$C$7:$E$21,3,0)</f>
        <v>PERMANENT SPEED RESTRICTION</v>
      </c>
      <c r="AD38" s="63" t="str">
        <f t="shared" si="11"/>
        <v>0126-09</v>
      </c>
      <c r="AE38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38" s="91" t="str">
        <f t="shared" si="13"/>
        <v>"C:\Program Files (x86)\AstroGrep\AstroGrep.exe" /spath="%USERPROFILE%\AppData\Local\Temp\OnboardLogs" /stypes="app*4001*20161009*"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5" t="str">
        <f t="shared" si="17"/>
        <v>"%USERPROFILE%\Documents\GitHub\eaglep3\Utilities\RefineRTDCRunTimes.py" --tripid 126-09 --locoid 4001 --swversion DE.1.0.7.0 --startMP 204:232957 --initTime 2016-10-09T07:37:02 --startdatetime 2016-10-09T07:41:29 --delay 1 --endMP 204:145 --enddatetime 2016-10-09T08:21:46 --enforcementcount 0 &gt;&gt;C:\Users\stu\Documents\GitHub\eaglep3-reporting\EC\2016-10-09-refined-times.txt</v>
      </c>
      <c r="AI3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ID","value":"126-09"},{"id":16,"name":"Locomotive ID","value":"4001"},{"id":130,"name":"Impact","value":""},{"id":150,"name":"Time of Event (Mountain Time)","value":"08:21:46"},{"id":151,"name":"Denver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433</v>
      </c>
      <c r="B39" s="7">
        <v>4007</v>
      </c>
      <c r="C39" s="24" t="s">
        <v>106</v>
      </c>
      <c r="D39" s="24" t="s">
        <v>634</v>
      </c>
      <c r="E39" s="15">
        <v>42652.311967592592</v>
      </c>
      <c r="F39" s="15">
        <v>42652.312488425923</v>
      </c>
      <c r="G39" s="7">
        <v>0</v>
      </c>
      <c r="H39" s="15" t="s">
        <v>221</v>
      </c>
      <c r="I39" s="15">
        <v>42652.319780092592</v>
      </c>
      <c r="J39" s="7">
        <v>1</v>
      </c>
      <c r="K39" s="116" t="str">
        <f t="shared" si="0"/>
        <v>4007/4008</v>
      </c>
      <c r="L39" s="24" t="str">
        <f>VLOOKUP(A39,'Trips&amp;Operators'!$C$1:$E$10000,3,FALSE)</f>
        <v>KILLION</v>
      </c>
      <c r="M39" s="6">
        <f t="shared" si="1"/>
        <v>7.291666668606922E-3</v>
      </c>
      <c r="N39" s="7"/>
      <c r="O39" s="7"/>
      <c r="P39" s="7">
        <f>24*60*SUM($M39:$M40)</f>
        <v>41.316666675265878</v>
      </c>
      <c r="Q39" s="25"/>
      <c r="R39" s="25" t="s">
        <v>766</v>
      </c>
      <c r="S39" s="37">
        <f>SUM(U39:U40)/IF(AG39="EC",12,1)</f>
        <v>1</v>
      </c>
      <c r="T39" s="52" t="str">
        <f t="shared" si="4"/>
        <v>NorthBound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9" s="54" t="str">
        <f t="shared" si="6"/>
        <v>Y</v>
      </c>
      <c r="X39" s="163">
        <f t="shared" si="7"/>
        <v>1</v>
      </c>
      <c r="Y39" s="69">
        <f t="shared" si="8"/>
        <v>15.444599999999999</v>
      </c>
      <c r="Z39" s="69">
        <f t="shared" si="9"/>
        <v>23.3293</v>
      </c>
      <c r="AA39" s="69">
        <f t="shared" si="10"/>
        <v>7.8847000000000005</v>
      </c>
      <c r="AB39" s="66" t="str">
        <f>VLOOKUP(A39,Enforcements!$C$7:$K$21,8,0)</f>
        <v>Signal based authority (5)</v>
      </c>
      <c r="AC39" s="62" t="str">
        <f>VLOOKUP(A39,Enforcements!$C$7:$E$21,3,0)</f>
        <v>SIGNAL</v>
      </c>
      <c r="AD39" s="63" t="str">
        <f t="shared" si="11"/>
        <v>0127-09</v>
      </c>
      <c r="AE39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39" s="91" t="str">
        <f t="shared" si="13"/>
        <v>"C:\Program Files (x86)\AstroGrep\AstroGrep.exe" /spath="%USERPROFILE%\AppData\Local\Temp\OnboardLogs" /stypes="app*4007*20161009*"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5" t="str">
        <f t="shared" si="17"/>
        <v>"%USERPROFILE%\Documents\GitHub\eaglep3\Utilities\RefineRTDCRunTimes.py" --tripid 127-09 --locoid 4007 --swversion DE.1.0.7.0 --startMP 204:154446 --initTime 2016-10-09T07:29:14 --startdatetime 2016-10-09T07:29:59 --delay 0 --endMP 204:233293 --enddatetime 2016-10-09T07:40:29 --enforcementcount 1 &gt;&gt;C:\Users\stu\Documents\GitHub\eaglep3-reporting\EC\2016-10-09-refined-times.txt</v>
      </c>
      <c r="AI39" s="129" t="str">
        <f t="shared" si="18"/>
        <v>echo {"issue":{"subject":"40th 2N - Premature downgrade","project_id":79,"tracker_id":40,"status_id":1,"priority_id":2,"assigned_to_id":23,"start_date":"2016-10-09","description":"","custom_fields":[{"id":1,"name":"Subdivision","value":"EC"},{"id":4,"name":"Milepost","value":"23.3293"},{"id":17,"name":"Train ID","value":"127-09"},{"id":16,"name":"Locomotive ID","value":"4007"},{"id":130,"name":"Impact","value":""},{"id":150,"name":"Time of Event (Mountain Time)","value":"07:40:29"},{"id":151,"name":"Denver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433</v>
      </c>
      <c r="B40" s="7">
        <v>4007</v>
      </c>
      <c r="C40" s="24" t="s">
        <v>106</v>
      </c>
      <c r="D40" s="24" t="s">
        <v>236</v>
      </c>
      <c r="E40" s="15">
        <v>42652.286712962959</v>
      </c>
      <c r="F40" s="15">
        <v>42652.287743055553</v>
      </c>
      <c r="G40" s="7">
        <v>1</v>
      </c>
      <c r="H40" s="15" t="s">
        <v>635</v>
      </c>
      <c r="I40" s="15">
        <v>42652.30914351852</v>
      </c>
      <c r="J40" s="7">
        <v>2</v>
      </c>
      <c r="K40" s="116" t="str">
        <f t="shared" si="0"/>
        <v>4007/4008</v>
      </c>
      <c r="L40" s="24" t="str">
        <f>VLOOKUP(A40,'Trips&amp;Operators'!$C$1:$E$10000,3,FALSE)</f>
        <v>KILLION</v>
      </c>
      <c r="M40" s="6">
        <f t="shared" si="1"/>
        <v>2.1400462966994382E-2</v>
      </c>
      <c r="N40" s="7"/>
      <c r="O40" s="7"/>
      <c r="P40" s="7"/>
      <c r="Q40" s="25"/>
      <c r="R40" s="25"/>
      <c r="S40" s="37"/>
      <c r="T40" s="52" t="str">
        <f t="shared" si="4"/>
        <v>NorthBound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05:52:52-0600',mode:absolute,to:'2016-10-09 08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0" s="54" t="str">
        <f t="shared" si="6"/>
        <v>Y</v>
      </c>
      <c r="X40" s="163">
        <f t="shared" si="7"/>
        <v>0</v>
      </c>
      <c r="Y40" s="69">
        <f t="shared" si="8"/>
        <v>4.6699999999999998E-2</v>
      </c>
      <c r="Z40" s="69">
        <f t="shared" si="9"/>
        <v>12.7959</v>
      </c>
      <c r="AA40" s="69">
        <f t="shared" si="10"/>
        <v>12.7492</v>
      </c>
      <c r="AB40" s="66" t="str">
        <f>VLOOKUP(A40,Enforcements!$C$7:$K$21,8,0)</f>
        <v>Signal based authority (5)</v>
      </c>
      <c r="AC40" s="62" t="str">
        <f>VLOOKUP(A40,Enforcements!$C$7:$E$21,3,0)</f>
        <v>SIGNAL</v>
      </c>
      <c r="AD40" s="63" t="str">
        <f t="shared" si="11"/>
        <v>0127-09</v>
      </c>
      <c r="AE40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40" s="91" t="str">
        <f t="shared" si="13"/>
        <v>"C:\Program Files (x86)\AstroGrep\AstroGrep.exe" /spath="%USERPROFILE%\AppData\Local\Temp\OnboardLogs" /stypes="app*4007*20161009*"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5" t="str">
        <f t="shared" si="17"/>
        <v>"%USERPROFILE%\Documents\GitHub\eaglep3\Utilities\RefineRTDCRunTimes.py" --tripid 127-09 --locoid 4007 --swversion DE.1.0.7.0 --startMP 204:467 --initTime 2016-10-09T06:52:52 --startdatetime 2016-10-09T06:54:21 --delay 1 --endMP 204:127959 --enddatetime 2016-10-09T07:25:10 --enforcementcount 2 &gt;&gt;C:\Users\stu\Documents\GitHub\eaglep3-reporting\EC\2016-10-09-refined-times.txt</v>
      </c>
      <c r="AI4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{"issue":{"subject":"","project_id":79,"tracker_id":40,"status_id":1,"priority_id":2,"assigned_to_id":23,"start_date":"2016-10-09","description":"","custom_fields":[{"id":1,"name":"Subdivision","value":"EC"},{"id":4,"name":"Milepost","value":"12.7959"},{"id":17,"name":"Train ID","value":"127-09"},{"id":16,"name":"Locomotive ID","value":"4007"},{"id":130,"name":"Impact","value":""},{"id":150,"name":"Time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442</v>
      </c>
      <c r="B41" s="7">
        <v>4008</v>
      </c>
      <c r="C41" s="24" t="s">
        <v>106</v>
      </c>
      <c r="D41" s="24" t="s">
        <v>636</v>
      </c>
      <c r="E41" s="15">
        <v>42652.326666666668</v>
      </c>
      <c r="F41" s="15">
        <v>42652.330995370372</v>
      </c>
      <c r="G41" s="7">
        <v>1</v>
      </c>
      <c r="H41" s="15" t="s">
        <v>287</v>
      </c>
      <c r="I41" s="15">
        <v>42652.357048611113</v>
      </c>
      <c r="J41" s="7">
        <v>0</v>
      </c>
      <c r="K41" s="116" t="str">
        <f t="shared" si="0"/>
        <v>4007/4008</v>
      </c>
      <c r="L41" s="24" t="str">
        <f>VLOOKUP(A41,'Trips&amp;Operators'!$C$1:$E$10000,3,FALSE)</f>
        <v>KILLION</v>
      </c>
      <c r="M41" s="6">
        <f t="shared" si="1"/>
        <v>2.6053240741021E-2</v>
      </c>
      <c r="N41" s="7">
        <f t="shared" si="2"/>
        <v>37.51666666707024</v>
      </c>
      <c r="O41" s="7"/>
      <c r="P41" s="7"/>
      <c r="Q41" s="25"/>
      <c r="R41" s="25"/>
      <c r="S41" s="37">
        <f t="shared" si="3"/>
        <v>1</v>
      </c>
      <c r="T41" s="52" t="str">
        <f t="shared" si="4"/>
        <v>Southbound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06:50:24-0600',mode:absolute,to:'2016-10-09 09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1" s="54" t="str">
        <f t="shared" si="6"/>
        <v>N</v>
      </c>
      <c r="X41" s="163">
        <f t="shared" si="7"/>
        <v>1</v>
      </c>
      <c r="Y41" s="69">
        <f t="shared" si="8"/>
        <v>23.295999999999999</v>
      </c>
      <c r="Z41" s="69">
        <f t="shared" si="9"/>
        <v>1.3899999999999999E-2</v>
      </c>
      <c r="AA41" s="69">
        <f t="shared" si="10"/>
        <v>23.2821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0128-09</v>
      </c>
      <c r="AE41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41" s="91" t="str">
        <f t="shared" si="13"/>
        <v>"C:\Program Files (x86)\AstroGrep\AstroGrep.exe" /spath="%USERPROFILE%\AppData\Local\Temp\OnboardLogs" /stypes="app*4008*20161009*"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5" t="str">
        <f t="shared" si="17"/>
        <v>"%USERPROFILE%\Documents\GitHub\eaglep3\Utilities\RefineRTDCRunTimes.py" --tripid 128-09 --locoid 4008 --swversion DE.1.0.7.0 --startMP 204:232960 --initTime 2016-10-09T07:50:24 --startdatetime 2016-10-09T07:56:38 --delay 1 --endMP 204:139 --enddatetime 2016-10-09T08:34:09 --enforcementcount 0 &gt;&gt;C:\Users\stu\Documents\GitHub\eaglep3-reporting\EC\2016-10-09-refined-times.txt</v>
      </c>
      <c r="AI4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ID","value":"128-09"},{"id":16,"name":"Locomotive ID","value":"4008"},{"id":130,"name":"Impact","value":""},{"id":150,"name":"Time of Event (Mountain Time)","value":"08:34:09"},{"id":151,"name":"Denver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435</v>
      </c>
      <c r="B42" s="7">
        <v>4025</v>
      </c>
      <c r="C42" s="24" t="s">
        <v>106</v>
      </c>
      <c r="D42" s="24" t="s">
        <v>284</v>
      </c>
      <c r="E42" s="15">
        <v>42652.295659722222</v>
      </c>
      <c r="F42" s="15">
        <v>42652.302511574075</v>
      </c>
      <c r="G42" s="7">
        <v>1</v>
      </c>
      <c r="H42" s="15" t="s">
        <v>266</v>
      </c>
      <c r="I42" s="15">
        <v>42652.326643518521</v>
      </c>
      <c r="J42" s="7">
        <v>0</v>
      </c>
      <c r="K42" s="116" t="str">
        <f t="shared" si="0"/>
        <v>4025/4026</v>
      </c>
      <c r="L42" s="24" t="str">
        <f>VLOOKUP(A42,'Trips&amp;Operators'!$C$1:$E$10000,3,FALSE)</f>
        <v>YORK</v>
      </c>
      <c r="M42" s="6">
        <f t="shared" si="1"/>
        <v>2.4131944446708076E-2</v>
      </c>
      <c r="N42" s="7">
        <f t="shared" si="2"/>
        <v>34.750000003259629</v>
      </c>
      <c r="O42" s="7"/>
      <c r="P42" s="7"/>
      <c r="Q42" s="25"/>
      <c r="R42" s="25"/>
      <c r="S42" s="37">
        <f t="shared" si="3"/>
        <v>1</v>
      </c>
      <c r="T42" s="52" t="str">
        <f t="shared" si="4"/>
        <v>NorthBound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06:05:45-0600',mode:absolute,to:'2016-10-09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2" s="54" t="str">
        <f t="shared" si="6"/>
        <v>N</v>
      </c>
      <c r="X42" s="163">
        <f t="shared" si="7"/>
        <v>1</v>
      </c>
      <c r="Y42" s="69">
        <f t="shared" si="8"/>
        <v>4.3999999999999997E-2</v>
      </c>
      <c r="Z42" s="69">
        <f t="shared" si="9"/>
        <v>23.328600000000002</v>
      </c>
      <c r="AA42" s="69">
        <f t="shared" si="10"/>
        <v>23.284600000000001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0129-09</v>
      </c>
      <c r="AE42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42" s="91" t="str">
        <f t="shared" si="13"/>
        <v>"C:\Program Files (x86)\AstroGrep\AstroGrep.exe" /spath="%USERPROFILE%\AppData\Local\Temp\OnboardLogs" /stypes="app*4025*20161009*" /stext=" 13:.+((SYSTEM_STATE.+slice.+state.+changed )|(ment ac)|(system.+state.+changed )|(\[timeout)|(PRM\|1\|D)|(kpr)|(kdp)|(\|lc)|(penalty))" /e /r /s</v>
      </c>
      <c r="AG42" s="1" t="str">
        <f t="shared" si="14"/>
        <v>EC</v>
      </c>
      <c r="AH42" s="95" t="str">
        <f t="shared" si="17"/>
        <v>"%USERPROFILE%\Documents\GitHub\eaglep3\Utilities\RefineRTDCRunTimes.py" --tripid 129-09 --locoid 4025 --swversion DE.1.0.7.0 --startMP 204:440 --initTime 2016-10-09T07:05:45 --startdatetime 2016-10-09T07:15:37 --delay 1 --endMP 204:233286 --enddatetime 2016-10-09T07:50:22 --enforcementcount 0 &gt;&gt;C:\Users\stu\Documents\GitHub\eaglep3-reporting\EC\2016-10-09-refined-times.txt</v>
      </c>
      <c r="AI4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ID","value":"129-09"},{"id":16,"name":"Locomotive ID","value":"4025"},{"id":130,"name":"Impact","value":""},{"id":150,"name":"Time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444</v>
      </c>
      <c r="B43" s="7">
        <v>4026</v>
      </c>
      <c r="C43" s="24" t="s">
        <v>106</v>
      </c>
      <c r="D43" s="24" t="s">
        <v>637</v>
      </c>
      <c r="E43" s="15">
        <v>42652.338969907411</v>
      </c>
      <c r="F43" s="15">
        <v>42652.341296296298</v>
      </c>
      <c r="G43" s="7">
        <v>1</v>
      </c>
      <c r="H43" s="15" t="s">
        <v>193</v>
      </c>
      <c r="I43" s="15">
        <v>42652.367152777777</v>
      </c>
      <c r="J43" s="7">
        <v>0</v>
      </c>
      <c r="K43" s="116" t="str">
        <f t="shared" si="0"/>
        <v>4025/4026</v>
      </c>
      <c r="L43" s="24" t="str">
        <f>VLOOKUP(A43,'Trips&amp;Operators'!$C$1:$E$10000,3,FALSE)</f>
        <v>YORK</v>
      </c>
      <c r="M43" s="6">
        <f t="shared" si="1"/>
        <v>2.5856481479422655E-2</v>
      </c>
      <c r="N43" s="7">
        <f t="shared" si="2"/>
        <v>37.233333330368623</v>
      </c>
      <c r="O43" s="7"/>
      <c r="P43" s="7"/>
      <c r="Q43" s="25"/>
      <c r="R43" s="25"/>
      <c r="S43" s="37">
        <f t="shared" si="3"/>
        <v>1</v>
      </c>
      <c r="T43" s="52" t="str">
        <f t="shared" si="4"/>
        <v>Southbound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07:08:07-0600',mode:absolute,to:'2016-10-09 09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3" s="54" t="str">
        <f t="shared" si="6"/>
        <v>N</v>
      </c>
      <c r="X43" s="163">
        <f t="shared" si="7"/>
        <v>1</v>
      </c>
      <c r="Y43" s="69">
        <f t="shared" si="8"/>
        <v>23.2959</v>
      </c>
      <c r="Z43" s="69">
        <f t="shared" si="9"/>
        <v>1.52E-2</v>
      </c>
      <c r="AA43" s="69">
        <f t="shared" si="10"/>
        <v>23.2807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0130-09</v>
      </c>
      <c r="AE43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43" s="91" t="str">
        <f t="shared" si="13"/>
        <v>"C:\Program Files (x86)\AstroGrep\AstroGrep.exe" /spath="%USERPROFILE%\AppData\Local\Temp\OnboardLogs" /stypes="app*4026*20161009*"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5" t="str">
        <f t="shared" si="17"/>
        <v>"%USERPROFILE%\Documents\GitHub\eaglep3\Utilities\RefineRTDCRunTimes.py" --tripid 130-09 --locoid 4026 --swversion DE.1.0.7.0 --startMP 204:232959 --initTime 2016-10-09T08:08:07 --startdatetime 2016-10-09T08:11:28 --delay 1 --endMP 204:152 --enddatetime 2016-10-09T08:48:42 --enforcementcount 0 &gt;&gt;C:\Users\stu\Documents\GitHub\eaglep3-reporting\EC\2016-10-09-refined-times.txt</v>
      </c>
      <c r="AI4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ID","value":"130-09"},{"id":16,"name":"Locomotive ID","value":"4026"},{"id":130,"name":"Impact","value":""},{"id":150,"name":"Time of Event (Mountain Time)","value":"08:48:42"},{"id":151,"name":"Denver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437</v>
      </c>
      <c r="B44" s="7">
        <v>4040</v>
      </c>
      <c r="C44" s="24" t="s">
        <v>106</v>
      </c>
      <c r="D44" s="24" t="s">
        <v>283</v>
      </c>
      <c r="E44" s="15">
        <v>42652.307187500002</v>
      </c>
      <c r="F44" s="15">
        <v>42652.312708333331</v>
      </c>
      <c r="G44" s="7">
        <v>1</v>
      </c>
      <c r="H44" s="15" t="s">
        <v>192</v>
      </c>
      <c r="I44" s="15">
        <v>42652.337870370371</v>
      </c>
      <c r="J44" s="7">
        <v>0</v>
      </c>
      <c r="K44" s="116" t="str">
        <f t="shared" si="0"/>
        <v>4039/4040</v>
      </c>
      <c r="L44" s="24" t="str">
        <f>VLOOKUP(A44,'Trips&amp;Operators'!$C$1:$E$10000,3,FALSE)</f>
        <v>ACKERMAN</v>
      </c>
      <c r="M44" s="6">
        <f t="shared" si="1"/>
        <v>2.5162037039990537E-2</v>
      </c>
      <c r="N44" s="7">
        <f t="shared" si="2"/>
        <v>36.233333337586373</v>
      </c>
      <c r="O44" s="7"/>
      <c r="P44" s="7"/>
      <c r="Q44" s="25"/>
      <c r="R44" s="25"/>
      <c r="S44" s="37">
        <f t="shared" si="3"/>
        <v>1</v>
      </c>
      <c r="T44" s="52" t="str">
        <f t="shared" si="4"/>
        <v>NorthBound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06:22:21-0600',mode:absolute,to:'2016-10-09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4" s="54" t="str">
        <f t="shared" si="6"/>
        <v>N</v>
      </c>
      <c r="X44" s="163">
        <f t="shared" si="7"/>
        <v>1</v>
      </c>
      <c r="Y44" s="69">
        <f t="shared" si="8"/>
        <v>4.4400000000000002E-2</v>
      </c>
      <c r="Z44" s="69">
        <f t="shared" si="9"/>
        <v>23.3291</v>
      </c>
      <c r="AA44" s="69">
        <f t="shared" si="10"/>
        <v>23.284700000000001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0131-09</v>
      </c>
      <c r="AE44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44" s="91" t="str">
        <f t="shared" si="13"/>
        <v>"C:\Program Files (x86)\AstroGrep\AstroGrep.exe" /spath="%USERPROFILE%\AppData\Local\Temp\OnboardLogs" /stypes="app*4040*20161009*"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5" t="str">
        <f t="shared" si="17"/>
        <v>"%USERPROFILE%\Documents\GitHub\eaglep3\Utilities\RefineRTDCRunTimes.py" --tripid 131-09 --locoid 4040 --swversion DE.1.0.7.0 --startMP 204:444 --initTime 2016-10-09T07:22:21 --startdatetime 2016-10-09T07:30:18 --delay 1 --endMP 204:233291 --enddatetime 2016-10-09T08:06:32 --enforcementcount 0 &gt;&gt;C:\Users\stu\Documents\GitHub\eaglep3-reporting\EC\2016-10-09-refined-times.txt</v>
      </c>
      <c r="AI4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ID","value":"131-09"},{"id":16,"name":"Locomotive ID","value":"4040"},{"id":130,"name":"Impact","value":""},{"id":150,"name":"Time of Event (Mountain Time)","value":"08:06:32"},{"id":151,"name":"Denver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447</v>
      </c>
      <c r="B45" s="7">
        <v>4039</v>
      </c>
      <c r="C45" s="24" t="s">
        <v>106</v>
      </c>
      <c r="D45" s="24" t="s">
        <v>296</v>
      </c>
      <c r="E45" s="15">
        <v>42652.346365740741</v>
      </c>
      <c r="F45" s="15">
        <v>42652.351620370369</v>
      </c>
      <c r="G45" s="7">
        <v>1</v>
      </c>
      <c r="H45" s="15" t="s">
        <v>193</v>
      </c>
      <c r="I45" s="15">
        <v>42652.378472222219</v>
      </c>
      <c r="J45" s="7">
        <v>0</v>
      </c>
      <c r="K45" s="116" t="str">
        <f t="shared" si="0"/>
        <v>4039/4040</v>
      </c>
      <c r="L45" s="24" t="str">
        <f>VLOOKUP(A45,'Trips&amp;Operators'!$C$1:$E$10000,3,FALSE)</f>
        <v>ACKERMAN</v>
      </c>
      <c r="M45" s="6">
        <f t="shared" si="1"/>
        <v>2.6851851849642117E-2</v>
      </c>
      <c r="N45" s="7">
        <f t="shared" si="2"/>
        <v>38.666666663484648</v>
      </c>
      <c r="O45" s="7"/>
      <c r="P45" s="7"/>
      <c r="Q45" s="25"/>
      <c r="R45" s="25"/>
      <c r="S45" s="37">
        <f t="shared" si="3"/>
        <v>1</v>
      </c>
      <c r="T45" s="52" t="str">
        <f t="shared" si="4"/>
        <v>Southbound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07:18:46-0600',mode:absolute,to:'2016-10-09 10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5" s="54" t="str">
        <f t="shared" si="6"/>
        <v>N</v>
      </c>
      <c r="X45" s="163">
        <f t="shared" ref="X45:X76" si="19">VALUE(LEFT(AD45,4))-VALUE(LEFT(AD44,4))</f>
        <v>1</v>
      </c>
      <c r="Y45" s="69">
        <f t="shared" si="8"/>
        <v>23.298100000000002</v>
      </c>
      <c r="Z45" s="69">
        <f t="shared" si="9"/>
        <v>1.52E-2</v>
      </c>
      <c r="AA45" s="69">
        <f t="shared" si="10"/>
        <v>23.282900000000001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0132-09</v>
      </c>
      <c r="AE45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45" s="91" t="str">
        <f t="shared" si="13"/>
        <v>"C:\Program Files (x86)\AstroGrep\AstroGrep.exe" /spath="%USERPROFILE%\AppData\Local\Temp\OnboardLogs" /stypes="app*4039*20161009*"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5" t="str">
        <f t="shared" si="17"/>
        <v>"%USERPROFILE%\Documents\GitHub\eaglep3\Utilities\RefineRTDCRunTimes.py" --tripid 132-09 --locoid 4039 --swversion DE.1.0.7.0 --startMP 204:232981 --initTime 2016-10-09T08:18:46 --startdatetime 2016-10-09T08:26:20 --delay 1 --endMP 204:152 --enddatetime 2016-10-09T09:05:00 --enforcementcount 0 &gt;&gt;C:\Users\stu\Documents\GitHub\eaglep3-reporting\EC\2016-10-09-refined-times.txt</v>
      </c>
      <c r="AI4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ID","value":"132-09"},{"id":16,"name":"Locomotive ID","value":"4039"},{"id":130,"name":"Impact","value":""},{"id":150,"name":"Time of Event (Mountain Time)","value":"09:05:00"},{"id":151,"name":"Denver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441</v>
      </c>
      <c r="B46" s="7">
        <v>4014</v>
      </c>
      <c r="C46" s="24" t="s">
        <v>106</v>
      </c>
      <c r="D46" s="24" t="s">
        <v>198</v>
      </c>
      <c r="E46" s="15">
        <v>42652.318425925929</v>
      </c>
      <c r="F46" s="15">
        <v>42652.323194444441</v>
      </c>
      <c r="G46" s="7">
        <v>1</v>
      </c>
      <c r="H46" s="15" t="s">
        <v>391</v>
      </c>
      <c r="I46" s="15">
        <v>42652.348356481481</v>
      </c>
      <c r="J46" s="7">
        <v>0</v>
      </c>
      <c r="K46" s="116" t="str">
        <f t="shared" si="0"/>
        <v>4013/4014</v>
      </c>
      <c r="L46" s="24" t="str">
        <f>VLOOKUP(A46,'Trips&amp;Operators'!$C$1:$E$10000,3,FALSE)</f>
        <v>MAELZER</v>
      </c>
      <c r="M46" s="6">
        <f t="shared" si="1"/>
        <v>2.5162037039990537E-2</v>
      </c>
      <c r="N46" s="7">
        <f t="shared" si="2"/>
        <v>36.233333337586373</v>
      </c>
      <c r="O46" s="7"/>
      <c r="P46" s="7"/>
      <c r="Q46" s="25"/>
      <c r="R46" s="25"/>
      <c r="S46" s="37">
        <f t="shared" si="3"/>
        <v>1</v>
      </c>
      <c r="T46" s="52" t="str">
        <f t="shared" si="4"/>
        <v>NorthBound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06:38:32-0600',mode:absolute,to:'2016-10-09 09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54" t="str">
        <f t="shared" si="6"/>
        <v>N</v>
      </c>
      <c r="X46" s="163">
        <f t="shared" si="19"/>
        <v>1</v>
      </c>
      <c r="Y46" s="69">
        <f t="shared" si="8"/>
        <v>4.58E-2</v>
      </c>
      <c r="Z46" s="69">
        <f t="shared" si="9"/>
        <v>23.328900000000001</v>
      </c>
      <c r="AA46" s="69">
        <f t="shared" si="10"/>
        <v>23.283100000000001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0133-09</v>
      </c>
      <c r="AE46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46" s="91" t="str">
        <f t="shared" si="13"/>
        <v>"C:\Program Files (x86)\AstroGrep\AstroGrep.exe" /spath="%USERPROFILE%\AppData\Local\Temp\OnboardLogs" /stypes="app*4014*20161009*"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5" t="str">
        <f t="shared" si="17"/>
        <v>"%USERPROFILE%\Documents\GitHub\eaglep3\Utilities\RefineRTDCRunTimes.py" --tripid 133-09 --locoid 4014 --swversion DE.1.0.7.0 --startMP 204:458 --initTime 2016-10-09T07:38:32 --startdatetime 2016-10-09T07:45:24 --delay 1 --endMP 204:233289 --enddatetime 2016-10-09T08:21:38 --enforcementcount 0 &gt;&gt;C:\Users\stu\Documents\GitHub\eaglep3-reporting\EC\2016-10-09-refined-times.txt</v>
      </c>
      <c r="AI4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ID","value":"133-09"},{"id":16,"name":"Locomotive ID","value":"4014"},{"id":130,"name":"Impact","value":""},{"id":150,"name":"Time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449</v>
      </c>
      <c r="B47" s="7">
        <v>4013</v>
      </c>
      <c r="C47" s="24" t="s">
        <v>106</v>
      </c>
      <c r="D47" s="24" t="s">
        <v>215</v>
      </c>
      <c r="E47" s="15">
        <v>42652.357523148145</v>
      </c>
      <c r="F47" s="15">
        <v>42652.362245370372</v>
      </c>
      <c r="G47" s="7">
        <v>0</v>
      </c>
      <c r="H47" s="15" t="s">
        <v>638</v>
      </c>
      <c r="I47" s="15">
        <v>42652.388993055552</v>
      </c>
      <c r="J47" s="7">
        <v>0</v>
      </c>
      <c r="K47" s="116" t="str">
        <f t="shared" si="0"/>
        <v>4013/4014</v>
      </c>
      <c r="L47" s="24" t="str">
        <f>VLOOKUP(A47,'Trips&amp;Operators'!$C$1:$E$10000,3,FALSE)</f>
        <v>MAELZER</v>
      </c>
      <c r="M47" s="6">
        <f t="shared" si="1"/>
        <v>2.6747685180453118E-2</v>
      </c>
      <c r="N47" s="7">
        <f t="shared" si="2"/>
        <v>38.51666665985249</v>
      </c>
      <c r="O47" s="7"/>
      <c r="P47" s="7"/>
      <c r="Q47" s="25"/>
      <c r="R47" s="25"/>
      <c r="S47" s="37">
        <f t="shared" si="3"/>
        <v>1</v>
      </c>
      <c r="T47" s="52" t="str">
        <f t="shared" si="4"/>
        <v>Southbound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07:34:50-0600',mode:absolute,to:'2016-10-09 10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54" t="str">
        <f t="shared" si="6"/>
        <v>N</v>
      </c>
      <c r="X47" s="163">
        <f t="shared" si="19"/>
        <v>1</v>
      </c>
      <c r="Y47" s="69">
        <f t="shared" si="8"/>
        <v>23.297699999999999</v>
      </c>
      <c r="Z47" s="69">
        <f t="shared" si="9"/>
        <v>1.2500000000000001E-2</v>
      </c>
      <c r="AA47" s="69">
        <f t="shared" si="10"/>
        <v>23.2852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0134-09</v>
      </c>
      <c r="AE47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47" s="91" t="str">
        <f t="shared" si="13"/>
        <v>"C:\Program Files (x86)\AstroGrep\AstroGrep.exe" /spath="%USERPROFILE%\AppData\Local\Temp\OnboardLogs" /stypes="app*4013*20161009*"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5" t="str">
        <f t="shared" si="17"/>
        <v>"%USERPROFILE%\Documents\GitHub\eaglep3\Utilities\RefineRTDCRunTimes.py" --tripid 134-09 --locoid 4013 --swversion DE.1.0.7.0 --startMP 204:232977 --initTime 2016-10-09T08:34:50 --startdatetime 2016-10-09T08:41:38 --delay 0 --endMP 204:125 --enddatetime 2016-10-09T09:20:09 --enforcementcount 0 &gt;&gt;C:\Users\stu\Documents\GitHub\eaglep3-reporting\EC\2016-10-09-refined-times.txt</v>
      </c>
      <c r="AI4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{"issue":{"subject":"","project_id":79,"tracker_id":40,"status_id":1,"priority_id":2,"assigned_to_id":23,"start_date":"2016-10-09","description":"","custom_fields":[{"id":1,"name":"Subdivision","value":"EC"},{"id":4,"name":"Milepost","value":"0.0125"},{"id":17,"name":"Train ID","value":"134-09"},{"id":16,"name":"Locomotive ID","value":"4013"},{"id":130,"name":"Impact","value":""},{"id":150,"name":"Time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443</v>
      </c>
      <c r="B48" s="7">
        <v>4027</v>
      </c>
      <c r="C48" s="24" t="s">
        <v>106</v>
      </c>
      <c r="D48" s="24" t="s">
        <v>383</v>
      </c>
      <c r="E48" s="15">
        <v>42652.329004629632</v>
      </c>
      <c r="F48" s="15">
        <v>42652.33353009259</v>
      </c>
      <c r="G48" s="7">
        <v>1</v>
      </c>
      <c r="H48" s="15" t="s">
        <v>639</v>
      </c>
      <c r="I48" s="15">
        <v>42652.358784722222</v>
      </c>
      <c r="J48" s="7">
        <v>0</v>
      </c>
      <c r="K48" s="116" t="str">
        <f t="shared" si="0"/>
        <v>4027/4028</v>
      </c>
      <c r="L48" s="24" t="str">
        <f>VLOOKUP(A48,'Trips&amp;Operators'!$C$1:$E$10000,3,FALSE)</f>
        <v>DAVIS</v>
      </c>
      <c r="M48" s="6">
        <f t="shared" si="1"/>
        <v>2.5254629632399883E-2</v>
      </c>
      <c r="N48" s="7">
        <f t="shared" si="2"/>
        <v>36.366666670655832</v>
      </c>
      <c r="O48" s="7"/>
      <c r="P48" s="7"/>
      <c r="Q48" s="25"/>
      <c r="R48" s="25"/>
      <c r="S48" s="37">
        <f t="shared" si="3"/>
        <v>1</v>
      </c>
      <c r="T48" s="52" t="str">
        <f t="shared" si="4"/>
        <v>NorthBound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06:53:46-0600',mode:absolute,to:'2016-10-09 09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8" s="54" t="str">
        <f t="shared" si="6"/>
        <v>N</v>
      </c>
      <c r="X48" s="163">
        <f t="shared" si="19"/>
        <v>1</v>
      </c>
      <c r="Y48" s="69">
        <f t="shared" si="8"/>
        <v>4.4200000000000003E-2</v>
      </c>
      <c r="Z48" s="69">
        <f t="shared" si="9"/>
        <v>23.331</v>
      </c>
      <c r="AA48" s="69">
        <f t="shared" si="10"/>
        <v>23.286799999999999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0135-09</v>
      </c>
      <c r="AE48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48" s="91" t="str">
        <f t="shared" si="13"/>
        <v>"C:\Program Files (x86)\AstroGrep\AstroGrep.exe" /spath="%USERPROFILE%\AppData\Local\Temp\OnboardLogs" /stypes="app*4027*20161009*"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5" t="str">
        <f t="shared" si="17"/>
        <v>"%USERPROFILE%\Documents\GitHub\eaglep3\Utilities\RefineRTDCRunTimes.py" --tripid 135-09 --locoid 4027 --swversion DE.1.0.7.0 --startMP 204:442 --initTime 2016-10-09T07:53:46 --startdatetime 2016-10-09T08:00:17 --delay 1 --endMP 204:233310 --enddatetime 2016-10-09T08:36:39 --enforcementcount 0 &gt;&gt;C:\Users\stu\Documents\GitHub\eaglep3-reporting\EC\2016-10-09-refined-times.txt</v>
      </c>
      <c r="AI4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ID","value":"135-09"},{"id":16,"name":"Locomotive ID","value":"4027"},{"id":130,"name":"Impact","value":""},{"id":150,"name":"Time of Event (Mountain Time)","value":"08:36:39"},{"id":151,"name":"Denver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452</v>
      </c>
      <c r="B49" s="7">
        <v>4028</v>
      </c>
      <c r="C49" s="24" t="s">
        <v>106</v>
      </c>
      <c r="D49" s="24" t="s">
        <v>269</v>
      </c>
      <c r="E49" s="15">
        <v>42652.369363425925</v>
      </c>
      <c r="F49" s="15">
        <v>42652.372395833336</v>
      </c>
      <c r="G49" s="7">
        <v>1</v>
      </c>
      <c r="H49" s="15" t="s">
        <v>289</v>
      </c>
      <c r="I49" s="15">
        <v>42652.402407407404</v>
      </c>
      <c r="J49" s="7">
        <v>0</v>
      </c>
      <c r="K49" s="116" t="str">
        <f t="shared" si="0"/>
        <v>4027/4028</v>
      </c>
      <c r="L49" s="24" t="str">
        <f>VLOOKUP(A49,'Trips&amp;Operators'!$C$1:$E$10000,3,FALSE)</f>
        <v>DAVIS</v>
      </c>
      <c r="M49" s="6">
        <f t="shared" si="1"/>
        <v>3.0011574068339542E-2</v>
      </c>
      <c r="N49" s="7">
        <f t="shared" si="2"/>
        <v>43.21666665840894</v>
      </c>
      <c r="O49" s="7"/>
      <c r="P49" s="7"/>
      <c r="Q49" s="25"/>
      <c r="R49" s="25"/>
      <c r="S49" s="37">
        <f t="shared" si="3"/>
        <v>1</v>
      </c>
      <c r="T49" s="52" t="str">
        <f t="shared" si="4"/>
        <v>Southbound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07:51:53-0600',mode:absolute,to:'2016-10-09 10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9" s="54" t="str">
        <f t="shared" si="6"/>
        <v>N</v>
      </c>
      <c r="X49" s="163">
        <f t="shared" si="19"/>
        <v>1</v>
      </c>
      <c r="Y49" s="69">
        <f t="shared" si="8"/>
        <v>23.3</v>
      </c>
      <c r="Z49" s="69">
        <f t="shared" si="9"/>
        <v>1.43E-2</v>
      </c>
      <c r="AA49" s="69">
        <f t="shared" si="10"/>
        <v>23.285700000000002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0136-09</v>
      </c>
      <c r="AE49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49" s="91" t="str">
        <f t="shared" si="13"/>
        <v>"C:\Program Files (x86)\AstroGrep\AstroGrep.exe" /spath="%USERPROFILE%\AppData\Local\Temp\OnboardLogs" /stypes="app*4028*20161009*"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5" t="str">
        <f t="shared" si="17"/>
        <v>"%USERPROFILE%\Documents\GitHub\eaglep3\Utilities\RefineRTDCRunTimes.py" --tripid 136-09 --locoid 4028 --swversion DE.1.0.7.0 --startMP 204:233000 --initTime 2016-10-09T08:51:53 --startdatetime 2016-10-09T08:56:15 --delay 1 --endMP 204:143 --enddatetime 2016-10-09T09:39:28 --enforcementcount 0 &gt;&gt;C:\Users\stu\Documents\GitHub\eaglep3-reporting\EC\2016-10-09-refined-times.txt</v>
      </c>
      <c r="AI4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ID","value":"136-09"},{"id":16,"name":"Locomotive ID","value":"4028"},{"id":130,"name":"Impact","value":""},{"id":150,"name":"Time of Event (Mountain Time)","value":"09:39:28"},{"id":151,"name":"Denver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446</v>
      </c>
      <c r="B50" s="7">
        <v>4018</v>
      </c>
      <c r="C50" s="24" t="s">
        <v>106</v>
      </c>
      <c r="D50" s="24" t="s">
        <v>393</v>
      </c>
      <c r="E50" s="15">
        <v>42652.341898148145</v>
      </c>
      <c r="F50" s="15">
        <v>42652.3440162037</v>
      </c>
      <c r="G50" s="7">
        <v>1</v>
      </c>
      <c r="H50" s="15" t="s">
        <v>297</v>
      </c>
      <c r="I50" s="15">
        <v>42652.369270833333</v>
      </c>
      <c r="J50" s="7">
        <v>0</v>
      </c>
      <c r="K50" s="116" t="str">
        <f t="shared" si="0"/>
        <v>4017/4018</v>
      </c>
      <c r="L50" s="24" t="str">
        <f>VLOOKUP(A50,'Trips&amp;Operators'!$C$1:$E$10000,3,FALSE)</f>
        <v>MALAVE</v>
      </c>
      <c r="M50" s="6">
        <f t="shared" si="1"/>
        <v>2.5254629632399883E-2</v>
      </c>
      <c r="N50" s="7">
        <f t="shared" si="2"/>
        <v>36.366666670655832</v>
      </c>
      <c r="O50" s="7"/>
      <c r="P50" s="7"/>
      <c r="Q50" s="25"/>
      <c r="R50" s="25"/>
      <c r="S50" s="37">
        <f t="shared" si="3"/>
        <v>1</v>
      </c>
      <c r="T50" s="52" t="str">
        <f t="shared" si="4"/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07:12:20-0600',mode:absolute,to:'2016-10-09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0" s="54" t="str">
        <f t="shared" si="6"/>
        <v>N</v>
      </c>
      <c r="X50" s="163">
        <f t="shared" si="19"/>
        <v>1</v>
      </c>
      <c r="Y50" s="69">
        <f t="shared" si="8"/>
        <v>4.8399999999999999E-2</v>
      </c>
      <c r="Z50" s="69">
        <f t="shared" si="9"/>
        <v>23.328399999999998</v>
      </c>
      <c r="AA50" s="69">
        <f t="shared" si="10"/>
        <v>23.279999999999998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0137-09</v>
      </c>
      <c r="AE50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50" s="91" t="str">
        <f t="shared" si="13"/>
        <v>"C:\Program Files (x86)\AstroGrep\AstroGrep.exe" /spath="%USERPROFILE%\AppData\Local\Temp\OnboardLogs" /stypes="app*4018*20161009*" /stext=" 14:.+((SYSTEM_STATE.+slice.+state.+changed )|(ment ac)|(system.+state.+changed )|(\[timeout)|(PRM\|1\|D)|(kpr)|(kdp)|(\|lc)|(penalty))" /e /r /s</v>
      </c>
      <c r="AG50" s="1" t="str">
        <f t="shared" si="14"/>
        <v>EC</v>
      </c>
      <c r="AH50" s="95" t="str">
        <f t="shared" si="17"/>
        <v>"%USERPROFILE%\Documents\GitHub\eaglep3\Utilities\RefineRTDCRunTimes.py" --tripid 137-09 --locoid 4018 --swversion DE.1.0.7.0 --startMP 204:484 --initTime 2016-10-09T08:12:20 --startdatetime 2016-10-09T08:15:23 --delay 1 --endMP 204:233284 --enddatetime 2016-10-09T08:51:45 --enforcementcount 0 &gt;&gt;C:\Users\stu\Documents\GitHub\eaglep3-reporting\EC\2016-10-09-refined-times.txt</v>
      </c>
      <c r="AI5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{"issue":{"subject":"","project_id":79,"tracker_id":40,"status_id":1,"priority_id":2,"assigned_to_id":23,"start_date":"2016-10-09","description":"","custom_fields":[{"id":1,"name":"Subdivision","value":"EC"},{"id":4,"name":"Milepost","value":"23.3284"},{"id":17,"name":"Train ID","value":"137-09"},{"id":16,"name":"Locomotive ID","value":"4018"},{"id":130,"name":"Impact","value":""},{"id":150,"name":"Time of Event (Mountain Time)","value":"08:51:45"},{"id":151,"name":"Denver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456</v>
      </c>
      <c r="B51" s="7">
        <v>4017</v>
      </c>
      <c r="C51" s="24" t="s">
        <v>106</v>
      </c>
      <c r="D51" s="24" t="s">
        <v>304</v>
      </c>
      <c r="E51" s="15">
        <v>42652.381388888891</v>
      </c>
      <c r="F51" s="15">
        <v>42652.382847222223</v>
      </c>
      <c r="G51" s="7">
        <v>1</v>
      </c>
      <c r="H51" s="15" t="s">
        <v>204</v>
      </c>
      <c r="I51" s="15">
        <v>42652.409733796296</v>
      </c>
      <c r="J51" s="7">
        <v>0</v>
      </c>
      <c r="K51" s="116" t="str">
        <f t="shared" si="0"/>
        <v>4017/4018</v>
      </c>
      <c r="L51" s="24" t="str">
        <f>VLOOKUP(A51,'Trips&amp;Operators'!$C$1:$E$10000,3,FALSE)</f>
        <v>MALAVE</v>
      </c>
      <c r="M51" s="6">
        <f t="shared" si="1"/>
        <v>2.6886574072705116E-2</v>
      </c>
      <c r="N51" s="7">
        <f t="shared" si="2"/>
        <v>38.716666664695367</v>
      </c>
      <c r="O51" s="7"/>
      <c r="P51" s="7"/>
      <c r="Q51" s="25"/>
      <c r="R51" s="25"/>
      <c r="S51" s="37">
        <f t="shared" si="3"/>
        <v>1</v>
      </c>
      <c r="T51" s="52" t="str">
        <f t="shared" si="4"/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08:09:12-0600',mode:absolute,to:'2016-10-09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1" s="54" t="str">
        <f t="shared" si="6"/>
        <v>N</v>
      </c>
      <c r="X51" s="163">
        <f t="shared" si="19"/>
        <v>1</v>
      </c>
      <c r="Y51" s="69">
        <f t="shared" si="8"/>
        <v>23.298200000000001</v>
      </c>
      <c r="Z51" s="69">
        <f t="shared" si="9"/>
        <v>1.5599999999999999E-2</v>
      </c>
      <c r="AA51" s="69">
        <f t="shared" si="10"/>
        <v>23.282600000000002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0138-09</v>
      </c>
      <c r="AE51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51" s="91" t="str">
        <f t="shared" si="13"/>
        <v>"C:\Program Files (x86)\AstroGrep\AstroGrep.exe" /spath="%USERPROFILE%\AppData\Local\Temp\OnboardLogs" /stypes="app*4017*20161009*"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5" t="str">
        <f t="shared" si="17"/>
        <v>"%USERPROFILE%\Documents\GitHub\eaglep3\Utilities\RefineRTDCRunTimes.py" --tripid 138-09 --locoid 4017 --swversion DE.1.0.7.0 --startMP 204:232982 --initTime 2016-10-09T09:09:12 --startdatetime 2016-10-09T09:11:18 --delay 1 --endMP 204:156 --enddatetime 2016-10-09T09:50:01 --enforcementcount 0 &gt;&gt;C:\Users\stu\Documents\GitHub\eaglep3-reporting\EC\2016-10-09-refined-times.txt</v>
      </c>
      <c r="AI5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ID","value":"138-09"},{"id":16,"name":"Locomotive ID","value":"4017"},{"id":130,"name":"Impact","value":""},{"id":150,"name":"Time of Event (Mountain Time)","value":"09:50:01"},{"id":151,"name":"Denver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448</v>
      </c>
      <c r="B52" s="7">
        <v>4002</v>
      </c>
      <c r="C52" s="24" t="s">
        <v>106</v>
      </c>
      <c r="D52" s="24" t="s">
        <v>197</v>
      </c>
      <c r="E52" s="15">
        <v>42652.349965277775</v>
      </c>
      <c r="F52" s="15">
        <v>42652.354375000003</v>
      </c>
      <c r="G52" s="7">
        <v>1</v>
      </c>
      <c r="H52" s="15" t="s">
        <v>639</v>
      </c>
      <c r="I52" s="15">
        <v>42652.38108796296</v>
      </c>
      <c r="J52" s="7">
        <v>0</v>
      </c>
      <c r="K52" s="116" t="str">
        <f t="shared" si="0"/>
        <v>4001/4002</v>
      </c>
      <c r="L52" s="24" t="str">
        <f>VLOOKUP(A52,'Trips&amp;Operators'!$C$1:$E$10000,3,FALSE)</f>
        <v>STRICKLAND</v>
      </c>
      <c r="M52" s="6">
        <f t="shared" si="1"/>
        <v>2.6712962957390118E-2</v>
      </c>
      <c r="N52" s="7">
        <f t="shared" si="2"/>
        <v>38.46666665864177</v>
      </c>
      <c r="O52" s="7"/>
      <c r="P52" s="7"/>
      <c r="Q52" s="25"/>
      <c r="R52" s="25"/>
      <c r="S52" s="37">
        <f t="shared" si="3"/>
        <v>1</v>
      </c>
      <c r="T52" s="52" t="str">
        <f t="shared" si="4"/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07:23:57-0600',mode:absolute,to:'2016-10-09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2" s="54" t="str">
        <f t="shared" si="6"/>
        <v>N</v>
      </c>
      <c r="X52" s="163">
        <f t="shared" si="19"/>
        <v>1</v>
      </c>
      <c r="Y52" s="69">
        <f t="shared" si="8"/>
        <v>4.5499999999999999E-2</v>
      </c>
      <c r="Z52" s="69">
        <f t="shared" si="9"/>
        <v>23.331</v>
      </c>
      <c r="AA52" s="69">
        <f t="shared" si="10"/>
        <v>23.285499999999999</v>
      </c>
      <c r="AB52" s="66" t="str">
        <f>VLOOKUP(A52,Enforcements!$C$7:$K$21,8,0)</f>
        <v>Speed (6)</v>
      </c>
      <c r="AC52" s="62" t="str">
        <f>VLOOKUP(A52,Enforcements!$C$7:$E$21,3,0)</f>
        <v>PERMANENT SPEED RESTRICTION</v>
      </c>
      <c r="AD52" s="63" t="str">
        <f t="shared" si="11"/>
        <v>0139-09</v>
      </c>
      <c r="AE52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52" s="91" t="str">
        <f t="shared" si="13"/>
        <v>"C:\Program Files (x86)\AstroGrep\AstroGrep.exe" /spath="%USERPROFILE%\AppData\Local\Temp\OnboardLogs" /stypes="app*4002*20161009*"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5" t="str">
        <f t="shared" si="17"/>
        <v>"%USERPROFILE%\Documents\GitHub\eaglep3\Utilities\RefineRTDCRunTimes.py" --tripid 139-09 --locoid 4002 --swversion DE.1.0.7.0 --startMP 204:455 --initTime 2016-10-09T08:23:57 --startdatetime 2016-10-09T08:30:18 --delay 1 --endMP 204:233310 --enddatetime 2016-10-09T09:08:46 --enforcementcount 0 &gt;&gt;C:\Users\stu\Documents\GitHub\eaglep3-reporting\EC\2016-10-09-refined-times.txt</v>
      </c>
      <c r="AI5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ID","value":"139-09"},{"id":16,"name":"Locomotive ID","value":"4002"},{"id":130,"name":"Impact","value":""},{"id":150,"name":"Time of Event (Mountain Time)","value":"09:08:46"},{"id":151,"name":"Denver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457</v>
      </c>
      <c r="B53" s="7">
        <v>4001</v>
      </c>
      <c r="C53" s="24" t="s">
        <v>106</v>
      </c>
      <c r="D53" s="24" t="s">
        <v>255</v>
      </c>
      <c r="E53" s="15">
        <v>42652.388460648152</v>
      </c>
      <c r="F53" s="15">
        <v>42652.393287037034</v>
      </c>
      <c r="G53" s="7">
        <v>1</v>
      </c>
      <c r="H53" s="15" t="s">
        <v>186</v>
      </c>
      <c r="I53" s="15">
        <v>42652.419942129629</v>
      </c>
      <c r="J53" s="7">
        <v>0</v>
      </c>
      <c r="K53" s="116" t="str">
        <f t="shared" si="0"/>
        <v>4001/4002</v>
      </c>
      <c r="L53" s="24" t="str">
        <f>VLOOKUP(A53,'Trips&amp;Operators'!$C$1:$E$10000,3,FALSE)</f>
        <v>STRICKLAND</v>
      </c>
      <c r="M53" s="6">
        <f t="shared" si="1"/>
        <v>2.6655092595319729E-2</v>
      </c>
      <c r="N53" s="7">
        <f t="shared" si="2"/>
        <v>38.38333333726041</v>
      </c>
      <c r="O53" s="7"/>
      <c r="P53" s="7"/>
      <c r="Q53" s="25"/>
      <c r="R53" s="25"/>
      <c r="S53" s="37">
        <f t="shared" si="3"/>
        <v>1</v>
      </c>
      <c r="T53" s="52" t="str">
        <f t="shared" si="4"/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08:19:23-0600',mode:absolute,to:'2016-10-09 11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3" s="54" t="str">
        <f t="shared" si="6"/>
        <v>N</v>
      </c>
      <c r="X53" s="163">
        <f t="shared" si="19"/>
        <v>1</v>
      </c>
      <c r="Y53" s="69">
        <f t="shared" si="8"/>
        <v>23.299299999999999</v>
      </c>
      <c r="Z53" s="69">
        <f t="shared" si="9"/>
        <v>1.49E-2</v>
      </c>
      <c r="AA53" s="69">
        <f t="shared" si="10"/>
        <v>23.284399999999998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0140-09</v>
      </c>
      <c r="AE53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53" s="91" t="str">
        <f t="shared" si="13"/>
        <v>"C:\Program Files (x86)\AstroGrep\AstroGrep.exe" /spath="%USERPROFILE%\AppData\Local\Temp\OnboardLogs" /stypes="app*4001*20161009*"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5" t="str">
        <f t="shared" si="17"/>
        <v>"%USERPROFILE%\Documents\GitHub\eaglep3\Utilities\RefineRTDCRunTimes.py" --tripid 140-09 --locoid 4001 --swversion DE.1.0.7.0 --startMP 204:232993 --initTime 2016-10-09T09:19:23 --startdatetime 2016-10-09T09:26:20 --delay 1 --endMP 204:149 --enddatetime 2016-10-09T10:04:43 --enforcementcount 0 &gt;&gt;C:\Users\stu\Documents\GitHub\eaglep3-reporting\EC\2016-10-09-refined-times.txt</v>
      </c>
      <c r="AI5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ID","value":"140-09"},{"id":16,"name":"Locomotive ID","value":"4001"},{"id":130,"name":"Impact","value":""},{"id":150,"name":"Time of Event (Mountain Time)","value":"10:04:43"},{"id":151,"name":"Denver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451</v>
      </c>
      <c r="B54" s="7">
        <v>4007</v>
      </c>
      <c r="C54" s="24" t="s">
        <v>106</v>
      </c>
      <c r="D54" s="24" t="s">
        <v>190</v>
      </c>
      <c r="E54" s="15">
        <v>42652.360312500001</v>
      </c>
      <c r="F54" s="15">
        <v>42652.364803240744</v>
      </c>
      <c r="G54" s="7">
        <v>1</v>
      </c>
      <c r="H54" s="15" t="s">
        <v>221</v>
      </c>
      <c r="I54" s="15">
        <v>42652.389884259261</v>
      </c>
      <c r="J54" s="7">
        <v>0</v>
      </c>
      <c r="K54" s="116" t="str">
        <f t="shared" si="0"/>
        <v>4007/4008</v>
      </c>
      <c r="L54" s="24" t="str">
        <f>VLOOKUP(A54,'Trips&amp;Operators'!$C$1:$E$10000,3,FALSE)</f>
        <v>KILLION</v>
      </c>
      <c r="M54" s="6">
        <f t="shared" si="1"/>
        <v>2.5081018517084885E-2</v>
      </c>
      <c r="N54" s="7">
        <f t="shared" si="2"/>
        <v>36.116666664602235</v>
      </c>
      <c r="O54" s="7"/>
      <c r="P54" s="7"/>
      <c r="Q54" s="25"/>
      <c r="R54" s="25"/>
      <c r="S54" s="37">
        <f t="shared" si="3"/>
        <v>1</v>
      </c>
      <c r="T54" s="52" t="str">
        <f t="shared" si="4"/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07:38:51-0600',mode:absolute,to:'2016-10-09 10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4" s="54" t="str">
        <f t="shared" si="6"/>
        <v>N</v>
      </c>
      <c r="X54" s="163">
        <f t="shared" si="19"/>
        <v>1</v>
      </c>
      <c r="Y54" s="69">
        <f t="shared" si="8"/>
        <v>4.53E-2</v>
      </c>
      <c r="Z54" s="69">
        <f t="shared" si="9"/>
        <v>23.3293</v>
      </c>
      <c r="AA54" s="69">
        <f t="shared" si="10"/>
        <v>23.283999999999999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0141-09</v>
      </c>
      <c r="AE54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54" s="91" t="str">
        <f t="shared" si="13"/>
        <v>"C:\Program Files (x86)\AstroGrep\AstroGrep.exe" /spath="%USERPROFILE%\AppData\Local\Temp\OnboardLogs" /stypes="app*4007*20161009*" /stext=" 15:.+((SYSTEM_STATE.+slice.+state.+changed )|(ment ac)|(system.+state.+changed )|(\[timeout)|(PRM\|1\|D)|(kpr)|(kdp)|(\|lc)|(penalty))" /e /r /s</v>
      </c>
      <c r="AG54" s="1" t="str">
        <f t="shared" si="14"/>
        <v>EC</v>
      </c>
      <c r="AH54" s="95" t="str">
        <f t="shared" si="17"/>
        <v>"%USERPROFILE%\Documents\GitHub\eaglep3\Utilities\RefineRTDCRunTimes.py" --tripid 141-09 --locoid 4007 --swversion DE.1.0.7.0 --startMP 204:453 --initTime 2016-10-09T08:38:51 --startdatetime 2016-10-09T08:45:19 --delay 1 --endMP 204:233293 --enddatetime 2016-10-09T09:21:26 --enforcementcount 0 &gt;&gt;C:\Users\stu\Documents\GitHub\eaglep3-reporting\EC\2016-10-09-refined-times.txt</v>
      </c>
      <c r="AI5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{"issue":{"subject":"","project_id":79,"tracker_id":40,"status_id":1,"priority_id":2,"assigned_to_id":23,"start_date":"2016-10-09","description":"","custom_fields":[{"id":1,"name":"Subdivision","value":"EC"},{"id":4,"name":"Milepost","value":"23.3293"},{"id":17,"name":"Train ID","value":"141-09"},{"id":16,"name":"Locomotive ID","value":"4007"},{"id":130,"name":"Impact","value":""},{"id":150,"name":"Time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459</v>
      </c>
      <c r="B55" s="7">
        <v>4008</v>
      </c>
      <c r="C55" s="24" t="s">
        <v>106</v>
      </c>
      <c r="D55" s="24" t="s">
        <v>229</v>
      </c>
      <c r="E55" s="15">
        <v>42652.398310185185</v>
      </c>
      <c r="F55" s="15">
        <v>42652.403761574074</v>
      </c>
      <c r="G55" s="7">
        <v>1</v>
      </c>
      <c r="H55" s="15" t="s">
        <v>204</v>
      </c>
      <c r="I55" s="15">
        <v>42652.430613425924</v>
      </c>
      <c r="J55" s="7">
        <v>0</v>
      </c>
      <c r="K55" s="116" t="str">
        <f t="shared" si="0"/>
        <v>4007/4008</v>
      </c>
      <c r="L55" s="24" t="str">
        <f>VLOOKUP(A55,'Trips&amp;Operators'!$C$1:$E$10000,3,FALSE)</f>
        <v>KILLION</v>
      </c>
      <c r="M55" s="6">
        <f t="shared" si="1"/>
        <v>2.6851851849642117E-2</v>
      </c>
      <c r="N55" s="7">
        <f t="shared" si="2"/>
        <v>38.666666663484648</v>
      </c>
      <c r="O55" s="7"/>
      <c r="P55" s="7"/>
      <c r="Q55" s="25"/>
      <c r="R55" s="25"/>
      <c r="S55" s="37">
        <f t="shared" si="3"/>
        <v>1</v>
      </c>
      <c r="T55" s="52" t="str">
        <f t="shared" si="4"/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08:33:34-0600',mode:absolute,to:'2016-10-09 11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5" s="54" t="str">
        <f t="shared" si="6"/>
        <v>N</v>
      </c>
      <c r="X55" s="163">
        <f t="shared" si="19"/>
        <v>1</v>
      </c>
      <c r="Y55" s="69">
        <f t="shared" si="8"/>
        <v>23.296900000000001</v>
      </c>
      <c r="Z55" s="69">
        <f t="shared" si="9"/>
        <v>1.5599999999999999E-2</v>
      </c>
      <c r="AA55" s="69">
        <f t="shared" si="10"/>
        <v>23.281300000000002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0142-09</v>
      </c>
      <c r="AE55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55" s="91" t="str">
        <f t="shared" si="13"/>
        <v>"C:\Program Files (x86)\AstroGrep\AstroGrep.exe" /spath="%USERPROFILE%\AppData\Local\Temp\OnboardLogs" /stypes="app*4008*20161009*"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5" t="str">
        <f t="shared" si="17"/>
        <v>"%USERPROFILE%\Documents\GitHub\eaglep3\Utilities\RefineRTDCRunTimes.py" --tripid 142-09 --locoid 4008 --swversion DE.1.0.7.0 --startMP 204:232969 --initTime 2016-10-09T09:33:34 --startdatetime 2016-10-09T09:41:25 --delay 1 --endMP 204:156 --enddatetime 2016-10-09T10:20:05 --enforcementcount 0 &gt;&gt;C:\Users\stu\Documents\GitHub\eaglep3-reporting\EC\2016-10-09-refined-times.txt</v>
      </c>
      <c r="AI5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ID","value":"142-09"},{"id":16,"name":"Locomotive ID","value":"4008"},{"id":130,"name":"Impact","value":""},{"id":150,"name":"Time of Event (Mountain Time)","value":"10:20:05"},{"id":151,"name":"Denver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453</v>
      </c>
      <c r="B56" s="7">
        <v>4025</v>
      </c>
      <c r="C56" s="24" t="s">
        <v>106</v>
      </c>
      <c r="D56" s="24" t="s">
        <v>384</v>
      </c>
      <c r="E56" s="15">
        <v>42652.371655092589</v>
      </c>
      <c r="F56" s="15">
        <v>42652.375173611108</v>
      </c>
      <c r="G56" s="7">
        <v>0</v>
      </c>
      <c r="H56" s="15" t="s">
        <v>628</v>
      </c>
      <c r="I56" s="15">
        <v>42652.399733796294</v>
      </c>
      <c r="J56" s="7">
        <v>0</v>
      </c>
      <c r="K56" s="116" t="str">
        <f t="shared" si="0"/>
        <v>4025/4026</v>
      </c>
      <c r="L56" s="24" t="str">
        <f>VLOOKUP(A56,'Trips&amp;Operators'!$C$1:$E$10000,3,FALSE)</f>
        <v>YORK</v>
      </c>
      <c r="M56" s="6">
        <f t="shared" si="1"/>
        <v>2.4560185185691807E-2</v>
      </c>
      <c r="N56" s="7">
        <f t="shared" si="2"/>
        <v>35.366666667396203</v>
      </c>
      <c r="O56" s="7"/>
      <c r="P56" s="7"/>
      <c r="Q56" s="25"/>
      <c r="R56" s="25"/>
      <c r="S56" s="37">
        <f t="shared" si="3"/>
        <v>1</v>
      </c>
      <c r="T56" s="52" t="str">
        <f t="shared" si="4"/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07:55:11-0600',mode:absolute,to:'2016-10-09 10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6" s="54" t="str">
        <f t="shared" si="6"/>
        <v>N</v>
      </c>
      <c r="X56" s="163">
        <f t="shared" si="19"/>
        <v>1</v>
      </c>
      <c r="Y56" s="69">
        <f t="shared" si="8"/>
        <v>4.7100000000000003E-2</v>
      </c>
      <c r="Z56" s="69">
        <f t="shared" si="9"/>
        <v>23.328700000000001</v>
      </c>
      <c r="AA56" s="69">
        <f t="shared" si="10"/>
        <v>23.281600000000001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0143-09</v>
      </c>
      <c r="AE56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56" s="91" t="str">
        <f t="shared" si="13"/>
        <v>"C:\Program Files (x86)\AstroGrep\AstroGrep.exe" /spath="%USERPROFILE%\AppData\Local\Temp\OnboardLogs" /stypes="app*4025*20161009*"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5" t="str">
        <f t="shared" si="17"/>
        <v>"%USERPROFILE%\Documents\GitHub\eaglep3\Utilities\RefineRTDCRunTimes.py" --tripid 143-09 --locoid 4025 --swversion DE.1.0.7.0 --startMP 204:471 --initTime 2016-10-09T08:55:11 --startdatetime 2016-10-09T09:00:15 --delay 0 --endMP 204:233287 --enddatetime 2016-10-09T09:35:37 --enforcementcount 0 &gt;&gt;C:\Users\stu\Documents\GitHub\eaglep3-reporting\EC\2016-10-09-refined-times.txt</v>
      </c>
      <c r="AI5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ID","value":"143-09"},{"id":16,"name":"Locomotive ID","value":"4025"},{"id":130,"name":"Impact","value":""},{"id":150,"name":"Time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460</v>
      </c>
      <c r="B57" s="7">
        <v>4026</v>
      </c>
      <c r="C57" s="24" t="s">
        <v>106</v>
      </c>
      <c r="D57" s="24" t="s">
        <v>264</v>
      </c>
      <c r="E57" s="15">
        <v>42652.400682870371</v>
      </c>
      <c r="F57" s="15">
        <v>42652.4143287037</v>
      </c>
      <c r="G57" s="7">
        <v>0</v>
      </c>
      <c r="H57" s="15" t="s">
        <v>189</v>
      </c>
      <c r="I57" s="15">
        <v>42652.440081018518</v>
      </c>
      <c r="J57" s="7">
        <v>0</v>
      </c>
      <c r="K57" s="116" t="str">
        <f t="shared" si="0"/>
        <v>4025/4026</v>
      </c>
      <c r="L57" s="24" t="str">
        <f>VLOOKUP(A57,'Trips&amp;Operators'!$C$1:$E$10000,3,FALSE)</f>
        <v>YORK</v>
      </c>
      <c r="M57" s="6">
        <f t="shared" si="1"/>
        <v>2.5752314817509614E-2</v>
      </c>
      <c r="N57" s="7">
        <f t="shared" si="2"/>
        <v>37.083333337213844</v>
      </c>
      <c r="O57" s="7"/>
      <c r="P57" s="7"/>
      <c r="Q57" s="25"/>
      <c r="R57" s="25"/>
      <c r="S57" s="37">
        <f t="shared" si="3"/>
        <v>1</v>
      </c>
      <c r="T57" s="52" t="str">
        <f t="shared" si="4"/>
        <v>Southbound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08:36:59-0600',mode:absolute,to:'2016-10-09 11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7" s="54" t="str">
        <f t="shared" si="6"/>
        <v>N</v>
      </c>
      <c r="X57" s="163">
        <f t="shared" si="19"/>
        <v>1</v>
      </c>
      <c r="Y57" s="69">
        <f t="shared" si="8"/>
        <v>23.297599999999999</v>
      </c>
      <c r="Z57" s="69">
        <f t="shared" si="9"/>
        <v>1.47E-2</v>
      </c>
      <c r="AA57" s="69">
        <f t="shared" si="10"/>
        <v>23.282899999999998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0144-09</v>
      </c>
      <c r="AE57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57" s="91" t="str">
        <f t="shared" si="13"/>
        <v>"C:\Program Files (x86)\AstroGrep\AstroGrep.exe" /spath="%USERPROFILE%\AppData\Local\Temp\OnboardLogs" /stypes="app*4026*20161009*"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5" t="str">
        <f t="shared" si="17"/>
        <v>"%USERPROFILE%\Documents\GitHub\eaglep3\Utilities\RefineRTDCRunTimes.py" --tripid 144-09 --locoid 4026 --swversion DE.1.0.7.0 --startMP 204:232976 --initTime 2016-10-09T09:36:59 --startdatetime 2016-10-09T09:56:38 --delay 0 --endMP 204:147 --enddatetime 2016-10-09T10:33:43 --enforcementcount 0 &gt;&gt;C:\Users\stu\Documents\GitHub\eaglep3-reporting\EC\2016-10-09-refined-times.txt</v>
      </c>
      <c r="AI5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ID","value":"144-09"},{"id":16,"name":"Locomotive ID","value":"4026"},{"id":130,"name":"Impact","value":""},{"id":150,"name":"Time of Event (Mountain Time)","value":"10:33:43"},{"id":151,"name":"Denver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455</v>
      </c>
      <c r="B58" s="7">
        <v>4040</v>
      </c>
      <c r="C58" s="24" t="s">
        <v>106</v>
      </c>
      <c r="D58" s="24" t="s">
        <v>371</v>
      </c>
      <c r="E58" s="15">
        <v>42652.380370370367</v>
      </c>
      <c r="F58" s="15">
        <v>42652.385659722226</v>
      </c>
      <c r="G58" s="7">
        <v>1</v>
      </c>
      <c r="H58" s="15" t="s">
        <v>288</v>
      </c>
      <c r="I58" s="15">
        <v>42652.410324074073</v>
      </c>
      <c r="J58" s="7">
        <v>0</v>
      </c>
      <c r="K58" s="116" t="str">
        <f t="shared" si="0"/>
        <v>4039/4040</v>
      </c>
      <c r="L58" s="24" t="str">
        <f>VLOOKUP(A58,'Trips&amp;Operators'!$C$1:$E$10000,3,FALSE)</f>
        <v>ACKERMAN</v>
      </c>
      <c r="M58" s="6">
        <f t="shared" si="1"/>
        <v>2.4664351847604848E-2</v>
      </c>
      <c r="N58" s="7">
        <f t="shared" si="2"/>
        <v>35.516666660550982</v>
      </c>
      <c r="O58" s="7"/>
      <c r="P58" s="7"/>
      <c r="Q58" s="25"/>
      <c r="R58" s="25"/>
      <c r="S58" s="37">
        <f t="shared" si="3"/>
        <v>1</v>
      </c>
      <c r="T58" s="52" t="str">
        <f t="shared" si="4"/>
        <v>NorthBound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08:07:44-0600',mode:absolute,to:'2016-10-09 10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4" t="str">
        <f t="shared" si="6"/>
        <v>N</v>
      </c>
      <c r="X58" s="163">
        <f t="shared" si="19"/>
        <v>1</v>
      </c>
      <c r="Y58" s="69">
        <f t="shared" si="8"/>
        <v>4.3799999999999999E-2</v>
      </c>
      <c r="Z58" s="69">
        <f t="shared" si="9"/>
        <v>23.327999999999999</v>
      </c>
      <c r="AA58" s="69">
        <f t="shared" si="10"/>
        <v>23.284199999999998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0145-09</v>
      </c>
      <c r="AE58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58" s="91" t="str">
        <f t="shared" si="13"/>
        <v>"C:\Program Files (x86)\AstroGrep\AstroGrep.exe" /spath="%USERPROFILE%\AppData\Local\Temp\OnboardLogs" /stypes="app*4040*20161009*"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5" t="str">
        <f t="shared" si="17"/>
        <v>"%USERPROFILE%\Documents\GitHub\eaglep3\Utilities\RefineRTDCRunTimes.py" --tripid 145-09 --locoid 4040 --swversion DE.1.0.7.0 --startMP 204:438 --initTime 2016-10-09T09:07:44 --startdatetime 2016-10-09T09:15:21 --delay 1 --endMP 204:233280 --enddatetime 2016-10-09T09:50:52 --enforcementcount 0 &gt;&gt;C:\Users\stu\Documents\GitHub\eaglep3-reporting\EC\2016-10-09-refined-times.txt</v>
      </c>
      <c r="AI5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{"issue":{"subject":"","project_id":79,"tracker_id":40,"status_id":1,"priority_id":2,"assigned_to_id":23,"start_date":"2016-10-09","description":"","custom_fields":[{"id":1,"name":"Subdivision","value":"EC"},{"id":4,"name":"Milepost","value":"23.328"},{"id":17,"name":"Train ID","value":"145-09"},{"id":16,"name":"Locomotive ID","value":"4040"},{"id":130,"name":"Impact","value":""},{"id":150,"name":"Time of Event (Mountain Time)","value":"09:50:52"},{"id":151,"name":"Denver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465</v>
      </c>
      <c r="B59" s="7">
        <v>4039</v>
      </c>
      <c r="C59" s="24" t="s">
        <v>106</v>
      </c>
      <c r="D59" s="24" t="s">
        <v>267</v>
      </c>
      <c r="E59" s="15">
        <v>42652.416944444441</v>
      </c>
      <c r="F59" s="15">
        <v>42652.424722222226</v>
      </c>
      <c r="G59" s="7">
        <v>1</v>
      </c>
      <c r="H59" s="15" t="s">
        <v>207</v>
      </c>
      <c r="I59" s="15">
        <v>42652.451666666668</v>
      </c>
      <c r="J59" s="7">
        <v>0</v>
      </c>
      <c r="K59" s="116" t="str">
        <f t="shared" si="0"/>
        <v>4039/4040</v>
      </c>
      <c r="L59" s="24" t="str">
        <f>VLOOKUP(A59,'Trips&amp;Operators'!$C$1:$E$10000,3,FALSE)</f>
        <v>ACKERMAN</v>
      </c>
      <c r="M59" s="6">
        <f t="shared" si="1"/>
        <v>2.6944444442051463E-2</v>
      </c>
      <c r="N59" s="7">
        <f t="shared" si="2"/>
        <v>38.799999996554106</v>
      </c>
      <c r="O59" s="7"/>
      <c r="P59" s="7"/>
      <c r="Q59" s="25"/>
      <c r="R59" s="25"/>
      <c r="S59" s="37">
        <f t="shared" si="3"/>
        <v>1</v>
      </c>
      <c r="T59" s="52" t="str">
        <f t="shared" si="4"/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09:00:24-0600',mode:absolute,to:'2016-10-09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4" t="str">
        <f t="shared" si="6"/>
        <v>N</v>
      </c>
      <c r="X59" s="163">
        <f t="shared" si="19"/>
        <v>1</v>
      </c>
      <c r="Y59" s="69">
        <f t="shared" si="8"/>
        <v>23.296099999999999</v>
      </c>
      <c r="Z59" s="69">
        <f t="shared" si="9"/>
        <v>1.4500000000000001E-2</v>
      </c>
      <c r="AA59" s="69">
        <f t="shared" si="10"/>
        <v>23.281599999999997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0146-09</v>
      </c>
      <c r="AE59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59" s="91" t="str">
        <f t="shared" si="13"/>
        <v>"C:\Program Files (x86)\AstroGrep\AstroGrep.exe" /spath="%USERPROFILE%\AppData\Local\Temp\OnboardLogs" /stypes="app*4039*20161009*"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5" t="str">
        <f t="shared" si="17"/>
        <v>"%USERPROFILE%\Documents\GitHub\eaglep3\Utilities\RefineRTDCRunTimes.py" --tripid 146-09 --locoid 4039 --swversion DE.1.0.7.0 --startMP 204:232961 --initTime 2016-10-09T10:00:24 --startdatetime 2016-10-09T10:11:36 --delay 1 --endMP 204:145 --enddatetime 2016-10-09T10:50:24 --enforcementcount 0 &gt;&gt;C:\Users\stu\Documents\GitHub\eaglep3-reporting\EC\2016-10-09-refined-times.txt</v>
      </c>
      <c r="AI5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ID","value":"146-09"},{"id":16,"name":"Locomotive ID","value":"4039"},{"id":130,"name":"Impact","value":""},{"id":150,"name":"Time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458</v>
      </c>
      <c r="B60" s="7">
        <v>4014</v>
      </c>
      <c r="C60" s="24" t="s">
        <v>106</v>
      </c>
      <c r="D60" s="24" t="s">
        <v>290</v>
      </c>
      <c r="E60" s="15">
        <v>42652.391192129631</v>
      </c>
      <c r="F60" s="15">
        <v>42652.396261574075</v>
      </c>
      <c r="G60" s="7">
        <v>1</v>
      </c>
      <c r="H60" s="15" t="s">
        <v>385</v>
      </c>
      <c r="I60" s="15">
        <v>42652.421574074076</v>
      </c>
      <c r="J60" s="7">
        <v>0</v>
      </c>
      <c r="K60" s="116" t="str">
        <f t="shared" si="0"/>
        <v>4013/4014</v>
      </c>
      <c r="L60" s="24" t="str">
        <f>VLOOKUP(A60,'Trips&amp;Operators'!$C$1:$E$10000,3,FALSE)</f>
        <v>MAELZER</v>
      </c>
      <c r="M60" s="6">
        <f t="shared" si="1"/>
        <v>2.531250000174623E-2</v>
      </c>
      <c r="N60" s="7">
        <f t="shared" si="2"/>
        <v>36.450000002514571</v>
      </c>
      <c r="O60" s="7"/>
      <c r="P60" s="7"/>
      <c r="Q60" s="25"/>
      <c r="R60" s="25"/>
      <c r="S60" s="37">
        <f t="shared" si="3"/>
        <v>1</v>
      </c>
      <c r="T60" s="52" t="str">
        <f t="shared" si="4"/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08:23:19-0600',mode:absolute,to:'2016-10-09 11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4" t="str">
        <f t="shared" si="6"/>
        <v>N</v>
      </c>
      <c r="X60" s="163">
        <f t="shared" si="19"/>
        <v>1</v>
      </c>
      <c r="Y60" s="69">
        <f t="shared" si="8"/>
        <v>4.3499999999999997E-2</v>
      </c>
      <c r="Z60" s="69">
        <f t="shared" si="9"/>
        <v>23.331499999999998</v>
      </c>
      <c r="AA60" s="69">
        <f t="shared" si="10"/>
        <v>23.287999999999997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0147-09</v>
      </c>
      <c r="AE60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60" s="91" t="str">
        <f t="shared" si="13"/>
        <v>"C:\Program Files (x86)\AstroGrep\AstroGrep.exe" /spath="%USERPROFILE%\AppData\Local\Temp\OnboardLogs" /stypes="app*4014*20161009*"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5" t="str">
        <f t="shared" si="17"/>
        <v>"%USERPROFILE%\Documents\GitHub\eaglep3\Utilities\RefineRTDCRunTimes.py" --tripid 147-09 --locoid 4014 --swversion DE.1.0.7.0 --startMP 204:435 --initTime 2016-10-09T09:23:19 --startdatetime 2016-10-09T09:30:37 --delay 1 --endMP 204:233315 --enddatetime 2016-10-09T10:07:04 --enforcementcount 0 &gt;&gt;C:\Users\stu\Documents\GitHub\eaglep3-reporting\EC\2016-10-09-refined-times.txt</v>
      </c>
      <c r="AI6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ID","value":"147-09"},{"id":16,"name":"Locomotive ID","value":"4014"},{"id":130,"name":"Impact","value":""},{"id":150,"name":"Time of Event (Mountain Time)","value":"10:07:04"},{"id":151,"name":"Denver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467</v>
      </c>
      <c r="B61" s="7">
        <v>4013</v>
      </c>
      <c r="C61" s="24" t="s">
        <v>106</v>
      </c>
      <c r="D61" s="24" t="s">
        <v>294</v>
      </c>
      <c r="E61" s="15">
        <v>42652.427245370367</v>
      </c>
      <c r="F61" s="15">
        <v>42652.435023148151</v>
      </c>
      <c r="G61" s="7">
        <v>1</v>
      </c>
      <c r="H61" s="15" t="s">
        <v>204</v>
      </c>
      <c r="I61" s="15">
        <v>42652.462604166663</v>
      </c>
      <c r="J61" s="7">
        <v>0</v>
      </c>
      <c r="K61" s="116" t="str">
        <f t="shared" si="0"/>
        <v>4013/4014</v>
      </c>
      <c r="L61" s="24" t="str">
        <f>VLOOKUP(A61,'Trips&amp;Operators'!$C$1:$E$10000,3,FALSE)</f>
        <v>MAELZER</v>
      </c>
      <c r="M61" s="6">
        <f t="shared" si="1"/>
        <v>2.7581018512137234E-2</v>
      </c>
      <c r="N61" s="7">
        <f t="shared" si="2"/>
        <v>39.716666657477617</v>
      </c>
      <c r="O61" s="7"/>
      <c r="P61" s="7"/>
      <c r="Q61" s="25"/>
      <c r="R61" s="25"/>
      <c r="S61" s="37">
        <f t="shared" si="3"/>
        <v>1</v>
      </c>
      <c r="T61" s="52" t="str">
        <f t="shared" si="4"/>
        <v>Southbound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09:15:14-0600',mode:absolute,to:'2016-10-09 12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54" t="str">
        <f t="shared" si="6"/>
        <v>N</v>
      </c>
      <c r="X61" s="163">
        <f t="shared" si="19"/>
        <v>1</v>
      </c>
      <c r="Y61" s="69">
        <f t="shared" si="8"/>
        <v>23.299099999999999</v>
      </c>
      <c r="Z61" s="69">
        <f t="shared" si="9"/>
        <v>1.5599999999999999E-2</v>
      </c>
      <c r="AA61" s="69">
        <f t="shared" si="10"/>
        <v>23.2835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0148-09</v>
      </c>
      <c r="AE61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61" s="91" t="str">
        <f t="shared" si="13"/>
        <v>"C:\Program Files (x86)\AstroGrep\AstroGrep.exe" /spath="%USERPROFILE%\AppData\Local\Temp\OnboardLogs" /stypes="app*4013*20161009*"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5" t="str">
        <f t="shared" si="17"/>
        <v>"%USERPROFILE%\Documents\GitHub\eaglep3\Utilities\RefineRTDCRunTimes.py" --tripid 148-09 --locoid 4013 --swversion DE.1.0.7.0 --startMP 204:232991 --initTime 2016-10-09T10:15:14 --startdatetime 2016-10-09T10:26:26 --delay 1 --endMP 204:156 --enddatetime 2016-10-09T11:06:09 --enforcementcount 0 &gt;&gt;C:\Users\stu\Documents\GitHub\eaglep3-reporting\EC\2016-10-09-refined-times.txt</v>
      </c>
      <c r="AI6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ID","value":"148-09"},{"id":16,"name":"Locomotive ID","value":"4013"},{"id":130,"name":"Impact","value":""},{"id":150,"name":"Time of Event (Mountain Time)","value":"11:06:09"},{"id":151,"name":"Denver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462</v>
      </c>
      <c r="B62" s="7">
        <v>4027</v>
      </c>
      <c r="C62" s="24" t="s">
        <v>106</v>
      </c>
      <c r="D62" s="24" t="s">
        <v>283</v>
      </c>
      <c r="E62" s="15">
        <v>42652.403981481482</v>
      </c>
      <c r="F62" s="15">
        <v>42652.406423611108</v>
      </c>
      <c r="G62" s="7">
        <v>1</v>
      </c>
      <c r="H62" s="15" t="s">
        <v>245</v>
      </c>
      <c r="I62" s="15">
        <v>42652.432314814818</v>
      </c>
      <c r="J62" s="7">
        <v>0</v>
      </c>
      <c r="K62" s="116" t="str">
        <f t="shared" si="0"/>
        <v>4027/4028</v>
      </c>
      <c r="L62" s="24" t="str">
        <f>VLOOKUP(A62,'Trips&amp;Operators'!$C$1:$E$10000,3,FALSE)</f>
        <v>DAVIS</v>
      </c>
      <c r="M62" s="6">
        <f t="shared" si="1"/>
        <v>2.5891203709761612E-2</v>
      </c>
      <c r="N62" s="7">
        <f t="shared" si="2"/>
        <v>37.283333342056721</v>
      </c>
      <c r="O62" s="7"/>
      <c r="P62" s="7"/>
      <c r="Q62" s="25"/>
      <c r="R62" s="25"/>
      <c r="S62" s="37">
        <f t="shared" si="3"/>
        <v>1</v>
      </c>
      <c r="T62" s="52" t="str">
        <f t="shared" si="4"/>
        <v>NorthBound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08:41:44-0600',mode:absolute,to:'2016-10-09 11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2" s="54" t="str">
        <f t="shared" si="6"/>
        <v>N</v>
      </c>
      <c r="X62" s="163">
        <f t="shared" si="19"/>
        <v>1</v>
      </c>
      <c r="Y62" s="69">
        <f t="shared" si="8"/>
        <v>4.4400000000000002E-2</v>
      </c>
      <c r="Z62" s="69">
        <f t="shared" si="9"/>
        <v>23.329899999999999</v>
      </c>
      <c r="AA62" s="69">
        <f t="shared" si="10"/>
        <v>23.285499999999999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0149-09</v>
      </c>
      <c r="AE62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62" s="91" t="str">
        <f t="shared" si="13"/>
        <v>"C:\Program Files (x86)\AstroGrep\AstroGrep.exe" /spath="%USERPROFILE%\AppData\Local\Temp\OnboardLogs" /stypes="app*4027*20161009*"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5" t="str">
        <f t="shared" si="17"/>
        <v>"%USERPROFILE%\Documents\GitHub\eaglep3\Utilities\RefineRTDCRunTimes.py" --tripid 149-09 --locoid 4027 --swversion DE.1.0.7.0 --startMP 204:444 --initTime 2016-10-09T09:41:44 --startdatetime 2016-10-09T09:45:15 --delay 1 --endMP 204:233299 --enddatetime 2016-10-09T10:22:32 --enforcementcount 0 &gt;&gt;C:\Users\stu\Documents\GitHub\eaglep3-reporting\EC\2016-10-09-refined-times.txt</v>
      </c>
      <c r="AI6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{"issue":{"subject":"","project_id":79,"tracker_id":40,"status_id":1,"priority_id":2,"assigned_to_id":23,"start_date":"2016-10-09","description":"","custom_fields":[{"id":1,"name":"Subdivision","value":"EC"},{"id":4,"name":"Milepost","value":"23.3299"},{"id":17,"name":"Train ID","value":"149-09"},{"id":16,"name":"Locomotive ID","value":"4027"},{"id":130,"name":"Impact","value":""},{"id":150,"name":"Time of Event (Mountain Time)","value":"10:22:32"},{"id":151,"name":"Denver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469</v>
      </c>
      <c r="B63" s="7">
        <v>4028</v>
      </c>
      <c r="C63" s="24" t="s">
        <v>106</v>
      </c>
      <c r="D63" s="24" t="s">
        <v>640</v>
      </c>
      <c r="E63" s="15">
        <v>42652.440162037034</v>
      </c>
      <c r="F63" s="15">
        <v>42652.445324074077</v>
      </c>
      <c r="G63" s="7">
        <v>1</v>
      </c>
      <c r="H63" s="15" t="s">
        <v>641</v>
      </c>
      <c r="I63" s="15">
        <v>42652.474143518521</v>
      </c>
      <c r="J63" s="7">
        <v>0</v>
      </c>
      <c r="K63" s="116" t="str">
        <f t="shared" si="0"/>
        <v>4027/4028</v>
      </c>
      <c r="L63" s="24" t="str">
        <f>VLOOKUP(A63,'Trips&amp;Operators'!$C$1:$E$10000,3,FALSE)</f>
        <v>DAVIS</v>
      </c>
      <c r="M63" s="6">
        <f t="shared" si="1"/>
        <v>2.8819444443797693E-2</v>
      </c>
      <c r="N63" s="7">
        <f t="shared" si="2"/>
        <v>41.499999999068677</v>
      </c>
      <c r="O63" s="7"/>
      <c r="P63" s="7"/>
      <c r="Q63" s="25"/>
      <c r="R63" s="25"/>
      <c r="S63" s="37">
        <f t="shared" si="3"/>
        <v>1</v>
      </c>
      <c r="T63" s="52" t="str">
        <f t="shared" si="4"/>
        <v>Southbound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09:33:50-0600',mode:absolute,to:'2016-10-09 12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3" s="54" t="str">
        <f t="shared" si="6"/>
        <v>N</v>
      </c>
      <c r="X63" s="163">
        <f t="shared" si="19"/>
        <v>1</v>
      </c>
      <c r="Y63" s="69">
        <f t="shared" si="8"/>
        <v>23.297799999999999</v>
      </c>
      <c r="Z63" s="69">
        <f t="shared" si="9"/>
        <v>1.32E-2</v>
      </c>
      <c r="AA63" s="69">
        <f t="shared" si="10"/>
        <v>23.284599999999998</v>
      </c>
      <c r="AB63" s="66" t="str">
        <f>VLOOKUP(A63,Enforcements!$C$7:$K$21,8,0)</f>
        <v>Signal based authority (5)</v>
      </c>
      <c r="AC63" s="62" t="str">
        <f>VLOOKUP(A63,Enforcements!$C$7:$E$21,3,0)</f>
        <v>SIGNAL</v>
      </c>
      <c r="AD63" s="63" t="str">
        <f t="shared" si="11"/>
        <v>0150-09</v>
      </c>
      <c r="AE63" s="94" t="str">
        <f t="shared" si="1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63" s="91" t="str">
        <f t="shared" si="13"/>
        <v>"C:\Program Files (x86)\AstroGrep\AstroGrep.exe" /spath="%USERPROFILE%\AppData\Local\Temp\OnboardLogs" /stypes="app*4028*20161009*"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5" t="str">
        <f t="shared" si="17"/>
        <v>"%USERPROFILE%\Documents\GitHub\eaglep3\Utilities\RefineRTDCRunTimes.py" --tripid 150-09 --locoid 4028 --swversion DE.1.0.7.0 --startMP 204:232978 --initTime 2016-10-09T10:33:50 --startdatetime 2016-10-09T10:41:16 --delay 1 --endMP 204:132 --enddatetime 2016-10-09T11:22:46 --enforcementcount 0 &gt;&gt;C:\Users\stu\Documents\GitHub\eaglep3-reporting\EC\2016-10-09-refined-times.txt</v>
      </c>
      <c r="AI6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{"issue":{"subject":"","project_id":79,"tracker_id":40,"status_id":1,"priority_id":2,"assigned_to_id":23,"start_date":"2016-10-09","description":"","custom_fields":[{"id":1,"name":"Subdivision","value":"EC"},{"id":4,"name":"Milepost","value":"0.0132"},{"id":17,"name":"Train ID","value":"150-09"},{"id":16,"name":"Locomotive ID","value":"4028"},{"id":130,"name":"Impact","value":""},{"id":150,"name":"Time of Event (Mountain Time)","value":"11:22:46"},{"id":151,"name":"Denver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463</v>
      </c>
      <c r="B64" s="7">
        <v>4018</v>
      </c>
      <c r="C64" s="24" t="s">
        <v>106</v>
      </c>
      <c r="D64" s="24" t="s">
        <v>190</v>
      </c>
      <c r="E64" s="15">
        <v>42652.41511574074</v>
      </c>
      <c r="F64" s="15">
        <v>42652.417060185187</v>
      </c>
      <c r="G64" s="7">
        <v>1</v>
      </c>
      <c r="H64" s="15" t="s">
        <v>209</v>
      </c>
      <c r="I64" s="15">
        <v>42652.44295138889</v>
      </c>
      <c r="J64" s="7">
        <v>0</v>
      </c>
      <c r="K64" s="116" t="str">
        <f t="shared" si="0"/>
        <v>4017/4018</v>
      </c>
      <c r="L64" s="24" t="str">
        <f>VLOOKUP(A64,'Trips&amp;Operators'!$C$1:$E$10000,3,FALSE)</f>
        <v>MALAVE</v>
      </c>
      <c r="M64" s="6">
        <f t="shared" si="1"/>
        <v>2.5891203702485655E-2</v>
      </c>
      <c r="N64" s="7">
        <f t="shared" si="2"/>
        <v>37.283333331579342</v>
      </c>
      <c r="O64" s="7"/>
      <c r="P64" s="7"/>
      <c r="Q64" s="25"/>
      <c r="R64" s="25"/>
      <c r="S64" s="37">
        <f t="shared" si="3"/>
        <v>1</v>
      </c>
      <c r="T64" s="52" t="str">
        <f t="shared" si="4"/>
        <v>NorthBound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4" s="54" t="str">
        <f t="shared" si="6"/>
        <v>N</v>
      </c>
      <c r="X64" s="163">
        <f t="shared" si="19"/>
        <v>1</v>
      </c>
      <c r="Y64" s="69">
        <f t="shared" si="8"/>
        <v>4.53E-2</v>
      </c>
      <c r="Z64" s="69">
        <f t="shared" si="9"/>
        <v>23.331199999999999</v>
      </c>
      <c r="AA64" s="69">
        <f t="shared" si="10"/>
        <v>23.285899999999998</v>
      </c>
      <c r="AB64" s="66" t="str">
        <f>VLOOKUP(A64,Enforcements!$C$7:$K$21,8,0)</f>
        <v>Bulletin (2)</v>
      </c>
      <c r="AC64" s="62" t="str">
        <f>VLOOKUP(A64,Enforcements!$C$7:$E$21,3,0)</f>
        <v>GRADE CROSSING</v>
      </c>
      <c r="AD64" s="63" t="str">
        <f t="shared" si="11"/>
        <v>0151-09</v>
      </c>
      <c r="AE64" s="94" t="str">
        <f t="shared" si="1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64" s="91" t="str">
        <f t="shared" si="13"/>
        <v>"C:\Program Files (x86)\AstroGrep\AstroGrep.exe" /spath="%USERPROFILE%\AppData\Local\Temp\OnboardLogs" /stypes="app*4018*20161009*"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5" t="str">
        <f t="shared" si="17"/>
        <v>"%USERPROFILE%\Documents\GitHub\eaglep3\Utilities\RefineRTDCRunTimes.py" --tripid 151-09 --locoid 4018 --swversion DE.1.0.7.0 --startMP 204:453 --initTime 2016-10-09T09:57:46 --startdatetime 2016-10-09T10:00:34 --delay 1 --endMP 204:233312 --enddatetime 2016-10-09T10:37:51 --enforcementcount 0 &gt;&gt;C:\Users\stu\Documents\GitHub\eaglep3-reporting\EC\2016-10-09-refined-times.txt</v>
      </c>
      <c r="AI6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{"issue":{"subject":"","project_id":79,"tracker_id":40,"status_id":1,"priority_id":2,"assigned_to_id":23,"start_date":"2016-10-09","description":"","custom_fields":[{"id":1,"name":"Subdivision","value":"EC"},{"id":4,"name":"Milepost","value":"23.3312"},{"id":17,"name":"Train ID","value":"151-09"},{"id":16,"name":"Locomotive ID","value":"4018"},{"id":130,"name":"Impact","value":""},{"id":150,"name":"Time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472</v>
      </c>
      <c r="B65" s="7">
        <v>4017</v>
      </c>
      <c r="C65" s="24" t="s">
        <v>106</v>
      </c>
      <c r="D65" s="24" t="s">
        <v>246</v>
      </c>
      <c r="E65" s="15">
        <v>42652.453287037039</v>
      </c>
      <c r="F65" s="15">
        <v>42652.455891203703</v>
      </c>
      <c r="G65" s="7">
        <v>0</v>
      </c>
      <c r="H65" s="15" t="s">
        <v>126</v>
      </c>
      <c r="I65" s="15">
        <v>42652.48364583333</v>
      </c>
      <c r="J65" s="7">
        <v>0</v>
      </c>
      <c r="K65" s="116" t="str">
        <f t="shared" si="0"/>
        <v>4017/4018</v>
      </c>
      <c r="L65" s="24" t="str">
        <f>VLOOKUP(A65,'Trips&amp;Operators'!$C$1:$E$10000,3,FALSE)</f>
        <v>MALAVE</v>
      </c>
      <c r="M65" s="6">
        <f t="shared" si="1"/>
        <v>2.7754629627452232E-2</v>
      </c>
      <c r="N65" s="7">
        <f t="shared" si="2"/>
        <v>39.966666663531214</v>
      </c>
      <c r="O65" s="7"/>
      <c r="P65" s="7"/>
      <c r="Q65" s="25"/>
      <c r="R65" s="25"/>
      <c r="S65" s="37">
        <f t="shared" si="3"/>
        <v>1</v>
      </c>
      <c r="T65" s="52" t="str">
        <f t="shared" si="4"/>
        <v>Southbound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09:52:44-0600',mode:absolute,to:'2016-10-09 12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5" s="54" t="str">
        <f t="shared" si="6"/>
        <v>N</v>
      </c>
      <c r="X65" s="163">
        <f t="shared" si="19"/>
        <v>1</v>
      </c>
      <c r="Y65" s="69">
        <f t="shared" si="8"/>
        <v>23.298500000000001</v>
      </c>
      <c r="Z65" s="69">
        <f t="shared" si="9"/>
        <v>1.54E-2</v>
      </c>
      <c r="AA65" s="69">
        <f t="shared" si="10"/>
        <v>23.283100000000001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0152-09</v>
      </c>
      <c r="AE65" s="94" t="str">
        <f t="shared" si="1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65" s="91" t="str">
        <f t="shared" si="13"/>
        <v>"C:\Program Files (x86)\AstroGrep\AstroGrep.exe" /spath="%USERPROFILE%\AppData\Local\Temp\OnboardLogs" /stypes="app*4017*20161009*"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5" t="str">
        <f t="shared" si="17"/>
        <v>"%USERPROFILE%\Documents\GitHub\eaglep3\Utilities\RefineRTDCRunTimes.py" --tripid 152-09 --locoid 4017 --swversion DE.1.0.7.0 --startMP 204:232985 --initTime 2016-10-09T10:52:44 --startdatetime 2016-10-09T10:56:29 --delay 0 --endMP 204:154 --enddatetime 2016-10-09T11:36:27 --enforcementcount 0 &gt;&gt;C:\Users\stu\Documents\GitHub\eaglep3-reporting\EC\2016-10-09-refined-times.txt</v>
      </c>
      <c r="AI6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ID","value":"152-09"},{"id":16,"name":"Locomotive ID","value":"4017"},{"id":130,"name":"Impact","value":""},{"id":150,"name":"Time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466</v>
      </c>
      <c r="B66" s="7">
        <v>4002</v>
      </c>
      <c r="C66" s="24" t="s">
        <v>106</v>
      </c>
      <c r="D66" s="24" t="s">
        <v>243</v>
      </c>
      <c r="E66" s="15">
        <v>42652.422523148147</v>
      </c>
      <c r="F66" s="15">
        <v>42652.42732638889</v>
      </c>
      <c r="G66" s="7">
        <v>6</v>
      </c>
      <c r="H66" s="15" t="s">
        <v>366</v>
      </c>
      <c r="I66" s="15">
        <v>42652.453136574077</v>
      </c>
      <c r="J66" s="7">
        <v>0</v>
      </c>
      <c r="K66" s="116" t="str">
        <f t="shared" si="0"/>
        <v>4001/4002</v>
      </c>
      <c r="L66" s="24" t="str">
        <f>VLOOKUP(A66,'Trips&amp;Operators'!$C$1:$E$10000,3,FALSE)</f>
        <v>STRICKLAND</v>
      </c>
      <c r="M66" s="6">
        <f t="shared" si="1"/>
        <v>2.5810185186855961E-2</v>
      </c>
      <c r="N66" s="7">
        <f t="shared" si="2"/>
        <v>37.166666669072583</v>
      </c>
      <c r="O66" s="7"/>
      <c r="P66" s="7"/>
      <c r="Q66" s="25"/>
      <c r="R66" s="25"/>
      <c r="S66" s="37">
        <f t="shared" si="3"/>
        <v>1</v>
      </c>
      <c r="T66" s="52" t="str">
        <f t="shared" si="4"/>
        <v>NorthBound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09:08:26-0600',mode:absolute,to:'2016-10-09 11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6" s="54" t="str">
        <f t="shared" si="6"/>
        <v>N</v>
      </c>
      <c r="X66" s="163">
        <f t="shared" si="19"/>
        <v>1</v>
      </c>
      <c r="Y66" s="69">
        <f t="shared" si="8"/>
        <v>4.6899999999999997E-2</v>
      </c>
      <c r="Z66" s="69">
        <f t="shared" si="9"/>
        <v>23.330100000000002</v>
      </c>
      <c r="AA66" s="69">
        <f t="shared" si="10"/>
        <v>23.283200000000001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0153-09</v>
      </c>
      <c r="AE66" s="94" t="str">
        <f t="shared" si="1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66" s="91" t="str">
        <f t="shared" si="13"/>
        <v>"C:\Program Files (x86)\AstroGrep\AstroGrep.exe" /spath="%USERPROFILE%\AppData\Local\Temp\OnboardLogs" /stypes="app*4002*20161009*"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5" t="str">
        <f t="shared" si="17"/>
        <v>"%USERPROFILE%\Documents\GitHub\eaglep3\Utilities\RefineRTDCRunTimes.py" --tripid 153-09 --locoid 4002 --swversion DE.1.0.7.0 --startMP 204:469 --initTime 2016-10-09T10:08:26 --startdatetime 2016-10-09T10:15:21 --delay 6 --endMP 204:233301 --enddatetime 2016-10-09T10:52:31 --enforcementcount 0 &gt;&gt;C:\Users\stu\Documents\GitHub\eaglep3-reporting\EC\2016-10-09-refined-times.txt</v>
      </c>
      <c r="AI6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{"issue":{"subject":"","project_id":79,"tracker_id":40,"status_id":1,"priority_id":2,"assigned_to_id":23,"start_date":"2016-10-09","description":"","custom_fields":[{"id":1,"name":"Subdivision","value":"EC"},{"id":4,"name":"Milepost","value":"23.3301"},{"id":17,"name":"Train ID","value":"153-09"},{"id":16,"name":"Locomotive ID","value":"4002"},{"id":130,"name":"Impact","value":""},{"id":150,"name":"Time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474</v>
      </c>
      <c r="B67" s="7">
        <v>4001</v>
      </c>
      <c r="C67" s="24" t="s">
        <v>106</v>
      </c>
      <c r="D67" s="24" t="s">
        <v>227</v>
      </c>
      <c r="E67" s="15">
        <v>42652.460335648146</v>
      </c>
      <c r="F67" s="15">
        <v>42652.466261574074</v>
      </c>
      <c r="G67" s="7">
        <v>1</v>
      </c>
      <c r="H67" s="15" t="s">
        <v>189</v>
      </c>
      <c r="I67" s="15">
        <v>42652.492835648147</v>
      </c>
      <c r="J67" s="7">
        <v>0</v>
      </c>
      <c r="K67" s="116" t="str">
        <f t="shared" si="0"/>
        <v>4001/4002</v>
      </c>
      <c r="L67" s="24" t="str">
        <f>VLOOKUP(A67,'Trips&amp;Operators'!$C$1:$E$10000,3,FALSE)</f>
        <v>STRICKLAND</v>
      </c>
      <c r="M67" s="6">
        <f t="shared" si="1"/>
        <v>2.6574074072414078E-2</v>
      </c>
      <c r="N67" s="7">
        <f t="shared" si="2"/>
        <v>38.266666664276272</v>
      </c>
      <c r="O67" s="7"/>
      <c r="P67" s="7"/>
      <c r="Q67" s="25"/>
      <c r="R67" s="25"/>
      <c r="S67" s="37">
        <f t="shared" si="3"/>
        <v>1</v>
      </c>
      <c r="T67" s="52" t="str">
        <f t="shared" si="4"/>
        <v>Southbound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10:02:53-0600',mode:absolute,to:'2016-10-09 12:49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7" s="54" t="str">
        <f t="shared" si="6"/>
        <v>N</v>
      </c>
      <c r="X67" s="163">
        <f t="shared" si="19"/>
        <v>1</v>
      </c>
      <c r="Y67" s="69">
        <f t="shared" si="8"/>
        <v>23.297999999999998</v>
      </c>
      <c r="Z67" s="69">
        <f t="shared" si="9"/>
        <v>1.47E-2</v>
      </c>
      <c r="AA67" s="69">
        <f t="shared" si="10"/>
        <v>23.283299999999997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0154-09</v>
      </c>
      <c r="AE67" s="94" t="str">
        <f t="shared" si="1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67" s="91" t="str">
        <f t="shared" si="13"/>
        <v>"C:\Program Files (x86)\AstroGrep\AstroGrep.exe" /spath="%USERPROFILE%\AppData\Local\Temp\OnboardLogs" /stypes="app*4001*20161009*"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5" t="str">
        <f t="shared" si="17"/>
        <v>"%USERPROFILE%\Documents\GitHub\eaglep3\Utilities\RefineRTDCRunTimes.py" --tripid 154-09 --locoid 4001 --swversion DE.1.0.7.0 --startMP 204:232980 --initTime 2016-10-09T11:02:53 --startdatetime 2016-10-09T11:11:25 --delay 1 --endMP 204:147 --enddatetime 2016-10-09T11:49:41 --enforcementcount 0 &gt;&gt;C:\Users\stu\Documents\GitHub\eaglep3-reporting\EC\2016-10-09-refined-times.txt</v>
      </c>
      <c r="AI6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ID","value":"154-09"},{"id":16,"name":"Locomotive ID","value":"4001"},{"id":130,"name":"Impact","value":""},{"id":150,"name":"Time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468</v>
      </c>
      <c r="B68" s="7">
        <v>4007</v>
      </c>
      <c r="C68" s="24" t="s">
        <v>106</v>
      </c>
      <c r="D68" s="24" t="s">
        <v>195</v>
      </c>
      <c r="E68" s="15">
        <v>42652.433252314811</v>
      </c>
      <c r="F68" s="15">
        <v>42652.437731481485</v>
      </c>
      <c r="G68" s="7">
        <v>1</v>
      </c>
      <c r="H68" s="15" t="s">
        <v>642</v>
      </c>
      <c r="I68" s="15">
        <v>42652.463784722226</v>
      </c>
      <c r="J68" s="7">
        <v>0</v>
      </c>
      <c r="K68" s="116" t="str">
        <f t="shared" si="0"/>
        <v>4007/4008</v>
      </c>
      <c r="L68" s="24" t="str">
        <f>VLOOKUP(A68,'Trips&amp;Operators'!$C$1:$E$10000,3,FALSE)</f>
        <v>CLARK</v>
      </c>
      <c r="M68" s="6">
        <f t="shared" si="1"/>
        <v>2.6053240741021E-2</v>
      </c>
      <c r="N68" s="7">
        <f t="shared" si="2"/>
        <v>37.51666666707024</v>
      </c>
      <c r="O68" s="7"/>
      <c r="P68" s="7"/>
      <c r="Q68" s="25"/>
      <c r="R68" s="25"/>
      <c r="S68" s="37">
        <f t="shared" si="3"/>
        <v>1</v>
      </c>
      <c r="T68" s="52" t="str">
        <f t="shared" si="4"/>
        <v>NorthBound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09:23:53-0600',mode:absolute,to:'2016-10-09 12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8" s="54" t="str">
        <f t="shared" si="6"/>
        <v>N</v>
      </c>
      <c r="X68" s="163">
        <f t="shared" si="19"/>
        <v>1</v>
      </c>
      <c r="Y68" s="69">
        <f t="shared" si="8"/>
        <v>4.6600000000000003E-2</v>
      </c>
      <c r="Z68" s="69">
        <f t="shared" si="9"/>
        <v>23.316099999999999</v>
      </c>
      <c r="AA68" s="69">
        <f t="shared" si="10"/>
        <v>23.269499999999997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0155-09</v>
      </c>
      <c r="AE68" s="94" t="str">
        <f t="shared" si="1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68" s="91" t="str">
        <f t="shared" si="13"/>
        <v>"C:\Program Files (x86)\AstroGrep\AstroGrep.exe" /spath="%USERPROFILE%\AppData\Local\Temp\OnboardLogs" /stypes="app*4007*20161009*"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5" t="str">
        <f t="shared" si="17"/>
        <v>"%USERPROFILE%\Documents\GitHub\eaglep3\Utilities\RefineRTDCRunTimes.py" --tripid 155-09 --locoid 4007 --swversion DE.1.0.7.0 --startMP 204:466 --initTime 2016-10-09T10:23:53 --startdatetime 2016-10-09T10:30:20 --delay 1 --endMP 204:233161 --enddatetime 2016-10-09T11:07:51 --enforcementcount 0 &gt;&gt;C:\Users\stu\Documents\GitHub\eaglep3-reporting\EC\2016-10-09-refined-times.txt</v>
      </c>
      <c r="AI68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{"issue":{"subject":"","project_id":79,"tracker_id":40,"status_id":1,"priority_id":2,"assigned_to_id":23,"start_date":"2016-10-09","description":"","custom_fields":[{"id":1,"name":"Subdivision","value":"EC"},{"id":4,"name":"Milepost","value":"23.3161"},{"id":17,"name":"Train ID","value":"155-09"},{"id":16,"name":"Locomotive ID","value":"4007"},{"id":130,"name":"Impact","value":""},{"id":150,"name":"Time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477</v>
      </c>
      <c r="B69" s="7">
        <v>4008</v>
      </c>
      <c r="C69" s="24" t="s">
        <v>106</v>
      </c>
      <c r="D69" s="24" t="s">
        <v>643</v>
      </c>
      <c r="E69" s="15">
        <v>42652.472314814811</v>
      </c>
      <c r="F69" s="15">
        <v>42652.4765625</v>
      </c>
      <c r="G69" s="7">
        <v>1</v>
      </c>
      <c r="H69" s="15" t="s">
        <v>644</v>
      </c>
      <c r="I69" s="15">
        <v>42652.504918981482</v>
      </c>
      <c r="J69" s="7">
        <v>0</v>
      </c>
      <c r="K69" s="116" t="str">
        <f t="shared" si="0"/>
        <v>4007/4008</v>
      </c>
      <c r="L69" s="24" t="str">
        <f>VLOOKUP(A69,'Trips&amp;Operators'!$C$1:$E$10000,3,FALSE)</f>
        <v>CLARK</v>
      </c>
      <c r="M69" s="6">
        <f t="shared" si="1"/>
        <v>2.8356481481750961E-2</v>
      </c>
      <c r="N69" s="7">
        <f t="shared" si="2"/>
        <v>40.833333333721384</v>
      </c>
      <c r="O69" s="7"/>
      <c r="P69" s="7"/>
      <c r="Q69" s="25"/>
      <c r="R69" s="25"/>
      <c r="S69" s="37">
        <f t="shared" si="3"/>
        <v>1</v>
      </c>
      <c r="T69" s="52" t="str">
        <f t="shared" si="4"/>
        <v>Southbound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10:20:08-0600',mode:absolute,to:'2016-10-09 13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9" s="54" t="str">
        <f t="shared" si="6"/>
        <v>N</v>
      </c>
      <c r="X69" s="163">
        <f t="shared" si="19"/>
        <v>1</v>
      </c>
      <c r="Y69" s="69">
        <f t="shared" si="8"/>
        <v>23.2849</v>
      </c>
      <c r="Z69" s="69">
        <f t="shared" si="9"/>
        <v>1.3599999999999999E-2</v>
      </c>
      <c r="AA69" s="69">
        <f t="shared" si="10"/>
        <v>23.2713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0156-09</v>
      </c>
      <c r="AE69" s="94" t="str">
        <f t="shared" si="1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69" s="91" t="str">
        <f t="shared" si="13"/>
        <v>"C:\Program Files (x86)\AstroGrep\AstroGrep.exe" /spath="%USERPROFILE%\AppData\Local\Temp\OnboardLogs" /stypes="app*4008*20161009*"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5" t="str">
        <f t="shared" si="17"/>
        <v>"%USERPROFILE%\Documents\GitHub\eaglep3\Utilities\RefineRTDCRunTimes.py" --tripid 156-09 --locoid 4008 --swversion DE.1.0.7.0 --startMP 204:232849 --initTime 2016-10-09T11:20:08 --startdatetime 2016-10-09T11:26:15 --delay 1 --endMP 204:136 --enddatetime 2016-10-09T12:07:05 --enforcementcount 0 &gt;&gt;C:\Users\stu\Documents\GitHub\eaglep3-reporting\EC\2016-10-09-refined-times.txt</v>
      </c>
      <c r="AI69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{"issue":{"subject":"","project_id":79,"tracker_id":40,"status_id":1,"priority_id":2,"assigned_to_id":23,"start_date":"2016-10-09","description":"","custom_fields":[{"id":1,"name":"Subdivision","value":"EC"},{"id":4,"name":"Milepost","value":"0.0136"},{"id":17,"name":"Train ID","value":"156-09"},{"id":16,"name":"Locomotive ID","value":"4008"},{"id":130,"name":"Impact","value":""},{"id":150,"name":"Time of Event (Mountain Time)","value":"12:07:05"},{"id":151,"name":"Denver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470</v>
      </c>
      <c r="B70" s="7">
        <v>4025</v>
      </c>
      <c r="C70" s="24" t="s">
        <v>106</v>
      </c>
      <c r="D70" s="24" t="s">
        <v>247</v>
      </c>
      <c r="E70" s="15">
        <v>42652.442199074074</v>
      </c>
      <c r="F70" s="15">
        <v>42652.44809027778</v>
      </c>
      <c r="G70" s="7">
        <v>1</v>
      </c>
      <c r="H70" s="15" t="s">
        <v>192</v>
      </c>
      <c r="I70" s="15">
        <v>42652.472361111111</v>
      </c>
      <c r="J70" s="7">
        <v>0</v>
      </c>
      <c r="K70" s="116" t="str">
        <f t="shared" si="0"/>
        <v>4025/4026</v>
      </c>
      <c r="L70" s="24" t="str">
        <f>VLOOKUP(A70,'Trips&amp;Operators'!$C$1:$E$10000,3,FALSE)</f>
        <v>YORK</v>
      </c>
      <c r="M70" s="6">
        <f t="shared" si="1"/>
        <v>2.4270833331684116E-2</v>
      </c>
      <c r="N70" s="7">
        <f t="shared" si="2"/>
        <v>34.949999997625127</v>
      </c>
      <c r="O70" s="7"/>
      <c r="P70" s="7"/>
      <c r="Q70" s="25"/>
      <c r="R70" s="25"/>
      <c r="S70" s="37">
        <f t="shared" si="3"/>
        <v>1</v>
      </c>
      <c r="T70" s="52" t="str">
        <f t="shared" si="4"/>
        <v>NorthBound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09:36:46-0600',mode:absolute,to:'2016-10-09 12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0" s="54" t="str">
        <f t="shared" si="6"/>
        <v>N</v>
      </c>
      <c r="X70" s="163">
        <f t="shared" si="19"/>
        <v>1</v>
      </c>
      <c r="Y70" s="69">
        <f t="shared" si="8"/>
        <v>4.4600000000000001E-2</v>
      </c>
      <c r="Z70" s="69">
        <f t="shared" si="9"/>
        <v>23.3291</v>
      </c>
      <c r="AA70" s="69">
        <f t="shared" si="10"/>
        <v>23.284500000000001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0157-09</v>
      </c>
      <c r="AE70" s="94" t="str">
        <f t="shared" si="1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70" s="91" t="str">
        <f t="shared" si="13"/>
        <v>"C:\Program Files (x86)\AstroGrep\AstroGrep.exe" /spath="%USERPROFILE%\AppData\Local\Temp\OnboardLogs" /stypes="app*4025*20161009*"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5" t="str">
        <f t="shared" si="17"/>
        <v>"%USERPROFILE%\Documents\GitHub\eaglep3\Utilities\RefineRTDCRunTimes.py" --tripid 157-09 --locoid 4025 --swversion DE.1.0.7.0 --startMP 204:446 --initTime 2016-10-09T10:36:46 --startdatetime 2016-10-09T10:45:15 --delay 1 --endMP 204:233291 --enddatetime 2016-10-09T11:20:12 --enforcementcount 0 &gt;&gt;C:\Users\stu\Documents\GitHub\eaglep3-reporting\EC\2016-10-09-refined-times.txt</v>
      </c>
      <c r="AI70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ID","value":"157-09"},{"id":16,"name":"Locomotive ID","value":"4025"},{"id":130,"name":"Impact","value":""},{"id":150,"name":"Time of Event (Mountain Time)","value":"11:20:12"},{"id":151,"name":"Denver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478</v>
      </c>
      <c r="B71" s="7">
        <v>4026</v>
      </c>
      <c r="C71" s="24" t="s">
        <v>106</v>
      </c>
      <c r="D71" s="24" t="s">
        <v>374</v>
      </c>
      <c r="E71" s="15">
        <v>42652.473356481481</v>
      </c>
      <c r="F71" s="15">
        <v>42652.487233796295</v>
      </c>
      <c r="G71" s="7">
        <v>0</v>
      </c>
      <c r="H71" s="15" t="s">
        <v>225</v>
      </c>
      <c r="I71" s="15">
        <v>42652.51295138889</v>
      </c>
      <c r="J71" s="7">
        <v>0</v>
      </c>
      <c r="K71" s="116" t="str">
        <f t="shared" si="0"/>
        <v>4025/4026</v>
      </c>
      <c r="L71" s="24" t="str">
        <f>VLOOKUP(A71,'Trips&amp;Operators'!$C$1:$E$10000,3,FALSE)</f>
        <v>YORK</v>
      </c>
      <c r="M71" s="6">
        <f t="shared" si="1"/>
        <v>2.5717592594446614E-2</v>
      </c>
      <c r="N71" s="7">
        <f t="shared" si="2"/>
        <v>37.033333336003125</v>
      </c>
      <c r="O71" s="7"/>
      <c r="P71" s="7"/>
      <c r="Q71" s="25"/>
      <c r="R71" s="25"/>
      <c r="S71" s="37">
        <f t="shared" si="3"/>
        <v>1</v>
      </c>
      <c r="T71" s="52" t="str">
        <f t="shared" si="4"/>
        <v>Southbound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10:21:38-0600',mode:absolute,to:'2016-10-09 13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1" s="54" t="str">
        <f t="shared" si="6"/>
        <v>N</v>
      </c>
      <c r="X71" s="163">
        <f t="shared" si="19"/>
        <v>1</v>
      </c>
      <c r="Y71" s="69">
        <f t="shared" si="8"/>
        <v>23.296500000000002</v>
      </c>
      <c r="Z71" s="69">
        <f t="shared" si="9"/>
        <v>1.61E-2</v>
      </c>
      <c r="AA71" s="69">
        <f t="shared" si="10"/>
        <v>23.2804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0158-09</v>
      </c>
      <c r="AE71" s="94" t="str">
        <f t="shared" si="1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71" s="91" t="str">
        <f t="shared" si="13"/>
        <v>"C:\Program Files (x86)\AstroGrep\AstroGrep.exe" /spath="%USERPROFILE%\AppData\Local\Temp\OnboardLogs" /stypes="app*4026*20161009*"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5" t="str">
        <f t="shared" si="17"/>
        <v>"%USERPROFILE%\Documents\GitHub\eaglep3\Utilities\RefineRTDCRunTimes.py" --tripid 158-09 --locoid 4026 --swversion DE.1.0.7.0 --startMP 204:232965 --initTime 2016-10-09T11:21:38 --startdatetime 2016-10-09T11:41:37 --delay 0 --endMP 204:161 --enddatetime 2016-10-09T12:18:39 --enforcementcount 0 &gt;&gt;C:\Users\stu\Documents\GitHub\eaglep3-reporting\EC\2016-10-09-refined-times.txt</v>
      </c>
      <c r="AI71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{"issue":{"subject":"","project_id":79,"tracker_id":40,"status_id":1,"priority_id":2,"assigned_to_id":23,"start_date":"2016-10-09","description":"","custom_fields":[{"id":1,"name":"Subdivision","value":"EC"},{"id":4,"name":"Milepost","value":"0.0161"},{"id":17,"name":"Train ID","value":"158-09"},{"id":16,"name":"Locomotive ID","value":"4026"},{"id":130,"name":"Impact","value":""},{"id":150,"name":"Time of Event (Mountain Time)","value":"12:18:39"},{"id":151,"name":"Denver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473</v>
      </c>
      <c r="B72" s="7">
        <v>4040</v>
      </c>
      <c r="C72" s="24" t="s">
        <v>106</v>
      </c>
      <c r="D72" s="24" t="s">
        <v>201</v>
      </c>
      <c r="E72" s="15">
        <v>42652.453541666669</v>
      </c>
      <c r="F72" s="15">
        <v>42652.458761574075</v>
      </c>
      <c r="G72" s="7">
        <v>2</v>
      </c>
      <c r="H72" s="15" t="s">
        <v>299</v>
      </c>
      <c r="I72" s="15">
        <v>42652.484050925923</v>
      </c>
      <c r="J72" s="7">
        <v>0</v>
      </c>
      <c r="K72" s="116" t="str">
        <f t="shared" si="0"/>
        <v>4039/4040</v>
      </c>
      <c r="L72" s="24" t="str">
        <f>VLOOKUP(A72,'Trips&amp;Operators'!$C$1:$E$10000,3,FALSE)</f>
        <v>STEWART</v>
      </c>
      <c r="M72" s="6">
        <f t="shared" si="1"/>
        <v>2.5289351848186925E-2</v>
      </c>
      <c r="N72" s="7">
        <f t="shared" si="2"/>
        <v>36.416666661389172</v>
      </c>
      <c r="O72" s="7"/>
      <c r="P72" s="7"/>
      <c r="Q72" s="25"/>
      <c r="R72" s="25"/>
      <c r="S72" s="37">
        <f t="shared" si="3"/>
        <v>1</v>
      </c>
      <c r="T72" s="52" t="str">
        <f t="shared" si="4"/>
        <v>NorthBound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09:53:06-0600',mode:absolute,to:'2016-10-09 12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2" s="54" t="str">
        <f t="shared" si="6"/>
        <v>N</v>
      </c>
      <c r="X72" s="163">
        <f t="shared" si="19"/>
        <v>1</v>
      </c>
      <c r="Y72" s="69">
        <f t="shared" si="8"/>
        <v>4.6199999999999998E-2</v>
      </c>
      <c r="Z72" s="69">
        <f t="shared" si="9"/>
        <v>23.329499999999999</v>
      </c>
      <c r="AA72" s="69">
        <f t="shared" si="10"/>
        <v>23.283300000000001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0159-09</v>
      </c>
      <c r="AE72" s="94" t="str">
        <f t="shared" si="1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72" s="91" t="str">
        <f t="shared" si="13"/>
        <v>"C:\Program Files (x86)\AstroGrep\AstroGrep.exe" /spath="%USERPROFILE%\AppData\Local\Temp\OnboardLogs" /stypes="app*4040*20161009*"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5" t="str">
        <f t="shared" si="17"/>
        <v>"%USERPROFILE%\Documents\GitHub\eaglep3\Utilities\RefineRTDCRunTimes.py" --tripid 159-09 --locoid 4040 --swversion DE.1.0.7.0 --startMP 204:462 --initTime 2016-10-09T10:53:06 --startdatetime 2016-10-09T11:00:37 --delay 2 --endMP 204:233295 --enddatetime 2016-10-09T11:37:02 --enforcementcount 0 &gt;&gt;C:\Users\stu\Documents\GitHub\eaglep3-reporting\EC\2016-10-09-refined-times.txt</v>
      </c>
      <c r="AI72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ID","value":"159-09"},{"id":16,"name":"Locomotive ID","value":"4040"},{"id":130,"name":"Impact","value":""},{"id":150,"name":"Time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483</v>
      </c>
      <c r="B73" s="7">
        <v>4039</v>
      </c>
      <c r="C73" s="24" t="s">
        <v>106</v>
      </c>
      <c r="D73" s="24" t="s">
        <v>645</v>
      </c>
      <c r="E73" s="15">
        <v>42652.49386574074</v>
      </c>
      <c r="F73" s="15">
        <v>42652.497557870367</v>
      </c>
      <c r="G73" s="7">
        <v>1</v>
      </c>
      <c r="H73" s="15" t="s">
        <v>126</v>
      </c>
      <c r="I73" s="15">
        <v>42652.525625000002</v>
      </c>
      <c r="J73" s="7">
        <v>0</v>
      </c>
      <c r="K73" s="116" t="str">
        <f t="shared" si="0"/>
        <v>4039/4040</v>
      </c>
      <c r="L73" s="24" t="str">
        <f>VLOOKUP(A73,'Trips&amp;Operators'!$C$1:$E$10000,3,FALSE)</f>
        <v>STEWART</v>
      </c>
      <c r="M73" s="6">
        <f t="shared" si="1"/>
        <v>2.8067129635019228E-2</v>
      </c>
      <c r="N73" s="7">
        <f t="shared" si="2"/>
        <v>40.416666674427688</v>
      </c>
      <c r="O73" s="7"/>
      <c r="P73" s="7"/>
      <c r="Q73" s="25"/>
      <c r="R73" s="25"/>
      <c r="S73" s="37">
        <f t="shared" si="3"/>
        <v>1</v>
      </c>
      <c r="T73" s="52" t="str">
        <f t="shared" si="4"/>
        <v>Southbound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10:51:10-0600',mode:absolute,to:'2016-10-09 13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3" s="54" t="str">
        <f t="shared" si="6"/>
        <v>N</v>
      </c>
      <c r="X73" s="163">
        <f t="shared" si="19"/>
        <v>1</v>
      </c>
      <c r="Y73" s="69">
        <f t="shared" si="8"/>
        <v>23.298300000000001</v>
      </c>
      <c r="Z73" s="69">
        <f t="shared" si="9"/>
        <v>1.54E-2</v>
      </c>
      <c r="AA73" s="69">
        <f t="shared" si="10"/>
        <v>23.282900000000001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0160-09</v>
      </c>
      <c r="AE73" s="94" t="str">
        <f t="shared" si="1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73" s="91" t="str">
        <f t="shared" si="13"/>
        <v>"C:\Program Files (x86)\AstroGrep\AstroGrep.exe" /spath="%USERPROFILE%\AppData\Local\Temp\OnboardLogs" /stypes="app*4039*20161009*"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5" t="str">
        <f t="shared" si="17"/>
        <v>"%USERPROFILE%\Documents\GitHub\eaglep3\Utilities\RefineRTDCRunTimes.py" --tripid 160-09 --locoid 4039 --swversion DE.1.0.7.0 --startMP 204:232983 --initTime 2016-10-09T11:51:10 --startdatetime 2016-10-09T11:56:29 --delay 1 --endMP 204:154 --enddatetime 2016-10-09T12:36:54 --enforcementcount 0 &gt;&gt;C:\Users\stu\Documents\GitHub\eaglep3-reporting\EC\2016-10-09-refined-times.txt</v>
      </c>
      <c r="AI73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ID","value":"160-09"},{"id":16,"name":"Locomotive ID","value":"4039"},{"id":130,"name":"Impact","value":""},{"id":150,"name":"Time of Event (Mountain Time)","value":"12:36:54"},{"id":151,"name":"Denver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475</v>
      </c>
      <c r="B74" s="7">
        <v>4014</v>
      </c>
      <c r="C74" s="24" t="s">
        <v>106</v>
      </c>
      <c r="D74" s="24" t="s">
        <v>646</v>
      </c>
      <c r="E74" s="15">
        <v>42652.464085648149</v>
      </c>
      <c r="F74" s="15">
        <v>42652.4690162037</v>
      </c>
      <c r="G74" s="7">
        <v>1</v>
      </c>
      <c r="H74" s="15" t="s">
        <v>300</v>
      </c>
      <c r="I74" s="15">
        <v>42652.494606481479</v>
      </c>
      <c r="J74" s="7">
        <v>0</v>
      </c>
      <c r="K74" s="116" t="str">
        <f t="shared" si="0"/>
        <v>4013/4014</v>
      </c>
      <c r="L74" s="24" t="str">
        <f>VLOOKUP(A74,'Trips&amp;Operators'!$C$1:$E$10000,3,FALSE)</f>
        <v>BARTLETT</v>
      </c>
      <c r="M74" s="6">
        <f t="shared" si="1"/>
        <v>2.5590277778974269E-2</v>
      </c>
      <c r="N74" s="7">
        <f t="shared" si="2"/>
        <v>36.850000001722947</v>
      </c>
      <c r="O74" s="7"/>
      <c r="P74" s="7"/>
      <c r="Q74" s="25"/>
      <c r="R74" s="25"/>
      <c r="S74" s="37">
        <f t="shared" si="3"/>
        <v>1</v>
      </c>
      <c r="T74" s="52" t="str">
        <f t="shared" si="4"/>
        <v>NorthBound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10:08:17-0600',mode:absolute,to:'2016-10-09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4" t="str">
        <f t="shared" si="6"/>
        <v>N</v>
      </c>
      <c r="X74" s="163">
        <f t="shared" si="19"/>
        <v>1</v>
      </c>
      <c r="Y74" s="69">
        <f t="shared" si="8"/>
        <v>4.2599999999999999E-2</v>
      </c>
      <c r="Z74" s="69">
        <f t="shared" si="9"/>
        <v>23.3322</v>
      </c>
      <c r="AA74" s="69">
        <f t="shared" si="10"/>
        <v>23.2896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0161-09</v>
      </c>
      <c r="AE74" s="94" t="str">
        <f t="shared" si="1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74" s="91" t="str">
        <f t="shared" si="13"/>
        <v>"C:\Program Files (x86)\AstroGrep\AstroGrep.exe" /spath="%USERPROFILE%\AppData\Local\Temp\OnboardLogs" /stypes="app*4014*20161009*"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5" t="str">
        <f t="shared" si="17"/>
        <v>"%USERPROFILE%\Documents\GitHub\eaglep3\Utilities\RefineRTDCRunTimes.py" --tripid 161-09 --locoid 4014 --swversion DE.1.0.7.0 --startMP 204:426 --initTime 2016-10-09T11:08:17 --startdatetime 2016-10-09T11:15:23 --delay 1 --endMP 204:233322 --enddatetime 2016-10-09T11:52:14 --enforcementcount 0 &gt;&gt;C:\Users\stu\Documents\GitHub\eaglep3-reporting\EC\2016-10-09-refined-times.txt</v>
      </c>
      <c r="AI74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{"issue":{"subject":"","project_id":79,"tracker_id":40,"status_id":1,"priority_id":2,"assigned_to_id":23,"start_date":"2016-10-09","description":"","custom_fields":[{"id":1,"name":"Subdivision","value":"EC"},{"id":4,"name":"Milepost","value":"23.3322"},{"id":17,"name":"Train ID","value":"161-09"},{"id":16,"name":"Locomotive ID","value":"4014"},{"id":130,"name":"Impact","value":""},{"id":150,"name":"Time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485</v>
      </c>
      <c r="B75" s="7">
        <v>4013</v>
      </c>
      <c r="C75" s="24" t="s">
        <v>106</v>
      </c>
      <c r="D75" s="24" t="s">
        <v>295</v>
      </c>
      <c r="E75" s="15">
        <v>42652.49659722222</v>
      </c>
      <c r="F75" s="15">
        <v>42652.507824074077</v>
      </c>
      <c r="G75" s="7">
        <v>1</v>
      </c>
      <c r="H75" s="15" t="s">
        <v>287</v>
      </c>
      <c r="I75" s="15">
        <v>42652.534953703704</v>
      </c>
      <c r="J75" s="7">
        <v>0</v>
      </c>
      <c r="K75" s="116" t="str">
        <f t="shared" si="0"/>
        <v>4013/4014</v>
      </c>
      <c r="L75" s="24" t="str">
        <f>VLOOKUP(A75,'Trips&amp;Operators'!$C$1:$E$10000,3,FALSE)</f>
        <v>BARTLETT</v>
      </c>
      <c r="M75" s="6">
        <f t="shared" si="1"/>
        <v>2.7129629626870155E-2</v>
      </c>
      <c r="N75" s="7">
        <f t="shared" si="2"/>
        <v>39.066666662693024</v>
      </c>
      <c r="O75" s="7"/>
      <c r="P75" s="7"/>
      <c r="Q75" s="25"/>
      <c r="R75" s="25"/>
      <c r="S75" s="37">
        <f t="shared" si="3"/>
        <v>1</v>
      </c>
      <c r="T75" s="52" t="str">
        <f t="shared" si="4"/>
        <v>Southbound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10:55:06-0600',mode:absolute,to:'2016-10-09 13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54" t="str">
        <f t="shared" si="6"/>
        <v>N</v>
      </c>
      <c r="X75" s="163">
        <f t="shared" si="19"/>
        <v>1</v>
      </c>
      <c r="Y75" s="69">
        <f t="shared" si="8"/>
        <v>23.299399999999999</v>
      </c>
      <c r="Z75" s="69">
        <f t="shared" si="9"/>
        <v>1.3899999999999999E-2</v>
      </c>
      <c r="AA75" s="69">
        <f t="shared" si="10"/>
        <v>23.285499999999999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0162-09</v>
      </c>
      <c r="AE75" s="94" t="str">
        <f t="shared" si="1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75" s="91" t="str">
        <f t="shared" si="13"/>
        <v>"C:\Program Files (x86)\AstroGrep\AstroGrep.exe" /spath="%USERPROFILE%\AppData\Local\Temp\OnboardLogs" /stypes="app*4013*20161009*"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5" t="str">
        <f t="shared" si="17"/>
        <v>"%USERPROFILE%\Documents\GitHub\eaglep3\Utilities\RefineRTDCRunTimes.py" --tripid 162-09 --locoid 4013 --swversion DE.1.0.7.0 --startMP 204:232994 --initTime 2016-10-09T11:55:06 --startdatetime 2016-10-09T12:11:16 --delay 1 --endMP 204:139 --enddatetime 2016-10-09T12:50:20 --enforcementcount 0 &gt;&gt;C:\Users\stu\Documents\GitHub\eaglep3-reporting\EC\2016-10-09-refined-times.txt</v>
      </c>
      <c r="AI75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ID","value":"162-09"},{"id":16,"name":"Locomotive ID","value":"4013"},{"id":130,"name":"Impact","value":""},{"id":150,"name":"Time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479</v>
      </c>
      <c r="B76" s="7">
        <v>4027</v>
      </c>
      <c r="C76" s="24" t="s">
        <v>106</v>
      </c>
      <c r="D76" s="24" t="s">
        <v>194</v>
      </c>
      <c r="E76" s="15">
        <v>42652.476481481484</v>
      </c>
      <c r="F76" s="15">
        <v>42652.480347222219</v>
      </c>
      <c r="G76" s="7">
        <v>4</v>
      </c>
      <c r="H76" s="15" t="s">
        <v>205</v>
      </c>
      <c r="I76" s="15">
        <v>42652.506041666667</v>
      </c>
      <c r="J76" s="7">
        <v>0</v>
      </c>
      <c r="K76" s="116" t="str">
        <f t="shared" si="0"/>
        <v>4027/4028</v>
      </c>
      <c r="L76" s="24" t="str">
        <f>VLOOKUP(A76,'Trips&amp;Operators'!$C$1:$E$10000,3,FALSE)</f>
        <v>BRUDER</v>
      </c>
      <c r="M76" s="6">
        <f t="shared" si="1"/>
        <v>2.5694444448163267E-2</v>
      </c>
      <c r="N76" s="7">
        <f t="shared" si="2"/>
        <v>37.000000005355105</v>
      </c>
      <c r="O76" s="7"/>
      <c r="P76" s="7"/>
      <c r="Q76" s="25"/>
      <c r="R76" s="25"/>
      <c r="S76" s="37">
        <f t="shared" si="3"/>
        <v>1</v>
      </c>
      <c r="T76" s="52" t="str">
        <f t="shared" si="4"/>
        <v>NorthBound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 t="shared" si="5"/>
        <v>https://search-rtdc-monitor-bjffxe2xuh6vdkpspy63sjmuny.us-east-1.es.amazonaws.com/_plugin/kibana/#/discover/Steve-Slow-Train-Analysis-(2080s-and-2083s)?_g=(refreshInterval:(display:Off,section:0,value:0),time:(from:'2016-10-09 10:26:08-0600',mode:absolute,to:'2016-10-09 13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54" t="str">
        <f t="shared" si="6"/>
        <v>N</v>
      </c>
      <c r="X76" s="163">
        <f t="shared" si="19"/>
        <v>1</v>
      </c>
      <c r="Y76" s="69">
        <f t="shared" si="8"/>
        <v>4.5699999999999998E-2</v>
      </c>
      <c r="Z76" s="69">
        <f t="shared" si="9"/>
        <v>23.331399999999999</v>
      </c>
      <c r="AA76" s="69">
        <f t="shared" si="10"/>
        <v>23.285699999999999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0163-09</v>
      </c>
      <c r="AE76" s="94" t="str">
        <f t="shared" si="1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76" s="91" t="str">
        <f t="shared" si="13"/>
        <v>"C:\Program Files (x86)\AstroGrep\AstroGrep.exe" /spath="%USERPROFILE%\AppData\Local\Temp\OnboardLogs" /stypes="app*4027*20161009*"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5" t="str">
        <f t="shared" si="17"/>
        <v>"%USERPROFILE%\Documents\GitHub\eaglep3\Utilities\RefineRTDCRunTimes.py" --tripid 163-09 --locoid 4027 --swversion DE.1.0.7.0 --startMP 204:457 --initTime 2016-10-09T11:26:08 --startdatetime 2016-10-09T11:31:42 --delay 4 --endMP 204:233314 --enddatetime 2016-10-09T12:08:42 --enforcementcount 0 &gt;&gt;C:\Users\stu\Documents\GitHub\eaglep3-reporting\EC\2016-10-09-refined-times.txt</v>
      </c>
      <c r="AI76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{"issue":{"subject":"","project_id":79,"tracker_id":40,"status_id":1,"priority_id":2,"assigned_to_id":23,"start_date":"2016-10-09","description":"","custom_fields":[{"id":1,"name":"Subdivision","value":"EC"},{"id":4,"name":"Milepost","value":"23.3314"},{"id":17,"name":"Train ID","value":"163-09"},{"id":16,"name":"Locomotive ID","value":"4027"},{"id":130,"name":"Impact","value":""},{"id":150,"name":"Time of Event (Mountain Time)","value":"12:08:42"},{"id":151,"name":"Denver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488</v>
      </c>
      <c r="B77" s="7">
        <v>4028</v>
      </c>
      <c r="C77" s="24" t="s">
        <v>106</v>
      </c>
      <c r="D77" s="24" t="s">
        <v>645</v>
      </c>
      <c r="E77" s="15">
        <v>42652.513854166667</v>
      </c>
      <c r="F77" s="15">
        <v>42652.518287037034</v>
      </c>
      <c r="G77" s="7">
        <v>1</v>
      </c>
      <c r="H77" s="15" t="s">
        <v>189</v>
      </c>
      <c r="I77" s="15">
        <v>42652.545972222222</v>
      </c>
      <c r="J77" s="7">
        <v>0</v>
      </c>
      <c r="K77" s="116" t="str">
        <f t="shared" ref="K77:K140" si="20">IF(ISEVEN(B77),(B77-1)&amp;"/"&amp;B77,B77&amp;"/"&amp;(B77+1))</f>
        <v>4027/4028</v>
      </c>
      <c r="L77" s="24" t="str">
        <f>VLOOKUP(A77,'Trips&amp;Operators'!$C$1:$E$10000,3,FALSE)</f>
        <v>BRUDER</v>
      </c>
      <c r="M77" s="6">
        <f t="shared" ref="M77:M140" si="21">I77-F77</f>
        <v>2.768518518860219E-2</v>
      </c>
      <c r="N77" s="7">
        <f t="shared" ref="N77:P140" si="22">24*60*SUM($M77:$M77)</f>
        <v>39.866666671587154</v>
      </c>
      <c r="O77" s="7"/>
      <c r="P77" s="7"/>
      <c r="Q77" s="25"/>
      <c r="R77" s="25"/>
      <c r="S77" s="37">
        <f t="shared" ref="S77:S140" si="23">SUM(U77:U77)/IF(AG77="EC",12,1)</f>
        <v>1</v>
      </c>
      <c r="T77" s="52" t="str">
        <f t="shared" ref="T77:T140" si="24">IF(ISEVEN(LEFT(AD77,4)),"Southbound","NorthBound")</f>
        <v>Southbound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https://search-rtdc-monitor-bjffxe2xuh6vdkpspy63sjmuny.us-east-1.es.amazonaws.com/_plugin/kibana/#/discover/Steve-Slow-Train-Analysis-(2080s-and-2083s)?_g=(refreshInterval:(display:Off,section:0,value:0),time:(from:'2016-10-09 11:19:57-0600',mode:absolute,to:'2016-10-09 14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7" s="54" t="str">
        <f t="shared" ref="W77:W140" si="26">IF(AA77&lt;IF(AG77="EC",23,5.65),"Y","N")</f>
        <v>N</v>
      </c>
      <c r="X77" s="163">
        <f t="shared" ref="X77:X108" si="27">VALUE(LEFT(AD77,4))-VALUE(LEFT(AD76,4))</f>
        <v>1</v>
      </c>
      <c r="Y77" s="69">
        <f t="shared" ref="Y77:Y140" si="28">RIGHT(D77,LEN(D77)-4)/10000</f>
        <v>23.298300000000001</v>
      </c>
      <c r="Z77" s="69">
        <f t="shared" ref="Z77:Z140" si="29">RIGHT(H77,LEN(H77)-4)/10000</f>
        <v>1.47E-2</v>
      </c>
      <c r="AA77" s="69">
        <f t="shared" ref="AA77:AA140" si="30">ABS(Z77-Y77)</f>
        <v>23.2836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1">IF(LEN(A77)=6,"0"&amp;A77,A77)</f>
        <v>0164-09</v>
      </c>
      <c r="AE77" s="94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77" s="91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/stypes="app*4028*20161009*" /stext=" 19:.+((SYSTEM_STATE.+slice.+state.+changed )|(ment ac)|(system.+state.+changed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5" t="str">
        <f t="shared" si="17"/>
        <v>"%USERPROFILE%\Documents\GitHub\eaglep3\Utilities\RefineRTDCRunTimes.py" --tripid 164-09 --locoid 4028 --swversion DE.1.0.7.0 --startMP 204:232983 --initTime 2016-10-09T12:19:57 --startdatetime 2016-10-09T12:26:20 --delay 1 --endMP 204:147 --enddatetime 2016-10-09T13:06:12 --enforcementcount 0 &gt;&gt;C:\Users\stu\Documents\GitHub\eaglep3-reporting\EC\2016-10-09-refined-times.txt</v>
      </c>
      <c r="AI77" s="129" t="str">
        <f t="shared" si="18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ID","value":"164-09"},{"id":16,"name":"Locomotive ID","value":"4028"},{"id":130,"name":"Impact","value":""},{"id":150,"name":"Time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482</v>
      </c>
      <c r="B78" s="7">
        <v>4018</v>
      </c>
      <c r="C78" s="24" t="s">
        <v>106</v>
      </c>
      <c r="D78" s="24" t="s">
        <v>198</v>
      </c>
      <c r="E78" s="15">
        <v>42652.486712962964</v>
      </c>
      <c r="F78" s="15">
        <v>42652.489837962959</v>
      </c>
      <c r="G78" s="7">
        <v>2</v>
      </c>
      <c r="H78" s="15" t="s">
        <v>286</v>
      </c>
      <c r="I78" s="15">
        <v>42652.514837962961</v>
      </c>
      <c r="J78" s="7">
        <v>0</v>
      </c>
      <c r="K78" s="116" t="str">
        <f t="shared" si="20"/>
        <v>4017/4018</v>
      </c>
      <c r="L78" s="24" t="str">
        <f>VLOOKUP(A78,'Trips&amp;Operators'!$C$1:$E$10000,3,FALSE)</f>
        <v>MOSES</v>
      </c>
      <c r="M78" s="6">
        <f t="shared" si="21"/>
        <v>2.5000000001455192E-2</v>
      </c>
      <c r="N78" s="7">
        <f t="shared" si="22"/>
        <v>36.000000002095476</v>
      </c>
      <c r="O78" s="7"/>
      <c r="P78" s="7"/>
      <c r="Q78" s="25"/>
      <c r="R78" s="25"/>
      <c r="S78" s="37">
        <f t="shared" si="23"/>
        <v>1</v>
      </c>
      <c r="T78" s="52" t="str">
        <f t="shared" si="24"/>
        <v>NorthBound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10:40:52-0600',mode:absolute,to:'2016-10-09 13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54" t="str">
        <f t="shared" si="26"/>
        <v>N</v>
      </c>
      <c r="X78" s="163">
        <f t="shared" si="27"/>
        <v>1</v>
      </c>
      <c r="Y78" s="69">
        <f t="shared" si="28"/>
        <v>4.58E-2</v>
      </c>
      <c r="Z78" s="69">
        <f t="shared" si="29"/>
        <v>23.331099999999999</v>
      </c>
      <c r="AA78" s="69">
        <f t="shared" si="30"/>
        <v>23.285299999999999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1"/>
        <v>0165-09</v>
      </c>
      <c r="AE78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78" s="91" t="str">
        <f t="shared" si="33"/>
        <v>"C:\Program Files (x86)\AstroGrep\AstroGrep.exe" /spath="%USERPROFILE%\AppData\Local\Temp\OnboardLogs" /stypes="app*4018*20161009*" /stext=" 18:.+((SYSTEM_STATE.+slice.+state.+changed )|(ment ac)|(system.+state.+changed )|(\[timeout)|(PRM\|1\|D)|(kpr)|(kdp)|(\|lc)|(penalty))" /e /r /s</v>
      </c>
      <c r="AG78" s="1" t="str">
        <f t="shared" si="34"/>
        <v>EC</v>
      </c>
      <c r="AH78" s="95" t="str">
        <f t="shared" ref="AH78:AH141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165-09 --locoid 4018 --swversion DE.1.0.7.0 --startMP 204:458 --initTime 2016-10-09T11:40:52 --startdatetime 2016-10-09T11:45:22 --delay 2 --endMP 204:233311 --enddatetime 2016-10-09T12:21:22 --enforcementcount 0 &gt;&gt;C:\Users\stu\Documents\GitHub\eaglep3-reporting\EC\2016-10-09-refined-times.txt</v>
      </c>
      <c r="AI78" s="129" t="str">
        <f t="shared" ref="AI78:AI141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{"issue":{"subject":"","project_id":79,"tracker_id":40,"status_id":1,"priority_id":2,"assigned_to_id":23,"start_date":"2016-10-09","description":"","custom_fields":[{"id":1,"name":"Subdivision","value":"EC"},{"id":4,"name":"Milepost","value":"23.3311"},{"id":17,"name":"Train ID","value":"165-09"},{"id":16,"name":"Locomotive ID","value":"4018"},{"id":130,"name":"Impact","value":""},{"id":150,"name":"Time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490</v>
      </c>
      <c r="B79" s="7">
        <v>4017</v>
      </c>
      <c r="C79" s="24" t="s">
        <v>106</v>
      </c>
      <c r="D79" s="24" t="s">
        <v>269</v>
      </c>
      <c r="E79" s="15">
        <v>42652.524525462963</v>
      </c>
      <c r="F79" s="15">
        <v>42652.528668981482</v>
      </c>
      <c r="G79" s="7">
        <v>1</v>
      </c>
      <c r="H79" s="15" t="s">
        <v>207</v>
      </c>
      <c r="I79" s="15">
        <v>42652.555393518516</v>
      </c>
      <c r="J79" s="7">
        <v>0</v>
      </c>
      <c r="K79" s="116" t="str">
        <f t="shared" si="20"/>
        <v>4017/4018</v>
      </c>
      <c r="L79" s="24" t="str">
        <f>VLOOKUP(A79,'Trips&amp;Operators'!$C$1:$E$10000,3,FALSE)</f>
        <v>MOSES</v>
      </c>
      <c r="M79" s="6">
        <f t="shared" si="21"/>
        <v>2.6724537034169771E-2</v>
      </c>
      <c r="N79" s="7">
        <f t="shared" si="22"/>
        <v>38.48333332920447</v>
      </c>
      <c r="O79" s="7"/>
      <c r="P79" s="7"/>
      <c r="Q79" s="25"/>
      <c r="R79" s="25"/>
      <c r="S79" s="37">
        <f t="shared" si="23"/>
        <v>1</v>
      </c>
      <c r="T79" s="52" t="str">
        <f t="shared" si="24"/>
        <v>Southbound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11:35:19-0600',mode:absolute,to:'2016-10-09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9" s="54" t="str">
        <f t="shared" si="26"/>
        <v>N</v>
      </c>
      <c r="X79" s="163">
        <f t="shared" si="27"/>
        <v>1</v>
      </c>
      <c r="Y79" s="69">
        <f t="shared" si="28"/>
        <v>23.3</v>
      </c>
      <c r="Z79" s="69">
        <f t="shared" si="29"/>
        <v>1.4500000000000001E-2</v>
      </c>
      <c r="AA79" s="69">
        <f t="shared" si="30"/>
        <v>23.285499999999999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1"/>
        <v>0166-09</v>
      </c>
      <c r="AE79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79" s="91" t="str">
        <f t="shared" si="33"/>
        <v>"C:\Program Files (x86)\AstroGrep\AstroGrep.exe" /spath="%USERPROFILE%\AppData\Local\Temp\OnboardLogs" /stypes="app*4017*20161009*"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5" t="str">
        <f t="shared" si="35"/>
        <v>"%USERPROFILE%\Documents\GitHub\eaglep3\Utilities\RefineRTDCRunTimes.py" --tripid 166-09 --locoid 4017 --swversion DE.1.0.7.0 --startMP 204:233000 --initTime 2016-10-09T12:35:19 --startdatetime 2016-10-09T12:41:17 --delay 1 --endMP 204:145 --enddatetime 2016-10-09T13:19:46 --enforcementcount 0 &gt;&gt;C:\Users\stu\Documents\GitHub\eaglep3-reporting\EC\2016-10-09-refined-times.txt</v>
      </c>
      <c r="AI7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ID","value":"166-09"},{"id":16,"name":"Locomotive ID","value":"4017"},{"id":130,"name":"Impact","value":""},{"id":150,"name":"Time of Event (Mountain Time)","value":"13:19:46"},{"id":151,"name":"Denver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484</v>
      </c>
      <c r="B80" s="7">
        <v>4002</v>
      </c>
      <c r="C80" s="24" t="s">
        <v>106</v>
      </c>
      <c r="D80" s="24" t="s">
        <v>197</v>
      </c>
      <c r="E80" s="15">
        <v>42652.496134259258</v>
      </c>
      <c r="F80" s="15">
        <v>42652.500208333331</v>
      </c>
      <c r="G80" s="7">
        <v>1</v>
      </c>
      <c r="H80" s="15" t="s">
        <v>238</v>
      </c>
      <c r="I80" s="15">
        <v>42652.527685185189</v>
      </c>
      <c r="J80" s="7">
        <v>0</v>
      </c>
      <c r="K80" s="116" t="str">
        <f t="shared" si="20"/>
        <v>4001/4002</v>
      </c>
      <c r="L80" s="24" t="str">
        <f>VLOOKUP(A80,'Trips&amp;Operators'!$C$1:$E$10000,3,FALSE)</f>
        <v>YOUNG</v>
      </c>
      <c r="M80" s="6">
        <f t="shared" si="21"/>
        <v>2.7476851857500151E-2</v>
      </c>
      <c r="N80" s="7">
        <f t="shared" si="22"/>
        <v>39.566666674800217</v>
      </c>
      <c r="O80" s="7"/>
      <c r="P80" s="7"/>
      <c r="Q80" s="25"/>
      <c r="R80" s="25"/>
      <c r="S80" s="37">
        <f t="shared" si="23"/>
        <v>1</v>
      </c>
      <c r="T80" s="52" t="str">
        <f t="shared" si="24"/>
        <v>NorthBound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10:54:26-0600',mode:absolute,to:'2016-10-09 13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0" s="54" t="str">
        <f t="shared" si="26"/>
        <v>N</v>
      </c>
      <c r="X80" s="163">
        <f t="shared" si="27"/>
        <v>1</v>
      </c>
      <c r="Y80" s="69">
        <f t="shared" si="28"/>
        <v>4.5499999999999999E-2</v>
      </c>
      <c r="Z80" s="69">
        <f t="shared" si="29"/>
        <v>23.332100000000001</v>
      </c>
      <c r="AA80" s="69">
        <f t="shared" si="30"/>
        <v>23.2866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1"/>
        <v>0167-09</v>
      </c>
      <c r="AE80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80" s="91" t="str">
        <f t="shared" si="33"/>
        <v>"C:\Program Files (x86)\AstroGrep\AstroGrep.exe" /spath="%USERPROFILE%\AppData\Local\Temp\OnboardLogs" /stypes="app*4002*20161009*" /stext=" 18:.+((SYSTEM_STATE.+slice.+state.+changed )|(ment ac)|(system.+state.+changed )|(\[timeout)|(PRM\|1\|D)|(kpr)|(kdp)|(\|lc)|(penalty))" /e /r /s</v>
      </c>
      <c r="AG80" s="1" t="str">
        <f t="shared" si="34"/>
        <v>EC</v>
      </c>
      <c r="AH80" s="95" t="str">
        <f t="shared" si="35"/>
        <v>"%USERPROFILE%\Documents\GitHub\eaglep3\Utilities\RefineRTDCRunTimes.py" --tripid 167-09 --locoid 4002 --swversion DE.1.0.7.0 --startMP 204:455 --initTime 2016-10-09T11:54:26 --startdatetime 2016-10-09T12:00:18 --delay 1 --endMP 204:233321 --enddatetime 2016-10-09T12:39:52 --enforcementcount 0 &gt;&gt;C:\Users\stu\Documents\GitHub\eaglep3-reporting\EC\2016-10-09-refined-times.txt</v>
      </c>
      <c r="AI8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{"issue":{"subject":"","project_id":79,"tracker_id":40,"status_id":1,"priority_id":2,"assigned_to_id":23,"start_date":"2016-10-09","description":"","custom_fields":[{"id":1,"name":"Subdivision","value":"EC"},{"id":4,"name":"Milepost","value":"23.3321"},{"id":17,"name":"Train ID","value":"167-09"},{"id":16,"name":"Locomotive ID","value":"4002"},{"id":130,"name":"Impact","value":""},{"id":150,"name":"Time of Event (Mountain Time)","value":"12:39:52"},{"id":151,"name":"Denver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493</v>
      </c>
      <c r="B81" s="7">
        <v>4001</v>
      </c>
      <c r="C81" s="24" t="s">
        <v>106</v>
      </c>
      <c r="D81" s="24" t="s">
        <v>269</v>
      </c>
      <c r="E81" s="15">
        <v>42652.532719907409</v>
      </c>
      <c r="F81" s="15">
        <v>42652.539513888885</v>
      </c>
      <c r="G81" s="7">
        <v>1</v>
      </c>
      <c r="H81" s="15" t="s">
        <v>647</v>
      </c>
      <c r="I81" s="15">
        <v>42652.569097222222</v>
      </c>
      <c r="J81" s="7">
        <v>0</v>
      </c>
      <c r="K81" s="116" t="str">
        <f t="shared" si="20"/>
        <v>4001/4002</v>
      </c>
      <c r="L81" s="24" t="str">
        <f>VLOOKUP(A81,'Trips&amp;Operators'!$C$1:$E$10000,3,FALSE)</f>
        <v>YOUNG</v>
      </c>
      <c r="M81" s="6">
        <f t="shared" si="21"/>
        <v>2.9583333336631767E-2</v>
      </c>
      <c r="N81" s="7">
        <f t="shared" si="22"/>
        <v>42.600000004749745</v>
      </c>
      <c r="O81" s="7"/>
      <c r="P81" s="7"/>
      <c r="Q81" s="25"/>
      <c r="R81" s="25"/>
      <c r="S81" s="37">
        <f t="shared" si="23"/>
        <v>1</v>
      </c>
      <c r="T81" s="52" t="str">
        <f t="shared" si="24"/>
        <v>Southbound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11:47:07-0600',mode:absolute,to:'2016-10-09 14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1" s="54" t="str">
        <f t="shared" si="26"/>
        <v>N</v>
      </c>
      <c r="X81" s="163">
        <f t="shared" si="27"/>
        <v>1</v>
      </c>
      <c r="Y81" s="69">
        <f t="shared" si="28"/>
        <v>23.3</v>
      </c>
      <c r="Z81" s="69">
        <f t="shared" si="29"/>
        <v>2.12E-2</v>
      </c>
      <c r="AA81" s="69">
        <f t="shared" si="30"/>
        <v>23.2788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1"/>
        <v>0168-09</v>
      </c>
      <c r="AE81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81" s="91" t="str">
        <f t="shared" si="33"/>
        <v>"C:\Program Files (x86)\AstroGrep\AstroGrep.exe" /spath="%USERPROFILE%\AppData\Local\Temp\OnboardLogs" /stypes="app*4001*20161009*"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5" t="str">
        <f t="shared" si="35"/>
        <v>"%USERPROFILE%\Documents\GitHub\eaglep3\Utilities\RefineRTDCRunTimes.py" --tripid 168-09 --locoid 4001 --swversion DE.1.0.7.0 --startMP 204:233000 --initTime 2016-10-09T12:47:07 --startdatetime 2016-10-09T12:56:54 --delay 1 --endMP 204:212 --enddatetime 2016-10-09T13:39:30 --enforcementcount 0 &gt;&gt;C:\Users\stu\Documents\GitHub\eaglep3-reporting\EC\2016-10-09-refined-times.txt</v>
      </c>
      <c r="AI8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{"issue":{"subject":"","project_id":79,"tracker_id":40,"status_id":1,"priority_id":2,"assigned_to_id":23,"start_date":"2016-10-09","description":"","custom_fields":[{"id":1,"name":"Subdivision","value":"EC"},{"id":4,"name":"Milepost","value":"0.0212"},{"id":17,"name":"Train ID","value":"168-09"},{"id":16,"name":"Locomotive ID","value":"4001"},{"id":130,"name":"Impact","value":""},{"id":150,"name":"Time of Event (Mountain Time)","value":"13:39:30"},{"id":151,"name":"Denver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487</v>
      </c>
      <c r="B82" s="7">
        <v>4007</v>
      </c>
      <c r="C82" s="24" t="s">
        <v>106</v>
      </c>
      <c r="D82" s="24" t="s">
        <v>257</v>
      </c>
      <c r="E82" s="15">
        <v>42652.506365740737</v>
      </c>
      <c r="F82" s="15">
        <v>42652.510613425926</v>
      </c>
      <c r="G82" s="7">
        <v>1</v>
      </c>
      <c r="H82" s="15" t="s">
        <v>366</v>
      </c>
      <c r="I82" s="15">
        <v>42652.536412037036</v>
      </c>
      <c r="J82" s="7">
        <v>0</v>
      </c>
      <c r="K82" s="116" t="str">
        <f t="shared" si="20"/>
        <v>4007/4008</v>
      </c>
      <c r="L82" s="24" t="str">
        <f>VLOOKUP(A82,'Trips&amp;Operators'!$C$1:$E$10000,3,FALSE)</f>
        <v>CLARK</v>
      </c>
      <c r="M82" s="6">
        <f t="shared" si="21"/>
        <v>2.5798611110076308E-2</v>
      </c>
      <c r="N82" s="7">
        <f t="shared" si="22"/>
        <v>37.149999998509884</v>
      </c>
      <c r="O82" s="7"/>
      <c r="P82" s="7"/>
      <c r="Q82" s="25"/>
      <c r="R82" s="25"/>
      <c r="S82" s="37">
        <f t="shared" si="23"/>
        <v>1</v>
      </c>
      <c r="T82" s="52" t="str">
        <f t="shared" si="24"/>
        <v>NorthBound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11:09:10-0600',mode:absolute,to:'2016-10-09 13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4" t="str">
        <f t="shared" si="26"/>
        <v>N</v>
      </c>
      <c r="X82" s="163">
        <f t="shared" si="27"/>
        <v>1</v>
      </c>
      <c r="Y82" s="69">
        <f t="shared" si="28"/>
        <v>4.5999999999999999E-2</v>
      </c>
      <c r="Z82" s="69">
        <f t="shared" si="29"/>
        <v>23.330100000000002</v>
      </c>
      <c r="AA82" s="69">
        <f t="shared" si="30"/>
        <v>23.284100000000002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1"/>
        <v>0169-09</v>
      </c>
      <c r="AE82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82" s="91" t="str">
        <f t="shared" si="33"/>
        <v>"C:\Program Files (x86)\AstroGrep\AstroGrep.exe" /spath="%USERPROFILE%\AppData\Local\Temp\OnboardLogs" /stypes="app*4007*20161009*" /stext=" 18:.+((SYSTEM_STATE.+slice.+state.+changed )|(ment ac)|(system.+state.+changed )|(\[timeout)|(PRM\|1\|D)|(kpr)|(kdp)|(\|lc)|(penalty))" /e /r /s</v>
      </c>
      <c r="AG82" s="1" t="str">
        <f t="shared" si="34"/>
        <v>EC</v>
      </c>
      <c r="AH82" s="95" t="str">
        <f t="shared" si="35"/>
        <v>"%USERPROFILE%\Documents\GitHub\eaglep3\Utilities\RefineRTDCRunTimes.py" --tripid 169-09 --locoid 4007 --swversion DE.1.0.7.0 --startMP 204:460 --initTime 2016-10-09T12:09:10 --startdatetime 2016-10-09T12:15:17 --delay 1 --endMP 204:233301 --enddatetime 2016-10-09T12:52:26 --enforcementcount 0 &gt;&gt;C:\Users\stu\Documents\GitHub\eaglep3-reporting\EC\2016-10-09-refined-times.txt</v>
      </c>
      <c r="AI8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{"issue":{"subject":"","project_id":79,"tracker_id":40,"status_id":1,"priority_id":2,"assigned_to_id":23,"start_date":"2016-10-09","description":"","custom_fields":[{"id":1,"name":"Subdivision","value":"EC"},{"id":4,"name":"Milepost","value":"23.3301"},{"id":17,"name":"Train ID","value":"169-09"},{"id":16,"name":"Locomotive ID","value":"4007"},{"id":130,"name":"Impact","value":""},{"id":150,"name":"Time of Event (Mountain Time)","value":"12:52:26"},{"id":151,"name":"Denver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495</v>
      </c>
      <c r="B83" s="7">
        <v>4008</v>
      </c>
      <c r="C83" s="24" t="s">
        <v>106</v>
      </c>
      <c r="D83" s="24" t="s">
        <v>389</v>
      </c>
      <c r="E83" s="15">
        <v>42652.542962962965</v>
      </c>
      <c r="F83" s="15">
        <v>42652.549479166664</v>
      </c>
      <c r="G83" s="7">
        <v>1</v>
      </c>
      <c r="H83" s="15" t="s">
        <v>187</v>
      </c>
      <c r="I83" s="15">
        <v>42652.578263888892</v>
      </c>
      <c r="J83" s="7">
        <v>0</v>
      </c>
      <c r="K83" s="116" t="str">
        <f t="shared" si="20"/>
        <v>4007/4008</v>
      </c>
      <c r="L83" s="24" t="str">
        <f>VLOOKUP(A83,'Trips&amp;Operators'!$C$1:$E$10000,3,FALSE)</f>
        <v>CLARK</v>
      </c>
      <c r="M83" s="6">
        <f t="shared" si="21"/>
        <v>2.8784722228010651E-2</v>
      </c>
      <c r="N83" s="7">
        <f t="shared" si="22"/>
        <v>41.450000008335337</v>
      </c>
      <c r="O83" s="7"/>
      <c r="P83" s="7"/>
      <c r="Q83" s="25"/>
      <c r="R83" s="25"/>
      <c r="S83" s="37">
        <f t="shared" si="23"/>
        <v>1</v>
      </c>
      <c r="T83" s="52" t="str">
        <f t="shared" si="24"/>
        <v>Southbound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12:01:52-0600',mode:absolute,to:'2016-10-09 14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3" s="54" t="str">
        <f t="shared" si="26"/>
        <v>N</v>
      </c>
      <c r="X83" s="163">
        <f t="shared" si="27"/>
        <v>1</v>
      </c>
      <c r="Y83" s="69">
        <f t="shared" si="28"/>
        <v>23.2971</v>
      </c>
      <c r="Z83" s="69">
        <f t="shared" si="29"/>
        <v>1.6E-2</v>
      </c>
      <c r="AA83" s="69">
        <f t="shared" si="30"/>
        <v>23.281100000000002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1"/>
        <v>0170-09</v>
      </c>
      <c r="AE83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83" s="91" t="str">
        <f t="shared" si="33"/>
        <v>"C:\Program Files (x86)\AstroGrep\AstroGrep.exe" /spath="%USERPROFILE%\AppData\Local\Temp\OnboardLogs" /stypes="app*4008*20161009*" /stext=" 19:.+((SYSTEM_STATE.+slice.+state.+changed )|(ment ac)|(system.+state.+changed )|(\[timeout)|(PRM\|1\|D)|(kpr)|(kdp)|(\|lc)|(penalty))" /e /r /s</v>
      </c>
      <c r="AG83" s="1" t="str">
        <f t="shared" si="34"/>
        <v>EC</v>
      </c>
      <c r="AH83" s="95" t="str">
        <f t="shared" si="35"/>
        <v>"%USERPROFILE%\Documents\GitHub\eaglep3\Utilities\RefineRTDCRunTimes.py" --tripid 170-09 --locoid 4008 --swversion DE.1.0.7.0 --startMP 204:232971 --initTime 2016-10-09T13:01:52 --startdatetime 2016-10-09T13:11:15 --delay 1 --endMP 204:160 --enddatetime 2016-10-09T13:52:42 --enforcementcount 0 &gt;&gt;C:\Users\stu\Documents\GitHub\eaglep3-reporting\EC\2016-10-09-refined-times.txt</v>
      </c>
      <c r="AI8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ID","value":"170-09"},{"id":16,"name":"Locomotive ID","value":"4008"},{"id":130,"name":"Impact","value":""},{"id":150,"name":"Time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489</v>
      </c>
      <c r="B84" s="7">
        <v>4025</v>
      </c>
      <c r="C84" s="24" t="s">
        <v>106</v>
      </c>
      <c r="D84" s="24" t="s">
        <v>214</v>
      </c>
      <c r="E84" s="15">
        <v>42652.515266203707</v>
      </c>
      <c r="F84" s="15">
        <v>42652.521064814813</v>
      </c>
      <c r="G84" s="7">
        <v>1</v>
      </c>
      <c r="H84" s="15" t="s">
        <v>648</v>
      </c>
      <c r="I84" s="15">
        <v>42652.545925925922</v>
      </c>
      <c r="J84" s="7">
        <v>0</v>
      </c>
      <c r="K84" s="116" t="str">
        <f t="shared" si="20"/>
        <v>4025/4026</v>
      </c>
      <c r="L84" s="24" t="str">
        <f>VLOOKUP(A84,'Trips&amp;Operators'!$C$1:$E$10000,3,FALSE)</f>
        <v>SHOOK</v>
      </c>
      <c r="M84" s="6">
        <f t="shared" si="21"/>
        <v>2.4861111109203193E-2</v>
      </c>
      <c r="N84" s="7">
        <f t="shared" si="22"/>
        <v>35.799999997252598</v>
      </c>
      <c r="O84" s="7"/>
      <c r="P84" s="7"/>
      <c r="Q84" s="25"/>
      <c r="R84" s="25"/>
      <c r="S84" s="37">
        <f t="shared" si="23"/>
        <v>1</v>
      </c>
      <c r="T84" s="52" t="str">
        <f t="shared" si="24"/>
        <v>NorthBound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11:21:59-0600',mode:absolute,to:'2016-10-09 14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4" s="54" t="str">
        <f t="shared" si="26"/>
        <v>N</v>
      </c>
      <c r="X84" s="163">
        <f t="shared" si="27"/>
        <v>1</v>
      </c>
      <c r="Y84" s="69">
        <f t="shared" si="28"/>
        <v>4.6399999999999997E-2</v>
      </c>
      <c r="Z84" s="69">
        <f t="shared" si="29"/>
        <v>23.334700000000002</v>
      </c>
      <c r="AA84" s="69">
        <f t="shared" si="30"/>
        <v>23.288300000000003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1"/>
        <v>0171-09</v>
      </c>
      <c r="AE84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84" s="91" t="str">
        <f t="shared" si="33"/>
        <v>"C:\Program Files (x86)\AstroGrep\AstroGrep.exe" /spath="%USERPROFILE%\AppData\Local\Temp\OnboardLogs" /stypes="app*4025*20161009*" /stext=" 19:.+((SYSTEM_STATE.+slice.+state.+changed )|(ment ac)|(system.+state.+changed )|(\[timeout)|(PRM\|1\|D)|(kpr)|(kdp)|(\|lc)|(penalty))" /e /r /s</v>
      </c>
      <c r="AG84" s="1" t="str">
        <f t="shared" si="34"/>
        <v>EC</v>
      </c>
      <c r="AH84" s="95" t="str">
        <f t="shared" si="35"/>
        <v>"%USERPROFILE%\Documents\GitHub\eaglep3\Utilities\RefineRTDCRunTimes.py" --tripid 171-09 --locoid 4025 --swversion DE.1.0.7.0 --startMP 204:464 --initTime 2016-10-09T12:21:59 --startdatetime 2016-10-09T12:30:20 --delay 1 --endMP 204:233347 --enddatetime 2016-10-09T13:06:08 --enforcementcount 0 &gt;&gt;C:\Users\stu\Documents\GitHub\eaglep3-reporting\EC\2016-10-09-refined-times.txt</v>
      </c>
      <c r="AI8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{"issue":{"subject":"","project_id":79,"tracker_id":40,"status_id":1,"priority_id":2,"assigned_to_id":23,"start_date":"2016-10-09","description":"","custom_fields":[{"id":1,"name":"Subdivision","value":"EC"},{"id":4,"name":"Milepost","value":"23.3347"},{"id":17,"name":"Train ID","value":"171-09"},{"id":16,"name":"Locomotive ID","value":"4025"},{"id":130,"name":"Impact","value":""},{"id":150,"name":"Time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498</v>
      </c>
      <c r="B85" s="7">
        <v>4026</v>
      </c>
      <c r="C85" s="24" t="s">
        <v>106</v>
      </c>
      <c r="D85" s="24" t="s">
        <v>649</v>
      </c>
      <c r="E85" s="15">
        <v>42652.555902777778</v>
      </c>
      <c r="F85" s="15">
        <v>42652.559930555559</v>
      </c>
      <c r="G85" s="7">
        <v>1</v>
      </c>
      <c r="H85" s="15" t="s">
        <v>200</v>
      </c>
      <c r="I85" s="15">
        <v>42652.586527777778</v>
      </c>
      <c r="J85" s="7">
        <v>0</v>
      </c>
      <c r="K85" s="116" t="str">
        <f t="shared" si="20"/>
        <v>4025/4026</v>
      </c>
      <c r="L85" s="24" t="str">
        <f>VLOOKUP(A85,'Trips&amp;Operators'!$C$1:$E$10000,3,FALSE)</f>
        <v>SHOOK</v>
      </c>
      <c r="M85" s="6">
        <f t="shared" si="21"/>
        <v>2.6597222218697425E-2</v>
      </c>
      <c r="N85" s="7">
        <f t="shared" si="22"/>
        <v>38.299999994924292</v>
      </c>
      <c r="O85" s="7"/>
      <c r="P85" s="7"/>
      <c r="Q85" s="25"/>
      <c r="R85" s="25"/>
      <c r="S85" s="37">
        <f t="shared" si="23"/>
        <v>1</v>
      </c>
      <c r="T85" s="52" t="str">
        <f t="shared" si="24"/>
        <v>Southbound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12:20:30-0600',mode:absolute,to:'2016-10-09 15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5" s="54" t="str">
        <f t="shared" si="26"/>
        <v>N</v>
      </c>
      <c r="X85" s="163">
        <f t="shared" si="27"/>
        <v>1</v>
      </c>
      <c r="Y85" s="69">
        <f t="shared" si="28"/>
        <v>23.304200000000002</v>
      </c>
      <c r="Z85" s="69">
        <f t="shared" si="29"/>
        <v>1.38E-2</v>
      </c>
      <c r="AA85" s="69">
        <f t="shared" si="30"/>
        <v>23.290400000000002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1"/>
        <v>0172-09</v>
      </c>
      <c r="AE85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85" s="91" t="str">
        <f t="shared" si="33"/>
        <v>"C:\Program Files (x86)\AstroGrep\AstroGrep.exe" /spath="%USERPROFILE%\AppData\Local\Temp\OnboardLogs" /stypes="app*4026*20161009*"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5" t="str">
        <f t="shared" si="35"/>
        <v>"%USERPROFILE%\Documents\GitHub\eaglep3\Utilities\RefineRTDCRunTimes.py" --tripid 172-09 --locoid 4026 --swversion DE.1.0.7.0 --startMP 204:233042 --initTime 2016-10-09T13:20:30 --startdatetime 2016-10-09T13:26:18 --delay 1 --endMP 204:138 --enddatetime 2016-10-09T14:04:36 --enforcementcount 0 &gt;&gt;C:\Users\stu\Documents\GitHub\eaglep3-reporting\EC\2016-10-09-refined-times.txt</v>
      </c>
      <c r="AI8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{"issue":{"subject":"","project_id":79,"tracker_id":40,"status_id":1,"priority_id":2,"assigned_to_id":23,"start_date":"2016-10-09","description":"","custom_fields":[{"id":1,"name":"Subdivision","value":"EC"},{"id":4,"name":"Milepost","value":"0.0138"},{"id":17,"name":"Train ID","value":"172-09"},{"id":16,"name":"Locomotive ID","value":"4026"},{"id":130,"name":"Impact","value":""},{"id":150,"name":"Time of Event (Mountain Time)","value":"14:04:36"},{"id":151,"name":"Denver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492</v>
      </c>
      <c r="B86" s="7">
        <v>4040</v>
      </c>
      <c r="C86" s="24" t="s">
        <v>106</v>
      </c>
      <c r="D86" s="24" t="s">
        <v>196</v>
      </c>
      <c r="E86" s="15">
        <v>42652.52815972222</v>
      </c>
      <c r="F86" s="15">
        <v>42652.531481481485</v>
      </c>
      <c r="G86" s="7">
        <v>1</v>
      </c>
      <c r="H86" s="15" t="s">
        <v>650</v>
      </c>
      <c r="I86" s="15">
        <v>42652.556956018518</v>
      </c>
      <c r="J86" s="7">
        <v>0</v>
      </c>
      <c r="K86" s="116" t="str">
        <f t="shared" si="20"/>
        <v>4039/4040</v>
      </c>
      <c r="L86" s="24" t="str">
        <f>VLOOKUP(A86,'Trips&amp;Operators'!$C$1:$E$10000,3,FALSE)</f>
        <v>STEWART</v>
      </c>
      <c r="M86" s="6">
        <f t="shared" si="21"/>
        <v>2.5474537033005618E-2</v>
      </c>
      <c r="N86" s="7">
        <f t="shared" si="22"/>
        <v>36.683333327528089</v>
      </c>
      <c r="O86" s="7"/>
      <c r="P86" s="7"/>
      <c r="Q86" s="25"/>
      <c r="R86" s="25"/>
      <c r="S86" s="37">
        <f t="shared" si="23"/>
        <v>1</v>
      </c>
      <c r="T86" s="52" t="str">
        <f t="shared" si="24"/>
        <v>NorthBound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11:40:33-0600',mode:absolute,to:'2016-10-09 14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6" s="54" t="str">
        <f t="shared" si="26"/>
        <v>N</v>
      </c>
      <c r="X86" s="163">
        <f t="shared" si="27"/>
        <v>1</v>
      </c>
      <c r="Y86" s="69">
        <f t="shared" si="28"/>
        <v>4.5100000000000001E-2</v>
      </c>
      <c r="Z86" s="69">
        <f t="shared" si="29"/>
        <v>23.332000000000001</v>
      </c>
      <c r="AA86" s="69">
        <f t="shared" si="30"/>
        <v>23.286899999999999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1"/>
        <v>0173-09</v>
      </c>
      <c r="AE86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86" s="91" t="str">
        <f t="shared" si="33"/>
        <v>"C:\Program Files (x86)\AstroGrep\AstroGrep.exe" /spath="%USERPROFILE%\AppData\Local\Temp\OnboardLogs" /stypes="app*4040*20161009*" /stext=" 19:.+((SYSTEM_STATE.+slice.+state.+changed )|(ment ac)|(system.+state.+changed )|(\[timeout)|(PRM\|1\|D)|(kpr)|(kdp)|(\|lc)|(penalty))" /e /r /s</v>
      </c>
      <c r="AG86" s="1" t="str">
        <f t="shared" si="34"/>
        <v>EC</v>
      </c>
      <c r="AH86" s="95" t="str">
        <f t="shared" si="35"/>
        <v>"%USERPROFILE%\Documents\GitHub\eaglep3\Utilities\RefineRTDCRunTimes.py" --tripid 173-09 --locoid 4040 --swversion DE.1.0.7.0 --startMP 204:451 --initTime 2016-10-09T12:40:33 --startdatetime 2016-10-09T12:45:20 --delay 1 --endMP 204:233320 --enddatetime 2016-10-09T13:22:01 --enforcementcount 0 &gt;&gt;C:\Users\stu\Documents\GitHub\eaglep3-reporting\EC\2016-10-09-refined-times.txt</v>
      </c>
      <c r="AI8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{"issue":{"subject":"","project_id":79,"tracker_id":40,"status_id":1,"priority_id":2,"assigned_to_id":23,"start_date":"2016-10-09","description":"","custom_fields":[{"id":1,"name":"Subdivision","value":"EC"},{"id":4,"name":"Milepost","value":"23.332"},{"id":17,"name":"Train ID","value":"173-09"},{"id":16,"name":"Locomotive ID","value":"4040"},{"id":130,"name":"Impact","value":""},{"id":150,"name":"Time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500</v>
      </c>
      <c r="B87" s="7">
        <v>4039</v>
      </c>
      <c r="C87" s="24" t="s">
        <v>106</v>
      </c>
      <c r="D87" s="24" t="s">
        <v>302</v>
      </c>
      <c r="E87" s="15">
        <v>42652.565625000003</v>
      </c>
      <c r="F87" s="15">
        <v>42652.570381944446</v>
      </c>
      <c r="G87" s="7">
        <v>1</v>
      </c>
      <c r="H87" s="15" t="s">
        <v>204</v>
      </c>
      <c r="I87" s="15">
        <v>42652.596875000003</v>
      </c>
      <c r="J87" s="7">
        <v>0</v>
      </c>
      <c r="K87" s="116" t="str">
        <f t="shared" si="20"/>
        <v>4039/4040</v>
      </c>
      <c r="L87" s="24" t="str">
        <f>VLOOKUP(A87,'Trips&amp;Operators'!$C$1:$E$10000,3,FALSE)</f>
        <v>STEWART</v>
      </c>
      <c r="M87" s="6">
        <f t="shared" si="21"/>
        <v>2.6493055556784384E-2</v>
      </c>
      <c r="N87" s="7">
        <f t="shared" si="22"/>
        <v>38.150000001769513</v>
      </c>
      <c r="O87" s="7"/>
      <c r="P87" s="7"/>
      <c r="Q87" s="25"/>
      <c r="R87" s="25"/>
      <c r="S87" s="37">
        <f t="shared" si="23"/>
        <v>1</v>
      </c>
      <c r="T87" s="52" t="str">
        <f t="shared" si="24"/>
        <v>Southbound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12:34:30-0600',mode:absolute,to:'2016-10-09 15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7" s="54" t="str">
        <f t="shared" si="26"/>
        <v>N</v>
      </c>
      <c r="X87" s="163">
        <f t="shared" si="27"/>
        <v>1</v>
      </c>
      <c r="Y87" s="69">
        <f t="shared" si="28"/>
        <v>23.298400000000001</v>
      </c>
      <c r="Z87" s="69">
        <f t="shared" si="29"/>
        <v>1.5599999999999999E-2</v>
      </c>
      <c r="AA87" s="69">
        <f t="shared" si="30"/>
        <v>23.282800000000002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1"/>
        <v>0174-09</v>
      </c>
      <c r="AE87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87" s="91" t="str">
        <f t="shared" si="33"/>
        <v>"C:\Program Files (x86)\AstroGrep\AstroGrep.exe" /spath="%USERPROFILE%\AppData\Local\Temp\OnboardLogs" /stypes="app*4039*20161009*"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5" t="str">
        <f t="shared" si="35"/>
        <v>"%USERPROFILE%\Documents\GitHub\eaglep3\Utilities\RefineRTDCRunTimes.py" --tripid 174-09 --locoid 4039 --swversion DE.1.0.7.0 --startMP 204:232984 --initTime 2016-10-09T13:34:30 --startdatetime 2016-10-09T13:41:21 --delay 1 --endMP 204:156 --enddatetime 2016-10-09T14:19:30 --enforcementcount 0 &gt;&gt;C:\Users\stu\Documents\GitHub\eaglep3-reporting\EC\2016-10-09-refined-times.txt</v>
      </c>
      <c r="AI8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ID","value":"174-09"},{"id":16,"name":"Locomotive ID","value":"4039"},{"id":130,"name":"Impact","value":""},{"id":150,"name":"Time of Event (Mountain Time)","value":"14:19:30"},{"id":151,"name":"Denver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494</v>
      </c>
      <c r="B88" s="7">
        <v>4014</v>
      </c>
      <c r="C88" s="24" t="s">
        <v>106</v>
      </c>
      <c r="D88" s="24" t="s">
        <v>194</v>
      </c>
      <c r="E88" s="15">
        <v>42652.537430555552</v>
      </c>
      <c r="F88" s="15">
        <v>42652.541956018518</v>
      </c>
      <c r="G88" s="7">
        <v>1</v>
      </c>
      <c r="H88" s="15" t="s">
        <v>248</v>
      </c>
      <c r="I88" s="15">
        <v>42652.567141203705</v>
      </c>
      <c r="J88" s="7">
        <v>0</v>
      </c>
      <c r="K88" s="116" t="str">
        <f t="shared" si="20"/>
        <v>4013/4014</v>
      </c>
      <c r="L88" s="24" t="str">
        <f>VLOOKUP(A88,'Trips&amp;Operators'!$C$1:$E$10000,3,FALSE)</f>
        <v>BARTLETT</v>
      </c>
      <c r="M88" s="6">
        <f t="shared" si="21"/>
        <v>2.5185185186273884E-2</v>
      </c>
      <c r="N88" s="7">
        <f t="shared" si="22"/>
        <v>36.266666668234393</v>
      </c>
      <c r="O88" s="7"/>
      <c r="P88" s="7"/>
      <c r="Q88" s="25"/>
      <c r="R88" s="25"/>
      <c r="S88" s="37">
        <f t="shared" si="23"/>
        <v>1</v>
      </c>
      <c r="T88" s="52" t="str">
        <f t="shared" si="24"/>
        <v>NorthBound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11:53:54-0600',mode:absolute,to:'2016-10-09 14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4" t="str">
        <f t="shared" si="26"/>
        <v>N</v>
      </c>
      <c r="X88" s="163">
        <f t="shared" si="27"/>
        <v>1</v>
      </c>
      <c r="Y88" s="69">
        <f t="shared" si="28"/>
        <v>4.5699999999999998E-2</v>
      </c>
      <c r="Z88" s="69">
        <f t="shared" si="29"/>
        <v>23.331900000000001</v>
      </c>
      <c r="AA88" s="69">
        <f t="shared" si="30"/>
        <v>23.286200000000001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1"/>
        <v>0175-09</v>
      </c>
      <c r="AE88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88" s="91" t="str">
        <f t="shared" si="33"/>
        <v>"C:\Program Files (x86)\AstroGrep\AstroGrep.exe" /spath="%USERPROFILE%\AppData\Local\Temp\OnboardLogs" /stypes="app*4014*20161009*" /stext=" 19:.+((SYSTEM_STATE.+slice.+state.+changed )|(ment ac)|(system.+state.+changed )|(\[timeout)|(PRM\|1\|D)|(kpr)|(kdp)|(\|lc)|(penalty))" /e /r /s</v>
      </c>
      <c r="AG88" s="1" t="str">
        <f t="shared" si="34"/>
        <v>EC</v>
      </c>
      <c r="AH88" s="95" t="str">
        <f t="shared" si="35"/>
        <v>"%USERPROFILE%\Documents\GitHub\eaglep3\Utilities\RefineRTDCRunTimes.py" --tripid 175-09 --locoid 4014 --swversion DE.1.0.7.0 --startMP 204:457 --initTime 2016-10-09T12:53:54 --startdatetime 2016-10-09T13:00:25 --delay 1 --endMP 204:233319 --enddatetime 2016-10-09T13:36:41 --enforcementcount 0 &gt;&gt;C:\Users\stu\Documents\GitHub\eaglep3-reporting\EC\2016-10-09-refined-times.txt</v>
      </c>
      <c r="AI8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{"issue":{"subject":"","project_id":79,"tracker_id":40,"status_id":1,"priority_id":2,"assigned_to_id":23,"start_date":"2016-10-09","description":"","custom_fields":[{"id":1,"name":"Subdivision","value":"EC"},{"id":4,"name":"Milepost","value":"23.3319"},{"id":17,"name":"Train ID","value":"175-09"},{"id":16,"name":"Locomotive ID","value":"4014"},{"id":130,"name":"Impact","value":""},{"id":150,"name":"Time of Event (Mountain Time)","value":"13:36:41"},{"id":151,"name":"Denver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502</v>
      </c>
      <c r="B89" s="7">
        <v>4013</v>
      </c>
      <c r="C89" s="24" t="s">
        <v>106</v>
      </c>
      <c r="D89" s="24" t="s">
        <v>269</v>
      </c>
      <c r="E89" s="15">
        <v>42652.569143518522</v>
      </c>
      <c r="F89" s="15">
        <v>42652.58079861111</v>
      </c>
      <c r="G89" s="7">
        <v>1</v>
      </c>
      <c r="H89" s="15" t="s">
        <v>390</v>
      </c>
      <c r="I89" s="15">
        <v>42652.60837962963</v>
      </c>
      <c r="J89" s="7">
        <v>0</v>
      </c>
      <c r="K89" s="116" t="str">
        <f t="shared" si="20"/>
        <v>4013/4014</v>
      </c>
      <c r="L89" s="24" t="str">
        <f>VLOOKUP(A89,'Trips&amp;Operators'!$C$1:$E$10000,3,FALSE)</f>
        <v>BARTLETT</v>
      </c>
      <c r="M89" s="6">
        <f t="shared" si="21"/>
        <v>2.7581018519413192E-2</v>
      </c>
      <c r="N89" s="7">
        <f t="shared" si="22"/>
        <v>39.716666667954996</v>
      </c>
      <c r="O89" s="7"/>
      <c r="P89" s="7"/>
      <c r="Q89" s="25"/>
      <c r="R89" s="25"/>
      <c r="S89" s="37">
        <f t="shared" si="23"/>
        <v>1</v>
      </c>
      <c r="T89" s="52" t="str">
        <f t="shared" si="24"/>
        <v>Southbound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54" t="str">
        <f t="shared" si="26"/>
        <v>N</v>
      </c>
      <c r="X89" s="163">
        <f t="shared" si="27"/>
        <v>1</v>
      </c>
      <c r="Y89" s="69">
        <f t="shared" si="28"/>
        <v>23.3</v>
      </c>
      <c r="Z89" s="69">
        <f t="shared" si="29"/>
        <v>1.6299999999999999E-2</v>
      </c>
      <c r="AA89" s="69">
        <f t="shared" si="30"/>
        <v>23.2837</v>
      </c>
      <c r="AB89" s="66" t="str">
        <f>VLOOKUP(A89,Enforcements!$C$7:$K$21,8,0)</f>
        <v>Signal based authority (5)</v>
      </c>
      <c r="AC89" s="62" t="str">
        <f>VLOOKUP(A89,Enforcements!$C$7:$E$21,3,0)</f>
        <v>SIGNAL</v>
      </c>
      <c r="AD89" s="63" t="str">
        <f t="shared" si="31"/>
        <v>0176-09</v>
      </c>
      <c r="AE89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89" s="91" t="str">
        <f t="shared" si="33"/>
        <v>"C:\Program Files (x86)\AstroGrep\AstroGrep.exe" /spath="%USERPROFILE%\AppData\Local\Temp\OnboardLogs" /stypes="app*4013*20161009*"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5" t="str">
        <f t="shared" si="35"/>
        <v>"%USERPROFILE%\Documents\GitHub\eaglep3\Utilities\RefineRTDCRunTimes.py" --tripid 176-09 --locoid 4013 --swversion DE.1.0.7.0 --startMP 204:233000 --initTime 2016-10-09T13:39:34 --startdatetime 2016-10-09T13:56:21 --delay 1 --endMP 204:163 --enddatetime 2016-10-09T14:36:04 --enforcementcount 0 &gt;&gt;C:\Users\stu\Documents\GitHub\eaglep3-reporting\EC\2016-10-09-refined-times.txt</v>
      </c>
      <c r="AI8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{"issue":{"subject":"","project_id":79,"tracker_id":40,"status_id":1,"priority_id":2,"assigned_to_id":23,"start_date":"2016-10-09","description":"","custom_fields":[{"id":1,"name":"Subdivision","value":"EC"},{"id":4,"name":"Milepost","value":"0.0163"},{"id":17,"name":"Train ID","value":"176-09"},{"id":16,"name":"Locomotive ID","value":"4013"},{"id":130,"name":"Impact","value":""},{"id":150,"name":"Time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496</v>
      </c>
      <c r="B90" s="7">
        <v>4027</v>
      </c>
      <c r="C90" s="24" t="s">
        <v>106</v>
      </c>
      <c r="D90" s="24" t="s">
        <v>196</v>
      </c>
      <c r="E90" s="15">
        <v>42652.547615740739</v>
      </c>
      <c r="F90" s="15">
        <v>42652.552268518521</v>
      </c>
      <c r="G90" s="7">
        <v>1</v>
      </c>
      <c r="H90" s="15" t="s">
        <v>299</v>
      </c>
      <c r="I90" s="15">
        <v>42652.576979166668</v>
      </c>
      <c r="J90" s="7">
        <v>0</v>
      </c>
      <c r="K90" s="116" t="str">
        <f t="shared" si="20"/>
        <v>4027/4028</v>
      </c>
      <c r="L90" s="24" t="str">
        <f>VLOOKUP(A90,'Trips&amp;Operators'!$C$1:$E$10000,3,FALSE)</f>
        <v>BRUDER</v>
      </c>
      <c r="M90" s="6">
        <f t="shared" si="21"/>
        <v>2.47106481474475E-2</v>
      </c>
      <c r="N90" s="7">
        <f t="shared" si="22"/>
        <v>35.583333332324401</v>
      </c>
      <c r="O90" s="7"/>
      <c r="P90" s="7"/>
      <c r="Q90" s="25"/>
      <c r="R90" s="25"/>
      <c r="S90" s="37">
        <f t="shared" si="23"/>
        <v>1</v>
      </c>
      <c r="T90" s="52" t="str">
        <f t="shared" si="24"/>
        <v>NorthBound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12:08:34-0600',mode:absolute,to:'2016-10-09 14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4" t="str">
        <f t="shared" si="26"/>
        <v>N</v>
      </c>
      <c r="X90" s="163">
        <f t="shared" si="27"/>
        <v>1</v>
      </c>
      <c r="Y90" s="69">
        <f t="shared" si="28"/>
        <v>4.5100000000000001E-2</v>
      </c>
      <c r="Z90" s="69">
        <f t="shared" si="29"/>
        <v>23.329499999999999</v>
      </c>
      <c r="AA90" s="69">
        <f t="shared" si="30"/>
        <v>23.284399999999998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1"/>
        <v>0177-09</v>
      </c>
      <c r="AE90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90" s="91" t="str">
        <f t="shared" si="33"/>
        <v>"C:\Program Files (x86)\AstroGrep\AstroGrep.exe" /spath="%USERPROFILE%\AppData\Local\Temp\OnboardLogs" /stypes="app*4027*20161009*" /stext=" 19:.+((SYSTEM_STATE.+slice.+state.+changed )|(ment ac)|(system.+state.+changed )|(\[timeout)|(PRM\|1\|D)|(kpr)|(kdp)|(\|lc)|(penalty))" /e /r /s</v>
      </c>
      <c r="AG90" s="1" t="str">
        <f t="shared" si="34"/>
        <v>EC</v>
      </c>
      <c r="AH90" s="95" t="str">
        <f t="shared" si="35"/>
        <v>"%USERPROFILE%\Documents\GitHub\eaglep3\Utilities\RefineRTDCRunTimes.py" --tripid 177-09 --locoid 4027 --swversion DE.1.0.7.0 --startMP 204:451 --initTime 2016-10-09T13:08:34 --startdatetime 2016-10-09T13:15:16 --delay 1 --endMP 204:233295 --enddatetime 2016-10-09T13:50:51 --enforcementcount 0 &gt;&gt;C:\Users\stu\Documents\GitHub\eaglep3-reporting\EC\2016-10-09-refined-times.txt</v>
      </c>
      <c r="AI9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ID","value":"177-09"},{"id":16,"name":"Locomotive ID","value":"4027"},{"id":130,"name":"Impact","value":""},{"id":150,"name":"Time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507</v>
      </c>
      <c r="B91" s="7">
        <v>4028</v>
      </c>
      <c r="C91" s="24" t="s">
        <v>106</v>
      </c>
      <c r="D91" s="24" t="s">
        <v>265</v>
      </c>
      <c r="E91" s="15">
        <v>42652.585381944446</v>
      </c>
      <c r="F91" s="15">
        <v>42652.591307870367</v>
      </c>
      <c r="G91" s="7">
        <v>2</v>
      </c>
      <c r="H91" s="15" t="s">
        <v>188</v>
      </c>
      <c r="I91" s="15">
        <v>42652.618159722224</v>
      </c>
      <c r="J91" s="7">
        <v>0</v>
      </c>
      <c r="K91" s="116" t="str">
        <f t="shared" si="20"/>
        <v>4027/4028</v>
      </c>
      <c r="L91" s="24" t="str">
        <f>VLOOKUP(A91,'Trips&amp;Operators'!$C$1:$E$10000,3,FALSE)</f>
        <v>BRUDER</v>
      </c>
      <c r="M91" s="6">
        <f t="shared" si="21"/>
        <v>2.6851851856918074E-2</v>
      </c>
      <c r="N91" s="7">
        <f t="shared" si="22"/>
        <v>38.666666673962027</v>
      </c>
      <c r="O91" s="7"/>
      <c r="P91" s="7"/>
      <c r="Q91" s="25"/>
      <c r="R91" s="25"/>
      <c r="S91" s="37">
        <f t="shared" si="23"/>
        <v>1</v>
      </c>
      <c r="T91" s="52" t="str">
        <f t="shared" si="24"/>
        <v>Southbound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13:02:57-0600',mode:absolute,to:'2016-10-09 15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4" t="str">
        <f t="shared" si="26"/>
        <v>N</v>
      </c>
      <c r="X91" s="163">
        <f t="shared" si="27"/>
        <v>1</v>
      </c>
      <c r="Y91" s="69">
        <f t="shared" si="28"/>
        <v>23.298999999999999</v>
      </c>
      <c r="Z91" s="69">
        <f t="shared" si="29"/>
        <v>1.5800000000000002E-2</v>
      </c>
      <c r="AA91" s="69">
        <f t="shared" si="30"/>
        <v>23.283200000000001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1"/>
        <v>0178-09</v>
      </c>
      <c r="AE91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91" s="91" t="str">
        <f t="shared" si="33"/>
        <v>"C:\Program Files (x86)\AstroGrep\AstroGrep.exe" /spath="%USERPROFILE%\AppData\Local\Temp\OnboardLogs" /stypes="app*4028*20161009*" /stext=" 20:.+((SYSTEM_STATE.+slice.+state.+changed )|(ment ac)|(system.+state.+changed )|(\[timeout)|(PRM\|1\|D)|(kpr)|(kdp)|(\|lc)|(penalty))" /e /r /s</v>
      </c>
      <c r="AG91" s="1" t="str">
        <f t="shared" si="34"/>
        <v>EC</v>
      </c>
      <c r="AH91" s="95" t="str">
        <f t="shared" si="35"/>
        <v>"%USERPROFILE%\Documents\GitHub\eaglep3\Utilities\RefineRTDCRunTimes.py" --tripid 178-09 --locoid 4028 --swversion DE.1.0.7.0 --startMP 204:232990 --initTime 2016-10-09T14:02:57 --startdatetime 2016-10-09T14:11:29 --delay 2 --endMP 204:158 --enddatetime 2016-10-09T14:50:09 --enforcementcount 0 &gt;&gt;C:\Users\stu\Documents\GitHub\eaglep3-reporting\EC\2016-10-09-refined-times.txt</v>
      </c>
      <c r="AI9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{"issue":{"subject":"","project_id":79,"tracker_id":40,"status_id":1,"priority_id":2,"assigned_to_id":23,"start_date":"2016-10-09","description":"","custom_fields":[{"id":1,"name":"Subdivision","value":"EC"},{"id":4,"name":"Milepost","value":"0.0158"},{"id":17,"name":"Train ID","value":"178-09"},{"id":16,"name":"Locomotive ID","value":"4028"},{"id":130,"name":"Impact","value":""},{"id":150,"name":"Time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499</v>
      </c>
      <c r="B92" s="7">
        <v>4018</v>
      </c>
      <c r="C92" s="24" t="s">
        <v>106</v>
      </c>
      <c r="D92" s="24" t="s">
        <v>201</v>
      </c>
      <c r="E92" s="15">
        <v>42652.557974537034</v>
      </c>
      <c r="F92" s="15">
        <v>42652.562800925924</v>
      </c>
      <c r="G92" s="7">
        <v>2</v>
      </c>
      <c r="H92" s="15" t="s">
        <v>651</v>
      </c>
      <c r="I92" s="15">
        <v>42652.58902777778</v>
      </c>
      <c r="J92" s="7">
        <v>0</v>
      </c>
      <c r="K92" s="116" t="str">
        <f t="shared" si="20"/>
        <v>4017/4018</v>
      </c>
      <c r="L92" s="24" t="str">
        <f>VLOOKUP(A92,'Trips&amp;Operators'!$C$1:$E$10000,3,FALSE)</f>
        <v>MOSES</v>
      </c>
      <c r="M92" s="6">
        <f t="shared" si="21"/>
        <v>2.6226851856335998E-2</v>
      </c>
      <c r="N92" s="7">
        <f t="shared" si="22"/>
        <v>37.766666673123837</v>
      </c>
      <c r="O92" s="7"/>
      <c r="P92" s="7"/>
      <c r="Q92" s="25"/>
      <c r="R92" s="25"/>
      <c r="S92" s="37">
        <f t="shared" si="23"/>
        <v>1</v>
      </c>
      <c r="T92" s="52" t="str">
        <f t="shared" si="24"/>
        <v>NorthBound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12:23:29-0600',mode:absolute,to:'2016-10-09 15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2" s="54" t="str">
        <f t="shared" si="26"/>
        <v>N</v>
      </c>
      <c r="X92" s="163">
        <f t="shared" si="27"/>
        <v>1</v>
      </c>
      <c r="Y92" s="69">
        <f t="shared" si="28"/>
        <v>4.6199999999999998E-2</v>
      </c>
      <c r="Z92" s="69">
        <f t="shared" si="29"/>
        <v>23.333200000000001</v>
      </c>
      <c r="AA92" s="69">
        <f t="shared" si="30"/>
        <v>23.287000000000003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1"/>
        <v>0179-09</v>
      </c>
      <c r="AE92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92" s="91" t="str">
        <f t="shared" si="33"/>
        <v>"C:\Program Files (x86)\AstroGrep\AstroGrep.exe" /spath="%USERPROFILE%\AppData\Local\Temp\OnboardLogs" /stypes="app*4018*20161009*" /stext=" 20:.+((SYSTEM_STATE.+slice.+state.+changed )|(ment ac)|(system.+state.+changed )|(\[timeout)|(PRM\|1\|D)|(kpr)|(kdp)|(\|lc)|(penalty))" /e /r /s</v>
      </c>
      <c r="AG92" s="1" t="str">
        <f t="shared" si="34"/>
        <v>EC</v>
      </c>
      <c r="AH92" s="95" t="str">
        <f t="shared" si="35"/>
        <v>"%USERPROFILE%\Documents\GitHub\eaglep3\Utilities\RefineRTDCRunTimes.py" --tripid 179-09 --locoid 4018 --swversion DE.1.0.7.0 --startMP 204:462 --initTime 2016-10-09T13:23:29 --startdatetime 2016-10-09T13:30:26 --delay 2 --endMP 204:233332 --enddatetime 2016-10-09T14:08:12 --enforcementcount 0 &gt;&gt;C:\Users\stu\Documents\GitHub\eaglep3-reporting\EC\2016-10-09-refined-times.txt</v>
      </c>
      <c r="AI9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{"issue":{"subject":"","project_id":79,"tracker_id":40,"status_id":1,"priority_id":2,"assigned_to_id":23,"start_date":"2016-10-09","description":"","custom_fields":[{"id":1,"name":"Subdivision","value":"EC"},{"id":4,"name":"Milepost","value":"23.3332"},{"id":17,"name":"Train ID","value":"179-09"},{"id":16,"name":"Locomotive ID","value":"4018"},{"id":130,"name":"Impact","value":""},{"id":150,"name":"Time of Event (Mountain Time)","value":"14:08:12"},{"id":151,"name":"Denver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509</v>
      </c>
      <c r="B93" s="7">
        <v>4017</v>
      </c>
      <c r="C93" s="24" t="s">
        <v>106</v>
      </c>
      <c r="D93" s="24" t="s">
        <v>295</v>
      </c>
      <c r="E93" s="15">
        <v>42652.597812499997</v>
      </c>
      <c r="F93" s="15">
        <v>42652.601655092592</v>
      </c>
      <c r="G93" s="7">
        <v>1</v>
      </c>
      <c r="H93" s="15" t="s">
        <v>289</v>
      </c>
      <c r="I93" s="15">
        <v>42652.629131944443</v>
      </c>
      <c r="J93" s="7">
        <v>0</v>
      </c>
      <c r="K93" s="116" t="str">
        <f t="shared" si="20"/>
        <v>4017/4018</v>
      </c>
      <c r="L93" s="24" t="str">
        <f>VLOOKUP(A93,'Trips&amp;Operators'!$C$1:$E$10000,3,FALSE)</f>
        <v>MOSES</v>
      </c>
      <c r="M93" s="6">
        <f t="shared" si="21"/>
        <v>2.7476851850224193E-2</v>
      </c>
      <c r="N93" s="7">
        <f t="shared" si="22"/>
        <v>39.566666664322838</v>
      </c>
      <c r="O93" s="7"/>
      <c r="P93" s="7"/>
      <c r="Q93" s="25"/>
      <c r="R93" s="25"/>
      <c r="S93" s="37">
        <f t="shared" si="23"/>
        <v>1</v>
      </c>
      <c r="T93" s="52" t="str">
        <f t="shared" si="24"/>
        <v>Southbound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13:20:51-0600',mode:absolute,to:'2016-10-09 16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3" s="54" t="str">
        <f t="shared" si="26"/>
        <v>N</v>
      </c>
      <c r="X93" s="163">
        <f t="shared" si="27"/>
        <v>1</v>
      </c>
      <c r="Y93" s="69">
        <f t="shared" si="28"/>
        <v>23.299399999999999</v>
      </c>
      <c r="Z93" s="69">
        <f t="shared" si="29"/>
        <v>1.43E-2</v>
      </c>
      <c r="AA93" s="69">
        <f t="shared" si="30"/>
        <v>23.2851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1"/>
        <v>0180-09</v>
      </c>
      <c r="AE93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93" s="91" t="str">
        <f t="shared" si="33"/>
        <v>"C:\Program Files (x86)\AstroGrep\AstroGrep.exe" /spath="%USERPROFILE%\AppData\Local\Temp\OnboardLogs" /stypes="app*4017*20161009*"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5" t="str">
        <f t="shared" si="35"/>
        <v>"%USERPROFILE%\Documents\GitHub\eaglep3\Utilities\RefineRTDCRunTimes.py" --tripid 180-09 --locoid 4017 --swversion DE.1.0.7.0 --startMP 204:232994 --initTime 2016-10-09T14:20:51 --startdatetime 2016-10-09T14:26:23 --delay 1 --endMP 204:143 --enddatetime 2016-10-09T15:05:57 --enforcementcount 0 &gt;&gt;C:\Users\stu\Documents\GitHub\eaglep3-reporting\EC\2016-10-09-refined-times.txt</v>
      </c>
      <c r="AI9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ID","value":"180-09"},{"id":16,"name":"Locomotive ID","value":"4017"},{"id":130,"name":"Impact","value":""},{"id":150,"name":"Time of Event (Mountain Time)","value":"15:05:57"},{"id":151,"name":"Denver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503</v>
      </c>
      <c r="B94" s="7">
        <v>4002</v>
      </c>
      <c r="C94" s="24" t="s">
        <v>106</v>
      </c>
      <c r="D94" s="24" t="s">
        <v>667</v>
      </c>
      <c r="E94" s="15">
        <v>42652.570960648147</v>
      </c>
      <c r="F94" s="15">
        <v>42652.573217592595</v>
      </c>
      <c r="G94" s="7">
        <v>1</v>
      </c>
      <c r="H94" s="15" t="s">
        <v>668</v>
      </c>
      <c r="I94" s="15">
        <v>42652.599918981483</v>
      </c>
      <c r="J94" s="7">
        <v>0</v>
      </c>
      <c r="K94" s="116" t="str">
        <f t="shared" si="20"/>
        <v>4001/4002</v>
      </c>
      <c r="L94" s="24" t="str">
        <f>VLOOKUP(A94,'Trips&amp;Operators'!$C$1:$E$10000,3,FALSE)</f>
        <v>YOUNG</v>
      </c>
      <c r="M94" s="6">
        <f t="shared" si="21"/>
        <v>2.6701388887886424E-2</v>
      </c>
      <c r="N94" s="7">
        <f t="shared" si="22"/>
        <v>38.44999999855645</v>
      </c>
      <c r="O94" s="7"/>
      <c r="P94" s="7"/>
      <c r="Q94" s="25"/>
      <c r="R94" s="25"/>
      <c r="S94" s="37">
        <f t="shared" si="23"/>
        <v>1</v>
      </c>
      <c r="T94" s="52" t="str">
        <f t="shared" si="24"/>
        <v>NorthBound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12:42:11-0600',mode:absolute,to:'2016-10-09 15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4" s="54" t="str">
        <f t="shared" si="26"/>
        <v>N</v>
      </c>
      <c r="X94" s="163">
        <f t="shared" si="27"/>
        <v>1</v>
      </c>
      <c r="Y94" s="69">
        <f t="shared" si="28"/>
        <v>5.1499999999999997E-2</v>
      </c>
      <c r="Z94" s="69">
        <f t="shared" si="29"/>
        <v>23.331800000000001</v>
      </c>
      <c r="AA94" s="69">
        <f t="shared" si="30"/>
        <v>23.2803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1"/>
        <v>0181-09</v>
      </c>
      <c r="AE94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94" s="91" t="str">
        <f t="shared" si="33"/>
        <v>"C:\Program Files (x86)\AstroGrep\AstroGrep.exe" /spath="%USERPROFILE%\AppData\Local\Temp\OnboardLogs" /stypes="app*4002*20161009*" /stext=" 20:.+((SYSTEM_STATE.+slice.+state.+changed )|(ment ac)|(system.+state.+changed )|(\[timeout)|(PRM\|1\|D)|(kpr)|(kdp)|(\|lc)|(penalty))" /e /r /s</v>
      </c>
      <c r="AG94" s="1" t="str">
        <f t="shared" si="34"/>
        <v>EC</v>
      </c>
      <c r="AH94" s="95" t="str">
        <f t="shared" si="35"/>
        <v>"%USERPROFILE%\Documents\GitHub\eaglep3\Utilities\RefineRTDCRunTimes.py" --tripid 181-09 --locoid 4002 --swversion DE.1.0.7.0 --startMP 204:515 --initTime 2016-10-09T13:42:11 --startdatetime 2016-10-09T13:45:26 --delay 1 --endMP 204:233318 --enddatetime 2016-10-09T14:23:53 --enforcementcount 0 &gt;&gt;C:\Users\stu\Documents\GitHub\eaglep3-reporting\EC\2016-10-09-refined-times.txt</v>
      </c>
      <c r="AI9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{"issue":{"subject":"","project_id":79,"tracker_id":40,"status_id":1,"priority_id":2,"assigned_to_id":23,"start_date":"2016-10-09","description":"","custom_fields":[{"id":1,"name":"Subdivision","value":"EC"},{"id":4,"name":"Milepost","value":"23.3318"},{"id":17,"name":"Train ID","value":"181-09"},{"id":16,"name":"Locomotive ID","value":"4002"},{"id":130,"name":"Impact","value":""},{"id":150,"name":"Time of Event (Mountain Time)","value":"14:23:53"},{"id":151,"name":"Denver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511</v>
      </c>
      <c r="B95" s="7">
        <v>4001</v>
      </c>
      <c r="C95" s="24" t="s">
        <v>106</v>
      </c>
      <c r="D95" s="24" t="s">
        <v>304</v>
      </c>
      <c r="E95" s="15">
        <v>42652.605763888889</v>
      </c>
      <c r="F95" s="15">
        <v>42652.612800925926</v>
      </c>
      <c r="G95" s="7">
        <v>1</v>
      </c>
      <c r="H95" s="15" t="s">
        <v>679</v>
      </c>
      <c r="I95" s="15">
        <v>42652.641793981478</v>
      </c>
      <c r="J95" s="7">
        <v>0</v>
      </c>
      <c r="K95" s="116" t="str">
        <f t="shared" si="20"/>
        <v>4001/4002</v>
      </c>
      <c r="L95" s="24" t="str">
        <f>VLOOKUP(A95,'Trips&amp;Operators'!$C$1:$E$10000,3,FALSE)</f>
        <v>YOUNG</v>
      </c>
      <c r="M95" s="6">
        <f t="shared" si="21"/>
        <v>2.8993055551836733E-2</v>
      </c>
      <c r="N95" s="7">
        <f t="shared" si="22"/>
        <v>41.749999994644895</v>
      </c>
      <c r="O95" s="7"/>
      <c r="P95" s="7"/>
      <c r="Q95" s="25"/>
      <c r="R95" s="25"/>
      <c r="S95" s="37">
        <f t="shared" si="23"/>
        <v>1</v>
      </c>
      <c r="T95" s="52" t="str">
        <f t="shared" si="24"/>
        <v>Southbound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13:32:18-0600',mode:absolute,to:'2016-10-09 16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5" s="54" t="str">
        <f t="shared" si="26"/>
        <v>N</v>
      </c>
      <c r="X95" s="163">
        <f t="shared" si="27"/>
        <v>1</v>
      </c>
      <c r="Y95" s="69">
        <f t="shared" si="28"/>
        <v>23.298200000000001</v>
      </c>
      <c r="Z95" s="69">
        <f t="shared" si="29"/>
        <v>1.8499999999999999E-2</v>
      </c>
      <c r="AA95" s="69">
        <f t="shared" si="30"/>
        <v>23.279700000000002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1"/>
        <v>0182-09</v>
      </c>
      <c r="AE95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95" s="91" t="str">
        <f t="shared" si="33"/>
        <v>"C:\Program Files (x86)\AstroGrep\AstroGrep.exe" /spath="%USERPROFILE%\AppData\Local\Temp\OnboardLogs" /stypes="app*4001*20161009*"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5" t="str">
        <f t="shared" si="35"/>
        <v>"%USERPROFILE%\Documents\GitHub\eaglep3\Utilities\RefineRTDCRunTimes.py" --tripid 182-09 --locoid 4001 --swversion DE.1.0.7.0 --startMP 204:232982 --initTime 2016-10-09T14:32:18 --startdatetime 2016-10-09T14:42:26 --delay 1 --endMP 204:185 --enddatetime 2016-10-09T15:24:11 --enforcementcount 0 &gt;&gt;C:\Users\stu\Documents\GitHub\eaglep3-reporting\EC\2016-10-09-refined-times.txt</v>
      </c>
      <c r="AI9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{"issue":{"subject":"","project_id":79,"tracker_id":40,"status_id":1,"priority_id":2,"assigned_to_id":23,"start_date":"2016-10-09","description":"","custom_fields":[{"id":1,"name":"Subdivision","value":"EC"},{"id":4,"name":"Milepost","value":"0.0185"},{"id":17,"name":"Train ID","value":"182-09"},{"id":16,"name":"Locomotive ID","value":"4001"},{"id":130,"name":"Impact","value":""},{"id":150,"name":"Time of Event (Mountain Time)","value":"15:24:11"},{"id":151,"name":"Denver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504</v>
      </c>
      <c r="B96" s="7">
        <v>4007</v>
      </c>
      <c r="C96" s="24" t="s">
        <v>106</v>
      </c>
      <c r="D96" s="24" t="s">
        <v>243</v>
      </c>
      <c r="E96" s="15">
        <v>42652.57980324074</v>
      </c>
      <c r="F96" s="15">
        <v>42652.583506944444</v>
      </c>
      <c r="G96" s="7">
        <v>1</v>
      </c>
      <c r="H96" s="15" t="s">
        <v>242</v>
      </c>
      <c r="I96" s="15">
        <v>42652.610081018516</v>
      </c>
      <c r="J96" s="7">
        <v>0</v>
      </c>
      <c r="K96" s="116" t="str">
        <f t="shared" si="20"/>
        <v>4007/4008</v>
      </c>
      <c r="L96" s="24" t="str">
        <f>VLOOKUP(A96,'Trips&amp;Operators'!$C$1:$E$10000,3,FALSE)</f>
        <v>CLARK</v>
      </c>
      <c r="M96" s="6">
        <f t="shared" si="21"/>
        <v>2.6574074072414078E-2</v>
      </c>
      <c r="N96" s="7">
        <f t="shared" si="22"/>
        <v>38.266666664276272</v>
      </c>
      <c r="O96" s="7"/>
      <c r="P96" s="7"/>
      <c r="Q96" s="25"/>
      <c r="R96" s="25"/>
      <c r="S96" s="37">
        <f t="shared" si="23"/>
        <v>1</v>
      </c>
      <c r="T96" s="52" t="str">
        <f t="shared" si="24"/>
        <v>NorthBound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12:54:55-0600',mode:absolute,to:'2016-10-09 15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6" s="54" t="str">
        <f t="shared" si="26"/>
        <v>N</v>
      </c>
      <c r="X96" s="163">
        <f t="shared" si="27"/>
        <v>1</v>
      </c>
      <c r="Y96" s="69">
        <f t="shared" si="28"/>
        <v>4.6899999999999997E-2</v>
      </c>
      <c r="Z96" s="69">
        <f t="shared" si="29"/>
        <v>23.329699999999999</v>
      </c>
      <c r="AA96" s="69">
        <f t="shared" si="30"/>
        <v>23.282799999999998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1"/>
        <v>0183-09</v>
      </c>
      <c r="AE96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96" s="91" t="str">
        <f t="shared" si="33"/>
        <v>"C:\Program Files (x86)\AstroGrep\AstroGrep.exe" /spath="%USERPROFILE%\AppData\Local\Temp\OnboardLogs" /stypes="app*4007*20161009*" /stext=" 20:.+((SYSTEM_STATE.+slice.+state.+changed )|(ment ac)|(system.+state.+changed )|(\[timeout)|(PRM\|1\|D)|(kpr)|(kdp)|(\|lc)|(penalty))" /e /r /s</v>
      </c>
      <c r="AG96" s="1" t="str">
        <f t="shared" si="34"/>
        <v>EC</v>
      </c>
      <c r="AH96" s="95" t="str">
        <f t="shared" si="35"/>
        <v>"%USERPROFILE%\Documents\GitHub\eaglep3\Utilities\RefineRTDCRunTimes.py" --tripid 183-09 --locoid 4007 --swversion DE.1.0.7.0 --startMP 204:469 --initTime 2016-10-09T13:54:55 --startdatetime 2016-10-09T14:00:15 --delay 1 --endMP 204:233297 --enddatetime 2016-10-09T14:38:31 --enforcementcount 0 &gt;&gt;C:\Users\stu\Documents\GitHub\eaglep3-reporting\EC\2016-10-09-refined-times.txt</v>
      </c>
      <c r="AI9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ID","value":"183-09"},{"id":16,"name":"Locomotive ID","value":"4007"},{"id":130,"name":"Impact","value":""},{"id":150,"name":"Time of Event (Mountain Time)","value":"14:38:31"},{"id":151,"name":"Denver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514</v>
      </c>
      <c r="B97" s="7">
        <v>4008</v>
      </c>
      <c r="C97" s="24" t="s">
        <v>106</v>
      </c>
      <c r="D97" s="24" t="s">
        <v>256</v>
      </c>
      <c r="E97" s="15">
        <v>42652.617083333331</v>
      </c>
      <c r="F97" s="15">
        <v>42652.622407407405</v>
      </c>
      <c r="G97" s="7">
        <v>1</v>
      </c>
      <c r="H97" s="15" t="s">
        <v>193</v>
      </c>
      <c r="I97" s="15">
        <v>42652.65121527778</v>
      </c>
      <c r="J97" s="7">
        <v>0</v>
      </c>
      <c r="K97" s="116" t="str">
        <f t="shared" si="20"/>
        <v>4007/4008</v>
      </c>
      <c r="L97" s="24" t="str">
        <f>VLOOKUP(A97,'Trips&amp;Operators'!$C$1:$E$10000,3,FALSE)</f>
        <v>CLARK</v>
      </c>
      <c r="M97" s="6">
        <f t="shared" si="21"/>
        <v>2.8807870374293998E-2</v>
      </c>
      <c r="N97" s="7">
        <f t="shared" si="22"/>
        <v>41.483333338983357</v>
      </c>
      <c r="O97" s="7"/>
      <c r="P97" s="7"/>
      <c r="Q97" s="25"/>
      <c r="R97" s="25"/>
      <c r="S97" s="37">
        <f t="shared" si="23"/>
        <v>1</v>
      </c>
      <c r="T97" s="52" t="str">
        <f t="shared" si="24"/>
        <v>Southbound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13:48:36-0600',mode:absolute,to:'2016-10-09 16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7" s="54" t="str">
        <f t="shared" si="26"/>
        <v>N</v>
      </c>
      <c r="X97" s="163">
        <f t="shared" si="27"/>
        <v>1</v>
      </c>
      <c r="Y97" s="69">
        <f t="shared" si="28"/>
        <v>23.2974</v>
      </c>
      <c r="Z97" s="69">
        <f t="shared" si="29"/>
        <v>1.52E-2</v>
      </c>
      <c r="AA97" s="69">
        <f t="shared" si="30"/>
        <v>23.2822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1"/>
        <v>0184-09</v>
      </c>
      <c r="AE97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97" s="91" t="str">
        <f t="shared" si="33"/>
        <v>"C:\Program Files (x86)\AstroGrep\AstroGrep.exe" /spath="%USERPROFILE%\AppData\Local\Temp\OnboardLogs" /stypes="app*4008*20161009*"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5" t="str">
        <f t="shared" si="35"/>
        <v>"%USERPROFILE%\Documents\GitHub\eaglep3\Utilities\RefineRTDCRunTimes.py" --tripid 184-09 --locoid 4008 --swversion DE.1.0.7.0 --startMP 204:232974 --initTime 2016-10-09T14:48:36 --startdatetime 2016-10-09T14:56:16 --delay 1 --endMP 204:152 --enddatetime 2016-10-09T15:37:45 --enforcementcount 0 &gt;&gt;C:\Users\stu\Documents\GitHub\eaglep3-reporting\EC\2016-10-09-refined-times.txt</v>
      </c>
      <c r="AI9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ID","value":"184-09"},{"id":16,"name":"Locomotive ID","value":"4008"},{"id":130,"name":"Impact","value":""},{"id":150,"name":"Time of Event (Mountain Time)","value":"15:37:45"},{"id":151,"name":"Denver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508</v>
      </c>
      <c r="B98" s="7">
        <v>4025</v>
      </c>
      <c r="C98" s="24" t="s">
        <v>106</v>
      </c>
      <c r="D98" s="24" t="s">
        <v>284</v>
      </c>
      <c r="E98" s="15">
        <v>42652.588240740741</v>
      </c>
      <c r="F98" s="15">
        <v>42652.593958333331</v>
      </c>
      <c r="G98" s="7">
        <v>1</v>
      </c>
      <c r="H98" s="15" t="s">
        <v>300</v>
      </c>
      <c r="I98" s="15">
        <v>42652.619756944441</v>
      </c>
      <c r="J98" s="7">
        <v>0</v>
      </c>
      <c r="K98" s="116" t="str">
        <f t="shared" si="20"/>
        <v>4025/4026</v>
      </c>
      <c r="L98" s="24" t="str">
        <f>VLOOKUP(A98,'Trips&amp;Operators'!$C$1:$E$10000,3,FALSE)</f>
        <v>SHOOK</v>
      </c>
      <c r="M98" s="6">
        <f t="shared" si="21"/>
        <v>2.5798611110076308E-2</v>
      </c>
      <c r="N98" s="7">
        <f t="shared" si="22"/>
        <v>37.149999998509884</v>
      </c>
      <c r="O98" s="7"/>
      <c r="P98" s="7"/>
      <c r="Q98" s="25"/>
      <c r="R98" s="25"/>
      <c r="S98" s="37">
        <f t="shared" si="23"/>
        <v>1</v>
      </c>
      <c r="T98" s="52" t="str">
        <f t="shared" si="24"/>
        <v>NorthBound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13:07:04-0600',mode:absolute,to:'2016-10-09 15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8" s="54" t="str">
        <f t="shared" si="26"/>
        <v>N</v>
      </c>
      <c r="X98" s="163">
        <f t="shared" si="27"/>
        <v>1</v>
      </c>
      <c r="Y98" s="69">
        <f t="shared" si="28"/>
        <v>4.3999999999999997E-2</v>
      </c>
      <c r="Z98" s="69">
        <f t="shared" si="29"/>
        <v>23.3322</v>
      </c>
      <c r="AA98" s="69">
        <f t="shared" si="30"/>
        <v>23.2882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1"/>
        <v>0185-09</v>
      </c>
      <c r="AE98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98" s="91" t="str">
        <f t="shared" si="33"/>
        <v>"C:\Program Files (x86)\AstroGrep\AstroGrep.exe" /spath="%USERPROFILE%\AppData\Local\Temp\OnboardLogs" /stypes="app*4025*20161009*" /stext=" 20:.+((SYSTEM_STATE.+slice.+state.+changed )|(ment ac)|(system.+state.+changed )|(\[timeout)|(PRM\|1\|D)|(kpr)|(kdp)|(\|lc)|(penalty))" /e /r /s</v>
      </c>
      <c r="AG98" s="1" t="str">
        <f t="shared" si="34"/>
        <v>EC</v>
      </c>
      <c r="AH98" s="95" t="str">
        <f t="shared" si="35"/>
        <v>"%USERPROFILE%\Documents\GitHub\eaglep3\Utilities\RefineRTDCRunTimes.py" --tripid 185-09 --locoid 4025 --swversion DE.1.0.7.0 --startMP 204:440 --initTime 2016-10-09T14:07:04 --startdatetime 2016-10-09T14:15:18 --delay 1 --endMP 204:233322 --enddatetime 2016-10-09T14:52:27 --enforcementcount 0 &gt;&gt;C:\Users\stu\Documents\GitHub\eaglep3-reporting\EC\2016-10-09-refined-times.txt</v>
      </c>
      <c r="AI9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{"issue":{"subject":"","project_id":79,"tracker_id":40,"status_id":1,"priority_id":2,"assigned_to_id":23,"start_date":"2016-10-09","description":"","custom_fields":[{"id":1,"name":"Subdivision","value":"EC"},{"id":4,"name":"Milepost","value":"23.3322"},{"id":17,"name":"Train ID","value":"185-09"},{"id":16,"name":"Locomotive ID","value":"4025"},{"id":130,"name":"Impact","value":""},{"id":150,"name":"Time of Event (Mountain Time)","value":"14:52:27"},{"id":151,"name":"Denver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517</v>
      </c>
      <c r="B99" s="7">
        <v>4026</v>
      </c>
      <c r="C99" s="24" t="s">
        <v>106</v>
      </c>
      <c r="D99" s="24" t="s">
        <v>306</v>
      </c>
      <c r="E99" s="15">
        <v>42652.628900462965</v>
      </c>
      <c r="F99" s="15">
        <v>42652.6328587963</v>
      </c>
      <c r="G99" s="7">
        <v>1</v>
      </c>
      <c r="H99" s="15" t="s">
        <v>186</v>
      </c>
      <c r="I99" s="15">
        <v>42652.659224537034</v>
      </c>
      <c r="J99" s="7">
        <v>0</v>
      </c>
      <c r="K99" s="116" t="str">
        <f t="shared" si="20"/>
        <v>4025/4026</v>
      </c>
      <c r="L99" s="24" t="str">
        <f>VLOOKUP(A99,'Trips&amp;Operators'!$C$1:$E$10000,3,FALSE)</f>
        <v>SHOOK</v>
      </c>
      <c r="M99" s="6">
        <f t="shared" si="21"/>
        <v>2.6365740734036081E-2</v>
      </c>
      <c r="N99" s="7">
        <f t="shared" si="22"/>
        <v>37.966666657011956</v>
      </c>
      <c r="O99" s="7"/>
      <c r="P99" s="7"/>
      <c r="Q99" s="25"/>
      <c r="R99" s="25"/>
      <c r="S99" s="37">
        <f t="shared" si="23"/>
        <v>1</v>
      </c>
      <c r="T99" s="52" t="str">
        <f t="shared" si="24"/>
        <v>Southbound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14:05:37-0600',mode:absolute,to:'2016-10-09 16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9" s="54" t="str">
        <f t="shared" si="26"/>
        <v>N</v>
      </c>
      <c r="X99" s="163">
        <f t="shared" si="27"/>
        <v>1</v>
      </c>
      <c r="Y99" s="69">
        <f t="shared" si="28"/>
        <v>23.302800000000001</v>
      </c>
      <c r="Z99" s="69">
        <f t="shared" si="29"/>
        <v>1.49E-2</v>
      </c>
      <c r="AA99" s="69">
        <f t="shared" si="30"/>
        <v>23.2879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1"/>
        <v>0186-09</v>
      </c>
      <c r="AE99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99" s="91" t="str">
        <f t="shared" si="33"/>
        <v>"C:\Program Files (x86)\AstroGrep\AstroGrep.exe" /spath="%USERPROFILE%\AppData\Local\Temp\OnboardLogs" /stypes="app*4026*20161009*" /stext=" 21:.+((SYSTEM_STATE.+slice.+state.+changed )|(ment ac)|(system.+state.+changed )|(\[timeout)|(PRM\|1\|D)|(kpr)|(kdp)|(\|lc)|(penalty))" /e /r /s</v>
      </c>
      <c r="AG99" s="1" t="str">
        <f t="shared" si="34"/>
        <v>EC</v>
      </c>
      <c r="AH99" s="95" t="str">
        <f t="shared" si="35"/>
        <v>"%USERPROFILE%\Documents\GitHub\eaglep3\Utilities\RefineRTDCRunTimes.py" --tripid 186-09 --locoid 4026 --swversion DE.1.0.7.0 --startMP 204:233028 --initTime 2016-10-09T15:05:37 --startdatetime 2016-10-09T15:11:19 --delay 1 --endMP 204:149 --enddatetime 2016-10-09T15:49:17 --enforcementcount 0 &gt;&gt;C:\Users\stu\Documents\GitHub\eaglep3-reporting\EC\2016-10-09-refined-times.txt</v>
      </c>
      <c r="AI9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ID","value":"186-09"},{"id":16,"name":"Locomotive ID","value":"4026"},{"id":130,"name":"Impact","value":""},{"id":150,"name":"Time of Event (Mountain Time)","value":"15:49:17"},{"id":151,"name":"Denver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510</v>
      </c>
      <c r="B100" s="7">
        <v>4040</v>
      </c>
      <c r="C100" s="24" t="s">
        <v>106</v>
      </c>
      <c r="D100" s="24" t="s">
        <v>195</v>
      </c>
      <c r="E100" s="15">
        <v>42652.600300925929</v>
      </c>
      <c r="F100" s="15">
        <v>42652.604548611111</v>
      </c>
      <c r="G100" s="7">
        <v>1</v>
      </c>
      <c r="H100" s="15" t="s">
        <v>367</v>
      </c>
      <c r="I100" s="15">
        <v>42652.629745370374</v>
      </c>
      <c r="J100" s="7">
        <v>0</v>
      </c>
      <c r="K100" s="116" t="str">
        <f t="shared" si="20"/>
        <v>4039/4040</v>
      </c>
      <c r="L100" s="24" t="str">
        <f>VLOOKUP(A100,'Trips&amp;Operators'!$C$1:$E$10000,3,FALSE)</f>
        <v>STEWART</v>
      </c>
      <c r="M100" s="6">
        <f t="shared" si="21"/>
        <v>2.5196759263053536E-2</v>
      </c>
      <c r="N100" s="7">
        <f t="shared" si="22"/>
        <v>36.283333338797092</v>
      </c>
      <c r="O100" s="7"/>
      <c r="P100" s="7"/>
      <c r="Q100" s="25"/>
      <c r="R100" s="25"/>
      <c r="S100" s="37">
        <f t="shared" si="23"/>
        <v>1</v>
      </c>
      <c r="T100" s="52" t="str">
        <f t="shared" si="24"/>
        <v>NorthBound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13:24:26-0600',mode:absolute,to:'2016-10-09 16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0" s="54" t="str">
        <f t="shared" si="26"/>
        <v>N</v>
      </c>
      <c r="X100" s="163">
        <f t="shared" si="27"/>
        <v>1</v>
      </c>
      <c r="Y100" s="69">
        <f t="shared" si="28"/>
        <v>4.6600000000000003E-2</v>
      </c>
      <c r="Z100" s="69">
        <f t="shared" si="29"/>
        <v>23.3306</v>
      </c>
      <c r="AA100" s="69">
        <f t="shared" si="30"/>
        <v>23.283999999999999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1"/>
        <v>0187-09</v>
      </c>
      <c r="AE100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00" s="91" t="str">
        <f t="shared" si="33"/>
        <v>"C:\Program Files (x86)\AstroGrep\AstroGrep.exe" /spath="%USERPROFILE%\AppData\Local\Temp\OnboardLogs" /stypes="app*4040*20161009*" /stext=" 21:.+((SYSTEM_STATE.+slice.+state.+changed )|(ment ac)|(system.+state.+changed )|(\[timeout)|(PRM\|1\|D)|(kpr)|(kdp)|(\|lc)|(penalty))" /e /r /s</v>
      </c>
      <c r="AG100" s="1" t="str">
        <f t="shared" si="34"/>
        <v>EC</v>
      </c>
      <c r="AH100" s="95" t="str">
        <f t="shared" si="35"/>
        <v>"%USERPROFILE%\Documents\GitHub\eaglep3\Utilities\RefineRTDCRunTimes.py" --tripid 187-09 --locoid 4040 --swversion DE.1.0.7.0 --startMP 204:466 --initTime 2016-10-09T14:24:26 --startdatetime 2016-10-09T14:30:33 --delay 1 --endMP 204:233306 --enddatetime 2016-10-09T15:06:50 --enforcementcount 0 &gt;&gt;C:\Users\stu\Documents\GitHub\eaglep3-reporting\EC\2016-10-09-refined-times.txt</v>
      </c>
      <c r="AI10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{"issue":{"subject":"","project_id":79,"tracker_id":40,"status_id":1,"priority_id":2,"assigned_to_id":23,"start_date":"2016-10-09","description":"","custom_fields":[{"id":1,"name":"Subdivision","value":"EC"},{"id":4,"name":"Milepost","value":"23.3306"},{"id":17,"name":"Train ID","value":"187-09"},{"id":16,"name":"Locomotive ID","value":"4040"},{"id":130,"name":"Impact","value":""},{"id":150,"name":"Time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519</v>
      </c>
      <c r="B101" s="7">
        <v>4039</v>
      </c>
      <c r="C101" s="24" t="s">
        <v>106</v>
      </c>
      <c r="D101" s="24" t="s">
        <v>645</v>
      </c>
      <c r="E101" s="15">
        <v>42652.639641203707</v>
      </c>
      <c r="F101" s="15">
        <v>42652.64334490741</v>
      </c>
      <c r="G101" s="7">
        <v>2</v>
      </c>
      <c r="H101" s="15" t="s">
        <v>191</v>
      </c>
      <c r="I101" s="15">
        <v>42652.670381944445</v>
      </c>
      <c r="J101" s="7">
        <v>0</v>
      </c>
      <c r="K101" s="116" t="str">
        <f t="shared" si="20"/>
        <v>4039/4040</v>
      </c>
      <c r="L101" s="24" t="str">
        <f>VLOOKUP(A101,'Trips&amp;Operators'!$C$1:$E$10000,3,FALSE)</f>
        <v>STEWART</v>
      </c>
      <c r="M101" s="6">
        <f t="shared" si="21"/>
        <v>2.7037037034460809E-2</v>
      </c>
      <c r="N101" s="7">
        <f t="shared" si="22"/>
        <v>38.933333329623565</v>
      </c>
      <c r="O101" s="7"/>
      <c r="P101" s="7"/>
      <c r="Q101" s="25"/>
      <c r="R101" s="25"/>
      <c r="S101" s="37">
        <f t="shared" si="23"/>
        <v>1</v>
      </c>
      <c r="T101" s="52" t="str">
        <f t="shared" si="24"/>
        <v>Southbound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14:21:05-0600',mode:absolute,to:'2016-10-09 17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1" s="54" t="str">
        <f t="shared" si="26"/>
        <v>N</v>
      </c>
      <c r="X101" s="163">
        <f t="shared" si="27"/>
        <v>1</v>
      </c>
      <c r="Y101" s="69">
        <f t="shared" si="28"/>
        <v>23.298300000000001</v>
      </c>
      <c r="Z101" s="69">
        <f t="shared" si="29"/>
        <v>1.4999999999999999E-2</v>
      </c>
      <c r="AA101" s="69">
        <f t="shared" si="30"/>
        <v>23.283300000000001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1"/>
        <v>0188-09</v>
      </c>
      <c r="AE101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01" s="91" t="str">
        <f t="shared" si="33"/>
        <v>"C:\Program Files (x86)\AstroGrep\AstroGrep.exe" /spath="%USERPROFILE%\AppData\Local\Temp\OnboardLogs" /stypes="app*4039*20161009*"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5" t="str">
        <f t="shared" si="35"/>
        <v>"%USERPROFILE%\Documents\GitHub\eaglep3\Utilities\RefineRTDCRunTimes.py" --tripid 188-09 --locoid 4039 --swversion DE.1.0.7.0 --startMP 204:232983 --initTime 2016-10-09T15:21:05 --startdatetime 2016-10-09T15:26:25 --delay 2 --endMP 204:150 --enddatetime 2016-10-09T16:05:21 --enforcementcount 0 &gt;&gt;C:\Users\stu\Documents\GitHub\eaglep3-reporting\EC\2016-10-09-refined-times.txt</v>
      </c>
      <c r="AI10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ID","value":"188-09"},{"id":16,"name":"Locomotive ID","value":"4039"},{"id":130,"name":"Impact","value":""},{"id":150,"name":"Time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513</v>
      </c>
      <c r="B102" s="7">
        <v>4014</v>
      </c>
      <c r="C102" s="24" t="s">
        <v>106</v>
      </c>
      <c r="D102" s="24" t="s">
        <v>190</v>
      </c>
      <c r="E102" s="15">
        <v>42652.610034722224</v>
      </c>
      <c r="F102" s="15">
        <v>42652.614849537036</v>
      </c>
      <c r="G102" s="7">
        <v>1</v>
      </c>
      <c r="H102" s="15" t="s">
        <v>305</v>
      </c>
      <c r="I102" s="15">
        <v>42652.640347222223</v>
      </c>
      <c r="J102" s="7">
        <v>0</v>
      </c>
      <c r="K102" s="116" t="str">
        <f t="shared" si="20"/>
        <v>4013/4014</v>
      </c>
      <c r="L102" s="24" t="str">
        <f>VLOOKUP(A102,'Trips&amp;Operators'!$C$1:$E$10000,3,FALSE)</f>
        <v>BARTLETT</v>
      </c>
      <c r="M102" s="6">
        <f t="shared" si="21"/>
        <v>2.5497685186564922E-2</v>
      </c>
      <c r="N102" s="7">
        <f t="shared" si="22"/>
        <v>36.716666668653488</v>
      </c>
      <c r="O102" s="7"/>
      <c r="P102" s="7"/>
      <c r="Q102" s="25"/>
      <c r="R102" s="25"/>
      <c r="S102" s="37">
        <f t="shared" si="23"/>
        <v>1</v>
      </c>
      <c r="T102" s="52" t="str">
        <f t="shared" si="24"/>
        <v>NorthBound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13:38:27-0600',mode:absolute,to:'2016-10-09 16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4" t="str">
        <f t="shared" si="26"/>
        <v>N</v>
      </c>
      <c r="X102" s="163">
        <f t="shared" si="27"/>
        <v>1</v>
      </c>
      <c r="Y102" s="69">
        <f t="shared" si="28"/>
        <v>4.53E-2</v>
      </c>
      <c r="Z102" s="69">
        <f t="shared" si="29"/>
        <v>23.331600000000002</v>
      </c>
      <c r="AA102" s="69">
        <f t="shared" si="30"/>
        <v>23.286300000000001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1"/>
        <v>0189-09</v>
      </c>
      <c r="AE102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02" s="91" t="str">
        <f t="shared" si="33"/>
        <v>"C:\Program Files (x86)\AstroGrep\AstroGrep.exe" /spath="%USERPROFILE%\AppData\Local\Temp\OnboardLogs" /stypes="app*4014*20161009*" /stext=" 21:.+((SYSTEM_STATE.+slice.+state.+changed )|(ment ac)|(system.+state.+changed )|(\[timeout)|(PRM\|1\|D)|(kpr)|(kdp)|(\|lc)|(penalty))" /e /r /s</v>
      </c>
      <c r="AG102" s="1" t="str">
        <f t="shared" si="34"/>
        <v>EC</v>
      </c>
      <c r="AH102" s="95" t="str">
        <f t="shared" si="35"/>
        <v>"%USERPROFILE%\Documents\GitHub\eaglep3\Utilities\RefineRTDCRunTimes.py" --tripid 189-09 --locoid 4014 --swversion DE.1.0.7.0 --startMP 204:453 --initTime 2016-10-09T14:38:27 --startdatetime 2016-10-09T14:45:23 --delay 1 --endMP 204:233316 --enddatetime 2016-10-09T15:22:06 --enforcementcount 0 &gt;&gt;C:\Users\stu\Documents\GitHub\eaglep3-reporting\EC\2016-10-09-refined-times.txt</v>
      </c>
      <c r="AI10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{"issue":{"subject":"","project_id":79,"tracker_id":40,"status_id":1,"priority_id":2,"assigned_to_id":23,"start_date":"2016-10-09","description":"","custom_fields":[{"id":1,"name":"Subdivision","value":"EC"},{"id":4,"name":"Milepost","value":"23.3316"},{"id":17,"name":"Train ID","value":"189-09"},{"id":16,"name":"Locomotive ID","value":"4014"},{"id":130,"name":"Impact","value":""},{"id":150,"name":"Time of Event (Mountain Time)","value":"15:22:06"},{"id":151,"name":"Denver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520</v>
      </c>
      <c r="B103" s="7">
        <v>4013</v>
      </c>
      <c r="C103" s="24" t="s">
        <v>106</v>
      </c>
      <c r="D103" s="24" t="s">
        <v>295</v>
      </c>
      <c r="E103" s="15">
        <v>42652.642280092594</v>
      </c>
      <c r="F103" s="15">
        <v>42652.653981481482</v>
      </c>
      <c r="G103" s="7">
        <v>1</v>
      </c>
      <c r="H103" s="15" t="s">
        <v>289</v>
      </c>
      <c r="I103" s="15">
        <v>42652.680567129632</v>
      </c>
      <c r="J103" s="7">
        <v>0</v>
      </c>
      <c r="K103" s="116" t="str">
        <f t="shared" si="20"/>
        <v>4013/4014</v>
      </c>
      <c r="L103" s="24" t="str">
        <f>VLOOKUP(A103,'Trips&amp;Operators'!$C$1:$E$10000,3,FALSE)</f>
        <v>BARTLETT</v>
      </c>
      <c r="M103" s="6">
        <f t="shared" si="21"/>
        <v>2.658564814919373E-2</v>
      </c>
      <c r="N103" s="7">
        <f t="shared" si="22"/>
        <v>38.283333334838971</v>
      </c>
      <c r="O103" s="7"/>
      <c r="P103" s="7"/>
      <c r="Q103" s="25"/>
      <c r="R103" s="25"/>
      <c r="S103" s="37">
        <f t="shared" si="23"/>
        <v>1</v>
      </c>
      <c r="T103" s="52" t="str">
        <f t="shared" si="24"/>
        <v>Southbound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14:24:53-0600',mode:absolute,to:'2016-10-09 17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4" t="str">
        <f t="shared" si="26"/>
        <v>N</v>
      </c>
      <c r="X103" s="163">
        <f t="shared" si="27"/>
        <v>1</v>
      </c>
      <c r="Y103" s="69">
        <f t="shared" si="28"/>
        <v>23.299399999999999</v>
      </c>
      <c r="Z103" s="69">
        <f t="shared" si="29"/>
        <v>1.43E-2</v>
      </c>
      <c r="AA103" s="69">
        <f t="shared" si="30"/>
        <v>23.2851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1"/>
        <v>0190-09</v>
      </c>
      <c r="AE103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03" s="91" t="str">
        <f t="shared" si="33"/>
        <v>"C:\Program Files (x86)\AstroGrep\AstroGrep.exe" /spath="%USERPROFILE%\AppData\Local\Temp\OnboardLogs" /stypes="app*4013*20161009*"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5" t="str">
        <f t="shared" si="35"/>
        <v>"%USERPROFILE%\Documents\GitHub\eaglep3\Utilities\RefineRTDCRunTimes.py" --tripid 190-09 --locoid 4013 --swversion DE.1.0.7.0 --startMP 204:232994 --initTime 2016-10-09T15:24:53 --startdatetime 2016-10-09T15:41:44 --delay 1 --endMP 204:143 --enddatetime 2016-10-09T16:20:01 --enforcementcount 0 &gt;&gt;C:\Users\stu\Documents\GitHub\eaglep3-reporting\EC\2016-10-09-refined-times.txt</v>
      </c>
      <c r="AI10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ID","value":"190-09"},{"id":16,"name":"Locomotive ID","value":"4013"},{"id":130,"name":"Impact","value":""},{"id":150,"name":"Time of Event (Mountain Time)","value":"16:20:01"},{"id":151,"name":"Denver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515</v>
      </c>
      <c r="B104" s="7">
        <v>4027</v>
      </c>
      <c r="C104" s="24" t="s">
        <v>106</v>
      </c>
      <c r="D104" s="24" t="s">
        <v>198</v>
      </c>
      <c r="E104" s="15">
        <v>42652.61991898148</v>
      </c>
      <c r="F104" s="15">
        <v>42652.62568287037</v>
      </c>
      <c r="G104" s="7">
        <v>1</v>
      </c>
      <c r="H104" s="15" t="s">
        <v>235</v>
      </c>
      <c r="I104" s="15">
        <v>42652.650752314818</v>
      </c>
      <c r="J104" s="7">
        <v>0</v>
      </c>
      <c r="K104" s="116" t="str">
        <f t="shared" si="20"/>
        <v>4027/4028</v>
      </c>
      <c r="L104" s="24" t="str">
        <f>VLOOKUP(A104,'Trips&amp;Operators'!$C$1:$E$10000,3,FALSE)</f>
        <v>BRUDER</v>
      </c>
      <c r="M104" s="6">
        <f t="shared" si="21"/>
        <v>2.5069444447581191E-2</v>
      </c>
      <c r="N104" s="7">
        <f t="shared" si="22"/>
        <v>36.100000004516914</v>
      </c>
      <c r="O104" s="7"/>
      <c r="P104" s="7"/>
      <c r="Q104" s="25"/>
      <c r="R104" s="25"/>
      <c r="S104" s="37">
        <f t="shared" si="23"/>
        <v>1</v>
      </c>
      <c r="T104" s="52" t="str">
        <f t="shared" si="24"/>
        <v>NorthBound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13:52:41-0600',mode:absolute,to:'2016-10-09 16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4" s="54" t="str">
        <f t="shared" si="26"/>
        <v>N</v>
      </c>
      <c r="X104" s="163">
        <f t="shared" si="27"/>
        <v>1</v>
      </c>
      <c r="Y104" s="69">
        <f t="shared" si="28"/>
        <v>4.58E-2</v>
      </c>
      <c r="Z104" s="69">
        <f t="shared" si="29"/>
        <v>23.3308</v>
      </c>
      <c r="AA104" s="69">
        <f t="shared" si="30"/>
        <v>23.285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1"/>
        <v>0191-09</v>
      </c>
      <c r="AE104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04" s="91" t="str">
        <f t="shared" si="33"/>
        <v>"C:\Program Files (x86)\AstroGrep\AstroGrep.exe" /spath="%USERPROFILE%\AppData\Local\Temp\OnboardLogs" /stypes="app*4027*20161009*" /stext=" 21:.+((SYSTEM_STATE.+slice.+state.+changed )|(ment ac)|(system.+state.+changed )|(\[timeout)|(PRM\|1\|D)|(kpr)|(kdp)|(\|lc)|(penalty))" /e /r /s</v>
      </c>
      <c r="AG104" s="1" t="str">
        <f t="shared" si="34"/>
        <v>EC</v>
      </c>
      <c r="AH104" s="95" t="str">
        <f t="shared" si="35"/>
        <v>"%USERPROFILE%\Documents\GitHub\eaglep3\Utilities\RefineRTDCRunTimes.py" --tripid 191-09 --locoid 4027 --swversion DE.1.0.7.0 --startMP 204:458 --initTime 2016-10-09T14:52:41 --startdatetime 2016-10-09T15:00:59 --delay 1 --endMP 204:233308 --enddatetime 2016-10-09T15:37:05 --enforcementcount 0 &gt;&gt;C:\Users\stu\Documents\GitHub\eaglep3-reporting\EC\2016-10-09-refined-times.txt</v>
      </c>
      <c r="AI10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{"issue":{"subject":"","project_id":79,"tracker_id":40,"status_id":1,"priority_id":2,"assigned_to_id":23,"start_date":"2016-10-09","description":"","custom_fields":[{"id":1,"name":"Subdivision","value":"EC"},{"id":4,"name":"Milepost","value":"23.3308"},{"id":17,"name":"Train ID","value":"191-09"},{"id":16,"name":"Locomotive ID","value":"4027"},{"id":130,"name":"Impact","value":""},{"id":150,"name":"Time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524</v>
      </c>
      <c r="B105" s="7">
        <v>4028</v>
      </c>
      <c r="C105" s="24" t="s">
        <v>106</v>
      </c>
      <c r="D105" s="24" t="s">
        <v>268</v>
      </c>
      <c r="E105" s="15">
        <v>42652.657094907408</v>
      </c>
      <c r="F105" s="15">
        <v>42652.664155092592</v>
      </c>
      <c r="G105" s="7">
        <v>1</v>
      </c>
      <c r="H105" s="15" t="s">
        <v>207</v>
      </c>
      <c r="I105" s="15">
        <v>42652.690937500003</v>
      </c>
      <c r="J105" s="7">
        <v>0</v>
      </c>
      <c r="K105" s="116" t="str">
        <f t="shared" si="20"/>
        <v>4027/4028</v>
      </c>
      <c r="L105" s="24" t="str">
        <f>VLOOKUP(A105,'Trips&amp;Operators'!$C$1:$E$10000,3,FALSE)</f>
        <v>BRUDER</v>
      </c>
      <c r="M105" s="6">
        <f t="shared" si="21"/>
        <v>2.6782407410792075E-2</v>
      </c>
      <c r="N105" s="7">
        <f t="shared" si="22"/>
        <v>38.566666671540588</v>
      </c>
      <c r="O105" s="7"/>
      <c r="P105" s="7"/>
      <c r="Q105" s="25"/>
      <c r="R105" s="25"/>
      <c r="S105" s="37">
        <f t="shared" si="23"/>
        <v>1</v>
      </c>
      <c r="T105" s="52" t="str">
        <f t="shared" si="24"/>
        <v>Southbound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14:46:13-0600',mode:absolute,to:'2016-10-09 17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5" s="54" t="str">
        <f t="shared" si="26"/>
        <v>N</v>
      </c>
      <c r="X105" s="163">
        <f t="shared" si="27"/>
        <v>1</v>
      </c>
      <c r="Y105" s="69">
        <f t="shared" si="28"/>
        <v>23.2989</v>
      </c>
      <c r="Z105" s="69">
        <f t="shared" si="29"/>
        <v>1.4500000000000001E-2</v>
      </c>
      <c r="AA105" s="69">
        <f t="shared" si="30"/>
        <v>23.284399999999998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1"/>
        <v>0192-09</v>
      </c>
      <c r="AE105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05" s="91" t="str">
        <f t="shared" si="33"/>
        <v>"C:\Program Files (x86)\AstroGrep\AstroGrep.exe" /spath="%USERPROFILE%\AppData\Local\Temp\OnboardLogs" /stypes="app*4028*20161009*"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5" t="str">
        <f t="shared" si="35"/>
        <v>"%USERPROFILE%\Documents\GitHub\eaglep3\Utilities\RefineRTDCRunTimes.py" --tripid 192-09 --locoid 4028 --swversion DE.1.0.7.0 --startMP 204:232989 --initTime 2016-10-09T15:46:13 --startdatetime 2016-10-09T15:56:23 --delay 1 --endMP 204:145 --enddatetime 2016-10-09T16:34:57 --enforcementcount 0 &gt;&gt;C:\Users\stu\Documents\GitHub\eaglep3-reporting\EC\2016-10-09-refined-times.txt</v>
      </c>
      <c r="AI10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ID","value":"192-09"},{"id":16,"name":"Locomotive ID","value":"4028"},{"id":130,"name":"Impact","value":""},{"id":150,"name":"Time of Event (Mountain Time)","value":"16:34:57"},{"id":151,"name":"Denver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518</v>
      </c>
      <c r="B106" s="7">
        <v>4018</v>
      </c>
      <c r="C106" s="24" t="s">
        <v>106</v>
      </c>
      <c r="D106" s="24" t="s">
        <v>198</v>
      </c>
      <c r="E106" s="15">
        <v>42652.632187499999</v>
      </c>
      <c r="F106" s="15">
        <v>42652.635798611111</v>
      </c>
      <c r="G106" s="7">
        <v>1</v>
      </c>
      <c r="H106" s="15" t="s">
        <v>299</v>
      </c>
      <c r="I106" s="15">
        <v>42652.661423611113</v>
      </c>
      <c r="J106" s="7">
        <v>0</v>
      </c>
      <c r="K106" s="116" t="str">
        <f t="shared" si="20"/>
        <v>4017/4018</v>
      </c>
      <c r="L106" s="24" t="str">
        <f>VLOOKUP(A106,'Trips&amp;Operators'!$C$1:$E$10000,3,FALSE)</f>
        <v>MOSES</v>
      </c>
      <c r="M106" s="6">
        <f t="shared" si="21"/>
        <v>2.5625000002037268E-2</v>
      </c>
      <c r="N106" s="7">
        <f t="shared" si="22"/>
        <v>36.900000002933666</v>
      </c>
      <c r="O106" s="7"/>
      <c r="P106" s="7"/>
      <c r="Q106" s="25"/>
      <c r="R106" s="25"/>
      <c r="S106" s="37">
        <f t="shared" si="23"/>
        <v>1</v>
      </c>
      <c r="T106" s="52" t="str">
        <f t="shared" si="24"/>
        <v>NorthBound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14:10:21-0600',mode:absolute,to:'2016-10-09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6" s="54" t="str">
        <f t="shared" si="26"/>
        <v>N</v>
      </c>
      <c r="X106" s="163">
        <f t="shared" si="27"/>
        <v>1</v>
      </c>
      <c r="Y106" s="69">
        <f t="shared" si="28"/>
        <v>4.58E-2</v>
      </c>
      <c r="Z106" s="69">
        <f t="shared" si="29"/>
        <v>23.329499999999999</v>
      </c>
      <c r="AA106" s="69">
        <f t="shared" si="30"/>
        <v>23.2837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1"/>
        <v>0193-09</v>
      </c>
      <c r="AE106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106" s="91" t="str">
        <f t="shared" si="33"/>
        <v>"C:\Program Files (x86)\AstroGrep\AstroGrep.exe" /spath="%USERPROFILE%\AppData\Local\Temp\OnboardLogs" /stypes="app*4018*20161009*" /stext=" 21:.+((SYSTEM_STATE.+slice.+state.+changed )|(ment ac)|(system.+state.+changed )|(\[timeout)|(PRM\|1\|D)|(kpr)|(kdp)|(\|lc)|(penalty))" /e /r /s</v>
      </c>
      <c r="AG106" s="1" t="str">
        <f t="shared" si="34"/>
        <v>EC</v>
      </c>
      <c r="AH106" s="95" t="str">
        <f t="shared" si="35"/>
        <v>"%USERPROFILE%\Documents\GitHub\eaglep3\Utilities\RefineRTDCRunTimes.py" --tripid 193-09 --locoid 4018 --swversion DE.1.0.7.0 --startMP 204:458 --initTime 2016-10-09T15:10:21 --startdatetime 2016-10-09T15:15:33 --delay 1 --endMP 204:233295 --enddatetime 2016-10-09T15:52:27 --enforcementcount 0 &gt;&gt;C:\Users\stu\Documents\GitHub\eaglep3-reporting\EC\2016-10-09-refined-times.txt</v>
      </c>
      <c r="AI10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ID","value":"193-09"},{"id":16,"name":"Locomotive ID","value":"4018"},{"id":130,"name":"Impact","value":""},{"id":150,"name":"Time of Event (Mountain Time)","value":"15:52:27"},{"id":151,"name":"Denver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527</v>
      </c>
      <c r="B107" s="7">
        <v>4017</v>
      </c>
      <c r="C107" s="24" t="s">
        <v>106</v>
      </c>
      <c r="D107" s="24" t="s">
        <v>224</v>
      </c>
      <c r="E107" s="15">
        <v>42652.671412037038</v>
      </c>
      <c r="F107" s="15">
        <v>42652.67454861111</v>
      </c>
      <c r="G107" s="7">
        <v>1</v>
      </c>
      <c r="H107" s="15" t="s">
        <v>207</v>
      </c>
      <c r="I107" s="15">
        <v>42652.701562499999</v>
      </c>
      <c r="J107" s="7">
        <v>0</v>
      </c>
      <c r="K107" s="116" t="str">
        <f t="shared" si="20"/>
        <v>4017/4018</v>
      </c>
      <c r="L107" s="24" t="str">
        <f>VLOOKUP(A107,'Trips&amp;Operators'!$C$1:$E$10000,3,FALSE)</f>
        <v>MOSES</v>
      </c>
      <c r="M107" s="6">
        <f t="shared" si="21"/>
        <v>2.7013888888177462E-2</v>
      </c>
      <c r="N107" s="7">
        <f t="shared" si="22"/>
        <v>38.899999998975545</v>
      </c>
      <c r="O107" s="7"/>
      <c r="P107" s="7"/>
      <c r="Q107" s="25"/>
      <c r="R107" s="25"/>
      <c r="S107" s="37">
        <f t="shared" si="23"/>
        <v>1</v>
      </c>
      <c r="T107" s="52" t="str">
        <f t="shared" si="24"/>
        <v>Southbound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15:06:50-0600',mode:absolute,to:'2016-10-09 17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7" s="54" t="str">
        <f t="shared" si="26"/>
        <v>N</v>
      </c>
      <c r="X107" s="163">
        <f t="shared" si="27"/>
        <v>1</v>
      </c>
      <c r="Y107" s="69">
        <f t="shared" si="28"/>
        <v>23.2986</v>
      </c>
      <c r="Z107" s="69">
        <f t="shared" si="29"/>
        <v>1.4500000000000001E-2</v>
      </c>
      <c r="AA107" s="69">
        <f t="shared" si="30"/>
        <v>23.284099999999999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1"/>
        <v>0194-09</v>
      </c>
      <c r="AE107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107" s="91" t="str">
        <f t="shared" si="33"/>
        <v>"C:\Program Files (x86)\AstroGrep\AstroGrep.exe" /spath="%USERPROFILE%\AppData\Local\Temp\OnboardLogs" /stypes="app*4017*20161009*" /stext=" 22:.+((SYSTEM_STATE.+slice.+state.+changed )|(ment ac)|(system.+state.+changed )|(\[timeout)|(PRM\|1\|D)|(kpr)|(kdp)|(\|lc)|(penalty))" /e /r /s</v>
      </c>
      <c r="AG107" s="1" t="str">
        <f t="shared" si="34"/>
        <v>EC</v>
      </c>
      <c r="AH107" s="95" t="str">
        <f t="shared" si="35"/>
        <v>"%USERPROFILE%\Documents\GitHub\eaglep3\Utilities\RefineRTDCRunTimes.py" --tripid 194-09 --locoid 4017 --swversion DE.1.0.7.0 --startMP 204:232986 --initTime 2016-10-09T16:06:50 --startdatetime 2016-10-09T16:11:21 --delay 1 --endMP 204:145 --enddatetime 2016-10-09T16:50:15 --enforcementcount 0 &gt;&gt;C:\Users\stu\Documents\GitHub\eaglep3-reporting\EC\2016-10-09-refined-times.txt</v>
      </c>
      <c r="AI10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ID","value":"194-09"},{"id":16,"name":"Locomotive ID","value":"4017"},{"id":130,"name":"Impact","value":""},{"id":150,"name":"Time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521</v>
      </c>
      <c r="B108" s="7">
        <v>4002</v>
      </c>
      <c r="C108" s="24" t="s">
        <v>106</v>
      </c>
      <c r="D108" s="24" t="s">
        <v>387</v>
      </c>
      <c r="E108" s="15">
        <v>42652.643738425926</v>
      </c>
      <c r="F108" s="15">
        <v>42652.646157407406</v>
      </c>
      <c r="G108" s="7">
        <v>1</v>
      </c>
      <c r="H108" s="15" t="s">
        <v>385</v>
      </c>
      <c r="I108" s="15">
        <v>42652.672881944447</v>
      </c>
      <c r="J108" s="7">
        <v>0</v>
      </c>
      <c r="K108" s="116" t="str">
        <f t="shared" si="20"/>
        <v>4001/4002</v>
      </c>
      <c r="L108" s="24" t="str">
        <f>VLOOKUP(A108,'Trips&amp;Operators'!$C$1:$E$10000,3,FALSE)</f>
        <v>YOUNG</v>
      </c>
      <c r="M108" s="6">
        <f t="shared" si="21"/>
        <v>2.6724537041445728E-2</v>
      </c>
      <c r="N108" s="7">
        <f t="shared" si="22"/>
        <v>38.483333339681849</v>
      </c>
      <c r="O108" s="7"/>
      <c r="P108" s="7"/>
      <c r="Q108" s="25"/>
      <c r="R108" s="25"/>
      <c r="S108" s="37">
        <f t="shared" si="23"/>
        <v>1</v>
      </c>
      <c r="T108" s="52" t="str">
        <f t="shared" si="24"/>
        <v>NorthBound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14:26:59-0600',mode:absolute,to:'2016-10-09 17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8" s="54" t="str">
        <f t="shared" si="26"/>
        <v>N</v>
      </c>
      <c r="X108" s="163">
        <f t="shared" si="27"/>
        <v>1</v>
      </c>
      <c r="Y108" s="69">
        <f t="shared" si="28"/>
        <v>5.33E-2</v>
      </c>
      <c r="Z108" s="69">
        <f t="shared" si="29"/>
        <v>23.331499999999998</v>
      </c>
      <c r="AA108" s="69">
        <f t="shared" si="30"/>
        <v>23.278199999999998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1"/>
        <v>0195-09</v>
      </c>
      <c r="AE108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08" s="91" t="str">
        <f t="shared" si="33"/>
        <v>"C:\Program Files (x86)\AstroGrep\AstroGrep.exe" /spath="%USERPROFILE%\AppData\Local\Temp\OnboardLogs" /stypes="app*4002*20161009*" /stext=" 22:.+((SYSTEM_STATE.+slice.+state.+changed )|(ment ac)|(system.+state.+changed )|(\[timeout)|(PRM\|1\|D)|(kpr)|(kdp)|(\|lc)|(penalty))" /e /r /s</v>
      </c>
      <c r="AG108" s="1" t="str">
        <f t="shared" si="34"/>
        <v>EC</v>
      </c>
      <c r="AH108" s="95" t="str">
        <f t="shared" si="35"/>
        <v>"%USERPROFILE%\Documents\GitHub\eaglep3\Utilities\RefineRTDCRunTimes.py" --tripid 195-09 --locoid 4002 --swversion DE.1.0.7.0 --startMP 204:533 --initTime 2016-10-09T15:26:59 --startdatetime 2016-10-09T15:30:28 --delay 1 --endMP 204:233315 --enddatetime 2016-10-09T16:08:57 --enforcementcount 0 &gt;&gt;C:\Users\stu\Documents\GitHub\eaglep3-reporting\EC\2016-10-09-refined-times.txt</v>
      </c>
      <c r="AI10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ID","value":"195-09"},{"id":16,"name":"Locomotive ID","value":"4002"},{"id":130,"name":"Impact","value":""},{"id":150,"name":"Time of Event (Mountain Time)","value":"16:08:57"},{"id":151,"name":"Denver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529</v>
      </c>
      <c r="B109" s="7">
        <v>4001</v>
      </c>
      <c r="C109" s="24" t="s">
        <v>106</v>
      </c>
      <c r="D109" s="24" t="s">
        <v>645</v>
      </c>
      <c r="E109" s="15">
        <v>42652.67564814815</v>
      </c>
      <c r="F109" s="15">
        <v>42652.685196759259</v>
      </c>
      <c r="G109" s="7">
        <v>1</v>
      </c>
      <c r="H109" s="15" t="s">
        <v>700</v>
      </c>
      <c r="I109" s="15">
        <v>42652.713773148149</v>
      </c>
      <c r="J109" s="7">
        <v>0</v>
      </c>
      <c r="K109" s="116" t="str">
        <f t="shared" si="20"/>
        <v>4001/4002</v>
      </c>
      <c r="L109" s="24" t="str">
        <f>VLOOKUP(A109,'Trips&amp;Operators'!$C$1:$E$10000,3,FALSE)</f>
        <v>YOUNG</v>
      </c>
      <c r="M109" s="6">
        <f t="shared" si="21"/>
        <v>2.8576388889632653E-2</v>
      </c>
      <c r="N109" s="7">
        <f t="shared" si="22"/>
        <v>41.150000001071021</v>
      </c>
      <c r="O109" s="7"/>
      <c r="P109" s="7"/>
      <c r="Q109" s="25"/>
      <c r="R109" s="25"/>
      <c r="S109" s="37">
        <f t="shared" si="23"/>
        <v>1</v>
      </c>
      <c r="T109" s="52" t="str">
        <f t="shared" si="24"/>
        <v>Southbound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15:12:56-0600',mode:absolute,to:'2016-10-09 18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9" s="54" t="str">
        <f t="shared" si="26"/>
        <v>N</v>
      </c>
      <c r="X109" s="163">
        <f t="shared" ref="X109:X140" si="37">VALUE(LEFT(AD109,4))-VALUE(LEFT(AD108,4))</f>
        <v>1</v>
      </c>
      <c r="Y109" s="69">
        <f t="shared" si="28"/>
        <v>23.298300000000001</v>
      </c>
      <c r="Z109" s="69">
        <f t="shared" si="29"/>
        <v>1.8700000000000001E-2</v>
      </c>
      <c r="AA109" s="69">
        <f t="shared" si="30"/>
        <v>23.279600000000002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1"/>
        <v>0196-09</v>
      </c>
      <c r="AE109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09" s="91" t="str">
        <f t="shared" si="33"/>
        <v>"C:\Program Files (x86)\AstroGrep\AstroGrep.exe" /spath="%USERPROFILE%\AppData\Local\Temp\OnboardLogs" /stypes="app*4001*20161009*"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5" t="str">
        <f t="shared" si="35"/>
        <v>"%USERPROFILE%\Documents\GitHub\eaglep3\Utilities\RefineRTDCRunTimes.py" --tripid 196-09 --locoid 4001 --swversion DE.1.0.7.0 --startMP 204:232983 --initTime 2016-10-09T16:12:56 --startdatetime 2016-10-09T16:26:41 --delay 1 --endMP 204:187 --enddatetime 2016-10-09T17:07:50 --enforcementcount 0 &gt;&gt;C:\Users\stu\Documents\GitHub\eaglep3-reporting\EC\2016-10-09-refined-times.txt</v>
      </c>
      <c r="AI10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{"issue":{"subject":"","project_id":79,"tracker_id":40,"status_id":1,"priority_id":2,"assigned_to_id":23,"start_date":"2016-10-09","description":"","custom_fields":[{"id":1,"name":"Subdivision","value":"EC"},{"id":4,"name":"Milepost","value":"0.0187"},{"id":17,"name":"Train ID","value":"196-09"},{"id":16,"name":"Locomotive ID","value":"4001"},{"id":130,"name":"Impact","value":""},{"id":150,"name":"Time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523</v>
      </c>
      <c r="B110" s="7">
        <v>4007</v>
      </c>
      <c r="C110" s="24" t="s">
        <v>106</v>
      </c>
      <c r="D110" s="24" t="s">
        <v>201</v>
      </c>
      <c r="E110" s="15">
        <v>42652.653136574074</v>
      </c>
      <c r="F110" s="15">
        <v>42652.656493055554</v>
      </c>
      <c r="G110" s="7">
        <v>1</v>
      </c>
      <c r="H110" s="15" t="s">
        <v>266</v>
      </c>
      <c r="I110" s="15">
        <v>42652.682546296295</v>
      </c>
      <c r="J110" s="7">
        <v>0</v>
      </c>
      <c r="K110" s="116" t="str">
        <f t="shared" si="20"/>
        <v>4007/4008</v>
      </c>
      <c r="L110" s="24" t="str">
        <f>VLOOKUP(A110,'Trips&amp;Operators'!$C$1:$E$10000,3,FALSE)</f>
        <v>CLARK</v>
      </c>
      <c r="M110" s="6">
        <f t="shared" si="21"/>
        <v>2.6053240741021E-2</v>
      </c>
      <c r="N110" s="7">
        <f t="shared" si="22"/>
        <v>37.51666666707024</v>
      </c>
      <c r="O110" s="7"/>
      <c r="P110" s="7"/>
      <c r="Q110" s="25"/>
      <c r="R110" s="25"/>
      <c r="S110" s="37">
        <f t="shared" si="23"/>
        <v>1</v>
      </c>
      <c r="T110" s="52" t="str">
        <f t="shared" si="24"/>
        <v>NorthBound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14:40:31-0600',mode:absolute,to:'2016-10-09 17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54" t="str">
        <f t="shared" si="26"/>
        <v>N</v>
      </c>
      <c r="X110" s="163">
        <f t="shared" si="37"/>
        <v>1</v>
      </c>
      <c r="Y110" s="69">
        <f t="shared" si="28"/>
        <v>4.6199999999999998E-2</v>
      </c>
      <c r="Z110" s="69">
        <f t="shared" si="29"/>
        <v>23.328600000000002</v>
      </c>
      <c r="AA110" s="69">
        <f t="shared" si="30"/>
        <v>23.282400000000003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1"/>
        <v>0197-09</v>
      </c>
      <c r="AE110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110" s="91" t="str">
        <f t="shared" si="33"/>
        <v>"C:\Program Files (x86)\AstroGrep\AstroGrep.exe" /spath="%USERPROFILE%\AppData\Local\Temp\OnboardLogs" /stypes="app*4007*20161009*" /stext=" 22:.+((SYSTEM_STATE.+slice.+state.+changed )|(ment ac)|(system.+state.+changed )|(\[timeout)|(PRM\|1\|D)|(kpr)|(kdp)|(\|lc)|(penalty))" /e /r /s</v>
      </c>
      <c r="AG110" s="1" t="str">
        <f t="shared" si="34"/>
        <v>EC</v>
      </c>
      <c r="AH110" s="95" t="str">
        <f t="shared" si="35"/>
        <v>"%USERPROFILE%\Documents\GitHub\eaglep3\Utilities\RefineRTDCRunTimes.py" --tripid 197-09 --locoid 4007 --swversion DE.1.0.7.0 --startMP 204:462 --initTime 2016-10-09T15:40:31 --startdatetime 2016-10-09T15:45:21 --delay 1 --endMP 204:233286 --enddatetime 2016-10-09T16:22:52 --enforcementcount 0 &gt;&gt;C:\Users\stu\Documents\GitHub\eaglep3-reporting\EC\2016-10-09-refined-times.txt</v>
      </c>
      <c r="AI11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ID","value":"197-09"},{"id":16,"name":"Locomotive ID","value":"4007"},{"id":130,"name":"Impact","value":""},{"id":150,"name":"Time of Event (Mountain Time)","value":"16:22:52"},{"id":151,"name":"Denver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531</v>
      </c>
      <c r="B111" s="7">
        <v>4008</v>
      </c>
      <c r="C111" s="24" t="s">
        <v>106</v>
      </c>
      <c r="D111" s="24" t="s">
        <v>224</v>
      </c>
      <c r="E111" s="15">
        <v>42652.690370370372</v>
      </c>
      <c r="F111" s="15">
        <v>42652.695659722223</v>
      </c>
      <c r="G111" s="7">
        <v>2</v>
      </c>
      <c r="H111" s="15" t="s">
        <v>204</v>
      </c>
      <c r="I111" s="15">
        <v>42652.722557870373</v>
      </c>
      <c r="J111" s="7">
        <v>0</v>
      </c>
      <c r="K111" s="116" t="str">
        <f t="shared" si="20"/>
        <v>4007/4008</v>
      </c>
      <c r="L111" s="24" t="str">
        <f>VLOOKUP(A111,'Trips&amp;Operators'!$C$1:$E$10000,3,FALSE)</f>
        <v>CLARK</v>
      </c>
      <c r="M111" s="6">
        <f t="shared" si="21"/>
        <v>2.6898148149484769E-2</v>
      </c>
      <c r="N111" s="7">
        <f t="shared" si="22"/>
        <v>38.733333335258067</v>
      </c>
      <c r="O111" s="7"/>
      <c r="P111" s="7"/>
      <c r="Q111" s="25"/>
      <c r="R111" s="25"/>
      <c r="S111" s="37">
        <f t="shared" si="23"/>
        <v>1</v>
      </c>
      <c r="T111" s="52" t="str">
        <f t="shared" si="24"/>
        <v>Southbound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15:34:08-0600',mode:absolute,to:'2016-10-09 18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54" t="str">
        <f t="shared" si="26"/>
        <v>N</v>
      </c>
      <c r="X111" s="163">
        <f t="shared" si="37"/>
        <v>1</v>
      </c>
      <c r="Y111" s="69">
        <f t="shared" si="28"/>
        <v>23.2986</v>
      </c>
      <c r="Z111" s="69">
        <f t="shared" si="29"/>
        <v>1.5599999999999999E-2</v>
      </c>
      <c r="AA111" s="69">
        <f t="shared" si="30"/>
        <v>23.283000000000001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1"/>
        <v>0198-09</v>
      </c>
      <c r="AE111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11" s="91" t="str">
        <f t="shared" si="33"/>
        <v>"C:\Program Files (x86)\AstroGrep\AstroGrep.exe" /spath="%USERPROFILE%\AppData\Local\Temp\OnboardLogs" /stypes="app*4008*20161009*"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5" t="str">
        <f t="shared" si="35"/>
        <v>"%USERPROFILE%\Documents\GitHub\eaglep3\Utilities\RefineRTDCRunTimes.py" --tripid 198-09 --locoid 4008 --swversion DE.1.0.7.0 --startMP 204:232986 --initTime 2016-10-09T16:34:08 --startdatetime 2016-10-09T16:41:45 --delay 2 --endMP 204:156 --enddatetime 2016-10-09T17:20:29 --enforcementcount 0 &gt;&gt;C:\Users\stu\Documents\GitHub\eaglep3-reporting\EC\2016-10-09-refined-times.txt</v>
      </c>
      <c r="AI11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ID","value":"198-09"},{"id":16,"name":"Locomotive ID","value":"4008"},{"id":130,"name":"Impact","value":""},{"id":150,"name":"Time of Event (Mountain Time)","value":"17:20:29"},{"id":151,"name":"Denver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525</v>
      </c>
      <c r="B112" s="7">
        <v>4025</v>
      </c>
      <c r="C112" s="24" t="s">
        <v>106</v>
      </c>
      <c r="D112" s="24" t="s">
        <v>371</v>
      </c>
      <c r="E112" s="15">
        <v>42652.661909722221</v>
      </c>
      <c r="F112" s="15">
        <v>42652.666875000003</v>
      </c>
      <c r="G112" s="7">
        <v>6</v>
      </c>
      <c r="H112" s="15" t="s">
        <v>701</v>
      </c>
      <c r="I112" s="15">
        <v>42652.69258101852</v>
      </c>
      <c r="J112" s="7">
        <v>0</v>
      </c>
      <c r="K112" s="116" t="str">
        <f t="shared" si="20"/>
        <v>4025/4026</v>
      </c>
      <c r="L112" s="24" t="str">
        <f>VLOOKUP(A112,'Trips&amp;Operators'!$C$1:$E$10000,3,FALSE)</f>
        <v>SHOOK</v>
      </c>
      <c r="M112" s="6">
        <f t="shared" si="21"/>
        <v>2.5706018517666962E-2</v>
      </c>
      <c r="N112" s="7">
        <f t="shared" si="22"/>
        <v>37.016666665440425</v>
      </c>
      <c r="O112" s="7"/>
      <c r="P112" s="7"/>
      <c r="Q112" s="25"/>
      <c r="R112" s="25"/>
      <c r="S112" s="37">
        <f t="shared" si="23"/>
        <v>1</v>
      </c>
      <c r="T112" s="52" t="str">
        <f t="shared" si="24"/>
        <v>NorthBound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14:53:09-0600',mode:absolute,to:'2016-10-09 17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2" s="54" t="str">
        <f t="shared" si="26"/>
        <v>N</v>
      </c>
      <c r="X112" s="163">
        <f t="shared" si="37"/>
        <v>1</v>
      </c>
      <c r="Y112" s="69">
        <f t="shared" si="28"/>
        <v>4.3799999999999999E-2</v>
      </c>
      <c r="Z112" s="69">
        <f t="shared" si="29"/>
        <v>23.336300000000001</v>
      </c>
      <c r="AA112" s="69">
        <f t="shared" si="30"/>
        <v>23.2925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1"/>
        <v>0199-09</v>
      </c>
      <c r="AE112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12" s="91" t="str">
        <f t="shared" si="33"/>
        <v>"C:\Program Files (x86)\AstroGrep\AstroGrep.exe" /spath="%USERPROFILE%\AppData\Local\Temp\OnboardLogs" /stypes="app*4025*20161009*" /stext=" 22:.+((SYSTEM_STATE.+slice.+state.+changed )|(ment ac)|(system.+state.+changed )|(\[timeout)|(PRM\|1\|D)|(kpr)|(kdp)|(\|lc)|(penalty))" /e /r /s</v>
      </c>
      <c r="AG112" s="1" t="str">
        <f t="shared" si="34"/>
        <v>EC</v>
      </c>
      <c r="AH112" s="95" t="str">
        <f t="shared" si="35"/>
        <v>"%USERPROFILE%\Documents\GitHub\eaglep3\Utilities\RefineRTDCRunTimes.py" --tripid 199-09 --locoid 4025 --swversion DE.1.0.7.0 --startMP 204:438 --initTime 2016-10-09T15:53:09 --startdatetime 2016-10-09T16:00:18 --delay 6 --endMP 204:233363 --enddatetime 2016-10-09T16:37:19 --enforcementcount 0 &gt;&gt;C:\Users\stu\Documents\GitHub\eaglep3-reporting\EC\2016-10-09-refined-times.txt</v>
      </c>
      <c r="AI11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{"issue":{"subject":"","project_id":79,"tracker_id":40,"status_id":1,"priority_id":2,"assigned_to_id":23,"start_date":"2016-10-09","description":"","custom_fields":[{"id":1,"name":"Subdivision","value":"EC"},{"id":4,"name":"Milepost","value":"23.3363"},{"id":17,"name":"Train ID","value":"199-09"},{"id":16,"name":"Locomotive ID","value":"4025"},{"id":130,"name":"Impact","value":""},{"id":150,"name":"Time of Event (Mountain Time)","value":"16:37:19"},{"id":151,"name":"Denver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534</v>
      </c>
      <c r="B113" s="7">
        <v>4026</v>
      </c>
      <c r="C113" s="24" t="s">
        <v>106</v>
      </c>
      <c r="D113" s="24" t="s">
        <v>373</v>
      </c>
      <c r="E113" s="15">
        <v>42652.700011574074</v>
      </c>
      <c r="F113" s="15">
        <v>42652.70579861111</v>
      </c>
      <c r="G113" s="7">
        <v>1</v>
      </c>
      <c r="H113" s="15" t="s">
        <v>204</v>
      </c>
      <c r="I113" s="15">
        <v>42652.734224537038</v>
      </c>
      <c r="J113" s="7">
        <v>0</v>
      </c>
      <c r="K113" s="116" t="str">
        <f t="shared" si="20"/>
        <v>4025/4026</v>
      </c>
      <c r="L113" s="24" t="str">
        <f>VLOOKUP(A113,'Trips&amp;Operators'!$C$1:$E$10000,3,FALSE)</f>
        <v>SHOOK</v>
      </c>
      <c r="M113" s="6">
        <f t="shared" si="21"/>
        <v>2.842592592787696E-2</v>
      </c>
      <c r="N113" s="7">
        <f t="shared" si="22"/>
        <v>40.933333336142823</v>
      </c>
      <c r="O113" s="7"/>
      <c r="P113" s="7"/>
      <c r="Q113" s="25"/>
      <c r="R113" s="25"/>
      <c r="S113" s="37">
        <f t="shared" si="23"/>
        <v>1</v>
      </c>
      <c r="T113" s="52" t="str">
        <f t="shared" si="24"/>
        <v>Southbound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15:48:01-0600',mode:absolute,to:'2016-10-09 18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3" s="54" t="str">
        <f t="shared" si="26"/>
        <v>N</v>
      </c>
      <c r="X113" s="163">
        <f t="shared" si="37"/>
        <v>1</v>
      </c>
      <c r="Y113" s="69">
        <f t="shared" si="28"/>
        <v>23.3047</v>
      </c>
      <c r="Z113" s="69">
        <f t="shared" si="29"/>
        <v>1.5599999999999999E-2</v>
      </c>
      <c r="AA113" s="69">
        <f t="shared" si="30"/>
        <v>23.289100000000001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1"/>
        <v>0200-09</v>
      </c>
      <c r="AE113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13" s="91" t="str">
        <f t="shared" si="33"/>
        <v>"C:\Program Files (x86)\AstroGrep\AstroGrep.exe" /spath="%USERPROFILE%\AppData\Local\Temp\OnboardLogs" /stypes="app*4026*20161009*"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5" t="str">
        <f t="shared" si="35"/>
        <v>"%USERPROFILE%\Documents\GitHub\eaglep3\Utilities\RefineRTDCRunTimes.py" --tripid 200-09 --locoid 4026 --swversion DE.1.0.7.0 --startMP 204:233047 --initTime 2016-10-09T16:48:01 --startdatetime 2016-10-09T16:56:21 --delay 1 --endMP 204:156 --enddatetime 2016-10-09T17:37:17 --enforcementcount 0 &gt;&gt;C:\Users\stu\Documents\GitHub\eaglep3-reporting\EC\2016-10-09-refined-times.txt</v>
      </c>
      <c r="AI11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ID","value":"200-09"},{"id":16,"name":"Locomotive ID","value":"4026"},{"id":130,"name":"Impact","value":""},{"id":150,"name":"Time of Event (Mountain Time)","value":"17:37:17"},{"id":151,"name":"Denver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528</v>
      </c>
      <c r="B114" s="7">
        <v>4040</v>
      </c>
      <c r="C114" s="24" t="s">
        <v>106</v>
      </c>
      <c r="D114" s="24" t="s">
        <v>236</v>
      </c>
      <c r="E114" s="15">
        <v>42652.672407407408</v>
      </c>
      <c r="F114" s="15">
        <v>42652.677361111113</v>
      </c>
      <c r="G114" s="7">
        <v>2</v>
      </c>
      <c r="H114" s="15" t="s">
        <v>702</v>
      </c>
      <c r="I114" s="15">
        <v>42652.702303240738</v>
      </c>
      <c r="J114" s="7">
        <v>0</v>
      </c>
      <c r="K114" s="116" t="str">
        <f t="shared" si="20"/>
        <v>4039/4040</v>
      </c>
      <c r="L114" s="24" t="str">
        <f>VLOOKUP(A114,'Trips&amp;Operators'!$C$1:$E$10000,3,FALSE)</f>
        <v>STEWART</v>
      </c>
      <c r="M114" s="6">
        <f t="shared" si="21"/>
        <v>2.4942129624832887E-2</v>
      </c>
      <c r="N114" s="7">
        <f t="shared" si="22"/>
        <v>35.916666659759358</v>
      </c>
      <c r="O114" s="7"/>
      <c r="P114" s="7"/>
      <c r="Q114" s="25"/>
      <c r="R114" s="25"/>
      <c r="S114" s="37">
        <f t="shared" si="23"/>
        <v>1</v>
      </c>
      <c r="T114" s="52" t="str">
        <f t="shared" si="24"/>
        <v>NorthBound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15:08:16-0600',mode:absolute,to:'2016-10-09 17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4" s="54" t="str">
        <f t="shared" si="26"/>
        <v>N</v>
      </c>
      <c r="X114" s="163">
        <f t="shared" si="37"/>
        <v>1</v>
      </c>
      <c r="Y114" s="69">
        <f t="shared" si="28"/>
        <v>4.6699999999999998E-2</v>
      </c>
      <c r="Z114" s="69">
        <f t="shared" si="29"/>
        <v>23.3307</v>
      </c>
      <c r="AA114" s="69">
        <f t="shared" si="30"/>
        <v>23.283999999999999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1"/>
        <v>0201-09</v>
      </c>
      <c r="AE114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14" s="91" t="str">
        <f t="shared" si="33"/>
        <v>"C:\Program Files (x86)\AstroGrep\AstroGrep.exe" /spath="%USERPROFILE%\AppData\Local\Temp\OnboardLogs" /stypes="app*4040*20161009*" /stext=" 22:.+((SYSTEM_STATE.+slice.+state.+changed )|(ment ac)|(system.+state.+changed )|(\[timeout)|(PRM\|1\|D)|(kpr)|(kdp)|(\|lc)|(penalty))" /e /r /s</v>
      </c>
      <c r="AG114" s="1" t="str">
        <f t="shared" si="34"/>
        <v>EC</v>
      </c>
      <c r="AH114" s="95" t="str">
        <f t="shared" si="35"/>
        <v>"%USERPROFILE%\Documents\GitHub\eaglep3\Utilities\RefineRTDCRunTimes.py" --tripid 201-09 --locoid 4040 --swversion DE.1.0.7.0 --startMP 204:467 --initTime 2016-10-09T16:08:16 --startdatetime 2016-10-09T16:15:24 --delay 2 --endMP 204:233307 --enddatetime 2016-10-09T16:51:19 --enforcementcount 0 &gt;&gt;C:\Users\stu\Documents\GitHub\eaglep3-reporting\EC\2016-10-09-refined-times.txt</v>
      </c>
      <c r="AI11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{"issue":{"subject":"","project_id":79,"tracker_id":40,"status_id":1,"priority_id":2,"assigned_to_id":23,"start_date":"2016-10-09","description":"","custom_fields":[{"id":1,"name":"Subdivision","value":"EC"},{"id":4,"name":"Milepost","value":"23.3307"},{"id":17,"name":"Train ID","value":"201-09"},{"id":16,"name":"Locomotive ID","value":"4040"},{"id":130,"name":"Impact","value":""},{"id":150,"name":"Time of Event (Mountain Time)","value":"16:51:19"},{"id":151,"name":"Denver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537</v>
      </c>
      <c r="B115" s="7">
        <v>4039</v>
      </c>
      <c r="C115" s="24" t="s">
        <v>106</v>
      </c>
      <c r="D115" s="24" t="s">
        <v>389</v>
      </c>
      <c r="E115" s="15">
        <v>42652.712025462963</v>
      </c>
      <c r="F115" s="15">
        <v>42652.716180555559</v>
      </c>
      <c r="G115" s="7">
        <v>1</v>
      </c>
      <c r="H115" s="15" t="s">
        <v>189</v>
      </c>
      <c r="I115" s="15">
        <v>42652.742569444446</v>
      </c>
      <c r="J115" s="7">
        <v>0</v>
      </c>
      <c r="K115" s="116" t="str">
        <f t="shared" si="20"/>
        <v>4039/4040</v>
      </c>
      <c r="L115" s="24" t="str">
        <f>VLOOKUP(A115,'Trips&amp;Operators'!$C$1:$E$10000,3,FALSE)</f>
        <v>STEWART</v>
      </c>
      <c r="M115" s="6">
        <f t="shared" si="21"/>
        <v>2.6388888887595385E-2</v>
      </c>
      <c r="N115" s="7">
        <f t="shared" si="22"/>
        <v>37.999999998137355</v>
      </c>
      <c r="O115" s="7"/>
      <c r="P115" s="7"/>
      <c r="Q115" s="25"/>
      <c r="R115" s="25"/>
      <c r="S115" s="37">
        <f t="shared" si="23"/>
        <v>1</v>
      </c>
      <c r="T115" s="52" t="str">
        <f t="shared" si="24"/>
        <v>Southbound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16:05:19-0600',mode:absolute,to:'2016-10-09 18:49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5" s="54" t="str">
        <f t="shared" si="26"/>
        <v>N</v>
      </c>
      <c r="X115" s="163">
        <f t="shared" si="37"/>
        <v>1</v>
      </c>
      <c r="Y115" s="69">
        <f t="shared" si="28"/>
        <v>23.2971</v>
      </c>
      <c r="Z115" s="69">
        <f t="shared" si="29"/>
        <v>1.47E-2</v>
      </c>
      <c r="AA115" s="69">
        <f t="shared" si="30"/>
        <v>23.282399999999999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1"/>
        <v>0202-09</v>
      </c>
      <c r="AE115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15" s="91" t="str">
        <f t="shared" si="33"/>
        <v>"C:\Program Files (x86)\AstroGrep\AstroGrep.exe" /spath="%USERPROFILE%\AppData\Local\Temp\OnboardLogs" /stypes="app*4039*20161009*" /stext=" 23:.+((SYSTEM_STATE.+slice.+state.+changed )|(ment ac)|(system.+state.+changed )|(\[timeout)|(PRM\|1\|D)|(kpr)|(kdp)|(\|lc)|(penalty))" /e /r /s</v>
      </c>
      <c r="AG115" s="1" t="str">
        <f t="shared" si="34"/>
        <v>EC</v>
      </c>
      <c r="AH115" s="95" t="str">
        <f t="shared" si="35"/>
        <v>"%USERPROFILE%\Documents\GitHub\eaglep3\Utilities\RefineRTDCRunTimes.py" --tripid 202-09 --locoid 4039 --swversion DE.1.0.7.0 --startMP 204:232971 --initTime 2016-10-09T17:05:19 --startdatetime 2016-10-09T17:11:18 --delay 1 --endMP 204:147 --enddatetime 2016-10-09T17:49:18 --enforcementcount 0 &gt;&gt;C:\Users\stu\Documents\GitHub\eaglep3-reporting\EC\2016-10-09-refined-times.txt</v>
      </c>
      <c r="AI11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ID","value":"202-09"},{"id":16,"name":"Locomotive ID","value":"4039"},{"id":130,"name":"Impact","value":""},{"id":150,"name":"Time of Event (Mountain Time)","value":"17:49:18"},{"id":151,"name":"Denver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530</v>
      </c>
      <c r="B116" s="7">
        <v>4014</v>
      </c>
      <c r="C116" s="24" t="s">
        <v>106</v>
      </c>
      <c r="D116" s="24" t="s">
        <v>190</v>
      </c>
      <c r="E116" s="15">
        <v>42652.683136574073</v>
      </c>
      <c r="F116" s="15">
        <v>42652.688032407408</v>
      </c>
      <c r="G116" s="7">
        <v>1</v>
      </c>
      <c r="H116" s="15" t="s">
        <v>703</v>
      </c>
      <c r="I116" s="15">
        <v>42652.713252314818</v>
      </c>
      <c r="J116" s="7">
        <v>0</v>
      </c>
      <c r="K116" s="116" t="str">
        <f t="shared" si="20"/>
        <v>4013/4014</v>
      </c>
      <c r="L116" s="24" t="str">
        <f>VLOOKUP(A116,'Trips&amp;Operators'!$C$1:$E$10000,3,FALSE)</f>
        <v>BARTLETT</v>
      </c>
      <c r="M116" s="6">
        <f t="shared" si="21"/>
        <v>2.5219907409336884E-2</v>
      </c>
      <c r="N116" s="7">
        <f t="shared" si="22"/>
        <v>36.316666669445112</v>
      </c>
      <c r="O116" s="7"/>
      <c r="P116" s="7"/>
      <c r="Q116" s="25"/>
      <c r="R116" s="25"/>
      <c r="S116" s="37">
        <f t="shared" si="23"/>
        <v>1</v>
      </c>
      <c r="T116" s="52" t="str">
        <f t="shared" si="24"/>
        <v>NorthBound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15:23:43-0600',mode:absolute,to:'2016-10-09 18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4" t="str">
        <f t="shared" si="26"/>
        <v>N</v>
      </c>
      <c r="X116" s="163">
        <f t="shared" si="37"/>
        <v>1</v>
      </c>
      <c r="Y116" s="69">
        <f t="shared" si="28"/>
        <v>4.53E-2</v>
      </c>
      <c r="Z116" s="69">
        <f t="shared" si="29"/>
        <v>23.336600000000001</v>
      </c>
      <c r="AA116" s="69">
        <f t="shared" si="30"/>
        <v>23.2913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1"/>
        <v>0203-09</v>
      </c>
      <c r="AE116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16" s="91" t="str">
        <f t="shared" si="33"/>
        <v>"C:\Program Files (x86)\AstroGrep\AstroGrep.exe" /spath="%USERPROFILE%\AppData\Local\Temp\OnboardLogs" /stypes="app*4014*20161009*" /stext=" 23:.+((SYSTEM_STATE.+slice.+state.+changed )|(ment ac)|(system.+state.+changed )|(\[timeout)|(PRM\|1\|D)|(kpr)|(kdp)|(\|lc)|(penalty))" /e /r /s</v>
      </c>
      <c r="AG116" s="1" t="str">
        <f t="shared" si="34"/>
        <v>EC</v>
      </c>
      <c r="AH116" s="95" t="str">
        <f t="shared" si="35"/>
        <v>"%USERPROFILE%\Documents\GitHub\eaglep3\Utilities\RefineRTDCRunTimes.py" --tripid 203-09 --locoid 4014 --swversion DE.1.0.7.0 --startMP 204:453 --initTime 2016-10-09T16:23:43 --startdatetime 2016-10-09T16:30:46 --delay 1 --endMP 204:233366 --enddatetime 2016-10-09T17:07:05 --enforcementcount 0 &gt;&gt;C:\Users\stu\Documents\GitHub\eaglep3-reporting\EC\2016-10-09-refined-times.txt</v>
      </c>
      <c r="AI11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{"issue":{"subject":"","project_id":79,"tracker_id":40,"status_id":1,"priority_id":2,"assigned_to_id":23,"start_date":"2016-10-09","description":"","custom_fields":[{"id":1,"name":"Subdivision","value":"EC"},{"id":4,"name":"Milepost","value":"23.3366"},{"id":17,"name":"Train ID","value":"203-09"},{"id":16,"name":"Locomotive ID","value":"4014"},{"id":130,"name":"Impact","value":""},{"id":150,"name":"Time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538</v>
      </c>
      <c r="B117" s="7">
        <v>4013</v>
      </c>
      <c r="C117" s="24" t="s">
        <v>106</v>
      </c>
      <c r="D117" s="24" t="s">
        <v>704</v>
      </c>
      <c r="E117" s="15">
        <v>42652.714884259258</v>
      </c>
      <c r="F117" s="15">
        <v>42652.726759259262</v>
      </c>
      <c r="G117" s="7">
        <v>1</v>
      </c>
      <c r="H117" s="15" t="s">
        <v>225</v>
      </c>
      <c r="I117" s="15">
        <v>42652.753310185188</v>
      </c>
      <c r="J117" s="7">
        <v>0</v>
      </c>
      <c r="K117" s="116" t="str">
        <f t="shared" si="20"/>
        <v>4013/4014</v>
      </c>
      <c r="L117" s="24" t="str">
        <f>VLOOKUP(A117,'Trips&amp;Operators'!$C$1:$E$10000,3,FALSE)</f>
        <v>BARTLETT</v>
      </c>
      <c r="M117" s="6">
        <f t="shared" si="21"/>
        <v>2.6550925926130731E-2</v>
      </c>
      <c r="N117" s="7">
        <f t="shared" si="22"/>
        <v>38.233333333628252</v>
      </c>
      <c r="O117" s="7"/>
      <c r="P117" s="7"/>
      <c r="Q117" s="25"/>
      <c r="R117" s="25"/>
      <c r="S117" s="37">
        <f t="shared" si="23"/>
        <v>1</v>
      </c>
      <c r="T117" s="52" t="str">
        <f t="shared" si="24"/>
        <v>Southbound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16:09:26-0600',mode:absolute,to:'2016-10-09 19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4" t="str">
        <f t="shared" si="26"/>
        <v>N</v>
      </c>
      <c r="X117" s="163">
        <f t="shared" si="37"/>
        <v>1</v>
      </c>
      <c r="Y117" s="69">
        <f t="shared" si="28"/>
        <v>23.306000000000001</v>
      </c>
      <c r="Z117" s="69">
        <f t="shared" si="29"/>
        <v>1.61E-2</v>
      </c>
      <c r="AA117" s="69">
        <f t="shared" si="30"/>
        <v>23.289899999999999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1"/>
        <v>0204-09</v>
      </c>
      <c r="AE117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17" s="91" t="str">
        <f t="shared" si="33"/>
        <v>"C:\Program Files (x86)\AstroGrep\AstroGrep.exe" /spath="%USERPROFILE%\AppData\Local\Temp\OnboardLogs" /stypes="app*4013*20161010*" /stext=" 00:.+((SYSTEM_STATE.+slice.+state.+changed )|(ment ac)|(system.+state.+changed )|(\[timeout)|(PRM\|1\|D)|(kpr)|(kdp)|(\|lc)|(penalty))" /e /r /s</v>
      </c>
      <c r="AG117" s="1" t="str">
        <f t="shared" si="34"/>
        <v>EC</v>
      </c>
      <c r="AH117" s="95" t="str">
        <f t="shared" si="35"/>
        <v>"%USERPROFILE%\Documents\GitHub\eaglep3\Utilities\RefineRTDCRunTimes.py" --tripid 204-09 --locoid 4013 --swversion DE.1.0.7.0 --startMP 204:233060 --initTime 2016-10-09T17:09:26 --startdatetime 2016-10-09T17:26:32 --delay 1 --endMP 204:161 --enddatetime 2016-10-09T18:04:46 --enforcementcount 0 &gt;&gt;C:\Users\stu\Documents\GitHub\eaglep3-reporting\EC\2016-10-09-refined-times.txt</v>
      </c>
      <c r="AI11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{"issue":{"subject":"","project_id":79,"tracker_id":40,"status_id":1,"priority_id":2,"assigned_to_id":23,"start_date":"2016-10-09","description":"","custom_fields":[{"id":1,"name":"Subdivision","value":"EC"},{"id":4,"name":"Milepost","value":"0.0161"},{"id":17,"name":"Train ID","value":"204-09"},{"id":16,"name":"Locomotive ID","value":"4013"},{"id":130,"name":"Impact","value":""},{"id":150,"name":"Time of Event (Mountain Time)","value":"18:04:46"},{"id":151,"name":"Denver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532</v>
      </c>
      <c r="B118" s="7">
        <v>4027</v>
      </c>
      <c r="C118" s="24" t="s">
        <v>106</v>
      </c>
      <c r="D118" s="24" t="s">
        <v>197</v>
      </c>
      <c r="E118" s="15">
        <v>42652.693020833336</v>
      </c>
      <c r="F118" s="15">
        <v>42652.698182870372</v>
      </c>
      <c r="G118" s="7">
        <v>1</v>
      </c>
      <c r="H118" s="15" t="s">
        <v>242</v>
      </c>
      <c r="I118" s="15">
        <v>42652.722800925927</v>
      </c>
      <c r="J118" s="7">
        <v>0</v>
      </c>
      <c r="K118" s="116" t="str">
        <f t="shared" si="20"/>
        <v>4027/4028</v>
      </c>
      <c r="L118" s="24" t="str">
        <f>VLOOKUP(A118,'Trips&amp;Operators'!$C$1:$E$10000,3,FALSE)</f>
        <v>BRUDER</v>
      </c>
      <c r="M118" s="6">
        <f t="shared" si="21"/>
        <v>2.4618055555038154E-2</v>
      </c>
      <c r="N118" s="7">
        <f t="shared" si="22"/>
        <v>35.449999999254942</v>
      </c>
      <c r="O118" s="7"/>
      <c r="P118" s="7"/>
      <c r="Q118" s="25"/>
      <c r="R118" s="25"/>
      <c r="S118" s="37">
        <f t="shared" si="23"/>
        <v>1</v>
      </c>
      <c r="T118" s="52" t="str">
        <f t="shared" si="24"/>
        <v>NorthBound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15:37:57-0600',mode:absolute,to:'2016-10-09 18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8" s="54" t="str">
        <f t="shared" si="26"/>
        <v>N</v>
      </c>
      <c r="X118" s="163">
        <f t="shared" si="37"/>
        <v>1</v>
      </c>
      <c r="Y118" s="69">
        <f t="shared" si="28"/>
        <v>4.5499999999999999E-2</v>
      </c>
      <c r="Z118" s="69">
        <f t="shared" si="29"/>
        <v>23.329699999999999</v>
      </c>
      <c r="AA118" s="69">
        <f t="shared" si="30"/>
        <v>23.284199999999998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1"/>
        <v>0205-09</v>
      </c>
      <c r="AE118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18" s="91" t="str">
        <f t="shared" si="33"/>
        <v>"C:\Program Files (x86)\AstroGrep\AstroGrep.exe" /spath="%USERPROFILE%\AppData\Local\Temp\OnboardLogs" /stypes="app*4027*20161009*" /stext=" 23:.+((SYSTEM_STATE.+slice.+state.+changed )|(ment ac)|(system.+state.+changed )|(\[timeout)|(PRM\|1\|D)|(kpr)|(kdp)|(\|lc)|(penalty))" /e /r /s</v>
      </c>
      <c r="AG118" s="1" t="str">
        <f t="shared" si="34"/>
        <v>EC</v>
      </c>
      <c r="AH118" s="95" t="str">
        <f t="shared" si="35"/>
        <v>"%USERPROFILE%\Documents\GitHub\eaglep3\Utilities\RefineRTDCRunTimes.py" --tripid 205-09 --locoid 4027 --swversion DE.1.0.7.0 --startMP 204:455 --initTime 2016-10-09T16:37:57 --startdatetime 2016-10-09T16:45:23 --delay 1 --endMP 204:233297 --enddatetime 2016-10-09T17:20:50 --enforcementcount 0 &gt;&gt;C:\Users\stu\Documents\GitHub\eaglep3-reporting\EC\2016-10-09-refined-times.txt</v>
      </c>
      <c r="AI11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ID","value":"205-09"},{"id":16,"name":"Locomotive ID","value":"4027"},{"id":130,"name":"Impact","value":""},{"id":150,"name":"Time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545</v>
      </c>
      <c r="B119" s="7">
        <v>4028</v>
      </c>
      <c r="C119" s="24" t="s">
        <v>106</v>
      </c>
      <c r="D119" s="24" t="s">
        <v>302</v>
      </c>
      <c r="E119" s="15">
        <v>42652.733275462961</v>
      </c>
      <c r="F119" s="15">
        <v>42652.737083333333</v>
      </c>
      <c r="G119" s="7">
        <v>1</v>
      </c>
      <c r="H119" s="15" t="s">
        <v>186</v>
      </c>
      <c r="I119" s="15">
        <v>42652.763888888891</v>
      </c>
      <c r="J119" s="7">
        <v>0</v>
      </c>
      <c r="K119" s="116" t="str">
        <f t="shared" si="20"/>
        <v>4027/4028</v>
      </c>
      <c r="L119" s="24" t="str">
        <f>VLOOKUP(A119,'Trips&amp;Operators'!$C$1:$E$10000,3,FALSE)</f>
        <v>BRUDER</v>
      </c>
      <c r="M119" s="6">
        <f t="shared" si="21"/>
        <v>2.6805555557075422E-2</v>
      </c>
      <c r="N119" s="7">
        <f t="shared" si="22"/>
        <v>38.600000002188608</v>
      </c>
      <c r="O119" s="7"/>
      <c r="P119" s="7"/>
      <c r="Q119" s="25"/>
      <c r="R119" s="25"/>
      <c r="S119" s="37">
        <f t="shared" si="23"/>
        <v>1</v>
      </c>
      <c r="T119" s="52" t="str">
        <f t="shared" si="24"/>
        <v>Southbound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16:35:55-0600',mode:absolute,to:'2016-10-09 19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9" s="54" t="str">
        <f t="shared" si="26"/>
        <v>N</v>
      </c>
      <c r="X119" s="163">
        <f t="shared" si="37"/>
        <v>1</v>
      </c>
      <c r="Y119" s="69">
        <f t="shared" si="28"/>
        <v>23.298400000000001</v>
      </c>
      <c r="Z119" s="69">
        <f t="shared" si="29"/>
        <v>1.49E-2</v>
      </c>
      <c r="AA119" s="69">
        <f t="shared" si="30"/>
        <v>23.2835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1"/>
        <v>0206-09</v>
      </c>
      <c r="AE119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19" s="91" t="str">
        <f t="shared" si="33"/>
        <v>"C:\Program Files (x86)\AstroGrep\AstroGrep.exe" /spath="%USERPROFILE%\AppData\Local\Temp\OnboardLogs" /stypes="app*4028*20161010*" /stext=" 00:.+((SYSTEM_STATE.+slice.+state.+changed )|(ment ac)|(system.+state.+changed )|(\[timeout)|(PRM\|1\|D)|(kpr)|(kdp)|(\|lc)|(penalty))" /e /r /s</v>
      </c>
      <c r="AG119" s="1" t="str">
        <f t="shared" si="34"/>
        <v>EC</v>
      </c>
      <c r="AH119" s="95" t="str">
        <f t="shared" si="35"/>
        <v>"%USERPROFILE%\Documents\GitHub\eaglep3\Utilities\RefineRTDCRunTimes.py" --tripid 206-09 --locoid 4028 --swversion DE.1.0.7.0 --startMP 204:232984 --initTime 2016-10-09T17:35:55 --startdatetime 2016-10-09T17:41:24 --delay 1 --endMP 204:149 --enddatetime 2016-10-09T18:20:00 --enforcementcount 0 &gt;&gt;C:\Users\stu\Documents\GitHub\eaglep3-reporting\EC\2016-10-09-refined-times.txt</v>
      </c>
      <c r="AI11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ID","value":"206-09"},{"id":16,"name":"Locomotive ID","value":"4028"},{"id":130,"name":"Impact","value":""},{"id":150,"name":"Time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535</v>
      </c>
      <c r="B120" s="7">
        <v>4018</v>
      </c>
      <c r="C120" s="24" t="s">
        <v>106</v>
      </c>
      <c r="D120" s="24" t="s">
        <v>247</v>
      </c>
      <c r="E120" s="15">
        <v>42652.70521990741</v>
      </c>
      <c r="F120" s="15">
        <v>42652.708622685182</v>
      </c>
      <c r="G120" s="7">
        <v>2</v>
      </c>
      <c r="H120" s="15" t="s">
        <v>639</v>
      </c>
      <c r="I120" s="15">
        <v>42652.733946759261</v>
      </c>
      <c r="J120" s="7">
        <v>0</v>
      </c>
      <c r="K120" s="116" t="str">
        <f t="shared" si="20"/>
        <v>4017/4018</v>
      </c>
      <c r="L120" s="24" t="str">
        <f>VLOOKUP(A120,'Trips&amp;Operators'!$C$1:$E$10000,3,FALSE)</f>
        <v>MOSES</v>
      </c>
      <c r="M120" s="6">
        <f t="shared" si="21"/>
        <v>2.5324074078525882E-2</v>
      </c>
      <c r="N120" s="7">
        <f t="shared" si="22"/>
        <v>36.46666667307727</v>
      </c>
      <c r="O120" s="7"/>
      <c r="P120" s="7"/>
      <c r="Q120" s="25"/>
      <c r="R120" s="25"/>
      <c r="S120" s="37">
        <f t="shared" si="23"/>
        <v>1</v>
      </c>
      <c r="T120" s="52" t="str">
        <f t="shared" si="24"/>
        <v>NorthBound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15:55:31-0600',mode:absolute,to:'2016-10-09 18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54" t="str">
        <f t="shared" si="26"/>
        <v>N</v>
      </c>
      <c r="X120" s="163">
        <f t="shared" si="37"/>
        <v>1</v>
      </c>
      <c r="Y120" s="69">
        <f t="shared" si="28"/>
        <v>4.4600000000000001E-2</v>
      </c>
      <c r="Z120" s="69">
        <f t="shared" si="29"/>
        <v>23.331</v>
      </c>
      <c r="AA120" s="69">
        <f t="shared" si="30"/>
        <v>23.2864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1"/>
        <v>0207-09</v>
      </c>
      <c r="AE120" s="94" t="str">
        <f t="shared" si="32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120" s="91" t="str">
        <f t="shared" si="33"/>
        <v>"C:\Program Files (x86)\AstroGrep\AstroGrep.exe" /spath="%USERPROFILE%\AppData\Local\Temp\OnboardLogs" /stypes="app*4018*20161009*" /stext=" 23:.+((SYSTEM_STATE.+slice.+state.+changed )|(ment ac)|(system.+state.+changed )|(\[timeout)|(PRM\|1\|D)|(kpr)|(kdp)|(\|lc)|(penalty))" /e /r /s</v>
      </c>
      <c r="AG120" s="1" t="str">
        <f t="shared" si="34"/>
        <v>EC</v>
      </c>
      <c r="AH120" s="95" t="str">
        <f t="shared" si="35"/>
        <v>"%USERPROFILE%\Documents\GitHub\eaglep3\Utilities\RefineRTDCRunTimes.py" --tripid 207-09 --locoid 4018 --swversion DE.1.0.7.0 --startMP 204:446 --initTime 2016-10-09T16:55:31 --startdatetime 2016-10-09T17:00:25 --delay 2 --endMP 204:233310 --enddatetime 2016-10-09T17:36:53 --enforcementcount 0 &gt;&gt;C:\Users\stu\Documents\GitHub\eaglep3-reporting\EC\2016-10-09-refined-times.txt</v>
      </c>
      <c r="AI12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ID","value":"207-09"},{"id":16,"name":"Locomotive ID","value":"4018"},{"id":130,"name":"Impact","value":""},{"id":150,"name":"Time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550</v>
      </c>
      <c r="B121" s="7">
        <v>4017</v>
      </c>
      <c r="C121" s="24" t="s">
        <v>106</v>
      </c>
      <c r="D121" s="24" t="s">
        <v>296</v>
      </c>
      <c r="E121" s="15">
        <v>42652.742488425924</v>
      </c>
      <c r="F121" s="15">
        <v>42652.747488425928</v>
      </c>
      <c r="G121" s="7">
        <v>1</v>
      </c>
      <c r="H121" s="15" t="s">
        <v>191</v>
      </c>
      <c r="I121" s="15">
        <v>42652.77621527778</v>
      </c>
      <c r="J121" s="7">
        <v>0</v>
      </c>
      <c r="K121" s="116" t="str">
        <f t="shared" si="20"/>
        <v>4017/4018</v>
      </c>
      <c r="L121" s="24" t="str">
        <f>VLOOKUP(A121,'Trips&amp;Operators'!$C$1:$E$10000,3,FALSE)</f>
        <v>MOSES</v>
      </c>
      <c r="M121" s="6">
        <f t="shared" si="21"/>
        <v>2.8726851851388346E-2</v>
      </c>
      <c r="N121" s="7">
        <f t="shared" si="22"/>
        <v>41.366666665999219</v>
      </c>
      <c r="O121" s="7"/>
      <c r="P121" s="7"/>
      <c r="Q121" s="25"/>
      <c r="R121" s="25"/>
      <c r="S121" s="37">
        <f t="shared" si="23"/>
        <v>1</v>
      </c>
      <c r="T121" s="52" t="str">
        <f t="shared" si="24"/>
        <v>Southbound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16:49:11-0600',mode:absolute,to:'2016-10-09 19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54" t="str">
        <f t="shared" si="26"/>
        <v>N</v>
      </c>
      <c r="X121" s="163">
        <f t="shared" si="37"/>
        <v>1</v>
      </c>
      <c r="Y121" s="69">
        <f t="shared" si="28"/>
        <v>23.298100000000002</v>
      </c>
      <c r="Z121" s="69">
        <f t="shared" si="29"/>
        <v>1.4999999999999999E-2</v>
      </c>
      <c r="AA121" s="69">
        <f t="shared" si="30"/>
        <v>23.283100000000001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1"/>
        <v>0208-09</v>
      </c>
      <c r="AE121" s="94" t="str">
        <f t="shared" si="32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121" s="91" t="str">
        <f t="shared" si="33"/>
        <v>"C:\Program Files (x86)\AstroGrep\AstroGrep.exe" /spath="%USERPROFILE%\AppData\Local\Temp\OnboardLogs" /stypes="app*4017*20161010*" /stext=" 00:.+((SYSTEM_STATE.+slice.+state.+changed )|(ment ac)|(system.+state.+changed )|(\[timeout)|(PRM\|1\|D)|(kpr)|(kdp)|(\|lc)|(penalty))" /e /r /s</v>
      </c>
      <c r="AG121" s="1" t="str">
        <f t="shared" si="34"/>
        <v>EC</v>
      </c>
      <c r="AH121" s="95" t="str">
        <f t="shared" si="35"/>
        <v>"%USERPROFILE%\Documents\GitHub\eaglep3\Utilities\RefineRTDCRunTimes.py" --tripid 208-09 --locoid 4017 --swversion DE.1.0.7.0 --startMP 204:232981 --initTime 2016-10-09T17:49:11 --startdatetime 2016-10-09T17:56:23 --delay 1 --endMP 204:150 --enddatetime 2016-10-09T18:37:45 --enforcementcount 0 &gt;&gt;C:\Users\stu\Documents\GitHub\eaglep3-reporting\EC\2016-10-09-refined-times.txt</v>
      </c>
      <c r="AI12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ID","value":"208-09"},{"id":16,"name":"Locomotive ID","value":"4017"},{"id":130,"name":"Impact","value":""},{"id":150,"name":"Time of Event (Mountain Time)","value":"18:37:45"},{"id":151,"name":"Denver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4002</v>
      </c>
      <c r="C122" s="24" t="s">
        <v>106</v>
      </c>
      <c r="D122" s="24" t="s">
        <v>705</v>
      </c>
      <c r="E122" s="15">
        <v>42652.715787037036</v>
      </c>
      <c r="F122" s="15">
        <v>42652.719074074077</v>
      </c>
      <c r="G122" s="7">
        <v>2</v>
      </c>
      <c r="H122" s="15" t="s">
        <v>391</v>
      </c>
      <c r="I122" s="15">
        <v>42652.744340277779</v>
      </c>
      <c r="J122" s="7">
        <v>0</v>
      </c>
      <c r="K122" s="116" t="str">
        <f t="shared" si="20"/>
        <v>4001/4002</v>
      </c>
      <c r="L122" s="24" t="str">
        <f>VLOOKUP(A122,'Trips&amp;Operators'!$C$1:$E$10000,3,FALSE)</f>
        <v>LEVERE</v>
      </c>
      <c r="M122" s="6">
        <f t="shared" si="21"/>
        <v>2.5266203701903578E-2</v>
      </c>
      <c r="N122" s="7">
        <f t="shared" si="22"/>
        <v>36.383333330741152</v>
      </c>
      <c r="O122" s="7"/>
      <c r="P122" s="7"/>
      <c r="Q122" s="25"/>
      <c r="R122" s="25"/>
      <c r="S122" s="37">
        <f t="shared" si="23"/>
        <v>1</v>
      </c>
      <c r="T122" s="52" t="str">
        <f t="shared" si="24"/>
        <v>NorthBound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16:10:44-0600',mode:absolute,to:'2016-10-09 18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2" s="54" t="str">
        <f t="shared" si="26"/>
        <v>N</v>
      </c>
      <c r="X122" s="163">
        <f t="shared" si="37"/>
        <v>1</v>
      </c>
      <c r="Y122" s="69">
        <f t="shared" si="28"/>
        <v>4.9500000000000002E-2</v>
      </c>
      <c r="Z122" s="69">
        <f t="shared" si="29"/>
        <v>23.328900000000001</v>
      </c>
      <c r="AA122" s="69">
        <f t="shared" si="30"/>
        <v>23.279400000000003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1"/>
        <v>0209-09</v>
      </c>
      <c r="AE122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22" s="91" t="str">
        <f t="shared" si="33"/>
        <v>"C:\Program Files (x86)\AstroGrep\AstroGrep.exe" /spath="%USERPROFILE%\AppData\Local\Temp\OnboardLogs" /stypes="app*4002*20161009*" /stext=" 23:.+((SYSTEM_STATE.+slice.+state.+changed )|(ment ac)|(system.+state.+changed )|(\[timeout)|(PRM\|1\|D)|(kpr)|(kdp)|(\|lc)|(penalty))" /e /r /s</v>
      </c>
      <c r="AG122" s="1" t="str">
        <f t="shared" si="34"/>
        <v>EC</v>
      </c>
      <c r="AH122" s="95" t="str">
        <f t="shared" si="35"/>
        <v>"%USERPROFILE%\Documents\GitHub\eaglep3\Utilities\RefineRTDCRunTimes.py" --tripid 209-09 --locoid 4002 --swversion DE.1.0.7.0 --startMP 204:495 --initTime 2016-10-09T17:10:44 --startdatetime 2016-10-09T17:15:28 --delay 2 --endMP 204:233289 --enddatetime 2016-10-09T17:51:51 --enforcementcount 0 &gt;&gt;C:\Users\stu\Documents\GitHub\eaglep3-reporting\EC\2016-10-09-refined-times.txt</v>
      </c>
      <c r="AI12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ID","value":"209-09"},{"id":16,"name":"Locomotive ID","value":"4002"},{"id":130,"name":"Impact","value":""},{"id":150,"name":"Time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554</v>
      </c>
      <c r="B123" s="7">
        <v>4001</v>
      </c>
      <c r="C123" s="24" t="s">
        <v>106</v>
      </c>
      <c r="D123" s="24" t="s">
        <v>227</v>
      </c>
      <c r="E123" s="15">
        <v>42652.750694444447</v>
      </c>
      <c r="F123" s="15">
        <v>42652.757997685185</v>
      </c>
      <c r="G123" s="7">
        <v>1</v>
      </c>
      <c r="H123" s="15" t="s">
        <v>204</v>
      </c>
      <c r="I123" s="15">
        <v>42652.785798611112</v>
      </c>
      <c r="J123" s="7">
        <v>0</v>
      </c>
      <c r="K123" s="116" t="str">
        <f t="shared" si="20"/>
        <v>4001/4002</v>
      </c>
      <c r="L123" s="24" t="str">
        <f>VLOOKUP(A123,'Trips&amp;Operators'!$C$1:$E$10000,3,FALSE)</f>
        <v>LEVERE</v>
      </c>
      <c r="M123" s="6">
        <f t="shared" si="21"/>
        <v>2.7800925927294884E-2</v>
      </c>
      <c r="N123" s="7">
        <f t="shared" si="22"/>
        <v>40.033333335304633</v>
      </c>
      <c r="O123" s="7"/>
      <c r="P123" s="7"/>
      <c r="Q123" s="25"/>
      <c r="R123" s="25"/>
      <c r="S123" s="37">
        <f t="shared" si="23"/>
        <v>1</v>
      </c>
      <c r="T123" s="52" t="str">
        <f t="shared" si="24"/>
        <v>Southbound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17:01:00-0600',mode:absolute,to:'2016-10-09 19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3" s="54" t="str">
        <f t="shared" si="26"/>
        <v>N</v>
      </c>
      <c r="X123" s="163">
        <f t="shared" si="37"/>
        <v>1</v>
      </c>
      <c r="Y123" s="69">
        <f t="shared" si="28"/>
        <v>23.297999999999998</v>
      </c>
      <c r="Z123" s="69">
        <f t="shared" si="29"/>
        <v>1.5599999999999999E-2</v>
      </c>
      <c r="AA123" s="69">
        <f t="shared" si="30"/>
        <v>23.282399999999999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1"/>
        <v>0210-09</v>
      </c>
      <c r="AE123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23" s="91" t="str">
        <f t="shared" si="33"/>
        <v>"C:\Program Files (x86)\AstroGrep\AstroGrep.exe" /spath="%USERPROFILE%\AppData\Local\Temp\OnboardLogs" /stypes="app*4001*20161010*" /stext=" 00:.+((SYSTEM_STATE.+slice.+state.+changed )|(ment ac)|(system.+state.+changed )|(\[timeout)|(PRM\|1\|D)|(kpr)|(kdp)|(\|lc)|(penalty))" /e /r /s</v>
      </c>
      <c r="AG123" s="1" t="str">
        <f t="shared" si="34"/>
        <v>EC</v>
      </c>
      <c r="AH123" s="95" t="str">
        <f t="shared" si="35"/>
        <v>"%USERPROFILE%\Documents\GitHub\eaglep3\Utilities\RefineRTDCRunTimes.py" --tripid 210-09 --locoid 4001 --swversion DE.1.0.7.0 --startMP 204:232980 --initTime 2016-10-09T18:01:00 --startdatetime 2016-10-09T18:11:31 --delay 1 --endMP 204:156 --enddatetime 2016-10-09T18:51:33 --enforcementcount 0 &gt;&gt;C:\Users\stu\Documents\GitHub\eaglep3-reporting\EC\2016-10-09-refined-times.txt</v>
      </c>
      <c r="AI12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ID","value":"210-09"},{"id":16,"name":"Locomotive ID","value":"4001"},{"id":130,"name":"Impact","value":""},{"id":150,"name":"Time of Event (Mountain Time)","value":"18:51:33"},{"id":151,"name":"Denver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542</v>
      </c>
      <c r="B124" s="7">
        <v>4007</v>
      </c>
      <c r="C124" s="24" t="s">
        <v>106</v>
      </c>
      <c r="D124" s="24" t="s">
        <v>214</v>
      </c>
      <c r="E124" s="15">
        <v>42652.724386574075</v>
      </c>
      <c r="F124" s="15">
        <v>42652.729467592595</v>
      </c>
      <c r="G124" s="7">
        <v>1</v>
      </c>
      <c r="H124" s="15" t="s">
        <v>706</v>
      </c>
      <c r="I124" s="15">
        <v>42652.756956018522</v>
      </c>
      <c r="J124" s="7">
        <v>0</v>
      </c>
      <c r="K124" s="116" t="str">
        <f t="shared" si="20"/>
        <v>4007/4008</v>
      </c>
      <c r="L124" s="24" t="str">
        <f>VLOOKUP(A124,'Trips&amp;Operators'!$C$1:$E$10000,3,FALSE)</f>
        <v>YOUNG</v>
      </c>
      <c r="M124" s="6">
        <f t="shared" si="21"/>
        <v>2.7488425927003846E-2</v>
      </c>
      <c r="N124" s="7">
        <f t="shared" si="22"/>
        <v>39.583333334885538</v>
      </c>
      <c r="O124" s="7"/>
      <c r="P124" s="7"/>
      <c r="Q124" s="25"/>
      <c r="R124" s="25"/>
      <c r="S124" s="37">
        <f t="shared" si="23"/>
        <v>1</v>
      </c>
      <c r="T124" s="52" t="str">
        <f t="shared" si="24"/>
        <v>NorthBound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16:23:07-0600',mode:absolute,to:'2016-10-09 19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54" t="str">
        <f t="shared" si="26"/>
        <v>N</v>
      </c>
      <c r="X124" s="163">
        <f t="shared" si="37"/>
        <v>1</v>
      </c>
      <c r="Y124" s="69">
        <f t="shared" si="28"/>
        <v>4.6399999999999997E-2</v>
      </c>
      <c r="Z124" s="69">
        <f t="shared" si="29"/>
        <v>23.333100000000002</v>
      </c>
      <c r="AA124" s="69">
        <f t="shared" si="30"/>
        <v>23.286700000000003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1"/>
        <v>0211-09</v>
      </c>
      <c r="AE124" s="94" t="str">
        <f t="shared" si="32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124" s="91" t="str">
        <f t="shared" si="33"/>
        <v>"C:\Program Files (x86)\AstroGrep\AstroGrep.exe" /spath="%USERPROFILE%\AppData\Local\Temp\OnboardLogs" /stypes="app*4007*20161010*" /stext=" 00:.+((SYSTEM_STATE.+slice.+state.+changed )|(ment ac)|(system.+state.+changed )|(\[timeout)|(PRM\|1\|D)|(kpr)|(kdp)|(\|lc)|(penalty))" /e /r /s</v>
      </c>
      <c r="AG124" s="1" t="str">
        <f t="shared" si="34"/>
        <v>EC</v>
      </c>
      <c r="AH124" s="95" t="str">
        <f t="shared" si="35"/>
        <v>"%USERPROFILE%\Documents\GitHub\eaglep3\Utilities\RefineRTDCRunTimes.py" --tripid 211-09 --locoid 4007 --swversion DE.1.0.7.0 --startMP 204:464 --initTime 2016-10-09T17:23:07 --startdatetime 2016-10-09T17:30:26 --delay 1 --endMP 204:233331 --enddatetime 2016-10-09T18:10:01 --enforcementcount 0 &gt;&gt;C:\Users\stu\Documents\GitHub\eaglep3-reporting\EC\2016-10-09-refined-times.txt</v>
      </c>
      <c r="AI12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{"issue":{"subject":"","project_id":79,"tracker_id":40,"status_id":1,"priority_id":2,"assigned_to_id":23,"start_date":"2016-10-09","description":"","custom_fields":[{"id":1,"name":"Subdivision","value":"EC"},{"id":4,"name":"Milepost","value":"23.3331"},{"id":17,"name":"Train ID","value":"211-09"},{"id":16,"name":"Locomotive ID","value":"4007"},{"id":130,"name":"Impact","value":""},{"id":150,"name":"Time of Event (Mountain Time)","value":"18:10:01"},{"id":151,"name":"Denver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557</v>
      </c>
      <c r="B125" s="7">
        <v>4008</v>
      </c>
      <c r="C125" s="24" t="s">
        <v>106</v>
      </c>
      <c r="D125" s="24" t="s">
        <v>241</v>
      </c>
      <c r="E125" s="15">
        <v>42652.761643518519</v>
      </c>
      <c r="F125" s="15">
        <v>42652.768287037034</v>
      </c>
      <c r="G125" s="7">
        <v>1</v>
      </c>
      <c r="H125" s="15" t="s">
        <v>707</v>
      </c>
      <c r="I125" s="15">
        <v>42652.797662037039</v>
      </c>
      <c r="J125" s="7">
        <v>0</v>
      </c>
      <c r="K125" s="116" t="str">
        <f t="shared" si="20"/>
        <v>4007/4008</v>
      </c>
      <c r="L125" s="24" t="str">
        <f>VLOOKUP(A125,'Trips&amp;Operators'!$C$1:$E$10000,3,FALSE)</f>
        <v>YOUNG</v>
      </c>
      <c r="M125" s="6">
        <f t="shared" si="21"/>
        <v>2.9375000005529728E-2</v>
      </c>
      <c r="N125" s="7">
        <f t="shared" si="22"/>
        <v>42.300000007962808</v>
      </c>
      <c r="O125" s="7"/>
      <c r="P125" s="7"/>
      <c r="Q125" s="25"/>
      <c r="R125" s="25"/>
      <c r="S125" s="37">
        <f t="shared" si="23"/>
        <v>1</v>
      </c>
      <c r="T125" s="52" t="str">
        <f t="shared" si="24"/>
        <v>Southbound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17:16:46-0600',mode:absolute,to:'2016-10-09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54" t="str">
        <f t="shared" si="26"/>
        <v>N</v>
      </c>
      <c r="X125" s="163">
        <f t="shared" si="37"/>
        <v>1</v>
      </c>
      <c r="Y125" s="69">
        <f t="shared" si="28"/>
        <v>23.299800000000001</v>
      </c>
      <c r="Z125" s="69">
        <f t="shared" si="29"/>
        <v>1.9199999999999998E-2</v>
      </c>
      <c r="AA125" s="69">
        <f t="shared" si="30"/>
        <v>23.2806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1"/>
        <v>0212-09</v>
      </c>
      <c r="AE125" s="94" t="str">
        <f t="shared" si="32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25" s="91" t="str">
        <f t="shared" si="33"/>
        <v>"C:\Program Files (x86)\AstroGrep\AstroGrep.exe" /spath="%USERPROFILE%\AppData\Local\Temp\OnboardLogs" /stypes="app*4008*20161010*" /stext=" 01:.+((SYSTEM_STATE.+slice.+state.+changed )|(ment ac)|(system.+state.+changed )|(\[timeout)|(PRM\|1\|D)|(kpr)|(kdp)|(\|lc)|(penalty))" /e /r /s</v>
      </c>
      <c r="AG125" s="1" t="str">
        <f t="shared" si="34"/>
        <v>EC</v>
      </c>
      <c r="AH125" s="95" t="str">
        <f t="shared" si="35"/>
        <v>"%USERPROFILE%\Documents\GitHub\eaglep3\Utilities\RefineRTDCRunTimes.py" --tripid 212-09 --locoid 4008 --swversion DE.1.0.7.0 --startMP 204:232998 --initTime 2016-10-09T18:16:46 --startdatetime 2016-10-09T18:26:20 --delay 1 --endMP 204:192 --enddatetime 2016-10-09T19:08:38 --enforcementcount 0 &gt;&gt;C:\Users\stu\Documents\GitHub\eaglep3-reporting\EC\2016-10-09-refined-times.txt</v>
      </c>
      <c r="AI12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{"issue":{"subject":"","project_id":79,"tracker_id":40,"status_id":1,"priority_id":2,"assigned_to_id":23,"start_date":"2016-10-09","description":"","custom_fields":[{"id":1,"name":"Subdivision","value":"EC"},{"id":4,"name":"Milepost","value":"0.0192"},{"id":17,"name":"Train ID","value":"212-09"},{"id":16,"name":"Locomotive ID","value":"4008"},{"id":130,"name":"Impact","value":""},{"id":150,"name":"Time of Event (Mountain Time)","value":"19:08:38"},{"id":151,"name":"Denver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547</v>
      </c>
      <c r="B126" s="7">
        <v>4025</v>
      </c>
      <c r="C126" s="24" t="s">
        <v>106</v>
      </c>
      <c r="D126" s="24" t="s">
        <v>197</v>
      </c>
      <c r="E126" s="15">
        <v>42652.736539351848</v>
      </c>
      <c r="F126" s="15">
        <v>42652.739861111113</v>
      </c>
      <c r="G126" s="7">
        <v>2</v>
      </c>
      <c r="H126" s="15" t="s">
        <v>650</v>
      </c>
      <c r="I126" s="15">
        <v>42652.764224537037</v>
      </c>
      <c r="J126" s="7">
        <v>0</v>
      </c>
      <c r="K126" s="116" t="str">
        <f t="shared" si="20"/>
        <v>4025/4026</v>
      </c>
      <c r="L126" s="24" t="str">
        <f>VLOOKUP(A126,'Trips&amp;Operators'!$C$1:$E$10000,3,FALSE)</f>
        <v>COOLAHAN</v>
      </c>
      <c r="M126" s="6">
        <f t="shared" si="21"/>
        <v>2.4363425924093463E-2</v>
      </c>
      <c r="N126" s="7">
        <f t="shared" si="22"/>
        <v>35.083333330694586</v>
      </c>
      <c r="O126" s="7"/>
      <c r="P126" s="7"/>
      <c r="Q126" s="25"/>
      <c r="R126" s="25"/>
      <c r="S126" s="37">
        <f t="shared" si="23"/>
        <v>1</v>
      </c>
      <c r="T126" s="52" t="str">
        <f t="shared" si="24"/>
        <v>NorthBound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16:40:37-0600',mode:absolute,to:'2016-10-09 19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6" s="54" t="str">
        <f t="shared" si="26"/>
        <v>N</v>
      </c>
      <c r="X126" s="163">
        <f t="shared" si="37"/>
        <v>1</v>
      </c>
      <c r="Y126" s="69">
        <f t="shared" si="28"/>
        <v>4.5499999999999999E-2</v>
      </c>
      <c r="Z126" s="69">
        <f t="shared" si="29"/>
        <v>23.332000000000001</v>
      </c>
      <c r="AA126" s="69">
        <f t="shared" si="30"/>
        <v>23.2865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1"/>
        <v>0213-09</v>
      </c>
      <c r="AE126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26" s="91" t="str">
        <f t="shared" si="33"/>
        <v>"C:\Program Files (x86)\AstroGrep\AstroGrep.exe" /spath="%USERPROFILE%\AppData\Local\Temp\OnboardLogs" /stypes="app*4025*20161010*" /stext=" 00:.+((SYSTEM_STATE.+slice.+state.+changed )|(ment ac)|(system.+state.+changed )|(\[timeout)|(PRM\|1\|D)|(kpr)|(kdp)|(\|lc)|(penalty))" /e /r /s</v>
      </c>
      <c r="AG126" s="1" t="str">
        <f t="shared" si="34"/>
        <v>EC</v>
      </c>
      <c r="AH126" s="95" t="str">
        <f t="shared" si="35"/>
        <v>"%USERPROFILE%\Documents\GitHub\eaglep3\Utilities\RefineRTDCRunTimes.py" --tripid 213-09 --locoid 4025 --swversion DE.1.0.7.0 --startMP 204:455 --initTime 2016-10-09T17:40:37 --startdatetime 2016-10-09T17:45:24 --delay 2 --endMP 204:233320 --enddatetime 2016-10-09T18:20:29 --enforcementcount 0 &gt;&gt;C:\Users\stu\Documents\GitHub\eaglep3-reporting\EC\2016-10-09-refined-times.txt</v>
      </c>
      <c r="AI12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{"issue":{"subject":"","project_id":79,"tracker_id":40,"status_id":1,"priority_id":2,"assigned_to_id":23,"start_date":"2016-10-09","description":"","custom_fields":[{"id":1,"name":"Subdivision","value":"EC"},{"id":4,"name":"Milepost","value":"23.332"},{"id":17,"name":"Train ID","value":"213-09"},{"id":16,"name":"Locomotive ID","value":"4025"},{"id":130,"name":"Impact","value":""},{"id":150,"name":"Time of Event (Mountain Time)","value":"18:20:29"},{"id":151,"name":"Denver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560</v>
      </c>
      <c r="B127" s="7">
        <v>4026</v>
      </c>
      <c r="C127" s="24" t="s">
        <v>106</v>
      </c>
      <c r="D127" s="24" t="s">
        <v>302</v>
      </c>
      <c r="E127" s="15">
        <v>42652.771261574075</v>
      </c>
      <c r="F127" s="15">
        <v>42652.778668981482</v>
      </c>
      <c r="G127" s="7">
        <v>1</v>
      </c>
      <c r="H127" s="15" t="s">
        <v>191</v>
      </c>
      <c r="I127" s="15">
        <v>42652.805543981478</v>
      </c>
      <c r="J127" s="7">
        <v>0</v>
      </c>
      <c r="K127" s="116" t="str">
        <f t="shared" si="20"/>
        <v>4025/4026</v>
      </c>
      <c r="L127" s="24" t="str">
        <f>VLOOKUP(A127,'Trips&amp;Operators'!$C$1:$E$10000,3,FALSE)</f>
        <v>COOLAHAN</v>
      </c>
      <c r="M127" s="6">
        <f t="shared" si="21"/>
        <v>2.6874999995925464E-2</v>
      </c>
      <c r="N127" s="7">
        <f t="shared" si="22"/>
        <v>38.699999994132668</v>
      </c>
      <c r="O127" s="7"/>
      <c r="P127" s="7"/>
      <c r="Q127" s="25"/>
      <c r="R127" s="25"/>
      <c r="S127" s="37">
        <f t="shared" si="23"/>
        <v>1</v>
      </c>
      <c r="T127" s="52" t="str">
        <f t="shared" si="24"/>
        <v>Southbound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17:30:37-0600',mode:absolute,to:'2016-10-09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7" s="54" t="str">
        <f t="shared" si="26"/>
        <v>N</v>
      </c>
      <c r="X127" s="163">
        <f t="shared" si="37"/>
        <v>1</v>
      </c>
      <c r="Y127" s="69">
        <f t="shared" si="28"/>
        <v>23.298400000000001</v>
      </c>
      <c r="Z127" s="69">
        <f t="shared" si="29"/>
        <v>1.4999999999999999E-2</v>
      </c>
      <c r="AA127" s="69">
        <f t="shared" si="30"/>
        <v>23.2834</v>
      </c>
      <c r="AB127" s="66" t="str">
        <f>VLOOKUP(A127,Enforcements!$C$7:$K$21,8,0)</f>
        <v>Bulletin (2)</v>
      </c>
      <c r="AC127" s="62" t="str">
        <f>VLOOKUP(A127,Enforcements!$C$7:$E$21,3,0)</f>
        <v>GRADE CROSSING</v>
      </c>
      <c r="AD127" s="63" t="str">
        <f t="shared" si="31"/>
        <v>0214-09</v>
      </c>
      <c r="AE127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27" s="91" t="str">
        <f t="shared" si="33"/>
        <v>"C:\Program Files (x86)\AstroGrep\AstroGrep.exe" /spath="%USERPROFILE%\AppData\Local\Temp\OnboardLogs" /stypes="app*4026*20161010*" /stext=" 01:.+((SYSTEM_STATE.+slice.+state.+changed )|(ment ac)|(system.+state.+changed )|(\[timeout)|(PRM\|1\|D)|(kpr)|(kdp)|(\|lc)|(penalty))" /e /r /s</v>
      </c>
      <c r="AG127" s="1" t="str">
        <f t="shared" si="34"/>
        <v>EC</v>
      </c>
      <c r="AH127" s="95" t="str">
        <f t="shared" si="35"/>
        <v>"%USERPROFILE%\Documents\GitHub\eaglep3\Utilities\RefineRTDCRunTimes.py" --tripid 214-09 --locoid 4026 --swversion DE.1.0.7.0 --startMP 204:232984 --initTime 2016-10-09T18:30:37 --startdatetime 2016-10-09T18:41:17 --delay 1 --endMP 204:150 --enddatetime 2016-10-09T19:19:59 --enforcementcount 0 &gt;&gt;C:\Users\stu\Documents\GitHub\eaglep3-reporting\EC\2016-10-09-refined-times.txt</v>
      </c>
      <c r="AI12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ID","value":"214-09"},{"id":16,"name":"Locomotive ID","value":"4026"},{"id":130,"name":"Impact","value":""},{"id":150,"name":"Time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551</v>
      </c>
      <c r="B128" s="7">
        <v>4040</v>
      </c>
      <c r="C128" s="24" t="s">
        <v>106</v>
      </c>
      <c r="D128" s="24" t="s">
        <v>198</v>
      </c>
      <c r="E128" s="15">
        <v>42652.744305555556</v>
      </c>
      <c r="F128" s="15">
        <v>42652.7502662037</v>
      </c>
      <c r="G128" s="7">
        <v>1</v>
      </c>
      <c r="H128" s="15" t="s">
        <v>701</v>
      </c>
      <c r="I128" s="15">
        <v>42652.776261574072</v>
      </c>
      <c r="J128" s="7">
        <v>0</v>
      </c>
      <c r="K128" s="116" t="str">
        <f t="shared" si="20"/>
        <v>4039/4040</v>
      </c>
      <c r="L128" s="24" t="str">
        <f>VLOOKUP(A128,'Trips&amp;Operators'!$C$1:$E$10000,3,FALSE)</f>
        <v>SHOOK</v>
      </c>
      <c r="M128" s="6">
        <f t="shared" si="21"/>
        <v>2.5995370371674653E-2</v>
      </c>
      <c r="N128" s="7">
        <f t="shared" si="22"/>
        <v>37.433333335211501</v>
      </c>
      <c r="O128" s="7"/>
      <c r="P128" s="7"/>
      <c r="Q128" s="25"/>
      <c r="R128" s="25"/>
      <c r="S128" s="37">
        <f t="shared" si="23"/>
        <v>1</v>
      </c>
      <c r="T128" s="52" t="str">
        <f t="shared" si="24"/>
        <v>NorthBound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16:51:48-0600',mode:absolute,to:'2016-10-09 19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8" s="54" t="str">
        <f t="shared" si="26"/>
        <v>N</v>
      </c>
      <c r="X128" s="163">
        <f t="shared" si="37"/>
        <v>1</v>
      </c>
      <c r="Y128" s="69">
        <f t="shared" si="28"/>
        <v>4.58E-2</v>
      </c>
      <c r="Z128" s="69">
        <f t="shared" si="29"/>
        <v>23.336300000000001</v>
      </c>
      <c r="AA128" s="69">
        <f t="shared" si="30"/>
        <v>23.290500000000002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1"/>
        <v>0215-09</v>
      </c>
      <c r="AE128" s="94" t="str">
        <f t="shared" si="32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28" s="91" t="str">
        <f t="shared" si="33"/>
        <v>"C:\Program Files (x86)\AstroGrep\AstroGrep.exe" /spath="%USERPROFILE%\AppData\Local\Temp\OnboardLogs" /stypes="app*4040*20161010*" /stext=" 00:.+((SYSTEM_STATE.+slice.+state.+changed )|(ment ac)|(system.+state.+changed )|(\[timeout)|(PRM\|1\|D)|(kpr)|(kdp)|(\|lc)|(penalty))" /e /r /s</v>
      </c>
      <c r="AG128" s="1" t="str">
        <f t="shared" si="34"/>
        <v>EC</v>
      </c>
      <c r="AH128" s="95" t="str">
        <f t="shared" si="35"/>
        <v>"%USERPROFILE%\Documents\GitHub\eaglep3\Utilities\RefineRTDCRunTimes.py" --tripid 215-09 --locoid 4040 --swversion DE.1.0.7.0 --startMP 204:458 --initTime 2016-10-09T17:51:48 --startdatetime 2016-10-09T18:00:23 --delay 1 --endMP 204:233363 --enddatetime 2016-10-09T18:37:49 --enforcementcount 0 &gt;&gt;C:\Users\stu\Documents\GitHub\eaglep3-reporting\EC\2016-10-09-refined-times.txt</v>
      </c>
      <c r="AI128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{"issue":{"subject":"","project_id":79,"tracker_id":40,"status_id":1,"priority_id":2,"assigned_to_id":23,"start_date":"2016-10-09","description":"","custom_fields":[{"id":1,"name":"Subdivision","value":"EC"},{"id":4,"name":"Milepost","value":"23.3363"},{"id":17,"name":"Train ID","value":"215-09"},{"id":16,"name":"Locomotive ID","value":"4040"},{"id":130,"name":"Impact","value":""},{"id":150,"name":"Time of Event (Mountain Time)","value":"18:37:49"},{"id":151,"name":"Denver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565</v>
      </c>
      <c r="B129" s="7">
        <v>4039</v>
      </c>
      <c r="C129" s="24" t="s">
        <v>106</v>
      </c>
      <c r="D129" s="24" t="s">
        <v>708</v>
      </c>
      <c r="E129" s="15">
        <v>42652.784178240741</v>
      </c>
      <c r="F129" s="15">
        <v>42652.789131944446</v>
      </c>
      <c r="G129" s="7">
        <v>1</v>
      </c>
      <c r="H129" s="15" t="s">
        <v>126</v>
      </c>
      <c r="I129" s="15">
        <v>42652.816701388889</v>
      </c>
      <c r="J129" s="7">
        <v>0</v>
      </c>
      <c r="K129" s="116" t="str">
        <f t="shared" si="20"/>
        <v>4039/4040</v>
      </c>
      <c r="L129" s="24" t="str">
        <f>VLOOKUP(A129,'Trips&amp;Operators'!$C$1:$E$10000,3,FALSE)</f>
        <v>SHOOK</v>
      </c>
      <c r="M129" s="6">
        <f t="shared" si="21"/>
        <v>2.7569444442633539E-2</v>
      </c>
      <c r="N129" s="7">
        <f t="shared" si="22"/>
        <v>39.699999997392297</v>
      </c>
      <c r="O129" s="7"/>
      <c r="P129" s="7"/>
      <c r="Q129" s="25"/>
      <c r="R129" s="25"/>
      <c r="S129" s="37">
        <f t="shared" si="23"/>
        <v>1</v>
      </c>
      <c r="T129" s="52" t="str">
        <f t="shared" si="24"/>
        <v>Southbound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17:49:13-0600',mode:absolute,to:'2016-10-09 20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9" s="54" t="str">
        <f t="shared" si="26"/>
        <v>N</v>
      </c>
      <c r="X129" s="163">
        <f t="shared" si="37"/>
        <v>1</v>
      </c>
      <c r="Y129" s="69">
        <f t="shared" si="28"/>
        <v>23.305299999999999</v>
      </c>
      <c r="Z129" s="69">
        <f t="shared" si="29"/>
        <v>1.54E-2</v>
      </c>
      <c r="AA129" s="69">
        <f t="shared" si="30"/>
        <v>23.289899999999999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1"/>
        <v>0216-09</v>
      </c>
      <c r="AE129" s="94" t="str">
        <f t="shared" si="32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29" s="91" t="str">
        <f t="shared" si="33"/>
        <v>"C:\Program Files (x86)\AstroGrep\AstroGrep.exe" /spath="%USERPROFILE%\AppData\Local\Temp\OnboardLogs" /stypes="app*4039*20161010*" /stext=" 01:.+((SYSTEM_STATE.+slice.+state.+changed )|(ment ac)|(system.+state.+changed )|(\[timeout)|(PRM\|1\|D)|(kpr)|(kdp)|(\|lc)|(penalty))" /e /r /s</v>
      </c>
      <c r="AG129" s="1" t="str">
        <f t="shared" si="34"/>
        <v>EC</v>
      </c>
      <c r="AH129" s="95" t="str">
        <f t="shared" si="35"/>
        <v>"%USERPROFILE%\Documents\GitHub\eaglep3\Utilities\RefineRTDCRunTimes.py" --tripid 216-09 --locoid 4039 --swversion DE.1.0.7.0 --startMP 204:233053 --initTime 2016-10-09T18:49:13 --startdatetime 2016-10-09T18:56:21 --delay 1 --endMP 204:154 --enddatetime 2016-10-09T19:36:03 --enforcementcount 0 &gt;&gt;C:\Users\stu\Documents\GitHub\eaglep3-reporting\EC\2016-10-09-refined-times.txt</v>
      </c>
      <c r="AI12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ID","value":"216-09"},{"id":16,"name":"Locomotive ID","value":"4039"},{"id":130,"name":"Impact","value":""},{"id":150,"name":"Time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556</v>
      </c>
      <c r="B130" s="7">
        <v>4014</v>
      </c>
      <c r="C130" s="24" t="s">
        <v>106</v>
      </c>
      <c r="D130" s="24" t="s">
        <v>196</v>
      </c>
      <c r="E130" s="15">
        <v>42652.756018518521</v>
      </c>
      <c r="F130" s="15">
        <v>42652.760578703703</v>
      </c>
      <c r="G130" s="7">
        <v>1</v>
      </c>
      <c r="H130" s="15" t="s">
        <v>242</v>
      </c>
      <c r="I130" s="15">
        <v>42652.784907407404</v>
      </c>
      <c r="J130" s="7">
        <v>0</v>
      </c>
      <c r="K130" s="116" t="str">
        <f t="shared" si="20"/>
        <v>4013/4014</v>
      </c>
      <c r="L130" s="24" t="str">
        <f>VLOOKUP(A130,'Trips&amp;Operators'!$C$1:$E$10000,3,FALSE)</f>
        <v>NEWELL</v>
      </c>
      <c r="M130" s="6">
        <f t="shared" si="21"/>
        <v>2.4328703701030463E-2</v>
      </c>
      <c r="N130" s="7">
        <f t="shared" si="22"/>
        <v>35.033333329483867</v>
      </c>
      <c r="O130" s="7"/>
      <c r="P130" s="7"/>
      <c r="Q130" s="25"/>
      <c r="R130" s="25"/>
      <c r="S130" s="37">
        <f t="shared" si="23"/>
        <v>1</v>
      </c>
      <c r="T130" s="52" t="str">
        <f t="shared" si="24"/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17:08:40-0600',mode:absolute,to:'2016-10-09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0" s="54" t="str">
        <f t="shared" si="26"/>
        <v>N</v>
      </c>
      <c r="X130" s="163">
        <f t="shared" si="37"/>
        <v>1</v>
      </c>
      <c r="Y130" s="69">
        <f t="shared" si="28"/>
        <v>4.5100000000000001E-2</v>
      </c>
      <c r="Z130" s="69">
        <f t="shared" si="29"/>
        <v>23.329699999999999</v>
      </c>
      <c r="AA130" s="69">
        <f t="shared" si="30"/>
        <v>23.284599999999998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1"/>
        <v>0217-09</v>
      </c>
      <c r="AE130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30" s="91" t="str">
        <f t="shared" si="33"/>
        <v>"C:\Program Files (x86)\AstroGrep\AstroGrep.exe" /spath="%USERPROFILE%\AppData\Local\Temp\OnboardLogs" /stypes="app*4014*20161010*" /stext=" 00:.+((SYSTEM_STATE.+slice.+state.+changed )|(ment ac)|(system.+state.+changed )|(\[timeout)|(PRM\|1\|D)|(kpr)|(kdp)|(\|lc)|(penalty))" /e /r /s</v>
      </c>
      <c r="AG130" s="1" t="str">
        <f t="shared" si="34"/>
        <v>EC</v>
      </c>
      <c r="AH130" s="95" t="str">
        <f t="shared" si="35"/>
        <v>"%USERPROFILE%\Documents\GitHub\eaglep3\Utilities\RefineRTDCRunTimes.py" --tripid 217-09 --locoid 4014 --swversion DE.1.0.7.0 --startMP 204:451 --initTime 2016-10-09T18:08:40 --startdatetime 2016-10-09T18:15:14 --delay 1 --endMP 204:233297 --enddatetime 2016-10-09T18:50:16 --enforcementcount 0 &gt;&gt;C:\Users\stu\Documents\GitHub\eaglep3-reporting\EC\2016-10-09-refined-times.txt</v>
      </c>
      <c r="AI13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ID","value":"217-09"},{"id":16,"name":"Locomotive ID","value":"4014"},{"id":130,"name":"Impact","value":""},{"id":150,"name":"Time of Event (Mountain Time)","value":"18:50:16"},{"id":151,"name":"Denver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567</v>
      </c>
      <c r="B131" s="7">
        <v>4013</v>
      </c>
      <c r="C131" s="24" t="s">
        <v>106</v>
      </c>
      <c r="D131" s="24" t="s">
        <v>709</v>
      </c>
      <c r="E131" s="15">
        <v>42652.791018518517</v>
      </c>
      <c r="F131" s="15">
        <v>42652.799467592595</v>
      </c>
      <c r="G131" s="7">
        <v>1</v>
      </c>
      <c r="H131" s="15" t="s">
        <v>293</v>
      </c>
      <c r="I131" s="15">
        <v>42652.826296296298</v>
      </c>
      <c r="J131" s="7">
        <v>0</v>
      </c>
      <c r="K131" s="116" t="str">
        <f t="shared" si="20"/>
        <v>4013/4014</v>
      </c>
      <c r="L131" s="24" t="str">
        <f>VLOOKUP(A131,'Trips&amp;Operators'!$C$1:$E$10000,3,FALSE)</f>
        <v>NEWELL</v>
      </c>
      <c r="M131" s="6">
        <f t="shared" si="21"/>
        <v>2.6828703703358769E-2</v>
      </c>
      <c r="N131" s="7">
        <f t="shared" si="22"/>
        <v>38.633333332836628</v>
      </c>
      <c r="O131" s="7"/>
      <c r="P131" s="7"/>
      <c r="Q131" s="25"/>
      <c r="R131" s="25"/>
      <c r="S131" s="37">
        <f t="shared" si="23"/>
        <v>1</v>
      </c>
      <c r="T131" s="52" t="str">
        <f t="shared" si="24"/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17:59:04-0600',mode:absolute,to:'2016-10-09 20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1" s="54" t="str">
        <f t="shared" si="26"/>
        <v>N</v>
      </c>
      <c r="X131" s="163">
        <f t="shared" si="37"/>
        <v>1</v>
      </c>
      <c r="Y131" s="69">
        <f t="shared" si="28"/>
        <v>23.297499999999999</v>
      </c>
      <c r="Z131" s="69">
        <f t="shared" si="29"/>
        <v>1.72E-2</v>
      </c>
      <c r="AA131" s="69">
        <f t="shared" si="30"/>
        <v>23.2803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1"/>
        <v>0218-09</v>
      </c>
      <c r="AE131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31" s="91" t="str">
        <f t="shared" si="33"/>
        <v>"C:\Program Files (x86)\AstroGrep\AstroGrep.exe" /spath="%USERPROFILE%\AppData\Local\Temp\OnboardLogs" /stypes="app*4013*20161010*" /stext=" 01:.+((SYSTEM_STATE.+slice.+state.+changed )|(ment ac)|(system.+state.+changed )|(\[timeout)|(PRM\|1\|D)|(kpr)|(kdp)|(\|lc)|(penalty))" /e /r /s</v>
      </c>
      <c r="AG131" s="1" t="str">
        <f t="shared" si="34"/>
        <v>EC</v>
      </c>
      <c r="AH131" s="95" t="str">
        <f t="shared" si="35"/>
        <v>"%USERPROFILE%\Documents\GitHub\eaglep3\Utilities\RefineRTDCRunTimes.py" --tripid 218-09 --locoid 4013 --swversion DE.1.0.7.0 --startMP 204:232975 --initTime 2016-10-09T18:59:04 --startdatetime 2016-10-09T19:11:14 --delay 1 --endMP 204:172 --enddatetime 2016-10-09T19:49:52 --enforcementcount 0 &gt;&gt;C:\Users\stu\Documents\GitHub\eaglep3-reporting\EC\2016-10-09-refined-times.txt</v>
      </c>
      <c r="AI13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{"issue":{"subject":"","project_id":79,"tracker_id":40,"status_id":1,"priority_id":2,"assigned_to_id":23,"start_date":"2016-10-09","description":"","custom_fields":[{"id":1,"name":"Subdivision","value":"EC"},{"id":4,"name":"Milepost","value":"0.0172"},{"id":17,"name":"Train ID","value":"218-09"},{"id":16,"name":"Locomotive ID","value":"4013"},{"id":130,"name":"Impact","value":""},{"id":150,"name":"Time of Event (Mountain Time)","value":"19:49:52"},{"id":151,"name":"Denver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558</v>
      </c>
      <c r="B132" s="7">
        <v>4027</v>
      </c>
      <c r="C132" s="24" t="s">
        <v>106</v>
      </c>
      <c r="D132" s="24" t="s">
        <v>196</v>
      </c>
      <c r="E132" s="15">
        <v>42652.76829861111</v>
      </c>
      <c r="F132" s="15">
        <v>42652.771423611113</v>
      </c>
      <c r="G132" s="7">
        <v>1</v>
      </c>
      <c r="H132" s="15" t="s">
        <v>628</v>
      </c>
      <c r="I132" s="15">
        <v>42652.797303240739</v>
      </c>
      <c r="J132" s="7">
        <v>0</v>
      </c>
      <c r="K132" s="116" t="str">
        <f t="shared" si="20"/>
        <v>4027/4028</v>
      </c>
      <c r="L132" s="24" t="str">
        <f>VLOOKUP(A132,'Trips&amp;Operators'!$C$1:$E$10000,3,FALSE)</f>
        <v>CHANDLER</v>
      </c>
      <c r="M132" s="6">
        <f t="shared" si="21"/>
        <v>2.5879629625706002E-2</v>
      </c>
      <c r="N132" s="7">
        <f t="shared" si="22"/>
        <v>37.266666661016643</v>
      </c>
      <c r="O132" s="7"/>
      <c r="P132" s="7"/>
      <c r="Q132" s="25"/>
      <c r="R132" s="25"/>
      <c r="S132" s="37">
        <f t="shared" si="23"/>
        <v>1</v>
      </c>
      <c r="T132" s="52" t="str">
        <f t="shared" si="24"/>
        <v>NorthBound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17:26:21-0600',mode:absolute,to:'2016-10-09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2" s="54" t="str">
        <f t="shared" si="26"/>
        <v>N</v>
      </c>
      <c r="X132" s="163">
        <f t="shared" si="37"/>
        <v>1</v>
      </c>
      <c r="Y132" s="69">
        <f t="shared" si="28"/>
        <v>4.5100000000000001E-2</v>
      </c>
      <c r="Z132" s="69">
        <f t="shared" si="29"/>
        <v>23.328700000000001</v>
      </c>
      <c r="AA132" s="69">
        <f t="shared" si="30"/>
        <v>23.2836</v>
      </c>
      <c r="AB132" s="66" t="str">
        <f>VLOOKUP(A132,Enforcements!$C$7:$K$21,8,0)</f>
        <v>Bulletin (2)</v>
      </c>
      <c r="AC132" s="62" t="str">
        <f>VLOOKUP(A132,Enforcements!$C$7:$E$21,3,0)</f>
        <v>GRADE CROSSING</v>
      </c>
      <c r="AD132" s="63" t="str">
        <f t="shared" si="31"/>
        <v>0219-09</v>
      </c>
      <c r="AE132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32" s="91" t="str">
        <f t="shared" si="33"/>
        <v>"C:\Program Files (x86)\AstroGrep\AstroGrep.exe" /spath="%USERPROFILE%\AppData\Local\Temp\OnboardLogs" /stypes="app*4027*20161010*" /stext=" 01:.+((SYSTEM_STATE.+slice.+state.+changed )|(ment ac)|(system.+state.+changed )|(\[timeout)|(PRM\|1\|D)|(kpr)|(kdp)|(\|lc)|(penalty))" /e /r /s</v>
      </c>
      <c r="AG132" s="1" t="str">
        <f t="shared" si="34"/>
        <v>EC</v>
      </c>
      <c r="AH132" s="95" t="str">
        <f t="shared" si="35"/>
        <v>"%USERPROFILE%\Documents\GitHub\eaglep3\Utilities\RefineRTDCRunTimes.py" --tripid 219-09 --locoid 4027 --swversion DE.1.0.7.0 --startMP 204:451 --initTime 2016-10-09T18:26:21 --startdatetime 2016-10-09T18:30:51 --delay 1 --endMP 204:233287 --enddatetime 2016-10-09T19:08:07 --enforcementcount 0 &gt;&gt;C:\Users\stu\Documents\GitHub\eaglep3-reporting\EC\2016-10-09-refined-times.txt</v>
      </c>
      <c r="AI132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ID","value":"219-09"},{"id":16,"name":"Locomotive ID","value":"4027"},{"id":130,"name":"Impact","value":""},{"id":150,"name":"Time of Event (Mountain Time)","value":"19:08:07"},{"id":151,"name":"Denver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572</v>
      </c>
      <c r="B133" s="7">
        <v>4028</v>
      </c>
      <c r="C133" s="24" t="s">
        <v>106</v>
      </c>
      <c r="D133" s="24" t="s">
        <v>710</v>
      </c>
      <c r="E133" s="15">
        <v>42652.80840277778</v>
      </c>
      <c r="F133" s="15">
        <v>42652.810034722221</v>
      </c>
      <c r="G133" s="7">
        <v>1</v>
      </c>
      <c r="H133" s="15" t="s">
        <v>298</v>
      </c>
      <c r="I133" s="15">
        <v>42652.837835648148</v>
      </c>
      <c r="J133" s="7">
        <v>0</v>
      </c>
      <c r="K133" s="116" t="str">
        <f t="shared" si="20"/>
        <v>4027/4028</v>
      </c>
      <c r="L133" s="24" t="str">
        <f>VLOOKUP(A133,'Trips&amp;Operators'!$C$1:$E$10000,3,FALSE)</f>
        <v>CHANDLER</v>
      </c>
      <c r="M133" s="6">
        <f t="shared" si="21"/>
        <v>2.7800925927294884E-2</v>
      </c>
      <c r="N133" s="7">
        <f t="shared" si="22"/>
        <v>40.033333335304633</v>
      </c>
      <c r="O133" s="7"/>
      <c r="P133" s="7"/>
      <c r="Q133" s="25"/>
      <c r="R133" s="25"/>
      <c r="S133" s="37">
        <f t="shared" si="23"/>
        <v>1</v>
      </c>
      <c r="T133" s="52" t="str">
        <f t="shared" si="24"/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18:24:06-0600',mode:absolute,to:'2016-10-09 21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3" s="54" t="str">
        <f t="shared" si="26"/>
        <v>N</v>
      </c>
      <c r="X133" s="163">
        <f t="shared" si="37"/>
        <v>1</v>
      </c>
      <c r="Y133" s="69">
        <f t="shared" si="28"/>
        <v>23.2972</v>
      </c>
      <c r="Z133" s="69">
        <f t="shared" si="29"/>
        <v>1.67E-2</v>
      </c>
      <c r="AA133" s="69">
        <f t="shared" si="30"/>
        <v>23.2805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1"/>
        <v>0220-09</v>
      </c>
      <c r="AE133" s="94" t="str">
        <f t="shared" si="32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33" s="91" t="str">
        <f t="shared" si="33"/>
        <v>"C:\Program Files (x86)\AstroGrep\AstroGrep.exe" /spath="%USERPROFILE%\AppData\Local\Temp\OnboardLogs" /stypes="app*4028*20161010*" /stext=" 02:.+((SYSTEM_STATE.+slice.+state.+changed )|(ment ac)|(system.+state.+changed )|(\[timeout)|(PRM\|1\|D)|(kpr)|(kdp)|(\|lc)|(penalty))" /e /r /s</v>
      </c>
      <c r="AG133" s="1" t="str">
        <f t="shared" si="34"/>
        <v>EC</v>
      </c>
      <c r="AH133" s="95" t="str">
        <f t="shared" si="35"/>
        <v>"%USERPROFILE%\Documents\GitHub\eaglep3\Utilities\RefineRTDCRunTimes.py" --tripid 220-09 --locoid 4028 --swversion DE.1.0.7.0 --startMP 204:232972 --initTime 2016-10-09T19:24:06 --startdatetime 2016-10-09T19:26:27 --delay 1 --endMP 204:167 --enddatetime 2016-10-09T20:06:29 --enforcementcount 0 &gt;&gt;C:\Users\stu\Documents\GitHub\eaglep3-reporting\EC\2016-10-09-refined-times.txt</v>
      </c>
      <c r="AI133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{"issue":{"subject":"","project_id":79,"tracker_id":40,"status_id":1,"priority_id":2,"assigned_to_id":23,"start_date":"2016-10-09","description":"","custom_fields":[{"id":1,"name":"Subdivision","value":"EC"},{"id":4,"name":"Milepost","value":"0.0167"},{"id":17,"name":"Train ID","value":"220-09"},{"id":16,"name":"Locomotive ID","value":"4028"},{"id":130,"name":"Impact","value":""},{"id":150,"name":"Time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566</v>
      </c>
      <c r="B134" s="7">
        <v>4002</v>
      </c>
      <c r="C134" s="24" t="s">
        <v>106</v>
      </c>
      <c r="D134" s="24" t="s">
        <v>284</v>
      </c>
      <c r="E134" s="15">
        <v>42652.787604166668</v>
      </c>
      <c r="F134" s="15">
        <v>42652.792025462964</v>
      </c>
      <c r="G134" s="7">
        <v>1</v>
      </c>
      <c r="H134" s="15" t="s">
        <v>385</v>
      </c>
      <c r="I134" s="15">
        <v>42652.817858796298</v>
      </c>
      <c r="J134" s="7">
        <v>0</v>
      </c>
      <c r="K134" s="116" t="str">
        <f t="shared" si="20"/>
        <v>4001/4002</v>
      </c>
      <c r="L134" s="24" t="str">
        <f>VLOOKUP(A134,'Trips&amp;Operators'!$C$1:$E$10000,3,FALSE)</f>
        <v>LEVERE</v>
      </c>
      <c r="M134" s="6">
        <f t="shared" si="21"/>
        <v>2.5833333333139308E-2</v>
      </c>
      <c r="N134" s="7">
        <f t="shared" si="22"/>
        <v>37.199999999720603</v>
      </c>
      <c r="O134" s="7"/>
      <c r="P134" s="7"/>
      <c r="Q134" s="25"/>
      <c r="R134" s="25"/>
      <c r="S134" s="37">
        <f t="shared" si="23"/>
        <v>1</v>
      </c>
      <c r="T134" s="52" t="str">
        <f t="shared" si="24"/>
        <v>NorthBound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17:54:09-0600',mode:absolute,to:'2016-10-09 20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4" s="54" t="str">
        <f t="shared" si="26"/>
        <v>N</v>
      </c>
      <c r="X134" s="163">
        <f t="shared" si="37"/>
        <v>1</v>
      </c>
      <c r="Y134" s="69">
        <f t="shared" si="28"/>
        <v>4.3999999999999997E-2</v>
      </c>
      <c r="Z134" s="69">
        <f t="shared" si="29"/>
        <v>23.331499999999998</v>
      </c>
      <c r="AA134" s="69">
        <f t="shared" si="30"/>
        <v>23.287499999999998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1"/>
        <v>0221-09</v>
      </c>
      <c r="AE134" s="94" t="str">
        <f t="shared" si="32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34" s="91" t="str">
        <f t="shared" si="33"/>
        <v>"C:\Program Files (x86)\AstroGrep\AstroGrep.exe" /spath="%USERPROFILE%\AppData\Local\Temp\OnboardLogs" /stypes="app*4002*20161010*" /stext=" 01:.+((SYSTEM_STATE.+slice.+state.+changed )|(ment ac)|(system.+state.+changed )|(\[timeout)|(PRM\|1\|D)|(kpr)|(kdp)|(\|lc)|(penalty))" /e /r /s</v>
      </c>
      <c r="AG134" s="1" t="str">
        <f t="shared" si="34"/>
        <v>EC</v>
      </c>
      <c r="AH134" s="95" t="str">
        <f t="shared" si="35"/>
        <v>"%USERPROFILE%\Documents\GitHub\eaglep3\Utilities\RefineRTDCRunTimes.py" --tripid 221-09 --locoid 4002 --swversion DE.1.0.7.0 --startMP 204:440 --initTime 2016-10-09T18:54:09 --startdatetime 2016-10-09T19:00:31 --delay 1 --endMP 204:233315 --enddatetime 2016-10-09T19:37:43 --enforcementcount 0 &gt;&gt;C:\Users\stu\Documents\GitHub\eaglep3-reporting\EC\2016-10-09-refined-times.txt</v>
      </c>
      <c r="AI134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ID","value":"221-09"},{"id":16,"name":"Locomotive ID","value":"4002"},{"id":130,"name":"Impact","value":""},{"id":150,"name":"Time of Event (Mountain Time)","value":"19:37:43"},{"id":151,"name":"Denver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577</v>
      </c>
      <c r="B135" s="7">
        <v>4001</v>
      </c>
      <c r="C135" s="24" t="s">
        <v>106</v>
      </c>
      <c r="D135" s="24" t="s">
        <v>711</v>
      </c>
      <c r="E135" s="15">
        <v>42652.823206018518</v>
      </c>
      <c r="F135" s="15">
        <v>42652.830729166664</v>
      </c>
      <c r="G135" s="7">
        <v>1</v>
      </c>
      <c r="H135" s="15" t="s">
        <v>187</v>
      </c>
      <c r="I135" s="15">
        <v>42652.860335648147</v>
      </c>
      <c r="J135" s="7">
        <v>0</v>
      </c>
      <c r="K135" s="116" t="str">
        <f t="shared" si="20"/>
        <v>4001/4002</v>
      </c>
      <c r="L135" s="24" t="str">
        <f>VLOOKUP(A135,'Trips&amp;Operators'!$C$1:$E$10000,3,FALSE)</f>
        <v>LEVERE</v>
      </c>
      <c r="M135" s="6">
        <f t="shared" si="21"/>
        <v>2.9606481482915115E-2</v>
      </c>
      <c r="N135" s="7">
        <f t="shared" si="22"/>
        <v>42.633333335397765</v>
      </c>
      <c r="O135" s="7"/>
      <c r="P135" s="7"/>
      <c r="Q135" s="25"/>
      <c r="R135" s="25"/>
      <c r="S135" s="37">
        <f t="shared" si="23"/>
        <v>1</v>
      </c>
      <c r="T135" s="52" t="str">
        <f t="shared" si="24"/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18:45:25-0600',mode:absolute,to:'2016-10-09 21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5" s="54" t="str">
        <f t="shared" si="26"/>
        <v>N</v>
      </c>
      <c r="X135" s="163">
        <f t="shared" si="37"/>
        <v>1</v>
      </c>
      <c r="Y135" s="69">
        <f t="shared" si="28"/>
        <v>23.300799999999999</v>
      </c>
      <c r="Z135" s="69">
        <f t="shared" si="29"/>
        <v>1.6E-2</v>
      </c>
      <c r="AA135" s="69">
        <f t="shared" si="30"/>
        <v>23.284800000000001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1"/>
        <v>0222-09</v>
      </c>
      <c r="AE135" s="94" t="str">
        <f t="shared" si="32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35" s="91" t="str">
        <f t="shared" si="33"/>
        <v>"C:\Program Files (x86)\AstroGrep\AstroGrep.exe" /spath="%USERPROFILE%\AppData\Local\Temp\OnboardLogs" /stypes="app*4001*20161010*" /stext=" 02:.+((SYSTEM_STATE.+slice.+state.+changed )|(ment ac)|(system.+state.+changed )|(\[timeout)|(PRM\|1\|D)|(kpr)|(kdp)|(\|lc)|(penalty))" /e /r /s</v>
      </c>
      <c r="AG135" s="1" t="str">
        <f t="shared" si="34"/>
        <v>EC</v>
      </c>
      <c r="AH135" s="95" t="str">
        <f t="shared" si="35"/>
        <v>"%USERPROFILE%\Documents\GitHub\eaglep3\Utilities\RefineRTDCRunTimes.py" --tripid 222-09 --locoid 4001 --swversion DE.1.0.7.0 --startMP 204:233008 --initTime 2016-10-09T19:45:25 --startdatetime 2016-10-09T19:56:15 --delay 1 --endMP 204:160 --enddatetime 2016-10-09T20:38:53 --enforcementcount 0 &gt;&gt;C:\Users\stu\Documents\GitHub\eaglep3-reporting\EC\2016-10-09-refined-times.txt</v>
      </c>
      <c r="AI135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ID","value":"222-09"},{"id":16,"name":"Locomotive ID","value":"4001"},{"id":130,"name":"Impact","value":""},{"id":150,"name":"Time of Event (Mountain Time)","value":"20:38:53"},{"id":151,"name":"Denver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571</v>
      </c>
      <c r="B136" s="7">
        <v>4025</v>
      </c>
      <c r="C136" s="24" t="s">
        <v>106</v>
      </c>
      <c r="D136" s="24" t="s">
        <v>237</v>
      </c>
      <c r="E136" s="15">
        <v>42652.807881944442</v>
      </c>
      <c r="F136" s="15">
        <v>42652.8127662037</v>
      </c>
      <c r="G136" s="7">
        <v>2</v>
      </c>
      <c r="H136" s="15" t="s">
        <v>712</v>
      </c>
      <c r="I136" s="15">
        <v>42652.837824074071</v>
      </c>
      <c r="J136" s="7">
        <v>0</v>
      </c>
      <c r="K136" s="116" t="str">
        <f t="shared" si="20"/>
        <v>4025/4026</v>
      </c>
      <c r="L136" s="24" t="str">
        <f>VLOOKUP(A136,'Trips&amp;Operators'!$C$1:$E$10000,3,FALSE)</f>
        <v>COOLAHAN</v>
      </c>
      <c r="M136" s="6">
        <f t="shared" si="21"/>
        <v>2.5057870370801538E-2</v>
      </c>
      <c r="N136" s="7">
        <f t="shared" si="22"/>
        <v>36.083333333954215</v>
      </c>
      <c r="O136" s="7"/>
      <c r="P136" s="7"/>
      <c r="Q136" s="25"/>
      <c r="R136" s="25"/>
      <c r="S136" s="37">
        <f t="shared" si="23"/>
        <v>1</v>
      </c>
      <c r="T136" s="52" t="str">
        <f t="shared" si="24"/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18:23:21-0600',mode:absolute,to:'2016-10-09 21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6" s="54" t="str">
        <f t="shared" si="26"/>
        <v>N</v>
      </c>
      <c r="X136" s="163">
        <f t="shared" si="37"/>
        <v>1</v>
      </c>
      <c r="Y136" s="69">
        <f t="shared" si="28"/>
        <v>4.4699999999999997E-2</v>
      </c>
      <c r="Z136" s="69">
        <f t="shared" si="29"/>
        <v>23.3323</v>
      </c>
      <c r="AA136" s="69">
        <f t="shared" si="30"/>
        <v>23.287600000000001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1"/>
        <v>0223-09</v>
      </c>
      <c r="AE136" s="94" t="str">
        <f t="shared" si="32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36" s="91" t="str">
        <f t="shared" si="33"/>
        <v>"C:\Program Files (x86)\AstroGrep\AstroGrep.exe" /spath="%USERPROFILE%\AppData\Local\Temp\OnboardLogs" /stypes="app*4025*20161010*" /stext=" 02:.+((SYSTEM_STATE.+slice.+state.+changed )|(ment ac)|(system.+state.+changed )|(\[timeout)|(PRM\|1\|D)|(kpr)|(kdp)|(\|lc)|(penalty))" /e /r /s</v>
      </c>
      <c r="AG136" s="1" t="str">
        <f t="shared" si="34"/>
        <v>EC</v>
      </c>
      <c r="AH136" s="95" t="str">
        <f t="shared" si="35"/>
        <v>"%USERPROFILE%\Documents\GitHub\eaglep3\Utilities\RefineRTDCRunTimes.py" --tripid 223-09 --locoid 4025 --swversion DE.1.0.7.0 --startMP 204:447 --initTime 2016-10-09T19:23:21 --startdatetime 2016-10-09T19:30:23 --delay 2 --endMP 204:233323 --enddatetime 2016-10-09T20:06:28 --enforcementcount 0 &gt;&gt;C:\Users\stu\Documents\GitHub\eaglep3-reporting\EC\2016-10-09-refined-times.txt</v>
      </c>
      <c r="AI136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{"issue":{"subject":"","project_id":79,"tracker_id":40,"status_id":1,"priority_id":2,"assigned_to_id":23,"start_date":"2016-10-09","description":"","custom_fields":[{"id":1,"name":"Subdivision","value":"EC"},{"id":4,"name":"Milepost","value":"23.3323"},{"id":17,"name":"Train ID","value":"223-09"},{"id":16,"name":"Locomotive ID","value":"4025"},{"id":130,"name":"Impact","value":""},{"id":150,"name":"Time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581</v>
      </c>
      <c r="B137" s="7">
        <v>4026</v>
      </c>
      <c r="C137" s="24" t="s">
        <v>106</v>
      </c>
      <c r="D137" s="24" t="s">
        <v>254</v>
      </c>
      <c r="E137" s="15">
        <v>42652.848032407404</v>
      </c>
      <c r="F137" s="15">
        <v>42652.851666666669</v>
      </c>
      <c r="G137" s="7">
        <v>1</v>
      </c>
      <c r="H137" s="15" t="s">
        <v>186</v>
      </c>
      <c r="I137" s="15">
        <v>42652.880891203706</v>
      </c>
      <c r="J137" s="7">
        <v>0</v>
      </c>
      <c r="K137" s="116" t="str">
        <f t="shared" si="20"/>
        <v>4025/4026</v>
      </c>
      <c r="L137" s="24" t="str">
        <f>VLOOKUP(A137,'Trips&amp;Operators'!$C$1:$E$10000,3,FALSE)</f>
        <v>COOLAHAN</v>
      </c>
      <c r="M137" s="6">
        <f t="shared" si="21"/>
        <v>2.9224537036498077E-2</v>
      </c>
      <c r="N137" s="7">
        <f t="shared" si="22"/>
        <v>42.083333332557231</v>
      </c>
      <c r="O137" s="7"/>
      <c r="P137" s="7"/>
      <c r="Q137" s="25"/>
      <c r="R137" s="25"/>
      <c r="S137" s="37">
        <f t="shared" si="23"/>
        <v>1</v>
      </c>
      <c r="T137" s="52" t="str">
        <f t="shared" si="24"/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19:21:10-0600',mode:absolute,to:'2016-10-09 22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7" s="54" t="str">
        <f t="shared" si="26"/>
        <v>N</v>
      </c>
      <c r="X137" s="163">
        <f t="shared" si="37"/>
        <v>1</v>
      </c>
      <c r="Y137" s="69">
        <f t="shared" si="28"/>
        <v>23.3002</v>
      </c>
      <c r="Z137" s="69">
        <f t="shared" si="29"/>
        <v>1.49E-2</v>
      </c>
      <c r="AA137" s="69">
        <f t="shared" si="30"/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1"/>
        <v>0224-09</v>
      </c>
      <c r="AE137" s="94" t="str">
        <f t="shared" si="32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37" s="91" t="str">
        <f t="shared" si="33"/>
        <v>"C:\Program Files (x86)\AstroGrep\AstroGrep.exe" /spath="%USERPROFILE%\AppData\Local\Temp\OnboardLogs" /stypes="app*4026*20161010*" /stext=" 03:.+((SYSTEM_STATE.+slice.+state.+changed )|(ment ac)|(system.+state.+changed )|(\[timeout)|(PRM\|1\|D)|(kpr)|(kdp)|(\|lc)|(penalty))" /e /r /s</v>
      </c>
      <c r="AG137" s="1" t="str">
        <f t="shared" si="34"/>
        <v>EC</v>
      </c>
      <c r="AH137" s="95" t="str">
        <f t="shared" si="35"/>
        <v>"%USERPROFILE%\Documents\GitHub\eaglep3\Utilities\RefineRTDCRunTimes.py" --tripid 224-09 --locoid 4026 --swversion DE.1.0.7.0 --startMP 204:233002 --initTime 2016-10-09T20:21:10 --startdatetime 2016-10-09T20:26:24 --delay 1 --endMP 204:149 --enddatetime 2016-10-09T21:08:29 --enforcementcount 0 &gt;&gt;C:\Users\stu\Documents\GitHub\eaglep3-reporting\EC\2016-10-09-refined-times.txt</v>
      </c>
      <c r="AI137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ID","value":"224-09"},{"id":16,"name":"Locomotive ID","value":"4026"},{"id":130,"name":"Impact","value":""},{"id":150,"name":"Time of Event (Mountain Time)","value":"21:08:29"},{"id":151,"name":"Denver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578</v>
      </c>
      <c r="B138" s="7">
        <v>4014</v>
      </c>
      <c r="C138" s="24" t="s">
        <v>106</v>
      </c>
      <c r="D138" s="24" t="s">
        <v>713</v>
      </c>
      <c r="E138" s="15">
        <v>42652.82739583333</v>
      </c>
      <c r="F138" s="15">
        <v>42652.839444444442</v>
      </c>
      <c r="G138" s="7">
        <v>16</v>
      </c>
      <c r="H138" s="15" t="s">
        <v>367</v>
      </c>
      <c r="I138" s="15">
        <v>42652.86215277778</v>
      </c>
      <c r="J138" s="7">
        <v>0</v>
      </c>
      <c r="K138" s="116" t="str">
        <f t="shared" si="20"/>
        <v>4013/4014</v>
      </c>
      <c r="L138" s="24" t="str">
        <f>VLOOKUP(A138,'Trips&amp;Operators'!$C$1:$E$10000,3,FALSE)</f>
        <v>NEWELL</v>
      </c>
      <c r="M138" s="6">
        <f t="shared" si="21"/>
        <v>2.2708333337504882E-2</v>
      </c>
      <c r="N138" s="7"/>
      <c r="O138" s="7"/>
      <c r="P138" s="7">
        <f t="shared" si="22"/>
        <v>32.700000006007031</v>
      </c>
      <c r="Q138" s="25"/>
      <c r="R138" s="25" t="s">
        <v>768</v>
      </c>
      <c r="S138" s="37">
        <f t="shared" si="23"/>
        <v>1</v>
      </c>
      <c r="T138" s="52" t="str">
        <f t="shared" si="24"/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18:51:27-0600',mode:absolute,to:'2016-10-09 21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54" t="str">
        <f t="shared" si="26"/>
        <v>Y</v>
      </c>
      <c r="X138" s="163">
        <f t="shared" si="37"/>
        <v>1</v>
      </c>
      <c r="Y138" s="69">
        <f t="shared" si="28"/>
        <v>1.0706</v>
      </c>
      <c r="Z138" s="69">
        <f t="shared" si="29"/>
        <v>23.3306</v>
      </c>
      <c r="AA138" s="69">
        <f t="shared" si="30"/>
        <v>22.26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1"/>
        <v>0225-09</v>
      </c>
      <c r="AE138" s="94" t="str">
        <f t="shared" si="32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38" s="91" t="str">
        <f t="shared" si="33"/>
        <v>"C:\Program Files (x86)\AstroGrep\AstroGrep.exe" /spath="%USERPROFILE%\AppData\Local\Temp\OnboardLogs" /stypes="app*4014*20161010*" /stext=" 02:.+((SYSTEM_STATE.+slice.+state.+changed )|(ment ac)|(system.+state.+changed )|(\[timeout)|(PRM\|1\|D)|(kpr)|(kdp)|(\|lc)|(penalty))" /e /r /s</v>
      </c>
      <c r="AG138" s="1" t="str">
        <f t="shared" si="34"/>
        <v>EC</v>
      </c>
      <c r="AH138" s="95" t="str">
        <f t="shared" si="35"/>
        <v>"%USERPROFILE%\Documents\GitHub\eaglep3\Utilities\RefineRTDCRunTimes.py" --tripid 225-09 --locoid 4014 --swversion DE.1.0.7.0 --startMP 204:10706 --initTime 2016-10-09T19:51:27 --startdatetime 2016-10-09T20:08:48 --delay 16 --endMP 204:233306 --enddatetime 2016-10-09T20:41:30 --enforcementcount 0 &gt;&gt;C:\Users\stu\Documents\GitHub\eaglep3-reporting\EC\2016-10-09-refined-times.txt</v>
      </c>
      <c r="AI138" s="129" t="str">
        <f t="shared" si="36"/>
        <v>echo {"issue":{"subject":"Onboard in-route failure","project_id":79,"tracker_id":40,"status_id":1,"priority_id":2,"assigned_to_id":23,"start_date":"2016-10-09","description":"2016-10-09 19:53:54 - multiple cpu faults","custom_fields":[{"id":1,"name":"Subdivision","value":"EC"},{"id":4,"name":"Milepost","value":"23.3306"},{"id":17,"name":"Train ID","value":"225-09"},{"id":16,"name":"Locomotive ID","value":"4014"},{"id":130,"name":"Impact","value":"Failed State"},{"id":150,"name":"Time of Event (Mountain Time)","value":"20:41:30"},{"id":151,"name":"Denver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8" s="55" t="s">
        <v>769</v>
      </c>
      <c r="AK138" s="55" t="s">
        <v>137</v>
      </c>
      <c r="AL138" s="55" t="s">
        <v>202</v>
      </c>
    </row>
    <row r="139" spans="1:38" s="23" customFormat="1" x14ac:dyDescent="0.25">
      <c r="A139" s="39" t="s">
        <v>586</v>
      </c>
      <c r="B139" s="7">
        <v>4013</v>
      </c>
      <c r="C139" s="24" t="s">
        <v>106</v>
      </c>
      <c r="D139" s="24" t="s">
        <v>369</v>
      </c>
      <c r="E139" s="15">
        <v>42652.86309027778</v>
      </c>
      <c r="F139" s="15">
        <v>42652.872395833336</v>
      </c>
      <c r="G139" s="7">
        <v>0</v>
      </c>
      <c r="H139" s="15" t="s">
        <v>289</v>
      </c>
      <c r="I139" s="15">
        <v>42652.898657407408</v>
      </c>
      <c r="J139" s="7">
        <v>0</v>
      </c>
      <c r="K139" s="116" t="str">
        <f t="shared" si="20"/>
        <v>4013/4014</v>
      </c>
      <c r="L139" s="24" t="str">
        <f>VLOOKUP(A139,'Trips&amp;Operators'!$C$1:$E$10000,3,FALSE)</f>
        <v>NEWELL</v>
      </c>
      <c r="M139" s="6">
        <f t="shared" si="21"/>
        <v>2.626157407212304E-2</v>
      </c>
      <c r="N139" s="7">
        <f t="shared" si="22"/>
        <v>37.816666663857177</v>
      </c>
      <c r="O139" s="7"/>
      <c r="P139" s="7"/>
      <c r="Q139" s="25"/>
      <c r="R139" s="25"/>
      <c r="S139" s="37">
        <f t="shared" si="23"/>
        <v>1</v>
      </c>
      <c r="T139" s="52" t="str">
        <f t="shared" si="24"/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19:42:51-0600',mode:absolute,to:'2016-10-09 22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54" t="str">
        <f t="shared" si="26"/>
        <v>N</v>
      </c>
      <c r="X139" s="163">
        <f t="shared" si="37"/>
        <v>1</v>
      </c>
      <c r="Y139" s="69">
        <f t="shared" si="28"/>
        <v>23.2987</v>
      </c>
      <c r="Z139" s="69">
        <f t="shared" si="29"/>
        <v>1.43E-2</v>
      </c>
      <c r="AA139" s="69">
        <f t="shared" si="30"/>
        <v>23.284400000000002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1"/>
        <v>0226-09</v>
      </c>
      <c r="AE139" s="94" t="str">
        <f t="shared" si="32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39" s="91" t="str">
        <f t="shared" si="33"/>
        <v>"C:\Program Files (x86)\AstroGrep\AstroGrep.exe" /spath="%USERPROFILE%\AppData\Local\Temp\OnboardLogs" /stypes="app*4013*20161010*" /stext=" 03:.+((SYSTEM_STATE.+slice.+state.+changed )|(ment ac)|(system.+state.+changed )|(\[timeout)|(PRM\|1\|D)|(kpr)|(kdp)|(\|lc)|(penalty))" /e /r /s</v>
      </c>
      <c r="AG139" s="1" t="str">
        <f t="shared" si="34"/>
        <v>EC</v>
      </c>
      <c r="AH139" s="95" t="str">
        <f t="shared" si="35"/>
        <v>"%USERPROFILE%\Documents\GitHub\eaglep3\Utilities\RefineRTDCRunTimes.py" --tripid 226-09 --locoid 4013 --swversion DE.1.0.7.0 --startMP 204:232987 --initTime 2016-10-09T20:42:51 --startdatetime 2016-10-09T20:56:15 --delay 0 --endMP 204:143 --enddatetime 2016-10-09T21:34:04 --enforcementcount 0 &gt;&gt;C:\Users\stu\Documents\GitHub\eaglep3-reporting\EC\2016-10-09-refined-times.txt</v>
      </c>
      <c r="AI139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ID","value":"226-09"},{"id":16,"name":"Locomotive ID","value":"4013"},{"id":130,"name":"Impact","value":""},{"id":150,"name":"Time of Event (Mountain Time)","value":"21:34:04"},{"id":151,"name":"Denver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583</v>
      </c>
      <c r="B140" s="7">
        <v>4027</v>
      </c>
      <c r="C140" s="24" t="s">
        <v>106</v>
      </c>
      <c r="D140" s="24" t="s">
        <v>243</v>
      </c>
      <c r="E140" s="15">
        <v>42652.852025462962</v>
      </c>
      <c r="F140" s="15">
        <v>42652.854525462964</v>
      </c>
      <c r="G140" s="7">
        <v>1</v>
      </c>
      <c r="H140" s="15" t="s">
        <v>639</v>
      </c>
      <c r="I140" s="15">
        <v>42652.880069444444</v>
      </c>
      <c r="J140" s="7">
        <v>0</v>
      </c>
      <c r="K140" s="116" t="str">
        <f t="shared" si="20"/>
        <v>4027/4028</v>
      </c>
      <c r="L140" s="24" t="str">
        <f>VLOOKUP(A140,'Trips&amp;Operators'!$C$1:$E$10000,3,FALSE)</f>
        <v>CHANDLER</v>
      </c>
      <c r="M140" s="6">
        <f t="shared" si="21"/>
        <v>2.5543981479131617E-2</v>
      </c>
      <c r="N140" s="7">
        <f t="shared" si="22"/>
        <v>36.783333329949528</v>
      </c>
      <c r="O140" s="7"/>
      <c r="P140" s="7"/>
      <c r="Q140" s="25"/>
      <c r="R140" s="25"/>
      <c r="S140" s="37">
        <f t="shared" si="23"/>
        <v>1</v>
      </c>
      <c r="T140" s="52" t="str">
        <f t="shared" si="24"/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 t="shared" si="25"/>
        <v>https://search-rtdc-monitor-bjffxe2xuh6vdkpspy63sjmuny.us-east-1.es.amazonaws.com/_plugin/kibana/#/discover/Steve-Slow-Train-Analysis-(2080s-and-2083s)?_g=(refreshInterval:(display:Off,section:0,value:0),time:(from:'2016-10-09 19:26:55-0600',mode:absolute,to:'2016-10-09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0" s="54" t="str">
        <f t="shared" si="26"/>
        <v>N</v>
      </c>
      <c r="X140" s="163">
        <f t="shared" si="37"/>
        <v>1</v>
      </c>
      <c r="Y140" s="69">
        <f t="shared" si="28"/>
        <v>4.6899999999999997E-2</v>
      </c>
      <c r="Z140" s="69">
        <f t="shared" si="29"/>
        <v>23.331</v>
      </c>
      <c r="AA140" s="69">
        <f t="shared" si="30"/>
        <v>23.284099999999999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1"/>
        <v>0227-09</v>
      </c>
      <c r="AE140" s="94" t="str">
        <f t="shared" si="32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40" s="91" t="str">
        <f t="shared" si="33"/>
        <v>"C:\Program Files (x86)\AstroGrep\AstroGrep.exe" /spath="%USERPROFILE%\AppData\Local\Temp\OnboardLogs" /stypes="app*4027*20161010*" /stext=" 03:.+((SYSTEM_STATE.+slice.+state.+changed )|(ment ac)|(system.+state.+changed )|(\[timeout)|(PRM\|1\|D)|(kpr)|(kdp)|(\|lc)|(penalty))" /e /r /s</v>
      </c>
      <c r="AG140" s="1" t="str">
        <f t="shared" si="34"/>
        <v>EC</v>
      </c>
      <c r="AH140" s="95" t="str">
        <f t="shared" si="35"/>
        <v>"%USERPROFILE%\Documents\GitHub\eaglep3\Utilities\RefineRTDCRunTimes.py" --tripid 227-09 --locoid 4027 --swversion DE.1.0.7.0 --startMP 204:469 --initTime 2016-10-09T20:26:55 --startdatetime 2016-10-09T20:30:31 --delay 1 --endMP 204:233310 --enddatetime 2016-10-09T21:07:18 --enforcementcount 0 &gt;&gt;C:\Users\stu\Documents\GitHub\eaglep3-reporting\EC\2016-10-09-refined-times.txt</v>
      </c>
      <c r="AI140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ID","value":"227-09"},{"id":16,"name":"Locomotive ID","value":"4027"},{"id":130,"name":"Impact","value":""},{"id":150,"name":"Time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590</v>
      </c>
      <c r="B141" s="7">
        <v>4028</v>
      </c>
      <c r="C141" s="24" t="s">
        <v>106</v>
      </c>
      <c r="D141" s="24" t="s">
        <v>264</v>
      </c>
      <c r="E141" s="15">
        <v>42652.89267361111</v>
      </c>
      <c r="F141" s="15">
        <v>42652.893576388888</v>
      </c>
      <c r="G141" s="7">
        <v>0</v>
      </c>
      <c r="H141" s="15" t="s">
        <v>228</v>
      </c>
      <c r="I141" s="15">
        <v>42652.921215277776</v>
      </c>
      <c r="J141" s="7">
        <v>0</v>
      </c>
      <c r="K141" s="116" t="str">
        <f t="shared" ref="K141:K203" si="38">IF(ISEVEN(B141),(B141-1)&amp;"/"&amp;B141,B141&amp;"/"&amp;(B141+1))</f>
        <v>4027/4028</v>
      </c>
      <c r="L141" s="24" t="str">
        <f>VLOOKUP(A141,'Trips&amp;Operators'!$C$1:$E$10000,3,FALSE)</f>
        <v>CHANDLER</v>
      </c>
      <c r="M141" s="6">
        <f t="shared" ref="M141:M203" si="39">I141-F141</f>
        <v>2.7638888888759539E-2</v>
      </c>
      <c r="N141" s="7">
        <f t="shared" ref="N141:N203" si="40">24*60*SUM($M141:$M141)</f>
        <v>39.799999999813735</v>
      </c>
      <c r="O141" s="7"/>
      <c r="P141" s="7"/>
      <c r="Q141" s="25"/>
      <c r="R141" s="25"/>
      <c r="S141" s="37">
        <f t="shared" ref="S141:S203" si="41">SUM(U141:U141)/IF(AG141="EC",12,1)</f>
        <v>1</v>
      </c>
      <c r="T141" s="52" t="str">
        <f t="shared" ref="T141:T203" si="42">IF(ISEVEN(LEFT(AD141,4)),"Southbound","NorthBound")</f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1" t="str">
        <f t="shared" ref="V141:V203" si="43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https://search-rtdc-monitor-bjffxe2xuh6vdkpspy63sjmuny.us-east-1.es.amazonaws.com/_plugin/kibana/#/discover/Steve-Slow-Train-Analysis-(2080s-and-2083s)?_g=(refreshInterval:(display:Off,section:0,value:0),time:(from:'2016-10-09 20:25:27-0600',mode:absolute,to:'2016-10-09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1" s="54" t="str">
        <f t="shared" ref="W141:W203" si="44">IF(AA141&lt;IF(AG141="EC",23,5.65),"Y","N")</f>
        <v>N</v>
      </c>
      <c r="X141" s="163">
        <f t="shared" ref="X141:X157" si="45">VALUE(LEFT(AD141,4))-VALUE(LEFT(AD140,4))</f>
        <v>1</v>
      </c>
      <c r="Y141" s="69">
        <f t="shared" ref="Y141:Y203" si="46">RIGHT(D141,LEN(D141)-4)/10000</f>
        <v>23.297599999999999</v>
      </c>
      <c r="Z141" s="69">
        <f t="shared" ref="Z141:Z203" si="47">RIGHT(H141,LEN(H141)-4)/10000</f>
        <v>1.6500000000000001E-2</v>
      </c>
      <c r="AA141" s="69">
        <f t="shared" ref="AA141:AA203" si="48">ABS(Z141-Y141)</f>
        <v>23.281099999999999</v>
      </c>
      <c r="AB141" s="66" t="str">
        <f>VLOOKUP(A141,Enforcements!$C$7:$K$21,8,0)</f>
        <v>Signal based authority (5)</v>
      </c>
      <c r="AC141" s="62" t="str">
        <f>VLOOKUP(A141,Enforcements!$C$7:$E$21,3,0)</f>
        <v>SIGNAL</v>
      </c>
      <c r="AD141" s="63" t="str">
        <f t="shared" ref="AD141:AD203" si="49">IF(LEN(A141)=6,"0"&amp;A141,A141)</f>
        <v>0228-09</v>
      </c>
      <c r="AE141" s="94" t="str">
        <f t="shared" ref="AE141:AE203" si="5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41" s="91" t="str">
        <f t="shared" ref="AF141:AF203" si="5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/stypes="app*4028*20161010*" /stext=" 04:.+((SYSTEM_STATE.+slice.+state.+changed )|(ment ac)|(system.+state.+changed )|(\[timeout)|(PRM\|1\|D)|(kpr)|(kdp)|(\|lc)|(penalty))" /e /r /s</v>
      </c>
      <c r="AG141" s="1" t="str">
        <f t="shared" ref="AG141:AG203" si="52">IFERROR(IF(VALUE(LEFT(AD141,2))&lt;=2,"EC",IF(OR(VALUE(LEFT(AD141,2))=8,VALUE(LEFT(AD141,2))=18),"NW","Other")),"Other")</f>
        <v>EC</v>
      </c>
      <c r="AH141" s="95" t="str">
        <f t="shared" si="35"/>
        <v>"%USERPROFILE%\Documents\GitHub\eaglep3\Utilities\RefineRTDCRunTimes.py" --tripid 228-09 --locoid 4028 --swversion DE.1.0.7.0 --startMP 204:232976 --initTime 2016-10-09T21:25:27 --startdatetime 2016-10-09T21:26:45 --delay 0 --endMP 204:165 --enddatetime 2016-10-09T22:06:33 --enforcementcount 0 &gt;&gt;C:\Users\stu\Documents\GitHub\eaglep3-reporting\EC\2016-10-09-refined-times.txt</v>
      </c>
      <c r="AI141" s="129" t="str">
        <f t="shared" si="36"/>
        <v>echo {"issue":{"subject":"","project_id":79,"tracker_id":40,"status_id":1,"priority_id":2,"assigned_to_id":23,"start_date":"2016-10-09","description":"","custom_fields":[{"id":1,"name":"Subdivision","value":"EC"},{"id":4,"name":"Milepost","value":"0.0165"},{"id":17,"name":"Train ID","value":"228-09"},{"id":16,"name":"Locomotive ID","value":"4028"},{"id":130,"name":"Impact","value":""},{"id":150,"name":"Time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587</v>
      </c>
      <c r="B142" s="7">
        <v>4002</v>
      </c>
      <c r="C142" s="24" t="s">
        <v>106</v>
      </c>
      <c r="D142" s="24" t="s">
        <v>632</v>
      </c>
      <c r="E142" s="15">
        <v>42652.870023148149</v>
      </c>
      <c r="F142" s="15">
        <v>42652.875300925924</v>
      </c>
      <c r="G142" s="7">
        <v>1</v>
      </c>
      <c r="H142" s="15" t="s">
        <v>235</v>
      </c>
      <c r="I142" s="15">
        <v>42652.900763888887</v>
      </c>
      <c r="J142" s="7">
        <v>0</v>
      </c>
      <c r="K142" s="116" t="str">
        <f t="shared" si="38"/>
        <v>4001/4002</v>
      </c>
      <c r="L142" s="24" t="str">
        <f>VLOOKUP(A142,'Trips&amp;Operators'!$C$1:$E$10000,3,FALSE)</f>
        <v>LEVERE</v>
      </c>
      <c r="M142" s="6">
        <f t="shared" si="39"/>
        <v>2.5462962963501923E-2</v>
      </c>
      <c r="N142" s="7">
        <f t="shared" si="40"/>
        <v>36.666666667442769</v>
      </c>
      <c r="O142" s="7"/>
      <c r="P142" s="7"/>
      <c r="Q142" s="25"/>
      <c r="R142" s="25"/>
      <c r="S142" s="37">
        <f t="shared" si="41"/>
        <v>1</v>
      </c>
      <c r="T142" s="52" t="str">
        <f t="shared" si="42"/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19:52:50-0600',mode:absolute,to:'2016-10-09 22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54" t="str">
        <f t="shared" si="44"/>
        <v>N</v>
      </c>
      <c r="X142" s="163">
        <f t="shared" si="45"/>
        <v>1</v>
      </c>
      <c r="Y142" s="69">
        <f t="shared" si="46"/>
        <v>4.7300000000000002E-2</v>
      </c>
      <c r="Z142" s="69">
        <f t="shared" si="47"/>
        <v>23.3308</v>
      </c>
      <c r="AA142" s="69">
        <f t="shared" si="48"/>
        <v>23.2835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49"/>
        <v>0229-09</v>
      </c>
      <c r="AE142" s="94" t="str">
        <f t="shared" si="50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42" s="91" t="str">
        <f t="shared" si="51"/>
        <v>"C:\Program Files (x86)\AstroGrep\AstroGrep.exe" /spath="%USERPROFILE%\AppData\Local\Temp\OnboardLogs" /stypes="app*4002*20161010*" /stext=" 03:.+((SYSTEM_STATE.+slice.+state.+changed )|(ment ac)|(system.+state.+changed )|(\[timeout)|(PRM\|1\|D)|(kpr)|(kdp)|(\|lc)|(penalty))" /e /r /s</v>
      </c>
      <c r="AG142" s="1" t="str">
        <f t="shared" si="52"/>
        <v>EC</v>
      </c>
      <c r="AH142" s="95" t="str">
        <f t="shared" ref="AH142:AH203" si="5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229-09 --locoid 4002 --swversion DE.1.0.7.0 --startMP 204:473 --initTime 2016-10-09T20:52:50 --startdatetime 2016-10-09T21:00:26 --delay 1 --endMP 204:233308 --enddatetime 2016-10-09T21:37:06 --enforcementcount 0 &gt;&gt;C:\Users\stu\Documents\GitHub\eaglep3-reporting\EC\2016-10-09-refined-times.txt</v>
      </c>
      <c r="AI142" s="129" t="str">
        <f t="shared" ref="AI142:AI203" si="5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{"issue":{"subject":"","project_id":79,"tracker_id":40,"status_id":1,"priority_id":2,"assigned_to_id":23,"start_date":"2016-10-09","description":"","custom_fields":[{"id":1,"name":"Subdivision","value":"EC"},{"id":4,"name":"Milepost","value":"23.3308"},{"id":17,"name":"Train ID","value":"229-09"},{"id":16,"name":"Locomotive ID","value":"4002"},{"id":130,"name":"Impact","value":""},{"id":150,"name":"Time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595</v>
      </c>
      <c r="B143" s="7">
        <v>4001</v>
      </c>
      <c r="C143" s="24" t="s">
        <v>106</v>
      </c>
      <c r="D143" s="24" t="s">
        <v>369</v>
      </c>
      <c r="E143" s="15">
        <v>42652.906608796293</v>
      </c>
      <c r="F143" s="15">
        <v>42652.9141087963</v>
      </c>
      <c r="G143" s="7">
        <v>1</v>
      </c>
      <c r="H143" s="15" t="s">
        <v>191</v>
      </c>
      <c r="I143" s="15">
        <v>42652.941493055558</v>
      </c>
      <c r="J143" s="7">
        <v>0</v>
      </c>
      <c r="K143" s="116" t="str">
        <f t="shared" si="38"/>
        <v>4001/4002</v>
      </c>
      <c r="L143" s="24" t="str">
        <f>VLOOKUP(A143,'Trips&amp;Operators'!$C$1:$E$10000,3,FALSE)</f>
        <v>LEVERE</v>
      </c>
      <c r="M143" s="6">
        <f t="shared" si="39"/>
        <v>2.7384259257814847E-2</v>
      </c>
      <c r="N143" s="7">
        <f t="shared" si="40"/>
        <v>39.43333333125338</v>
      </c>
      <c r="O143" s="7"/>
      <c r="P143" s="7"/>
      <c r="Q143" s="25"/>
      <c r="R143" s="25"/>
      <c r="S143" s="37">
        <f t="shared" si="41"/>
        <v>1</v>
      </c>
      <c r="T143" s="52" t="str">
        <f t="shared" si="42"/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20:45:31-0600',mode:absolute,to:'2016-10-09 23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3" s="54" t="str">
        <f t="shared" si="44"/>
        <v>N</v>
      </c>
      <c r="X143" s="163">
        <f t="shared" si="45"/>
        <v>1</v>
      </c>
      <c r="Y143" s="69">
        <f t="shared" si="46"/>
        <v>23.2987</v>
      </c>
      <c r="Z143" s="69">
        <f t="shared" si="47"/>
        <v>1.4999999999999999E-2</v>
      </c>
      <c r="AA143" s="69">
        <f t="shared" si="48"/>
        <v>23.2837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49"/>
        <v>0230-09</v>
      </c>
      <c r="AE143" s="94" t="str">
        <f t="shared" si="50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43" s="91" t="str">
        <f t="shared" si="51"/>
        <v>"C:\Program Files (x86)\AstroGrep\AstroGrep.exe" /spath="%USERPROFILE%\AppData\Local\Temp\OnboardLogs" /stypes="app*4001*20161010*" /stext=" 04:.+((SYSTEM_STATE.+slice.+state.+changed )|(ment ac)|(system.+state.+changed )|(\[timeout)|(PRM\|1\|D)|(kpr)|(kdp)|(\|lc)|(penalty))" /e /r /s</v>
      </c>
      <c r="AG143" s="1" t="str">
        <f t="shared" si="52"/>
        <v>EC</v>
      </c>
      <c r="AH143" s="95" t="str">
        <f t="shared" si="53"/>
        <v>"%USERPROFILE%\Documents\GitHub\eaglep3\Utilities\RefineRTDCRunTimes.py" --tripid 230-09 --locoid 4001 --swversion DE.1.0.7.0 --startMP 204:232987 --initTime 2016-10-09T21:45:31 --startdatetime 2016-10-09T21:56:19 --delay 1 --endMP 204:150 --enddatetime 2016-10-09T22:35:45 --enforcementcount 0 &gt;&gt;C:\Users\stu\Documents\GitHub\eaglep3-reporting\EC\2016-10-09-refined-times.txt</v>
      </c>
      <c r="AI143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ID","value":"230-09"},{"id":16,"name":"Locomotive ID","value":"4001"},{"id":130,"name":"Impact","value":""},{"id":150,"name":"Time of Event (Mountain Time)","value":"22:35:45"},{"id":151,"name":"Denver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591</v>
      </c>
      <c r="B144" s="7">
        <v>4025</v>
      </c>
      <c r="C144" s="24" t="s">
        <v>106</v>
      </c>
      <c r="D144" s="24" t="s">
        <v>214</v>
      </c>
      <c r="E144" s="15">
        <v>42652.893692129626</v>
      </c>
      <c r="F144" s="15">
        <v>42652.896087962959</v>
      </c>
      <c r="G144" s="7">
        <v>1</v>
      </c>
      <c r="H144" s="15" t="s">
        <v>209</v>
      </c>
      <c r="I144" s="15">
        <v>42652.920659722222</v>
      </c>
      <c r="J144" s="7">
        <v>0</v>
      </c>
      <c r="K144" s="116" t="str">
        <f t="shared" si="38"/>
        <v>4025/4026</v>
      </c>
      <c r="L144" s="24" t="str">
        <f>VLOOKUP(A144,'Trips&amp;Operators'!$C$1:$E$10000,3,FALSE)</f>
        <v>COOLAHAN</v>
      </c>
      <c r="M144" s="6">
        <f t="shared" si="39"/>
        <v>2.457175926247146E-2</v>
      </c>
      <c r="N144" s="7">
        <f t="shared" si="40"/>
        <v>35.383333337958902</v>
      </c>
      <c r="O144" s="7"/>
      <c r="P144" s="7"/>
      <c r="Q144" s="25"/>
      <c r="R144" s="25"/>
      <c r="S144" s="37">
        <f t="shared" si="41"/>
        <v>1</v>
      </c>
      <c r="T144" s="52" t="str">
        <f t="shared" si="42"/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20:26:55-0600',mode:absolute,to:'2016-10-09 23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4" s="54" t="str">
        <f t="shared" si="44"/>
        <v>N</v>
      </c>
      <c r="X144" s="163">
        <f t="shared" si="45"/>
        <v>1</v>
      </c>
      <c r="Y144" s="69">
        <f t="shared" si="46"/>
        <v>4.6399999999999997E-2</v>
      </c>
      <c r="Z144" s="69">
        <f t="shared" si="47"/>
        <v>23.331199999999999</v>
      </c>
      <c r="AA144" s="69">
        <f t="shared" si="48"/>
        <v>23.284800000000001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49"/>
        <v>0231-09</v>
      </c>
      <c r="AE144" s="94" t="str">
        <f t="shared" si="50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44" s="91" t="str">
        <f t="shared" si="51"/>
        <v>"C:\Program Files (x86)\AstroGrep\AstroGrep.exe" /spath="%USERPROFILE%\AppData\Local\Temp\OnboardLogs" /stypes="app*4025*20161010*" /stext=" 04:.+((SYSTEM_STATE.+slice.+state.+changed )|(ment ac)|(system.+state.+changed )|(\[timeout)|(PRM\|1\|D)|(kpr)|(kdp)|(\|lc)|(penalty))" /e /r /s</v>
      </c>
      <c r="AG144" s="1" t="str">
        <f t="shared" si="52"/>
        <v>EC</v>
      </c>
      <c r="AH144" s="95" t="str">
        <f t="shared" si="53"/>
        <v>"%USERPROFILE%\Documents\GitHub\eaglep3\Utilities\RefineRTDCRunTimes.py" --tripid 231-09 --locoid 4025 --swversion DE.1.0.7.0 --startMP 204:464 --initTime 2016-10-09T21:26:55 --startdatetime 2016-10-09T21:30:22 --delay 1 --endMP 204:233312 --enddatetime 2016-10-09T22:05:45 --enforcementcount 0 &gt;&gt;C:\Users\stu\Documents\GitHub\eaglep3-reporting\EC\2016-10-09-refined-times.txt</v>
      </c>
      <c r="AI144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{"issue":{"subject":"","project_id":79,"tracker_id":40,"status_id":1,"priority_id":2,"assigned_to_id":23,"start_date":"2016-10-09","description":"","custom_fields":[{"id":1,"name":"Subdivision","value":"EC"},{"id":4,"name":"Milepost","value":"23.3312"},{"id":17,"name":"Train ID","value":"231-09"},{"id":16,"name":"Locomotive ID","value":"4025"},{"id":130,"name":"Impact","value":""},{"id":150,"name":"Time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597</v>
      </c>
      <c r="B145" s="7">
        <v>4026</v>
      </c>
      <c r="C145" s="24" t="s">
        <v>106</v>
      </c>
      <c r="D145" s="24" t="s">
        <v>370</v>
      </c>
      <c r="E145" s="15">
        <v>42652.930462962962</v>
      </c>
      <c r="F145" s="15">
        <v>42652.934965277775</v>
      </c>
      <c r="G145" s="7">
        <v>1</v>
      </c>
      <c r="H145" s="15" t="s">
        <v>208</v>
      </c>
      <c r="I145" s="15">
        <v>42652.961319444446</v>
      </c>
      <c r="J145" s="7">
        <v>0</v>
      </c>
      <c r="K145" s="116" t="str">
        <f t="shared" si="38"/>
        <v>4025/4026</v>
      </c>
      <c r="L145" s="24" t="str">
        <f>VLOOKUP(A145,'Trips&amp;Operators'!$C$1:$E$10000,3,FALSE)</f>
        <v>COOLAHAN</v>
      </c>
      <c r="M145" s="6">
        <f t="shared" si="39"/>
        <v>2.6354166671808343E-2</v>
      </c>
      <c r="N145" s="7">
        <f t="shared" si="40"/>
        <v>37.950000007404014</v>
      </c>
      <c r="O145" s="7"/>
      <c r="P145" s="7"/>
      <c r="Q145" s="25"/>
      <c r="R145" s="25"/>
      <c r="S145" s="37">
        <f t="shared" si="41"/>
        <v>1</v>
      </c>
      <c r="T145" s="52" t="str">
        <f t="shared" si="42"/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21:19:52-0600',mode:absolute,to:'2016-10-10 00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5" s="54" t="str">
        <f t="shared" si="44"/>
        <v>N</v>
      </c>
      <c r="X145" s="163">
        <f t="shared" si="45"/>
        <v>1</v>
      </c>
      <c r="Y145" s="69">
        <f t="shared" si="46"/>
        <v>23.3004</v>
      </c>
      <c r="Z145" s="69">
        <f t="shared" si="47"/>
        <v>1.41E-2</v>
      </c>
      <c r="AA145" s="69">
        <f t="shared" si="48"/>
        <v>23.286300000000001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49"/>
        <v>0232-09</v>
      </c>
      <c r="AE145" s="94" t="str">
        <f t="shared" si="50"/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45" s="91" t="str">
        <f t="shared" si="51"/>
        <v>"C:\Program Files (x86)\AstroGrep\AstroGrep.exe" /spath="%USERPROFILE%\AppData\Local\Temp\OnboardLogs" /stypes="app*4026*20161010*" /stext=" 05:.+((SYSTEM_STATE.+slice.+state.+changed )|(ment ac)|(system.+state.+changed )|(\[timeout)|(PRM\|1\|D)|(kpr)|(kdp)|(\|lc)|(penalty))" /e /r /s</v>
      </c>
      <c r="AG145" s="1" t="str">
        <f t="shared" si="52"/>
        <v>EC</v>
      </c>
      <c r="AH145" s="95" t="str">
        <f t="shared" si="53"/>
        <v>"%USERPROFILE%\Documents\GitHub\eaglep3\Utilities\RefineRTDCRunTimes.py" --tripid 232-09 --locoid 4026 --swversion DE.1.0.7.0 --startMP 204:233004 --initTime 2016-10-09T22:19:52 --startdatetime 2016-10-09T22:26:21 --delay 1 --endMP 204:141 --enddatetime 2016-10-09T23:04:18 --enforcementcount 0 &gt;&gt;C:\Users\stu\Documents\GitHub\eaglep3-reporting\EC\2016-10-09-refined-times.txt</v>
      </c>
      <c r="AI145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{"issue":{"subject":"","project_id":79,"tracker_id":40,"status_id":1,"priority_id":2,"assigned_to_id":23,"start_date":"2016-10-09","description":"","custom_fields":[{"id":1,"name":"Subdivision","value":"EC"},{"id":4,"name":"Milepost","value":"0.0141"},{"id":17,"name":"Train ID","value":"232-09"},{"id":16,"name":"Locomotive ID","value":"4026"},{"id":130,"name":"Impact","value":""},{"id":150,"name":"Time of Event (Mountain Time)","value":"23:04:18"},{"id":151,"name":"Denver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593</v>
      </c>
      <c r="B146" s="7">
        <v>4014</v>
      </c>
      <c r="C146" s="24" t="s">
        <v>106</v>
      </c>
      <c r="D146" s="24" t="s">
        <v>196</v>
      </c>
      <c r="E146" s="15">
        <v>42652.900949074072</v>
      </c>
      <c r="F146" s="15">
        <v>42652.916817129626</v>
      </c>
      <c r="G146" s="7">
        <v>1</v>
      </c>
      <c r="H146" s="15" t="s">
        <v>714</v>
      </c>
      <c r="I146" s="15">
        <v>42652.941574074073</v>
      </c>
      <c r="J146" s="7">
        <v>0</v>
      </c>
      <c r="K146" s="116" t="str">
        <f t="shared" si="38"/>
        <v>4013/4014</v>
      </c>
      <c r="L146" s="24" t="str">
        <f>VLOOKUP(A146,'Trips&amp;Operators'!$C$1:$E$10000,3,FALSE)</f>
        <v>NEWELL</v>
      </c>
      <c r="M146" s="6">
        <f t="shared" si="39"/>
        <v>2.4756944447290152E-2</v>
      </c>
      <c r="N146" s="7">
        <f t="shared" si="40"/>
        <v>35.650000004097819</v>
      </c>
      <c r="O146" s="7"/>
      <c r="P146" s="7"/>
      <c r="Q146" s="25"/>
      <c r="R146" s="25"/>
      <c r="S146" s="37">
        <f t="shared" si="41"/>
        <v>1</v>
      </c>
      <c r="T146" s="52" t="str">
        <f t="shared" si="42"/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20:37:22-0600',mode:absolute,to:'2016-10-09 23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4" t="str">
        <f t="shared" si="44"/>
        <v>N</v>
      </c>
      <c r="X146" s="163">
        <f t="shared" si="45"/>
        <v>1</v>
      </c>
      <c r="Y146" s="69">
        <f t="shared" si="46"/>
        <v>4.5100000000000001E-2</v>
      </c>
      <c r="Z146" s="69">
        <f t="shared" si="47"/>
        <v>23.330300000000001</v>
      </c>
      <c r="AA146" s="69">
        <f t="shared" si="48"/>
        <v>23.2852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49"/>
        <v>0233-09</v>
      </c>
      <c r="AE146" s="94" t="str">
        <f t="shared" si="50"/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46" s="91" t="str">
        <f t="shared" si="51"/>
        <v>"C:\Program Files (x86)\AstroGrep\AstroGrep.exe" /spath="%USERPROFILE%\AppData\Local\Temp\OnboardLogs" /stypes="app*4014*20161010*" /stext=" 04:.+((SYSTEM_STATE.+slice.+state.+changed )|(ment ac)|(system.+state.+changed )|(\[timeout)|(PRM\|1\|D)|(kpr)|(kdp)|(\|lc)|(penalty))" /e /r /s</v>
      </c>
      <c r="AG146" s="1" t="str">
        <f t="shared" si="52"/>
        <v>EC</v>
      </c>
      <c r="AH146" s="95" t="str">
        <f t="shared" si="53"/>
        <v>"%USERPROFILE%\Documents\GitHub\eaglep3\Utilities\RefineRTDCRunTimes.py" --tripid 233-09 --locoid 4014 --swversion DE.1.0.7.0 --startMP 204:451 --initTime 2016-10-09T21:37:22 --startdatetime 2016-10-09T22:00:13 --delay 1 --endMP 204:233303 --enddatetime 2016-10-09T22:35:52 --enforcementcount 0 &gt;&gt;C:\Users\stu\Documents\GitHub\eaglep3-reporting\EC\2016-10-09-refined-times.txt</v>
      </c>
      <c r="AI146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{"issue":{"subject":"","project_id":79,"tracker_id":40,"status_id":1,"priority_id":2,"assigned_to_id":23,"start_date":"2016-10-09","description":"","custom_fields":[{"id":1,"name":"Subdivision","value":"EC"},{"id":4,"name":"Milepost","value":"23.3303"},{"id":17,"name":"Train ID","value":"233-09"},{"id":16,"name":"Locomotive ID","value":"4014"},{"id":130,"name":"Impact","value":""},{"id":150,"name":"Time of Event (Mountain Time)","value":"22:35:52"},{"id":151,"name":"Denver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600</v>
      </c>
      <c r="B147" s="7">
        <v>4013</v>
      </c>
      <c r="C147" s="24" t="s">
        <v>106</v>
      </c>
      <c r="D147" s="24" t="s">
        <v>224</v>
      </c>
      <c r="E147" s="15">
        <v>42652.951469907406</v>
      </c>
      <c r="F147" s="15">
        <v>42652.955717592595</v>
      </c>
      <c r="G147" s="7">
        <v>1</v>
      </c>
      <c r="H147" s="15" t="s">
        <v>644</v>
      </c>
      <c r="I147" s="15">
        <v>42652.981828703705</v>
      </c>
      <c r="J147" s="7">
        <v>0</v>
      </c>
      <c r="K147" s="116" t="str">
        <f t="shared" si="38"/>
        <v>4013/4014</v>
      </c>
      <c r="L147" s="24" t="str">
        <f>VLOOKUP(A147,'Trips&amp;Operators'!$C$1:$E$10000,3,FALSE)</f>
        <v>NEWELL</v>
      </c>
      <c r="M147" s="6">
        <f t="shared" si="39"/>
        <v>2.6111111110367347E-2</v>
      </c>
      <c r="N147" s="7">
        <f t="shared" si="40"/>
        <v>37.599999998928979</v>
      </c>
      <c r="O147" s="7"/>
      <c r="P147" s="7"/>
      <c r="Q147" s="25"/>
      <c r="R147" s="25"/>
      <c r="S147" s="37">
        <f t="shared" si="41"/>
        <v>1</v>
      </c>
      <c r="T147" s="52" t="str">
        <f t="shared" si="42"/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21:50:07-0600',mode:absolute,to:'2016-10-10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54" t="str">
        <f t="shared" si="44"/>
        <v>N</v>
      </c>
      <c r="X147" s="163">
        <f t="shared" si="45"/>
        <v>1</v>
      </c>
      <c r="Y147" s="69">
        <f t="shared" si="46"/>
        <v>23.2986</v>
      </c>
      <c r="Z147" s="69">
        <f t="shared" si="47"/>
        <v>1.3599999999999999E-2</v>
      </c>
      <c r="AA147" s="69">
        <f t="shared" si="48"/>
        <v>23.285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49"/>
        <v>0234-09</v>
      </c>
      <c r="AE147" s="94" t="str">
        <f t="shared" si="50"/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47" s="91" t="str">
        <f t="shared" si="51"/>
        <v>"C:\Program Files (x86)\AstroGrep\AstroGrep.exe" /spath="%USERPROFILE%\AppData\Local\Temp\OnboardLogs" /stypes="app*4013*20161010*" /stext=" 05:.+((SYSTEM_STATE.+slice.+state.+changed )|(ment ac)|(system.+state.+changed )|(\[timeout)|(PRM\|1\|D)|(kpr)|(kdp)|(\|lc)|(penalty))" /e /r /s</v>
      </c>
      <c r="AG147" s="1" t="str">
        <f t="shared" si="52"/>
        <v>EC</v>
      </c>
      <c r="AH147" s="95" t="str">
        <f t="shared" si="53"/>
        <v>"%USERPROFILE%\Documents\GitHub\eaglep3\Utilities\RefineRTDCRunTimes.py" --tripid 234-09 --locoid 4013 --swversion DE.1.0.7.0 --startMP 204:232986 --initTime 2016-10-09T22:50:07 --startdatetime 2016-10-09T22:56:14 --delay 1 --endMP 204:136 --enddatetime 2016-10-09T23:33:50 --enforcementcount 0 &gt;&gt;C:\Users\stu\Documents\GitHub\eaglep3-reporting\EC\2016-10-09-refined-times.txt</v>
      </c>
      <c r="AI147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{"issue":{"subject":"","project_id":79,"tracker_id":40,"status_id":1,"priority_id":2,"assigned_to_id":23,"start_date":"2016-10-09","description":"","custom_fields":[{"id":1,"name":"Subdivision","value":"EC"},{"id":4,"name":"Milepost","value":"0.0136"},{"id":17,"name":"Train ID","value":"234-09"},{"id":16,"name":"Locomotive ID","value":"4013"},{"id":130,"name":"Impact","value":""},{"id":150,"name":"Time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598</v>
      </c>
      <c r="B148" s="7">
        <v>4027</v>
      </c>
      <c r="C148" s="24" t="s">
        <v>106</v>
      </c>
      <c r="D148" s="24" t="s">
        <v>285</v>
      </c>
      <c r="E148" s="15">
        <v>42652.936921296299</v>
      </c>
      <c r="F148" s="15">
        <v>42652.937939814816</v>
      </c>
      <c r="G148" s="7">
        <v>1</v>
      </c>
      <c r="H148" s="15" t="s">
        <v>303</v>
      </c>
      <c r="I148" s="15">
        <v>42652.963831018518</v>
      </c>
      <c r="J148" s="7">
        <v>0</v>
      </c>
      <c r="K148" s="116" t="str">
        <f t="shared" si="38"/>
        <v>4027/4028</v>
      </c>
      <c r="L148" s="24" t="str">
        <f>VLOOKUP(A148,'Trips&amp;Operators'!$C$1:$E$10000,3,FALSE)</f>
        <v>CHANDLER</v>
      </c>
      <c r="M148" s="6">
        <f t="shared" si="39"/>
        <v>2.5891203702485655E-2</v>
      </c>
      <c r="N148" s="7">
        <f t="shared" si="40"/>
        <v>37.283333331579342</v>
      </c>
      <c r="O148" s="7"/>
      <c r="P148" s="7"/>
      <c r="Q148" s="25"/>
      <c r="R148" s="25"/>
      <c r="S148" s="37">
        <f t="shared" si="41"/>
        <v>1</v>
      </c>
      <c r="T148" s="52" t="str">
        <f t="shared" si="42"/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21:29:10-0600',mode:absolute,to:'2016-10-10 00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8" s="54" t="str">
        <f t="shared" si="44"/>
        <v>N</v>
      </c>
      <c r="X148" s="163">
        <f t="shared" si="45"/>
        <v>1</v>
      </c>
      <c r="Y148" s="69">
        <f t="shared" si="46"/>
        <v>4.3700000000000003E-2</v>
      </c>
      <c r="Z148" s="69">
        <f t="shared" si="47"/>
        <v>23.328800000000001</v>
      </c>
      <c r="AA148" s="69">
        <f t="shared" si="48"/>
        <v>23.2851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49"/>
        <v>0235-09</v>
      </c>
      <c r="AE148" s="94" t="str">
        <f t="shared" si="50"/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48" s="91" t="str">
        <f t="shared" si="51"/>
        <v>"C:\Program Files (x86)\AstroGrep\AstroGrep.exe" /spath="%USERPROFILE%\AppData\Local\Temp\OnboardLogs" /stypes="app*4027*20161010*" /stext=" 05:.+((SYSTEM_STATE.+slice.+state.+changed )|(ment ac)|(system.+state.+changed )|(\[timeout)|(PRM\|1\|D)|(kpr)|(kdp)|(\|lc)|(penalty))" /e /r /s</v>
      </c>
      <c r="AG148" s="1" t="str">
        <f t="shared" si="52"/>
        <v>EC</v>
      </c>
      <c r="AH148" s="95" t="str">
        <f t="shared" si="53"/>
        <v>"%USERPROFILE%\Documents\GitHub\eaglep3\Utilities\RefineRTDCRunTimes.py" --tripid 235-09 --locoid 4027 --swversion DE.1.0.7.0 --startMP 204:437 --initTime 2016-10-09T22:29:10 --startdatetime 2016-10-09T22:30:38 --delay 1 --endMP 204:233288 --enddatetime 2016-10-09T23:07:55 --enforcementcount 0 &gt;&gt;C:\Users\stu\Documents\GitHub\eaglep3-reporting\EC\2016-10-09-refined-times.txt</v>
      </c>
      <c r="AI148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{"issue":{"subject":"","project_id":79,"tracker_id":40,"status_id":1,"priority_id":2,"assigned_to_id":23,"start_date":"2016-10-09","description":"","custom_fields":[{"id":1,"name":"Subdivision","value":"EC"},{"id":4,"name":"Milepost","value":"23.3288"},{"id":17,"name":"Train ID","value":"235-09"},{"id":16,"name":"Locomotive ID","value":"4027"},{"id":130,"name":"Impact","value":""},{"id":150,"name":"Time of Event (Mountain Time)","value":"23:07:55"},{"id":151,"name":"Denver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603</v>
      </c>
      <c r="B149" s="7">
        <v>4028</v>
      </c>
      <c r="C149" s="24" t="s">
        <v>106</v>
      </c>
      <c r="D149" s="24" t="s">
        <v>229</v>
      </c>
      <c r="E149" s="15">
        <v>42652.974745370368</v>
      </c>
      <c r="F149" s="15">
        <v>42652.976666666669</v>
      </c>
      <c r="G149" s="7">
        <v>1</v>
      </c>
      <c r="H149" s="15" t="s">
        <v>187</v>
      </c>
      <c r="I149" s="15">
        <v>42653.004178240742</v>
      </c>
      <c r="J149" s="7">
        <v>0</v>
      </c>
      <c r="K149" s="116" t="str">
        <f t="shared" si="38"/>
        <v>4027/4028</v>
      </c>
      <c r="L149" s="24" t="str">
        <f>VLOOKUP(A149,'Trips&amp;Operators'!$C$1:$E$10000,3,FALSE)</f>
        <v>CHANDLER</v>
      </c>
      <c r="M149" s="6">
        <f t="shared" si="39"/>
        <v>2.7511574073287193E-2</v>
      </c>
      <c r="N149" s="7">
        <f t="shared" si="40"/>
        <v>39.616666665533558</v>
      </c>
      <c r="O149" s="7"/>
      <c r="P149" s="7"/>
      <c r="Q149" s="25"/>
      <c r="R149" s="25"/>
      <c r="S149" s="37">
        <f t="shared" si="41"/>
        <v>1</v>
      </c>
      <c r="T149" s="52" t="str">
        <f t="shared" si="42"/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22:23:38-0600',mode:absolute,to:'2016-10-10 01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9" s="54" t="str">
        <f t="shared" si="44"/>
        <v>N</v>
      </c>
      <c r="X149" s="163">
        <f t="shared" si="45"/>
        <v>1</v>
      </c>
      <c r="Y149" s="69">
        <f t="shared" si="46"/>
        <v>23.296900000000001</v>
      </c>
      <c r="Z149" s="69">
        <f t="shared" si="47"/>
        <v>1.6E-2</v>
      </c>
      <c r="AA149" s="69">
        <f t="shared" si="48"/>
        <v>23.280900000000003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49"/>
        <v>0236-09</v>
      </c>
      <c r="AE149" s="94" t="str">
        <f t="shared" si="50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49" s="91" t="str">
        <f t="shared" si="51"/>
        <v>"C:\Program Files (x86)\AstroGrep\AstroGrep.exe" /spath="%USERPROFILE%\AppData\Local\Temp\OnboardLogs" /stypes="app*4028*20161010*" /stext=" 06:.+((SYSTEM_STATE.+slice.+state.+changed )|(ment ac)|(system.+state.+changed )|(\[timeout)|(PRM\|1\|D)|(kpr)|(kdp)|(\|lc)|(penalty))" /e /r /s</v>
      </c>
      <c r="AG149" s="1" t="str">
        <f t="shared" si="52"/>
        <v>EC</v>
      </c>
      <c r="AH149" s="95" t="str">
        <f t="shared" si="53"/>
        <v>"%USERPROFILE%\Documents\GitHub\eaglep3\Utilities\RefineRTDCRunTimes.py" --tripid 236-09 --locoid 4028 --swversion DE.1.0.7.0 --startMP 204:232969 --initTime 2016-10-09T23:23:38 --startdatetime 2016-10-09T23:26:24 --delay 1 --endMP 204:160 --enddatetime 2016-10-10T00:06:01 --enforcementcount 0 &gt;&gt;C:\Users\stu\Documents\GitHub\eaglep3-reporting\EC\2016-10-09-refined-times.txt</v>
      </c>
      <c r="AI149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ID","value":"236-09"},{"id":16,"name":"Locomotive ID","value":"4028"},{"id":130,"name":"Impact","value":""},{"id":150,"name":"Time of Event (Mountain Time)","value":"00:06:01"},{"id":151,"name":"Denver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601</v>
      </c>
      <c r="B150" s="7">
        <v>4002</v>
      </c>
      <c r="C150" s="24" t="s">
        <v>106</v>
      </c>
      <c r="D150" s="24" t="s">
        <v>257</v>
      </c>
      <c r="E150" s="15">
        <v>42652.951701388891</v>
      </c>
      <c r="F150" s="15">
        <v>42652.95857638889</v>
      </c>
      <c r="G150" s="7">
        <v>2</v>
      </c>
      <c r="H150" s="15" t="s">
        <v>391</v>
      </c>
      <c r="I150" s="15">
        <v>42652.984363425923</v>
      </c>
      <c r="J150" s="7">
        <v>0</v>
      </c>
      <c r="K150" s="116" t="str">
        <f t="shared" si="38"/>
        <v>4001/4002</v>
      </c>
      <c r="L150" s="24" t="str">
        <f>VLOOKUP(A150,'Trips&amp;Operators'!$C$1:$E$10000,3,FALSE)</f>
        <v>LEVERE</v>
      </c>
      <c r="M150" s="6">
        <f t="shared" si="39"/>
        <v>2.5787037033296656E-2</v>
      </c>
      <c r="N150" s="7">
        <f t="shared" si="40"/>
        <v>37.133333327947184</v>
      </c>
      <c r="O150" s="7"/>
      <c r="P150" s="7"/>
      <c r="Q150" s="25"/>
      <c r="R150" s="25"/>
      <c r="S150" s="37">
        <f t="shared" si="41"/>
        <v>1</v>
      </c>
      <c r="T150" s="52" t="str">
        <f t="shared" si="42"/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21:50:27-0600',mode:absolute,to:'2016-10-10 00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54" t="str">
        <f t="shared" si="44"/>
        <v>N</v>
      </c>
      <c r="X150" s="163">
        <f t="shared" si="45"/>
        <v>1</v>
      </c>
      <c r="Y150" s="69">
        <f t="shared" si="46"/>
        <v>4.5999999999999999E-2</v>
      </c>
      <c r="Z150" s="69">
        <f t="shared" si="47"/>
        <v>23.328900000000001</v>
      </c>
      <c r="AA150" s="69">
        <f t="shared" si="48"/>
        <v>23.282900000000001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49"/>
        <v>0237-09</v>
      </c>
      <c r="AE150" s="94" t="str">
        <f t="shared" si="50"/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50" s="91" t="str">
        <f t="shared" si="51"/>
        <v>"C:\Program Files (x86)\AstroGrep\AstroGrep.exe" /spath="%USERPROFILE%\AppData\Local\Temp\OnboardLogs" /stypes="app*4002*20161010*" /stext=" 05:.+((SYSTEM_STATE.+slice.+state.+changed )|(ment ac)|(system.+state.+changed )|(\[timeout)|(PRM\|1\|D)|(kpr)|(kdp)|(\|lc)|(penalty))" /e /r /s</v>
      </c>
      <c r="AG150" s="1" t="str">
        <f t="shared" si="52"/>
        <v>EC</v>
      </c>
      <c r="AH150" s="95" t="str">
        <f t="shared" si="53"/>
        <v>"%USERPROFILE%\Documents\GitHub\eaglep3\Utilities\RefineRTDCRunTimes.py" --tripid 237-09 --locoid 4002 --swversion DE.1.0.7.0 --startMP 204:460 --initTime 2016-10-09T22:50:27 --startdatetime 2016-10-09T23:00:21 --delay 2 --endMP 204:233289 --enddatetime 2016-10-09T23:37:29 --enforcementcount 0 &gt;&gt;C:\Users\stu\Documents\GitHub\eaglep3-reporting\EC\2016-10-09-refined-times.txt</v>
      </c>
      <c r="AI150" s="129" t="str">
        <f t="shared" si="54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ID","value":"237-09"},{"id":16,"name":"Locomotive ID","value":"4002"},{"id":130,"name":"Impact","value":""},{"id":150,"name":"Time of Event (Mountain Time)","value":"23:37:29"},{"id":151,"name":"Denver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605</v>
      </c>
      <c r="B151" s="7">
        <v>4001</v>
      </c>
      <c r="C151" s="24" t="s">
        <v>106</v>
      </c>
      <c r="D151" s="24" t="s">
        <v>640</v>
      </c>
      <c r="E151" s="15">
        <v>42652.992939814816</v>
      </c>
      <c r="F151" s="15">
        <v>42652.997395833336</v>
      </c>
      <c r="G151" s="7">
        <v>1</v>
      </c>
      <c r="H151" s="15" t="s">
        <v>715</v>
      </c>
      <c r="I151" s="15">
        <v>42653.025775462964</v>
      </c>
      <c r="J151" s="7">
        <v>0</v>
      </c>
      <c r="K151" s="116" t="str">
        <f t="shared" si="38"/>
        <v>4001/4002</v>
      </c>
      <c r="L151" s="24" t="str">
        <f>VLOOKUP(A151,'Trips&amp;Operators'!$C$1:$E$10000,3,FALSE)</f>
        <v>LEVERE</v>
      </c>
      <c r="M151" s="6">
        <f t="shared" si="39"/>
        <v>2.8379629628034309E-2</v>
      </c>
      <c r="N151" s="7">
        <f t="shared" si="40"/>
        <v>40.866666664369404</v>
      </c>
      <c r="O151" s="7"/>
      <c r="P151" s="7"/>
      <c r="Q151" s="25"/>
      <c r="R151" s="25"/>
      <c r="S151" s="37">
        <f t="shared" si="41"/>
        <v>1</v>
      </c>
      <c r="T151" s="52" t="str">
        <f t="shared" si="42"/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22:49:50-0600',mode:absolute,to:'2016-10-10 01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1" s="54" t="str">
        <f t="shared" si="44"/>
        <v>N</v>
      </c>
      <c r="X151" s="163">
        <f t="shared" si="45"/>
        <v>1</v>
      </c>
      <c r="Y151" s="69">
        <f t="shared" si="46"/>
        <v>23.297799999999999</v>
      </c>
      <c r="Z151" s="69">
        <f t="shared" si="47"/>
        <v>8.9999999999999993E-3</v>
      </c>
      <c r="AA151" s="69">
        <f t="shared" si="48"/>
        <v>23.288799999999998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49"/>
        <v>0238-09</v>
      </c>
      <c r="AE151" s="94" t="str">
        <f t="shared" si="50"/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51" s="91" t="str">
        <f t="shared" si="51"/>
        <v>"C:\Program Files (x86)\AstroGrep\AstroGrep.exe" /spath="%USERPROFILE%\AppData\Local\Temp\OnboardLogs" /stypes="app*4001*20161010*" /stext=" 06:.+((SYSTEM_STATE.+slice.+state.+changed )|(ment ac)|(system.+state.+changed )|(\[timeout)|(PRM\|1\|D)|(kpr)|(kdp)|(\|lc)|(penalty))" /e /r /s</v>
      </c>
      <c r="AG151" s="1" t="str">
        <f t="shared" si="52"/>
        <v>EC</v>
      </c>
      <c r="AH151" s="95" t="str">
        <f t="shared" si="53"/>
        <v>"%USERPROFILE%\Documents\GitHub\eaglep3\Utilities\RefineRTDCRunTimes.py" --tripid 238-09 --locoid 4001 --swversion DE.1.0.7.0 --startMP 204:232978 --initTime 2016-10-09T23:49:50 --startdatetime 2016-10-09T23:56:15 --delay 1 --endMP 204:90 --enddatetime 2016-10-10T00:37:07 --enforcementcount 0 &gt;&gt;C:\Users\stu\Documents\GitHub\eaglep3-reporting\EC\2016-10-09-refined-times.txt</v>
      </c>
      <c r="AI151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{"issue":{"subject":"","project_id":79,"tracker_id":40,"status_id":1,"priority_id":2,"assigned_to_id":23,"start_date":"2016-10-10","description":"","custom_fields":[{"id":1,"name":"Subdivision","value":"EC"},{"id":4,"name":"Milepost","value":"0.009"},{"id":17,"name":"Train ID","value":"238-09"},{"id":16,"name":"Locomotive ID","value":"4001"},{"id":130,"name":"Impact","value":""},{"id":150,"name":"Time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602</v>
      </c>
      <c r="B152" s="7">
        <v>4025</v>
      </c>
      <c r="C152" s="24" t="s">
        <v>106</v>
      </c>
      <c r="D152" s="24" t="s">
        <v>197</v>
      </c>
      <c r="E152" s="15">
        <v>42652.974537037036</v>
      </c>
      <c r="F152" s="15">
        <v>42652.97934027778</v>
      </c>
      <c r="G152" s="7">
        <v>1</v>
      </c>
      <c r="H152" s="15" t="s">
        <v>714</v>
      </c>
      <c r="I152" s="15">
        <v>42653.003831018519</v>
      </c>
      <c r="J152" s="7">
        <v>0</v>
      </c>
      <c r="K152" s="116" t="str">
        <f t="shared" si="38"/>
        <v>4025/4026</v>
      </c>
      <c r="L152" s="24" t="str">
        <f>VLOOKUP(A152,'Trips&amp;Operators'!$C$1:$E$10000,3,FALSE)</f>
        <v>COOLAHAN</v>
      </c>
      <c r="M152" s="6">
        <f t="shared" si="39"/>
        <v>2.4490740739565808E-2</v>
      </c>
      <c r="N152" s="7">
        <f t="shared" si="40"/>
        <v>35.266666664974764</v>
      </c>
      <c r="O152" s="7"/>
      <c r="P152" s="7"/>
      <c r="Q152" s="25"/>
      <c r="R152" s="25"/>
      <c r="S152" s="37">
        <f t="shared" si="41"/>
        <v>1</v>
      </c>
      <c r="T152" s="52" t="str">
        <f t="shared" si="42"/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22:23:20-0600',mode:absolute,to:'2016-10-10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2" s="54" t="str">
        <f t="shared" si="44"/>
        <v>N</v>
      </c>
      <c r="X152" s="163">
        <f t="shared" si="45"/>
        <v>1</v>
      </c>
      <c r="Y152" s="69">
        <f t="shared" si="46"/>
        <v>4.5499999999999999E-2</v>
      </c>
      <c r="Z152" s="69">
        <f t="shared" si="47"/>
        <v>23.330300000000001</v>
      </c>
      <c r="AA152" s="69">
        <f t="shared" si="48"/>
        <v>23.284800000000001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49"/>
        <v>0239-09</v>
      </c>
      <c r="AE152" s="94" t="str">
        <f t="shared" si="50"/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52" s="91" t="str">
        <f t="shared" si="51"/>
        <v>"C:\Program Files (x86)\AstroGrep\AstroGrep.exe" /spath="%USERPROFILE%\AppData\Local\Temp\OnboardLogs" /stypes="app*4025*20161010*" /stext=" 06:.+((SYSTEM_STATE.+slice.+state.+changed )|(ment ac)|(system.+state.+changed )|(\[timeout)|(PRM\|1\|D)|(kpr)|(kdp)|(\|lc)|(penalty))" /e /r /s</v>
      </c>
      <c r="AG152" s="1" t="str">
        <f t="shared" si="52"/>
        <v>EC</v>
      </c>
      <c r="AH152" s="95" t="str">
        <f t="shared" si="53"/>
        <v>"%USERPROFILE%\Documents\GitHub\eaglep3\Utilities\RefineRTDCRunTimes.py" --tripid 239-09 --locoid 4025 --swversion DE.1.0.7.0 --startMP 204:455 --initTime 2016-10-09T23:23:20 --startdatetime 2016-10-09T23:30:15 --delay 1 --endMP 204:233303 --enddatetime 2016-10-10T00:05:31 --enforcementcount 0 &gt;&gt;C:\Users\stu\Documents\GitHub\eaglep3-reporting\EC\2016-10-09-refined-times.txt</v>
      </c>
      <c r="AI152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{"issue":{"subject":"","project_id":79,"tracker_id":40,"status_id":1,"priority_id":2,"assigned_to_id":23,"start_date":"2016-10-10","description":"","custom_fields":[{"id":1,"name":"Subdivision","value":"EC"},{"id":4,"name":"Milepost","value":"23.3303"},{"id":17,"name":"Train ID","value":"239-09"},{"id":16,"name":"Locomotive ID","value":"4025"},{"id":130,"name":"Impact","value":""},{"id":150,"name":"Time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606</v>
      </c>
      <c r="B153" s="7">
        <v>4026</v>
      </c>
      <c r="C153" s="24" t="s">
        <v>106</v>
      </c>
      <c r="D153" s="24" t="s">
        <v>388</v>
      </c>
      <c r="E153" s="15">
        <v>42653.013298611113</v>
      </c>
      <c r="F153" s="15">
        <v>42653.018263888887</v>
      </c>
      <c r="G153" s="7">
        <v>2</v>
      </c>
      <c r="H153" s="15" t="s">
        <v>716</v>
      </c>
      <c r="I153" s="15">
        <v>42653.04414351852</v>
      </c>
      <c r="J153" s="7">
        <v>0</v>
      </c>
      <c r="K153" s="116" t="str">
        <f t="shared" si="38"/>
        <v>4025/4026</v>
      </c>
      <c r="L153" s="24" t="str">
        <f>VLOOKUP(A153,'Trips&amp;Operators'!$C$1:$E$10000,3,FALSE)</f>
        <v>COOLAHAN</v>
      </c>
      <c r="M153" s="6">
        <f t="shared" si="39"/>
        <v>2.587962963298196E-2</v>
      </c>
      <c r="N153" s="7">
        <f t="shared" si="40"/>
        <v>37.266666671494022</v>
      </c>
      <c r="O153" s="7"/>
      <c r="P153" s="7"/>
      <c r="Q153" s="25"/>
      <c r="R153" s="25"/>
      <c r="S153" s="37">
        <f t="shared" si="41"/>
        <v>1</v>
      </c>
      <c r="T153" s="52" t="str">
        <f t="shared" si="42"/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23:19:09-0600',mode:absolute,to:'2016-10-10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3" s="54" t="str">
        <f t="shared" si="44"/>
        <v>N</v>
      </c>
      <c r="X153" s="163">
        <f t="shared" si="45"/>
        <v>1</v>
      </c>
      <c r="Y153" s="69">
        <f t="shared" si="46"/>
        <v>23.299199999999999</v>
      </c>
      <c r="Z153" s="69">
        <f t="shared" si="47"/>
        <v>2.4299999999999999E-2</v>
      </c>
      <c r="AA153" s="69">
        <f t="shared" si="48"/>
        <v>23.274899999999999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49"/>
        <v>0240-09</v>
      </c>
      <c r="AE153" s="94" t="str">
        <f t="shared" si="50"/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53" s="91" t="str">
        <f t="shared" si="51"/>
        <v>"C:\Program Files (x86)\AstroGrep\AstroGrep.exe" /spath="%USERPROFILE%\AppData\Local\Temp\OnboardLogs" /stypes="app*4026*20161010*" /stext=" 07:.+((SYSTEM_STATE.+slice.+state.+changed )|(ment ac)|(system.+state.+changed )|(\[timeout)|(PRM\|1\|D)|(kpr)|(kdp)|(\|lc)|(penalty))" /e /r /s</v>
      </c>
      <c r="AG153" s="1" t="str">
        <f t="shared" si="52"/>
        <v>EC</v>
      </c>
      <c r="AH153" s="95" t="str">
        <f t="shared" si="53"/>
        <v>"%USERPROFILE%\Documents\GitHub\eaglep3\Utilities\RefineRTDCRunTimes.py" --tripid 240-09 --locoid 4026 --swversion DE.1.0.7.0 --startMP 204:232992 --initTime 2016-10-10T00:19:09 --startdatetime 2016-10-10T00:26:18 --delay 2 --endMP 204:243 --enddatetime 2016-10-10T01:03:34 --enforcementcount 0 &gt;&gt;C:\Users\stu\Documents\GitHub\eaglep3-reporting\EC\2016-10-09-refined-times.txt</v>
      </c>
      <c r="AI153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{"issue":{"subject":"","project_id":79,"tracker_id":40,"status_id":1,"priority_id":2,"assigned_to_id":23,"start_date":"2016-10-10","description":"","custom_fields":[{"id":1,"name":"Subdivision","value":"EC"},{"id":4,"name":"Milepost","value":"0.0243"},{"id":17,"name":"Train ID","value":"240-09"},{"id":16,"name":"Locomotive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604</v>
      </c>
      <c r="B154" s="7">
        <v>4014</v>
      </c>
      <c r="C154" s="24" t="s">
        <v>106</v>
      </c>
      <c r="D154" s="24" t="s">
        <v>236</v>
      </c>
      <c r="E154" s="15">
        <v>42652.983483796299</v>
      </c>
      <c r="F154" s="15">
        <v>42653.000162037039</v>
      </c>
      <c r="G154" s="7">
        <v>1</v>
      </c>
      <c r="H154" s="15" t="s">
        <v>702</v>
      </c>
      <c r="I154" s="15">
        <v>42653.024560185186</v>
      </c>
      <c r="J154" s="7">
        <v>0</v>
      </c>
      <c r="K154" s="116" t="str">
        <f t="shared" si="38"/>
        <v>4013/4014</v>
      </c>
      <c r="L154" s="24" t="str">
        <f>VLOOKUP(A154,'Trips&amp;Operators'!$C$1:$E$10000,3,FALSE)</f>
        <v>NEWELL</v>
      </c>
      <c r="M154" s="6">
        <f t="shared" si="39"/>
        <v>2.4398148147156462E-2</v>
      </c>
      <c r="N154" s="7">
        <f t="shared" si="40"/>
        <v>35.133333331905305</v>
      </c>
      <c r="O154" s="7"/>
      <c r="P154" s="7"/>
      <c r="Q154" s="25"/>
      <c r="R154" s="25"/>
      <c r="S154" s="37">
        <f t="shared" si="41"/>
        <v>1</v>
      </c>
      <c r="T154" s="52" t="str">
        <f t="shared" si="42"/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22:36:13-0600',mode:absolute,to:'2016-10-10 01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54" t="str">
        <f t="shared" si="44"/>
        <v>N</v>
      </c>
      <c r="X154" s="163">
        <f t="shared" si="45"/>
        <v>1</v>
      </c>
      <c r="Y154" s="69">
        <f t="shared" si="46"/>
        <v>4.6699999999999998E-2</v>
      </c>
      <c r="Z154" s="69">
        <f t="shared" si="47"/>
        <v>23.3307</v>
      </c>
      <c r="AA154" s="69">
        <f t="shared" si="48"/>
        <v>23.283999999999999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49"/>
        <v>0241-09</v>
      </c>
      <c r="AE154" s="94" t="str">
        <f t="shared" si="50"/>
        <v>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 &amp; 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</v>
      </c>
      <c r="AF154" s="91" t="str">
        <f t="shared" si="51"/>
        <v>"C:\Program Files (x86)\AstroGrep\AstroGrep.exe" /spath="%USERPROFILE%\AppData\Local\Temp\OnboardLogs" /stypes="app*4014*20161010*" /stext=" 06:.+((SYSTEM_STATE.+slice.+state.+changed )|(ment ac)|(system.+state.+changed )|(\[timeout)|(PRM\|1\|D)|(kpr)|(kdp)|(\|lc)|(penalty))" /e /r /s</v>
      </c>
      <c r="AG154" s="1" t="str">
        <f t="shared" si="52"/>
        <v>EC</v>
      </c>
      <c r="AH154" s="95" t="str">
        <f t="shared" si="53"/>
        <v>"%USERPROFILE%\Documents\GitHub\eaglep3\Utilities\RefineRTDCRunTimes.py" --tripid 241-09 --locoid 4014 --swversion DE.1.0.7.0 --startMP 204:467 --initTime 2016-10-09T23:36:13 --startdatetime 2016-10-10T00:00:14 --delay 1 --endMP 204:233307 --enddatetime 2016-10-10T00:35:22 --enforcementcount 0 &gt;&gt;C:\Users\stu\Documents\GitHub\eaglep3-reporting\EC\2016-10-09-refined-times.txt</v>
      </c>
      <c r="AI154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{"issue":{"subject":"","project_id":79,"tracker_id":40,"status_id":1,"priority_id":2,"assigned_to_id":23,"start_date":"2016-10-10","description":"","custom_fields":[{"id":1,"name":"Subdivision","value":"EC"},{"id":4,"name":"Milepost","value":"23.3307"},{"id":17,"name":"Train ID","value":"241-09"},{"id":16,"name":"Locomotive ID","value":"4014"},{"id":130,"name":"Impact","value":""},{"id":150,"name":"Time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4013</v>
      </c>
      <c r="C155" s="24" t="s">
        <v>106</v>
      </c>
      <c r="D155" s="24" t="s">
        <v>304</v>
      </c>
      <c r="E155" s="15">
        <v>42653.03</v>
      </c>
      <c r="F155" s="15">
        <v>42653.039039351854</v>
      </c>
      <c r="G155" s="7">
        <v>1</v>
      </c>
      <c r="H155" s="15" t="s">
        <v>208</v>
      </c>
      <c r="I155" s="15">
        <v>42653.065763888888</v>
      </c>
      <c r="J155" s="7">
        <v>0</v>
      </c>
      <c r="K155" s="116" t="str">
        <f t="shared" si="38"/>
        <v>4013/4014</v>
      </c>
      <c r="L155" s="24" t="str">
        <f>VLOOKUP(A155,'Trips&amp;Operators'!$C$1:$E$10000,3,FALSE)</f>
        <v>NEWELL</v>
      </c>
      <c r="M155" s="6">
        <f t="shared" si="39"/>
        <v>2.6724537034169771E-2</v>
      </c>
      <c r="N155" s="7">
        <f t="shared" si="40"/>
        <v>38.48333332920447</v>
      </c>
      <c r="O155" s="7"/>
      <c r="P155" s="7"/>
      <c r="Q155" s="25"/>
      <c r="R155" s="25"/>
      <c r="S155" s="37">
        <f t="shared" si="41"/>
        <v>1</v>
      </c>
      <c r="T155" s="52" t="str">
        <f t="shared" si="42"/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23:43:12-0600',mode:absolute,to:'2016-10-10 02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54" t="str">
        <f t="shared" si="44"/>
        <v>N</v>
      </c>
      <c r="X155" s="163">
        <f t="shared" si="45"/>
        <v>1</v>
      </c>
      <c r="Y155" s="69">
        <f t="shared" si="46"/>
        <v>23.298200000000001</v>
      </c>
      <c r="Z155" s="69">
        <f t="shared" si="47"/>
        <v>1.41E-2</v>
      </c>
      <c r="AA155" s="69">
        <f t="shared" si="48"/>
        <v>23.284100000000002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49"/>
        <v>0242-09</v>
      </c>
      <c r="AE155" s="94" t="str">
        <f t="shared" si="50"/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155" s="91" t="str">
        <f t="shared" si="51"/>
        <v>"C:\Program Files (x86)\AstroGrep\AstroGrep.exe" /spath="%USERPROFILE%\AppData\Local\Temp\OnboardLogs" /stypes="app*4013*20161010*" /stext=" 07:.+((SYSTEM_STATE.+slice.+state.+changed )|(ment ac)|(system.+state.+changed )|(\[timeout)|(PRM\|1\|D)|(kpr)|(kdp)|(\|lc)|(penalty))" /e /r /s</v>
      </c>
      <c r="AG155" s="1" t="str">
        <f t="shared" si="52"/>
        <v>EC</v>
      </c>
      <c r="AH155" s="95" t="str">
        <f t="shared" si="53"/>
        <v>"%USERPROFILE%\Documents\GitHub\eaglep3\Utilities\RefineRTDCRunTimes.py" --tripid 242-09 --locoid 4013 --swversion DE.1.0.7.0 --startMP 204:232982 --initTime 2016-10-10T00:43:12 --startdatetime 2016-10-10T00:56:13 --delay 1 --endMP 204:141 --enddatetime 2016-10-10T01:34:42 --enforcementcount 0 &gt;&gt;C:\Users\stu\Documents\GitHub\eaglep3-reporting\EC\2016-10-09-refined-times.txt</v>
      </c>
      <c r="AI155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ID","value":"242-09"},{"id":16,"name":"Locomotive ID","value":"4013"},{"id":130,"name":"Impact","value":""},{"id":150,"name":"Time of Event (Mountain Time)","value":"01:34:42"},{"id":151,"name":"Denver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609</v>
      </c>
      <c r="B156" s="7">
        <v>4027</v>
      </c>
      <c r="C156" s="24" t="s">
        <v>106</v>
      </c>
      <c r="D156" s="24" t="s">
        <v>190</v>
      </c>
      <c r="E156" s="15">
        <v>42653.019236111111</v>
      </c>
      <c r="F156" s="15">
        <v>42653.021122685182</v>
      </c>
      <c r="G156" s="7">
        <v>1</v>
      </c>
      <c r="H156" s="15" t="s">
        <v>266</v>
      </c>
      <c r="I156" s="15">
        <v>42653.046273148146</v>
      </c>
      <c r="J156" s="7">
        <v>0</v>
      </c>
      <c r="K156" s="116" t="str">
        <f t="shared" si="38"/>
        <v>4027/4028</v>
      </c>
      <c r="L156" s="24" t="str">
        <f>VLOOKUP(A156,'Trips&amp;Operators'!$C$1:$E$10000,3,FALSE)</f>
        <v>CHANDLER</v>
      </c>
      <c r="M156" s="6">
        <f t="shared" si="39"/>
        <v>2.5150462963210884E-2</v>
      </c>
      <c r="N156" s="7">
        <f t="shared" si="40"/>
        <v>36.216666667023674</v>
      </c>
      <c r="O156" s="7"/>
      <c r="P156" s="7"/>
      <c r="Q156" s="25"/>
      <c r="R156" s="25"/>
      <c r="S156" s="37">
        <f t="shared" si="41"/>
        <v>1</v>
      </c>
      <c r="T156" s="52" t="str">
        <f t="shared" si="42"/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23:27:42-0600',mode:absolute,to:'2016-10-10 02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6" s="54" t="str">
        <f t="shared" si="44"/>
        <v>N</v>
      </c>
      <c r="X156" s="163">
        <f t="shared" si="45"/>
        <v>1</v>
      </c>
      <c r="Y156" s="69">
        <f t="shared" si="46"/>
        <v>4.53E-2</v>
      </c>
      <c r="Z156" s="69">
        <f t="shared" si="47"/>
        <v>23.328600000000002</v>
      </c>
      <c r="AA156" s="69">
        <f t="shared" si="48"/>
        <v>23.283300000000001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49"/>
        <v>0243-09</v>
      </c>
      <c r="AE156" s="94" t="str">
        <f t="shared" si="50"/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156" s="91" t="str">
        <f t="shared" si="51"/>
        <v>"C:\Program Files (x86)\AstroGrep\AstroGrep.exe" /spath="%USERPROFILE%\AppData\Local\Temp\OnboardLogs" /stypes="app*4027*20161010*" /stext=" 07:.+((SYSTEM_STATE.+slice.+state.+changed )|(ment ac)|(system.+state.+changed )|(\[timeout)|(PRM\|1\|D)|(kpr)|(kdp)|(\|lc)|(penalty))" /e /r /s</v>
      </c>
      <c r="AG156" s="1" t="str">
        <f t="shared" si="52"/>
        <v>EC</v>
      </c>
      <c r="AH156" s="95" t="str">
        <f t="shared" si="53"/>
        <v>"%USERPROFILE%\Documents\GitHub\eaglep3\Utilities\RefineRTDCRunTimes.py" --tripid 243-09 --locoid 4027 --swversion DE.1.0.7.0 --startMP 204:453 --initTime 2016-10-10T00:27:42 --startdatetime 2016-10-10T00:30:25 --delay 1 --endMP 204:233286 --enddatetime 2016-10-10T01:06:38 --enforcementcount 0 &gt;&gt;C:\Users\stu\Documents\GitHub\eaglep3-reporting\EC\2016-10-09-refined-times.txt</v>
      </c>
      <c r="AI156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ID","value":"243-09"},{"id":16,"name":"Locomotive ID","value":"4027"},{"id":130,"name":"Impact","value":""},{"id":150,"name":"Time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613</v>
      </c>
      <c r="B157" s="7">
        <v>4028</v>
      </c>
      <c r="C157" s="24" t="s">
        <v>106</v>
      </c>
      <c r="D157" s="24" t="s">
        <v>229</v>
      </c>
      <c r="E157" s="15">
        <v>42653.058993055558</v>
      </c>
      <c r="F157" s="15">
        <v>42653.060208333336</v>
      </c>
      <c r="G157" s="7">
        <v>1</v>
      </c>
      <c r="H157" s="15" t="s">
        <v>191</v>
      </c>
      <c r="I157" s="15">
        <v>42653.087187500001</v>
      </c>
      <c r="J157" s="7">
        <v>0</v>
      </c>
      <c r="K157" s="116" t="str">
        <f t="shared" si="38"/>
        <v>4027/4028</v>
      </c>
      <c r="L157" s="24" t="str">
        <f>VLOOKUP(A157,'Trips&amp;Operators'!$C$1:$E$10000,3,FALSE)</f>
        <v>CHANDLER</v>
      </c>
      <c r="M157" s="6">
        <f t="shared" si="39"/>
        <v>2.6979166665114462E-2</v>
      </c>
      <c r="N157" s="7">
        <f t="shared" si="40"/>
        <v>38.849999997764826</v>
      </c>
      <c r="O157" s="7"/>
      <c r="P157" s="7"/>
      <c r="Q157" s="25"/>
      <c r="R157" s="25"/>
      <c r="S157" s="37">
        <f t="shared" si="41"/>
        <v>1</v>
      </c>
      <c r="T157" s="52" t="str">
        <f t="shared" si="42"/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00:24:57-0600',mode:absolute,to:'2016-10-10 03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7" s="54" t="str">
        <f t="shared" si="44"/>
        <v>N</v>
      </c>
      <c r="X157" s="163">
        <f t="shared" si="45"/>
        <v>1</v>
      </c>
      <c r="Y157" s="69">
        <f t="shared" si="46"/>
        <v>23.296900000000001</v>
      </c>
      <c r="Z157" s="69">
        <f t="shared" si="47"/>
        <v>1.4999999999999999E-2</v>
      </c>
      <c r="AA157" s="69">
        <f t="shared" si="48"/>
        <v>23.2819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49"/>
        <v>0244-09</v>
      </c>
      <c r="AE157" s="94" t="str">
        <f t="shared" si="50"/>
        <v>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 &amp; aws s3 cp s3://rtdc.mdm.uploadarchive.raw/RTDC4028/ "%USERPROFILE%\AppData\Local\Temp\OnboardLogs"\RTDC4028\2016-10-11 --exclude "*" --recursive --include "*20161011*" &amp; "%USERPROFILE%\Documents\GitHub\mrs-test-scripts\Headless Mode &amp; Sideloading\WalkAndUnGZ.bat" "%USERPROFILE%\AppData\Local\Temp\OnboardLogs"\RTDC4028\2016-10-11</v>
      </c>
      <c r="AF157" s="91" t="str">
        <f t="shared" si="51"/>
        <v>"C:\Program Files (x86)\AstroGrep\AstroGrep.exe" /spath="%USERPROFILE%\AppData\Local\Temp\OnboardLogs" /stypes="app*4028*20161010*" /stext=" 08:.+((SYSTEM_STATE.+slice.+state.+changed )|(ment ac)|(system.+state.+changed )|(\[timeout)|(PRM\|1\|D)|(kpr)|(kdp)|(\|lc)|(penalty))" /e /r /s</v>
      </c>
      <c r="AG157" s="1" t="str">
        <f t="shared" si="52"/>
        <v>EC</v>
      </c>
      <c r="AH157" s="95" t="str">
        <f t="shared" si="53"/>
        <v>"%USERPROFILE%\Documents\GitHub\eaglep3\Utilities\RefineRTDCRunTimes.py" --tripid 244-09 --locoid 4028 --swversion DE.1.0.7.0 --startMP 204:232969 --initTime 2016-10-10T01:24:57 --startdatetime 2016-10-10T01:26:42 --delay 1 --endMP 204:150 --enddatetime 2016-10-10T02:05:33 --enforcementcount 0 &gt;&gt;C:\Users\stu\Documents\GitHub\eaglep3-reporting\EC\2016-10-09-refined-times.txt</v>
      </c>
      <c r="AI157" s="129" t="str">
        <f t="shared" si="54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ID","value":"244-09"},{"id":16,"name":"Locomotive ID","value":"4028"},{"id":130,"name":"Impact","value":""},{"id":150,"name":"Time of Event (Mountain Time)","value":"02:05:33"},{"id":151,"name":"Denver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421</v>
      </c>
      <c r="B158" s="7">
        <v>4004</v>
      </c>
      <c r="C158" s="24" t="s">
        <v>106</v>
      </c>
      <c r="D158" s="24" t="s">
        <v>652</v>
      </c>
      <c r="E158" s="15">
        <v>42652.235046296293</v>
      </c>
      <c r="F158" s="15">
        <v>42652.236631944441</v>
      </c>
      <c r="G158" s="7">
        <v>1</v>
      </c>
      <c r="H158" s="15" t="s">
        <v>653</v>
      </c>
      <c r="I158" s="15">
        <v>42652.247627314813</v>
      </c>
      <c r="J158" s="7">
        <v>0</v>
      </c>
      <c r="K158" s="116" t="str">
        <f t="shared" si="38"/>
        <v>4003/4004</v>
      </c>
      <c r="L158" s="24" t="str">
        <f>VLOOKUP(A158,'Trips&amp;Operators'!$C$1:$E$10000,3,FALSE)</f>
        <v>ROBINSON</v>
      </c>
      <c r="M158" s="6">
        <f t="shared" si="39"/>
        <v>1.099537037225673E-2</v>
      </c>
      <c r="N158" s="7">
        <f t="shared" si="40"/>
        <v>15.833333336049691</v>
      </c>
      <c r="O158" s="7"/>
      <c r="P158" s="7"/>
      <c r="Q158" s="25"/>
      <c r="R158" s="25"/>
      <c r="S158" s="37">
        <f t="shared" si="41"/>
        <v>1</v>
      </c>
      <c r="T158" s="52" t="str">
        <f t="shared" si="42"/>
        <v>Southbound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04:38:28-0600',mode:absolute,to:'2016-10-09 06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8" s="54" t="str">
        <f t="shared" si="44"/>
        <v>N</v>
      </c>
      <c r="X158" s="163">
        <f t="shared" ref="X158:X161" si="55">VALUE(LEFT(AD158,4))-VALUE(LEFT(AD157,4))</f>
        <v>1556</v>
      </c>
      <c r="Y158" s="69">
        <f t="shared" si="46"/>
        <v>5.8688000000000002</v>
      </c>
      <c r="Z158" s="69">
        <f t="shared" si="47"/>
        <v>6.9400000000000003E-2</v>
      </c>
      <c r="AA158" s="69">
        <f t="shared" si="48"/>
        <v>5.7994000000000003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49"/>
        <v>1800-09</v>
      </c>
      <c r="AE15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58" s="91" t="str">
        <f t="shared" si="51"/>
        <v>"C:\Program Files (x86)\AstroGrep\AstroGrep.exe" /spath="%USERPROFILE%\AppData\Local\Temp\OnboardLogs" /stypes="app*4004*20161009*" /stext=" 11:.+((SYSTEM_STATE.+slice.+state.+changed )|(ment ac)|(system.+state.+changed )|(\[timeout)|(PRM\|1\|D)|(kpr)|(kdp)|(\|lc)|(penalty))" /e /r /s</v>
      </c>
      <c r="AG158" s="1" t="str">
        <f t="shared" si="52"/>
        <v>NW</v>
      </c>
      <c r="AH158" s="95" t="str">
        <f t="shared" si="53"/>
        <v>"%USERPROFILE%\Documents\GitHub\eaglep3\Utilities\RefineRTDCRunTimes.py" --tripid 1800-09 --locoid 4004 --swversion DE.1.0.7.0 --startMP 300:58688 --initTime 2016-10-09T05:38:28 --startdatetime 2016-10-09T05:40:45 --delay 1 --endMP 204:694 --enddatetime 2016-10-09T05:56:35 --enforcementcount 0 &gt;&gt;C:\Users\stu\Documents\GitHub\eaglep3-reporting\EC\2016-10-09-refined-times.txt</v>
      </c>
      <c r="AI15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{"issue":{"subject":"","project_id":79,"tracker_id":40,"status_id":1,"priority_id":2,"assigned_to_id":23,"start_date":"2016-10-09","description":"","custom_fields":[{"id":1,"name":"Subdivision","value":"NW"},{"id":4,"name":"Milepost","value":"0.0694"},{"id":17,"name":"Train ID","value":"1800-09"},{"id":16,"name":"Locomotive ID","value":"4004"},{"id":130,"name":"Impact","value":""},{"id":150,"name":"Time of Event (Mountain Time)","value":"05:56:35"},{"id":151,"name":"Denver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427</v>
      </c>
      <c r="B159" s="7">
        <v>4003</v>
      </c>
      <c r="C159" s="24" t="s">
        <v>106</v>
      </c>
      <c r="D159" s="24" t="s">
        <v>654</v>
      </c>
      <c r="E159" s="15">
        <v>42652.260381944441</v>
      </c>
      <c r="F159" s="15">
        <v>42652.264733796299</v>
      </c>
      <c r="G159" s="7">
        <v>1</v>
      </c>
      <c r="H159" s="15" t="s">
        <v>655</v>
      </c>
      <c r="I159" s="15">
        <v>42652.274328703701</v>
      </c>
      <c r="J159" s="7">
        <v>0</v>
      </c>
      <c r="K159" s="116" t="str">
        <f t="shared" si="38"/>
        <v>4003/4004</v>
      </c>
      <c r="L159" s="24" t="str">
        <f>VLOOKUP(A159,'Trips&amp;Operators'!$C$1:$E$10000,3,FALSE)</f>
        <v>ROBINSON</v>
      </c>
      <c r="M159" s="6">
        <f t="shared" si="39"/>
        <v>9.594907402060926E-3</v>
      </c>
      <c r="N159" s="7">
        <f t="shared" si="40"/>
        <v>13.816666658967733</v>
      </c>
      <c r="O159" s="7"/>
      <c r="P159" s="7"/>
      <c r="Q159" s="25"/>
      <c r="R159" s="25"/>
      <c r="S159" s="37">
        <f t="shared" si="41"/>
        <v>1</v>
      </c>
      <c r="T159" s="52" t="str">
        <f t="shared" si="42"/>
        <v>NorthBound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05:14:57-0600',mode:absolute,to:'2016-10-09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9" s="54" t="str">
        <f t="shared" si="44"/>
        <v>N</v>
      </c>
      <c r="X159" s="163">
        <f t="shared" si="55"/>
        <v>1</v>
      </c>
      <c r="Y159" s="69">
        <f t="shared" si="46"/>
        <v>9.8599999999999993E-2</v>
      </c>
      <c r="Z159" s="69">
        <f t="shared" si="47"/>
        <v>5.8954000000000004</v>
      </c>
      <c r="AA159" s="69">
        <f t="shared" si="48"/>
        <v>5.7968000000000002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49"/>
        <v>1801-09</v>
      </c>
      <c r="AE15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59" s="91" t="str">
        <f t="shared" si="51"/>
        <v>"C:\Program Files (x86)\AstroGrep\AstroGrep.exe" /spath="%USERPROFILE%\AppData\Local\Temp\OnboardLogs" /stypes="app*4003*20161009*" /stext=" 12:.+((SYSTEM_STATE.+slice.+state.+changed )|(ment ac)|(system.+state.+changed )|(\[timeout)|(PRM\|1\|D)|(kpr)|(kdp)|(\|lc)|(penalty))" /e /r /s</v>
      </c>
      <c r="AG159" s="1" t="str">
        <f t="shared" si="52"/>
        <v>NW</v>
      </c>
      <c r="AH159" s="95" t="str">
        <f t="shared" si="53"/>
        <v>"%USERPROFILE%\Documents\GitHub\eaglep3\Utilities\RefineRTDCRunTimes.py" --tripid 1801-09 --locoid 4003 --swversion DE.1.0.7.0 --startMP 204:986 --initTime 2016-10-09T06:14:57 --startdatetime 2016-10-09T06:21:13 --delay 1 --endMP 300:58954 --enddatetime 2016-10-09T06:35:02 --enforcementcount 0 &gt;&gt;C:\Users\stu\Documents\GitHub\eaglep3-reporting\EC\2016-10-09-refined-times.txt</v>
      </c>
      <c r="AI15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{"issue":{"subject":"","project_id":79,"tracker_id":40,"status_id":1,"priority_id":2,"assigned_to_id":23,"start_date":"2016-10-09","description":"","custom_fields":[{"id":1,"name":"Subdivision","value":"NW"},{"id":4,"name":"Milepost","value":"5.8954"},{"id":17,"name":"Train ID","value":"1801-09"},{"id":16,"name":"Locomotive ID","value":"4003"},{"id":130,"name":"Impact","value":""},{"id":150,"name":"Time of Event (Mountain Time)","value":"06:35:02"},{"id":151,"name":"Denver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430</v>
      </c>
      <c r="B160" s="7">
        <v>4004</v>
      </c>
      <c r="C160" s="24" t="s">
        <v>106</v>
      </c>
      <c r="D160" s="24" t="s">
        <v>380</v>
      </c>
      <c r="E160" s="15">
        <v>42652.275578703702</v>
      </c>
      <c r="F160" s="15">
        <v>42652.277118055557</v>
      </c>
      <c r="G160" s="7">
        <v>1</v>
      </c>
      <c r="H160" s="15" t="s">
        <v>653</v>
      </c>
      <c r="I160" s="15">
        <v>42652.288368055553</v>
      </c>
      <c r="J160" s="7">
        <v>0</v>
      </c>
      <c r="K160" s="116" t="str">
        <f t="shared" si="38"/>
        <v>4003/4004</v>
      </c>
      <c r="L160" s="24" t="str">
        <f>VLOOKUP(A160,'Trips&amp;Operators'!$C$1:$E$10000,3,FALSE)</f>
        <v>ROBINSON</v>
      </c>
      <c r="M160" s="6">
        <f t="shared" si="39"/>
        <v>1.1249999995925464E-2</v>
      </c>
      <c r="N160" s="7">
        <f t="shared" si="40"/>
        <v>16.199999994132668</v>
      </c>
      <c r="O160" s="7"/>
      <c r="P160" s="7"/>
      <c r="Q160" s="25"/>
      <c r="R160" s="25"/>
      <c r="S160" s="37">
        <f t="shared" si="41"/>
        <v>1</v>
      </c>
      <c r="T160" s="52" t="str">
        <f t="shared" si="42"/>
        <v>Southbound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05:36:50-0600',mode:absolute,to:'2016-10-09 07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0" s="54" t="str">
        <f t="shared" si="44"/>
        <v>N</v>
      </c>
      <c r="X160" s="163">
        <f t="shared" si="55"/>
        <v>1</v>
      </c>
      <c r="Y160" s="69">
        <f t="shared" si="46"/>
        <v>5.8638000000000003</v>
      </c>
      <c r="Z160" s="69">
        <f t="shared" si="47"/>
        <v>6.9400000000000003E-2</v>
      </c>
      <c r="AA160" s="69">
        <f t="shared" si="48"/>
        <v>5.7944000000000004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49"/>
        <v>1802-09</v>
      </c>
      <c r="AE16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0" s="91" t="str">
        <f t="shared" si="51"/>
        <v>"C:\Program Files (x86)\AstroGrep\AstroGrep.exe" /spath="%USERPROFILE%\AppData\Local\Temp\OnboardLogs" /stypes="app*4004*20161009*" /stext=" 12:.+((SYSTEM_STATE.+slice.+state.+changed )|(ment ac)|(system.+state.+changed )|(\[timeout)|(PRM\|1\|D)|(kpr)|(kdp)|(\|lc)|(penalty))" /e /r /s</v>
      </c>
      <c r="AG160" s="1" t="str">
        <f t="shared" si="52"/>
        <v>NW</v>
      </c>
      <c r="AH160" s="95" t="str">
        <f t="shared" si="53"/>
        <v>"%USERPROFILE%\Documents\GitHub\eaglep3\Utilities\RefineRTDCRunTimes.py" --tripid 1802-09 --locoid 4004 --swversion DE.1.0.7.0 --startMP 300:58638 --initTime 2016-10-09T06:36:50 --startdatetime 2016-10-09T06:39:03 --delay 1 --endMP 204:694 --enddatetime 2016-10-09T06:55:15 --enforcementcount 0 &gt;&gt;C:\Users\stu\Documents\GitHub\eaglep3-reporting\EC\2016-10-09-refined-times.txt</v>
      </c>
      <c r="AI16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{"issue":{"subject":"","project_id":79,"tracker_id":40,"status_id":1,"priority_id":2,"assigned_to_id":23,"start_date":"2016-10-09","description":"","custom_fields":[{"id":1,"name":"Subdivision","value":"NW"},{"id":4,"name":"Milepost","value":"0.0694"},{"id":17,"name":"Train ID","value":"1802-09"},{"id":16,"name":"Locomotive ID","value":"4004"},{"id":130,"name":"Impact","value":""},{"id":150,"name":"Time of Event (Mountain Time)","value":"06:55:15"},{"id":151,"name":"Denver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434</v>
      </c>
      <c r="B161" s="7">
        <v>4003</v>
      </c>
      <c r="C161" s="24" t="s">
        <v>106</v>
      </c>
      <c r="D161" s="24" t="s">
        <v>656</v>
      </c>
      <c r="E161" s="15">
        <v>42652.291608796295</v>
      </c>
      <c r="F161" s="15">
        <v>42652.306400462963</v>
      </c>
      <c r="G161" s="7">
        <v>1</v>
      </c>
      <c r="H161" s="15" t="s">
        <v>657</v>
      </c>
      <c r="I161" s="15">
        <v>42652.316064814811</v>
      </c>
      <c r="J161" s="7">
        <v>0</v>
      </c>
      <c r="K161" s="116" t="str">
        <f t="shared" si="38"/>
        <v>4003/4004</v>
      </c>
      <c r="L161" s="24" t="str">
        <f>VLOOKUP(A161,'Trips&amp;Operators'!$C$1:$E$10000,3,FALSE)</f>
        <v>ROBINSON</v>
      </c>
      <c r="M161" s="6">
        <f t="shared" si="39"/>
        <v>9.6643518481869251E-3</v>
      </c>
      <c r="N161" s="7">
        <f t="shared" si="40"/>
        <v>13.916666661389172</v>
      </c>
      <c r="O161" s="7"/>
      <c r="P161" s="7"/>
      <c r="Q161" s="25"/>
      <c r="R161" s="25"/>
      <c r="S161" s="37">
        <f t="shared" si="41"/>
        <v>1</v>
      </c>
      <c r="T161" s="52" t="str">
        <f t="shared" si="42"/>
        <v>NorthBound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05:59:55-0600',mode:absolute,to:'2016-10-09 08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1" s="54" t="str">
        <f t="shared" si="44"/>
        <v>N</v>
      </c>
      <c r="X161" s="163">
        <f t="shared" si="55"/>
        <v>1</v>
      </c>
      <c r="Y161" s="69">
        <f t="shared" si="46"/>
        <v>9.7199999999999995E-2</v>
      </c>
      <c r="Z161" s="69">
        <f t="shared" si="47"/>
        <v>5.8973000000000004</v>
      </c>
      <c r="AA161" s="69">
        <f t="shared" si="48"/>
        <v>5.8001000000000005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49"/>
        <v>1803-09</v>
      </c>
      <c r="AE16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1" s="91" t="str">
        <f t="shared" si="51"/>
        <v>"C:\Program Files (x86)\AstroGrep\AstroGrep.exe" /spath="%USERPROFILE%\AppData\Local\Temp\OnboardLogs" /stypes="app*4003*20161009*" /stext=" 13:.+((SYSTEM_STATE.+slice.+state.+changed )|(ment ac)|(system.+state.+changed )|(\[timeout)|(PRM\|1\|D)|(kpr)|(kdp)|(\|lc)|(penalty))" /e /r /s</v>
      </c>
      <c r="AG161" s="1" t="str">
        <f t="shared" si="52"/>
        <v>NW</v>
      </c>
      <c r="AH161" s="95" t="str">
        <f t="shared" si="53"/>
        <v>"%USERPROFILE%\Documents\GitHub\eaglep3\Utilities\RefineRTDCRunTimes.py" --tripid 1803-09 --locoid 4003 --swversion DE.1.0.7.0 --startMP 204:972 --initTime 2016-10-09T06:59:55 --startdatetime 2016-10-09T07:21:13 --delay 1 --endMP 300:58973 --enddatetime 2016-10-09T07:35:08 --enforcementcount 0 &gt;&gt;C:\Users\stu\Documents\GitHub\eaglep3-reporting\EC\2016-10-09-refined-times.txt</v>
      </c>
      <c r="AI16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{"issue":{"subject":"","project_id":79,"tracker_id":40,"status_id":1,"priority_id":2,"assigned_to_id":23,"start_date":"2016-10-09","description":"","custom_fields":[{"id":1,"name":"Subdivision","value":"NW"},{"id":4,"name":"Milepost","value":"5.8973"},{"id":17,"name":"Train ID","value":"1803-09"},{"id":16,"name":"Locomotive ID","value":"4003"},{"id":130,"name":"Impact","value":""},{"id":150,"name":"Time of Event (Mountain Time)","value":"07:35:08"},{"id":151,"name":"Denver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439</v>
      </c>
      <c r="B162" s="7">
        <v>4004</v>
      </c>
      <c r="C162" s="24" t="s">
        <v>106</v>
      </c>
      <c r="D162" s="24" t="s">
        <v>658</v>
      </c>
      <c r="E162" s="15">
        <v>42652.317418981482</v>
      </c>
      <c r="F162" s="15">
        <v>42652.319039351853</v>
      </c>
      <c r="G162" s="7">
        <v>1</v>
      </c>
      <c r="H162" s="15" t="s">
        <v>659</v>
      </c>
      <c r="I162" s="15">
        <v>42652.330277777779</v>
      </c>
      <c r="J162" s="7">
        <v>0</v>
      </c>
      <c r="K162" s="116" t="str">
        <f t="shared" si="38"/>
        <v>4003/4004</v>
      </c>
      <c r="L162" s="24" t="str">
        <f>VLOOKUP(A162,'Trips&amp;Operators'!$C$1:$E$10000,3,FALSE)</f>
        <v>ROBINSON</v>
      </c>
      <c r="M162" s="6">
        <f t="shared" si="39"/>
        <v>1.1238425926421769E-2</v>
      </c>
      <c r="N162" s="7">
        <f t="shared" si="40"/>
        <v>16.183333334047347</v>
      </c>
      <c r="O162" s="7"/>
      <c r="P162" s="7"/>
      <c r="Q162" s="25"/>
      <c r="R162" s="25"/>
      <c r="S162" s="37">
        <f t="shared" si="41"/>
        <v>1</v>
      </c>
      <c r="T162" s="52" t="str">
        <f t="shared" si="42"/>
        <v>Southbound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06:37:05-0600',mode:absolute,to:'2016-10-09 08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2" s="54" t="str">
        <f t="shared" si="44"/>
        <v>N</v>
      </c>
      <c r="X162" s="163">
        <f t="shared" ref="X162:X192" si="56">VALUE(LEFT(AD162,4))-VALUE(LEFT(AD161,4))</f>
        <v>1</v>
      </c>
      <c r="Y162" s="69">
        <f t="shared" si="46"/>
        <v>5.8658000000000001</v>
      </c>
      <c r="Z162" s="69">
        <f t="shared" si="47"/>
        <v>6.8500000000000005E-2</v>
      </c>
      <c r="AA162" s="69">
        <f t="shared" si="48"/>
        <v>5.7972999999999999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49"/>
        <v>1804-09</v>
      </c>
      <c r="AE162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2" s="91" t="str">
        <f t="shared" si="51"/>
        <v>"C:\Program Files (x86)\AstroGrep\AstroGrep.exe" /spath="%USERPROFILE%\AppData\Local\Temp\OnboardLogs" /stypes="app*4004*20161009*" /stext=" 13:.+((SYSTEM_STATE.+slice.+state.+changed )|(ment ac)|(system.+state.+changed )|(\[timeout)|(PRM\|1\|D)|(kpr)|(kdp)|(\|lc)|(penalty))" /e /r /s</v>
      </c>
      <c r="AG162" s="1" t="str">
        <f t="shared" si="52"/>
        <v>NW</v>
      </c>
      <c r="AH162" s="95" t="str">
        <f t="shared" si="53"/>
        <v>"%USERPROFILE%\Documents\GitHub\eaglep3\Utilities\RefineRTDCRunTimes.py" --tripid 1804-09 --locoid 4004 --swversion DE.1.0.7.0 --startMP 300:58658 --initTime 2016-10-09T07:37:05 --startdatetime 2016-10-09T07:39:25 --delay 1 --endMP 204:685 --enddatetime 2016-10-09T07:55:36 --enforcementcount 0 &gt;&gt;C:\Users\stu\Documents\GitHub\eaglep3-reporting\EC\2016-10-09-refined-times.txt</v>
      </c>
      <c r="AI162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{"issue":{"subject":"","project_id":79,"tracker_id":40,"status_id":1,"priority_id":2,"assigned_to_id":23,"start_date":"2016-10-09","description":"","custom_fields":[{"id":1,"name":"Subdivision","value":"NW"},{"id":4,"name":"Milepost","value":"0.0685"},{"id":17,"name":"Train ID","value":"1804-09"},{"id":16,"name":"Locomotive ID","value":"4004"},{"id":130,"name":"Impact","value":""},{"id":150,"name":"Time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445</v>
      </c>
      <c r="B163" s="7">
        <v>4003</v>
      </c>
      <c r="C163" s="24" t="s">
        <v>106</v>
      </c>
      <c r="D163" s="24" t="s">
        <v>660</v>
      </c>
      <c r="E163" s="15">
        <v>42652.340474537035</v>
      </c>
      <c r="F163" s="15">
        <v>42652.348067129627</v>
      </c>
      <c r="G163" s="7">
        <v>1</v>
      </c>
      <c r="H163" s="15" t="s">
        <v>655</v>
      </c>
      <c r="I163" s="15">
        <v>42652.357442129629</v>
      </c>
      <c r="J163" s="7">
        <v>0</v>
      </c>
      <c r="K163" s="116" t="str">
        <f t="shared" si="38"/>
        <v>4003/4004</v>
      </c>
      <c r="L163" s="24" t="str">
        <f>VLOOKUP(A163,'Trips&amp;Operators'!$C$1:$E$10000,3,FALSE)</f>
        <v>ROBINSON</v>
      </c>
      <c r="M163" s="6">
        <f t="shared" si="39"/>
        <v>9.3750000014551915E-3</v>
      </c>
      <c r="N163" s="7">
        <f t="shared" si="40"/>
        <v>13.500000002095476</v>
      </c>
      <c r="O163" s="7"/>
      <c r="P163" s="7"/>
      <c r="Q163" s="25"/>
      <c r="R163" s="25"/>
      <c r="S163" s="37">
        <f t="shared" si="41"/>
        <v>1</v>
      </c>
      <c r="T163" s="52" t="str">
        <f t="shared" si="42"/>
        <v>NorthBound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07:10:17-0600',mode:absolute,to:'2016-10-09 09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3" s="54" t="str">
        <f t="shared" si="44"/>
        <v>N</v>
      </c>
      <c r="X163" s="163">
        <f t="shared" si="56"/>
        <v>1</v>
      </c>
      <c r="Y163" s="69">
        <f t="shared" si="46"/>
        <v>9.69E-2</v>
      </c>
      <c r="Z163" s="69">
        <f t="shared" si="47"/>
        <v>5.8954000000000004</v>
      </c>
      <c r="AA163" s="69">
        <f t="shared" si="48"/>
        <v>5.7985000000000007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49"/>
        <v>1805-09</v>
      </c>
      <c r="AE163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3" s="91" t="str">
        <f t="shared" si="51"/>
        <v>"C:\Program Files (x86)\AstroGrep\AstroGrep.exe" /spath="%USERPROFILE%\AppData\Local\Temp\OnboardLogs" /stypes="app*4003*20161009*" /stext=" 14:.+((SYSTEM_STATE.+slice.+state.+changed )|(ment ac)|(system.+state.+changed )|(\[timeout)|(PRM\|1\|D)|(kpr)|(kdp)|(\|lc)|(penalty))" /e /r /s</v>
      </c>
      <c r="AG163" s="1" t="str">
        <f t="shared" si="52"/>
        <v>NW</v>
      </c>
      <c r="AH163" s="95" t="str">
        <f t="shared" si="53"/>
        <v>"%USERPROFILE%\Documents\GitHub\eaglep3\Utilities\RefineRTDCRunTimes.py" --tripid 1805-09 --locoid 4003 --swversion DE.1.0.7.0 --startMP 204:969 --initTime 2016-10-09T08:10:17 --startdatetime 2016-10-09T08:21:13 --delay 1 --endMP 300:58954 --enddatetime 2016-10-09T08:34:43 --enforcementcount 0 &gt;&gt;C:\Users\stu\Documents\GitHub\eaglep3-reporting\EC\2016-10-09-refined-times.txt</v>
      </c>
      <c r="AI163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{"issue":{"subject":"","project_id":79,"tracker_id":40,"status_id":1,"priority_id":2,"assigned_to_id":23,"start_date":"2016-10-09","description":"","custom_fields":[{"id":1,"name":"Subdivision","value":"NW"},{"id":4,"name":"Milepost","value":"5.8954"},{"id":17,"name":"Train ID","value":"1805-09"},{"id":16,"name":"Locomotive ID","value":"4003"},{"id":130,"name":"Impact","value":""},{"id":150,"name":"Time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450</v>
      </c>
      <c r="B164" s="7">
        <v>4004</v>
      </c>
      <c r="C164" s="24" t="s">
        <v>106</v>
      </c>
      <c r="D164" s="24" t="s">
        <v>379</v>
      </c>
      <c r="E164" s="15">
        <v>42652.358877314815</v>
      </c>
      <c r="F164" s="15">
        <v>42652.360393518517</v>
      </c>
      <c r="G164" s="7">
        <v>1</v>
      </c>
      <c r="H164" s="15" t="s">
        <v>661</v>
      </c>
      <c r="I164" s="15">
        <v>42652.372048611112</v>
      </c>
      <c r="J164" s="7">
        <v>0</v>
      </c>
      <c r="K164" s="116" t="str">
        <f t="shared" si="38"/>
        <v>4003/4004</v>
      </c>
      <c r="L164" s="24" t="str">
        <f>VLOOKUP(A164,'Trips&amp;Operators'!$C$1:$E$10000,3,FALSE)</f>
        <v>ROBINSON</v>
      </c>
      <c r="M164" s="6">
        <f t="shared" si="39"/>
        <v>1.1655092595901806E-2</v>
      </c>
      <c r="N164" s="7">
        <f t="shared" si="40"/>
        <v>16.783333338098601</v>
      </c>
      <c r="O164" s="7"/>
      <c r="P164" s="7"/>
      <c r="Q164" s="25"/>
      <c r="R164" s="25"/>
      <c r="S164" s="37">
        <f t="shared" si="41"/>
        <v>1</v>
      </c>
      <c r="T164" s="52" t="str">
        <f t="shared" si="42"/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07:36:47-0600',mode:absolute,to:'2016-10-09 09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4" t="str">
        <f t="shared" si="44"/>
        <v>N</v>
      </c>
      <c r="X164" s="163">
        <f t="shared" si="56"/>
        <v>1</v>
      </c>
      <c r="Y164" s="69">
        <f t="shared" si="46"/>
        <v>5.8635999999999999</v>
      </c>
      <c r="Z164" s="69">
        <f t="shared" si="47"/>
        <v>6.7799999999999999E-2</v>
      </c>
      <c r="AA164" s="69">
        <f t="shared" si="48"/>
        <v>5.7957999999999998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49"/>
        <v>1806-09</v>
      </c>
      <c r="AE164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4" s="91" t="str">
        <f t="shared" si="51"/>
        <v>"C:\Program Files (x86)\AstroGrep\AstroGrep.exe" /spath="%USERPROFILE%\AppData\Local\Temp\OnboardLogs" /stypes="app*4004*20161009*" /stext=" 14:.+((SYSTEM_STATE.+slice.+state.+changed )|(ment ac)|(system.+state.+changed )|(\[timeout)|(PRM\|1\|D)|(kpr)|(kdp)|(\|lc)|(penalty))" /e /r /s</v>
      </c>
      <c r="AG164" s="1" t="str">
        <f t="shared" si="52"/>
        <v>NW</v>
      </c>
      <c r="AH164" s="95" t="str">
        <f t="shared" si="53"/>
        <v>"%USERPROFILE%\Documents\GitHub\eaglep3\Utilities\RefineRTDCRunTimes.py" --tripid 1806-09 --locoid 4004 --swversion DE.1.0.7.0 --startMP 300:58636 --initTime 2016-10-09T08:36:47 --startdatetime 2016-10-09T08:38:58 --delay 1 --endMP 204:678 --enddatetime 2016-10-09T08:55:45 --enforcementcount 0 &gt;&gt;C:\Users\stu\Documents\GitHub\eaglep3-reporting\EC\2016-10-09-refined-times.txt</v>
      </c>
      <c r="AI164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{"issue":{"subject":"","project_id":79,"tracker_id":40,"status_id":1,"priority_id":2,"assigned_to_id":23,"start_date":"2016-10-09","description":"","custom_fields":[{"id":1,"name":"Subdivision","value":"NW"},{"id":4,"name":"Milepost","value":"0.0678"},{"id":17,"name":"Train ID","value":"1806-09"},{"id":16,"name":"Locomotive ID","value":"4004"},{"id":130,"name":"Impact","value":""},{"id":150,"name":"Time of Event (Mountain Time)","value":"08:55:45"},{"id":151,"name":"Denver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454</v>
      </c>
      <c r="B165" s="7">
        <v>4003</v>
      </c>
      <c r="C165" s="24" t="s">
        <v>106</v>
      </c>
      <c r="D165" s="24" t="s">
        <v>662</v>
      </c>
      <c r="E165" s="15">
        <v>42652.374606481484</v>
      </c>
      <c r="F165" s="15">
        <v>42652.389756944445</v>
      </c>
      <c r="G165" s="7">
        <v>1</v>
      </c>
      <c r="H165" s="15" t="s">
        <v>663</v>
      </c>
      <c r="I165" s="15">
        <v>42652.39916666667</v>
      </c>
      <c r="J165" s="7">
        <v>0</v>
      </c>
      <c r="K165" s="116" t="str">
        <f t="shared" si="38"/>
        <v>4003/4004</v>
      </c>
      <c r="L165" s="24" t="str">
        <f>VLOOKUP(A165,'Trips&amp;Operators'!$C$1:$E$10000,3,FALSE)</f>
        <v>ROBINSON</v>
      </c>
      <c r="M165" s="6">
        <f t="shared" si="39"/>
        <v>9.4097222245181911E-3</v>
      </c>
      <c r="N165" s="7">
        <f t="shared" si="40"/>
        <v>13.550000003306195</v>
      </c>
      <c r="O165" s="7"/>
      <c r="P165" s="7"/>
      <c r="Q165" s="25"/>
      <c r="R165" s="25"/>
      <c r="S165" s="37">
        <f t="shared" si="41"/>
        <v>1</v>
      </c>
      <c r="T165" s="52" t="str">
        <f t="shared" si="42"/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07:59:26-0600',mode:absolute,to:'2016-10-09 10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5" s="54" t="str">
        <f t="shared" si="44"/>
        <v>N</v>
      </c>
      <c r="X165" s="163">
        <f t="shared" si="56"/>
        <v>1</v>
      </c>
      <c r="Y165" s="69">
        <f t="shared" si="46"/>
        <v>9.6699999999999994E-2</v>
      </c>
      <c r="Z165" s="69">
        <f t="shared" si="47"/>
        <v>5.8978000000000002</v>
      </c>
      <c r="AA165" s="69">
        <f t="shared" si="48"/>
        <v>5.8010999999999999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49"/>
        <v>1807-09</v>
      </c>
      <c r="AE165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5" s="91" t="str">
        <f t="shared" si="51"/>
        <v>"C:\Program Files (x86)\AstroGrep\AstroGrep.exe" /spath="%USERPROFILE%\AppData\Local\Temp\OnboardLogs" /stypes="app*4003*20161009*" /stext=" 15:.+((SYSTEM_STATE.+slice.+state.+changed )|(ment ac)|(system.+state.+changed )|(\[timeout)|(PRM\|1\|D)|(kpr)|(kdp)|(\|lc)|(penalty))" /e /r /s</v>
      </c>
      <c r="AG165" s="1" t="str">
        <f t="shared" si="52"/>
        <v>NW</v>
      </c>
      <c r="AH165" s="95" t="str">
        <f t="shared" si="53"/>
        <v>"%USERPROFILE%\Documents\GitHub\eaglep3\Utilities\RefineRTDCRunTimes.py" --tripid 1807-09 --locoid 4003 --swversion DE.1.0.7.0 --startMP 204:967 --initTime 2016-10-09T08:59:26 --startdatetime 2016-10-09T09:21:15 --delay 1 --endMP 300:58978 --enddatetime 2016-10-09T09:34:48 --enforcementcount 0 &gt;&gt;C:\Users\stu\Documents\GitHub\eaglep3-reporting\EC\2016-10-09-refined-times.txt</v>
      </c>
      <c r="AI165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{"issue":{"subject":"","project_id":79,"tracker_id":40,"status_id":1,"priority_id":2,"assigned_to_id":23,"start_date":"2016-10-09","description":"","custom_fields":[{"id":1,"name":"Subdivision","value":"NW"},{"id":4,"name":"Milepost","value":"5.8978"},{"id":17,"name":"Train ID","value":"1807-09"},{"id":16,"name":"Locomotive ID","value":"4003"},{"id":130,"name":"Impact","value":""},{"id":150,"name":"Time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461</v>
      </c>
      <c r="B166" s="7">
        <v>4004</v>
      </c>
      <c r="C166" s="24" t="s">
        <v>106</v>
      </c>
      <c r="D166" s="24" t="s">
        <v>664</v>
      </c>
      <c r="E166" s="15">
        <v>42652.400648148148</v>
      </c>
      <c r="F166" s="15">
        <v>42652.40221064815</v>
      </c>
      <c r="G166" s="7">
        <v>1</v>
      </c>
      <c r="H166" s="15" t="s">
        <v>665</v>
      </c>
      <c r="I166" s="15">
        <v>42652.413391203707</v>
      </c>
      <c r="J166" s="7">
        <v>0</v>
      </c>
      <c r="K166" s="116" t="str">
        <f t="shared" si="38"/>
        <v>4003/4004</v>
      </c>
      <c r="L166" s="24" t="str">
        <f>VLOOKUP(A166,'Trips&amp;Operators'!$C$1:$E$10000,3,FALSE)</f>
        <v>ROBINSON</v>
      </c>
      <c r="M166" s="6">
        <f t="shared" si="39"/>
        <v>1.1180555557075422E-2</v>
      </c>
      <c r="N166" s="7">
        <f t="shared" si="40"/>
        <v>16.100000002188608</v>
      </c>
      <c r="O166" s="7"/>
      <c r="P166" s="7"/>
      <c r="Q166" s="25"/>
      <c r="R166" s="25"/>
      <c r="S166" s="37">
        <f t="shared" si="41"/>
        <v>1</v>
      </c>
      <c r="T166" s="52" t="str">
        <f t="shared" si="42"/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08:36:56-0600',mode:absolute,to:'2016-10-09 10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6" s="54" t="str">
        <f t="shared" si="44"/>
        <v>N</v>
      </c>
      <c r="X166" s="163">
        <f t="shared" si="56"/>
        <v>1</v>
      </c>
      <c r="Y166" s="69">
        <f t="shared" si="46"/>
        <v>5.8654999999999999</v>
      </c>
      <c r="Z166" s="69">
        <f t="shared" si="47"/>
        <v>6.8699999999999997E-2</v>
      </c>
      <c r="AA166" s="69">
        <f t="shared" si="48"/>
        <v>5.7968000000000002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49"/>
        <v>1808-09</v>
      </c>
      <c r="AE166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6" s="91" t="str">
        <f t="shared" si="51"/>
        <v>"C:\Program Files (x86)\AstroGrep\AstroGrep.exe" /spath="%USERPROFILE%\AppData\Local\Temp\OnboardLogs" /stypes="app*4004*20161009*" /stext=" 15:.+((SYSTEM_STATE.+slice.+state.+changed )|(ment ac)|(system.+state.+changed )|(\[timeout)|(PRM\|1\|D)|(kpr)|(kdp)|(\|lc)|(penalty))" /e /r /s</v>
      </c>
      <c r="AG166" s="1" t="str">
        <f t="shared" si="52"/>
        <v>NW</v>
      </c>
      <c r="AH166" s="95" t="str">
        <f t="shared" si="53"/>
        <v>"%USERPROFILE%\Documents\GitHub\eaglep3\Utilities\RefineRTDCRunTimes.py" --tripid 1808-09 --locoid 4004 --swversion DE.1.0.7.0 --startMP 300:58655 --initTime 2016-10-09T09:36:56 --startdatetime 2016-10-09T09:39:11 --delay 1 --endMP 204:687 --enddatetime 2016-10-09T09:55:17 --enforcementcount 0 &gt;&gt;C:\Users\stu\Documents\GitHub\eaglep3-reporting\EC\2016-10-09-refined-times.txt</v>
      </c>
      <c r="AI166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{"issue":{"subject":"","project_id":79,"tracker_id":40,"status_id":1,"priority_id":2,"assigned_to_id":23,"start_date":"2016-10-09","description":"","custom_fields":[{"id":1,"name":"Subdivision","value":"NW"},{"id":4,"name":"Milepost","value":"0.0687"},{"id":17,"name":"Train ID","value":"1808-09"},{"id":16,"name":"Locomotive ID","value":"4004"},{"id":130,"name":"Impact","value":""},{"id":150,"name":"Time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464</v>
      </c>
      <c r="B167" s="7">
        <v>4003</v>
      </c>
      <c r="C167" s="24" t="s">
        <v>106</v>
      </c>
      <c r="D167" s="24" t="s">
        <v>666</v>
      </c>
      <c r="E167" s="15">
        <v>42652.415775462963</v>
      </c>
      <c r="F167" s="15">
        <v>42652.431666666664</v>
      </c>
      <c r="G167" s="7">
        <v>1</v>
      </c>
      <c r="H167" s="15" t="s">
        <v>378</v>
      </c>
      <c r="I167" s="15">
        <v>42652.441250000003</v>
      </c>
      <c r="J167" s="7">
        <v>0</v>
      </c>
      <c r="K167" s="116" t="str">
        <f t="shared" si="38"/>
        <v>4003/4004</v>
      </c>
      <c r="L167" s="24" t="str">
        <f>VLOOKUP(A167,'Trips&amp;Operators'!$C$1:$E$10000,3,FALSE)</f>
        <v>ROBINSON</v>
      </c>
      <c r="M167" s="6">
        <f t="shared" si="39"/>
        <v>9.5833333398331888E-3</v>
      </c>
      <c r="N167" s="7">
        <f t="shared" si="40"/>
        <v>13.800000009359792</v>
      </c>
      <c r="O167" s="7"/>
      <c r="P167" s="7"/>
      <c r="Q167" s="25"/>
      <c r="R167" s="25"/>
      <c r="S167" s="37">
        <f t="shared" si="41"/>
        <v>1</v>
      </c>
      <c r="T167" s="52" t="str">
        <f t="shared" si="42"/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08:58:43-0600',mode:absolute,to:'2016-10-09 11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7" s="54" t="str">
        <f t="shared" si="44"/>
        <v>N</v>
      </c>
      <c r="X167" s="163">
        <f t="shared" si="56"/>
        <v>1</v>
      </c>
      <c r="Y167" s="69">
        <f t="shared" si="46"/>
        <v>9.6000000000000002E-2</v>
      </c>
      <c r="Z167" s="69">
        <f t="shared" si="47"/>
        <v>5.8943000000000003</v>
      </c>
      <c r="AA167" s="69">
        <f t="shared" si="48"/>
        <v>5.7983000000000002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49"/>
        <v>1809-09</v>
      </c>
      <c r="AE167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7" s="91" t="str">
        <f t="shared" si="51"/>
        <v>"C:\Program Files (x86)\AstroGrep\AstroGrep.exe" /spath="%USERPROFILE%\AppData\Local\Temp\OnboardLogs" /stypes="app*4003*20161009*" /stext=" 16:.+((SYSTEM_STATE.+slice.+state.+changed )|(ment ac)|(system.+state.+changed )|(\[timeout)|(PRM\|1\|D)|(kpr)|(kdp)|(\|lc)|(penalty))" /e /r /s</v>
      </c>
      <c r="AG167" s="1" t="str">
        <f t="shared" si="52"/>
        <v>NW</v>
      </c>
      <c r="AH167" s="95" t="str">
        <f t="shared" si="53"/>
        <v>"%USERPROFILE%\Documents\GitHub\eaglep3\Utilities\RefineRTDCRunTimes.py" --tripid 1809-09 --locoid 4003 --swversion DE.1.0.7.0 --startMP 204:960 --initTime 2016-10-09T09:58:43 --startdatetime 2016-10-09T10:21:36 --delay 1 --endMP 300:58943 --enddatetime 2016-10-09T10:35:24 --enforcementcount 0 &gt;&gt;C:\Users\stu\Documents\GitHub\eaglep3-reporting\EC\2016-10-09-refined-times.txt</v>
      </c>
      <c r="AI167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{"issue":{"subject":"","project_id":79,"tracker_id":40,"status_id":1,"priority_id":2,"assigned_to_id":23,"start_date":"2016-10-09","description":"","custom_fields":[{"id":1,"name":"Subdivision","value":"NW"},{"id":4,"name":"Milepost","value":"5.8943"},{"id":17,"name":"Train ID","value":"1809-09"},{"id":16,"name":"Locomotive ID","value":"4003"},{"id":130,"name":"Impact","value":""},{"id":150,"name":"Time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471</v>
      </c>
      <c r="B168" s="7">
        <v>4004</v>
      </c>
      <c r="C168" s="24" t="s">
        <v>106</v>
      </c>
      <c r="D168" s="24" t="s">
        <v>331</v>
      </c>
      <c r="E168" s="15">
        <v>42652.442407407405</v>
      </c>
      <c r="F168" s="15">
        <v>42652.443865740737</v>
      </c>
      <c r="G168" s="7">
        <v>1</v>
      </c>
      <c r="H168" s="15" t="s">
        <v>665</v>
      </c>
      <c r="I168" s="15">
        <v>42652.455069444448</v>
      </c>
      <c r="J168" s="7">
        <v>0</v>
      </c>
      <c r="K168" s="116" t="str">
        <f t="shared" si="38"/>
        <v>4003/4004</v>
      </c>
      <c r="L168" s="24" t="str">
        <f>VLOOKUP(A168,'Trips&amp;Operators'!$C$1:$E$10000,3,FALSE)</f>
        <v>ROBINSON</v>
      </c>
      <c r="M168" s="6">
        <f t="shared" si="39"/>
        <v>1.1203703710634727E-2</v>
      </c>
      <c r="N168" s="7">
        <f t="shared" si="40"/>
        <v>16.133333343314007</v>
      </c>
      <c r="O168" s="7"/>
      <c r="P168" s="7"/>
      <c r="Q168" s="25"/>
      <c r="R168" s="25"/>
      <c r="S168" s="37">
        <f t="shared" si="41"/>
        <v>1</v>
      </c>
      <c r="T168" s="52" t="str">
        <f t="shared" si="42"/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09:37:04-0600',mode:absolute,to:'2016-10-09 11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8" s="54" t="str">
        <f t="shared" si="44"/>
        <v>N</v>
      </c>
      <c r="X168" s="163">
        <f t="shared" si="56"/>
        <v>1</v>
      </c>
      <c r="Y168" s="69">
        <f t="shared" si="46"/>
        <v>5.8630000000000004</v>
      </c>
      <c r="Z168" s="69">
        <f t="shared" si="47"/>
        <v>6.8699999999999997E-2</v>
      </c>
      <c r="AA168" s="69">
        <f t="shared" si="48"/>
        <v>5.7943000000000007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49"/>
        <v>1810-09</v>
      </c>
      <c r="AE16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8" s="91" t="str">
        <f t="shared" si="51"/>
        <v>"C:\Program Files (x86)\AstroGrep\AstroGrep.exe" /spath="%USERPROFILE%\AppData\Local\Temp\OnboardLogs" /stypes="app*4004*20161009*" /stext=" 16:.+((SYSTEM_STATE.+slice.+state.+changed )|(ment ac)|(system.+state.+changed )|(\[timeout)|(PRM\|1\|D)|(kpr)|(kdp)|(\|lc)|(penalty))" /e /r /s</v>
      </c>
      <c r="AG168" s="1" t="str">
        <f t="shared" si="52"/>
        <v>NW</v>
      </c>
      <c r="AH168" s="95" t="str">
        <f t="shared" si="53"/>
        <v>"%USERPROFILE%\Documents\GitHub\eaglep3\Utilities\RefineRTDCRunTimes.py" --tripid 1810-09 --locoid 4004 --swversion DE.1.0.7.0 --startMP 300:58630 --initTime 2016-10-09T10:37:04 --startdatetime 2016-10-09T10:39:10 --delay 1 --endMP 204:687 --enddatetime 2016-10-09T10:55:18 --enforcementcount 0 &gt;&gt;C:\Users\stu\Documents\GitHub\eaglep3-reporting\EC\2016-10-09-refined-times.txt</v>
      </c>
      <c r="AI16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{"issue":{"subject":"","project_id":79,"tracker_id":40,"status_id":1,"priority_id":2,"assigned_to_id":23,"start_date":"2016-10-09","description":"","custom_fields":[{"id":1,"name":"Subdivision","value":"NW"},{"id":4,"name":"Milepost","value":"0.0687"},{"id":17,"name":"Train ID","value":"1810-09"},{"id":16,"name":"Locomotive ID","value":"4004"},{"id":130,"name":"Impact","value":""},{"id":150,"name":"Time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476</v>
      </c>
      <c r="B169" s="7">
        <v>4003</v>
      </c>
      <c r="C169" s="24" t="s">
        <v>106</v>
      </c>
      <c r="D169" s="24" t="s">
        <v>669</v>
      </c>
      <c r="E169" s="15">
        <v>42652.46497685185</v>
      </c>
      <c r="F169" s="15">
        <v>42652.473090277781</v>
      </c>
      <c r="G169" s="7">
        <v>2</v>
      </c>
      <c r="H169" s="15" t="s">
        <v>270</v>
      </c>
      <c r="I169" s="15">
        <v>42652.48265046296</v>
      </c>
      <c r="J169" s="7">
        <v>0</v>
      </c>
      <c r="K169" s="116" t="str">
        <f t="shared" si="38"/>
        <v>4003/4004</v>
      </c>
      <c r="L169" s="24" t="str">
        <f>VLOOKUP(A169,'Trips&amp;Operators'!$C$1:$E$10000,3,FALSE)</f>
        <v>ROBINSON</v>
      </c>
      <c r="M169" s="6">
        <f t="shared" si="39"/>
        <v>9.5601851789979264E-3</v>
      </c>
      <c r="N169" s="7">
        <f t="shared" si="40"/>
        <v>13.766666657757014</v>
      </c>
      <c r="O169" s="7"/>
      <c r="P169" s="7"/>
      <c r="Q169" s="25"/>
      <c r="R169" s="25"/>
      <c r="S169" s="37">
        <f t="shared" si="41"/>
        <v>1</v>
      </c>
      <c r="T169" s="52" t="str">
        <f t="shared" si="42"/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10:09:34-0600',mode:absolute,to:'2016-10-09 12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9" s="54" t="str">
        <f t="shared" si="44"/>
        <v>N</v>
      </c>
      <c r="X169" s="163">
        <f t="shared" si="56"/>
        <v>1</v>
      </c>
      <c r="Y169" s="69">
        <f t="shared" si="46"/>
        <v>9.64E-2</v>
      </c>
      <c r="Z169" s="69">
        <f t="shared" si="47"/>
        <v>5.8952</v>
      </c>
      <c r="AA169" s="69">
        <f t="shared" si="48"/>
        <v>5.7988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49"/>
        <v>1811-09</v>
      </c>
      <c r="AE16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9" s="91" t="str">
        <f t="shared" si="51"/>
        <v>"C:\Program Files (x86)\AstroGrep\AstroGrep.exe" /spath="%USERPROFILE%\AppData\Local\Temp\OnboardLogs" /stypes="app*4003*20161009*" /stext=" 17:.+((SYSTEM_STATE.+slice.+state.+changed )|(ment ac)|(system.+state.+changed )|(\[timeout)|(PRM\|1\|D)|(kpr)|(kdp)|(\|lc)|(penalty))" /e /r /s</v>
      </c>
      <c r="AG169" s="1" t="str">
        <f t="shared" si="52"/>
        <v>NW</v>
      </c>
      <c r="AH169" s="95" t="str">
        <f t="shared" si="53"/>
        <v>"%USERPROFILE%\Documents\GitHub\eaglep3\Utilities\RefineRTDCRunTimes.py" --tripid 1811-09 --locoid 4003 --swversion DE.1.0.7.0 --startMP 204:964 --initTime 2016-10-09T11:09:34 --startdatetime 2016-10-09T11:21:15 --delay 2 --endMP 300:58952 --enddatetime 2016-10-09T11:35:01 --enforcementcount 0 &gt;&gt;C:\Users\stu\Documents\GitHub\eaglep3-reporting\EC\2016-10-09-refined-times.txt</v>
      </c>
      <c r="AI16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{"issue":{"subject":"","project_id":79,"tracker_id":40,"status_id":1,"priority_id":2,"assigned_to_id":23,"start_date":"2016-10-09","description":"","custom_fields":[{"id":1,"name":"Subdivision","value":"NW"},{"id":4,"name":"Milepost","value":"5.8952"},{"id":17,"name":"Train ID","value":"1811-09"},{"id":16,"name":"Locomotive ID","value":"4003"},{"id":130,"name":"Impact","value":""},{"id":150,"name":"Time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481</v>
      </c>
      <c r="B170" s="7">
        <v>4004</v>
      </c>
      <c r="C170" s="24" t="s">
        <v>106</v>
      </c>
      <c r="D170" s="24" t="s">
        <v>670</v>
      </c>
      <c r="E170" s="15">
        <v>42652.483993055554</v>
      </c>
      <c r="F170" s="15">
        <v>42652.485520833332</v>
      </c>
      <c r="G170" s="7">
        <v>1</v>
      </c>
      <c r="H170" s="15" t="s">
        <v>671</v>
      </c>
      <c r="I170" s="15">
        <v>42652.496817129628</v>
      </c>
      <c r="J170" s="7">
        <v>0</v>
      </c>
      <c r="K170" s="116" t="str">
        <f t="shared" si="38"/>
        <v>4003/4004</v>
      </c>
      <c r="L170" s="24" t="str">
        <f>VLOOKUP(A170,'Trips&amp;Operators'!$C$1:$E$10000,3,FALSE)</f>
        <v>ROBINSON</v>
      </c>
      <c r="M170" s="6">
        <f t="shared" si="39"/>
        <v>1.1296296295768116E-2</v>
      </c>
      <c r="N170" s="7">
        <f t="shared" si="40"/>
        <v>16.266666665906087</v>
      </c>
      <c r="O170" s="7"/>
      <c r="P170" s="7"/>
      <c r="Q170" s="25"/>
      <c r="R170" s="25"/>
      <c r="S170" s="37">
        <f t="shared" si="41"/>
        <v>1</v>
      </c>
      <c r="T170" s="52" t="str">
        <f t="shared" si="42"/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10:36:57-0600',mode:absolute,to:'2016-10-09 12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0" s="54" t="str">
        <f t="shared" si="44"/>
        <v>N</v>
      </c>
      <c r="X170" s="163">
        <f t="shared" si="56"/>
        <v>1</v>
      </c>
      <c r="Y170" s="69">
        <f t="shared" si="46"/>
        <v>5.8640999999999996</v>
      </c>
      <c r="Z170" s="69">
        <f t="shared" si="47"/>
        <v>6.9599999999999995E-2</v>
      </c>
      <c r="AA170" s="69">
        <f t="shared" si="48"/>
        <v>5.7944999999999993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49"/>
        <v>1812-09</v>
      </c>
      <c r="AE17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0" s="91" t="str">
        <f t="shared" si="51"/>
        <v>"C:\Program Files (x86)\AstroGrep\AstroGrep.exe" /spath="%USERPROFILE%\AppData\Local\Temp\OnboardLogs" /stypes="app*4004*20161009*" /stext=" 17:.+((SYSTEM_STATE.+slice.+state.+changed )|(ment ac)|(system.+state.+changed )|(\[timeout)|(PRM\|1\|D)|(kpr)|(kdp)|(\|lc)|(penalty))" /e /r /s</v>
      </c>
      <c r="AG170" s="1" t="str">
        <f t="shared" si="52"/>
        <v>NW</v>
      </c>
      <c r="AH170" s="95" t="str">
        <f t="shared" si="53"/>
        <v>"%USERPROFILE%\Documents\GitHub\eaglep3\Utilities\RefineRTDCRunTimes.py" --tripid 1812-09 --locoid 4004 --swversion DE.1.0.7.0 --startMP 300:58641 --initTime 2016-10-09T11:36:57 --startdatetime 2016-10-09T11:39:09 --delay 1 --endMP 204:696 --enddatetime 2016-10-09T11:55:25 --enforcementcount 0 &gt;&gt;C:\Users\stu\Documents\GitHub\eaglep3-reporting\EC\2016-10-09-refined-times.txt</v>
      </c>
      <c r="AI17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{"issue":{"subject":"","project_id":79,"tracker_id":40,"status_id":1,"priority_id":2,"assigned_to_id":23,"start_date":"2016-10-09","description":"","custom_fields":[{"id":1,"name":"Subdivision","value":"NW"},{"id":4,"name":"Milepost","value":"0.0696"},{"id":17,"name":"Train ID","value":"1812-09"},{"id":16,"name":"Locomotive ID","value":"4004"},{"id":130,"name":"Impact","value":""},{"id":150,"name":"Time of Event (Mountain Time)","value":"11:55:25"},{"id":151,"name":"Denver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486</v>
      </c>
      <c r="B171" s="7">
        <v>4003</v>
      </c>
      <c r="C171" s="24" t="s">
        <v>106</v>
      </c>
      <c r="D171" s="24" t="s">
        <v>672</v>
      </c>
      <c r="E171" s="15">
        <v>42652.499745370369</v>
      </c>
      <c r="F171" s="15">
        <v>42652.514745370368</v>
      </c>
      <c r="G171" s="7">
        <v>1</v>
      </c>
      <c r="H171" s="15" t="s">
        <v>673</v>
      </c>
      <c r="I171" s="15">
        <v>42652.524930555555</v>
      </c>
      <c r="J171" s="7">
        <v>0</v>
      </c>
      <c r="K171" s="116" t="str">
        <f t="shared" si="38"/>
        <v>4003/4004</v>
      </c>
      <c r="L171" s="24" t="str">
        <f>VLOOKUP(A171,'Trips&amp;Operators'!$C$1:$E$10000,3,FALSE)</f>
        <v>ROBINSON</v>
      </c>
      <c r="M171" s="6">
        <f t="shared" si="39"/>
        <v>1.0185185186855961E-2</v>
      </c>
      <c r="N171" s="7">
        <f t="shared" si="40"/>
        <v>14.666666669072583</v>
      </c>
      <c r="O171" s="7"/>
      <c r="P171" s="7"/>
      <c r="Q171" s="25"/>
      <c r="R171" s="25"/>
      <c r="S171" s="37">
        <f t="shared" si="41"/>
        <v>1</v>
      </c>
      <c r="T171" s="52" t="str">
        <f t="shared" si="42"/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10:59:38-0600',mode:absolute,to:'2016-10-09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1" s="54" t="str">
        <f t="shared" si="44"/>
        <v>N</v>
      </c>
      <c r="X171" s="163">
        <f t="shared" si="56"/>
        <v>1</v>
      </c>
      <c r="Y171" s="69">
        <f t="shared" si="46"/>
        <v>9.7799999999999998E-2</v>
      </c>
      <c r="Z171" s="69">
        <f t="shared" si="47"/>
        <v>5.8997000000000002</v>
      </c>
      <c r="AA171" s="69">
        <f t="shared" si="48"/>
        <v>5.8018999999999998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49"/>
        <v>1813-09</v>
      </c>
      <c r="AE17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1" s="91" t="str">
        <f t="shared" si="51"/>
        <v>"C:\Program Files (x86)\AstroGrep\AstroGrep.exe" /spath="%USERPROFILE%\AppData\Local\Temp\OnboardLogs" /stypes="app*4003*20161009*" /stext=" 18:.+((SYSTEM_STATE.+slice.+state.+changed )|(ment ac)|(system.+state.+changed )|(\[timeout)|(PRM\|1\|D)|(kpr)|(kdp)|(\|lc)|(penalty))" /e /r /s</v>
      </c>
      <c r="AG171" s="1" t="str">
        <f t="shared" si="52"/>
        <v>NW</v>
      </c>
      <c r="AH171" s="95" t="str">
        <f t="shared" si="53"/>
        <v>"%USERPROFILE%\Documents\GitHub\eaglep3\Utilities\RefineRTDCRunTimes.py" --tripid 1813-09 --locoid 4003 --swversion DE.1.0.7.0 --startMP 204:978 --initTime 2016-10-09T11:59:38 --startdatetime 2016-10-09T12:21:14 --delay 1 --endMP 300:58997 --enddatetime 2016-10-09T12:35:54 --enforcementcount 0 &gt;&gt;C:\Users\stu\Documents\GitHub\eaglep3-reporting\EC\2016-10-09-refined-times.txt</v>
      </c>
      <c r="AI17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{"issue":{"subject":"","project_id":79,"tracker_id":40,"status_id":1,"priority_id":2,"assigned_to_id":23,"start_date":"2016-10-09","description":"","custom_fields":[{"id":1,"name":"Subdivision","value":"NW"},{"id":4,"name":"Milepost","value":"5.8997"},{"id":17,"name":"Train ID","value":"1813-09"},{"id":16,"name":"Locomotive ID","value":"4003"},{"id":130,"name":"Impact","value":""},{"id":150,"name":"Time of Event (Mountain Time)","value":"12:35:54"},{"id":151,"name":"Denver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491</v>
      </c>
      <c r="B172" s="7">
        <v>4004</v>
      </c>
      <c r="C172" s="24" t="s">
        <v>106</v>
      </c>
      <c r="D172" s="24" t="s">
        <v>652</v>
      </c>
      <c r="E172" s="15">
        <v>42652.52615740741</v>
      </c>
      <c r="F172" s="15">
        <v>42652.527418981481</v>
      </c>
      <c r="G172" s="7">
        <v>1</v>
      </c>
      <c r="H172" s="15" t="s">
        <v>674</v>
      </c>
      <c r="I172" s="15">
        <v>42652.538877314815</v>
      </c>
      <c r="J172" s="7">
        <v>0</v>
      </c>
      <c r="K172" s="116" t="str">
        <f t="shared" si="38"/>
        <v>4003/4004</v>
      </c>
      <c r="L172" s="24" t="str">
        <f>VLOOKUP(A172,'Trips&amp;Operators'!$C$1:$E$10000,3,FALSE)</f>
        <v>ROBINSON</v>
      </c>
      <c r="M172" s="6">
        <f t="shared" si="39"/>
        <v>1.1458333334303461E-2</v>
      </c>
      <c r="N172" s="7">
        <f t="shared" si="40"/>
        <v>16.500000001396984</v>
      </c>
      <c r="O172" s="7"/>
      <c r="P172" s="7"/>
      <c r="Q172" s="25"/>
      <c r="R172" s="25"/>
      <c r="S172" s="37">
        <f t="shared" si="41"/>
        <v>1</v>
      </c>
      <c r="T172" s="52" t="str">
        <f t="shared" si="42"/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11:37:40-0600',mode:absolute,to:'2016-10-09 13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2" s="54" t="str">
        <f t="shared" si="44"/>
        <v>N</v>
      </c>
      <c r="X172" s="163">
        <f t="shared" si="56"/>
        <v>1</v>
      </c>
      <c r="Y172" s="69">
        <f t="shared" si="46"/>
        <v>5.8688000000000002</v>
      </c>
      <c r="Z172" s="69">
        <f t="shared" si="47"/>
        <v>6.9199999999999998E-2</v>
      </c>
      <c r="AA172" s="69">
        <f t="shared" si="48"/>
        <v>5.7995999999999999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49"/>
        <v>1814-09</v>
      </c>
      <c r="AE172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2" s="91" t="str">
        <f t="shared" si="51"/>
        <v>"C:\Program Files (x86)\AstroGrep\AstroGrep.exe" /spath="%USERPROFILE%\AppData\Local\Temp\OnboardLogs" /stypes="app*4004*20161009*" /stext=" 18:.+((SYSTEM_STATE.+slice.+state.+changed )|(ment ac)|(system.+state.+changed )|(\[timeout)|(PRM\|1\|D)|(kpr)|(kdp)|(\|lc)|(penalty))" /e /r /s</v>
      </c>
      <c r="AG172" s="1" t="str">
        <f t="shared" si="52"/>
        <v>NW</v>
      </c>
      <c r="AH172" s="95" t="str">
        <f t="shared" si="53"/>
        <v>"%USERPROFILE%\Documents\GitHub\eaglep3\Utilities\RefineRTDCRunTimes.py" --tripid 1814-09 --locoid 4004 --swversion DE.1.0.7.0 --startMP 300:58688 --initTime 2016-10-09T12:37:40 --startdatetime 2016-10-09T12:39:29 --delay 1 --endMP 204:692 --enddatetime 2016-10-09T12:55:59 --enforcementcount 0 &gt;&gt;C:\Users\stu\Documents\GitHub\eaglep3-reporting\EC\2016-10-09-refined-times.txt</v>
      </c>
      <c r="AI172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{"issue":{"subject":"","project_id":79,"tracker_id":40,"status_id":1,"priority_id":2,"assigned_to_id":23,"start_date":"2016-10-09","description":"","custom_fields":[{"id":1,"name":"Subdivision","value":"NW"},{"id":4,"name":"Milepost","value":"0.0692"},{"id":17,"name":"Train ID","value":"1814-09"},{"id":16,"name":"Locomotive ID","value":"4004"},{"id":130,"name":"Impact","value":""},{"id":150,"name":"Time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497</v>
      </c>
      <c r="B173" s="7">
        <v>4003</v>
      </c>
      <c r="C173" s="24" t="s">
        <v>106</v>
      </c>
      <c r="D173" s="24" t="s">
        <v>656</v>
      </c>
      <c r="E173" s="15">
        <v>42652.551539351851</v>
      </c>
      <c r="F173" s="15">
        <v>42652.556388888886</v>
      </c>
      <c r="G173" s="7">
        <v>1</v>
      </c>
      <c r="H173" s="15" t="s">
        <v>657</v>
      </c>
      <c r="I173" s="15">
        <v>42652.566018518519</v>
      </c>
      <c r="J173" s="7">
        <v>0</v>
      </c>
      <c r="K173" s="116" t="str">
        <f t="shared" si="38"/>
        <v>4003/4004</v>
      </c>
      <c r="L173" s="24" t="str">
        <f>VLOOKUP(A173,'Trips&amp;Operators'!$C$1:$E$10000,3,FALSE)</f>
        <v>ROBINSON</v>
      </c>
      <c r="M173" s="6">
        <f t="shared" si="39"/>
        <v>9.6296296323998831E-3</v>
      </c>
      <c r="N173" s="7">
        <f t="shared" si="40"/>
        <v>13.866666670655832</v>
      </c>
      <c r="O173" s="7"/>
      <c r="P173" s="7"/>
      <c r="Q173" s="25"/>
      <c r="R173" s="25"/>
      <c r="S173" s="37">
        <f t="shared" si="41"/>
        <v>1</v>
      </c>
      <c r="T173" s="52" t="str">
        <f t="shared" si="42"/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12:14:13-0600',mode:absolute,to:'2016-10-09 14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54" t="str">
        <f t="shared" si="44"/>
        <v>N</v>
      </c>
      <c r="X173" s="163">
        <f t="shared" si="56"/>
        <v>1</v>
      </c>
      <c r="Y173" s="69">
        <f t="shared" si="46"/>
        <v>9.7199999999999995E-2</v>
      </c>
      <c r="Z173" s="69">
        <f t="shared" si="47"/>
        <v>5.8973000000000004</v>
      </c>
      <c r="AA173" s="69">
        <f t="shared" si="48"/>
        <v>5.8001000000000005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49"/>
        <v>1815-09</v>
      </c>
      <c r="AE173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3" s="91" t="str">
        <f t="shared" si="51"/>
        <v>"C:\Program Files (x86)\AstroGrep\AstroGrep.exe" /spath="%USERPROFILE%\AppData\Local\Temp\OnboardLogs" /stypes="app*4003*20161009*" /stext=" 19:.+((SYSTEM_STATE.+slice.+state.+changed )|(ment ac)|(system.+state.+changed )|(\[timeout)|(PRM\|1\|D)|(kpr)|(kdp)|(\|lc)|(penalty))" /e /r /s</v>
      </c>
      <c r="AG173" s="1" t="str">
        <f t="shared" si="52"/>
        <v>NW</v>
      </c>
      <c r="AH173" s="95" t="str">
        <f t="shared" si="53"/>
        <v>"%USERPROFILE%\Documents\GitHub\eaglep3\Utilities\RefineRTDCRunTimes.py" --tripid 1815-09 --locoid 4003 --swversion DE.1.0.7.0 --startMP 204:972 --initTime 2016-10-09T13:14:13 --startdatetime 2016-10-09T13:21:12 --delay 1 --endMP 300:58973 --enddatetime 2016-10-09T13:35:04 --enforcementcount 0 &gt;&gt;C:\Users\stu\Documents\GitHub\eaglep3-reporting\EC\2016-10-09-refined-times.txt</v>
      </c>
      <c r="AI173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{"issue":{"subject":"","project_id":79,"tracker_id":40,"status_id":1,"priority_id":2,"assigned_to_id":23,"start_date":"2016-10-09","description":"","custom_fields":[{"id":1,"name":"Subdivision","value":"NW"},{"id":4,"name":"Milepost","value":"5.8973"},{"id":17,"name":"Train ID","value":"1815-09"},{"id":16,"name":"Locomotive ID","value":"4003"},{"id":130,"name":"Impact","value":""},{"id":150,"name":"Time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501</v>
      </c>
      <c r="B174" s="7">
        <v>4004</v>
      </c>
      <c r="C174" s="24" t="s">
        <v>106</v>
      </c>
      <c r="D174" s="24" t="s">
        <v>675</v>
      </c>
      <c r="E174" s="15">
        <v>42652.569409722222</v>
      </c>
      <c r="F174" s="15">
        <v>42652.571736111109</v>
      </c>
      <c r="G174" s="7">
        <v>0</v>
      </c>
      <c r="H174" s="15" t="s">
        <v>674</v>
      </c>
      <c r="I174" s="15">
        <v>42652.581724537034</v>
      </c>
      <c r="J174" s="7">
        <v>0</v>
      </c>
      <c r="K174" s="116" t="str">
        <f t="shared" si="38"/>
        <v>4003/4004</v>
      </c>
      <c r="L174" s="24" t="str">
        <f>VLOOKUP(A174,'Trips&amp;Operators'!$C$1:$E$10000,3,FALSE)</f>
        <v>ROBINSON</v>
      </c>
      <c r="M174" s="6">
        <f t="shared" si="39"/>
        <v>9.9884259252576157E-3</v>
      </c>
      <c r="N174" s="7">
        <f t="shared" si="40"/>
        <v>14.383333332370967</v>
      </c>
      <c r="O174" s="7"/>
      <c r="P174" s="7"/>
      <c r="Q174" s="25"/>
      <c r="R174" s="25" t="s">
        <v>770</v>
      </c>
      <c r="S174" s="37">
        <f t="shared" si="41"/>
        <v>1</v>
      </c>
      <c r="T174" s="52" t="str">
        <f t="shared" si="42"/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12:39:57-0600',mode:absolute,to:'2016-10-09 14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54" t="str">
        <f t="shared" si="44"/>
        <v>N</v>
      </c>
      <c r="X174" s="163">
        <f t="shared" ref="X174:X178" si="57">VALUE(LEFT(AD174,4))-VALUE(LEFT(AD173,4))</f>
        <v>1</v>
      </c>
      <c r="Y174" s="69">
        <f t="shared" ref="Y174:Y178" si="58">RIGHT(D174,LEN(D174)-4)/10000</f>
        <v>5.7327000000000004</v>
      </c>
      <c r="Z174" s="69">
        <f t="shared" si="47"/>
        <v>6.9199999999999998E-2</v>
      </c>
      <c r="AA174" s="69">
        <f t="shared" si="48"/>
        <v>5.6635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49"/>
        <v>1816-09</v>
      </c>
      <c r="AE174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4" s="91" t="str">
        <f t="shared" si="51"/>
        <v>"C:\Program Files (x86)\AstroGrep\AstroGrep.exe" /spath="%USERPROFILE%\AppData\Local\Temp\OnboardLogs" /stypes="app*4004*20161009*" /stext=" 19:.+((SYSTEM_STATE.+slice.+state.+changed )|(ment ac)|(system.+state.+changed )|(\[timeout)|(PRM\|1\|D)|(kpr)|(kdp)|(\|lc)|(penalty))" /e /r /s</v>
      </c>
      <c r="AG174" s="1" t="str">
        <f t="shared" si="52"/>
        <v>NW</v>
      </c>
      <c r="AH174" s="95" t="str">
        <f t="shared" si="53"/>
        <v>"%USERPROFILE%\Documents\GitHub\eaglep3\Utilities\RefineRTDCRunTimes.py" --tripid 1816-09 --locoid 4004 --swversion DE.1.0.7.0 --startMP 300:57327 --initTime 2016-10-09T13:39:57 --startdatetime 2016-10-09T13:43:18 --delay 0 --endMP 204:692 --enddatetime 2016-10-09T13:57:41 --enforcementcount 0 &gt;&gt;C:\Users\stu\Documents\GitHub\eaglep3-reporting\EC\2016-10-09-refined-times.txt</v>
      </c>
      <c r="AI174" s="129" t="str">
        <f t="shared" si="54"/>
        <v>echo {"issue":{"subject":"Initialized past Westminster 2S","project_id":79,"tracker_id":40,"status_id":1,"priority_id":2,"assigned_to_id":23,"start_date":"2016-10-09","description":"","custom_fields":[{"id":1,"name":"Subdivision","value":"NW"},{"id":4,"name":"Milepost","value":"0.0692"},{"id":17,"name":"Train ID","value":"1816-09"},{"id":16,"name":"Locomotive ID","value":"4004"},{"id":130,"name":"Impact","value":""},{"id":150,"name":"Time of Event (Mountain Time)","value":"13:57:41"},{"id":151,"name":"Denver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505</v>
      </c>
      <c r="B175" s="7">
        <v>4003</v>
      </c>
      <c r="C175" s="24" t="s">
        <v>106</v>
      </c>
      <c r="D175" s="24" t="s">
        <v>669</v>
      </c>
      <c r="E175" s="15">
        <v>42652.584849537037</v>
      </c>
      <c r="F175" s="15">
        <v>42652.598182870373</v>
      </c>
      <c r="G175" s="7">
        <v>2</v>
      </c>
      <c r="H175" s="15" t="s">
        <v>676</v>
      </c>
      <c r="I175" s="15">
        <v>42652.608541666668</v>
      </c>
      <c r="J175" s="7">
        <v>0</v>
      </c>
      <c r="K175" s="116" t="str">
        <f t="shared" si="38"/>
        <v>4003/4004</v>
      </c>
      <c r="L175" s="24" t="str">
        <f>VLOOKUP(A175,'Trips&amp;Operators'!$C$1:$E$10000,3,FALSE)</f>
        <v>CRAYTON</v>
      </c>
      <c r="M175" s="6">
        <f t="shared" si="39"/>
        <v>1.0358796294895001E-2</v>
      </c>
      <c r="N175" s="7">
        <f t="shared" si="40"/>
        <v>14.916666664648801</v>
      </c>
      <c r="O175" s="7"/>
      <c r="P175" s="7"/>
      <c r="Q175" s="25"/>
      <c r="R175" s="25"/>
      <c r="S175" s="37">
        <f t="shared" si="41"/>
        <v>1</v>
      </c>
      <c r="T175" s="52" t="str">
        <f t="shared" si="42"/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13:02:11-0600',mode:absolute,to:'2016-10-09 15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5" s="54" t="str">
        <f t="shared" si="44"/>
        <v>N</v>
      </c>
      <c r="X175" s="163">
        <f t="shared" si="57"/>
        <v>1</v>
      </c>
      <c r="Y175" s="69">
        <f t="shared" si="58"/>
        <v>9.64E-2</v>
      </c>
      <c r="Z175" s="69">
        <f t="shared" si="47"/>
        <v>5.8945999999999996</v>
      </c>
      <c r="AA175" s="69">
        <f t="shared" si="48"/>
        <v>5.7981999999999996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49"/>
        <v>1817-09</v>
      </c>
      <c r="AE175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5" s="91" t="str">
        <f t="shared" si="51"/>
        <v>"C:\Program Files (x86)\AstroGrep\AstroGrep.exe" /spath="%USERPROFILE%\AppData\Local\Temp\OnboardLogs" /stypes="app*4003*20161009*" /stext=" 20:.+((SYSTEM_STATE.+slice.+state.+changed )|(ment ac)|(system.+state.+changed )|(\[timeout)|(PRM\|1\|D)|(kpr)|(kdp)|(\|lc)|(penalty))" /e /r /s</v>
      </c>
      <c r="AG175" s="1" t="str">
        <f t="shared" si="52"/>
        <v>NW</v>
      </c>
      <c r="AH175" s="95" t="str">
        <f t="shared" si="53"/>
        <v>"%USERPROFILE%\Documents\GitHub\eaglep3\Utilities\RefineRTDCRunTimes.py" --tripid 1817-09 --locoid 4003 --swversion DE.1.0.7.0 --startMP 204:964 --initTime 2016-10-09T14:02:11 --startdatetime 2016-10-09T14:21:23 --delay 2 --endMP 300:58946 --enddatetime 2016-10-09T14:36:18 --enforcementcount 0 &gt;&gt;C:\Users\stu\Documents\GitHub\eaglep3-reporting\EC\2016-10-09-refined-times.txt</v>
      </c>
      <c r="AI175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{"issue":{"subject":"","project_id":79,"tracker_id":40,"status_id":1,"priority_id":2,"assigned_to_id":23,"start_date":"2016-10-09","description":"","custom_fields":[{"id":1,"name":"Subdivision","value":"NW"},{"id":4,"name":"Milepost","value":"5.8946"},{"id":17,"name":"Train ID","value":"1817-09"},{"id":16,"name":"Locomotive ID","value":"4003"},{"id":130,"name":"Impact","value":""},{"id":150,"name":"Time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512</v>
      </c>
      <c r="B176" s="7">
        <v>4004</v>
      </c>
      <c r="C176" s="24" t="s">
        <v>106</v>
      </c>
      <c r="D176" s="24" t="s">
        <v>382</v>
      </c>
      <c r="E176" s="15">
        <v>42652.609710648147</v>
      </c>
      <c r="F176" s="15">
        <v>42652.611307870371</v>
      </c>
      <c r="G176" s="7">
        <v>1</v>
      </c>
      <c r="H176" s="15" t="s">
        <v>677</v>
      </c>
      <c r="I176" s="15">
        <v>42652.622118055559</v>
      </c>
      <c r="J176" s="7">
        <v>0</v>
      </c>
      <c r="K176" s="116" t="str">
        <f t="shared" si="38"/>
        <v>4003/4004</v>
      </c>
      <c r="L176" s="24" t="str">
        <f>VLOOKUP(A176,'Trips&amp;Operators'!$C$1:$E$10000,3,FALSE)</f>
        <v>CRAYTON</v>
      </c>
      <c r="M176" s="6">
        <f t="shared" si="39"/>
        <v>1.0810185187438037E-2</v>
      </c>
      <c r="N176" s="7">
        <f t="shared" si="40"/>
        <v>15.566666669910774</v>
      </c>
      <c r="O176" s="7"/>
      <c r="P176" s="7"/>
      <c r="Q176" s="25"/>
      <c r="R176" s="25"/>
      <c r="S176" s="37">
        <f t="shared" si="41"/>
        <v>1</v>
      </c>
      <c r="T176" s="52" t="str">
        <f t="shared" si="42"/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13:37:59-0600',mode:absolute,to:'2016-10-09 15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6" s="54" t="str">
        <f t="shared" si="44"/>
        <v>N</v>
      </c>
      <c r="X176" s="163">
        <f t="shared" si="57"/>
        <v>1</v>
      </c>
      <c r="Y176" s="69">
        <f t="shared" si="58"/>
        <v>5.8644999999999996</v>
      </c>
      <c r="Z176" s="69">
        <f t="shared" si="47"/>
        <v>7.3599999999999999E-2</v>
      </c>
      <c r="AA176" s="69">
        <f t="shared" si="48"/>
        <v>5.7908999999999997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49"/>
        <v>1818-09</v>
      </c>
      <c r="AE176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6" s="91" t="str">
        <f t="shared" si="51"/>
        <v>"C:\Program Files (x86)\AstroGrep\AstroGrep.exe" /spath="%USERPROFILE%\AppData\Local\Temp\OnboardLogs" /stypes="app*4004*20161009*" /stext=" 20:.+((SYSTEM_STATE.+slice.+state.+changed )|(ment ac)|(system.+state.+changed )|(\[timeout)|(PRM\|1\|D)|(kpr)|(kdp)|(\|lc)|(penalty))" /e /r /s</v>
      </c>
      <c r="AG176" s="1" t="str">
        <f t="shared" si="52"/>
        <v>NW</v>
      </c>
      <c r="AH176" s="95" t="str">
        <f t="shared" si="53"/>
        <v>"%USERPROFILE%\Documents\GitHub\eaglep3\Utilities\RefineRTDCRunTimes.py" --tripid 1818-09 --locoid 4004 --swversion DE.1.0.7.0 --startMP 300:58645 --initTime 2016-10-09T14:37:59 --startdatetime 2016-10-09T14:40:17 --delay 1 --endMP 204:736 --enddatetime 2016-10-09T14:55:51 --enforcementcount 0 &gt;&gt;C:\Users\stu\Documents\GitHub\eaglep3-reporting\EC\2016-10-09-refined-times.txt</v>
      </c>
      <c r="AI176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{"issue":{"subject":"","project_id":79,"tracker_id":40,"status_id":1,"priority_id":2,"assigned_to_id":23,"start_date":"2016-10-09","description":"","custom_fields":[{"id":1,"name":"Subdivision","value":"NW"},{"id":4,"name":"Milepost","value":"0.0736"},{"id":17,"name":"Train ID","value":"1818-09"},{"id":16,"name":"Locomotive ID","value":"4004"},{"id":130,"name":"Impact","value":""},{"id":150,"name":"Time of Event (Mountain Time)","value":"14:55:51"},{"id":151,"name":"Denver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516</v>
      </c>
      <c r="B177" s="7">
        <v>4003</v>
      </c>
      <c r="C177" s="24" t="s">
        <v>106</v>
      </c>
      <c r="D177" s="24" t="s">
        <v>375</v>
      </c>
      <c r="E177" s="15">
        <v>42652.624861111108</v>
      </c>
      <c r="F177" s="15">
        <v>42652.639722222222</v>
      </c>
      <c r="G177" s="7">
        <v>1</v>
      </c>
      <c r="H177" s="15" t="s">
        <v>678</v>
      </c>
      <c r="I177" s="15">
        <v>42652.64980324074</v>
      </c>
      <c r="J177" s="7">
        <v>0</v>
      </c>
      <c r="K177" s="116" t="str">
        <f t="shared" si="38"/>
        <v>4003/4004</v>
      </c>
      <c r="L177" s="24" t="str">
        <f>VLOOKUP(A177,'Trips&amp;Operators'!$C$1:$E$10000,3,FALSE)</f>
        <v>CRAYTON</v>
      </c>
      <c r="M177" s="6">
        <f t="shared" si="39"/>
        <v>1.0081018517666962E-2</v>
      </c>
      <c r="N177" s="7">
        <f t="shared" si="40"/>
        <v>14.516666665440425</v>
      </c>
      <c r="O177" s="7"/>
      <c r="P177" s="7"/>
      <c r="Q177" s="25"/>
      <c r="R177" s="25"/>
      <c r="S177" s="37">
        <f t="shared" si="41"/>
        <v>1</v>
      </c>
      <c r="T177" s="52" t="str">
        <f t="shared" si="42"/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13:59:48-0600',mode:absolute,to:'2016-10-09 16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7" s="54" t="str">
        <f t="shared" si="44"/>
        <v>N</v>
      </c>
      <c r="X177" s="163">
        <f t="shared" si="57"/>
        <v>1</v>
      </c>
      <c r="Y177" s="69">
        <f t="shared" si="58"/>
        <v>0.10249999999999999</v>
      </c>
      <c r="Z177" s="69">
        <f t="shared" si="47"/>
        <v>5.8936999999999999</v>
      </c>
      <c r="AA177" s="69">
        <f t="shared" si="48"/>
        <v>5.7911999999999999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49"/>
        <v>1819-09</v>
      </c>
      <c r="AE177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7" s="91" t="str">
        <f t="shared" si="51"/>
        <v>"C:\Program Files (x86)\AstroGrep\AstroGrep.exe" /spath="%USERPROFILE%\AppData\Local\Temp\OnboardLogs" /stypes="app*4003*20161009*" /stext=" 21:.+((SYSTEM_STATE.+slice.+state.+changed )|(ment ac)|(system.+state.+changed )|(\[timeout)|(PRM\|1\|D)|(kpr)|(kdp)|(\|lc)|(penalty))" /e /r /s</v>
      </c>
      <c r="AG177" s="1" t="str">
        <f t="shared" si="52"/>
        <v>NW</v>
      </c>
      <c r="AH177" s="95" t="str">
        <f t="shared" si="53"/>
        <v>"%USERPROFILE%\Documents\GitHub\eaglep3\Utilities\RefineRTDCRunTimes.py" --tripid 1819-09 --locoid 4003 --swversion DE.1.0.7.0 --startMP 204:1025 --initTime 2016-10-09T14:59:48 --startdatetime 2016-10-09T15:21:12 --delay 1 --endMP 300:58937 --enddatetime 2016-10-09T15:35:43 --enforcementcount 0 &gt;&gt;C:\Users\stu\Documents\GitHub\eaglep3-reporting\EC\2016-10-09-refined-times.txt</v>
      </c>
      <c r="AI177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{"issue":{"subject":"","project_id":79,"tracker_id":40,"status_id":1,"priority_id":2,"assigned_to_id":23,"start_date":"2016-10-09","description":"","custom_fields":[{"id":1,"name":"Subdivision","value":"NW"},{"id":4,"name":"Milepost","value":"5.8937"},{"id":17,"name":"Train ID","value":"1819-09"},{"id":16,"name":"Locomotive ID","value":"4003"},{"id":130,"name":"Impact","value":""},{"id":150,"name":"Time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522</v>
      </c>
      <c r="B178" s="7">
        <v>4004</v>
      </c>
      <c r="C178" s="24" t="s">
        <v>106</v>
      </c>
      <c r="D178" s="24" t="s">
        <v>680</v>
      </c>
      <c r="E178" s="15">
        <v>42652.650879629633</v>
      </c>
      <c r="F178" s="15">
        <v>42652.652384259258</v>
      </c>
      <c r="G178" s="7">
        <v>1</v>
      </c>
      <c r="H178" s="15" t="s">
        <v>681</v>
      </c>
      <c r="I178" s="15">
        <v>42652.663842592592</v>
      </c>
      <c r="J178" s="7">
        <v>0</v>
      </c>
      <c r="K178" s="116" t="str">
        <f t="shared" si="38"/>
        <v>4003/4004</v>
      </c>
      <c r="L178" s="24" t="str">
        <f>VLOOKUP(A178,'Trips&amp;Operators'!$C$1:$E$10000,3,FALSE)</f>
        <v>CRAYTON</v>
      </c>
      <c r="M178" s="6">
        <f t="shared" si="39"/>
        <v>1.1458333334303461E-2</v>
      </c>
      <c r="N178" s="7">
        <f t="shared" si="40"/>
        <v>16.500000001396984</v>
      </c>
      <c r="O178" s="7"/>
      <c r="P178" s="7"/>
      <c r="Q178" s="25"/>
      <c r="R178" s="25"/>
      <c r="S178" s="37">
        <f t="shared" si="41"/>
        <v>1</v>
      </c>
      <c r="T178" s="52" t="str">
        <f t="shared" si="42"/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14:37:16-0600',mode:absolute,to:'2016-10-09 16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8" s="54" t="str">
        <f t="shared" si="44"/>
        <v>N</v>
      </c>
      <c r="X178" s="163">
        <f t="shared" si="57"/>
        <v>1</v>
      </c>
      <c r="Y178" s="69">
        <f t="shared" si="58"/>
        <v>5.8615000000000004</v>
      </c>
      <c r="Z178" s="69">
        <f t="shared" si="47"/>
        <v>7.5700000000000003E-2</v>
      </c>
      <c r="AA178" s="69">
        <f t="shared" si="48"/>
        <v>5.7858000000000001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49"/>
        <v>1820-09</v>
      </c>
      <c r="AE17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8" s="91" t="str">
        <f t="shared" si="51"/>
        <v>"C:\Program Files (x86)\AstroGrep\AstroGrep.exe" /spath="%USERPROFILE%\AppData\Local\Temp\OnboardLogs" /stypes="app*4004*20161009*" /stext=" 21:.+((SYSTEM_STATE.+slice.+state.+changed )|(ment ac)|(system.+state.+changed )|(\[timeout)|(PRM\|1\|D)|(kpr)|(kdp)|(\|lc)|(penalty))" /e /r /s</v>
      </c>
      <c r="AG178" s="1" t="str">
        <f t="shared" si="52"/>
        <v>NW</v>
      </c>
      <c r="AH178" s="95" t="str">
        <f t="shared" si="53"/>
        <v>"%USERPROFILE%\Documents\GitHub\eaglep3\Utilities\RefineRTDCRunTimes.py" --tripid 1820-09 --locoid 4004 --swversion DE.1.0.7.0 --startMP 300:58615 --initTime 2016-10-09T15:37:16 --startdatetime 2016-10-09T15:39:26 --delay 1 --endMP 204:757 --enddatetime 2016-10-09T15:55:56 --enforcementcount 0 &gt;&gt;C:\Users\stu\Documents\GitHub\eaglep3-reporting\EC\2016-10-09-refined-times.txt</v>
      </c>
      <c r="AI17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{"issue":{"subject":"","project_id":79,"tracker_id":40,"status_id":1,"priority_id":2,"assigned_to_id":23,"start_date":"2016-10-09","description":"","custom_fields":[{"id":1,"name":"Subdivision","value":"NW"},{"id":4,"name":"Milepost","value":"0.0757"},{"id":17,"name":"Train ID","value":"1820-09"},{"id":16,"name":"Locomotive ID","value":"4004"},{"id":130,"name":"Impact","value":""},{"id":150,"name":"Time of Event (Mountain Time)","value":"15:55:56"},{"id":151,"name":"Denver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526</v>
      </c>
      <c r="B179" s="7">
        <v>4003</v>
      </c>
      <c r="C179" s="24" t="s">
        <v>106</v>
      </c>
      <c r="D179" s="24" t="s">
        <v>682</v>
      </c>
      <c r="E179" s="15">
        <v>42652.666296296295</v>
      </c>
      <c r="F179" s="15">
        <v>42652.681423611109</v>
      </c>
      <c r="G179" s="7">
        <v>1</v>
      </c>
      <c r="H179" s="15" t="s">
        <v>259</v>
      </c>
      <c r="I179" s="15">
        <v>42652.691643518519</v>
      </c>
      <c r="J179" s="7">
        <v>0</v>
      </c>
      <c r="K179" s="116" t="str">
        <f t="shared" si="38"/>
        <v>4003/4004</v>
      </c>
      <c r="L179" s="24" t="str">
        <f>VLOOKUP(A179,'Trips&amp;Operators'!$C$1:$E$10000,3,FALSE)</f>
        <v>CRAYTON</v>
      </c>
      <c r="M179" s="6">
        <f t="shared" si="39"/>
        <v>1.021990740991896E-2</v>
      </c>
      <c r="N179" s="7">
        <f t="shared" si="40"/>
        <v>14.716666670283303</v>
      </c>
      <c r="O179" s="7"/>
      <c r="P179" s="7"/>
      <c r="Q179" s="25"/>
      <c r="R179" s="25"/>
      <c r="S179" s="37">
        <f t="shared" si="41"/>
        <v>1</v>
      </c>
      <c r="T179" s="52" t="str">
        <f t="shared" si="42"/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14:59:28-0600',mode:absolute,to:'2016-10-09 17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9" s="54" t="str">
        <f t="shared" si="44"/>
        <v>N</v>
      </c>
      <c r="X179" s="163">
        <f t="shared" si="56"/>
        <v>1</v>
      </c>
      <c r="Y179" s="69">
        <f t="shared" si="46"/>
        <v>0.1027</v>
      </c>
      <c r="Z179" s="69">
        <f t="shared" si="47"/>
        <v>5.8930999999999996</v>
      </c>
      <c r="AA179" s="69">
        <f t="shared" si="48"/>
        <v>5.7904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49"/>
        <v>1821-09</v>
      </c>
      <c r="AE17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9" s="91" t="str">
        <f t="shared" si="51"/>
        <v>"C:\Program Files (x86)\AstroGrep\AstroGrep.exe" /spath="%USERPROFILE%\AppData\Local\Temp\OnboardLogs" /stypes="app*4003*20161009*" /stext=" 22:.+((SYSTEM_STATE.+slice.+state.+changed )|(ment ac)|(system.+state.+changed )|(\[timeout)|(PRM\|1\|D)|(kpr)|(kdp)|(\|lc)|(penalty))" /e /r /s</v>
      </c>
      <c r="AG179" s="1" t="str">
        <f t="shared" si="52"/>
        <v>NW</v>
      </c>
      <c r="AH179" s="95" t="str">
        <f t="shared" si="53"/>
        <v>"%USERPROFILE%\Documents\GitHub\eaglep3\Utilities\RefineRTDCRunTimes.py" --tripid 1821-09 --locoid 4003 --swversion DE.1.0.7.0 --startMP 204:1027 --initTime 2016-10-09T15:59:28 --startdatetime 2016-10-09T16:21:15 --delay 1 --endMP 300:58931 --enddatetime 2016-10-09T16:35:58 --enforcementcount 0 &gt;&gt;C:\Users\stu\Documents\GitHub\eaglep3-reporting\EC\2016-10-09-refined-times.txt</v>
      </c>
      <c r="AI17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{"issue":{"subject":"","project_id":79,"tracker_id":40,"status_id":1,"priority_id":2,"assigned_to_id":23,"start_date":"2016-10-09","description":"","custom_fields":[{"id":1,"name":"Subdivision","value":"NW"},{"id":4,"name":"Milepost","value":"5.8931"},{"id":17,"name":"Train ID","value":"1821-09"},{"id":16,"name":"Locomotive ID","value":"4003"},{"id":130,"name":"Impact","value":""},{"id":150,"name":"Time of Event (Mountain Time)","value":"16:35:58"},{"id":151,"name":"Denver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533</v>
      </c>
      <c r="B180" s="7">
        <v>4004</v>
      </c>
      <c r="C180" s="24" t="s">
        <v>106</v>
      </c>
      <c r="D180" s="24" t="s">
        <v>332</v>
      </c>
      <c r="E180" s="15">
        <v>42652.692858796298</v>
      </c>
      <c r="F180" s="15">
        <v>42652.694421296299</v>
      </c>
      <c r="G180" s="7">
        <v>1</v>
      </c>
      <c r="H180" s="15" t="s">
        <v>683</v>
      </c>
      <c r="I180" s="15">
        <v>42652.705266203702</v>
      </c>
      <c r="J180" s="7">
        <v>0</v>
      </c>
      <c r="K180" s="116" t="str">
        <f t="shared" si="38"/>
        <v>4003/4004</v>
      </c>
      <c r="L180" s="24" t="str">
        <f>VLOOKUP(A180,'Trips&amp;Operators'!$C$1:$E$10000,3,FALSE)</f>
        <v>CRAYTON</v>
      </c>
      <c r="M180" s="6">
        <f t="shared" si="39"/>
        <v>1.0844907403225079E-2</v>
      </c>
      <c r="N180" s="7">
        <f t="shared" si="40"/>
        <v>15.616666660644114</v>
      </c>
      <c r="O180" s="7"/>
      <c r="P180" s="7"/>
      <c r="Q180" s="25"/>
      <c r="R180" s="25"/>
      <c r="S180" s="37">
        <f t="shared" si="41"/>
        <v>1</v>
      </c>
      <c r="T180" s="52" t="str">
        <f t="shared" si="42"/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15:37:43-0600',mode:absolute,to:'2016-10-09 17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0" s="54" t="str">
        <f t="shared" si="44"/>
        <v>N</v>
      </c>
      <c r="X180" s="163">
        <f t="shared" si="56"/>
        <v>1</v>
      </c>
      <c r="Y180" s="69">
        <f t="shared" si="46"/>
        <v>5.8619000000000003</v>
      </c>
      <c r="Z180" s="69">
        <f t="shared" si="47"/>
        <v>7.4999999999999997E-2</v>
      </c>
      <c r="AA180" s="69">
        <f t="shared" si="48"/>
        <v>5.7869000000000002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49"/>
        <v>1822-09</v>
      </c>
      <c r="AE18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0" s="91" t="str">
        <f t="shared" si="51"/>
        <v>"C:\Program Files (x86)\AstroGrep\AstroGrep.exe" /spath="%USERPROFILE%\AppData\Local\Temp\OnboardLogs" /stypes="app*4004*20161009*" /stext=" 22:.+((SYSTEM_STATE.+slice.+state.+changed )|(ment ac)|(system.+state.+changed )|(\[timeout)|(PRM\|1\|D)|(kpr)|(kdp)|(\|lc)|(penalty))" /e /r /s</v>
      </c>
      <c r="AG180" s="1" t="str">
        <f t="shared" si="52"/>
        <v>NW</v>
      </c>
      <c r="AH180" s="95" t="str">
        <f t="shared" si="53"/>
        <v>"%USERPROFILE%\Documents\GitHub\eaglep3\Utilities\RefineRTDCRunTimes.py" --tripid 1822-09 --locoid 4004 --swversion DE.1.0.7.0 --startMP 300:58619 --initTime 2016-10-09T16:37:43 --startdatetime 2016-10-09T16:39:58 --delay 1 --endMP 204:750 --enddatetime 2016-10-09T16:55:35 --enforcementcount 0 &gt;&gt;C:\Users\stu\Documents\GitHub\eaglep3-reporting\EC\2016-10-09-refined-times.txt</v>
      </c>
      <c r="AI18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{"issue":{"subject":"","project_id":79,"tracker_id":40,"status_id":1,"priority_id":2,"assigned_to_id":23,"start_date":"2016-10-09","description":"","custom_fields":[{"id":1,"name":"Subdivision","value":"NW"},{"id":4,"name":"Milepost","value":"0.075"},{"id":17,"name":"Train ID","value":"1822-09"},{"id":16,"name":"Locomotive ID","value":"4004"},{"id":130,"name":"Impact","value":""},{"id":150,"name":"Time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536</v>
      </c>
      <c r="B181" s="7">
        <v>4003</v>
      </c>
      <c r="C181" s="24" t="s">
        <v>106</v>
      </c>
      <c r="D181" s="24" t="s">
        <v>684</v>
      </c>
      <c r="E181" s="15">
        <v>42652.707615740743</v>
      </c>
      <c r="F181" s="15">
        <v>42652.723240740743</v>
      </c>
      <c r="G181" s="7">
        <v>1</v>
      </c>
      <c r="H181" s="15" t="s">
        <v>685</v>
      </c>
      <c r="I181" s="15">
        <v>42652.733136574076</v>
      </c>
      <c r="J181" s="7">
        <v>0</v>
      </c>
      <c r="K181" s="116" t="str">
        <f t="shared" si="38"/>
        <v>4003/4004</v>
      </c>
      <c r="L181" s="24" t="str">
        <f>VLOOKUP(A181,'Trips&amp;Operators'!$C$1:$E$10000,3,FALSE)</f>
        <v>CRAYTON</v>
      </c>
      <c r="M181" s="6">
        <f t="shared" si="39"/>
        <v>9.8958333328482695E-3</v>
      </c>
      <c r="N181" s="7">
        <f t="shared" si="40"/>
        <v>14.249999999301508</v>
      </c>
      <c r="O181" s="7"/>
      <c r="P181" s="7"/>
      <c r="Q181" s="25"/>
      <c r="R181" s="25"/>
      <c r="S181" s="37">
        <f t="shared" si="41"/>
        <v>1</v>
      </c>
      <c r="T181" s="52" t="str">
        <f t="shared" si="42"/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15:58:58-0600',mode:absolute,to:'2016-10-09 18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1" s="54" t="str">
        <f t="shared" si="44"/>
        <v>N</v>
      </c>
      <c r="X181" s="163">
        <f t="shared" si="56"/>
        <v>1</v>
      </c>
      <c r="Y181" s="69">
        <f t="shared" si="46"/>
        <v>0.10390000000000001</v>
      </c>
      <c r="Z181" s="69">
        <f t="shared" si="47"/>
        <v>5.8940999999999999</v>
      </c>
      <c r="AA181" s="69">
        <f t="shared" si="48"/>
        <v>5.7901999999999996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49"/>
        <v>1823-09</v>
      </c>
      <c r="AE18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1" s="91" t="str">
        <f t="shared" si="51"/>
        <v>"C:\Program Files (x86)\AstroGrep\AstroGrep.exe" /spath="%USERPROFILE%\AppData\Local\Temp\OnboardLogs" /stypes="app*4003*20161009*" /stext=" 23:.+((SYSTEM_STATE.+slice.+state.+changed )|(ment ac)|(system.+state.+changed )|(\[timeout)|(PRM\|1\|D)|(kpr)|(kdp)|(\|lc)|(penalty))" /e /r /s</v>
      </c>
      <c r="AG181" s="1" t="str">
        <f t="shared" si="52"/>
        <v>NW</v>
      </c>
      <c r="AH181" s="95" t="str">
        <f t="shared" si="53"/>
        <v>"%USERPROFILE%\Documents\GitHub\eaglep3\Utilities\RefineRTDCRunTimes.py" --tripid 1823-09 --locoid 4003 --swversion DE.1.0.7.0 --startMP 204:1039 --initTime 2016-10-09T16:58:58 --startdatetime 2016-10-09T17:21:28 --delay 1 --endMP 300:58941 --enddatetime 2016-10-09T17:35:43 --enforcementcount 0 &gt;&gt;C:\Users\stu\Documents\GitHub\eaglep3-reporting\EC\2016-10-09-refined-times.txt</v>
      </c>
      <c r="AI18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{"issue":{"subject":"","project_id":79,"tracker_id":40,"status_id":1,"priority_id":2,"assigned_to_id":23,"start_date":"2016-10-09","description":"","custom_fields":[{"id":1,"name":"Subdivision","value":"NW"},{"id":4,"name":"Milepost","value":"5.8941"},{"id":17,"name":"Train ID","value":"1823-09"},{"id":16,"name":"Locomotive ID","value":"4003"},{"id":130,"name":"Impact","value":""},{"id":150,"name":"Time of Event (Mountain Time)","value":"17:35:43"},{"id":151,"name":"Denver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546</v>
      </c>
      <c r="B182" s="7">
        <v>4004</v>
      </c>
      <c r="C182" s="24" t="s">
        <v>106</v>
      </c>
      <c r="D182" s="24" t="s">
        <v>376</v>
      </c>
      <c r="E182" s="15">
        <v>42652.734293981484</v>
      </c>
      <c r="F182" s="15">
        <v>42652.735856481479</v>
      </c>
      <c r="G182" s="7">
        <v>1</v>
      </c>
      <c r="H182" s="15" t="s">
        <v>686</v>
      </c>
      <c r="I182" s="15">
        <v>42652.74858796296</v>
      </c>
      <c r="J182" s="7">
        <v>0</v>
      </c>
      <c r="K182" s="116" t="str">
        <f t="shared" si="38"/>
        <v>4003/4004</v>
      </c>
      <c r="L182" s="24" t="str">
        <f>VLOOKUP(A182,'Trips&amp;Operators'!$C$1:$E$10000,3,FALSE)</f>
        <v>CRAYTON</v>
      </c>
      <c r="M182" s="6">
        <f t="shared" si="39"/>
        <v>1.2731481481750961E-2</v>
      </c>
      <c r="N182" s="7">
        <f t="shared" si="40"/>
        <v>18.333333333721384</v>
      </c>
      <c r="O182" s="7"/>
      <c r="P182" s="7"/>
      <c r="Q182" s="25"/>
      <c r="R182" s="25"/>
      <c r="S182" s="37">
        <f t="shared" si="41"/>
        <v>1</v>
      </c>
      <c r="T182" s="52" t="str">
        <f t="shared" si="42"/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16:37:23-0600',mode:absolute,to:'2016-10-09 18:57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2" s="54" t="str">
        <f t="shared" si="44"/>
        <v>N</v>
      </c>
      <c r="X182" s="163">
        <f t="shared" si="56"/>
        <v>1</v>
      </c>
      <c r="Y182" s="69">
        <f t="shared" si="46"/>
        <v>5.8620999999999999</v>
      </c>
      <c r="Z182" s="69">
        <f t="shared" si="47"/>
        <v>1.4800000000000001E-2</v>
      </c>
      <c r="AA182" s="69">
        <f t="shared" si="48"/>
        <v>5.8472999999999997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49"/>
        <v>1824-09</v>
      </c>
      <c r="AE182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2" s="91" t="str">
        <f t="shared" si="51"/>
        <v>"C:\Program Files (x86)\AstroGrep\AstroGrep.exe" /spath="%USERPROFILE%\AppData\Local\Temp\OnboardLogs" /stypes="app*4004*20161009*" /stext=" 23:.+((SYSTEM_STATE.+slice.+state.+changed )|(ment ac)|(system.+state.+changed )|(\[timeout)|(PRM\|1\|D)|(kpr)|(kdp)|(\|lc)|(penalty))" /e /r /s</v>
      </c>
      <c r="AG182" s="1" t="str">
        <f t="shared" si="52"/>
        <v>NW</v>
      </c>
      <c r="AH182" s="95" t="str">
        <f t="shared" si="53"/>
        <v>"%USERPROFILE%\Documents\GitHub\eaglep3\Utilities\RefineRTDCRunTimes.py" --tripid 1824-09 --locoid 4004 --swversion DE.1.0.7.0 --startMP 300:58621 --initTime 2016-10-09T17:37:23 --startdatetime 2016-10-09T17:39:38 --delay 1 --endMP 204:148 --enddatetime 2016-10-09T17:57:58 --enforcementcount 0 &gt;&gt;C:\Users\stu\Documents\GitHub\eaglep3-reporting\EC\2016-10-09-refined-times.txt</v>
      </c>
      <c r="AI182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{"issue":{"subject":"","project_id":79,"tracker_id":40,"status_id":1,"priority_id":2,"assigned_to_id":23,"start_date":"2016-10-09","description":"","custom_fields":[{"id":1,"name":"Subdivision","value":"NW"},{"id":4,"name":"Milepost","value":"0.0148"},{"id":17,"name":"Train ID","value":"1824-09"},{"id":16,"name":"Locomotive ID","value":"4004"},{"id":130,"name":"Impact","value":""},{"id":150,"name":"Time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555</v>
      </c>
      <c r="B183" s="7">
        <v>4003</v>
      </c>
      <c r="C183" s="24" t="s">
        <v>106</v>
      </c>
      <c r="D183" s="24" t="s">
        <v>196</v>
      </c>
      <c r="E183" s="15">
        <v>42652.751076388886</v>
      </c>
      <c r="F183" s="15">
        <v>42652.764756944445</v>
      </c>
      <c r="G183" s="7">
        <v>1</v>
      </c>
      <c r="H183" s="15" t="s">
        <v>687</v>
      </c>
      <c r="I183" s="15">
        <v>42652.775000000001</v>
      </c>
      <c r="J183" s="7">
        <v>0</v>
      </c>
      <c r="K183" s="116" t="str">
        <f t="shared" si="38"/>
        <v>4003/4004</v>
      </c>
      <c r="L183" s="24" t="str">
        <f>VLOOKUP(A183,'Trips&amp;Operators'!$C$1:$E$10000,3,FALSE)</f>
        <v>CRAYTON</v>
      </c>
      <c r="M183" s="6">
        <f t="shared" si="39"/>
        <v>1.0243055556202307E-2</v>
      </c>
      <c r="N183" s="7">
        <f t="shared" si="40"/>
        <v>14.750000000931323</v>
      </c>
      <c r="O183" s="7"/>
      <c r="P183" s="7"/>
      <c r="Q183" s="25"/>
      <c r="R183" s="25"/>
      <c r="S183" s="37">
        <f t="shared" si="41"/>
        <v>1</v>
      </c>
      <c r="T183" s="52" t="str">
        <f t="shared" si="42"/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17:01:33-0600',mode:absolute,to:'2016-10-09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3" s="54" t="str">
        <f t="shared" si="44"/>
        <v>N</v>
      </c>
      <c r="X183" s="163">
        <f t="shared" si="56"/>
        <v>1</v>
      </c>
      <c r="Y183" s="69">
        <f t="shared" si="46"/>
        <v>4.5100000000000001E-2</v>
      </c>
      <c r="Z183" s="69">
        <f t="shared" si="47"/>
        <v>5.8916000000000004</v>
      </c>
      <c r="AA183" s="69">
        <f t="shared" si="48"/>
        <v>5.8465000000000007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49"/>
        <v>1825-09</v>
      </c>
      <c r="AE183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3" s="91" t="str">
        <f t="shared" si="51"/>
        <v>"C:\Program Files (x86)\AstroGrep\AstroGrep.exe" /spath="%USERPROFILE%\AppData\Local\Temp\OnboardLogs" /stypes="app*4003*20161010*" /stext=" 00:.+((SYSTEM_STATE.+slice.+state.+changed )|(ment ac)|(system.+state.+changed )|(\[timeout)|(PRM\|1\|D)|(kpr)|(kdp)|(\|lc)|(penalty))" /e /r /s</v>
      </c>
      <c r="AG183" s="1" t="str">
        <f t="shared" si="52"/>
        <v>NW</v>
      </c>
      <c r="AH183" s="95" t="str">
        <f t="shared" si="53"/>
        <v>"%USERPROFILE%\Documents\GitHub\eaglep3\Utilities\RefineRTDCRunTimes.py" --tripid 1825-09 --locoid 4003 --swversion DE.1.0.7.0 --startMP 204:451 --initTime 2016-10-09T18:01:33 --startdatetime 2016-10-09T18:21:15 --delay 1 --endMP 300:58916 --enddatetime 2016-10-09T18:36:00 --enforcementcount 0 &gt;&gt;C:\Users\stu\Documents\GitHub\eaglep3-reporting\EC\2016-10-09-refined-times.txt</v>
      </c>
      <c r="AI183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{"issue":{"subject":"","project_id":79,"tracker_id":40,"status_id":1,"priority_id":2,"assigned_to_id":23,"start_date":"2016-10-09","description":"","custom_fields":[{"id":1,"name":"Subdivision","value":"NW"},{"id":4,"name":"Milepost","value":"5.8916"},{"id":17,"name":"Train ID","value":"1825-09"},{"id":16,"name":"Locomotive ID","value":"4003"},{"id":130,"name":"Impact","value":""},{"id":150,"name":"Time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563</v>
      </c>
      <c r="B184" s="7">
        <v>4004</v>
      </c>
      <c r="C184" s="24" t="s">
        <v>106</v>
      </c>
      <c r="D184" s="24" t="s">
        <v>688</v>
      </c>
      <c r="E184" s="15">
        <v>42652.77648148148</v>
      </c>
      <c r="F184" s="15">
        <v>42652.778043981481</v>
      </c>
      <c r="G184" s="7">
        <v>1</v>
      </c>
      <c r="H184" s="15" t="s">
        <v>689</v>
      </c>
      <c r="I184" s="15">
        <v>42652.789351851854</v>
      </c>
      <c r="J184" s="7">
        <v>0</v>
      </c>
      <c r="K184" s="116" t="str">
        <f t="shared" si="38"/>
        <v>4003/4004</v>
      </c>
      <c r="L184" s="24" t="str">
        <f>VLOOKUP(A184,'Trips&amp;Operators'!$C$1:$E$10000,3,FALSE)</f>
        <v>CRAYTON</v>
      </c>
      <c r="M184" s="6">
        <f t="shared" si="39"/>
        <v>1.1307870372547768E-2</v>
      </c>
      <c r="N184" s="7">
        <f t="shared" si="40"/>
        <v>16.283333336468786</v>
      </c>
      <c r="O184" s="7"/>
      <c r="P184" s="7"/>
      <c r="Q184" s="25"/>
      <c r="R184" s="25"/>
      <c r="S184" s="37">
        <f t="shared" si="41"/>
        <v>1</v>
      </c>
      <c r="T184" s="52" t="str">
        <f t="shared" si="42"/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17:38:08-0600',mode:absolute,to:'2016-10-09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4" s="54" t="str">
        <f t="shared" si="44"/>
        <v>N</v>
      </c>
      <c r="X184" s="163">
        <f t="shared" si="56"/>
        <v>1</v>
      </c>
      <c r="Y184" s="69">
        <f t="shared" si="46"/>
        <v>5.8593999999999999</v>
      </c>
      <c r="Z184" s="69">
        <f t="shared" si="47"/>
        <v>7.6100000000000001E-2</v>
      </c>
      <c r="AA184" s="69">
        <f t="shared" si="48"/>
        <v>5.7832999999999997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49"/>
        <v>1826-09</v>
      </c>
      <c r="AE184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4" s="91" t="str">
        <f t="shared" si="51"/>
        <v>"C:\Program Files (x86)\AstroGrep\AstroGrep.exe" /spath="%USERPROFILE%\AppData\Local\Temp\OnboardLogs" /stypes="app*4004*20161010*" /stext=" 00:.+((SYSTEM_STATE.+slice.+state.+changed )|(ment ac)|(system.+state.+changed )|(\[timeout)|(PRM\|1\|D)|(kpr)|(kdp)|(\|lc)|(penalty))" /e /r /s</v>
      </c>
      <c r="AG184" s="1" t="str">
        <f t="shared" si="52"/>
        <v>NW</v>
      </c>
      <c r="AH184" s="95" t="str">
        <f t="shared" si="53"/>
        <v>"%USERPROFILE%\Documents\GitHub\eaglep3\Utilities\RefineRTDCRunTimes.py" --tripid 1826-09 --locoid 4004 --swversion DE.1.0.7.0 --startMP 300:58594 --initTime 2016-10-09T18:38:08 --startdatetime 2016-10-09T18:40:23 --delay 1 --endMP 204:761 --enddatetime 2016-10-09T18:56:40 --enforcementcount 0 &gt;&gt;C:\Users\stu\Documents\GitHub\eaglep3-reporting\EC\2016-10-09-refined-times.txt</v>
      </c>
      <c r="AI184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{"issue":{"subject":"","project_id":79,"tracker_id":40,"status_id":1,"priority_id":2,"assigned_to_id":23,"start_date":"2016-10-09","description":"","custom_fields":[{"id":1,"name":"Subdivision","value":"NW"},{"id":4,"name":"Milepost","value":"0.0761"},{"id":17,"name":"Train ID","value":"1826-09"},{"id":16,"name":"Locomotive ID","value":"4004"},{"id":130,"name":"Impact","value":""},{"id":150,"name":"Time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568</v>
      </c>
      <c r="B185" s="7">
        <v>4003</v>
      </c>
      <c r="C185" s="24" t="s">
        <v>106</v>
      </c>
      <c r="D185" s="24" t="s">
        <v>690</v>
      </c>
      <c r="E185" s="15">
        <v>42652.79619212963</v>
      </c>
      <c r="F185" s="15">
        <v>42652.806701388887</v>
      </c>
      <c r="G185" s="7">
        <v>2</v>
      </c>
      <c r="H185" s="15" t="s">
        <v>691</v>
      </c>
      <c r="I185" s="15">
        <v>42652.817870370367</v>
      </c>
      <c r="J185" s="7">
        <v>0</v>
      </c>
      <c r="K185" s="116" t="str">
        <f t="shared" si="38"/>
        <v>4003/4004</v>
      </c>
      <c r="L185" s="24" t="str">
        <f>VLOOKUP(A185,'Trips&amp;Operators'!$C$1:$E$10000,3,FALSE)</f>
        <v>CRAYTON</v>
      </c>
      <c r="M185" s="6">
        <f t="shared" si="39"/>
        <v>1.116898148029577E-2</v>
      </c>
      <c r="N185" s="7">
        <f t="shared" si="40"/>
        <v>16.083333331625909</v>
      </c>
      <c r="O185" s="7"/>
      <c r="P185" s="7"/>
      <c r="Q185" s="25"/>
      <c r="R185" s="25"/>
      <c r="S185" s="37">
        <f t="shared" si="41"/>
        <v>1</v>
      </c>
      <c r="T185" s="52" t="str">
        <f t="shared" si="42"/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18:06:31-0600',mode:absolute,to:'2016-10-09 20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5" s="54" t="str">
        <f t="shared" si="44"/>
        <v>N</v>
      </c>
      <c r="X185" s="163">
        <f t="shared" si="56"/>
        <v>1</v>
      </c>
      <c r="Y185" s="69">
        <f t="shared" si="46"/>
        <v>0.1051</v>
      </c>
      <c r="Z185" s="69">
        <f t="shared" si="47"/>
        <v>5.8917999999999999</v>
      </c>
      <c r="AA185" s="69">
        <f t="shared" si="48"/>
        <v>5.7866999999999997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49"/>
        <v>1827-09</v>
      </c>
      <c r="AE185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5" s="91" t="str">
        <f t="shared" si="51"/>
        <v>"C:\Program Files (x86)\AstroGrep\AstroGrep.exe" /spath="%USERPROFILE%\AppData\Local\Temp\OnboardLogs" /stypes="app*4003*20161010*" /stext=" 01:.+((SYSTEM_STATE.+slice.+state.+changed )|(ment ac)|(system.+state.+changed )|(\[timeout)|(PRM\|1\|D)|(kpr)|(kdp)|(\|lc)|(penalty))" /e /r /s</v>
      </c>
      <c r="AG185" s="1" t="str">
        <f t="shared" si="52"/>
        <v>NW</v>
      </c>
      <c r="AH185" s="95" t="str">
        <f t="shared" si="53"/>
        <v>"%USERPROFILE%\Documents\GitHub\eaglep3\Utilities\RefineRTDCRunTimes.py" --tripid 1827-09 --locoid 4003 --swversion DE.1.0.7.0 --startMP 204:1051 --initTime 2016-10-09T19:06:31 --startdatetime 2016-10-09T19:21:39 --delay 2 --endMP 300:58918 --enddatetime 2016-10-09T19:37:44 --enforcementcount 0 &gt;&gt;C:\Users\stu\Documents\GitHub\eaglep3-reporting\EC\2016-10-09-refined-times.txt</v>
      </c>
      <c r="AI185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{"issue":{"subject":"","project_id":79,"tracker_id":40,"status_id":1,"priority_id":2,"assigned_to_id":23,"start_date":"2016-10-09","description":"","custom_fields":[{"id":1,"name":"Subdivision","value":"NW"},{"id":4,"name":"Milepost","value":"5.8918"},{"id":17,"name":"Train ID","value":"1827-09"},{"id":16,"name":"Locomotive ID","value":"4003"},{"id":130,"name":"Impact","value":""},{"id":150,"name":"Time of Event (Mountain Time)","value":"19:37:44"},{"id":151,"name":"Denver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574</v>
      </c>
      <c r="B186" s="7">
        <v>4004</v>
      </c>
      <c r="C186" s="24" t="s">
        <v>106</v>
      </c>
      <c r="D186" s="24" t="s">
        <v>692</v>
      </c>
      <c r="E186" s="15">
        <v>42652.819050925929</v>
      </c>
      <c r="F186" s="15">
        <v>42652.820497685185</v>
      </c>
      <c r="G186" s="7">
        <v>1</v>
      </c>
      <c r="H186" s="15" t="s">
        <v>693</v>
      </c>
      <c r="I186" s="15">
        <v>42652.830405092594</v>
      </c>
      <c r="J186" s="7">
        <v>0</v>
      </c>
      <c r="K186" s="116" t="str">
        <f t="shared" si="38"/>
        <v>4003/4004</v>
      </c>
      <c r="L186" s="24" t="str">
        <f>VLOOKUP(A186,'Trips&amp;Operators'!$C$1:$E$10000,3,FALSE)</f>
        <v>CRAYTON</v>
      </c>
      <c r="M186" s="6">
        <f t="shared" si="39"/>
        <v>9.9074074096279219E-3</v>
      </c>
      <c r="N186" s="7">
        <f t="shared" si="40"/>
        <v>14.266666669864208</v>
      </c>
      <c r="O186" s="7"/>
      <c r="P186" s="7"/>
      <c r="Q186" s="25"/>
      <c r="R186" s="25"/>
      <c r="S186" s="37">
        <f t="shared" si="41"/>
        <v>1</v>
      </c>
      <c r="T186" s="52" t="str">
        <f t="shared" si="42"/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18:39:26-0600',mode:absolute,to:'2016-10-09 20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6" s="54" t="str">
        <f t="shared" si="44"/>
        <v>N</v>
      </c>
      <c r="X186" s="163">
        <f t="shared" si="56"/>
        <v>1</v>
      </c>
      <c r="Y186" s="69">
        <f t="shared" si="46"/>
        <v>5.8604000000000003</v>
      </c>
      <c r="Z186" s="69">
        <f t="shared" si="47"/>
        <v>7.6399999999999996E-2</v>
      </c>
      <c r="AA186" s="69">
        <f t="shared" si="48"/>
        <v>5.7840000000000007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49"/>
        <v>1828-09</v>
      </c>
      <c r="AE186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6" s="91" t="str">
        <f t="shared" si="51"/>
        <v>"C:\Program Files (x86)\AstroGrep\AstroGrep.exe" /spath="%USERPROFILE%\AppData\Local\Temp\OnboardLogs" /stypes="app*4004*20161010*" /stext=" 01:.+((SYSTEM_STATE.+slice.+state.+changed )|(ment ac)|(system.+state.+changed )|(\[timeout)|(PRM\|1\|D)|(kpr)|(kdp)|(\|lc)|(penalty))" /e /r /s</v>
      </c>
      <c r="AG186" s="1" t="str">
        <f t="shared" si="52"/>
        <v>NW</v>
      </c>
      <c r="AH186" s="95" t="str">
        <f t="shared" si="53"/>
        <v>"%USERPROFILE%\Documents\GitHub\eaglep3\Utilities\RefineRTDCRunTimes.py" --tripid 1828-09 --locoid 4004 --swversion DE.1.0.7.0 --startMP 300:58604 --initTime 2016-10-09T19:39:26 --startdatetime 2016-10-09T19:41:31 --delay 1 --endMP 204:764 --enddatetime 2016-10-09T19:55:47 --enforcementcount 0 &gt;&gt;C:\Users\stu\Documents\GitHub\eaglep3-reporting\EC\2016-10-09-refined-times.txt</v>
      </c>
      <c r="AI186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{"issue":{"subject":"","project_id":79,"tracker_id":40,"status_id":1,"priority_id":2,"assigned_to_id":23,"start_date":"2016-10-09","description":"","custom_fields":[{"id":1,"name":"Subdivision","value":"NW"},{"id":4,"name":"Milepost","value":"0.0764"},{"id":17,"name":"Train ID","value":"1828-09"},{"id":16,"name":"Locomotive ID","value":"4004"},{"id":130,"name":"Impact","value":""},{"id":150,"name":"Time of Event (Mountain Time)","value":"19:55:47"},{"id":151,"name":"Denver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579</v>
      </c>
      <c r="B187" s="7">
        <v>4003</v>
      </c>
      <c r="C187" s="24" t="s">
        <v>106</v>
      </c>
      <c r="D187" s="24" t="s">
        <v>694</v>
      </c>
      <c r="E187" s="15">
        <v>42652.832094907404</v>
      </c>
      <c r="F187" s="15">
        <v>42652.84820601852</v>
      </c>
      <c r="G187" s="7">
        <v>1</v>
      </c>
      <c r="H187" s="15" t="s">
        <v>695</v>
      </c>
      <c r="I187" s="15">
        <v>42652.858067129629</v>
      </c>
      <c r="J187" s="7">
        <v>0</v>
      </c>
      <c r="K187" s="116" t="str">
        <f t="shared" si="38"/>
        <v>4003/4004</v>
      </c>
      <c r="L187" s="24" t="str">
        <f>VLOOKUP(A187,'Trips&amp;Operators'!$C$1:$E$10000,3,FALSE)</f>
        <v>CRAYTON</v>
      </c>
      <c r="M187" s="6">
        <f t="shared" si="39"/>
        <v>9.8611111097852699E-3</v>
      </c>
      <c r="N187" s="7">
        <f t="shared" si="40"/>
        <v>14.199999998090789</v>
      </c>
      <c r="O187" s="7"/>
      <c r="P187" s="7"/>
      <c r="Q187" s="25"/>
      <c r="R187" s="25"/>
      <c r="S187" s="37">
        <f t="shared" si="41"/>
        <v>1</v>
      </c>
      <c r="T187" s="52" t="str">
        <f t="shared" si="42"/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18:58:13-0600',mode:absolute,to:'2016-10-09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7" s="54" t="str">
        <f t="shared" si="44"/>
        <v>N</v>
      </c>
      <c r="X187" s="163">
        <f t="shared" si="56"/>
        <v>1</v>
      </c>
      <c r="Y187" s="69">
        <f t="shared" si="46"/>
        <v>0.10340000000000001</v>
      </c>
      <c r="Z187" s="69">
        <f t="shared" si="47"/>
        <v>5.8921999999999999</v>
      </c>
      <c r="AA187" s="69">
        <f t="shared" si="48"/>
        <v>5.7888000000000002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49"/>
        <v>1829-09</v>
      </c>
      <c r="AE187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7" s="91" t="str">
        <f t="shared" si="51"/>
        <v>"C:\Program Files (x86)\AstroGrep\AstroGrep.exe" /spath="%USERPROFILE%\AppData\Local\Temp\OnboardLogs" /stypes="app*4003*20161010*" /stext=" 02:.+((SYSTEM_STATE.+slice.+state.+changed )|(ment ac)|(system.+state.+changed )|(\[timeout)|(PRM\|1\|D)|(kpr)|(kdp)|(\|lc)|(penalty))" /e /r /s</v>
      </c>
      <c r="AG187" s="1" t="str">
        <f t="shared" si="52"/>
        <v>NW</v>
      </c>
      <c r="AH187" s="95" t="str">
        <f t="shared" si="53"/>
        <v>"%USERPROFILE%\Documents\GitHub\eaglep3\Utilities\RefineRTDCRunTimes.py" --tripid 1829-09 --locoid 4003 --swversion DE.1.0.7.0 --startMP 204:1034 --initTime 2016-10-09T19:58:13 --startdatetime 2016-10-09T20:21:25 --delay 1 --endMP 300:58922 --enddatetime 2016-10-09T20:35:37 --enforcementcount 0 &gt;&gt;C:\Users\stu\Documents\GitHub\eaglep3-reporting\EC\2016-10-09-refined-times.txt</v>
      </c>
      <c r="AI187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{"issue":{"subject":"","project_id":79,"tracker_id":40,"status_id":1,"priority_id":2,"assigned_to_id":23,"start_date":"2016-10-09","description":"","custom_fields":[{"id":1,"name":"Subdivision","value":"NW"},{"id":4,"name":"Milepost","value":"5.8922"},{"id":17,"name":"Train ID","value":"1829-09"},{"id":16,"name":"Locomotive ID","value":"4003"},{"id":130,"name":"Impact","value":""},{"id":150,"name":"Time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585</v>
      </c>
      <c r="B188" s="7">
        <v>4004</v>
      </c>
      <c r="C188" s="24" t="s">
        <v>106</v>
      </c>
      <c r="D188" s="24" t="s">
        <v>692</v>
      </c>
      <c r="E188" s="15">
        <v>42652.859652777777</v>
      </c>
      <c r="F188" s="15">
        <v>42652.860902777778</v>
      </c>
      <c r="G188" s="7">
        <v>1</v>
      </c>
      <c r="H188" s="15" t="s">
        <v>377</v>
      </c>
      <c r="I188" s="15">
        <v>42652.873819444445</v>
      </c>
      <c r="J188" s="7">
        <v>0</v>
      </c>
      <c r="K188" s="116" t="str">
        <f t="shared" si="38"/>
        <v>4003/4004</v>
      </c>
      <c r="L188" s="24" t="str">
        <f>VLOOKUP(A188,'Trips&amp;Operators'!$C$1:$E$10000,3,FALSE)</f>
        <v>CRAYTON</v>
      </c>
      <c r="M188" s="6">
        <f t="shared" si="39"/>
        <v>1.2916666666569654E-2</v>
      </c>
      <c r="N188" s="7">
        <f t="shared" si="40"/>
        <v>18.599999999860302</v>
      </c>
      <c r="O188" s="7"/>
      <c r="P188" s="7"/>
      <c r="Q188" s="25"/>
      <c r="R188" s="25"/>
      <c r="S188" s="37">
        <f t="shared" si="41"/>
        <v>1</v>
      </c>
      <c r="T188" s="52" t="str">
        <f t="shared" si="42"/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19:37:54-0600',mode:absolute,to:'2016-10-09 21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8" s="54" t="str">
        <f t="shared" si="44"/>
        <v>N</v>
      </c>
      <c r="X188" s="163">
        <f t="shared" si="56"/>
        <v>1</v>
      </c>
      <c r="Y188" s="69">
        <f t="shared" si="46"/>
        <v>5.8604000000000003</v>
      </c>
      <c r="Z188" s="69">
        <f t="shared" si="47"/>
        <v>7.2900000000000006E-2</v>
      </c>
      <c r="AA188" s="69">
        <f t="shared" si="48"/>
        <v>5.7875000000000005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49"/>
        <v>1830-09</v>
      </c>
      <c r="AE188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8" s="91" t="str">
        <f t="shared" si="51"/>
        <v>"C:\Program Files (x86)\AstroGrep\AstroGrep.exe" /spath="%USERPROFILE%\AppData\Local\Temp\OnboardLogs" /stypes="app*4004*20161010*" /stext=" 02:.+((SYSTEM_STATE.+slice.+state.+changed )|(ment ac)|(system.+state.+changed )|(\[timeout)|(PRM\|1\|D)|(kpr)|(kdp)|(\|lc)|(penalty))" /e /r /s</v>
      </c>
      <c r="AG188" s="1" t="str">
        <f t="shared" si="52"/>
        <v>NW</v>
      </c>
      <c r="AH188" s="95" t="str">
        <f t="shared" si="53"/>
        <v>"%USERPROFILE%\Documents\GitHub\eaglep3\Utilities\RefineRTDCRunTimes.py" --tripid 1830-09 --locoid 4004 --swversion DE.1.0.7.0 --startMP 300:58604 --initTime 2016-10-09T20:37:54 --startdatetime 2016-10-09T20:39:42 --delay 1 --endMP 204:729 --enddatetime 2016-10-09T20:58:18 --enforcementcount 0 &gt;&gt;C:\Users\stu\Documents\GitHub\eaglep3-reporting\EC\2016-10-09-refined-times.txt</v>
      </c>
      <c r="AI188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{"issue":{"subject":"","project_id":79,"tracker_id":40,"status_id":1,"priority_id":2,"assigned_to_id":23,"start_date":"2016-10-09","description":"","custom_fields":[{"id":1,"name":"Subdivision","value":"NW"},{"id":4,"name":"Milepost","value":"0.0729"},{"id":17,"name":"Train ID","value":"1830-09"},{"id":16,"name":"Locomotive ID","value":"4004"},{"id":130,"name":"Impact","value":""},{"id":150,"name":"Time of Event (Mountain Time)","value":"20:58:18"},{"id":151,"name":"Denver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588</v>
      </c>
      <c r="B189" s="7">
        <v>4003</v>
      </c>
      <c r="C189" s="24" t="s">
        <v>106</v>
      </c>
      <c r="D189" s="24" t="s">
        <v>381</v>
      </c>
      <c r="E189" s="15">
        <v>42652.8753125</v>
      </c>
      <c r="F189" s="15">
        <v>42652.89025462963</v>
      </c>
      <c r="G189" s="7">
        <v>1</v>
      </c>
      <c r="H189" s="15" t="s">
        <v>259</v>
      </c>
      <c r="I189" s="15">
        <v>42652.90016203704</v>
      </c>
      <c r="J189" s="7">
        <v>0</v>
      </c>
      <c r="K189" s="116" t="str">
        <f t="shared" si="38"/>
        <v>4003/4004</v>
      </c>
      <c r="L189" s="24" t="str">
        <f>VLOOKUP(A189,'Trips&amp;Operators'!$C$1:$E$10000,3,FALSE)</f>
        <v>CRAYTON</v>
      </c>
      <c r="M189" s="6">
        <f t="shared" si="39"/>
        <v>9.9074074096279219E-3</v>
      </c>
      <c r="N189" s="7">
        <f t="shared" si="40"/>
        <v>14.266666669864208</v>
      </c>
      <c r="O189" s="7"/>
      <c r="P189" s="7"/>
      <c r="Q189" s="25"/>
      <c r="R189" s="25"/>
      <c r="S189" s="37">
        <f t="shared" si="41"/>
        <v>1</v>
      </c>
      <c r="T189" s="52" t="str">
        <f t="shared" si="42"/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20:00:27-0600',mode:absolute,to:'2016-10-09 22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9" s="54" t="str">
        <f t="shared" si="44"/>
        <v>N</v>
      </c>
      <c r="X189" s="163">
        <f t="shared" si="56"/>
        <v>1</v>
      </c>
      <c r="Y189" s="69">
        <f t="shared" si="46"/>
        <v>0.1014</v>
      </c>
      <c r="Z189" s="69">
        <f t="shared" si="47"/>
        <v>5.8930999999999996</v>
      </c>
      <c r="AA189" s="69">
        <f t="shared" si="48"/>
        <v>5.7916999999999996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49"/>
        <v>1831-09</v>
      </c>
      <c r="AE189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9" s="91" t="str">
        <f t="shared" si="51"/>
        <v>"C:\Program Files (x86)\AstroGrep\AstroGrep.exe" /spath="%USERPROFILE%\AppData\Local\Temp\OnboardLogs" /stypes="app*4003*20161010*" /stext=" 03:.+((SYSTEM_STATE.+slice.+state.+changed )|(ment ac)|(system.+state.+changed )|(\[timeout)|(PRM\|1\|D)|(kpr)|(kdp)|(\|lc)|(penalty))" /e /r /s</v>
      </c>
      <c r="AG189" s="1" t="str">
        <f t="shared" si="52"/>
        <v>NW</v>
      </c>
      <c r="AH189" s="95" t="str">
        <f t="shared" si="53"/>
        <v>"%USERPROFILE%\Documents\GitHub\eaglep3\Utilities\RefineRTDCRunTimes.py" --tripid 1831-09 --locoid 4003 --swversion DE.1.0.7.0 --startMP 204:1014 --initTime 2016-10-09T21:00:27 --startdatetime 2016-10-09T21:21:58 --delay 1 --endMP 300:58931 --enddatetime 2016-10-09T21:36:14 --enforcementcount 0 &gt;&gt;C:\Users\stu\Documents\GitHub\eaglep3-reporting\EC\2016-10-09-refined-times.txt</v>
      </c>
      <c r="AI189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{"issue":{"subject":"","project_id":79,"tracker_id":40,"status_id":1,"priority_id":2,"assigned_to_id":23,"start_date":"2016-10-09","description":"","custom_fields":[{"id":1,"name":"Subdivision","value":"NW"},{"id":4,"name":"Milepost","value":"5.8931"},{"id":17,"name":"Train ID","value":"1831-09"},{"id":16,"name":"Locomotive ID","value":"4003"},{"id":130,"name":"Impact","value":""},{"id":150,"name":"Time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594</v>
      </c>
      <c r="B190" s="7">
        <v>4004</v>
      </c>
      <c r="C190" s="24" t="s">
        <v>106</v>
      </c>
      <c r="D190" s="24" t="s">
        <v>328</v>
      </c>
      <c r="E190" s="15">
        <v>42652.901400462964</v>
      </c>
      <c r="F190" s="15">
        <v>42652.902673611112</v>
      </c>
      <c r="G190" s="7">
        <v>1</v>
      </c>
      <c r="H190" s="15" t="s">
        <v>689</v>
      </c>
      <c r="I190" s="15">
        <v>42652.913726851853</v>
      </c>
      <c r="J190" s="7">
        <v>0</v>
      </c>
      <c r="K190" s="116" t="str">
        <f t="shared" si="38"/>
        <v>4003/4004</v>
      </c>
      <c r="L190" s="24" t="str">
        <f>VLOOKUP(A190,'Trips&amp;Operators'!$C$1:$E$10000,3,FALSE)</f>
        <v>CRAYTON</v>
      </c>
      <c r="M190" s="6">
        <f t="shared" si="39"/>
        <v>1.1053240741603076E-2</v>
      </c>
      <c r="N190" s="7">
        <f t="shared" si="40"/>
        <v>15.91666666790843</v>
      </c>
      <c r="O190" s="7"/>
      <c r="P190" s="7"/>
      <c r="Q190" s="25"/>
      <c r="R190" s="25"/>
      <c r="S190" s="37">
        <f t="shared" si="41"/>
        <v>1</v>
      </c>
      <c r="T190" s="52" t="str">
        <f t="shared" si="42"/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20:38:01-0600',mode:absolute,to:'2016-10-09 22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0" s="54" t="str">
        <f t="shared" si="44"/>
        <v>N</v>
      </c>
      <c r="X190" s="163">
        <f t="shared" si="56"/>
        <v>1</v>
      </c>
      <c r="Y190" s="69">
        <f t="shared" si="46"/>
        <v>5.8609</v>
      </c>
      <c r="Z190" s="69">
        <f t="shared" si="47"/>
        <v>7.6100000000000001E-2</v>
      </c>
      <c r="AA190" s="69">
        <f t="shared" si="48"/>
        <v>5.7847999999999997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49"/>
        <v>1832-09</v>
      </c>
      <c r="AE190" s="94" t="str">
        <f t="shared" si="50"/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90" s="91" t="str">
        <f t="shared" si="51"/>
        <v>"C:\Program Files (x86)\AstroGrep\AstroGrep.exe" /spath="%USERPROFILE%\AppData\Local\Temp\OnboardLogs" /stypes="app*4004*20161010*" /stext=" 03:.+((SYSTEM_STATE.+slice.+state.+changed )|(ment ac)|(system.+state.+changed )|(\[timeout)|(PRM\|1\|D)|(kpr)|(kdp)|(\|lc)|(penalty))" /e /r /s</v>
      </c>
      <c r="AG190" s="1" t="str">
        <f t="shared" si="52"/>
        <v>NW</v>
      </c>
      <c r="AH190" s="95" t="str">
        <f t="shared" si="53"/>
        <v>"%USERPROFILE%\Documents\GitHub\eaglep3\Utilities\RefineRTDCRunTimes.py" --tripid 1832-09 --locoid 4004 --swversion DE.1.0.7.0 --startMP 300:58609 --initTime 2016-10-09T21:38:01 --startdatetime 2016-10-09T21:39:51 --delay 1 --endMP 204:761 --enddatetime 2016-10-09T21:55:46 --enforcementcount 0 &gt;&gt;C:\Users\stu\Documents\GitHub\eaglep3-reporting\EC\2016-10-09-refined-times.txt</v>
      </c>
      <c r="AI190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{"issue":{"subject":"","project_id":79,"tracker_id":40,"status_id":1,"priority_id":2,"assigned_to_id":23,"start_date":"2016-10-09","description":"","custom_fields":[{"id":1,"name":"Subdivision","value":"NW"},{"id":4,"name":"Milepost","value":"0.0761"},{"id":17,"name":"Train ID","value":"1832-09"},{"id":16,"name":"Locomotive ID","value":"4004"},{"id":130,"name":"Impact","value":""},{"id":150,"name":"Time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596</v>
      </c>
      <c r="B191" s="7">
        <v>4003</v>
      </c>
      <c r="C191" s="24" t="s">
        <v>106</v>
      </c>
      <c r="D191" s="24" t="s">
        <v>696</v>
      </c>
      <c r="E191" s="15">
        <v>42652.919259259259</v>
      </c>
      <c r="F191" s="15">
        <v>42652.93141203704</v>
      </c>
      <c r="G191" s="7">
        <v>1</v>
      </c>
      <c r="H191" s="15" t="s">
        <v>329</v>
      </c>
      <c r="I191" s="15">
        <v>42652.941678240742</v>
      </c>
      <c r="J191" s="7">
        <v>0</v>
      </c>
      <c r="K191" s="116" t="str">
        <f t="shared" si="38"/>
        <v>4003/4004</v>
      </c>
      <c r="L191" s="24" t="str">
        <f>VLOOKUP(A191,'Trips&amp;Operators'!$C$1:$E$10000,3,FALSE)</f>
        <v>CRAYTON</v>
      </c>
      <c r="M191" s="6">
        <f t="shared" si="39"/>
        <v>1.0266203702485655E-2</v>
      </c>
      <c r="N191" s="7">
        <f t="shared" si="40"/>
        <v>14.783333331579342</v>
      </c>
      <c r="O191" s="7"/>
      <c r="P191" s="7"/>
      <c r="Q191" s="25"/>
      <c r="R191" s="25"/>
      <c r="S191" s="37">
        <f t="shared" si="41"/>
        <v>1</v>
      </c>
      <c r="T191" s="52" t="str">
        <f t="shared" si="42"/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21:03:44-0600',mode:absolute,to:'2016-10-09 23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1" s="54" t="str">
        <f t="shared" si="44"/>
        <v>N</v>
      </c>
      <c r="X191" s="163">
        <f t="shared" si="56"/>
        <v>1</v>
      </c>
      <c r="Y191" s="69">
        <f t="shared" si="46"/>
        <v>0.1041</v>
      </c>
      <c r="Z191" s="69">
        <f t="shared" si="47"/>
        <v>5.8920000000000003</v>
      </c>
      <c r="AA191" s="69">
        <f t="shared" si="48"/>
        <v>5.7879000000000005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49"/>
        <v>1833-09</v>
      </c>
      <c r="AE191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91" s="91" t="str">
        <f t="shared" si="51"/>
        <v>"C:\Program Files (x86)\AstroGrep\AstroGrep.exe" /spath="%USERPROFILE%\AppData\Local\Temp\OnboardLogs" /stypes="app*4003*20161010*" /stext=" 04:.+((SYSTEM_STATE.+slice.+state.+changed )|(ment ac)|(system.+state.+changed )|(\[timeout)|(PRM\|1\|D)|(kpr)|(kdp)|(\|lc)|(penalty))" /e /r /s</v>
      </c>
      <c r="AG191" s="1" t="str">
        <f t="shared" si="52"/>
        <v>NW</v>
      </c>
      <c r="AH191" s="95" t="str">
        <f t="shared" si="53"/>
        <v>"%USERPROFILE%\Documents\GitHub\eaglep3\Utilities\RefineRTDCRunTimes.py" --tripid 1833-09 --locoid 4003 --swversion DE.1.0.7.0 --startMP 204:1041 --initTime 2016-10-09T22:03:44 --startdatetime 2016-10-09T22:21:14 --delay 1 --endMP 300:58920 --enddatetime 2016-10-09T22:36:01 --enforcementcount 0 &gt;&gt;C:\Users\stu\Documents\GitHub\eaglep3-reporting\EC\2016-10-09-refined-times.txt</v>
      </c>
      <c r="AI191" s="129" t="str">
        <f t="shared" si="54"/>
        <v>echo {"issue":{"subject":"","project_id":79,"tracker_id":40,"status_id":1,"priority_id":2,"assigned_to_id":23,"start_date":"2016-10-09","description":"","custom_fields":[{"id":1,"name":"Subdivision","value":"NW"},{"id":4,"name":"Milepost","value":"5.892"},{"id":17,"name":"Train ID","value":"1833-09"},{"id":16,"name":"Locomotive ID","value":"4003"},{"id":130,"name":"Impact","value":""},{"id":150,"name":"Time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400</v>
      </c>
      <c r="B192" s="7">
        <v>4008</v>
      </c>
      <c r="C192" s="24" t="s">
        <v>106</v>
      </c>
      <c r="D192" s="24" t="s">
        <v>717</v>
      </c>
      <c r="E192" s="15">
        <v>42652.117384259262</v>
      </c>
      <c r="F192" s="15">
        <v>42652.118657407409</v>
      </c>
      <c r="G192" s="7">
        <v>1</v>
      </c>
      <c r="H192" s="15" t="s">
        <v>186</v>
      </c>
      <c r="I192" s="15">
        <v>42652.125439814816</v>
      </c>
      <c r="J192" s="7">
        <v>0</v>
      </c>
      <c r="K192" s="116" t="str">
        <f t="shared" si="38"/>
        <v>4007/4008</v>
      </c>
      <c r="L192" s="24" t="str">
        <f>VLOOKUP(A192,'Trips&amp;Operators'!$C$1:$E$10000,3,FALSE)</f>
        <v>KILLION</v>
      </c>
      <c r="M192" s="6">
        <f t="shared" si="39"/>
        <v>6.7824074067175388E-3</v>
      </c>
      <c r="N192" s="7">
        <f t="shared" si="40"/>
        <v>9.7666666656732559</v>
      </c>
      <c r="O192" s="7"/>
      <c r="P192" s="7"/>
      <c r="Q192" s="25"/>
      <c r="R192" s="25"/>
      <c r="S192" s="37">
        <f t="shared" si="41"/>
        <v>1</v>
      </c>
      <c r="T192" s="52" t="str">
        <f t="shared" si="42"/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01:49:02-0600',mode:absolute,to:'2016-10-09 04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2" s="54" t="str">
        <f t="shared" si="44"/>
        <v>Y</v>
      </c>
      <c r="X192" s="163">
        <f t="shared" si="56"/>
        <v>-1531</v>
      </c>
      <c r="Y192" s="69">
        <f t="shared" si="46"/>
        <v>2.3108</v>
      </c>
      <c r="Z192" s="69">
        <f t="shared" si="47"/>
        <v>1.49E-2</v>
      </c>
      <c r="AA192" s="69">
        <f t="shared" si="48"/>
        <v>2.2959000000000001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49"/>
        <v>0302-09</v>
      </c>
      <c r="AE192" s="94" t="str">
        <f t="shared" si="50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92" s="91" t="str">
        <f t="shared" si="51"/>
        <v>"C:\Program Files (x86)\AstroGrep\AstroGrep.exe" /spath="%USERPROFILE%\AppData\Local\Temp\OnboardLogs" /stypes="app*4008*20161009*" /stext=" 09:.+((SYSTEM_STATE.+slice.+state.+changed )|(ment ac)|(system.+state.+changed )|(\[timeout)|(PRM\|1\|D)|(kpr)|(kdp)|(\|lc)|(penalty))" /e /r /s</v>
      </c>
      <c r="AG192" s="1" t="str">
        <f t="shared" si="52"/>
        <v>Other</v>
      </c>
      <c r="AH192" s="95" t="str">
        <f t="shared" si="53"/>
        <v>"%USERPROFILE%\Documents\GitHub\eaglep3\Utilities\RefineRTDCRunTimes.py" --tripid 302-09 --locoid 4008 --swversion DE.1.0.7.0 --startMP 300:23108 --initTime 2016-10-09T02:49:02 --startdatetime 2016-10-09T02:50:52 --delay 1 --endMP 204:149 --enddatetime 2016-10-09T03:00:38 --enforcementcount 0 &gt;&gt;C:\Users\stu\Documents\GitHub\eaglep3-reporting\EC\2016-10-09-refined-times.txt</v>
      </c>
      <c r="AI192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{"issue":{"subject":"","project_id":79,"tracker_id":40,"status_id":1,"priority_id":2,"assigned_to_id":23,"start_date":"2016-10-09","description":"","custom_fields":[{"id":1,"name":"Subdivision","value":"Other"},{"id":4,"name":"Milepost","value":"0.0149"},{"id":17,"name":"Train ID","value":"302-09"},{"id":16,"name":"Locomotive ID","value":"4008"},{"id":130,"name":"Impact","value":""},{"id":150,"name":"Time of Event (Mountain Time)","value":"03:00:38"},{"id":151,"name":"Denver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570</v>
      </c>
      <c r="B193" s="7">
        <v>4020</v>
      </c>
      <c r="C193" s="24" t="s">
        <v>106</v>
      </c>
      <c r="D193" s="24" t="s">
        <v>395</v>
      </c>
      <c r="E193" s="15">
        <v>42652.804872685185</v>
      </c>
      <c r="F193" s="15">
        <v>42652.806226851855</v>
      </c>
      <c r="G193" s="7">
        <v>1</v>
      </c>
      <c r="H193" s="15" t="s">
        <v>718</v>
      </c>
      <c r="I193" s="15">
        <v>42652.81391203704</v>
      </c>
      <c r="J193" s="7">
        <v>0</v>
      </c>
      <c r="K193" s="116" t="str">
        <f t="shared" si="38"/>
        <v>4019/4020</v>
      </c>
      <c r="L193" s="24" t="str">
        <f>VLOOKUP(A193,'Trips&amp;Operators'!$C$1:$E$10000,3,FALSE)</f>
        <v>YOUNG</v>
      </c>
      <c r="M193" s="6">
        <f t="shared" si="39"/>
        <v>7.6851851845276542E-3</v>
      </c>
      <c r="N193" s="7">
        <f t="shared" si="40"/>
        <v>11.066666665719822</v>
      </c>
      <c r="O193" s="7"/>
      <c r="P193" s="7"/>
      <c r="Q193" s="25"/>
      <c r="R193" s="25"/>
      <c r="S193" s="37">
        <f t="shared" si="41"/>
        <v>1</v>
      </c>
      <c r="T193" s="52" t="str">
        <f t="shared" si="42"/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18:19:01-0600',mode:absolute,to:'2016-10-09 20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3" s="54" t="str">
        <f t="shared" si="44"/>
        <v>Y</v>
      </c>
      <c r="X193" s="163">
        <f t="shared" ref="X193:X226" si="59">VALUE(LEFT(AD193,4))-VALUE(LEFT(AD192,4))</f>
        <v>3</v>
      </c>
      <c r="Y193" s="69">
        <f t="shared" si="46"/>
        <v>0.11899999999999999</v>
      </c>
      <c r="Z193" s="69">
        <f t="shared" si="47"/>
        <v>2.4209999999999998</v>
      </c>
      <c r="AA193" s="69">
        <f t="shared" si="48"/>
        <v>2.3019999999999996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49"/>
        <v>0305-09</v>
      </c>
      <c r="AE193" s="94" t="str">
        <f t="shared" si="50"/>
        <v>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 &amp; aws s3 cp s3://rtdc.mdm.uploadarchive.raw/RTDC4020/ "%USERPROFILE%\AppData\Local\Temp\OnboardLogs"\RTDC4020\2016-10-10 --exclude "*" --recursive --include "*20161010*" &amp; "%USERPROFILE%\Documents\GitHub\mrs-test-scripts\Headless Mode &amp; Sideloading\WalkAndUnGZ.bat" "%USERPROFILE%\AppData\Local\Temp\OnboardLogs"\RTDC4020\2016-10-10</v>
      </c>
      <c r="AF193" s="91" t="str">
        <f t="shared" si="51"/>
        <v>"C:\Program Files (x86)\AstroGrep\AstroGrep.exe" /spath="%USERPROFILE%\AppData\Local\Temp\OnboardLogs" /stypes="app*4020*20161010*" /stext=" 01:.+((SYSTEM_STATE.+slice.+state.+changed )|(ment ac)|(system.+state.+changed )|(\[timeout)|(PRM\|1\|D)|(kpr)|(kdp)|(\|lc)|(penalty))" /e /r /s</v>
      </c>
      <c r="AG193" s="1" t="str">
        <f t="shared" si="52"/>
        <v>Other</v>
      </c>
      <c r="AH193" s="95" t="str">
        <f t="shared" si="53"/>
        <v>"%USERPROFILE%\Documents\GitHub\eaglep3\Utilities\RefineRTDCRunTimes.py" --tripid 305-09 --locoid 4020 --swversion DE.1.0.7.0 --startMP 204:1190 --initTime 2016-10-09T19:19:01 --startdatetime 2016-10-09T19:20:58 --delay 1 --endMP 300:24210 --enddatetime 2016-10-09T19:32:02 --enforcementcount 0 &gt;&gt;C:\Users\stu\Documents\GitHub\eaglep3-reporting\EC\2016-10-09-refined-times.txt</v>
      </c>
      <c r="AI193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{"issue":{"subject":"","project_id":79,"tracker_id":40,"status_id":1,"priority_id":2,"assigned_to_id":23,"start_date":"2016-10-09","description":"","custom_fields":[{"id":1,"name":"Subdivision","value":"Other"},{"id":4,"name":"Milepost","value":"2.421"},{"id":17,"name":"Train ID","value":"305-09"},{"id":16,"name":"Locomotive ID","value":"4020"},{"id":130,"name":"Impact","value":""},{"id":150,"name":"Time of Event (Mountain Time)","value":"19:32:02"},{"id":151,"name":"Denver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406</v>
      </c>
      <c r="B194" s="7">
        <v>4030</v>
      </c>
      <c r="C194" s="24" t="s">
        <v>106</v>
      </c>
      <c r="D194" s="24" t="s">
        <v>719</v>
      </c>
      <c r="E194" s="15">
        <v>42652.159155092595</v>
      </c>
      <c r="F194" s="15">
        <v>42652.160532407404</v>
      </c>
      <c r="G194" s="7">
        <v>1</v>
      </c>
      <c r="H194" s="15" t="s">
        <v>228</v>
      </c>
      <c r="I194" s="15">
        <v>42652.166562500002</v>
      </c>
      <c r="J194" s="7">
        <v>0</v>
      </c>
      <c r="K194" s="116" t="str">
        <f t="shared" si="38"/>
        <v>4029/4030</v>
      </c>
      <c r="L194" s="24" t="str">
        <f>VLOOKUP(A194,'Trips&amp;Operators'!$C$1:$E$10000,3,FALSE)</f>
        <v>MAELZER</v>
      </c>
      <c r="M194" s="6">
        <f t="shared" si="39"/>
        <v>6.030092597939074E-3</v>
      </c>
      <c r="N194" s="7">
        <f t="shared" si="40"/>
        <v>8.6833333410322666</v>
      </c>
      <c r="O194" s="7"/>
      <c r="P194" s="7"/>
      <c r="Q194" s="25"/>
      <c r="R194" s="25"/>
      <c r="S194" s="37">
        <f t="shared" si="41"/>
        <v>1</v>
      </c>
      <c r="T194" s="52" t="str">
        <f t="shared" si="42"/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02:49:11-0600',mode:absolute,to:'2016-10-09 04:59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4" t="str">
        <f t="shared" si="44"/>
        <v>Y</v>
      </c>
      <c r="X194" s="163">
        <f t="shared" si="59"/>
        <v>1</v>
      </c>
      <c r="Y194" s="69">
        <f t="shared" si="46"/>
        <v>2.3216000000000001</v>
      </c>
      <c r="Z194" s="69">
        <f t="shared" si="47"/>
        <v>1.6500000000000001E-2</v>
      </c>
      <c r="AA194" s="69">
        <f t="shared" si="48"/>
        <v>2.3050999999999999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49"/>
        <v>0306-09</v>
      </c>
      <c r="AE194" s="94" t="str">
        <f t="shared" si="50"/>
        <v>aws s3 cp s3://rtdc.mdm.uploadarchive.raw/RTDC4030/ "%USERPROFILE%\AppData\Local\Temp\OnboardLogs"\RTDC4030\2016-10-09 --exclude "*" --recursive --include "*20161009*" &amp; "%USERPROFILE%\Documents\GitHub\mrs-test-scripts\Headless Mode &amp; Sideloading\WalkAndUnGZ.bat" "%USERPROFILE%\AppData\Local\Temp\OnboardLogs"\RTDC4030\2016-10-09 &amp; 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</v>
      </c>
      <c r="AF194" s="91" t="str">
        <f t="shared" si="51"/>
        <v>"C:\Program Files (x86)\AstroGrep\AstroGrep.exe" /spath="%USERPROFILE%\AppData\Local\Temp\OnboardLogs" /stypes="app*4030*20161009*" /stext=" 09:.+((SYSTEM_STATE.+slice.+state.+changed )|(ment ac)|(system.+state.+changed )|(\[timeout)|(PRM\|1\|D)|(kpr)|(kdp)|(\|lc)|(penalty))" /e /r /s</v>
      </c>
      <c r="AG194" s="1" t="str">
        <f t="shared" si="52"/>
        <v>Other</v>
      </c>
      <c r="AH194" s="95" t="str">
        <f t="shared" si="53"/>
        <v>"%USERPROFILE%\Documents\GitHub\eaglep3\Utilities\RefineRTDCRunTimes.py" --tripid 306-09 --locoid 4030 --swversion DE.1.0.7.0 --startMP 300:23216 --initTime 2016-10-09T03:49:11 --startdatetime 2016-10-09T03:51:10 --delay 1 --endMP 204:165 --enddatetime 2016-10-09T03:59:51 --enforcementcount 0 &gt;&gt;C:\Users\stu\Documents\GitHub\eaglep3-reporting\EC\2016-10-09-refined-times.txt</v>
      </c>
      <c r="AI194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{"issue":{"subject":"","project_id":79,"tracker_id":40,"status_id":1,"priority_id":2,"assigned_to_id":23,"start_date":"2016-10-09","description":"","custom_fields":[{"id":1,"name":"Subdivision","value":"Other"},{"id":4,"name":"Milepost","value":"0.0165"},{"id":17,"name":"Train ID","value":"306-09"},{"id":16,"name":"Locomotive ID","value":"4030"},{"id":130,"name":"Impact","value":""},{"id":150,"name":"Time of Event (Mountain Time)","value":"03:59:51"},{"id":151,"name":"Denver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409</v>
      </c>
      <c r="B195" s="7">
        <v>4028</v>
      </c>
      <c r="C195" s="24" t="s">
        <v>106</v>
      </c>
      <c r="D195" s="24" t="s">
        <v>720</v>
      </c>
      <c r="E195" s="15">
        <v>42652.173321759263</v>
      </c>
      <c r="F195" s="15">
        <v>42652.175000000003</v>
      </c>
      <c r="G195" s="7">
        <v>1</v>
      </c>
      <c r="H195" s="15" t="s">
        <v>193</v>
      </c>
      <c r="I195" s="15">
        <v>42652.181342592594</v>
      </c>
      <c r="J195" s="7">
        <v>0</v>
      </c>
      <c r="K195" s="116" t="str">
        <f t="shared" si="38"/>
        <v>4027/4028</v>
      </c>
      <c r="L195" s="24" t="str">
        <f>VLOOKUP(A195,'Trips&amp;Operators'!$C$1:$E$10000,3,FALSE)</f>
        <v>DAVIS</v>
      </c>
      <c r="M195" s="6">
        <f t="shared" si="39"/>
        <v>6.3425925909541547E-3</v>
      </c>
      <c r="N195" s="7">
        <f t="shared" si="40"/>
        <v>9.1333333309739828</v>
      </c>
      <c r="O195" s="7"/>
      <c r="P195" s="7"/>
      <c r="Q195" s="25"/>
      <c r="R195" s="25"/>
      <c r="S195" s="37">
        <f t="shared" si="41"/>
        <v>1</v>
      </c>
      <c r="T195" s="52" t="str">
        <f t="shared" si="42"/>
        <v>Southbound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03:09:35-0600',mode:absolute,to:'2016-10-09 05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5" s="54" t="str">
        <f t="shared" si="44"/>
        <v>Y</v>
      </c>
      <c r="X195" s="163">
        <f t="shared" si="59"/>
        <v>2</v>
      </c>
      <c r="Y195" s="69">
        <f t="shared" si="46"/>
        <v>2.3403999999999998</v>
      </c>
      <c r="Z195" s="69">
        <f t="shared" si="47"/>
        <v>1.52E-2</v>
      </c>
      <c r="AA195" s="69">
        <f t="shared" si="48"/>
        <v>2.3251999999999997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49"/>
        <v>0308-09</v>
      </c>
      <c r="AE195" s="94" t="str">
        <f t="shared" si="50"/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95" s="91" t="str">
        <f t="shared" si="51"/>
        <v>"C:\Program Files (x86)\AstroGrep\AstroGrep.exe" /spath="%USERPROFILE%\AppData\Local\Temp\OnboardLogs" /stypes="app*4028*20161009*" /stext=" 10:.+((SYSTEM_STATE.+slice.+state.+changed )|(ment ac)|(system.+state.+changed )|(\[timeout)|(PRM\|1\|D)|(kpr)|(kdp)|(\|lc)|(penalty))" /e /r /s</v>
      </c>
      <c r="AG195" s="1" t="str">
        <f t="shared" si="52"/>
        <v>Other</v>
      </c>
      <c r="AH195" s="95" t="str">
        <f t="shared" si="53"/>
        <v>"%USERPROFILE%\Documents\GitHub\eaglep3\Utilities\RefineRTDCRunTimes.py" --tripid 308-09 --locoid 4028 --swversion DE.1.0.7.0 --startMP 300:23404 --initTime 2016-10-09T04:09:35 --startdatetime 2016-10-09T04:12:00 --delay 1 --endMP 204:152 --enddatetime 2016-10-09T04:21:08 --enforcementcount 0 &gt;&gt;C:\Users\stu\Documents\GitHub\eaglep3-reporting\EC\2016-10-09-refined-times.txt</v>
      </c>
      <c r="AI195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{"issue":{"subject":"","project_id":79,"tracker_id":40,"status_id":1,"priority_id":2,"assigned_to_id":23,"start_date":"2016-10-09","description":"","custom_fields":[{"id":1,"name":"Subdivision","value":"Other"},{"id":4,"name":"Milepost","value":"0.0152"},{"id":17,"name":"Train ID","value":"308-09"},{"id":16,"name":"Locomotive ID","value":"4028"},{"id":130,"name":"Impact","value":""},{"id":150,"name":"Time of Event (Mountain Time)","value":"04:21:08"},{"id":151,"name":"Denver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610</v>
      </c>
      <c r="B196" s="7">
        <v>4002</v>
      </c>
      <c r="C196" s="24" t="s">
        <v>106</v>
      </c>
      <c r="D196" s="24" t="s">
        <v>721</v>
      </c>
      <c r="E196" s="15">
        <v>42653.028611111113</v>
      </c>
      <c r="F196" s="15">
        <v>42653.030266203707</v>
      </c>
      <c r="G196" s="7">
        <v>1</v>
      </c>
      <c r="H196" s="15" t="s">
        <v>722</v>
      </c>
      <c r="I196" s="15">
        <v>42653.036076388889</v>
      </c>
      <c r="J196" s="7">
        <v>0</v>
      </c>
      <c r="K196" s="116" t="str">
        <f t="shared" si="38"/>
        <v>4001/4002</v>
      </c>
      <c r="L196" s="24" t="str">
        <f>VLOOKUP(A196,'Trips&amp;Operators'!$C$1:$E$10000,3,FALSE)</f>
        <v>LEVERE</v>
      </c>
      <c r="M196" s="6">
        <f t="shared" si="39"/>
        <v>5.8101851827814244E-3</v>
      </c>
      <c r="N196" s="7">
        <f t="shared" si="40"/>
        <v>8.3666666632052511</v>
      </c>
      <c r="O196" s="7"/>
      <c r="P196" s="7"/>
      <c r="Q196" s="25"/>
      <c r="R196" s="25"/>
      <c r="S196" s="37">
        <f t="shared" si="41"/>
        <v>1</v>
      </c>
      <c r="T196" s="52" t="str">
        <f t="shared" si="42"/>
        <v>NorthBound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23:41:12-0600',mode:absolute,to:'2016-10-10 01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6" s="54" t="str">
        <f t="shared" si="44"/>
        <v>Y</v>
      </c>
      <c r="X196" s="163">
        <f t="shared" si="59"/>
        <v>1</v>
      </c>
      <c r="Y196" s="69">
        <f t="shared" si="46"/>
        <v>4.0599999999999997E-2</v>
      </c>
      <c r="Z196" s="69">
        <f t="shared" si="47"/>
        <v>2.2837000000000001</v>
      </c>
      <c r="AA196" s="69">
        <f t="shared" si="48"/>
        <v>2.2431000000000001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49"/>
        <v>0309-09</v>
      </c>
      <c r="AE196" s="94" t="str">
        <f t="shared" si="50"/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96" s="91" t="str">
        <f t="shared" si="51"/>
        <v>"C:\Program Files (x86)\AstroGrep\AstroGrep.exe" /spath="%USERPROFILE%\AppData\Local\Temp\OnboardLogs" /stypes="app*4002*20161010*" /stext=" 06:.+((SYSTEM_STATE.+slice.+state.+changed )|(ment ac)|(system.+state.+changed )|(\[timeout)|(PRM\|1\|D)|(kpr)|(kdp)|(\|lc)|(penalty))" /e /r /s</v>
      </c>
      <c r="AG196" s="1" t="str">
        <f t="shared" si="52"/>
        <v>Other</v>
      </c>
      <c r="AH196" s="95" t="str">
        <f t="shared" si="53"/>
        <v>"%USERPROFILE%\Documents\GitHub\eaglep3\Utilities\RefineRTDCRunTimes.py" --tripid 309-09 --locoid 4002 --swversion DE.1.0.7.0 --startMP 204:406 --initTime 2016-10-10T00:41:12 --startdatetime 2016-10-10T00:43:35 --delay 1 --endMP 300:22837 --enddatetime 2016-10-10T00:51:57 --enforcementcount 0 &gt;&gt;C:\Users\stu\Documents\GitHub\eaglep3-reporting\EC\2016-10-09-refined-times.txt</v>
      </c>
      <c r="AI196" s="129" t="str">
        <f t="shared" si="54"/>
        <v>echo {"issue":{"subject":"","project_id":79,"tracker_id":40,"status_id":1,"priority_id":2,"assigned_to_id":23,"start_date":"2016-10-10","description":"","custom_fields":[{"id":1,"name":"Subdivision","value":"Other"},{"id":4,"name":"Milepost","value":"2.2837"},{"id":17,"name":"Train ID","value":"309-09"},{"id":16,"name":"Locomotive ID","value":"4002"},{"id":130,"name":"Impact","value":""},{"id":150,"name":"Time of Event (Mountain Time)","value":"00:51:57"},{"id":151,"name":"Denver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612</v>
      </c>
      <c r="B197" s="7">
        <v>4025</v>
      </c>
      <c r="C197" s="24" t="s">
        <v>106</v>
      </c>
      <c r="D197" s="24" t="s">
        <v>723</v>
      </c>
      <c r="E197" s="15">
        <v>42653.048391203702</v>
      </c>
      <c r="F197" s="15">
        <v>25568.708333333332</v>
      </c>
      <c r="G197" s="7">
        <v>1</v>
      </c>
      <c r="H197" s="15" t="s">
        <v>724</v>
      </c>
      <c r="I197" s="15">
        <v>25568.708333333332</v>
      </c>
      <c r="J197" s="7">
        <v>0</v>
      </c>
      <c r="K197" s="116" t="str">
        <f t="shared" si="38"/>
        <v>4025/4026</v>
      </c>
      <c r="L197" s="24" t="str">
        <f>VLOOKUP(A197,'Trips&amp;Operators'!$C$1:$E$10000,3,FALSE)</f>
        <v>COOLAHAN</v>
      </c>
      <c r="M197" s="6">
        <f t="shared" si="39"/>
        <v>0</v>
      </c>
      <c r="N197" s="7">
        <f t="shared" si="40"/>
        <v>0</v>
      </c>
      <c r="O197" s="7"/>
      <c r="P197" s="7"/>
      <c r="Q197" s="25"/>
      <c r="R197" s="25"/>
      <c r="S197" s="37">
        <f t="shared" si="41"/>
        <v>1</v>
      </c>
      <c r="T197" s="52" t="str">
        <f t="shared" si="42"/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00:09:41-0600',mode:absolute,to:'1969-12-31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7" s="54" t="str">
        <f t="shared" si="44"/>
        <v>Y</v>
      </c>
      <c r="X197" s="163">
        <f t="shared" si="59"/>
        <v>2</v>
      </c>
      <c r="Y197" s="69">
        <f t="shared" si="46"/>
        <v>5.4899999999999997E-2</v>
      </c>
      <c r="Z197" s="69">
        <f t="shared" si="47"/>
        <v>2.3109000000000002</v>
      </c>
      <c r="AA197" s="69">
        <f t="shared" si="48"/>
        <v>2.2560000000000002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49"/>
        <v>0311-09</v>
      </c>
      <c r="AE197" s="94" t="str">
        <f t="shared" si="50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7" s="91" t="str">
        <f t="shared" si="51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197" s="1" t="str">
        <f t="shared" si="52"/>
        <v>Other</v>
      </c>
      <c r="AH197" s="95" t="str">
        <f t="shared" si="53"/>
        <v>"%USERPROFILE%\Documents\GitHub\eaglep3\Utilities\RefineRTDCRunTimes.py" --tripid 311-09 --locoid 4025 --swversion DE.1.0.7.0 --startMP 204:549 --initTime 2016-10-10T01:09:41 --startdatetime 1969-12-31T17:00:00 --delay 1 --endMP 300:23109 --enddatetime 1969-12-31T17:00:00 --enforcementcount 0 &gt;&gt;C:\Users\stu\Documents\GitHub\eaglep3-reporting\EC\2016-10-09-refined-times.txt</v>
      </c>
      <c r="AI197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{"issue":{"subject":"","project_id":79,"tracker_id":40,"status_id":1,"priority_id":2,"assigned_to_id":23,"start_date":"1969-12-31","description":"","custom_fields":[{"id":1,"name":"Subdivision","value":"Other"},{"id":4,"name":"Milepost","value":"2.3109"},{"id":17,"name":"Train ID","value":"311-09"},{"id":16,"name":"Locomotive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363</v>
      </c>
      <c r="B198" s="7">
        <v>4044</v>
      </c>
      <c r="C198" s="24" t="s">
        <v>106</v>
      </c>
      <c r="D198" s="24" t="s">
        <v>282</v>
      </c>
      <c r="E198" s="15">
        <v>42652.090011574073</v>
      </c>
      <c r="F198" s="15">
        <v>42652.091585648152</v>
      </c>
      <c r="G198" s="7">
        <v>2</v>
      </c>
      <c r="H198" s="15" t="s">
        <v>394</v>
      </c>
      <c r="I198" s="15">
        <v>42652.097002314818</v>
      </c>
      <c r="J198" s="7">
        <v>0</v>
      </c>
      <c r="K198" s="116" t="str">
        <f t="shared" si="38"/>
        <v>4043/4044</v>
      </c>
      <c r="L198" s="24" t="str">
        <f>VLOOKUP(A198,'Trips&amp;Operators'!$C$1:$E$10000,3,FALSE)</f>
        <v>CHANDLER</v>
      </c>
      <c r="M198" s="6">
        <f t="shared" si="39"/>
        <v>5.4166666668606922E-3</v>
      </c>
      <c r="N198" s="7">
        <f t="shared" si="40"/>
        <v>7.8000000002793968</v>
      </c>
      <c r="O198" s="7"/>
      <c r="P198" s="7"/>
      <c r="Q198" s="25"/>
      <c r="R198" s="25"/>
      <c r="S198" s="37">
        <f t="shared" si="41"/>
        <v>1</v>
      </c>
      <c r="T198" s="52" t="str">
        <f t="shared" si="42"/>
        <v>NorthBound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01:09:37-0600',mode:absolute,to:'2016-10-09 03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8" s="54" t="str">
        <f t="shared" si="44"/>
        <v>Y</v>
      </c>
      <c r="X198" s="163">
        <f t="shared" si="59"/>
        <v>2</v>
      </c>
      <c r="Y198" s="69">
        <f t="shared" si="46"/>
        <v>4.7500000000000001E-2</v>
      </c>
      <c r="Z198" s="69">
        <f t="shared" si="47"/>
        <v>2.2252999999999998</v>
      </c>
      <c r="AA198" s="69">
        <f t="shared" si="48"/>
        <v>2.1778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49"/>
        <v>0313-08</v>
      </c>
      <c r="AE198" s="94" t="str">
        <f t="shared" si="50"/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198" s="91" t="str">
        <f t="shared" si="51"/>
        <v>"C:\Program Files (x86)\AstroGrep\AstroGrep.exe" /spath="%USERPROFILE%\AppData\Local\Temp\OnboardLogs" /stypes="app*4044*20161009*" /stext=" 08:.+((SYSTEM_STATE.+slice.+state.+changed )|(ment ac)|(system.+state.+changed )|(\[timeout)|(PRM\|1\|D)|(kpr)|(kdp)|(\|lc)|(penalty))" /e /r /s</v>
      </c>
      <c r="AG198" s="1" t="str">
        <f t="shared" si="52"/>
        <v>Other</v>
      </c>
      <c r="AH198" s="95" t="str">
        <f t="shared" si="53"/>
        <v>"%USERPROFILE%\Documents\GitHub\eaglep3\Utilities\RefineRTDCRunTimes.py" --tripid 313-08 --locoid 4044 --swversion DE.1.0.7.0 --startMP 204:475 --initTime 2016-10-09T02:09:37 --startdatetime 2016-10-09T02:11:53 --delay 2 --endMP 300:22253 --enddatetime 2016-10-09T02:19:41 --enforcementcount 0 &gt;&gt;C:\Users\stu\Documents\GitHub\eaglep3-reporting\EC\2016-10-09-refined-times.txt</v>
      </c>
      <c r="AI198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{"issue":{"subject":"","project_id":79,"tracker_id":40,"status_id":1,"priority_id":2,"assigned_to_id":23,"start_date":"2016-10-09","description":"","custom_fields":[{"id":1,"name":"Subdivision","value":"Other"},{"id":4,"name":"Milepost","value":"2.2253"},{"id":17,"name":"Train ID","value":"313-08"},{"id":16,"name":"Locomotive ID","value":"4044"},{"id":130,"name":"Impact","value":""},{"id":150,"name":"Time of Event (Mountain Time)","value":"02:19:41"},{"id":151,"name":"Denver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614</v>
      </c>
      <c r="B199" s="7">
        <v>4014</v>
      </c>
      <c r="C199" s="24" t="s">
        <v>106</v>
      </c>
      <c r="D199" s="24" t="s">
        <v>383</v>
      </c>
      <c r="E199" s="15">
        <v>42653.070486111108</v>
      </c>
      <c r="F199" s="15">
        <v>25568.708333333332</v>
      </c>
      <c r="G199" s="7">
        <v>1</v>
      </c>
      <c r="H199" s="15" t="s">
        <v>725</v>
      </c>
      <c r="I199" s="15">
        <v>25568.708333333332</v>
      </c>
      <c r="J199" s="7">
        <v>0</v>
      </c>
      <c r="K199" s="116" t="str">
        <f t="shared" si="38"/>
        <v>4013/4014</v>
      </c>
      <c r="L199" s="24" t="str">
        <f>VLOOKUP(A199,'Trips&amp;Operators'!$C$1:$E$10000,3,FALSE)</f>
        <v>NEWELL</v>
      </c>
      <c r="M199" s="6">
        <f t="shared" si="39"/>
        <v>0</v>
      </c>
      <c r="N199" s="7">
        <f t="shared" si="40"/>
        <v>0</v>
      </c>
      <c r="O199" s="7"/>
      <c r="P199" s="7"/>
      <c r="Q199" s="25"/>
      <c r="R199" s="25"/>
      <c r="S199" s="37">
        <f t="shared" si="41"/>
        <v>1</v>
      </c>
      <c r="T199" s="52" t="str">
        <f t="shared" si="42"/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00:41:30-0600',mode:absolute,to:'1969-12-31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9" s="54" t="str">
        <f t="shared" si="44"/>
        <v>Y</v>
      </c>
      <c r="X199" s="163">
        <f t="shared" si="59"/>
        <v>0</v>
      </c>
      <c r="Y199" s="69">
        <f t="shared" si="46"/>
        <v>4.4200000000000003E-2</v>
      </c>
      <c r="Z199" s="69">
        <f t="shared" si="47"/>
        <v>2.3311999999999999</v>
      </c>
      <c r="AA199" s="69">
        <f t="shared" si="48"/>
        <v>2.2869999999999999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49"/>
        <v>0313-09</v>
      </c>
      <c r="AE199" s="94" t="str">
        <f t="shared" si="50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199" s="91" t="str">
        <f t="shared" si="51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199" s="1" t="str">
        <f t="shared" si="52"/>
        <v>Other</v>
      </c>
      <c r="AH199" s="95" t="str">
        <f t="shared" si="53"/>
        <v>"%USERPROFILE%\Documents\GitHub\eaglep3\Utilities\RefineRTDCRunTimes.py" --tripid 313-09 --locoid 4014 --swversion DE.1.0.7.0 --startMP 204:442 --initTime 2016-10-10T01:41:30 --startdatetime 1969-12-31T17:00:00 --delay 1 --endMP 300:23312 --enddatetime 1969-12-31T17:00:00 --enforcementcount 0 &gt;&gt;C:\Users\stu\Documents\GitHub\eaglep3-reporting\EC\2016-10-09-refined-times.txt</v>
      </c>
      <c r="AI199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ID","value":"313-09"},{"id":16,"name":"Locomotive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364</v>
      </c>
      <c r="B200" s="7">
        <v>4053</v>
      </c>
      <c r="C200" s="24" t="s">
        <v>106</v>
      </c>
      <c r="D200" s="24" t="s">
        <v>257</v>
      </c>
      <c r="E200" s="15">
        <v>42652.108182870368</v>
      </c>
      <c r="F200" s="15">
        <v>25568.708333333332</v>
      </c>
      <c r="G200" s="7">
        <v>1</v>
      </c>
      <c r="H200" s="15" t="s">
        <v>291</v>
      </c>
      <c r="I200" s="15">
        <v>25568.708333333332</v>
      </c>
      <c r="J200" s="7">
        <v>0</v>
      </c>
      <c r="K200" s="116" t="str">
        <f t="shared" si="38"/>
        <v>4053/4054</v>
      </c>
      <c r="L200" s="24" t="str">
        <f>VLOOKUP(A200,'Trips&amp;Operators'!$C$1:$E$10000,3,FALSE)</f>
        <v>LEVIN</v>
      </c>
      <c r="M200" s="6">
        <f t="shared" si="39"/>
        <v>0</v>
      </c>
      <c r="N200" s="7">
        <f t="shared" si="40"/>
        <v>0</v>
      </c>
      <c r="O200" s="7"/>
      <c r="P200" s="7"/>
      <c r="Q200" s="25"/>
      <c r="R200" s="25"/>
      <c r="S200" s="37">
        <f t="shared" si="41"/>
        <v>1</v>
      </c>
      <c r="T200" s="52" t="str">
        <f t="shared" si="42"/>
        <v>NorthBound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01:35:47-0600',mode:absolute,to:'1969-12-31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4" t="str">
        <f t="shared" si="44"/>
        <v>Y</v>
      </c>
      <c r="X200" s="163">
        <f t="shared" si="59"/>
        <v>2</v>
      </c>
      <c r="Y200" s="69">
        <f t="shared" si="46"/>
        <v>4.5999999999999999E-2</v>
      </c>
      <c r="Z200" s="69">
        <f t="shared" si="47"/>
        <v>2.3308</v>
      </c>
      <c r="AA200" s="69">
        <f t="shared" si="48"/>
        <v>2.2848000000000002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49"/>
        <v>0315-08</v>
      </c>
      <c r="AE200" s="94" t="str">
        <f t="shared" si="50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0" s="91" t="str">
        <f t="shared" si="51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0" s="1" t="str">
        <f t="shared" si="52"/>
        <v>Other</v>
      </c>
      <c r="AH200" s="95" t="str">
        <f t="shared" si="53"/>
        <v>"%USERPROFILE%\Documents\GitHub\eaglep3\Utilities\RefineRTDCRunTimes.py" --tripid 315-08 --locoid 4053 --swversion DE.1.0.7.0 --startMP 204:460 --initTime 2016-10-09T02:35:47 --startdatetime 1969-12-31T17:00:00 --delay 1 --endMP 300:23308 --enddatetime 1969-12-31T17:00:00 --enforcementcount 0 &gt;&gt;C:\Users\stu\Documents\GitHub\eaglep3-reporting\EC\2016-10-09-refined-times.txt</v>
      </c>
      <c r="AI200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615</v>
      </c>
      <c r="B201" s="7">
        <v>4027</v>
      </c>
      <c r="C201" s="24" t="s">
        <v>106</v>
      </c>
      <c r="D201" s="24" t="s">
        <v>247</v>
      </c>
      <c r="E201" s="15">
        <v>42653.089583333334</v>
      </c>
      <c r="F201" s="15">
        <v>42653.091423611113</v>
      </c>
      <c r="G201" s="7">
        <v>1</v>
      </c>
      <c r="H201" s="15" t="s">
        <v>726</v>
      </c>
      <c r="I201" s="15">
        <v>42653.098807870374</v>
      </c>
      <c r="J201" s="7">
        <v>0</v>
      </c>
      <c r="K201" s="116" t="str">
        <f t="shared" si="38"/>
        <v>4027/4028</v>
      </c>
      <c r="L201" s="24" t="str">
        <f>VLOOKUP(A201,'Trips&amp;Operators'!$C$1:$E$10000,3,FALSE)</f>
        <v>CHANDLER</v>
      </c>
      <c r="M201" s="6">
        <f t="shared" si="39"/>
        <v>7.3842592610162683E-3</v>
      </c>
      <c r="N201" s="7">
        <f t="shared" si="40"/>
        <v>10.633333335863426</v>
      </c>
      <c r="O201" s="7"/>
      <c r="P201" s="7"/>
      <c r="Q201" s="25"/>
      <c r="R201" s="25"/>
      <c r="S201" s="37">
        <f t="shared" si="41"/>
        <v>1</v>
      </c>
      <c r="T201" s="52" t="str">
        <f t="shared" si="42"/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https://search-rtdc-monitor-bjffxe2xuh6vdkpspy63sjmuny.us-east-1.es.amazonaws.com/_plugin/kibana/#/discover/Steve-Slow-Train-Analysis-(2080s-and-2083s)?_g=(refreshInterval:(display:Off,section:0,value:0),time:(from:'2016-10-10 01:09:00-0600',mode:absolute,to:'2016-10-10 03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1" s="54" t="str">
        <f t="shared" si="44"/>
        <v>Y</v>
      </c>
      <c r="X201" s="163">
        <f t="shared" si="59"/>
        <v>0</v>
      </c>
      <c r="Y201" s="69">
        <f t="shared" si="46"/>
        <v>4.4600000000000001E-2</v>
      </c>
      <c r="Z201" s="69">
        <f t="shared" si="47"/>
        <v>2.3315999999999999</v>
      </c>
      <c r="AA201" s="69">
        <f t="shared" si="48"/>
        <v>2.2869999999999999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49"/>
        <v>0315-09</v>
      </c>
      <c r="AE201" s="94" t="str">
        <f t="shared" si="50"/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201" s="91" t="str">
        <f t="shared" si="51"/>
        <v>"C:\Program Files (x86)\AstroGrep\AstroGrep.exe" /spath="%USERPROFILE%\AppData\Local\Temp\OnboardLogs" /stypes="app*4027*20161010*" /stext=" 08:.+((SYSTEM_STATE.+slice.+state.+changed )|(ment ac)|(system.+state.+changed )|(\[timeout)|(PRM\|1\|D)|(kpr)|(kdp)|(\|lc)|(penalty))" /e /r /s</v>
      </c>
      <c r="AG201" s="1" t="str">
        <f t="shared" si="52"/>
        <v>Other</v>
      </c>
      <c r="AH201" s="95" t="str">
        <f t="shared" si="53"/>
        <v>"%USERPROFILE%\Documents\GitHub\eaglep3\Utilities\RefineRTDCRunTimes.py" --tripid 315-09 --locoid 4027 --swversion DE.1.0.7.0 --startMP 204:446 --initTime 2016-10-10T02:09:00 --startdatetime 2016-10-10T02:11:39 --delay 1 --endMP 300:23316 --enddatetime 2016-10-10T02:22:17 --enforcementcount 0 &gt;&gt;C:\Users\stu\Documents\GitHub\eaglep3-reporting\EC\2016-10-09-refined-times.txt</v>
      </c>
      <c r="AI201" s="129" t="str">
        <f t="shared" si="54"/>
        <v>echo {"issue":{"subject":"","project_id":79,"tracker_id":40,"status_id":1,"priority_id":2,"assigned_to_id":23,"start_date":"2016-10-10","description":"","custom_fields":[{"id":1,"name":"Subdivision","value":"Other"},{"id":4,"name":"Milepost","value":"2.3316"},{"id":17,"name":"Train ID","value":"315-09"},{"id":16,"name":"Locomotive ID","value":"4027"},{"id":130,"name":"Impact","value":""},{"id":150,"name":"Time of Event (Mountain Time)","value":"02:22:17"},{"id":151,"name":"Denver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418</v>
      </c>
      <c r="B202" s="7">
        <v>4003</v>
      </c>
      <c r="C202" s="24" t="s">
        <v>106</v>
      </c>
      <c r="D202" s="24" t="s">
        <v>697</v>
      </c>
      <c r="E202" s="15">
        <v>42652.224722222221</v>
      </c>
      <c r="F202" s="15">
        <v>42652.226469907408</v>
      </c>
      <c r="G202" s="7">
        <v>1</v>
      </c>
      <c r="H202" s="15" t="s">
        <v>698</v>
      </c>
      <c r="I202" s="15">
        <v>42652.233240740738</v>
      </c>
      <c r="J202" s="7">
        <v>0</v>
      </c>
      <c r="K202" s="116" t="str">
        <f t="shared" si="38"/>
        <v>4003/4004</v>
      </c>
      <c r="L202" s="24" t="str">
        <f>VLOOKUP(A202,'Trips&amp;Operators'!$C$1:$E$10000,3,FALSE)</f>
        <v>ROBINSON</v>
      </c>
      <c r="M202" s="6">
        <f t="shared" si="39"/>
        <v>6.7708333299378864E-3</v>
      </c>
      <c r="N202" s="7">
        <f t="shared" si="40"/>
        <v>9.7499999951105565</v>
      </c>
      <c r="O202" s="7"/>
      <c r="P202" s="7"/>
      <c r="Q202" s="25"/>
      <c r="R202" s="25"/>
      <c r="S202" s="37">
        <f t="shared" si="41"/>
        <v>0</v>
      </c>
      <c r="T202" s="52" t="str">
        <f t="shared" si="42"/>
        <v>NorthBound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04:23:36-0600',mode:absolute,to:'2016-10-09 06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4" t="str">
        <f t="shared" si="44"/>
        <v>Y</v>
      </c>
      <c r="X202" s="163">
        <f t="shared" si="59"/>
        <v>1586</v>
      </c>
      <c r="Y202" s="69">
        <f t="shared" si="46"/>
        <v>2.9331</v>
      </c>
      <c r="Z202" s="69">
        <f t="shared" si="47"/>
        <v>5.9005000000000001</v>
      </c>
      <c r="AA202" s="69">
        <f t="shared" si="48"/>
        <v>2.9674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49"/>
        <v>1901-09</v>
      </c>
      <c r="AE202" s="94" t="str">
        <f t="shared" si="50"/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202" s="91" t="str">
        <f t="shared" si="51"/>
        <v>"C:\Program Files (x86)\AstroGrep\AstroGrep.exe" /spath="%USERPROFILE%\AppData\Local\Temp\OnboardLogs" /stypes="app*4003*20161009*" /stext=" 11:.+((SYSTEM_STATE.+slice.+state.+changed )|(ment ac)|(system.+state.+changed )|(\[timeout)|(PRM\|1\|D)|(kpr)|(kdp)|(\|lc)|(penalty))" /e /r /s</v>
      </c>
      <c r="AG202" s="1" t="str">
        <f t="shared" si="52"/>
        <v>Other</v>
      </c>
      <c r="AH202" s="95" t="str">
        <f t="shared" si="53"/>
        <v>"%USERPROFILE%\Documents\GitHub\eaglep3\Utilities\RefineRTDCRunTimes.py" --tripid 1901-09 --locoid 4003 --swversion DE.1.0.7.0 --startMP 300:29331 --initTime 2016-10-09T05:23:36 --startdatetime 2016-10-09T05:26:07 --delay 1 --endMP 300:59005 --enddatetime 2016-10-09T05:35:52 --enforcementcount 0 &gt;&gt;C:\Users\stu\Documents\GitHub\eaglep3-reporting\EC\2016-10-09-refined-times.txt</v>
      </c>
      <c r="AI202" s="129" t="str">
        <f t="shared" si="54"/>
        <v>echo {"issue":{"subject":"","project_id":79,"tracker_id":40,"status_id":1,"priority_id":2,"assigned_to_id":23,"start_date":"2016-10-09","description":"","custom_fields":[{"id":1,"name":"Subdivision","value":"Other"},{"id":4,"name":"Milepost","value":"5.9005"},{"id":17,"name":"Train ID","value":"1901-09"},{"id":16,"name":"Locomotive ID","value":"4003"},{"id":130,"name":"Impact","value":""},{"id":150,"name":"Time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599</v>
      </c>
      <c r="B203" s="7">
        <v>4004</v>
      </c>
      <c r="C203" s="24" t="s">
        <v>106</v>
      </c>
      <c r="D203" s="24" t="s">
        <v>330</v>
      </c>
      <c r="E203" s="15">
        <v>42652.943449074075</v>
      </c>
      <c r="F203" s="15">
        <v>25568.708333333332</v>
      </c>
      <c r="G203" s="7">
        <v>1</v>
      </c>
      <c r="H203" s="15" t="s">
        <v>699</v>
      </c>
      <c r="I203" s="15">
        <v>25568.708333333332</v>
      </c>
      <c r="J203" s="7">
        <v>0</v>
      </c>
      <c r="K203" s="116" t="str">
        <f t="shared" si="38"/>
        <v>4003/4004</v>
      </c>
      <c r="L203" s="24" t="str">
        <f>VLOOKUP(A203,'Trips&amp;Operators'!$C$1:$E$10000,3,FALSE)</f>
        <v>CRAYTON</v>
      </c>
      <c r="M203" s="6">
        <f t="shared" si="39"/>
        <v>0</v>
      </c>
      <c r="N203" s="7">
        <f t="shared" si="40"/>
        <v>0</v>
      </c>
      <c r="O203" s="7"/>
      <c r="P203" s="7"/>
      <c r="Q203" s="25"/>
      <c r="R203" s="25"/>
      <c r="S203" s="37">
        <f t="shared" si="41"/>
        <v>0</v>
      </c>
      <c r="T203" s="52" t="str">
        <f t="shared" si="42"/>
        <v>Southbound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1" t="str">
        <f t="shared" si="43"/>
        <v>https://search-rtdc-monitor-bjffxe2xuh6vdkpspy63sjmuny.us-east-1.es.amazonaws.com/_plugin/kibana/#/discover/Steve-Slow-Train-Analysis-(2080s-and-2083s)?_g=(refreshInterval:(display:Off,section:0,value:0),time:(from:'2016-10-09 21:38:34-0600',mode:absolute,to:'1969-12-31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3" s="54" t="str">
        <f t="shared" si="44"/>
        <v>Y</v>
      </c>
      <c r="X203" s="163">
        <f t="shared" si="59"/>
        <v>1</v>
      </c>
      <c r="Y203" s="69">
        <f t="shared" si="46"/>
        <v>5.8611000000000004</v>
      </c>
      <c r="Z203" s="69">
        <f t="shared" si="47"/>
        <v>2.8791000000000002</v>
      </c>
      <c r="AA203" s="69">
        <f t="shared" si="48"/>
        <v>2.9820000000000002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49"/>
        <v>1902-09</v>
      </c>
      <c r="AE203" s="94" t="str">
        <f t="shared" si="50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03" s="91" t="str">
        <f t="shared" si="51"/>
        <v>"C:\Program Files (x86)\AstroGrep\AstroGrep.exe" /spath="%USERPROFILE%\AppData\Local\Temp\OnboardLogs" /stypes="app*4004*19691231*" /stext=" 23:.+((SYSTEM_STATE.+slice.+state.+changed )|(ment ac)|(system.+state.+changed )|(\[timeout)|(PRM\|1\|D)|(kpr)|(kdp)|(\|lc)|(penalty))" /e /r /s</v>
      </c>
      <c r="AG203" s="1" t="str">
        <f t="shared" si="52"/>
        <v>Other</v>
      </c>
      <c r="AH203" s="95" t="str">
        <f t="shared" si="53"/>
        <v>"%USERPROFILE%\Documents\GitHub\eaglep3\Utilities\RefineRTDCRunTimes.py" --tripid 1902-09 --locoid 4004 --swversion DE.1.0.7.0 --startMP 300:58611 --initTime 2016-10-09T22:38:34 --startdatetime 1969-12-31T17:00:00 --delay 1 --endMP 300:28791 --enddatetime 1969-12-31T17:00:00 --enforcementcount 0 &gt;&gt;C:\Users\stu\Documents\GitHub\eaglep3-reporting\EC\2016-10-09-refined-times.txt</v>
      </c>
      <c r="AI203" s="129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ID","value":"1902-09"},{"id":16,"name":"Locomotive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607</v>
      </c>
      <c r="B204" s="7">
        <v>4051</v>
      </c>
      <c r="C204" s="24" t="s">
        <v>258</v>
      </c>
      <c r="D204" s="24" t="s">
        <v>727</v>
      </c>
      <c r="E204" s="15">
        <v>42653.098032407404</v>
      </c>
      <c r="F204" s="15">
        <v>42653.117476851854</v>
      </c>
      <c r="G204" s="7">
        <v>1</v>
      </c>
      <c r="H204" s="15" t="s">
        <v>728</v>
      </c>
      <c r="I204" s="15">
        <v>42653.133576388886</v>
      </c>
      <c r="J204" s="7">
        <v>0</v>
      </c>
      <c r="K204" s="116" t="str">
        <f t="shared" ref="K204:K226" si="60">IF(ISEVEN(B204),(B204-1)&amp;"/"&amp;B204,B204&amp;"/"&amp;(B204+1))</f>
        <v>4051/4052</v>
      </c>
      <c r="L204" s="24" t="str">
        <f>VLOOKUP(A204,'Trips&amp;Operators'!$C$1:$E$10000,3,FALSE)</f>
        <v>GOLIGHTLY</v>
      </c>
      <c r="M204" s="6">
        <f t="shared" ref="M204:M226" si="61">I204-F204</f>
        <v>1.6099537031550426E-2</v>
      </c>
      <c r="N204" s="7">
        <f t="shared" ref="N204:N226" si="62">24*60*SUM($M204:$M204)</f>
        <v>23.183333325432613</v>
      </c>
      <c r="O204" s="7"/>
      <c r="P204" s="7"/>
      <c r="Q204" s="25"/>
      <c r="R204" s="25"/>
      <c r="S204" s="37">
        <f t="shared" ref="S204:S226" si="63">SUM(U204:U204)/IF(AG204="EC",12,1)</f>
        <v>0</v>
      </c>
      <c r="T204" s="52" t="e">
        <f t="shared" ref="T204:T226" si="64">IF(ISEVEN(LEFT(AD204,4)),"Southbound","NorthBound")</f>
        <v>#VALUE!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1" t="str">
        <f t="shared" ref="V204:V226" si="65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https://search-rtdc-monitor-bjffxe2xuh6vdkpspy63sjmuny.us-east-1.es.amazonaws.com/_plugin/kibana/#/discover/Steve-Slow-Train-Analysis-(2080s-and-2083s)?_g=(refreshInterval:(display:Off,section:0,value:0),time:(from:'2016-10-10 01:21:10-0600',mode:absolute,to:'2016-10-10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4" s="54" t="str">
        <f t="shared" ref="W204:W226" si="66">IF(AA204&lt;IF(AG204="EC",23,5.65),"Y","N")</f>
        <v>N</v>
      </c>
      <c r="X204" s="163" t="e">
        <f t="shared" si="59"/>
        <v>#VALUE!</v>
      </c>
      <c r="Y204" s="69">
        <f t="shared" ref="Y204:Y226" si="67">RIGHT(D204,LEN(D204)-4)/10000</f>
        <v>1.0268999999999999</v>
      </c>
      <c r="Z204" s="69">
        <f t="shared" ref="Z204:Z226" si="68">RIGHT(H204,LEN(H204)-4)/10000</f>
        <v>12.835100000000001</v>
      </c>
      <c r="AA204" s="69">
        <f t="shared" ref="AA204:AA226" si="69">ABS(Z204-Y204)</f>
        <v>11.808200000000001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ref="AD204:AD226" si="70">IF(LEN(A204)=6,"0"&amp;A204,A204)</f>
        <v>56-09</v>
      </c>
      <c r="AE204" s="94" t="str">
        <f t="shared" ref="AE204:AE226" si="71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4" s="91" t="str">
        <f t="shared" ref="AF204:AF226" si="72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/stypes="app*4051*20161010*" /stext=" 09:.+((SYSTEM_STATE.+slice.+state.+changed )|(ment ac)|(system.+state.+changed )|(\[timeout)|(PRM\|1\|D)|(kpr)|(kdp)|(\|lc)|(penalty))" /e /r /s</v>
      </c>
      <c r="AG204" s="1" t="str">
        <f t="shared" ref="AG204:AG226" si="73">IFERROR(IF(VALUE(LEFT(AD204,2))&lt;=2,"EC",IF(OR(VALUE(LEFT(AD204,2))=8,VALUE(LEFT(AD204,2))=18),"NW","Other")),"Other")</f>
        <v>Other</v>
      </c>
      <c r="AH204" s="95" t="str">
        <f t="shared" ref="AH204:AH226" si="7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56-09 --locoid 4051 --swversion DE.1.0.8.0 --startMP 204:10269 --initTime 2016-10-10T02:21:10 --startdatetime 2016-10-10T02:49:10 --delay 1 --endMP 204:128351 --enddatetime 2016-10-10T03:12:21 --enforcementcount 0 &gt;&gt;C:\Users\stu\Documents\GitHub\eaglep3-reporting\EC\2016-10-09-refined-times.txt</v>
      </c>
      <c r="AI204" s="129" t="str">
        <f t="shared" ref="AI204:AI226" si="7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{"issue":{"subject":"","project_id":79,"tracker_id":40,"status_id":1,"priority_id":2,"assigned_to_id":23,"start_date":"2016-10-10","description":"","custom_fields":[{"id":1,"name":"Subdivision","value":"Other"},{"id":4,"name":"Milepost","value":"12.8351"},{"id":17,"name":"Train ID","value":"56-09"},{"id":16,"name":"Locomotive ID","value":"4051"},{"id":130,"name":"Impact","value":""},{"id":150,"name":"Time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607</v>
      </c>
      <c r="B205" s="7">
        <v>4051</v>
      </c>
      <c r="C205" s="24" t="s">
        <v>258</v>
      </c>
      <c r="D205" s="24" t="s">
        <v>729</v>
      </c>
      <c r="E205" s="15">
        <v>42653.071192129632</v>
      </c>
      <c r="F205" s="15">
        <v>42653.099363425928</v>
      </c>
      <c r="G205" s="7">
        <v>1</v>
      </c>
      <c r="H205" s="15" t="s">
        <v>730</v>
      </c>
      <c r="I205" s="15">
        <v>42653.113877314812</v>
      </c>
      <c r="J205" s="7">
        <v>0</v>
      </c>
      <c r="K205" s="116" t="str">
        <f t="shared" si="60"/>
        <v>4051/4052</v>
      </c>
      <c r="L205" s="24" t="str">
        <f>VLOOKUP(A205,'Trips&amp;Operators'!$C$1:$E$10000,3,FALSE)</f>
        <v>GOLIGHTLY</v>
      </c>
      <c r="M205" s="6">
        <f t="shared" si="61"/>
        <v>1.4513888883811887E-2</v>
      </c>
      <c r="N205" s="7">
        <f t="shared" si="62"/>
        <v>20.899999992689118</v>
      </c>
      <c r="O205" s="7"/>
      <c r="P205" s="7"/>
      <c r="Q205" s="25"/>
      <c r="R205" s="25"/>
      <c r="S205" s="37">
        <f t="shared" si="63"/>
        <v>0</v>
      </c>
      <c r="T205" s="52" t="e">
        <f t="shared" si="64"/>
        <v>#VALUE!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https://search-rtdc-monitor-bjffxe2xuh6vdkpspy63sjmuny.us-east-1.es.amazonaws.com/_plugin/kibana/#/discover/Steve-Slow-Train-Analysis-(2080s-and-2083s)?_g=(refreshInterval:(display:Off,section:0,value:0),time:(from:'2016-10-10 00:42:31-0600',mode:absolute,to:'2016-10-10 03:43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5" s="54" t="str">
        <f t="shared" si="66"/>
        <v>N</v>
      </c>
      <c r="X205" s="163" t="e">
        <f t="shared" si="59"/>
        <v>#VALUE!</v>
      </c>
      <c r="Y205" s="69">
        <f t="shared" si="67"/>
        <v>1.0407</v>
      </c>
      <c r="Z205" s="69">
        <f t="shared" si="68"/>
        <v>12.8346</v>
      </c>
      <c r="AA205" s="69">
        <f t="shared" si="69"/>
        <v>11.793900000000001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70"/>
        <v>56-09</v>
      </c>
      <c r="AE205" s="94" t="str">
        <f t="shared" si="7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5" s="91" t="str">
        <f t="shared" si="72"/>
        <v>"C:\Program Files (x86)\AstroGrep\AstroGrep.exe" /spath="%USERPROFILE%\AppData\Local\Temp\OnboardLogs" /stypes="app*4051*20161010*" /stext=" 08:.+((SYSTEM_STATE.+slice.+state.+changed )|(ment ac)|(system.+state.+changed )|(\[timeout)|(PRM\|1\|D)|(kpr)|(kdp)|(\|lc)|(penalty))" /e /r /s</v>
      </c>
      <c r="AG205" s="1" t="str">
        <f t="shared" si="73"/>
        <v>Other</v>
      </c>
      <c r="AH205" s="95" t="str">
        <f t="shared" si="74"/>
        <v>"%USERPROFILE%\Documents\GitHub\eaglep3\Utilities\RefineRTDCRunTimes.py" --tripid 56-09 --locoid 4051 --swversion DE.1.0.8.0 --startMP 204:10407 --initTime 2016-10-10T01:42:31 --startdatetime 2016-10-10T02:23:05 --delay 1 --endMP 204:128346 --enddatetime 2016-10-10T02:43:59 --enforcementcount 0 &gt;&gt;C:\Users\stu\Documents\GitHub\eaglep3-reporting\EC\2016-10-09-refined-times.txt</v>
      </c>
      <c r="AI205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{"issue":{"subject":"","project_id":79,"tracker_id":40,"status_id":1,"priority_id":2,"assigned_to_id":23,"start_date":"2016-10-10","description":"","custom_fields":[{"id":1,"name":"Subdivision","value":"Other"},{"id":4,"name":"Milepost","value":"12.8346"},{"id":17,"name":"Train ID","value":"56-09"},{"id":16,"name":"Locomotive ID","value":"4051"},{"id":130,"name":"Impact","value":""},{"id":150,"name":"Time of Event (Mountain Time)","value":"02:43:59"},{"id":151,"name":"Denver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607</v>
      </c>
      <c r="B206" s="7">
        <v>4051</v>
      </c>
      <c r="C206" s="24" t="s">
        <v>258</v>
      </c>
      <c r="D206" s="24" t="s">
        <v>393</v>
      </c>
      <c r="E206" s="15">
        <v>42653.021736111114</v>
      </c>
      <c r="F206" s="15">
        <v>42653.053564814814</v>
      </c>
      <c r="G206" s="7">
        <v>1</v>
      </c>
      <c r="H206" s="15" t="s">
        <v>730</v>
      </c>
      <c r="I206" s="15">
        <v>42653.067349537036</v>
      </c>
      <c r="J206" s="7">
        <v>0</v>
      </c>
      <c r="K206" s="116" t="str">
        <f t="shared" si="60"/>
        <v>4051/4052</v>
      </c>
      <c r="L206" s="24" t="str">
        <f>VLOOKUP(A206,'Trips&amp;Operators'!$C$1:$E$10000,3,FALSE)</f>
        <v>GOLIGHTLY</v>
      </c>
      <c r="M206" s="6">
        <f t="shared" si="61"/>
        <v>1.378472222131677E-2</v>
      </c>
      <c r="N206" s="7">
        <f t="shared" si="62"/>
        <v>19.849999998696148</v>
      </c>
      <c r="O206" s="7"/>
      <c r="P206" s="7"/>
      <c r="Q206" s="25"/>
      <c r="R206" s="25"/>
      <c r="S206" s="37">
        <f t="shared" si="63"/>
        <v>0</v>
      </c>
      <c r="T206" s="52" t="e">
        <f t="shared" si="64"/>
        <v>#VALUE!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23:31:18-0600',mode:absolute,to:'2016-10-10 02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6" s="54" t="str">
        <f t="shared" si="66"/>
        <v>N</v>
      </c>
      <c r="X206" s="163" t="e">
        <f t="shared" si="59"/>
        <v>#VALUE!</v>
      </c>
      <c r="Y206" s="69">
        <f t="shared" si="67"/>
        <v>4.8399999999999999E-2</v>
      </c>
      <c r="Z206" s="69">
        <f t="shared" si="68"/>
        <v>12.8346</v>
      </c>
      <c r="AA206" s="69">
        <f t="shared" si="69"/>
        <v>12.786200000000001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0"/>
        <v>56-09</v>
      </c>
      <c r="AE206" s="94" t="str">
        <f t="shared" si="7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6" s="91" t="str">
        <f t="shared" si="72"/>
        <v>"C:\Program Files (x86)\AstroGrep\AstroGrep.exe" /spath="%USERPROFILE%\AppData\Local\Temp\OnboardLogs" /stypes="app*4051*20161010*" /stext=" 07:.+((SYSTEM_STATE.+slice.+state.+changed )|(ment ac)|(system.+state.+changed )|(\[timeout)|(PRM\|1\|D)|(kpr)|(kdp)|(\|lc)|(penalty))" /e /r /s</v>
      </c>
      <c r="AG206" s="1" t="str">
        <f t="shared" si="73"/>
        <v>Other</v>
      </c>
      <c r="AH206" s="95" t="str">
        <f t="shared" si="74"/>
        <v>"%USERPROFILE%\Documents\GitHub\eaglep3\Utilities\RefineRTDCRunTimes.py" --tripid 56-09 --locoid 4051 --swversion DE.1.0.8.0 --startMP 204:484 --initTime 2016-10-10T00:31:18 --startdatetime 2016-10-10T01:17:08 --delay 1 --endMP 204:128346 --enddatetime 2016-10-10T01:36:59 --enforcementcount 0 &gt;&gt;C:\Users\stu\Documents\GitHub\eaglep3-reporting\EC\2016-10-09-refined-times.txt</v>
      </c>
      <c r="AI206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{"issue":{"subject":"","project_id":79,"tracker_id":40,"status_id":1,"priority_id":2,"assigned_to_id":23,"start_date":"2016-10-10","description":"","custom_fields":[{"id":1,"name":"Subdivision","value":"Other"},{"id":4,"name":"Milepost","value":"12.8346"},{"id":17,"name":"Train ID","value":"56-09"},{"id":16,"name":"Locomotive ID","value":"4051"},{"id":130,"name":"Impact","value":""},{"id":150,"name":"Time of Event (Mountain Time)","value":"01:36:59"},{"id":151,"name":"Denver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607</v>
      </c>
      <c r="B207" s="7">
        <v>4051</v>
      </c>
      <c r="C207" s="24" t="s">
        <v>258</v>
      </c>
      <c r="D207" s="24" t="s">
        <v>731</v>
      </c>
      <c r="E207" s="15">
        <v>42653.016122685185</v>
      </c>
      <c r="F207" s="15">
        <v>42653.024837962963</v>
      </c>
      <c r="G207" s="7">
        <v>2</v>
      </c>
      <c r="H207" s="15" t="s">
        <v>201</v>
      </c>
      <c r="I207" s="15">
        <v>42653.046840277777</v>
      </c>
      <c r="J207" s="7">
        <v>0</v>
      </c>
      <c r="K207" s="116" t="str">
        <f t="shared" si="60"/>
        <v>4051/4052</v>
      </c>
      <c r="L207" s="24" t="str">
        <f>VLOOKUP(A207,'Trips&amp;Operators'!$C$1:$E$10000,3,FALSE)</f>
        <v>GOLIGHTLY</v>
      </c>
      <c r="M207" s="6">
        <f t="shared" si="61"/>
        <v>2.2002314814017154E-2</v>
      </c>
      <c r="N207" s="7">
        <f t="shared" si="62"/>
        <v>31.683333332184702</v>
      </c>
      <c r="O207" s="7"/>
      <c r="P207" s="7"/>
      <c r="Q207" s="25"/>
      <c r="R207" s="25"/>
      <c r="S207" s="37">
        <f t="shared" si="63"/>
        <v>0</v>
      </c>
      <c r="T207" s="52" t="e">
        <f t="shared" si="64"/>
        <v>#VALUE!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23:23:13-0600',mode:absolute,to:'2016-10-10 02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7" s="54" t="str">
        <f t="shared" si="66"/>
        <v>Y</v>
      </c>
      <c r="X207" s="163" t="e">
        <f t="shared" si="59"/>
        <v>#VALUE!</v>
      </c>
      <c r="Y207" s="69">
        <f t="shared" si="67"/>
        <v>4.8800000000000003E-2</v>
      </c>
      <c r="Z207" s="69">
        <f t="shared" si="68"/>
        <v>4.6199999999999998E-2</v>
      </c>
      <c r="AA207" s="69">
        <f t="shared" si="69"/>
        <v>2.6000000000000051E-3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0"/>
        <v>56-09</v>
      </c>
      <c r="AE207" s="94" t="str">
        <f t="shared" si="71"/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7" s="91" t="str">
        <f t="shared" si="72"/>
        <v>"C:\Program Files (x86)\AstroGrep\AstroGrep.exe" /spath="%USERPROFILE%\AppData\Local\Temp\OnboardLogs" /stypes="app*4051*20161010*" /stext=" 07:.+((SYSTEM_STATE.+slice.+state.+changed )|(ment ac)|(system.+state.+changed )|(\[timeout)|(PRM\|1\|D)|(kpr)|(kdp)|(\|lc)|(penalty))" /e /r /s</v>
      </c>
      <c r="AG207" s="1" t="str">
        <f t="shared" si="73"/>
        <v>Other</v>
      </c>
      <c r="AH207" s="95" t="str">
        <f t="shared" si="74"/>
        <v>"%USERPROFILE%\Documents\GitHub\eaglep3\Utilities\RefineRTDCRunTimes.py" --tripid 56-09 --locoid 4051 --swversion DE.1.0.8.0 --startMP 204:488 --initTime 2016-10-10T00:23:13 --startdatetime 2016-10-10T00:35:46 --delay 2 --endMP 204:462 --enddatetime 2016-10-10T01:07:27 --enforcementcount 0 &gt;&gt;C:\Users\stu\Documents\GitHub\eaglep3-reporting\EC\2016-10-09-refined-times.txt</v>
      </c>
      <c r="AI207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{"issue":{"subject":"","project_id":79,"tracker_id":40,"status_id":1,"priority_id":2,"assigned_to_id":23,"start_date":"2016-10-10","description":"","custom_fields":[{"id":1,"name":"Subdivision","value":"Other"},{"id":4,"name":"Milepost","value":"0.0462"},{"id":17,"name":"Train ID","value":"56-09"},{"id":16,"name":"Locomotive ID","value":"4051"},{"id":130,"name":"Impact","value":""},{"id":150,"name":"Time of Event (Mountain Time)","value":"01:07:27"},{"id":151,"name":"Denver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607</v>
      </c>
      <c r="B208" s="7">
        <v>4052</v>
      </c>
      <c r="C208" s="24" t="s">
        <v>258</v>
      </c>
      <c r="D208" s="24" t="s">
        <v>732</v>
      </c>
      <c r="E208" s="15">
        <v>42653.084155092591</v>
      </c>
      <c r="F208" s="15">
        <v>42653.117476851854</v>
      </c>
      <c r="G208" s="7">
        <v>1</v>
      </c>
      <c r="H208" s="15" t="s">
        <v>733</v>
      </c>
      <c r="I208" s="15">
        <v>42653.133576388886</v>
      </c>
      <c r="J208" s="7">
        <v>0</v>
      </c>
      <c r="K208" s="116" t="str">
        <f t="shared" si="60"/>
        <v>4051/4052</v>
      </c>
      <c r="L208" s="24" t="str">
        <f>VLOOKUP(A208,'Trips&amp;Operators'!$C$1:$E$10000,3,FALSE)</f>
        <v>GOLIGHTLY</v>
      </c>
      <c r="M208" s="6">
        <f t="shared" si="61"/>
        <v>1.6099537031550426E-2</v>
      </c>
      <c r="N208" s="7">
        <f t="shared" si="62"/>
        <v>23.183333325432613</v>
      </c>
      <c r="O208" s="7"/>
      <c r="P208" s="7"/>
      <c r="Q208" s="25"/>
      <c r="R208" s="25"/>
      <c r="S208" s="37">
        <f t="shared" si="63"/>
        <v>0</v>
      </c>
      <c r="T208" s="52" t="e">
        <f t="shared" si="64"/>
        <v>#VALUE!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https://search-rtdc-monitor-bjffxe2xuh6vdkpspy63sjmuny.us-east-1.es.amazonaws.com/_plugin/kibana/#/discover/Steve-Slow-Train-Analysis-(2080s-and-2083s)?_g=(refreshInterval:(display:Off,section:0,value:0),time:(from:'2016-10-10 01:01:11-0600',mode:absolute,to:'2016-10-10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8" s="54" t="str">
        <f t="shared" si="66"/>
        <v>N</v>
      </c>
      <c r="X208" s="163" t="e">
        <f t="shared" si="59"/>
        <v>#VALUE!</v>
      </c>
      <c r="Y208" s="69">
        <f t="shared" si="67"/>
        <v>12.8081</v>
      </c>
      <c r="Z208" s="69">
        <f t="shared" si="68"/>
        <v>1.0036</v>
      </c>
      <c r="AA208" s="69">
        <f t="shared" si="69"/>
        <v>11.804499999999999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0"/>
        <v>56-09</v>
      </c>
      <c r="AE208" s="94" t="str">
        <f t="shared" si="71"/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08" s="91" t="str">
        <f t="shared" si="72"/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08" s="1" t="str">
        <f t="shared" si="73"/>
        <v>Other</v>
      </c>
      <c r="AH208" s="95" t="str">
        <f t="shared" si="74"/>
        <v>"%USERPROFILE%\Documents\GitHub\eaglep3\Utilities\RefineRTDCRunTimes.py" --tripid 56-09 --locoid 4052 --swversion DE.1.0.8.0 --startMP 204:128081 --initTime 2016-10-10T02:01:11 --startdatetime 2016-10-10T02:49:10 --delay 1 --endMP 204:10036 --enddatetime 2016-10-10T03:12:21 --enforcementcount 0 &gt;&gt;C:\Users\stu\Documents\GitHub\eaglep3-reporting\EC\2016-10-09-refined-times.txt</v>
      </c>
      <c r="AI208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{"issue":{"subject":"","project_id":79,"tracker_id":40,"status_id":1,"priority_id":2,"assigned_to_id":23,"start_date":"2016-10-10","description":"","custom_fields":[{"id":1,"name":"Subdivision","value":"Other"},{"id":4,"name":"Milepost","value":"1.0036"},{"id":17,"name":"Train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607</v>
      </c>
      <c r="B209" s="7">
        <v>4052</v>
      </c>
      <c r="C209" s="24" t="s">
        <v>258</v>
      </c>
      <c r="D209" s="24" t="s">
        <v>734</v>
      </c>
      <c r="E209" s="15">
        <v>42653.051134259258</v>
      </c>
      <c r="F209" s="15">
        <v>42653.085752314815</v>
      </c>
      <c r="G209" s="7">
        <v>1</v>
      </c>
      <c r="H209" s="15" t="s">
        <v>735</v>
      </c>
      <c r="I209" s="15">
        <v>42653.096307870372</v>
      </c>
      <c r="J209" s="7">
        <v>0</v>
      </c>
      <c r="K209" s="116" t="str">
        <f t="shared" si="60"/>
        <v>4051/4052</v>
      </c>
      <c r="L209" s="24" t="str">
        <f>VLOOKUP(A209,'Trips&amp;Operators'!$C$1:$E$10000,3,FALSE)</f>
        <v>GOLIGHTLY</v>
      </c>
      <c r="M209" s="6">
        <f t="shared" si="61"/>
        <v>1.0555555556493346E-2</v>
      </c>
      <c r="N209" s="7">
        <f t="shared" si="62"/>
        <v>15.200000001350418</v>
      </c>
      <c r="O209" s="7"/>
      <c r="P209" s="7"/>
      <c r="Q209" s="25"/>
      <c r="R209" s="25"/>
      <c r="S209" s="37">
        <f t="shared" si="63"/>
        <v>0</v>
      </c>
      <c r="T209" s="52" t="e">
        <f t="shared" si="64"/>
        <v>#VALUE!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https://search-rtdc-monitor-bjffxe2xuh6vdkpspy63sjmuny.us-east-1.es.amazonaws.com/_plugin/kibana/#/discover/Steve-Slow-Train-Analysis-(2080s-and-2083s)?_g=(refreshInterval:(display:Off,section:0,value:0),time:(from:'2016-10-10 00:13:38-0600',mode:absolute,to:'2016-10-10 03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4" t="str">
        <f t="shared" si="66"/>
        <v>N</v>
      </c>
      <c r="X209" s="163" t="e">
        <f t="shared" si="59"/>
        <v>#VALUE!</v>
      </c>
      <c r="Y209" s="69">
        <f t="shared" si="67"/>
        <v>12.808400000000001</v>
      </c>
      <c r="Z209" s="69">
        <f t="shared" si="68"/>
        <v>1.0175000000000001</v>
      </c>
      <c r="AA209" s="69">
        <f t="shared" si="69"/>
        <v>11.790900000000001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0"/>
        <v>56-09</v>
      </c>
      <c r="AE209" s="94" t="str">
        <f t="shared" si="71"/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09" s="91" t="str">
        <f t="shared" si="72"/>
        <v>"C:\Program Files (x86)\AstroGrep\AstroGrep.exe" /spath="%USERPROFILE%\AppData\Local\Temp\OnboardLogs" /stypes="app*4052*20161010*" /stext=" 08:.+((SYSTEM_STATE.+slice.+state.+changed )|(ment ac)|(system.+state.+changed )|(\[timeout)|(PRM\|1\|D)|(kpr)|(kdp)|(\|lc)|(penalty))" /e /r /s</v>
      </c>
      <c r="AG209" s="1" t="str">
        <f t="shared" si="73"/>
        <v>Other</v>
      </c>
      <c r="AH209" s="95" t="str">
        <f t="shared" si="74"/>
        <v>"%USERPROFILE%\Documents\GitHub\eaglep3\Utilities\RefineRTDCRunTimes.py" --tripid 56-09 --locoid 4052 --swversion DE.1.0.8.0 --startMP 204:128084 --initTime 2016-10-10T01:13:38 --startdatetime 2016-10-10T02:03:29 --delay 1 --endMP 204:10175 --enddatetime 2016-10-10T02:18:41 --enforcementcount 0 &gt;&gt;C:\Users\stu\Documents\GitHub\eaglep3-reporting\EC\2016-10-09-refined-times.txt</v>
      </c>
      <c r="AI209" s="129" t="str">
        <f t="shared" si="75"/>
        <v>echo {"issue":{"subject":"","project_id":79,"tracker_id":40,"status_id":1,"priority_id":2,"assigned_to_id":23,"start_date":"2016-10-10","description":"","custom_fields":[{"id":1,"name":"Subdivision","value":"Other"},{"id":4,"name":"Milepost","value":"1.0175"},{"id":17,"name":"Train ID","value":"56-09"},{"id":16,"name":"Locomotive ID","value":"4052"},{"id":130,"name":"Impact","value":""},{"id":150,"name":"Time of Event (Mountain Time)","value":"02:18:41"},{"id":151,"name":"Denver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540</v>
      </c>
      <c r="B210" s="7">
        <v>4019</v>
      </c>
      <c r="C210" s="24" t="s">
        <v>106</v>
      </c>
      <c r="D210" s="24" t="s">
        <v>736</v>
      </c>
      <c r="E210" s="15">
        <v>42652.716145833336</v>
      </c>
      <c r="F210" s="15">
        <v>42652.718495370369</v>
      </c>
      <c r="G210" s="7">
        <v>3</v>
      </c>
      <c r="H210" s="15" t="s">
        <v>737</v>
      </c>
      <c r="I210" s="15">
        <v>42652.72619212963</v>
      </c>
      <c r="J210" s="7">
        <v>0</v>
      </c>
      <c r="K210" s="116" t="str">
        <f t="shared" si="60"/>
        <v>4019/4020</v>
      </c>
      <c r="L210" s="24" t="str">
        <f>VLOOKUP(A210,'Trips&amp;Operators'!$C$1:$E$10000,3,FALSE)</f>
        <v>COOLAHAN</v>
      </c>
      <c r="M210" s="6">
        <f t="shared" si="61"/>
        <v>7.6967592613073066E-3</v>
      </c>
      <c r="N210" s="7">
        <f t="shared" si="62"/>
        <v>11.083333336282521</v>
      </c>
      <c r="O210" s="7"/>
      <c r="P210" s="7"/>
      <c r="Q210" s="25"/>
      <c r="R210" s="25"/>
      <c r="S210" s="37">
        <f t="shared" si="63"/>
        <v>0</v>
      </c>
      <c r="T210" s="52" t="e">
        <f t="shared" si="64"/>
        <v>#VALUE!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16:11:15-0600',mode:absolute,to:'2016-10-09 18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0" s="54" t="str">
        <f t="shared" si="66"/>
        <v>Y</v>
      </c>
      <c r="X210" s="163" t="e">
        <f t="shared" si="59"/>
        <v>#VALUE!</v>
      </c>
      <c r="Y210" s="69">
        <f t="shared" si="67"/>
        <v>2.3311000000000002</v>
      </c>
      <c r="Z210" s="69">
        <f t="shared" si="68"/>
        <v>9.0200000000000002E-2</v>
      </c>
      <c r="AA210" s="69">
        <f t="shared" si="69"/>
        <v>2.2409000000000003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0"/>
        <v>60-09</v>
      </c>
      <c r="AE210" s="94" t="str">
        <f t="shared" si="71"/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0" s="91" t="str">
        <f t="shared" si="72"/>
        <v>"C:\Program Files (x86)\AstroGrep\AstroGrep.exe" /spath="%USERPROFILE%\AppData\Local\Temp\OnboardLogs" /stypes="app*4019*20161009*" /stext=" 23:.+((SYSTEM_STATE.+slice.+state.+changed )|(ment ac)|(system.+state.+changed )|(\[timeout)|(PRM\|1\|D)|(kpr)|(kdp)|(\|lc)|(penalty))" /e /r /s</v>
      </c>
      <c r="AG210" s="1" t="str">
        <f t="shared" si="73"/>
        <v>Other</v>
      </c>
      <c r="AH210" s="95" t="str">
        <f t="shared" si="74"/>
        <v>"%USERPROFILE%\Documents\GitHub\eaglep3\Utilities\RefineRTDCRunTimes.py" --tripid 60-09 --locoid 4019 --swversion DE.1.0.7.0 --startMP 300:23311 --initTime 2016-10-09T17:11:15 --startdatetime 2016-10-09T17:14:38 --delay 3 --endMP 204:902 --enddatetime 2016-10-09T17:25:43 --enforcementcount 0 &gt;&gt;C:\Users\stu\Documents\GitHub\eaglep3-reporting\EC\2016-10-09-refined-times.txt</v>
      </c>
      <c r="AI210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{"issue":{"subject":"","project_id":79,"tracker_id":40,"status_id":1,"priority_id":2,"assigned_to_id":23,"start_date":"2016-10-09","description":"","custom_fields":[{"id":1,"name":"Subdivision","value":"Other"},{"id":4,"name":"Milepost","value":"0.0902"},{"id":17,"name":"Train ID","value":"60-09"},{"id":16,"name":"Locomotive ID","value":"4019"},{"id":130,"name":"Impact","value":""},{"id":150,"name":"Time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553</v>
      </c>
      <c r="B211" s="7">
        <v>4020</v>
      </c>
      <c r="C211" s="24" t="s">
        <v>106</v>
      </c>
      <c r="D211" s="24" t="s">
        <v>738</v>
      </c>
      <c r="E211" s="15">
        <v>42652.749386574076</v>
      </c>
      <c r="F211" s="15">
        <v>42652.75209490741</v>
      </c>
      <c r="G211" s="7">
        <v>2</v>
      </c>
      <c r="H211" s="15" t="s">
        <v>739</v>
      </c>
      <c r="I211" s="15">
        <v>42652.760520833333</v>
      </c>
      <c r="J211" s="7">
        <v>0</v>
      </c>
      <c r="K211" s="116" t="str">
        <f t="shared" si="60"/>
        <v>4019/4020</v>
      </c>
      <c r="L211" s="24" t="str">
        <f>VLOOKUP(A211,'Trips&amp;Operators'!$C$1:$E$10000,3,FALSE)</f>
        <v>STEWART</v>
      </c>
      <c r="M211" s="6">
        <f t="shared" si="61"/>
        <v>8.4259259238024242E-3</v>
      </c>
      <c r="N211" s="7">
        <f t="shared" si="62"/>
        <v>12.133333330275491</v>
      </c>
      <c r="O211" s="7"/>
      <c r="P211" s="7"/>
      <c r="Q211" s="25"/>
      <c r="R211" s="25"/>
      <c r="S211" s="37">
        <f t="shared" si="63"/>
        <v>0</v>
      </c>
      <c r="T211" s="52" t="e">
        <f t="shared" si="64"/>
        <v>#VALUE!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16:59:07-0600',mode:absolute,to:'2016-10-09 19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1" s="54" t="str">
        <f t="shared" si="66"/>
        <v>Y</v>
      </c>
      <c r="X211" s="163" t="e">
        <f t="shared" si="59"/>
        <v>#VALUE!</v>
      </c>
      <c r="Y211" s="69">
        <f t="shared" si="67"/>
        <v>0.12139999999999999</v>
      </c>
      <c r="Z211" s="69">
        <f t="shared" si="68"/>
        <v>2.5524</v>
      </c>
      <c r="AA211" s="69">
        <f t="shared" si="69"/>
        <v>2.431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0"/>
        <v>61-09</v>
      </c>
      <c r="AE211" s="94" t="str">
        <f t="shared" si="71"/>
        <v>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 &amp; aws s3 cp s3://rtdc.mdm.uploadarchive.raw/RTDC4020/ "%USERPROFILE%\AppData\Local\Temp\OnboardLogs"\RTDC4020\2016-10-10 --exclude "*" --recursive --include "*20161010*" &amp; "%USERPROFILE%\Documents\GitHub\mrs-test-scripts\Headless Mode &amp; Sideloading\WalkAndUnGZ.bat" "%USERPROFILE%\AppData\Local\Temp\OnboardLogs"\RTDC4020\2016-10-10</v>
      </c>
      <c r="AF211" s="91" t="str">
        <f t="shared" si="72"/>
        <v>"C:\Program Files (x86)\AstroGrep\AstroGrep.exe" /spath="%USERPROFILE%\AppData\Local\Temp\OnboardLogs" /stypes="app*4020*20161010*" /stext=" 00:.+((SYSTEM_STATE.+slice.+state.+changed )|(ment ac)|(system.+state.+changed )|(\[timeout)|(PRM\|1\|D)|(kpr)|(kdp)|(\|lc)|(penalty))" /e /r /s</v>
      </c>
      <c r="AG211" s="1" t="str">
        <f t="shared" si="73"/>
        <v>Other</v>
      </c>
      <c r="AH211" s="95" t="str">
        <f t="shared" si="74"/>
        <v>"%USERPROFILE%\Documents\GitHub\eaglep3\Utilities\RefineRTDCRunTimes.py" --tripid 61-09 --locoid 4020 --swversion DE.1.0.7.0 --startMP 204:1214 --initTime 2016-10-09T17:59:07 --startdatetime 2016-10-09T18:03:01 --delay 2 --endMP 300:25524 --enddatetime 2016-10-09T18:15:09 --enforcementcount 0 &gt;&gt;C:\Users\stu\Documents\GitHub\eaglep3-reporting\EC\2016-10-09-refined-times.txt</v>
      </c>
      <c r="AI211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{"issue":{"subject":"","project_id":79,"tracker_id":40,"status_id":1,"priority_id":2,"assigned_to_id":23,"start_date":"2016-10-09","description":"","custom_fields":[{"id":1,"name":"Subdivision","value":"Other"},{"id":4,"name":"Milepost","value":"2.5524"},{"id":17,"name":"Train ID","value":"61-09"},{"id":16,"name":"Locomotive ID","value":"4020"},{"id":130,"name":"Impact","value":""},{"id":150,"name":"Time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552</v>
      </c>
      <c r="B212" s="7">
        <v>4010</v>
      </c>
      <c r="C212" s="24" t="s">
        <v>106</v>
      </c>
      <c r="D212" s="24" t="s">
        <v>740</v>
      </c>
      <c r="E212" s="15">
        <v>42652.752974537034</v>
      </c>
      <c r="F212" s="15">
        <v>42652.753981481481</v>
      </c>
      <c r="G212" s="7">
        <v>1</v>
      </c>
      <c r="H212" s="15" t="s">
        <v>741</v>
      </c>
      <c r="I212" s="15">
        <v>42652.762025462966</v>
      </c>
      <c r="J212" s="7">
        <v>0</v>
      </c>
      <c r="K212" s="116" t="str">
        <f t="shared" si="60"/>
        <v>4009/4010</v>
      </c>
      <c r="L212" s="24" t="str">
        <f>VLOOKUP(A212,'Trips&amp;Operators'!$C$1:$E$10000,3,FALSE)</f>
        <v>CHANDLER</v>
      </c>
      <c r="M212" s="6">
        <f t="shared" si="61"/>
        <v>8.0439814846613444E-3</v>
      </c>
      <c r="N212" s="7">
        <f t="shared" si="62"/>
        <v>11.583333337912336</v>
      </c>
      <c r="O212" s="7"/>
      <c r="P212" s="7"/>
      <c r="Q212" s="25"/>
      <c r="R212" s="25"/>
      <c r="S212" s="37">
        <f t="shared" si="63"/>
        <v>0</v>
      </c>
      <c r="T212" s="52" t="e">
        <f t="shared" si="64"/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2" s="54" t="str">
        <f t="shared" si="66"/>
        <v>Y</v>
      </c>
      <c r="X212" s="163" t="e">
        <f t="shared" si="59"/>
        <v>#VALUE!</v>
      </c>
      <c r="Y212" s="69">
        <f t="shared" si="67"/>
        <v>2.3363999999999998</v>
      </c>
      <c r="Z212" s="69">
        <f t="shared" si="68"/>
        <v>9.2399999999999996E-2</v>
      </c>
      <c r="AA212" s="69">
        <f t="shared" si="69"/>
        <v>2.2439999999999998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0"/>
        <v>62-09</v>
      </c>
      <c r="AE212" s="94" t="str">
        <f t="shared" si="71"/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AF212" s="91" t="str">
        <f t="shared" si="72"/>
        <v>"C:\Program Files (x86)\AstroGrep\AstroGrep.exe" /spath="%USERPROFILE%\AppData\Local\Temp\OnboardLogs" /stypes="app*4010*20161010*" /stext=" 00:.+((SYSTEM_STATE.+slice.+state.+changed )|(ment ac)|(system.+state.+changed )|(\[timeout)|(PRM\|1\|D)|(kpr)|(kdp)|(\|lc)|(penalty))" /e /r /s</v>
      </c>
      <c r="AG212" s="1" t="str">
        <f t="shared" si="73"/>
        <v>Other</v>
      </c>
      <c r="AH212" s="95" t="str">
        <f t="shared" si="74"/>
        <v>"%USERPROFILE%\Documents\GitHub\eaglep3\Utilities\RefineRTDCRunTimes.py" --tripid 62-09 --locoid 4010 --swversion DE.1.0.7.0 --startMP 300:23364 --initTime 2016-10-09T18:04:17 --startdatetime 2016-10-09T18:05:44 --delay 1 --endMP 204:924 --enddatetime 2016-10-09T18:17:19 --enforcementcount 0 &gt;&gt;C:\Users\stu\Documents\GitHub\eaglep3-reporting\EC\2016-10-09-refined-times.txt</v>
      </c>
      <c r="AI212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{"issue":{"subject":"","project_id":79,"tracker_id":40,"status_id":1,"priority_id":2,"assigned_to_id":23,"start_date":"2016-10-09","description":"","custom_fields":[{"id":1,"name":"Subdivision","value":"Other"},{"id":4,"name":"Milepost","value":"0.0924"},{"id":17,"name":"Train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552</v>
      </c>
      <c r="B213" s="7">
        <v>4010</v>
      </c>
      <c r="C213" s="24" t="s">
        <v>106</v>
      </c>
      <c r="D213" s="24" t="s">
        <v>742</v>
      </c>
      <c r="E213" s="15">
        <v>42652.748692129629</v>
      </c>
      <c r="F213" s="15">
        <v>42652.753981481481</v>
      </c>
      <c r="G213" s="7">
        <v>4</v>
      </c>
      <c r="H213" s="15" t="s">
        <v>743</v>
      </c>
      <c r="I213" s="15">
        <v>42652.762025462966</v>
      </c>
      <c r="J213" s="7">
        <v>0</v>
      </c>
      <c r="K213" s="116" t="str">
        <f t="shared" si="60"/>
        <v>4009/4010</v>
      </c>
      <c r="L213" s="24" t="str">
        <f>VLOOKUP(A213,'Trips&amp;Operators'!$C$1:$E$10000,3,FALSE)</f>
        <v>CHANDLER</v>
      </c>
      <c r="M213" s="6">
        <f t="shared" si="61"/>
        <v>8.0439814846613444E-3</v>
      </c>
      <c r="N213" s="7">
        <f t="shared" si="62"/>
        <v>11.583333337912336</v>
      </c>
      <c r="O213" s="7"/>
      <c r="P213" s="7"/>
      <c r="Q213" s="25"/>
      <c r="R213" s="25"/>
      <c r="S213" s="37">
        <f t="shared" si="63"/>
        <v>0</v>
      </c>
      <c r="T213" s="52" t="e">
        <f t="shared" si="64"/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16:58:07-0600',mode:absolute,to:'2016-10-09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3" s="54" t="str">
        <f t="shared" si="66"/>
        <v>Y</v>
      </c>
      <c r="X213" s="163" t="e">
        <f t="shared" si="59"/>
        <v>#VALUE!</v>
      </c>
      <c r="Y213" s="69">
        <f t="shared" si="67"/>
        <v>2.4620000000000002</v>
      </c>
      <c r="Z213" s="69">
        <f t="shared" si="68"/>
        <v>2.4262999999999999</v>
      </c>
      <c r="AA213" s="69">
        <f t="shared" si="69"/>
        <v>3.5700000000000287E-2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0"/>
        <v>62-09</v>
      </c>
      <c r="AE213" s="94" t="str">
        <f t="shared" si="71"/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AF213" s="91" t="str">
        <f t="shared" si="72"/>
        <v>"C:\Program Files (x86)\AstroGrep\AstroGrep.exe" /spath="%USERPROFILE%\AppData\Local\Temp\OnboardLogs" /stypes="app*4010*20161010*" /stext=" 00:.+((SYSTEM_STATE.+slice.+state.+changed )|(ment ac)|(system.+state.+changed )|(\[timeout)|(PRM\|1\|D)|(kpr)|(kdp)|(\|lc)|(penalty))" /e /r /s</v>
      </c>
      <c r="AG213" s="1" t="str">
        <f t="shared" si="73"/>
        <v>Other</v>
      </c>
      <c r="AH213" s="95" t="str">
        <f t="shared" si="74"/>
        <v>"%USERPROFILE%\Documents\GitHub\eaglep3\Utilities\RefineRTDCRunTimes.py" --tripid 62-09 --locoid 4010 --swversion DE.1.0.7.0 --startMP 300:24620 --initTime 2016-10-09T17:58:07 --startdatetime 2016-10-09T18:05:44 --delay 4 --endMP 300:24263 --enddatetime 2016-10-09T18:17:19 --enforcementcount 0 &gt;&gt;C:\Users\stu\Documents\GitHub\eaglep3-reporting\EC\2016-10-09-refined-times.txt</v>
      </c>
      <c r="AI213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{"issue":{"subject":"","project_id":79,"tracker_id":40,"status_id":1,"priority_id":2,"assigned_to_id":23,"start_date":"2016-10-09","description":"","custom_fields":[{"id":1,"name":"Subdivision","value":"Other"},{"id":4,"name":"Milepost","value":"2.4263"},{"id":17,"name":"Train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544</v>
      </c>
      <c r="B214" s="7">
        <v>4029</v>
      </c>
      <c r="C214" s="24" t="s">
        <v>106</v>
      </c>
      <c r="D214" s="24" t="s">
        <v>744</v>
      </c>
      <c r="E214" s="15">
        <v>42652.724293981482</v>
      </c>
      <c r="F214" s="15">
        <v>25568.708333333332</v>
      </c>
      <c r="G214" s="7">
        <v>1</v>
      </c>
      <c r="H214" s="15" t="s">
        <v>745</v>
      </c>
      <c r="I214" s="15">
        <v>25568.708333333332</v>
      </c>
      <c r="J214" s="7">
        <v>0</v>
      </c>
      <c r="K214" s="116" t="str">
        <f t="shared" si="60"/>
        <v>4029/4030</v>
      </c>
      <c r="L214" s="24" t="str">
        <f>VLOOKUP(A214,'Trips&amp;Operators'!$C$1:$E$10000,3,FALSE)</f>
        <v>SWANSON</v>
      </c>
      <c r="M214" s="6">
        <f t="shared" si="61"/>
        <v>0</v>
      </c>
      <c r="N214" s="7">
        <f t="shared" si="62"/>
        <v>0</v>
      </c>
      <c r="O214" s="7"/>
      <c r="P214" s="7"/>
      <c r="Q214" s="25"/>
      <c r="R214" s="25"/>
      <c r="S214" s="37">
        <f t="shared" si="63"/>
        <v>0</v>
      </c>
      <c r="T214" s="52" t="e">
        <f t="shared" si="64"/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16:22:59-0600',mode:absolute,to:'1969-12-31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4" t="str">
        <f t="shared" si="66"/>
        <v>Y</v>
      </c>
      <c r="X214" s="163" t="e">
        <f t="shared" si="59"/>
        <v>#VALUE!</v>
      </c>
      <c r="Y214" s="69">
        <f t="shared" si="67"/>
        <v>0.14749999999999999</v>
      </c>
      <c r="Z214" s="69">
        <f t="shared" si="68"/>
        <v>2.3300999999999998</v>
      </c>
      <c r="AA214" s="69">
        <f t="shared" si="69"/>
        <v>2.1825999999999999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0"/>
        <v>63-09</v>
      </c>
      <c r="AE214" s="94" t="str">
        <f t="shared" si="7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91" t="str">
        <f t="shared" si="72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4" s="1" t="str">
        <f t="shared" si="73"/>
        <v>Other</v>
      </c>
      <c r="AH214" s="95" t="str">
        <f t="shared" si="74"/>
        <v>"%USERPROFILE%\Documents\GitHub\eaglep3\Utilities\RefineRTDCRunTimes.py" --tripid 63-09 --locoid 4029 --swversion DE.1.0.7.0 --startMP 204:1475 --initTime 2016-10-09T17:22:59 --startdatetime 1969-12-31T17:00:00 --delay 1 --endMP 300:23301 --enddatetime 1969-12-31T17:00:00 --enforcementcount 0 &gt;&gt;C:\Users\stu\Documents\GitHub\eaglep3-reporting\EC\2016-10-09-refined-times.txt</v>
      </c>
      <c r="AI214" s="12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ID","value":"63-09"},{"id":16,"name":"Locomotive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548</v>
      </c>
      <c r="B215" s="7">
        <v>4032</v>
      </c>
      <c r="C215" s="24" t="s">
        <v>106</v>
      </c>
      <c r="D215" s="24" t="s">
        <v>746</v>
      </c>
      <c r="E215" s="15">
        <v>42652.740995370368</v>
      </c>
      <c r="F215" s="15">
        <v>42652.745648148149</v>
      </c>
      <c r="G215" s="7">
        <v>6</v>
      </c>
      <c r="H215" s="15" t="s">
        <v>747</v>
      </c>
      <c r="I215" s="15">
        <v>42652.754247685189</v>
      </c>
      <c r="J215" s="7">
        <v>0</v>
      </c>
      <c r="K215" s="116" t="str">
        <f t="shared" si="60"/>
        <v>4031/4032</v>
      </c>
      <c r="L215" s="24" t="str">
        <f>VLOOKUP(A215,'Trips&amp;Operators'!$C$1:$E$10000,3,FALSE)</f>
        <v>BERLING</v>
      </c>
      <c r="M215" s="6">
        <f t="shared" si="61"/>
        <v>8.599537039117422E-3</v>
      </c>
      <c r="N215" s="7">
        <f t="shared" si="62"/>
        <v>12.383333336329088</v>
      </c>
      <c r="O215" s="7"/>
      <c r="P215" s="7"/>
      <c r="Q215" s="25"/>
      <c r="R215" s="25"/>
      <c r="S215" s="37">
        <f t="shared" si="63"/>
        <v>0</v>
      </c>
      <c r="T215" s="52" t="e">
        <f t="shared" si="64"/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16:47:02-0600',mode:absolute,to:'2016-10-09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5" s="54" t="str">
        <f t="shared" si="66"/>
        <v>Y</v>
      </c>
      <c r="X215" s="163" t="e">
        <f t="shared" si="59"/>
        <v>#VALUE!</v>
      </c>
      <c r="Y215" s="69">
        <f t="shared" si="67"/>
        <v>2.3346</v>
      </c>
      <c r="Z215" s="69">
        <f t="shared" si="68"/>
        <v>9.2200000000000004E-2</v>
      </c>
      <c r="AA215" s="69">
        <f t="shared" si="69"/>
        <v>2.2423999999999999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0"/>
        <v>64-09</v>
      </c>
      <c r="AE215" s="94" t="str">
        <f t="shared" si="71"/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AF215" s="91" t="str">
        <f t="shared" si="72"/>
        <v>"C:\Program Files (x86)\AstroGrep\AstroGrep.exe" /spath="%USERPROFILE%\AppData\Local\Temp\OnboardLogs" /stypes="app*4032*20161010*" /stext=" 00:.+((SYSTEM_STATE.+slice.+state.+changed )|(ment ac)|(system.+state.+changed )|(\[timeout)|(PRM\|1\|D)|(kpr)|(kdp)|(\|lc)|(penalty))" /e /r /s</v>
      </c>
      <c r="AG215" s="1" t="str">
        <f t="shared" si="73"/>
        <v>Other</v>
      </c>
      <c r="AH215" s="95" t="str">
        <f t="shared" si="74"/>
        <v>"%USERPROFILE%\Documents\GitHub\eaglep3\Utilities\RefineRTDCRunTimes.py" --tripid 64-09 --locoid 4032 --swversion DE.1.0.7.0 --startMP 300:23346 --initTime 2016-10-09T17:47:02 --startdatetime 2016-10-09T17:53:44 --delay 6 --endMP 204:922 --enddatetime 2016-10-09T18:06:07 --enforcementcount 0 &gt;&gt;C:\Users\stu\Documents\GitHub\eaglep3-reporting\EC\2016-10-09-refined-times.txt</v>
      </c>
      <c r="AI215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{"issue":{"subject":"","project_id":79,"tracker_id":40,"status_id":1,"priority_id":2,"assigned_to_id":23,"start_date":"2016-10-09","description":"","custom_fields":[{"id":1,"name":"Subdivision","value":"Other"},{"id":4,"name":"Milepost","value":"0.0922"},{"id":17,"name":"Train ID","value":"64-09"},{"id":16,"name":"Locomotive ID","value":"4032"},{"id":130,"name":"Impact","value":""},{"id":150,"name":"Time of Event (Mountain Time)","value":"18:06:07"},{"id":151,"name":"Denver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561</v>
      </c>
      <c r="B216" s="7">
        <v>4019</v>
      </c>
      <c r="C216" s="24" t="s">
        <v>106</v>
      </c>
      <c r="D216" s="24" t="s">
        <v>748</v>
      </c>
      <c r="E216" s="15">
        <v>42652.779317129629</v>
      </c>
      <c r="F216" s="15">
        <v>42652.780150462961</v>
      </c>
      <c r="G216" s="7">
        <v>0</v>
      </c>
      <c r="H216" s="15" t="s">
        <v>749</v>
      </c>
      <c r="I216" s="15">
        <v>42652.787395833337</v>
      </c>
      <c r="J216" s="7">
        <v>0</v>
      </c>
      <c r="K216" s="116" t="str">
        <f t="shared" si="60"/>
        <v>4019/4020</v>
      </c>
      <c r="L216" s="24" t="str">
        <f>VLOOKUP(A216,'Trips&amp;Operators'!$C$1:$E$10000,3,FALSE)</f>
        <v>SMITH</v>
      </c>
      <c r="M216" s="6">
        <f t="shared" si="61"/>
        <v>7.2453703760402277E-3</v>
      </c>
      <c r="N216" s="7">
        <f t="shared" si="62"/>
        <v>10.433333341497928</v>
      </c>
      <c r="O216" s="7"/>
      <c r="P216" s="7"/>
      <c r="Q216" s="25"/>
      <c r="R216" s="25"/>
      <c r="S216" s="37">
        <f t="shared" si="63"/>
        <v>0</v>
      </c>
      <c r="T216" s="52" t="e">
        <f t="shared" si="64"/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6" s="54" t="str">
        <f t="shared" si="66"/>
        <v>Y</v>
      </c>
      <c r="X216" s="163" t="e">
        <f t="shared" si="59"/>
        <v>#VALUE!</v>
      </c>
      <c r="Y216" s="69">
        <f t="shared" si="67"/>
        <v>2.1926000000000001</v>
      </c>
      <c r="Z216" s="69">
        <f t="shared" si="68"/>
        <v>8.7400000000000005E-2</v>
      </c>
      <c r="AA216" s="69">
        <f t="shared" si="69"/>
        <v>2.1052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0"/>
        <v>66-09</v>
      </c>
      <c r="AE216" s="94" t="str">
        <f t="shared" si="71"/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6" s="91" t="str">
        <f t="shared" si="72"/>
        <v>"C:\Program Files (x86)\AstroGrep\AstroGrep.exe" /spath="%USERPROFILE%\AppData\Local\Temp\OnboardLogs" /stypes="app*4019*20161010*" /stext=" 00:.+((SYSTEM_STATE.+slice.+state.+changed )|(ment ac)|(system.+state.+changed )|(\[timeout)|(PRM\|1\|D)|(kpr)|(kdp)|(\|lc)|(penalty))" /e /r /s</v>
      </c>
      <c r="AG216" s="1" t="str">
        <f t="shared" si="73"/>
        <v>Other</v>
      </c>
      <c r="AH216" s="95" t="str">
        <f t="shared" si="74"/>
        <v>"%USERPROFILE%\Documents\GitHub\eaglep3\Utilities\RefineRTDCRunTimes.py" --tripid 66-09 --locoid 4019 --swversion DE.1.0.7.0 --startMP 300:21926 --initTime 2016-10-09T18:42:13 --startdatetime 2016-10-09T18:43:25 --delay 0 --endMP 204:874 --enddatetime 2016-10-09T18:53:51 --enforcementcount 0 &gt;&gt;C:\Users\stu\Documents\GitHub\eaglep3-reporting\EC\2016-10-09-refined-times.txt</v>
      </c>
      <c r="AI216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{"issue":{"subject":"","project_id":79,"tracker_id":40,"status_id":1,"priority_id":2,"assigned_to_id":23,"start_date":"2016-10-09","description":"","custom_fields":[{"id":1,"name":"Subdivision","value":"Other"},{"id":4,"name":"Milepost","value":"0.0874"},{"id":17,"name":"Train ID","value":"66-09"},{"id":16,"name":"Locomotive ID","value":"4019"},{"id":130,"name":"Impact","value":""},{"id":150,"name":"Time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561</v>
      </c>
      <c r="B217" s="7">
        <v>4019</v>
      </c>
      <c r="C217" s="24" t="s">
        <v>106</v>
      </c>
      <c r="D217" s="24" t="s">
        <v>750</v>
      </c>
      <c r="E217" s="15">
        <v>42652.772812499999</v>
      </c>
      <c r="F217" s="15">
        <v>42652.780150462961</v>
      </c>
      <c r="G217" s="7">
        <v>5</v>
      </c>
      <c r="H217" s="15" t="s">
        <v>751</v>
      </c>
      <c r="I217" s="15">
        <v>42652.787395833337</v>
      </c>
      <c r="J217" s="7">
        <v>0</v>
      </c>
      <c r="K217" s="116" t="str">
        <f t="shared" si="60"/>
        <v>4019/4020</v>
      </c>
      <c r="L217" s="24" t="str">
        <f>VLOOKUP(A217,'Trips&amp;Operators'!$C$1:$E$10000,3,FALSE)</f>
        <v>SMITH</v>
      </c>
      <c r="M217" s="6">
        <f t="shared" si="61"/>
        <v>7.2453703760402277E-3</v>
      </c>
      <c r="N217" s="7">
        <f t="shared" si="62"/>
        <v>10.433333341497928</v>
      </c>
      <c r="O217" s="7"/>
      <c r="P217" s="7"/>
      <c r="Q217" s="25"/>
      <c r="R217" s="25"/>
      <c r="S217" s="37">
        <f t="shared" si="63"/>
        <v>0</v>
      </c>
      <c r="T217" s="52" t="e">
        <f t="shared" si="64"/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17:32:51-0600',mode:absolute,to:'2016-10-09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54" t="str">
        <f t="shared" si="66"/>
        <v>Y</v>
      </c>
      <c r="X217" s="163" t="e">
        <f t="shared" si="59"/>
        <v>#VALUE!</v>
      </c>
      <c r="Y217" s="69">
        <f t="shared" si="67"/>
        <v>2.4190999999999998</v>
      </c>
      <c r="Z217" s="69">
        <f t="shared" si="68"/>
        <v>2.3837000000000002</v>
      </c>
      <c r="AA217" s="69">
        <f t="shared" si="69"/>
        <v>3.5399999999999654E-2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0"/>
        <v>66-09</v>
      </c>
      <c r="AE217" s="94" t="str">
        <f t="shared" si="71"/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7" s="91" t="str">
        <f t="shared" si="72"/>
        <v>"C:\Program Files (x86)\AstroGrep\AstroGrep.exe" /spath="%USERPROFILE%\AppData\Local\Temp\OnboardLogs" /stypes="app*4019*20161010*" /stext=" 00:.+((SYSTEM_STATE.+slice.+state.+changed )|(ment ac)|(system.+state.+changed )|(\[timeout)|(PRM\|1\|D)|(kpr)|(kdp)|(\|lc)|(penalty))" /e /r /s</v>
      </c>
      <c r="AG217" s="1" t="str">
        <f t="shared" si="73"/>
        <v>Other</v>
      </c>
      <c r="AH217" s="95" t="str">
        <f t="shared" si="74"/>
        <v>"%USERPROFILE%\Documents\GitHub\eaglep3\Utilities\RefineRTDCRunTimes.py" --tripid 66-09 --locoid 4019 --swversion DE.1.0.7.0 --startMP 300:24191 --initTime 2016-10-09T18:32:51 --startdatetime 2016-10-09T18:43:25 --delay 5 --endMP 300:23837 --enddatetime 2016-10-09T18:53:51 --enforcementcount 0 &gt;&gt;C:\Users\stu\Documents\GitHub\eaglep3-reporting\EC\2016-10-09-refined-times.txt</v>
      </c>
      <c r="AI217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{"issue":{"subject":"","project_id":79,"tracker_id":40,"status_id":1,"priority_id":2,"assigned_to_id":23,"start_date":"2016-10-09","description":"","custom_fields":[{"id":1,"name":"Subdivision","value":"Other"},{"id":4,"name":"Milepost","value":"2.3837"},{"id":17,"name":"Train ID","value":"66-09"},{"id":16,"name":"Locomotive ID","value":"4019"},{"id":130,"name":"Impact","value":""},{"id":150,"name":"Time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559</v>
      </c>
      <c r="B218" s="7">
        <v>4009</v>
      </c>
      <c r="C218" s="24" t="s">
        <v>106</v>
      </c>
      <c r="D218" s="24" t="s">
        <v>752</v>
      </c>
      <c r="E218" s="15">
        <v>42652.770509259259</v>
      </c>
      <c r="F218" s="15">
        <v>42652.772187499999</v>
      </c>
      <c r="G218" s="7">
        <v>1</v>
      </c>
      <c r="H218" s="15" t="s">
        <v>753</v>
      </c>
      <c r="I218" s="15">
        <v>42652.780069444445</v>
      </c>
      <c r="J218" s="7">
        <v>0</v>
      </c>
      <c r="K218" s="116" t="str">
        <f t="shared" si="60"/>
        <v>4009/4010</v>
      </c>
      <c r="L218" s="24" t="str">
        <f>VLOOKUP(A218,'Trips&amp;Operators'!$C$1:$E$10000,3,FALSE)</f>
        <v>BRUDER</v>
      </c>
      <c r="M218" s="6">
        <f t="shared" si="61"/>
        <v>7.8819444461259991E-3</v>
      </c>
      <c r="N218" s="7">
        <f t="shared" si="62"/>
        <v>11.350000002421439</v>
      </c>
      <c r="O218" s="7"/>
      <c r="P218" s="7"/>
      <c r="Q218" s="25"/>
      <c r="R218" s="25"/>
      <c r="S218" s="37">
        <f t="shared" si="63"/>
        <v>0</v>
      </c>
      <c r="T218" s="52" t="e">
        <f t="shared" si="64"/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17:29:32-0600',mode:absolute,to:'2016-10-09 19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8" s="54" t="str">
        <f t="shared" si="66"/>
        <v>Y</v>
      </c>
      <c r="X218" s="163" t="e">
        <f t="shared" si="59"/>
        <v>#VALUE!</v>
      </c>
      <c r="Y218" s="69">
        <f t="shared" si="67"/>
        <v>0.1236</v>
      </c>
      <c r="Z218" s="69">
        <f t="shared" si="68"/>
        <v>2.2513999999999998</v>
      </c>
      <c r="AA218" s="69">
        <f t="shared" si="69"/>
        <v>2.1277999999999997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0"/>
        <v>67-09</v>
      </c>
      <c r="AE218" s="94" t="str">
        <f t="shared" si="71"/>
        <v>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 &amp; aws s3 cp s3://rtdc.mdm.uploadarchive.raw/RTDC4009/ "%USERPROFILE%\AppData\Local\Temp\OnboardLogs"\RTDC4009\2016-10-10 --exclude "*" --recursive --include "*20161010*" &amp; "%USERPROFILE%\Documents\GitHub\mrs-test-scripts\Headless Mode &amp; Sideloading\WalkAndUnGZ.bat" "%USERPROFILE%\AppData\Local\Temp\OnboardLogs"\RTDC4009\2016-10-10</v>
      </c>
      <c r="AF218" s="91" t="str">
        <f t="shared" si="72"/>
        <v>"C:\Program Files (x86)\AstroGrep\AstroGrep.exe" /spath="%USERPROFILE%\AppData\Local\Temp\OnboardLogs" /stypes="app*4009*20161010*" /stext=" 00:.+((SYSTEM_STATE.+slice.+state.+changed )|(ment ac)|(system.+state.+changed )|(\[timeout)|(PRM\|1\|D)|(kpr)|(kdp)|(\|lc)|(penalty))" /e /r /s</v>
      </c>
      <c r="AG218" s="1" t="str">
        <f t="shared" si="73"/>
        <v>Other</v>
      </c>
      <c r="AH218" s="95" t="str">
        <f t="shared" si="74"/>
        <v>"%USERPROFILE%\Documents\GitHub\eaglep3\Utilities\RefineRTDCRunTimes.py" --tripid 67-09 --locoid 4009 --swversion DE.1.0.7.0 --startMP 204:1236 --initTime 2016-10-09T18:29:32 --startdatetime 2016-10-09T18:31:57 --delay 1 --endMP 300:22514 --enddatetime 2016-10-09T18:43:18 --enforcementcount 0 &gt;&gt;C:\Users\stu\Documents\GitHub\eaglep3-reporting\EC\2016-10-09-refined-times.txt</v>
      </c>
      <c r="AI218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{"issue":{"subject":"","project_id":79,"tracker_id":40,"status_id":1,"priority_id":2,"assigned_to_id":23,"start_date":"2016-10-09","description":"","custom_fields":[{"id":1,"name":"Subdivision","value":"Other"},{"id":4,"name":"Milepost","value":"2.2514"},{"id":17,"name":"Train ID","value":"67-09"},{"id":16,"name":"Locomotive ID","value":"4009"},{"id":130,"name":"Impact","value":""},{"id":150,"name":"Time of Event (Mountain Time)","value":"18:43:18"},{"id":151,"name":"Denver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573</v>
      </c>
      <c r="B219" s="7">
        <v>4017</v>
      </c>
      <c r="C219" s="24" t="s">
        <v>106</v>
      </c>
      <c r="D219" s="24" t="s">
        <v>388</v>
      </c>
      <c r="E219" s="15">
        <v>42652.817523148151</v>
      </c>
      <c r="F219" s="15">
        <v>42652.820416666669</v>
      </c>
      <c r="G219" s="7">
        <v>2</v>
      </c>
      <c r="H219" s="15" t="s">
        <v>754</v>
      </c>
      <c r="I219" s="15">
        <v>42652.847962962966</v>
      </c>
      <c r="J219" s="7">
        <v>0</v>
      </c>
      <c r="K219" s="116" t="str">
        <f t="shared" si="60"/>
        <v>4017/4018</v>
      </c>
      <c r="L219" s="24" t="str">
        <f>VLOOKUP(A219,'Trips&amp;Operators'!$C$1:$E$10000,3,FALSE)</f>
        <v>BROWN</v>
      </c>
      <c r="M219" s="6">
        <f t="shared" si="61"/>
        <v>2.7546296296350192E-2</v>
      </c>
      <c r="N219" s="7">
        <f t="shared" si="62"/>
        <v>39.666666666744277</v>
      </c>
      <c r="O219" s="7"/>
      <c r="P219" s="7"/>
      <c r="Q219" s="25"/>
      <c r="R219" s="25"/>
      <c r="S219" s="37">
        <f t="shared" si="63"/>
        <v>0</v>
      </c>
      <c r="T219" s="52" t="e">
        <f t="shared" si="64"/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18:37:14-0600',mode:absolute,to:'2016-10-09 21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9" s="54" t="str">
        <f t="shared" si="66"/>
        <v>N</v>
      </c>
      <c r="X219" s="163" t="e">
        <f t="shared" si="59"/>
        <v>#VALUE!</v>
      </c>
      <c r="Y219" s="69">
        <f t="shared" si="67"/>
        <v>23.299199999999999</v>
      </c>
      <c r="Z219" s="69">
        <f t="shared" si="68"/>
        <v>9.9000000000000008E-3</v>
      </c>
      <c r="AA219" s="69">
        <f t="shared" si="69"/>
        <v>23.289300000000001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0"/>
        <v>80-09</v>
      </c>
      <c r="AE219" s="94" t="str">
        <f t="shared" si="71"/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219" s="91" t="str">
        <f t="shared" si="72"/>
        <v>"C:\Program Files (x86)\AstroGrep\AstroGrep.exe" /spath="%USERPROFILE%\AppData\Local\Temp\OnboardLogs" /stypes="app*4017*20161010*" /stext=" 02:.+((SYSTEM_STATE.+slice.+state.+changed )|(ment ac)|(system.+state.+changed )|(\[timeout)|(PRM\|1\|D)|(kpr)|(kdp)|(\|lc)|(penalty))" /e /r /s</v>
      </c>
      <c r="AG219" s="1" t="str">
        <f t="shared" si="73"/>
        <v>Other</v>
      </c>
      <c r="AH219" s="95" t="str">
        <f t="shared" si="74"/>
        <v>"%USERPROFILE%\Documents\GitHub\eaglep3\Utilities\RefineRTDCRunTimes.py" --tripid 80-09 --locoid 4017 --swversion DE.1.0.7.0 --startMP 204:232992 --initTime 2016-10-09T19:37:14 --startdatetime 2016-10-09T19:41:24 --delay 2 --endMP 204:99 --enddatetime 2016-10-09T20:21:04 --enforcementcount 0 &gt;&gt;C:\Users\stu\Documents\GitHub\eaglep3-reporting\EC\2016-10-09-refined-times.txt</v>
      </c>
      <c r="AI219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{"issue":{"subject":"","project_id":79,"tracker_id":40,"status_id":1,"priority_id":2,"assigned_to_id":23,"start_date":"2016-10-09","description":"","custom_fields":[{"id":1,"name":"Subdivision","value":"Other"},{"id":4,"name":"Milepost","value":"0.0099"},{"id":17,"name":"Train ID","value":"80-09"},{"id":16,"name":"Locomotive ID","value":"4017"},{"id":130,"name":"Impact","value":""},{"id":150,"name":"Time of Event (Mountain Time)","value":"20:21:04"},{"id":151,"name":"Denver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564</v>
      </c>
      <c r="B220" s="7">
        <v>4018</v>
      </c>
      <c r="C220" s="24" t="s">
        <v>106</v>
      </c>
      <c r="D220" s="24" t="s">
        <v>755</v>
      </c>
      <c r="E220" s="15">
        <v>42652.778136574074</v>
      </c>
      <c r="F220" s="15">
        <v>42652.781435185185</v>
      </c>
      <c r="G220" s="7">
        <v>1</v>
      </c>
      <c r="H220" s="15" t="s">
        <v>622</v>
      </c>
      <c r="I220" s="15">
        <v>42652.807106481479</v>
      </c>
      <c r="J220" s="7">
        <v>0</v>
      </c>
      <c r="K220" s="116" t="str">
        <f t="shared" si="60"/>
        <v>4017/4018</v>
      </c>
      <c r="L220" s="24" t="str">
        <f>VLOOKUP(A220,'Trips&amp;Operators'!$C$1:$E$10000,3,FALSE)</f>
        <v>BROWN</v>
      </c>
      <c r="M220" s="6">
        <f t="shared" si="61"/>
        <v>2.5671296294603962E-2</v>
      </c>
      <c r="N220" s="7">
        <f t="shared" si="62"/>
        <v>36.966666664229706</v>
      </c>
      <c r="O220" s="7"/>
      <c r="P220" s="7"/>
      <c r="Q220" s="25"/>
      <c r="R220" s="25"/>
      <c r="S220" s="37">
        <f t="shared" si="63"/>
        <v>0</v>
      </c>
      <c r="T220" s="52" t="e">
        <f t="shared" si="64"/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17:40:31-0600',mode:absolute,to:'2016-10-09 20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0" s="54" t="str">
        <f t="shared" si="66"/>
        <v>N</v>
      </c>
      <c r="X220" s="163" t="e">
        <f t="shared" si="59"/>
        <v>#VALUE!</v>
      </c>
      <c r="Y220" s="69">
        <f t="shared" si="67"/>
        <v>4.2700000000000002E-2</v>
      </c>
      <c r="Z220" s="69">
        <f t="shared" si="68"/>
        <v>23.332599999999999</v>
      </c>
      <c r="AA220" s="69">
        <f t="shared" si="69"/>
        <v>23.289899999999999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0"/>
        <v>81-09</v>
      </c>
      <c r="AE220" s="94" t="str">
        <f t="shared" si="71"/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220" s="91" t="str">
        <f t="shared" si="72"/>
        <v>"C:\Program Files (x86)\AstroGrep\AstroGrep.exe" /spath="%USERPROFILE%\AppData\Local\Temp\OnboardLogs" /stypes="app*4018*20161010*" /stext=" 01:.+((SYSTEM_STATE.+slice.+state.+changed )|(ment ac)|(system.+state.+changed )|(\[timeout)|(PRM\|1\|D)|(kpr)|(kdp)|(\|lc)|(penalty))" /e /r /s</v>
      </c>
      <c r="AG220" s="1" t="str">
        <f t="shared" si="73"/>
        <v>Other</v>
      </c>
      <c r="AH220" s="95" t="str">
        <f t="shared" si="74"/>
        <v>"%USERPROFILE%\Documents\GitHub\eaglep3\Utilities\RefineRTDCRunTimes.py" --tripid 81-09 --locoid 4018 --swversion DE.1.0.7.0 --startMP 204:427 --initTime 2016-10-09T18:40:31 --startdatetime 2016-10-09T18:45:16 --delay 1 --endMP 204:233326 --enddatetime 2016-10-09T19:22:14 --enforcementcount 0 &gt;&gt;C:\Users\stu\Documents\GitHub\eaglep3-reporting\EC\2016-10-09-refined-times.txt</v>
      </c>
      <c r="AI220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{"issue":{"subject":"","project_id":79,"tracker_id":40,"status_id":1,"priority_id":2,"assigned_to_id":23,"start_date":"2016-10-09","description":"","custom_fields":[{"id":1,"name":"Subdivision","value":"Other"},{"id":4,"name":"Milepost","value":"23.3326"},{"id":17,"name":"Train ID","value":"81-09"},{"id":16,"name":"Locomotive ID","value":"4018"},{"id":130,"name":"Impact","value":""},{"id":150,"name":"Time of Event (Mountain Time)","value":"19:22:14"},{"id":151,"name":"Denver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580</v>
      </c>
      <c r="B221" s="7">
        <v>4008</v>
      </c>
      <c r="C221" s="24" t="s">
        <v>106</v>
      </c>
      <c r="D221" s="24" t="s">
        <v>368</v>
      </c>
      <c r="E221" s="15">
        <v>42652.835532407407</v>
      </c>
      <c r="F221" s="15">
        <v>42652.841481481482</v>
      </c>
      <c r="G221" s="7">
        <v>1</v>
      </c>
      <c r="H221" s="15" t="s">
        <v>756</v>
      </c>
      <c r="I221" s="15">
        <v>42652.871874999997</v>
      </c>
      <c r="J221" s="7">
        <v>0</v>
      </c>
      <c r="K221" s="116" t="str">
        <f t="shared" si="60"/>
        <v>4007/4008</v>
      </c>
      <c r="L221" s="24" t="str">
        <f>VLOOKUP(A221,'Trips&amp;Operators'!$C$1:$E$10000,3,FALSE)</f>
        <v>SMITH</v>
      </c>
      <c r="M221" s="6">
        <f t="shared" si="61"/>
        <v>3.0393518514756579E-2</v>
      </c>
      <c r="N221" s="7">
        <f t="shared" si="62"/>
        <v>43.766666661249474</v>
      </c>
      <c r="O221" s="7"/>
      <c r="P221" s="7"/>
      <c r="Q221" s="25"/>
      <c r="R221" s="25"/>
      <c r="S221" s="37">
        <f t="shared" si="63"/>
        <v>0</v>
      </c>
      <c r="T221" s="52" t="e">
        <f t="shared" si="64"/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19:03:10-0600',mode:absolute,to:'2016-10-09 21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1" s="54" t="str">
        <f t="shared" si="66"/>
        <v>N</v>
      </c>
      <c r="X221" s="163" t="e">
        <f t="shared" si="59"/>
        <v>#VALUE!</v>
      </c>
      <c r="Y221" s="69">
        <f t="shared" si="67"/>
        <v>23.296299999999999</v>
      </c>
      <c r="Z221" s="69">
        <f t="shared" si="68"/>
        <v>1.89E-2</v>
      </c>
      <c r="AA221" s="69">
        <f t="shared" si="69"/>
        <v>23.2774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0"/>
        <v>82-09</v>
      </c>
      <c r="AE221" s="94" t="str">
        <f t="shared" si="71"/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221" s="91" t="str">
        <f t="shared" si="72"/>
        <v>"C:\Program Files (x86)\AstroGrep\AstroGrep.exe" /spath="%USERPROFILE%\AppData\Local\Temp\OnboardLogs" /stypes="app*4008*20161010*" /stext=" 02:.+((SYSTEM_STATE.+slice.+state.+changed )|(ment ac)|(system.+state.+changed )|(\[timeout)|(PRM\|1\|D)|(kpr)|(kdp)|(\|lc)|(penalty))" /e /r /s</v>
      </c>
      <c r="AG221" s="1" t="str">
        <f t="shared" si="73"/>
        <v>Other</v>
      </c>
      <c r="AH221" s="95" t="str">
        <f t="shared" si="74"/>
        <v>"%USERPROFILE%\Documents\GitHub\eaglep3\Utilities\RefineRTDCRunTimes.py" --tripid 82-09 --locoid 4008 --swversion DE.1.0.7.0 --startMP 204:232963 --initTime 2016-10-09T20:03:10 --startdatetime 2016-10-09T20:11:44 --delay 1 --endMP 204:189 --enddatetime 2016-10-09T20:55:30 --enforcementcount 0 &gt;&gt;C:\Users\stu\Documents\GitHub\eaglep3-reporting\EC\2016-10-09-refined-times.txt</v>
      </c>
      <c r="AI221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{"issue":{"subject":"","project_id":79,"tracker_id":40,"status_id":1,"priority_id":2,"assigned_to_id":23,"start_date":"2016-10-09","description":"","custom_fields":[{"id":1,"name":"Subdivision","value":"Other"},{"id":4,"name":"Milepost","value":"0.0189"},{"id":17,"name":"Train ID","value":"82-09"},{"id":16,"name":"Locomotive ID","value":"4008"},{"id":130,"name":"Impact","value":""},{"id":150,"name":"Time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569</v>
      </c>
      <c r="B222" s="7">
        <v>4007</v>
      </c>
      <c r="C222" s="24" t="s">
        <v>106</v>
      </c>
      <c r="D222" s="24" t="s">
        <v>757</v>
      </c>
      <c r="E222" s="15">
        <v>42652.800000000003</v>
      </c>
      <c r="F222" s="15">
        <v>42652.802465277775</v>
      </c>
      <c r="G222" s="7">
        <v>1</v>
      </c>
      <c r="H222" s="15" t="s">
        <v>286</v>
      </c>
      <c r="I222" s="15">
        <v>42652.828009259261</v>
      </c>
      <c r="J222" s="7">
        <v>0</v>
      </c>
      <c r="K222" s="116" t="str">
        <f t="shared" si="60"/>
        <v>4007/4008</v>
      </c>
      <c r="L222" s="24" t="str">
        <f>VLOOKUP(A222,'Trips&amp;Operators'!$C$1:$E$10000,3,FALSE)</f>
        <v>SMITH</v>
      </c>
      <c r="M222" s="6">
        <f t="shared" si="61"/>
        <v>2.5543981486407574E-2</v>
      </c>
      <c r="N222" s="7">
        <f t="shared" si="62"/>
        <v>36.783333340426907</v>
      </c>
      <c r="O222" s="7"/>
      <c r="P222" s="7"/>
      <c r="Q222" s="25"/>
      <c r="R222" s="25"/>
      <c r="S222" s="37">
        <f t="shared" si="63"/>
        <v>0</v>
      </c>
      <c r="T222" s="52" t="e">
        <f t="shared" si="64"/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18:12:00-0600',mode:absolute,to:'2016-10-09 20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2" s="54" t="str">
        <f t="shared" si="66"/>
        <v>N</v>
      </c>
      <c r="X222" s="163" t="e">
        <f t="shared" si="59"/>
        <v>#VALUE!</v>
      </c>
      <c r="Y222" s="69">
        <f t="shared" si="67"/>
        <v>5.3499999999999999E-2</v>
      </c>
      <c r="Z222" s="69">
        <f t="shared" si="68"/>
        <v>23.331099999999999</v>
      </c>
      <c r="AA222" s="69">
        <f t="shared" si="69"/>
        <v>23.2776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0"/>
        <v>83-09</v>
      </c>
      <c r="AE222" s="94" t="str">
        <f t="shared" si="71"/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222" s="91" t="str">
        <f t="shared" si="72"/>
        <v>"C:\Program Files (x86)\AstroGrep\AstroGrep.exe" /spath="%USERPROFILE%\AppData\Local\Temp\OnboardLogs" /stypes="app*4007*20161010*" /stext=" 01:.+((SYSTEM_STATE.+slice.+state.+changed )|(ment ac)|(system.+state.+changed )|(\[timeout)|(PRM\|1\|D)|(kpr)|(kdp)|(\|lc)|(penalty))" /e /r /s</v>
      </c>
      <c r="AG222" s="1" t="str">
        <f t="shared" si="73"/>
        <v>Other</v>
      </c>
      <c r="AH222" s="95" t="str">
        <f t="shared" si="74"/>
        <v>"%USERPROFILE%\Documents\GitHub\eaglep3\Utilities\RefineRTDCRunTimes.py" --tripid 83-09 --locoid 4007 --swversion DE.1.0.7.0 --startMP 204:535 --initTime 2016-10-09T19:12:00 --startdatetime 2016-10-09T19:15:33 --delay 1 --endMP 204:233311 --enddatetime 2016-10-09T19:52:20 --enforcementcount 0 &gt;&gt;C:\Users\stu\Documents\GitHub\eaglep3-reporting\EC\2016-10-09-refined-times.txt</v>
      </c>
      <c r="AI222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{"issue":{"subject":"","project_id":79,"tracker_id":40,"status_id":1,"priority_id":2,"assigned_to_id":23,"start_date":"2016-10-09","description":"","custom_fields":[{"id":1,"name":"Subdivision","value":"Other"},{"id":4,"name":"Milepost","value":"23.3311"},{"id":17,"name":"Train ID","value":"83-09"},{"id":16,"name":"Locomotive ID","value":"4007"},{"id":130,"name":"Impact","value":""},{"id":150,"name":"Time of Event (Mountain Time)","value":"19:52:20"},{"id":151,"name":"Denver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584</v>
      </c>
      <c r="B223" s="7">
        <v>4039</v>
      </c>
      <c r="C223" s="24" t="s">
        <v>106</v>
      </c>
      <c r="D223" s="24" t="s">
        <v>229</v>
      </c>
      <c r="E223" s="15">
        <v>42652.85701388889</v>
      </c>
      <c r="F223" s="15">
        <v>42652.862372685187</v>
      </c>
      <c r="G223" s="7">
        <v>1</v>
      </c>
      <c r="H223" s="15" t="s">
        <v>758</v>
      </c>
      <c r="I223" s="15">
        <v>42652.891018518516</v>
      </c>
      <c r="J223" s="7">
        <v>0</v>
      </c>
      <c r="K223" s="116" t="str">
        <f t="shared" si="60"/>
        <v>4039/4040</v>
      </c>
      <c r="L223" s="24" t="str">
        <f>VLOOKUP(A223,'Trips&amp;Operators'!$C$1:$E$10000,3,FALSE)</f>
        <v>PUGH</v>
      </c>
      <c r="M223" s="6">
        <f t="shared" si="61"/>
        <v>2.8645833328482695E-2</v>
      </c>
      <c r="N223" s="7">
        <f t="shared" si="62"/>
        <v>41.249999993015081</v>
      </c>
      <c r="O223" s="7"/>
      <c r="P223" s="7"/>
      <c r="Q223" s="25"/>
      <c r="R223" s="25"/>
      <c r="S223" s="37">
        <f t="shared" si="63"/>
        <v>0</v>
      </c>
      <c r="T223" s="52" t="e">
        <f t="shared" si="64"/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19:34:06-0600',mode:absolute,to:'2016-10-09 22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3" s="54" t="str">
        <f t="shared" si="66"/>
        <v>N</v>
      </c>
      <c r="X223" s="163" t="e">
        <f t="shared" si="59"/>
        <v>#VALUE!</v>
      </c>
      <c r="Y223" s="69">
        <f t="shared" si="67"/>
        <v>23.296900000000001</v>
      </c>
      <c r="Z223" s="69">
        <f t="shared" si="68"/>
        <v>9.1000000000000004E-3</v>
      </c>
      <c r="AA223" s="69">
        <f t="shared" si="69"/>
        <v>23.287800000000001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70"/>
        <v>84-09</v>
      </c>
      <c r="AE223" s="94" t="str">
        <f t="shared" si="71"/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223" s="91" t="str">
        <f t="shared" si="72"/>
        <v>"C:\Program Files (x86)\AstroGrep\AstroGrep.exe" /spath="%USERPROFILE%\AppData\Local\Temp\OnboardLogs" /stypes="app*4039*20161010*" /stext=" 03:.+((SYSTEM_STATE.+slice.+state.+changed )|(ment ac)|(system.+state.+changed )|(\[timeout)|(PRM\|1\|D)|(kpr)|(kdp)|(\|lc)|(penalty))" /e /r /s</v>
      </c>
      <c r="AG223" s="1" t="str">
        <f t="shared" si="73"/>
        <v>Other</v>
      </c>
      <c r="AH223" s="95" t="str">
        <f t="shared" si="74"/>
        <v>"%USERPROFILE%\Documents\GitHub\eaglep3\Utilities\RefineRTDCRunTimes.py" --tripid 84-09 --locoid 4039 --swversion DE.1.0.7.0 --startMP 204:232969 --initTime 2016-10-09T20:34:06 --startdatetime 2016-10-09T20:41:49 --delay 1 --endMP 204:91 --enddatetime 2016-10-09T21:23:04 --enforcementcount 0 &gt;&gt;C:\Users\stu\Documents\GitHub\eaglep3-reporting\EC\2016-10-09-refined-times.txt</v>
      </c>
      <c r="AI223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{"issue":{"subject":"","project_id":79,"tracker_id":40,"status_id":1,"priority_id":2,"assigned_to_id":23,"start_date":"2016-10-09","description":"","custom_fields":[{"id":1,"name":"Subdivision","value":"Other"},{"id":4,"name":"Milepost","value":"0.0091"},{"id":17,"name":"Train ID","value":"84-09"},{"id":16,"name":"Locomotive ID","value":"4039"},{"id":130,"name":"Impact","value":""},{"id":150,"name":"Time of Event (Mountain Time)","value":"21:23:04"},{"id":151,"name":"Denver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575</v>
      </c>
      <c r="B224" s="7">
        <v>4040</v>
      </c>
      <c r="C224" s="24" t="s">
        <v>106</v>
      </c>
      <c r="D224" s="24" t="s">
        <v>201</v>
      </c>
      <c r="E224" s="15">
        <v>42652.82130787037</v>
      </c>
      <c r="F224" s="15">
        <v>42652.826249999998</v>
      </c>
      <c r="G224" s="7">
        <v>1</v>
      </c>
      <c r="H224" s="15" t="s">
        <v>297</v>
      </c>
      <c r="I224" s="15">
        <v>42652.851840277777</v>
      </c>
      <c r="J224" s="7">
        <v>0</v>
      </c>
      <c r="K224" s="116" t="str">
        <f t="shared" si="60"/>
        <v>4039/4040</v>
      </c>
      <c r="L224" s="24" t="str">
        <f>VLOOKUP(A224,'Trips&amp;Operators'!$C$1:$E$10000,3,FALSE)</f>
        <v>PUGH</v>
      </c>
      <c r="M224" s="6">
        <f t="shared" si="61"/>
        <v>2.5590277778974269E-2</v>
      </c>
      <c r="N224" s="7">
        <f t="shared" si="62"/>
        <v>36.850000001722947</v>
      </c>
      <c r="O224" s="7"/>
      <c r="P224" s="7"/>
      <c r="Q224" s="25"/>
      <c r="R224" s="25"/>
      <c r="S224" s="37">
        <f t="shared" si="63"/>
        <v>0</v>
      </c>
      <c r="T224" s="52" t="e">
        <f t="shared" si="64"/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18:42:41-0600',mode:absolute,to:'2016-10-09 21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4" s="54" t="str">
        <f t="shared" si="66"/>
        <v>N</v>
      </c>
      <c r="X224" s="163" t="e">
        <f t="shared" si="59"/>
        <v>#VALUE!</v>
      </c>
      <c r="Y224" s="69">
        <f t="shared" si="67"/>
        <v>4.6199999999999998E-2</v>
      </c>
      <c r="Z224" s="69">
        <f t="shared" si="68"/>
        <v>23.328399999999998</v>
      </c>
      <c r="AA224" s="69">
        <f t="shared" si="69"/>
        <v>23.2822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70"/>
        <v>85-09</v>
      </c>
      <c r="AE224" s="94" t="str">
        <f t="shared" si="71"/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224" s="91" t="str">
        <f t="shared" si="72"/>
        <v>"C:\Program Files (x86)\AstroGrep\AstroGrep.exe" /spath="%USERPROFILE%\AppData\Local\Temp\OnboardLogs" /stypes="app*4040*20161010*" /stext=" 02:.+((SYSTEM_STATE.+slice.+state.+changed )|(ment ac)|(system.+state.+changed )|(\[timeout)|(PRM\|1\|D)|(kpr)|(kdp)|(\|lc)|(penalty))" /e /r /s</v>
      </c>
      <c r="AG224" s="1" t="str">
        <f t="shared" si="73"/>
        <v>Other</v>
      </c>
      <c r="AH224" s="95" t="str">
        <f t="shared" si="74"/>
        <v>"%USERPROFILE%\Documents\GitHub\eaglep3\Utilities\RefineRTDCRunTimes.py" --tripid 85-09 --locoid 4040 --swversion DE.1.0.7.0 --startMP 204:462 --initTime 2016-10-09T19:42:41 --startdatetime 2016-10-09T19:49:48 --delay 1 --endMP 204:233284 --enddatetime 2016-10-09T20:26:39 --enforcementcount 0 &gt;&gt;C:\Users\stu\Documents\GitHub\eaglep3-reporting\EC\2016-10-09-refined-times.txt</v>
      </c>
      <c r="AI224" s="129" t="str">
        <f t="shared" si="75"/>
        <v>echo {"issue":{"subject":"","project_id":79,"tracker_id":40,"status_id":1,"priority_id":2,"assigned_to_id":23,"start_date":"2016-10-09","description":"","custom_fields":[{"id":1,"name":"Subdivision","value":"Other"},{"id":4,"name":"Milepost","value":"23.3284"},{"id":17,"name":"Train ID","value":"85-09"},{"id":16,"name":"Locomotive ID","value":"4040"},{"id":130,"name":"Impact","value":""},{"id":150,"name":"Time of Event (Mountain Time)","value":"20:26:39"},{"id":151,"name":"Denver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582</v>
      </c>
      <c r="B225" s="7">
        <v>4018</v>
      </c>
      <c r="C225" s="24" t="s">
        <v>106</v>
      </c>
      <c r="D225" s="24" t="s">
        <v>290</v>
      </c>
      <c r="E225" s="15">
        <v>42652.850266203706</v>
      </c>
      <c r="F225" s="15">
        <v>25568.708333333332</v>
      </c>
      <c r="G225" s="7">
        <v>1</v>
      </c>
      <c r="H225" s="15" t="s">
        <v>759</v>
      </c>
      <c r="I225" s="15">
        <v>25568.708333333332</v>
      </c>
      <c r="J225" s="7">
        <v>0</v>
      </c>
      <c r="K225" s="116" t="str">
        <f t="shared" si="60"/>
        <v>4017/4018</v>
      </c>
      <c r="L225" s="24" t="str">
        <f>VLOOKUP(A225,'Trips&amp;Operators'!$C$1:$E$10000,3,FALSE)</f>
        <v>BROWN</v>
      </c>
      <c r="M225" s="6">
        <f t="shared" si="61"/>
        <v>0</v>
      </c>
      <c r="N225" s="7">
        <f t="shared" si="62"/>
        <v>0</v>
      </c>
      <c r="O225" s="7"/>
      <c r="P225" s="7"/>
      <c r="Q225" s="25"/>
      <c r="R225" s="25"/>
      <c r="S225" s="37">
        <f t="shared" si="63"/>
        <v>0</v>
      </c>
      <c r="T225" s="52" t="e">
        <f t="shared" si="64"/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19:24:23-0600',mode:absolute,to:'1969-12-31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5" s="54" t="str">
        <f t="shared" si="66"/>
        <v>Y</v>
      </c>
      <c r="X225" s="163" t="e">
        <f t="shared" si="59"/>
        <v>#VALUE!</v>
      </c>
      <c r="Y225" s="69">
        <f t="shared" si="67"/>
        <v>4.3499999999999997E-2</v>
      </c>
      <c r="Z225" s="69">
        <f t="shared" si="68"/>
        <v>2.3313999999999999</v>
      </c>
      <c r="AA225" s="69">
        <f t="shared" si="69"/>
        <v>2.2879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70"/>
        <v>87-09</v>
      </c>
      <c r="AE225" s="94" t="str">
        <f t="shared" si="7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5" s="91" t="str">
        <f t="shared" si="72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25" s="1" t="str">
        <f t="shared" si="73"/>
        <v>Other</v>
      </c>
      <c r="AH225" s="95" t="str">
        <f t="shared" si="74"/>
        <v>"%USERPROFILE%\Documents\GitHub\eaglep3\Utilities\RefineRTDCRunTimes.py" --tripid 87-09 --locoid 4018 --swversion DE.1.0.7.0 --startMP 204:435 --initTime 2016-10-09T20:24:23 --startdatetime 1969-12-31T17:00:00 --delay 1 --endMP 300:23314 --enddatetime 1969-12-31T17:00:00 --enforcementcount 0 &gt;&gt;C:\Users\stu\Documents\GitHub\eaglep3-reporting\EC\2016-10-09-refined-times.txt</v>
      </c>
      <c r="AI225" s="12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ID","value":"87-09"},{"id":16,"name":"Locomotive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592</v>
      </c>
      <c r="B226" s="7">
        <v>4040</v>
      </c>
      <c r="C226" s="24" t="s">
        <v>106</v>
      </c>
      <c r="D226" s="24" t="s">
        <v>760</v>
      </c>
      <c r="E226" s="15">
        <v>42652.895219907405</v>
      </c>
      <c r="F226" s="15">
        <v>25568.708333333332</v>
      </c>
      <c r="G226" s="7">
        <v>2</v>
      </c>
      <c r="H226" s="15" t="s">
        <v>725</v>
      </c>
      <c r="I226" s="15">
        <v>25568.708333333332</v>
      </c>
      <c r="J226" s="7">
        <v>0</v>
      </c>
      <c r="K226" s="116" t="str">
        <f t="shared" si="60"/>
        <v>4039/4040</v>
      </c>
      <c r="L226" s="24" t="str">
        <f>VLOOKUP(A226,'Trips&amp;Operators'!$C$1:$E$10000,3,FALSE)</f>
        <v>PUGH</v>
      </c>
      <c r="M226" s="6">
        <f t="shared" si="61"/>
        <v>0</v>
      </c>
      <c r="N226" s="7">
        <f t="shared" si="62"/>
        <v>0</v>
      </c>
      <c r="O226" s="7"/>
      <c r="P226" s="7"/>
      <c r="Q226" s="25"/>
      <c r="R226" s="25"/>
      <c r="S226" s="37">
        <f t="shared" si="63"/>
        <v>0</v>
      </c>
      <c r="T226" s="52" t="e">
        <f t="shared" si="64"/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 t="shared" si="65"/>
        <v>https://search-rtdc-monitor-bjffxe2xuh6vdkpspy63sjmuny.us-east-1.es.amazonaws.com/_plugin/kibana/#/discover/Steve-Slow-Train-Analysis-(2080s-and-2083s)?_g=(refreshInterval:(display:Off,section:0,value:0),time:(from:'2016-10-09 20:29:07-0600',mode:absolute,to:'1969-12-31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6" s="54" t="str">
        <f t="shared" si="66"/>
        <v>Y</v>
      </c>
      <c r="X226" s="163" t="e">
        <f t="shared" si="59"/>
        <v>#VALUE!</v>
      </c>
      <c r="Y226" s="69">
        <f t="shared" si="67"/>
        <v>3.9699999999999999E-2</v>
      </c>
      <c r="Z226" s="69">
        <f t="shared" si="68"/>
        <v>2.3311999999999999</v>
      </c>
      <c r="AA226" s="69">
        <f t="shared" si="69"/>
        <v>2.2915000000000001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70"/>
        <v>91-09</v>
      </c>
      <c r="AE226" s="94" t="str">
        <f t="shared" si="7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6" s="91" t="str">
        <f t="shared" si="72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26" s="1" t="str">
        <f t="shared" si="73"/>
        <v>Other</v>
      </c>
      <c r="AH226" s="95" t="str">
        <f t="shared" si="74"/>
        <v>"%USERPROFILE%\Documents\GitHub\eaglep3\Utilities\RefineRTDCRunTimes.py" --tripid 91-09 --locoid 4040 --swversion DE.1.0.7.0 --startMP 204:397 --initTime 2016-10-09T21:29:07 --startdatetime 1969-12-31T17:00:00 --delay 2 --endMP 300:23312 --enddatetime 1969-12-31T17:00:00 --enforcementcount 0 &gt;&gt;C:\Users\stu\Documents\GitHub\eaglep3-reporting\EC\2016-10-09-refined-times.txt</v>
      </c>
      <c r="AI226" s="129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ID","value":"91-09"},{"id":16,"name":"Locomotive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6"/>
      <c r="L227" s="24"/>
      <c r="M227" s="6"/>
      <c r="N227" s="7"/>
      <c r="O227" s="7"/>
      <c r="P227" s="7"/>
      <c r="Q227" s="25"/>
      <c r="R227" s="25"/>
      <c r="S227" s="37"/>
      <c r="T227" s="52"/>
      <c r="U227" s="158"/>
      <c r="V227" s="101"/>
      <c r="W227" s="54"/>
      <c r="X227" s="163"/>
      <c r="Y227" s="69"/>
      <c r="Z227" s="69"/>
      <c r="AA227" s="69"/>
      <c r="AB227" s="66"/>
      <c r="AC227" s="62"/>
      <c r="AD227" s="63"/>
      <c r="AE227" s="94"/>
      <c r="AF227" s="91"/>
      <c r="AG227" s="1"/>
      <c r="AI227" s="12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55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L15" sqref="L1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2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31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5" t="str">
        <f>"Eagle P3 Braking Events - "&amp;TEXT(Variables!$A$2,"YYYY-mm-dd")</f>
        <v>Eagle P3 Braking Events - 2016-10-09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169</v>
      </c>
      <c r="J6" s="131" t="s">
        <v>30</v>
      </c>
      <c r="K6" s="132" t="s">
        <v>29</v>
      </c>
      <c r="L6" s="144" t="s">
        <v>28</v>
      </c>
      <c r="M6" s="132" t="s">
        <v>170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206</v>
      </c>
    </row>
    <row r="7" spans="1:29" s="1" customFormat="1" x14ac:dyDescent="0.25">
      <c r="A7" s="38">
        <v>42652.422453703701</v>
      </c>
      <c r="B7" s="33" t="s">
        <v>218</v>
      </c>
      <c r="C7" s="33" t="s">
        <v>463</v>
      </c>
      <c r="D7" s="33" t="s">
        <v>219</v>
      </c>
      <c r="E7" s="33" t="s">
        <v>163</v>
      </c>
      <c r="F7" s="49">
        <v>0</v>
      </c>
      <c r="G7" s="49">
        <v>181</v>
      </c>
      <c r="H7" s="49">
        <v>30906</v>
      </c>
      <c r="I7" s="49">
        <v>31242</v>
      </c>
      <c r="J7" s="33" t="s">
        <v>162</v>
      </c>
      <c r="K7" s="49">
        <v>30830</v>
      </c>
      <c r="L7" s="145" t="s">
        <v>52</v>
      </c>
      <c r="M7" s="148">
        <f t="shared" ref="M7:M39" si="0">CONVERT((I7-K7)/10000,"mi","ft")*IF(L7="Increasing Mileposts (1)",-1,1)</f>
        <v>-217.536</v>
      </c>
      <c r="N7" s="87" t="str">
        <f>VLOOKUP(C7,'Trips&amp;Operators'!$C$1:$E$99999,3,FALSE)</f>
        <v>MALAVE</v>
      </c>
      <c r="O7" s="169" t="s">
        <v>86</v>
      </c>
      <c r="P7" s="10" t="s">
        <v>772</v>
      </c>
      <c r="Q7" s="33"/>
      <c r="R7" s="103" t="str">
        <f>VLOOKUP(C7,'Train Runs'!$A$13:$AE$10008,31,0)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S7" s="106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8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/stypes="*4018*201610091*" /stext=" 16:.+((SYSTEM_STATE.+slice.+state.+changed )|(ment ac)|(system.+state.+changed )|(\[timeout)|(PRM\|1\|D)|(kpr)|(kdp)|(\|lc)|(penalty))" /e /r /s</v>
      </c>
      <c r="U7" s="9" t="str">
        <f t="shared" ref="U7:U39" si="2">MID(B7,13,4)</f>
        <v>4018</v>
      </c>
      <c r="V7" s="38">
        <f t="shared" ref="V7:V39" si="3">A7+6/24</f>
        <v>42652.672453703701</v>
      </c>
      <c r="W7" s="52" t="str">
        <f t="shared" ref="W7:W39" si="4">IF(VALUE(LEFT(IF(LEN(C7)=6,"0"&amp;C7,C7),2))&lt;=2,"EC",IF(OR(VALUE(LEFT(IF(LEN(C7)=6,"0"&amp;C7,C7),2))=8,VALUE(LEFT(IF(LEN(C7)=6,"0"&amp;C7,C7),2))=18),"NW","Other"))</f>
        <v>EC</v>
      </c>
      <c r="X7" s="52" t="str">
        <f t="shared" ref="X7:X39" si="5">IF(AND(E7="TRACK WARRANT AUTHORITY",G7&lt;10),"OMIT","KEEP")</f>
        <v>KEEP</v>
      </c>
      <c r="Y7" s="129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arrival","project_id":79,"tracker_id":40,"status_id":1,"priority_id":2,"assigned_to_id":23,"start_date":"2016-10-09","description":"","custom_fields":[{"id":1,"name":"Subdivision","value":"EC"},{"id":4,"name":"Milepost","value":"3.083"},{"id":17,"name":"Train ID","value":"151-09"},{"id":16,"name":"Locomotive ID","value":"4018"},{"id":130,"name":"Impact","value":""},{"id":150,"name":"Time of Event (Mountain Time)","value":"10:08:20"},{"id":151,"name":"Denver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 t="shared" ref="AC7:AC3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"%USERPROFILE%\AppData\Local\Temp\OnboardLogs"\RTDC4018\*4018*201610091* | grep -SE "((Enforcement Ac)|(PRM))" -</v>
      </c>
    </row>
    <row r="8" spans="1:29" s="1" customFormat="1" x14ac:dyDescent="0.25">
      <c r="A8" s="38">
        <v>42652.776828703703</v>
      </c>
      <c r="B8" s="33" t="s">
        <v>350</v>
      </c>
      <c r="C8" s="33" t="s">
        <v>558</v>
      </c>
      <c r="D8" s="33" t="s">
        <v>219</v>
      </c>
      <c r="E8" s="33" t="s">
        <v>163</v>
      </c>
      <c r="F8" s="49">
        <v>0</v>
      </c>
      <c r="G8" s="49">
        <v>189</v>
      </c>
      <c r="H8" s="49">
        <v>30888</v>
      </c>
      <c r="I8" s="49">
        <v>30972</v>
      </c>
      <c r="J8" s="33" t="s">
        <v>162</v>
      </c>
      <c r="K8" s="49">
        <v>30830</v>
      </c>
      <c r="L8" s="145" t="s">
        <v>52</v>
      </c>
      <c r="M8" s="148">
        <f t="shared" si="0"/>
        <v>-74.975999999999999</v>
      </c>
      <c r="N8" s="87" t="str">
        <f>VLOOKUP(C8,'Trips&amp;Operators'!$C$1:$E$99999,3,FALSE)</f>
        <v>CHANDLER</v>
      </c>
      <c r="O8" s="169" t="s">
        <v>86</v>
      </c>
      <c r="P8" s="10" t="s">
        <v>772</v>
      </c>
      <c r="Q8" s="33"/>
      <c r="R8" s="103" t="str">
        <f>VLOOKUP(C8,'Train Runs'!$A$13:$AE$10008,31,0)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S8" s="106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17:26:21-0600',mode:absolute,to:'2016-10-09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8" s="108" t="str">
        <f t="shared" si="1"/>
        <v>"C:\Program Files (x86)\AstroGrep\AstroGrep.exe" /spath="%USERPROFILE%\AppData\Local\Temp\OnboardLogs" /stypes="*4027*201610100*" /stext=" 00:.+((SYSTEM_STATE.+slice.+state.+changed )|(ment ac)|(system.+state.+changed )|(\[timeout)|(PRM\|1\|D)|(kpr)|(kdp)|(\|lc)|(penalty))" /e /r /s</v>
      </c>
      <c r="U8" s="9" t="str">
        <f t="shared" si="2"/>
        <v>4027</v>
      </c>
      <c r="V8" s="38">
        <f t="shared" si="3"/>
        <v>42653.026828703703</v>
      </c>
      <c r="W8" s="52" t="str">
        <f t="shared" si="4"/>
        <v>EC</v>
      </c>
      <c r="X8" s="52" t="str">
        <f t="shared" si="5"/>
        <v>KEEP</v>
      </c>
      <c r="Y8" s="129" t="str">
        <f t="shared" si="6"/>
        <v>echo {"issue":{"subject":"Early arrival","project_id":79,"tracker_id":40,"status_id":1,"priority_id":2,"assigned_to_id":23,"start_date":"2016-10-09","description":"","custom_fields":[{"id":1,"name":"Subdivision","value":"EC"},{"id":4,"name":"Milepost","value":"3.083"},{"id":17,"name":"Train ID","value":"219-09"},{"id":16,"name":"Locomotive ID","value":"4027"},{"id":130,"name":"Impact","value":""},{"id":150,"name":"Time of Event (Mountain Time)","value":"18:38:38"},{"id":151,"name":"Denver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 t="shared" si="7"/>
        <v>grep -hSE -A100 "Enforcement Action" "%USERPROFILE%\AppData\Local\Temp\OnboardLogs"\RTDC4027\*4027*201610100* | grep -SE "((Enforcement Ac)|(PRM))" -</v>
      </c>
    </row>
    <row r="9" spans="1:29" s="1" customFormat="1" x14ac:dyDescent="0.25">
      <c r="A9" s="38">
        <v>42652.799247685187</v>
      </c>
      <c r="B9" s="33" t="s">
        <v>166</v>
      </c>
      <c r="C9" s="33" t="s">
        <v>560</v>
      </c>
      <c r="D9" s="33" t="s">
        <v>49</v>
      </c>
      <c r="E9" s="33" t="s">
        <v>163</v>
      </c>
      <c r="F9" s="49">
        <v>0</v>
      </c>
      <c r="G9" s="49">
        <v>289</v>
      </c>
      <c r="H9" s="49">
        <v>33599</v>
      </c>
      <c r="I9" s="49">
        <v>33044</v>
      </c>
      <c r="J9" s="33" t="s">
        <v>162</v>
      </c>
      <c r="K9" s="49">
        <v>33257</v>
      </c>
      <c r="L9" s="145" t="s">
        <v>53</v>
      </c>
      <c r="M9" s="148">
        <f t="shared" si="0"/>
        <v>-112.464</v>
      </c>
      <c r="N9" s="87" t="str">
        <f>VLOOKUP(C9,'Trips&amp;Operators'!$C$1:$E$99999,3,FALSE)</f>
        <v>COOLAHAN</v>
      </c>
      <c r="O9" s="169" t="s">
        <v>86</v>
      </c>
      <c r="P9" s="10" t="s">
        <v>772</v>
      </c>
      <c r="Q9" s="33"/>
      <c r="R9" s="103" t="str">
        <f>VLOOKUP(C9,'Train Runs'!$A$13:$AE$10008,31,0)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S9" s="106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17:30:37-0600',mode:absolute,to:'2016-10-09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8" t="str">
        <f t="shared" si="1"/>
        <v>"C:\Program Files (x86)\AstroGrep\AstroGrep.exe" /spath="%USERPROFILE%\AppData\Local\Temp\OnboardLogs" /stypes="*4026*201610100*" /stext=" 01:.+((SYSTEM_STATE.+slice.+state.+changed )|(ment ac)|(system.+state.+changed )|(\[timeout)|(PRM\|1\|D)|(kpr)|(kdp)|(\|lc)|(penalty))" /e /r /s</v>
      </c>
      <c r="U9" s="9" t="str">
        <f t="shared" si="2"/>
        <v>4026</v>
      </c>
      <c r="V9" s="38">
        <f t="shared" si="3"/>
        <v>42653.049247685187</v>
      </c>
      <c r="W9" s="52" t="str">
        <f t="shared" si="4"/>
        <v>EC</v>
      </c>
      <c r="X9" s="52" t="str">
        <f t="shared" si="5"/>
        <v>KEEP</v>
      </c>
      <c r="Y9" s="129" t="str">
        <f t="shared" si="6"/>
        <v>echo {"issue":{"subject":"Early arrival","project_id":79,"tracker_id":40,"status_id":1,"priority_id":2,"assigned_to_id":23,"start_date":"2016-10-09","description":"","custom_fields":[{"id":1,"name":"Subdivision","value":"EC"},{"id":4,"name":"Milepost","value":"3.3257"},{"id":17,"name":"Train ID","value":"214-09"},{"id":16,"name":"Locomotive ID","value":"4026"},{"id":130,"name":"Impact","value":""},{"id":150,"name":"Time of Event (Mountain Time)","value":"19:10:55"},{"id":151,"name":"Denver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 t="shared" si="7"/>
        <v>grep -hSE -A100 "Enforcement Action" "%USERPROFILE%\AppData\Local\Temp\OnboardLogs"\RTDC4026\*4026*201610100* | grep -SE "((Enforcement Ac)|(PRM))" -</v>
      </c>
    </row>
    <row r="10" spans="1:29" s="1" customFormat="1" x14ac:dyDescent="0.25">
      <c r="A10" s="38">
        <v>42652.347037037034</v>
      </c>
      <c r="B10" s="33" t="s">
        <v>249</v>
      </c>
      <c r="C10" s="33" t="s">
        <v>440</v>
      </c>
      <c r="D10" s="33" t="s">
        <v>105</v>
      </c>
      <c r="E10" s="33" t="s">
        <v>56</v>
      </c>
      <c r="F10" s="49">
        <v>150</v>
      </c>
      <c r="G10" s="49">
        <v>201</v>
      </c>
      <c r="H10" s="49">
        <v>2408</v>
      </c>
      <c r="I10" s="49">
        <v>2061</v>
      </c>
      <c r="J10" s="33" t="s">
        <v>57</v>
      </c>
      <c r="K10" s="49">
        <v>4677</v>
      </c>
      <c r="L10" s="145" t="s">
        <v>53</v>
      </c>
      <c r="M10" s="148">
        <f t="shared" si="0"/>
        <v>-1381.248</v>
      </c>
      <c r="N10" s="87" t="str">
        <f>VLOOKUP(C10,'Trips&amp;Operators'!$C$1:$E$99999,3,FALSE)</f>
        <v>STRICKLAND</v>
      </c>
      <c r="O10" s="169" t="s">
        <v>86</v>
      </c>
      <c r="P10" s="10"/>
      <c r="Q10" s="33"/>
      <c r="R10" s="103" t="str">
        <f>VLOOKUP(C10,'Train Runs'!$A$13:$AE$10008,31,0)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S10" s="106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8" t="str">
        <f t="shared" si="1"/>
        <v>"C:\Program Files (x86)\AstroGrep\AstroGrep.exe" /spath="%USERPROFILE%\AppData\Local\Temp\OnboardLogs" /stypes="*4001*201610091*" /stext=" 14:.+((SYSTEM_STATE.+slice.+state.+changed )|(ment ac)|(system.+state.+changed )|(\[timeout)|(PRM\|1\|D)|(kpr)|(kdp)|(\|lc)|(penalty))" /e /r /s</v>
      </c>
      <c r="U10" s="9" t="str">
        <f t="shared" si="2"/>
        <v>4001</v>
      </c>
      <c r="V10" s="38">
        <f t="shared" si="3"/>
        <v>42652.597037037034</v>
      </c>
      <c r="W10" s="52" t="str">
        <f t="shared" si="4"/>
        <v>EC</v>
      </c>
      <c r="X10" s="52" t="str">
        <f t="shared" si="5"/>
        <v>KEEP</v>
      </c>
      <c r="Y10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{"issue":{"subject":"","project_id":79,"tracker_id":40,"status_id":1,"priority_id":2,"assigned_to_id":23,"start_date":"2016-10-09","description":"","custom_fields":[{"id":1,"name":"Subdivision","value":"EC"},{"id":4,"name":"Milepost","value":"0.4677"},{"id":17,"name":"Train ID","value":"126-09"},{"id":16,"name":"Locomotive ID","value":"4001"},{"id":130,"name":"Impact","value":""},{"id":150,"name":"Time of Event (Mountain Time)","value":"08:19:44"},{"id":151,"name":"Denver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 t="shared" si="7"/>
        <v>grep -hSE -A100 "Enforcement Action" "%USERPROFILE%\AppData\Local\Temp\OnboardLogs"\RTDC4001\*4001*201610091* | grep -SE "((Enforcement Ac)|(PRM))" -</v>
      </c>
    </row>
    <row r="11" spans="1:29" s="1" customFormat="1" x14ac:dyDescent="0.25">
      <c r="A11" s="38">
        <v>42652.283125000002</v>
      </c>
      <c r="B11" s="33" t="s">
        <v>250</v>
      </c>
      <c r="C11" s="33" t="s">
        <v>431</v>
      </c>
      <c r="D11" s="33" t="s">
        <v>105</v>
      </c>
      <c r="E11" s="33" t="s">
        <v>56</v>
      </c>
      <c r="F11" s="49">
        <v>200</v>
      </c>
      <c r="G11" s="49">
        <v>254</v>
      </c>
      <c r="H11" s="49">
        <v>5378</v>
      </c>
      <c r="I11" s="49">
        <v>6034</v>
      </c>
      <c r="J11" s="33" t="s">
        <v>57</v>
      </c>
      <c r="K11" s="49">
        <v>4677</v>
      </c>
      <c r="L11" s="145" t="s">
        <v>52</v>
      </c>
      <c r="M11" s="148">
        <f t="shared" si="0"/>
        <v>-716.49599999999987</v>
      </c>
      <c r="N11" s="87" t="str">
        <f>VLOOKUP(C11,'Trips&amp;Operators'!$C$1:$E$99999,3,FALSE)</f>
        <v>STRICKLAND</v>
      </c>
      <c r="O11" s="169" t="s">
        <v>86</v>
      </c>
      <c r="P11" s="10"/>
      <c r="Q11" s="33"/>
      <c r="R11" s="103" t="str">
        <f>VLOOKUP(C11,'Train Runs'!$A$13:$AE$10008,31,0)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S11" s="106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https://search-rtdc-monitor-bjffxe2xuh6vdkpspy63sjmuny.us-east-1.es.amazonaws.com/_plugin/kibana/#/discover/Steve-Slow-Train-Analysis-(2080s-and-2083s)?_g=(refreshInterval:(display:Off,section:0,value:0),time:(from:'2016-10-09 05:39:27-0600',mode:absolute,to:'2016-10-09 08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8" t="str">
        <f t="shared" si="1"/>
        <v>"C:\Program Files (x86)\AstroGrep\AstroGrep.exe" /spath="%USERPROFILE%\AppData\Local\Temp\OnboardLogs" /stypes="*4002*201610091*" /stext=" 12:.+((SYSTEM_STATE.+slice.+state.+changed )|(ment ac)|(system.+state.+changed )|(\[timeout)|(PRM\|1\|D)|(kpr)|(kdp)|(\|lc)|(penalty))" /e /r /s</v>
      </c>
      <c r="U11" s="9" t="str">
        <f t="shared" si="2"/>
        <v>4002</v>
      </c>
      <c r="V11" s="38">
        <f t="shared" si="3"/>
        <v>42652.533125000002</v>
      </c>
      <c r="W11" s="52" t="str">
        <f t="shared" si="4"/>
        <v>EC</v>
      </c>
      <c r="X11" s="52" t="str">
        <f t="shared" si="5"/>
        <v>KEEP</v>
      </c>
      <c r="Y11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{"issue":{"subject":"","project_id":79,"tracker_id":40,"status_id":1,"priority_id":2,"assigned_to_id":23,"start_date":"2016-10-09","description":"","custom_fields":[{"id":1,"name":"Subdivision","value":"EC"},{"id":4,"name":"Milepost","value":"0.4677"},{"id":17,"name":"Train ID","value":"125-09"},{"id":16,"name":"Locomotive ID","value":"4002"},{"id":130,"name":"Impact","value":""},{"id":150,"name":"Time of Event (Mountain Time)","value":"06:47:42"},{"id":151,"name":"Denver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 t="shared" si="7"/>
        <v>grep -hSE -A100 "Enforcement Action" "%USERPROFILE%\AppData\Local\Temp\OnboardLogs"\RTDC4002\*4002*201610091* | grep -SE "((Enforcement Ac)|(PRM))" -</v>
      </c>
    </row>
    <row r="12" spans="1:29" s="1" customFormat="1" x14ac:dyDescent="0.25">
      <c r="A12" s="38">
        <v>42652.356724537036</v>
      </c>
      <c r="B12" s="33" t="s">
        <v>250</v>
      </c>
      <c r="C12" s="33" t="s">
        <v>448</v>
      </c>
      <c r="D12" s="33" t="s">
        <v>49</v>
      </c>
      <c r="E12" s="33" t="s">
        <v>56</v>
      </c>
      <c r="F12" s="49">
        <v>450</v>
      </c>
      <c r="G12" s="49">
        <v>500</v>
      </c>
      <c r="H12" s="49">
        <v>10303</v>
      </c>
      <c r="I12" s="49">
        <v>11793</v>
      </c>
      <c r="J12" s="33" t="s">
        <v>57</v>
      </c>
      <c r="K12" s="49">
        <v>11201</v>
      </c>
      <c r="L12" s="145" t="s">
        <v>52</v>
      </c>
      <c r="M12" s="148">
        <f t="shared" si="0"/>
        <v>-312.57600000000002</v>
      </c>
      <c r="N12" s="87" t="str">
        <f>VLOOKUP(C12,'Trips&amp;Operators'!$C$1:$E$99999,3,FALSE)</f>
        <v>STRICKLAND</v>
      </c>
      <c r="O12" s="169" t="s">
        <v>86</v>
      </c>
      <c r="P12" s="10"/>
      <c r="Q12" s="33"/>
      <c r="R12" s="103" t="str">
        <f>VLOOKUP(C12,'Train Runs'!$A$13:$AE$10008,31,0)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S12" s="106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https://search-rtdc-monitor-bjffxe2xuh6vdkpspy63sjmuny.us-east-1.es.amazonaws.com/_plugin/kibana/#/discover/Steve-Slow-Train-Analysis-(2080s-and-2083s)?_g=(refreshInterval:(display:Off,section:0,value:0),time:(from:'2016-10-09 07:23:57-0600',mode:absolute,to:'2016-10-09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2" s="108" t="str">
        <f t="shared" si="1"/>
        <v>"C:\Program Files (x86)\AstroGrep\AstroGrep.exe" /spath="%USERPROFILE%\AppData\Local\Temp\OnboardLogs" /stypes="*4002*201610091*" /stext=" 14:.+((SYSTEM_STATE.+slice.+state.+changed )|(ment ac)|(system.+state.+changed )|(\[timeout)|(PRM\|1\|D)|(kpr)|(kdp)|(\|lc)|(penalty))" /e /r /s</v>
      </c>
      <c r="U12" s="9" t="str">
        <f t="shared" si="2"/>
        <v>4002</v>
      </c>
      <c r="V12" s="38">
        <f t="shared" si="3"/>
        <v>42652.606724537036</v>
      </c>
      <c r="W12" s="52" t="str">
        <f t="shared" si="4"/>
        <v>EC</v>
      </c>
      <c r="X12" s="52" t="str">
        <f t="shared" si="5"/>
        <v>KEEP</v>
      </c>
      <c r="Y12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{"issue":{"subject":"","project_id":79,"tracker_id":40,"status_id":1,"priority_id":2,"assigned_to_id":23,"start_date":"2016-10-09","description":"","custom_fields":[{"id":1,"name":"Subdivision","value":"EC"},{"id":4,"name":"Milepost","value":"1.1201"},{"id":17,"name":"Train ID","value":"139-09"},{"id":16,"name":"Locomotive ID","value":"4002"},{"id":130,"name":"Impact","value":""},{"id":150,"name":"Time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 t="shared" si="7"/>
        <v>grep -hSE -A100 "Enforcement Action" "%USERPROFILE%\AppData\Local\Temp\OnboardLogs"\RTDC4002\*4002*201610091* | grep -SE "((Enforcement Ac)|(PRM))" -</v>
      </c>
    </row>
    <row r="13" spans="1:29" s="1" customFormat="1" x14ac:dyDescent="0.25">
      <c r="A13" s="38">
        <v>42652.260104166664</v>
      </c>
      <c r="B13" s="33" t="s">
        <v>217</v>
      </c>
      <c r="C13" s="33" t="s">
        <v>420</v>
      </c>
      <c r="D13" s="33" t="s">
        <v>49</v>
      </c>
      <c r="E13" s="33" t="s">
        <v>56</v>
      </c>
      <c r="F13" s="49">
        <v>300</v>
      </c>
      <c r="G13" s="49">
        <v>427</v>
      </c>
      <c r="H13" s="49">
        <v>23519</v>
      </c>
      <c r="I13" s="49">
        <v>22059</v>
      </c>
      <c r="J13" s="33" t="s">
        <v>57</v>
      </c>
      <c r="K13" s="49">
        <v>21848</v>
      </c>
      <c r="L13" s="145" t="s">
        <v>53</v>
      </c>
      <c r="M13" s="148">
        <f t="shared" si="0"/>
        <v>111.408</v>
      </c>
      <c r="N13" s="87" t="str">
        <f>VLOOKUP(C13,'Trips&amp;Operators'!$C$1:$E$99999,3,FALSE)</f>
        <v>MALAVE</v>
      </c>
      <c r="O13" s="169" t="s">
        <v>86</v>
      </c>
      <c r="P13" s="10"/>
      <c r="Q13" s="33"/>
      <c r="R13" s="103" t="str">
        <f>VLOOKUP(C13,'Train Runs'!$A$13:$AE$10008,31,0)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S13" s="106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https://search-rtdc-monitor-bjffxe2xuh6vdkpspy63sjmuny.us-east-1.es.amazonaws.com/_plugin/kibana/#/discover/Steve-Slow-Train-Analysis-(2080s-and-2083s)?_g=(refreshInterval:(display:Off,section:0,value:0),time:(from:'2016-10-09 04:36:05-0600',mode:absolute,to:'2016-10-09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3" s="108" t="str">
        <f t="shared" si="1"/>
        <v>"C:\Program Files (x86)\AstroGrep\AstroGrep.exe" /spath="%USERPROFILE%\AppData\Local\Temp\OnboardLogs" /stypes="*4017*201610091*" /stext=" 12:.+((SYSTEM_STATE.+slice.+state.+changed )|(ment ac)|(system.+state.+changed )|(\[timeout)|(PRM\|1\|D)|(kpr)|(kdp)|(\|lc)|(penalty))" /e /r /s</v>
      </c>
      <c r="U13" s="9" t="str">
        <f t="shared" si="2"/>
        <v>4017</v>
      </c>
      <c r="V13" s="38">
        <f t="shared" si="3"/>
        <v>42652.510104166664</v>
      </c>
      <c r="W13" s="52" t="str">
        <f t="shared" si="4"/>
        <v>EC</v>
      </c>
      <c r="X13" s="52" t="str">
        <f t="shared" si="5"/>
        <v>KEEP</v>
      </c>
      <c r="Y13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{"issue":{"subject":"","project_id":79,"tracker_id":40,"status_id":1,"priority_id":2,"assigned_to_id":23,"start_date":"2016-10-09","description":"","custom_fields":[{"id":1,"name":"Subdivision","value":"EC"},{"id":4,"name":"Milepost","value":"2.1848"},{"id":17,"name":"Train ID","value":"110-09"},{"id":16,"name":"Locomotive ID","value":"4017"},{"id":130,"name":"Impact","value":""},{"id":150,"name":"Time of Event (Mountain Time)","value":"06:14:33"},{"id":151,"name":"Denver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 t="shared" si="7"/>
        <v>grep -hSE -A100 "Enforcement Action" "%USERPROFILE%\AppData\Local\Temp\OnboardLogs"\RTDC4017\*4017*201610091* | grep -SE "((Enforcement Ac)|(PRM))" -</v>
      </c>
    </row>
    <row r="14" spans="1:29" s="1" customFormat="1" x14ac:dyDescent="0.25">
      <c r="A14" s="38">
        <v>42652.440532407411</v>
      </c>
      <c r="B14" s="33" t="s">
        <v>218</v>
      </c>
      <c r="C14" s="33" t="s">
        <v>463</v>
      </c>
      <c r="D14" s="33" t="s">
        <v>49</v>
      </c>
      <c r="E14" s="33" t="s">
        <v>56</v>
      </c>
      <c r="F14" s="49">
        <v>350</v>
      </c>
      <c r="G14" s="49">
        <v>436</v>
      </c>
      <c r="H14" s="49">
        <v>223736</v>
      </c>
      <c r="I14" s="49">
        <v>224900</v>
      </c>
      <c r="J14" s="33" t="s">
        <v>57</v>
      </c>
      <c r="K14" s="49">
        <v>224578</v>
      </c>
      <c r="L14" s="145" t="s">
        <v>52</v>
      </c>
      <c r="M14" s="148">
        <f t="shared" si="0"/>
        <v>-170.01599999999999</v>
      </c>
      <c r="N14" s="87" t="str">
        <f>VLOOKUP(C14,'Trips&amp;Operators'!$C$1:$E$99999,3,FALSE)</f>
        <v>MALAVE</v>
      </c>
      <c r="O14" s="169" t="s">
        <v>86</v>
      </c>
      <c r="P14" s="10"/>
      <c r="Q14" s="33"/>
      <c r="R14" s="103" t="str">
        <f>VLOOKUP(C14,'Train Runs'!$A$13:$AE$10008,31,0)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S14" s="106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4" s="108" t="str">
        <f t="shared" si="1"/>
        <v>"C:\Program Files (x86)\AstroGrep\AstroGrep.exe" /spath="%USERPROFILE%\AppData\Local\Temp\OnboardLogs" /stypes="*4018*201610091*" /stext=" 16:.+((SYSTEM_STATE.+slice.+state.+changed )|(ment ac)|(system.+state.+changed )|(\[timeout)|(PRM\|1\|D)|(kpr)|(kdp)|(\|lc)|(penalty))" /e /r /s</v>
      </c>
      <c r="U14" s="9" t="str">
        <f t="shared" si="2"/>
        <v>4018</v>
      </c>
      <c r="V14" s="38">
        <f t="shared" si="3"/>
        <v>42652.690532407411</v>
      </c>
      <c r="W14" s="52" t="str">
        <f t="shared" si="4"/>
        <v>EC</v>
      </c>
      <c r="X14" s="52" t="str">
        <f t="shared" si="5"/>
        <v>KEEP</v>
      </c>
      <c r="Y14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{"issue":{"subject":"","project_id":79,"tracker_id":40,"status_id":1,"priority_id":2,"assigned_to_id":23,"start_date":"2016-10-09","description":"","custom_fields":[{"id":1,"name":"Subdivision","value":"EC"},{"id":4,"name":"Milepost","value":"22.4578"},{"id":17,"name":"Train ID","value":"151-09"},{"id":16,"name":"Locomotive ID","value":"4018"},{"id":130,"name":"Impact","value":""},{"id":150,"name":"Time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 t="shared" si="7"/>
        <v>grep -hSE -A100 "Enforcement Action" "%USERPROFILE%\AppData\Local\Temp\OnboardLogs"\RTDC4018\*4018*201610091* | grep -SE "((Enforcement Ac)|(PRM))" -</v>
      </c>
    </row>
    <row r="15" spans="1:29" s="1" customFormat="1" x14ac:dyDescent="0.25">
      <c r="A15" s="38">
        <v>42652.308020833334</v>
      </c>
      <c r="B15" s="33" t="s">
        <v>253</v>
      </c>
      <c r="C15" s="33" t="s">
        <v>433</v>
      </c>
      <c r="D15" s="33" t="s">
        <v>49</v>
      </c>
      <c r="E15" s="33" t="s">
        <v>54</v>
      </c>
      <c r="F15" s="49">
        <v>0</v>
      </c>
      <c r="G15" s="49">
        <v>426</v>
      </c>
      <c r="H15" s="49">
        <v>126379</v>
      </c>
      <c r="I15" s="49">
        <v>127911</v>
      </c>
      <c r="J15" s="33" t="s">
        <v>55</v>
      </c>
      <c r="K15" s="49">
        <v>126585</v>
      </c>
      <c r="L15" s="145" t="s">
        <v>52</v>
      </c>
      <c r="M15" s="148">
        <f t="shared" si="0"/>
        <v>-700.12800000000004</v>
      </c>
      <c r="N15" s="87" t="str">
        <f>VLOOKUP(C15,'Trips&amp;Operators'!$C$1:$E$99999,3,FALSE)</f>
        <v>KILLION</v>
      </c>
      <c r="O15" s="169" t="s">
        <v>281</v>
      </c>
      <c r="P15" s="10" t="s">
        <v>766</v>
      </c>
      <c r="Q15" s="33"/>
      <c r="R15" s="103" t="str">
        <f>VLOOKUP(C15,'Train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15" s="106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5" s="108" t="str">
        <f t="shared" si="1"/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15" s="9" t="str">
        <f t="shared" si="2"/>
        <v>4007</v>
      </c>
      <c r="V15" s="38">
        <f t="shared" si="3"/>
        <v>42652.558020833334</v>
      </c>
      <c r="W15" s="52" t="str">
        <f t="shared" si="4"/>
        <v>EC</v>
      </c>
      <c r="X15" s="52" t="str">
        <f t="shared" si="5"/>
        <v>KEEP</v>
      </c>
      <c r="Y15" s="129" t="str">
        <f t="shared" si="6"/>
        <v>echo {"issue":{"subject":"40th 2N - Premature downgrade","project_id":79,"tracker_id":40,"status_id":1,"priority_id":2,"assigned_to_id":23,"start_date":"2016-10-09","description":"Aspect of 40th 2N changed from PROCEED CAB to STOP, seems like this wasn't expected/intended by the operator and dispatcher. Any issues here?","custom_fields":[{"id":1,"name":"Subdivision","value":"EC"},{"id":4,"name":"Milepost","value":"12.6585"},{"id":17,"name":"Train ID","value":"127-09"},{"id":16,"name":"Locomotive ID","value":"4007"},{"id":130,"name":"Impact","value":"Enforcement"},{"id":150,"name":"Time of Event (Mountain Time)","value":"07:23:33"},{"id":151,"name":"Denver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55" t="s">
        <v>767</v>
      </c>
      <c r="AA15" s="55" t="s">
        <v>134</v>
      </c>
      <c r="AB15" s="23" t="s">
        <v>139</v>
      </c>
      <c r="AC15" s="170" t="str">
        <f t="shared" si="7"/>
        <v>grep -hSE -A100 "Enforcement Action" "%USERPROFILE%\AppData\Local\Temp\OnboardLogs"\RTDC4007\*4007*201610091* | grep -SE "((Enforcement Ac)|(PRM))" -</v>
      </c>
    </row>
    <row r="16" spans="1:29" s="1" customFormat="1" x14ac:dyDescent="0.25">
      <c r="A16" s="38">
        <v>42652.308923611112</v>
      </c>
      <c r="B16" s="33" t="s">
        <v>253</v>
      </c>
      <c r="C16" s="33" t="s">
        <v>433</v>
      </c>
      <c r="D16" s="33" t="s">
        <v>105</v>
      </c>
      <c r="E16" s="33" t="s">
        <v>54</v>
      </c>
      <c r="F16" s="49">
        <v>0</v>
      </c>
      <c r="G16" s="49">
        <v>5</v>
      </c>
      <c r="H16" s="49">
        <v>127923</v>
      </c>
      <c r="I16" s="49">
        <v>127985</v>
      </c>
      <c r="J16" s="33" t="s">
        <v>55</v>
      </c>
      <c r="K16" s="49">
        <v>126585</v>
      </c>
      <c r="L16" s="145" t="s">
        <v>52</v>
      </c>
      <c r="M16" s="148">
        <f t="shared" si="0"/>
        <v>-739.2</v>
      </c>
      <c r="N16" s="87" t="str">
        <f>VLOOKUP(C16,'Trips&amp;Operators'!$C$1:$E$99999,3,FALSE)</f>
        <v>KILLION</v>
      </c>
      <c r="O16" s="169" t="s">
        <v>281</v>
      </c>
      <c r="P16" s="10" t="s">
        <v>766</v>
      </c>
      <c r="Q16" s="33"/>
      <c r="R16" s="103" t="str">
        <f>VLOOKUP(C16,'Train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16" s="106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6" s="108" t="str">
        <f t="shared" si="1"/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16" s="9" t="str">
        <f t="shared" si="2"/>
        <v>4007</v>
      </c>
      <c r="V16" s="38">
        <f t="shared" si="3"/>
        <v>42652.558923611112</v>
      </c>
      <c r="W16" s="52" t="str">
        <f t="shared" si="4"/>
        <v>EC</v>
      </c>
      <c r="X16" s="52" t="str">
        <f t="shared" si="5"/>
        <v>KEEP</v>
      </c>
      <c r="Y16" s="129" t="str">
        <f t="shared" si="6"/>
        <v>echo {"issue":{"subject":"40th 2N - Premature downgrade","project_id":79,"tracker_id":40,"status_id":1,"priority_id":2,"assigned_to_id":23,"start_date":"2016-10-09","description":"","custom_fields":[{"id":1,"name":"Subdivision","value":"EC"},{"id":4,"name":"Milepost","value":"12.6585"},{"id":17,"name":"Train ID","value":"127-09"},{"id":16,"name":"Locomotive ID","value":"4007"},{"id":130,"name":"Impact","value":""},{"id":150,"name":"Time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 t="shared" si="7"/>
        <v>grep -hSE -A100 "Enforcement Action" "%USERPROFILE%\AppData\Local\Temp\OnboardLogs"\RTDC4007\*4007*201610091* | grep -SE "((Enforcement Ac)|(PRM))" -</v>
      </c>
    </row>
    <row r="17" spans="1:29" s="1" customFormat="1" x14ac:dyDescent="0.25">
      <c r="A17" s="38">
        <v>42652.230023148149</v>
      </c>
      <c r="B17" s="33" t="s">
        <v>346</v>
      </c>
      <c r="C17" s="33" t="s">
        <v>416</v>
      </c>
      <c r="D17" s="33" t="s">
        <v>49</v>
      </c>
      <c r="E17" s="33" t="s">
        <v>54</v>
      </c>
      <c r="F17" s="49">
        <v>0</v>
      </c>
      <c r="G17" s="49">
        <v>386</v>
      </c>
      <c r="H17" s="49">
        <v>193597</v>
      </c>
      <c r="I17" s="49">
        <v>192688</v>
      </c>
      <c r="J17" s="33" t="s">
        <v>55</v>
      </c>
      <c r="K17" s="49">
        <v>191723</v>
      </c>
      <c r="L17" s="145" t="s">
        <v>53</v>
      </c>
      <c r="M17" s="148">
        <f t="shared" si="0"/>
        <v>509.52</v>
      </c>
      <c r="N17" s="87" t="str">
        <f>VLOOKUP(C17,'Trips&amp;Operators'!$C$1:$E$99999,3,FALSE)</f>
        <v>DAVIS</v>
      </c>
      <c r="O17" s="169" t="s">
        <v>86</v>
      </c>
      <c r="P17" s="10" t="s">
        <v>771</v>
      </c>
      <c r="Q17" s="33"/>
      <c r="R17" s="103" t="str">
        <f>VLOOKUP(C17,'Train Runs'!$A$13:$AE$10008,31,0)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17" s="106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https://search-rtdc-monitor-bjffxe2xuh6vdkpspy63sjmuny.us-east-1.es.amazonaws.com/_plugin/kibana/#/discover/Steve-Slow-Train-Analysis-(2080s-and-2083s)?_g=(refreshInterval:(display:Off,section:0,value:0),time:(from:'2016-10-09 04:21:16-0600',mode:absolute,to:'2016-10-09 07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7" s="108" t="str">
        <f t="shared" si="1"/>
        <v>"C:\Program Files (x86)\AstroGrep\AstroGrep.exe" /spath="%USERPROFILE%\AppData\Local\Temp\OnboardLogs" /stypes="*4028*201610091*" /stext=" 11:.+((SYSTEM_STATE.+slice.+state.+changed )|(ment ac)|(system.+state.+changed )|(\[timeout)|(PRM\|1\|D)|(kpr)|(kdp)|(\|lc)|(penalty))" /e /r /s</v>
      </c>
      <c r="U17" s="9" t="str">
        <f t="shared" si="2"/>
        <v>4028</v>
      </c>
      <c r="V17" s="38">
        <f t="shared" si="3"/>
        <v>42652.480023148149</v>
      </c>
      <c r="W17" s="52" t="str">
        <f t="shared" si="4"/>
        <v>EC</v>
      </c>
      <c r="X17" s="52" t="str">
        <f t="shared" si="5"/>
        <v>KEEP</v>
      </c>
      <c r="Y17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ID","value":"108-09"},{"id":16,"name":"Locomotive ID","value":"4028"},{"id":130,"name":"Impact","value":""},{"id":150,"name":"Time of Event (Mountain Time)","value":"05:31:14"},{"id":151,"name":"Denver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 t="shared" si="7"/>
        <v>grep -hSE -A100 "Enforcement Action" "%USERPROFILE%\AppData\Local\Temp\OnboardLogs"\RTDC4028\*4028*201610091* | grep -SE "((Enforcement Ac)|(PRM))" -</v>
      </c>
    </row>
    <row r="18" spans="1:29" s="1" customFormat="1" x14ac:dyDescent="0.25">
      <c r="A18" s="38">
        <v>42652.449178240742</v>
      </c>
      <c r="B18" s="33" t="s">
        <v>346</v>
      </c>
      <c r="C18" s="33" t="s">
        <v>469</v>
      </c>
      <c r="D18" s="33" t="s">
        <v>49</v>
      </c>
      <c r="E18" s="33" t="s">
        <v>54</v>
      </c>
      <c r="F18" s="49">
        <v>0</v>
      </c>
      <c r="G18" s="49">
        <v>493</v>
      </c>
      <c r="H18" s="49">
        <v>194868</v>
      </c>
      <c r="I18" s="49">
        <v>193426</v>
      </c>
      <c r="J18" s="33" t="s">
        <v>55</v>
      </c>
      <c r="K18" s="49">
        <v>191723</v>
      </c>
      <c r="L18" s="145" t="s">
        <v>53</v>
      </c>
      <c r="M18" s="148">
        <f t="shared" si="0"/>
        <v>899.18399999999997</v>
      </c>
      <c r="N18" s="87" t="str">
        <f>VLOOKUP(C18,'Trips&amp;Operators'!$C$1:$E$99999,3,FALSE)</f>
        <v>DAVIS</v>
      </c>
      <c r="O18" s="169" t="s">
        <v>86</v>
      </c>
      <c r="P18" s="10" t="s">
        <v>771</v>
      </c>
      <c r="Q18" s="33"/>
      <c r="R18" s="103" t="str">
        <f>VLOOKUP(C18,'Train Runs'!$A$13:$AE$10008,31,0)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18" s="106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https://search-rtdc-monitor-bjffxe2xuh6vdkpspy63sjmuny.us-east-1.es.amazonaws.com/_plugin/kibana/#/discover/Steve-Slow-Train-Analysis-(2080s-and-2083s)?_g=(refreshInterval:(display:Off,section:0,value:0),time:(from:'2016-10-09 09:33:50-0600',mode:absolute,to:'2016-10-09 12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8" s="108" t="str">
        <f t="shared" si="1"/>
        <v>"C:\Program Files (x86)\AstroGrep\AstroGrep.exe" /spath="%USERPROFILE%\AppData\Local\Temp\OnboardLogs" /stypes="*4028*201610091*" /stext=" 16:.+((SYSTEM_STATE.+slice.+state.+changed )|(ment ac)|(system.+state.+changed )|(\[timeout)|(PRM\|1\|D)|(kpr)|(kdp)|(\|lc)|(penalty))" /e /r /s</v>
      </c>
      <c r="U18" s="9" t="str">
        <f t="shared" si="2"/>
        <v>4028</v>
      </c>
      <c r="V18" s="38">
        <f t="shared" si="3"/>
        <v>42652.699178240742</v>
      </c>
      <c r="W18" s="52" t="str">
        <f t="shared" si="4"/>
        <v>EC</v>
      </c>
      <c r="X18" s="52" t="str">
        <f t="shared" si="5"/>
        <v>KEEP</v>
      </c>
      <c r="Y18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ID","value":"150-09"},{"id":16,"name":"Locomotive ID","value":"4028"},{"id":130,"name":"Impact","value":""},{"id":150,"name":"Time of Event (Mountain Time)","value":"10:46:49"},{"id":151,"name":"Denver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 t="shared" si="7"/>
        <v>grep -hSE -A100 "Enforcement Action" "%USERPROFILE%\AppData\Local\Temp\OnboardLogs"\RTDC4028\*4028*201610091* | grep -SE "((Enforcement Ac)|(PRM))" -</v>
      </c>
    </row>
    <row r="19" spans="1:29" s="1" customFormat="1" x14ac:dyDescent="0.25">
      <c r="A19" s="38">
        <v>42652.585520833331</v>
      </c>
      <c r="B19" s="33" t="s">
        <v>336</v>
      </c>
      <c r="C19" s="33" t="s">
        <v>502</v>
      </c>
      <c r="D19" s="33" t="s">
        <v>49</v>
      </c>
      <c r="E19" s="33" t="s">
        <v>54</v>
      </c>
      <c r="F19" s="49">
        <v>0</v>
      </c>
      <c r="G19" s="49">
        <v>56</v>
      </c>
      <c r="H19" s="49">
        <v>191949</v>
      </c>
      <c r="I19" s="49">
        <v>191797</v>
      </c>
      <c r="J19" s="33" t="s">
        <v>55</v>
      </c>
      <c r="K19" s="49">
        <v>191723</v>
      </c>
      <c r="L19" s="145" t="s">
        <v>53</v>
      </c>
      <c r="M19" s="148">
        <f t="shared" si="0"/>
        <v>39.072000000000003</v>
      </c>
      <c r="N19" s="87" t="str">
        <f>VLOOKUP(C19,'Trips&amp;Operators'!$C$1:$E$99999,3,FALSE)</f>
        <v>BARTLETT</v>
      </c>
      <c r="O19" s="169" t="s">
        <v>86</v>
      </c>
      <c r="P19" s="10" t="s">
        <v>771</v>
      </c>
      <c r="Q19" s="33"/>
      <c r="R19" s="103" t="str">
        <f>VLOOKUP(C19,'Train Runs'!$A$13:$AE$10008,31,0)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19" s="106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8" t="str">
        <f t="shared" si="1"/>
        <v>"C:\Program Files (x86)\AstroGrep\AstroGrep.exe" /spath="%USERPROFILE%\AppData\Local\Temp\OnboardLogs" /stypes="*4013*201610092*" /stext=" 20:.+((SYSTEM_STATE.+slice.+state.+changed )|(ment ac)|(system.+state.+changed )|(\[timeout)|(PRM\|1\|D)|(kpr)|(kdp)|(\|lc)|(penalty))" /e /r /s</v>
      </c>
      <c r="U19" s="9" t="str">
        <f t="shared" si="2"/>
        <v>4013</v>
      </c>
      <c r="V19" s="38">
        <f t="shared" si="3"/>
        <v>42652.835520833331</v>
      </c>
      <c r="W19" s="52" t="str">
        <f t="shared" si="4"/>
        <v>EC</v>
      </c>
      <c r="X19" s="52" t="str">
        <f t="shared" si="5"/>
        <v>KEEP</v>
      </c>
      <c r="Y19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ID","value":"176-09"},{"id":16,"name":"Locomotive ID","value":"4013"},{"id":130,"name":"Impact","value":""},{"id":150,"name":"Time of Event (Mountain Time)","value":"14:03:09"},{"id":151,"name":"Denver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 t="shared" si="7"/>
        <v>grep -hSE -A100 "Enforcement Action" "%USERPROFILE%\AppData\Local\Temp\OnboardLogs"\RTDC4013\*4013*201610092* | grep -SE "((Enforcement Ac)|(PRM))" -</v>
      </c>
    </row>
    <row r="20" spans="1:29" x14ac:dyDescent="0.25">
      <c r="A20" s="38">
        <v>42652.586215277777</v>
      </c>
      <c r="B20" s="33" t="s">
        <v>336</v>
      </c>
      <c r="C20" s="33" t="s">
        <v>502</v>
      </c>
      <c r="D20" s="33" t="s">
        <v>49</v>
      </c>
      <c r="E20" s="33" t="s">
        <v>54</v>
      </c>
      <c r="F20" s="49">
        <v>0</v>
      </c>
      <c r="G20" s="49">
        <v>56</v>
      </c>
      <c r="H20" s="49">
        <v>191949</v>
      </c>
      <c r="I20" s="49">
        <v>188596</v>
      </c>
      <c r="J20" s="33" t="s">
        <v>55</v>
      </c>
      <c r="K20" s="49">
        <v>191723</v>
      </c>
      <c r="L20" s="145" t="s">
        <v>53</v>
      </c>
      <c r="M20" s="148">
        <f t="shared" si="0"/>
        <v>-1651.056</v>
      </c>
      <c r="N20" s="87" t="str">
        <f>VLOOKUP(C20,'Trips&amp;Operators'!$C$1:$E$99999,3,FALSE)</f>
        <v>BARTLETT</v>
      </c>
      <c r="O20" s="169" t="s">
        <v>86</v>
      </c>
      <c r="P20" s="10" t="s">
        <v>771</v>
      </c>
      <c r="Q20" s="33"/>
      <c r="R20" s="103" t="str">
        <f>VLOOKUP(C20,'Train Runs'!$A$13:$AE$10008,31,0)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20" s="106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8" t="str">
        <f t="shared" si="1"/>
        <v>"C:\Program Files (x86)\AstroGrep\AstroGrep.exe" /spath="%USERPROFILE%\AppData\Local\Temp\OnboardLogs" /stypes="*4013*201610092*" /stext=" 20:.+((SYSTEM_STATE.+slice.+state.+changed )|(ment ac)|(system.+state.+changed )|(\[timeout)|(PRM\|1\|D)|(kpr)|(kdp)|(\|lc)|(penalty))" /e /r /s</v>
      </c>
      <c r="U20" s="9" t="str">
        <f t="shared" si="2"/>
        <v>4013</v>
      </c>
      <c r="V20" s="38">
        <f t="shared" si="3"/>
        <v>42652.836215277777</v>
      </c>
      <c r="W20" s="52" t="str">
        <f t="shared" si="4"/>
        <v>EC</v>
      </c>
      <c r="X20" s="52" t="str">
        <f t="shared" si="5"/>
        <v>KEEP</v>
      </c>
      <c r="Y20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ID","value":"176-09"},{"id":16,"name":"Locomotive ID","value":"4013"},{"id":130,"name":"Impact","value":""},{"id":150,"name":"Time of Event (Mountain Time)","value":"14:04:09"},{"id":151,"name":"Denver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0" t="str">
        <f t="shared" si="7"/>
        <v>grep -hSE -A100 "Enforcement Action" "%USERPROFILE%\AppData\Local\Temp\OnboardLogs"\RTDC4013\*4013*201610092* | grep -SE "((Enforcement Ac)|(PRM))" -</v>
      </c>
    </row>
    <row r="21" spans="1:29" s="1" customFormat="1" x14ac:dyDescent="0.25">
      <c r="A21" s="38">
        <v>42652.897175925929</v>
      </c>
      <c r="B21" s="33" t="s">
        <v>346</v>
      </c>
      <c r="C21" s="33" t="s">
        <v>590</v>
      </c>
      <c r="D21" s="33" t="s">
        <v>49</v>
      </c>
      <c r="E21" s="33" t="s">
        <v>54</v>
      </c>
      <c r="F21" s="49">
        <v>0</v>
      </c>
      <c r="G21" s="49">
        <v>443</v>
      </c>
      <c r="H21" s="49">
        <v>194111</v>
      </c>
      <c r="I21" s="49">
        <v>192809</v>
      </c>
      <c r="J21" s="33" t="s">
        <v>55</v>
      </c>
      <c r="K21" s="49">
        <v>191723</v>
      </c>
      <c r="L21" s="145" t="s">
        <v>53</v>
      </c>
      <c r="M21" s="148">
        <f t="shared" si="0"/>
        <v>573.40800000000002</v>
      </c>
      <c r="N21" s="87" t="str">
        <f>VLOOKUP(C21,'Trips&amp;Operators'!$C$1:$E$99999,3,FALSE)</f>
        <v>CHANDLER</v>
      </c>
      <c r="O21" s="169" t="s">
        <v>86</v>
      </c>
      <c r="P21" s="10" t="s">
        <v>771</v>
      </c>
      <c r="Q21" s="33"/>
      <c r="R21" s="103" t="str">
        <f>VLOOKUP(C21,'Train Runs'!$A$13:$AE$10008,31,0)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21" s="106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https://search-rtdc-monitor-bjffxe2xuh6vdkpspy63sjmuny.us-east-1.es.amazonaws.com/_plugin/kibana/#/discover/Steve-Slow-Train-Analysis-(2080s-and-2083s)?_g=(refreshInterval:(display:Off,section:0,value:0),time:(from:'2016-10-09 20:25:27-0600',mode:absolute,to:'2016-10-09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1" s="108" t="str">
        <f t="shared" si="1"/>
        <v>"C:\Program Files (x86)\AstroGrep\AstroGrep.exe" /spath="%USERPROFILE%\AppData\Local\Temp\OnboardLogs" /stypes="*4028*201610100*" /stext=" 03:.+((SYSTEM_STATE.+slice.+state.+changed )|(ment ac)|(system.+state.+changed )|(\[timeout)|(PRM\|1\|D)|(kpr)|(kdp)|(\|lc)|(penalty))" /e /r /s</v>
      </c>
      <c r="U21" s="9" t="str">
        <f t="shared" si="2"/>
        <v>4028</v>
      </c>
      <c r="V21" s="38">
        <f t="shared" si="3"/>
        <v>42653.147175925929</v>
      </c>
      <c r="W21" s="52" t="str">
        <f t="shared" si="4"/>
        <v>EC</v>
      </c>
      <c r="X21" s="52" t="str">
        <f t="shared" si="5"/>
        <v>KEEP</v>
      </c>
      <c r="Y21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ID","value":"228-09"},{"id":16,"name":"Locomotive ID","value":"4028"},{"id":130,"name":"Impact","value":""},{"id":150,"name":"Time of Event (Mountain Time)","value":"21:31:56"},{"id":151,"name":"Denver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0" t="str">
        <f t="shared" si="7"/>
        <v>grep -hSE -A100 "Enforcement Action" "%USERPROFILE%\AppData\Local\Temp\OnboardLogs"\RTDC4028\*4028*201610100* | grep -SE "((Enforcement Ac)|(PRM))" -</v>
      </c>
    </row>
    <row r="22" spans="1:29" x14ac:dyDescent="0.25">
      <c r="A22" s="38">
        <v>42652.959606481483</v>
      </c>
      <c r="B22" s="33" t="s">
        <v>336</v>
      </c>
      <c r="C22" s="33" t="s">
        <v>600</v>
      </c>
      <c r="D22" s="33" t="s">
        <v>49</v>
      </c>
      <c r="E22" s="33" t="s">
        <v>54</v>
      </c>
      <c r="F22" s="49">
        <v>0</v>
      </c>
      <c r="G22" s="49">
        <v>332</v>
      </c>
      <c r="H22" s="49">
        <v>193290</v>
      </c>
      <c r="I22" s="49">
        <v>192538</v>
      </c>
      <c r="J22" s="33" t="s">
        <v>55</v>
      </c>
      <c r="K22" s="49">
        <v>191723</v>
      </c>
      <c r="L22" s="145" t="s">
        <v>53</v>
      </c>
      <c r="M22" s="148">
        <f t="shared" si="0"/>
        <v>430.32</v>
      </c>
      <c r="N22" s="87" t="str">
        <f>VLOOKUP(C22,'Trips&amp;Operators'!$C$1:$E$99999,3,FALSE)</f>
        <v>NEWELL</v>
      </c>
      <c r="O22" s="169" t="s">
        <v>86</v>
      </c>
      <c r="P22" s="10" t="s">
        <v>771</v>
      </c>
      <c r="Q22" s="33"/>
      <c r="R22" s="103" t="str">
        <f>VLOOKUP(C22,'Train Runs'!$A$13:$AE$10008,31,0)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22" s="106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https://search-rtdc-monitor-bjffxe2xuh6vdkpspy63sjmuny.us-east-1.es.amazonaws.com/_plugin/kibana/#/discover/Steve-Slow-Train-Analysis-(2080s-and-2083s)?_g=(refreshInterval:(display:Off,section:0,value:0),time:(from:'2016-10-09 21:50:07-0600',mode:absolute,to:'2016-10-10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8" t="str">
        <f t="shared" si="1"/>
        <v>"C:\Program Files (x86)\AstroGrep\AstroGrep.exe" /spath="%USERPROFILE%\AppData\Local\Temp\OnboardLogs" /stypes="*4013*201610100*" /stext=" 05:.+((SYSTEM_STATE.+slice.+state.+changed )|(ment ac)|(system.+state.+changed )|(\[timeout)|(PRM\|1\|D)|(kpr)|(kdp)|(\|lc)|(penalty))" /e /r /s</v>
      </c>
      <c r="U22" s="9" t="str">
        <f t="shared" si="2"/>
        <v>4013</v>
      </c>
      <c r="V22" s="38">
        <f t="shared" si="3"/>
        <v>42653.209606481483</v>
      </c>
      <c r="W22" s="52" t="str">
        <f t="shared" si="4"/>
        <v>EC</v>
      </c>
      <c r="X22" s="52" t="str">
        <f t="shared" si="5"/>
        <v>KEEP</v>
      </c>
      <c r="Y22" s="129" t="str">
        <f t="shared" si="6"/>
        <v>echo {"issue":{"subject":"Pena 4S STOP, cleared afterward","project_id":79,"tracker_id":40,"status_id":1,"priority_id":2,"assigned_to_id":23,"start_date":"2016-10-09","description":"","custom_fields":[{"id":1,"name":"Subdivision","value":"EC"},{"id":4,"name":"Milepost","value":"19.1723"},{"id":17,"name":"Train ID","value":"234-09"},{"id":16,"name":"Locomotive ID","value":"4013"},{"id":130,"name":"Impact","value":""},{"id":150,"name":"Time of Event (Mountain Time)","value":"23:01:50"},{"id":151,"name":"Denver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 t="shared" si="7"/>
        <v>grep -hSE -A100 "Enforcement Action" "%USERPROFILE%\AppData\Local\Temp\OnboardLogs"\RTDC4013\*4013*201610100* | grep -SE "((Enforcement Ac)|(PRM))" -</v>
      </c>
    </row>
    <row r="23" spans="1:29" x14ac:dyDescent="0.25">
      <c r="A23" s="38">
        <v>42652.222719907404</v>
      </c>
      <c r="B23" s="33" t="s">
        <v>402</v>
      </c>
      <c r="C23" s="33" t="s">
        <v>411</v>
      </c>
      <c r="D23" s="33" t="s">
        <v>49</v>
      </c>
      <c r="E23" s="33" t="s">
        <v>50</v>
      </c>
      <c r="F23" s="49">
        <v>0</v>
      </c>
      <c r="G23" s="49">
        <v>50</v>
      </c>
      <c r="H23" s="49">
        <v>203</v>
      </c>
      <c r="I23" s="49">
        <v>150</v>
      </c>
      <c r="J23" s="33" t="s">
        <v>51</v>
      </c>
      <c r="K23" s="49">
        <v>1</v>
      </c>
      <c r="L23" s="145" t="s">
        <v>53</v>
      </c>
      <c r="M23" s="148">
        <f t="shared" si="0"/>
        <v>78.671999999999997</v>
      </c>
      <c r="N23" s="87" t="str">
        <f>VLOOKUP(C23,'Trips&amp;Operators'!$C$1:$E$99999,3,FALSE)</f>
        <v>ACKERMAN</v>
      </c>
      <c r="O23" s="169" t="s">
        <v>86</v>
      </c>
      <c r="P23" s="10"/>
      <c r="Q23" s="33"/>
      <c r="R23" s="103" t="str">
        <f>VLOOKUP(C23,'Train Runs'!$A$13:$AE$10008,31,0)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S23" s="106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https://search-rtdc-monitor-bjffxe2xuh6vdkpspy63sjmuny.us-east-1.es.amazonaws.com/_plugin/kibana/#/discover/Steve-Slow-Train-Analysis-(2080s-and-2083s)?_g=(refreshInterval:(display:Off,section:0,value:0),time:(from:'2016-10-09 03:31:43-0600',mode:absolute,to:'2016-10-09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8" t="str">
        <f t="shared" si="1"/>
        <v>"C:\Program Files (x86)\AstroGrep\AstroGrep.exe" /spath="%USERPROFILE%\AppData\Local\Temp\OnboardLogs" /stypes="*4039*201610091*" /stext=" 11:.+((SYSTEM_STATE.+slice.+state.+changed )|(ment ac)|(system.+state.+changed )|(\[timeout)|(PRM\|1\|D)|(kpr)|(kdp)|(\|lc)|(penalty))" /e /r /s</v>
      </c>
      <c r="U23" s="9" t="str">
        <f t="shared" si="2"/>
        <v>4039</v>
      </c>
      <c r="V23" s="38">
        <f t="shared" si="3"/>
        <v>42652.472719907404</v>
      </c>
      <c r="W23" s="52" t="str">
        <f t="shared" si="4"/>
        <v>EC</v>
      </c>
      <c r="X23" s="52" t="str">
        <f t="shared" si="5"/>
        <v>KEEP</v>
      </c>
      <c r="Y23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{"issue":{"subject":"","project_id":79,"tracker_id":40,"status_id":1,"priority_id":2,"assigned_to_id":23,"start_date":"2016-10-09","description":"","custom_fields":[{"id":1,"name":"Subdivision","value":"EC"},{"id":4,"name":"Milepost","value":"0.0001"},{"id":17,"name":"Train ID","value":"104-09"},{"id":16,"name":"Locomotive ID","value":"4039"},{"id":130,"name":"Impact","value":""},{"id":150,"name":"Time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 t="shared" si="7"/>
        <v>grep -hSE -A100 "Enforcement Action" "%USERPROFILE%\AppData\Local\Temp\OnboardLogs"\RTDC4039\*4039*201610091* | grep -SE "((Enforcement Ac)|(PRM))" -</v>
      </c>
    </row>
    <row r="24" spans="1:29" x14ac:dyDescent="0.25">
      <c r="A24" s="38">
        <v>42652.348055555558</v>
      </c>
      <c r="B24" s="33" t="s">
        <v>249</v>
      </c>
      <c r="C24" s="33" t="s">
        <v>440</v>
      </c>
      <c r="D24" s="33" t="s">
        <v>49</v>
      </c>
      <c r="E24" s="33" t="s">
        <v>50</v>
      </c>
      <c r="F24" s="49">
        <v>0</v>
      </c>
      <c r="G24" s="49">
        <v>69</v>
      </c>
      <c r="H24" s="49">
        <v>238</v>
      </c>
      <c r="I24" s="49">
        <v>189</v>
      </c>
      <c r="J24" s="33" t="s">
        <v>51</v>
      </c>
      <c r="K24" s="49">
        <v>1</v>
      </c>
      <c r="L24" s="145" t="s">
        <v>53</v>
      </c>
      <c r="M24" s="148">
        <f t="shared" si="0"/>
        <v>99.263999999999996</v>
      </c>
      <c r="N24" s="87" t="str">
        <f>VLOOKUP(C24,'Trips&amp;Operators'!$C$1:$E$99999,3,FALSE)</f>
        <v>STRICKLAND</v>
      </c>
      <c r="O24" s="169" t="s">
        <v>86</v>
      </c>
      <c r="P24" s="10"/>
      <c r="Q24" s="33"/>
      <c r="R24" s="103" t="str">
        <f>VLOOKUP(C24,'Train Runs'!$A$13:$AE$10008,31,0)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S24" s="106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8" t="str">
        <f t="shared" si="1"/>
        <v>"C:\Program Files (x86)\AstroGrep\AstroGrep.exe" /spath="%USERPROFILE%\AppData\Local\Temp\OnboardLogs" /stypes="*4001*201610091*" /stext=" 14:.+((SYSTEM_STATE.+slice.+state.+changed )|(ment ac)|(system.+state.+changed )|(\[timeout)|(PRM\|1\|D)|(kpr)|(kdp)|(\|lc)|(penalty))" /e /r /s</v>
      </c>
      <c r="U24" s="9" t="str">
        <f t="shared" si="2"/>
        <v>4001</v>
      </c>
      <c r="V24" s="38">
        <f t="shared" si="3"/>
        <v>42652.598055555558</v>
      </c>
      <c r="W24" s="52" t="str">
        <f t="shared" si="4"/>
        <v>EC</v>
      </c>
      <c r="X24" s="52" t="str">
        <f t="shared" si="5"/>
        <v>KEEP</v>
      </c>
      <c r="Y24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{"issue":{"subject":"","project_id":79,"tracker_id":40,"status_id":1,"priority_id":2,"assigned_to_id":23,"start_date":"2016-10-09","description":"","custom_fields":[{"id":1,"name":"Subdivision","value":"EC"},{"id":4,"name":"Milepost","value":"0.0001"},{"id":17,"name":"Train ID","value":"126-09"},{"id":16,"name":"Locomotive ID","value":"4001"},{"id":130,"name":"Impact","value":""},{"id":150,"name":"Time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 t="shared" si="7"/>
        <v>grep -hSE -A100 "Enforcement Action" "%USERPROFILE%\AppData\Local\Temp\OnboardLogs"\RTDC4001\*4001*201610091* | grep -SE "((Enforcement Ac)|(PRM))" -</v>
      </c>
    </row>
    <row r="25" spans="1:29" ht="15" customHeight="1" x14ac:dyDescent="0.25">
      <c r="A25" s="38">
        <v>42653.04414351852</v>
      </c>
      <c r="B25" s="33" t="s">
        <v>166</v>
      </c>
      <c r="C25" s="33" t="s">
        <v>606</v>
      </c>
      <c r="D25" s="33" t="s">
        <v>49</v>
      </c>
      <c r="E25" s="33" t="s">
        <v>50</v>
      </c>
      <c r="F25" s="49">
        <v>0</v>
      </c>
      <c r="G25" s="49">
        <v>85</v>
      </c>
      <c r="H25" s="49">
        <v>318</v>
      </c>
      <c r="I25" s="49">
        <v>227</v>
      </c>
      <c r="J25" s="33" t="s">
        <v>51</v>
      </c>
      <c r="K25" s="49">
        <v>1</v>
      </c>
      <c r="L25" s="145" t="s">
        <v>53</v>
      </c>
      <c r="M25" s="148">
        <f t="shared" si="0"/>
        <v>119.328</v>
      </c>
      <c r="N25" s="87" t="str">
        <f>VLOOKUP(C25,'Trips&amp;Operators'!$C$1:$E$99999,3,FALSE)</f>
        <v>COOLAHAN</v>
      </c>
      <c r="O25" s="169" t="s">
        <v>86</v>
      </c>
      <c r="P25" s="10"/>
      <c r="Q25" s="33"/>
      <c r="R25" s="103" t="str">
        <f>VLOOKUP(C25,'Train Runs'!$A$13:$AE$10008,31,0)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25" s="106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https://search-rtdc-monitor-bjffxe2xuh6vdkpspy63sjmuny.us-east-1.es.amazonaws.com/_plugin/kibana/#/discover/Steve-Slow-Train-Analysis-(2080s-and-2083s)?_g=(refreshInterval:(display:Off,section:0,value:0),time:(from:'2016-10-09 23:19:09-0600',mode:absolute,to:'2016-10-10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8" t="str">
        <f t="shared" si="1"/>
        <v>"C:\Program Files (x86)\AstroGrep\AstroGrep.exe" /spath="%USERPROFILE%\AppData\Local\Temp\OnboardLogs" /stypes="*4026*201610100*" /stext=" 07:.+((SYSTEM_STATE.+slice.+state.+changed )|(ment ac)|(system.+state.+changed )|(\[timeout)|(PRM\|1\|D)|(kpr)|(kdp)|(\|lc)|(penalty))" /e /r /s</v>
      </c>
      <c r="U25" s="9" t="str">
        <f t="shared" si="2"/>
        <v>4026</v>
      </c>
      <c r="V25" s="38">
        <f t="shared" si="3"/>
        <v>42653.29414351852</v>
      </c>
      <c r="W25" s="52" t="str">
        <f t="shared" si="4"/>
        <v>EC</v>
      </c>
      <c r="X25" s="52" t="str">
        <f t="shared" si="5"/>
        <v>KEEP</v>
      </c>
      <c r="Y2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ID","value":"240-09"},{"id":16,"name":"Locomotive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 t="shared" si="7"/>
        <v>grep -hSE -A100 "Enforcement Action" "%USERPROFILE%\AppData\Local\Temp\OnboardLogs"\RTDC4026\*4026*201610100* | grep -SE "((Enforcement Ac)|(PRM))" -</v>
      </c>
    </row>
    <row r="26" spans="1:29" x14ac:dyDescent="0.25">
      <c r="A26" s="38">
        <v>42652.286874999998</v>
      </c>
      <c r="B26" s="33" t="s">
        <v>350</v>
      </c>
      <c r="C26" s="33" t="s">
        <v>426</v>
      </c>
      <c r="D26" s="33" t="s">
        <v>49</v>
      </c>
      <c r="E26" s="33" t="s">
        <v>50</v>
      </c>
      <c r="F26" s="49">
        <v>0</v>
      </c>
      <c r="G26" s="49">
        <v>64</v>
      </c>
      <c r="H26" s="49">
        <v>233264</v>
      </c>
      <c r="I26" s="49">
        <v>233318</v>
      </c>
      <c r="J26" s="33" t="s">
        <v>51</v>
      </c>
      <c r="K26" s="49">
        <v>233491</v>
      </c>
      <c r="L26" s="145" t="s">
        <v>52</v>
      </c>
      <c r="M26" s="148">
        <f t="shared" si="0"/>
        <v>91.343999999999994</v>
      </c>
      <c r="N26" s="87" t="str">
        <f>VLOOKUP(C26,'Trips&amp;Operators'!$C$1:$E$99999,3,FALSE)</f>
        <v>DAVIS</v>
      </c>
      <c r="O26" s="169" t="s">
        <v>86</v>
      </c>
      <c r="P26" s="10"/>
      <c r="Q26" s="33"/>
      <c r="R26" s="103" t="str">
        <f>VLOOKUP(C26,'Train Runs'!$A$13:$AE$10008,31,0)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S26" s="106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https://search-rtdc-monitor-bjffxe2xuh6vdkpspy63sjmuny.us-east-1.es.amazonaws.com/_plugin/kibana/#/discover/Steve-Slow-Train-Analysis-(2080s-and-2083s)?_g=(refreshInterval:(display:Off,section:0,value:0),time:(from:'2016-10-09 05:09:05-0600',mode:absolute,to:'2016-10-09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6" s="108" t="str">
        <f t="shared" si="1"/>
        <v>"C:\Program Files (x86)\AstroGrep\AstroGrep.exe" /spath="%USERPROFILE%\AppData\Local\Temp\OnboardLogs" /stypes="*4027*201610091*" /stext=" 12:.+((SYSTEM_STATE.+slice.+state.+changed )|(ment ac)|(system.+state.+changed )|(\[timeout)|(PRM\|1\|D)|(kpr)|(kdp)|(\|lc)|(penalty))" /e /r /s</v>
      </c>
      <c r="U26" s="9" t="str">
        <f t="shared" si="2"/>
        <v>4027</v>
      </c>
      <c r="V26" s="38">
        <f t="shared" si="3"/>
        <v>42652.536874999998</v>
      </c>
      <c r="W26" s="52" t="str">
        <f t="shared" si="4"/>
        <v>EC</v>
      </c>
      <c r="X26" s="52" t="str">
        <f t="shared" si="5"/>
        <v>KEEP</v>
      </c>
      <c r="Y26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ID","value":"121-09"},{"id":16,"name":"Locomotive ID","value":"4027"},{"id":130,"name":"Impact","value":""},{"id":150,"name":"Time of Event (Mountain Time)","value":"06:53:06"},{"id":151,"name":"Denver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 t="shared" si="7"/>
        <v>grep -hSE -A100 "Enforcement Action" "%USERPROFILE%\AppData\Local\Temp\OnboardLogs"\RTDC4027\*4027*201610091* | grep -SE "((Enforcement Ac)|(PRM))" -</v>
      </c>
    </row>
    <row r="27" spans="1:29" x14ac:dyDescent="0.25">
      <c r="A27" s="38">
        <v>42652.319212962961</v>
      </c>
      <c r="B27" s="33" t="s">
        <v>253</v>
      </c>
      <c r="C27" s="33" t="s">
        <v>433</v>
      </c>
      <c r="D27" s="33" t="s">
        <v>49</v>
      </c>
      <c r="E27" s="33" t="s">
        <v>50</v>
      </c>
      <c r="F27" s="49">
        <v>0</v>
      </c>
      <c r="G27" s="49">
        <v>96</v>
      </c>
      <c r="H27" s="49">
        <v>233091</v>
      </c>
      <c r="I27" s="49">
        <v>233195</v>
      </c>
      <c r="J27" s="33" t="s">
        <v>51</v>
      </c>
      <c r="K27" s="49">
        <v>233491</v>
      </c>
      <c r="L27" s="145" t="s">
        <v>52</v>
      </c>
      <c r="M27" s="148">
        <f t="shared" si="0"/>
        <v>156.28800000000001</v>
      </c>
      <c r="N27" s="87" t="str">
        <f>VLOOKUP(C27,'Trips&amp;Operators'!$C$1:$E$99999,3,FALSE)</f>
        <v>KILLION</v>
      </c>
      <c r="O27" s="169" t="s">
        <v>86</v>
      </c>
      <c r="P27" s="10"/>
      <c r="Q27" s="33"/>
      <c r="R27" s="103" t="str">
        <f>VLOOKUP(C27,'Train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27" s="106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7" s="108" t="str">
        <f t="shared" si="1"/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27" s="9" t="str">
        <f t="shared" si="2"/>
        <v>4007</v>
      </c>
      <c r="V27" s="38">
        <f t="shared" si="3"/>
        <v>42652.569212962961</v>
      </c>
      <c r="W27" s="52" t="str">
        <f t="shared" si="4"/>
        <v>EC</v>
      </c>
      <c r="X27" s="52" t="str">
        <f t="shared" si="5"/>
        <v>KEEP</v>
      </c>
      <c r="Y27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ID","value":"127-09"},{"id":16,"name":"Locomotive ID","value":"4007"},{"id":130,"name":"Impact","value":""},{"id":150,"name":"Time of Event (Mountain Time)","value":"07:39:40"},{"id":151,"name":"Denver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 t="shared" si="7"/>
        <v>grep -hSE -A100 "Enforcement Action" "%USERPROFILE%\AppData\Local\Temp\OnboardLogs"\RTDC4007\*4007*201610091* | grep -SE "((Enforcement Ac)|(PRM))" -</v>
      </c>
    </row>
    <row r="28" spans="1:29" x14ac:dyDescent="0.25">
      <c r="A28" s="38">
        <v>42652.463784722226</v>
      </c>
      <c r="B28" s="33" t="s">
        <v>253</v>
      </c>
      <c r="C28" s="33" t="s">
        <v>468</v>
      </c>
      <c r="D28" s="33" t="s">
        <v>49</v>
      </c>
      <c r="E28" s="33" t="s">
        <v>50</v>
      </c>
      <c r="F28" s="49">
        <v>0</v>
      </c>
      <c r="G28" s="49">
        <v>100</v>
      </c>
      <c r="H28" s="49">
        <v>233072</v>
      </c>
      <c r="I28" s="49">
        <v>233195</v>
      </c>
      <c r="J28" s="33" t="s">
        <v>51</v>
      </c>
      <c r="K28" s="49">
        <v>233491</v>
      </c>
      <c r="L28" s="145" t="s">
        <v>52</v>
      </c>
      <c r="M28" s="148">
        <f t="shared" si="0"/>
        <v>156.28800000000001</v>
      </c>
      <c r="N28" s="87" t="str">
        <f>VLOOKUP(C28,'Trips&amp;Operators'!$C$1:$E$99999,3,FALSE)</f>
        <v>CLARK</v>
      </c>
      <c r="O28" s="169" t="s">
        <v>86</v>
      </c>
      <c r="P28" s="10"/>
      <c r="Q28" s="33"/>
      <c r="R28" s="103" t="str">
        <f>VLOOKUP(C28,'Train Runs'!$A$13:$AE$10008,31,0)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28" s="106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https://search-rtdc-monitor-bjffxe2xuh6vdkpspy63sjmuny.us-east-1.es.amazonaws.com/_plugin/kibana/#/discover/Steve-Slow-Train-Analysis-(2080s-and-2083s)?_g=(refreshInterval:(display:Off,section:0,value:0),time:(from:'2016-10-09 09:23:53-0600',mode:absolute,to:'2016-10-09 12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8" s="108" t="str">
        <f t="shared" si="1"/>
        <v>"C:\Program Files (x86)\AstroGrep\AstroGrep.exe" /spath="%USERPROFILE%\AppData\Local\Temp\OnboardLogs" /stypes="*4007*201610091*" /stext=" 17:.+((SYSTEM_STATE.+slice.+state.+changed )|(ment ac)|(system.+state.+changed )|(\[timeout)|(PRM\|1\|D)|(kpr)|(kdp)|(\|lc)|(penalty))" /e /r /s</v>
      </c>
      <c r="U28" s="9" t="str">
        <f t="shared" si="2"/>
        <v>4007</v>
      </c>
      <c r="V28" s="38">
        <f t="shared" si="3"/>
        <v>42652.713784722226</v>
      </c>
      <c r="W28" s="52" t="str">
        <f t="shared" si="4"/>
        <v>EC</v>
      </c>
      <c r="X28" s="52" t="str">
        <f t="shared" si="5"/>
        <v>KEEP</v>
      </c>
      <c r="Y28" s="129" t="str">
        <f t="shared" si="6"/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ID","value":"155-09"},{"id":16,"name":"Locomotive ID","value":"4007"},{"id":130,"name":"Impact","value":""},{"id":150,"name":"Time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 t="shared" si="7"/>
        <v>grep -hSE -A100 "Enforcement Action" "%USERPROFILE%\AppData\Local\Temp\OnboardLogs"\RTDC4007\*4007*201610091* | grep -SE "((Enforcement Ac)|(PRM))" -</v>
      </c>
    </row>
    <row r="29" spans="1:29" x14ac:dyDescent="0.25">
      <c r="A29" s="38">
        <v>42652.516273148147</v>
      </c>
      <c r="B29" s="33" t="s">
        <v>239</v>
      </c>
      <c r="C29" s="33" t="s">
        <v>486</v>
      </c>
      <c r="D29" s="33" t="s">
        <v>105</v>
      </c>
      <c r="E29" s="33" t="s">
        <v>56</v>
      </c>
      <c r="F29" s="49">
        <v>200</v>
      </c>
      <c r="G29" s="49">
        <v>257</v>
      </c>
      <c r="H29" s="49">
        <v>6366</v>
      </c>
      <c r="I29" s="49">
        <v>7034</v>
      </c>
      <c r="J29" s="33" t="s">
        <v>57</v>
      </c>
      <c r="K29" s="49">
        <v>5315</v>
      </c>
      <c r="L29" s="145" t="s">
        <v>52</v>
      </c>
      <c r="M29" s="148">
        <f t="shared" si="0"/>
        <v>-907.63199999999995</v>
      </c>
      <c r="N29" s="87" t="str">
        <f>VLOOKUP(C29,'Trips&amp;Operators'!$C$1:$E$99999,3,FALSE)</f>
        <v>ROBINSON</v>
      </c>
      <c r="O29" s="169" t="s">
        <v>86</v>
      </c>
      <c r="P29" s="10"/>
      <c r="Q29" s="33"/>
      <c r="R29" s="103" t="str">
        <f>VLOOKUP(C29,'Train Runs'!$A$13:$AE$10008,31,0)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29" s="106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10:59:38-0600',mode:absolute,to:'2016-10-09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9" s="108" t="str">
        <f t="shared" si="1"/>
        <v>"C:\Program Files (x86)\AstroGrep\AstroGrep.exe" /spath="%USERPROFILE%\AppData\Local\Temp\OnboardLogs" /stypes="*4003*201610091*" /stext=" 18:.+((SYSTEM_STATE.+slice.+state.+changed )|(ment ac)|(system.+state.+changed )|(\[timeout)|(PRM\|1\|D)|(kpr)|(kdp)|(\|lc)|(penalty))" /e /r /s</v>
      </c>
      <c r="U29" s="9" t="str">
        <f t="shared" si="2"/>
        <v>4003</v>
      </c>
      <c r="V29" s="38">
        <f t="shared" si="3"/>
        <v>42652.766273148147</v>
      </c>
      <c r="W29" s="52" t="str">
        <f t="shared" si="4"/>
        <v>NW</v>
      </c>
      <c r="X29" s="52" t="str">
        <f t="shared" si="5"/>
        <v>KEEP</v>
      </c>
      <c r="Y29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{"issue":{"subject":"","project_id":79,"tracker_id":40,"status_id":1,"priority_id":2,"assigned_to_id":23,"start_date":"2016-10-09","description":"","custom_fields":[{"id":1,"name":"Subdivision","value":"NW"},{"id":4,"name":"Milepost","value":"0.5315"},{"id":17,"name":"Train ID","value":"1813-09"},{"id":16,"name":"Locomotive ID","value":"4003"},{"id":130,"name":"Impact","value":""},{"id":150,"name":"Time of Event (Mountain Time)","value":"12:23:26"},{"id":151,"name":"Denver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 t="shared" si="7"/>
        <v>grep -hSE -A100 "Enforcement Action" "%USERPROFILE%\AppData\Local\Temp\OnboardLogs"\RTDC4003\*4003*201610091* | grep -SE "((Enforcement Ac)|(PRM))" -</v>
      </c>
    </row>
    <row r="30" spans="1:29" x14ac:dyDescent="0.25">
      <c r="A30" s="38">
        <v>42652.313888888886</v>
      </c>
      <c r="B30" s="33" t="s">
        <v>239</v>
      </c>
      <c r="C30" s="33" t="s">
        <v>434</v>
      </c>
      <c r="D30" s="33" t="s">
        <v>49</v>
      </c>
      <c r="E30" s="33" t="s">
        <v>56</v>
      </c>
      <c r="F30" s="49">
        <v>150</v>
      </c>
      <c r="G30" s="49">
        <v>290</v>
      </c>
      <c r="H30" s="49">
        <v>55896</v>
      </c>
      <c r="I30" s="49">
        <v>56424</v>
      </c>
      <c r="J30" s="33" t="s">
        <v>57</v>
      </c>
      <c r="K30" s="49">
        <v>57008</v>
      </c>
      <c r="L30" s="145" t="s">
        <v>52</v>
      </c>
      <c r="M30" s="148">
        <f t="shared" si="0"/>
        <v>308.35199999999998</v>
      </c>
      <c r="N30" s="87" t="str">
        <f>VLOOKUP(C30,'Trips&amp;Operators'!$C$1:$E$99999,3,FALSE)</f>
        <v>ROBINSON</v>
      </c>
      <c r="O30" s="169" t="s">
        <v>86</v>
      </c>
      <c r="P30" s="10"/>
      <c r="Q30" s="33"/>
      <c r="R30" s="103" t="str">
        <f>VLOOKUP(C30,'Train Runs'!$A$13:$AE$10008,31,0)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30" s="106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https://search-rtdc-monitor-bjffxe2xuh6vdkpspy63sjmuny.us-east-1.es.amazonaws.com/_plugin/kibana/#/discover/Steve-Slow-Train-Analysis-(2080s-and-2083s)?_g=(refreshInterval:(display:Off,section:0,value:0),time:(from:'2016-10-09 05:59:55-0600',mode:absolute,to:'2016-10-09 08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0" s="108" t="str">
        <f t="shared" si="1"/>
        <v>"C:\Program Files (x86)\AstroGrep\AstroGrep.exe" /spath="%USERPROFILE%\AppData\Local\Temp\OnboardLogs" /stypes="*4003*201610091*" /stext=" 13:.+((SYSTEM_STATE.+slice.+state.+changed )|(ment ac)|(system.+state.+changed )|(\[timeout)|(PRM\|1\|D)|(kpr)|(kdp)|(\|lc)|(penalty))" /e /r /s</v>
      </c>
      <c r="U30" s="9" t="str">
        <f t="shared" si="2"/>
        <v>4003</v>
      </c>
      <c r="V30" s="38">
        <f t="shared" si="3"/>
        <v>42652.563888888886</v>
      </c>
      <c r="W30" s="52" t="str">
        <f t="shared" si="4"/>
        <v>NW</v>
      </c>
      <c r="X30" s="52" t="str">
        <f t="shared" si="5"/>
        <v>KEEP</v>
      </c>
      <c r="Y30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{"issue":{"subject":"","project_id":79,"tracker_id":40,"status_id":1,"priority_id":2,"assigned_to_id":23,"start_date":"2016-10-09","description":"","custom_fields":[{"id":1,"name":"Subdivision","value":"NW"},{"id":4,"name":"Milepost","value":"5.7008"},{"id":17,"name":"Train ID","value":"1803-09"},{"id":16,"name":"Locomotive ID","value":"4003"},{"id":130,"name":"Impact","value":""},{"id":150,"name":"Time of Event (Mountain Time)","value":"07:32:00"},{"id":151,"name":"Denver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 t="shared" si="7"/>
        <v>grep -hSE -A100 "Enforcement Action" "%USERPROFILE%\AppData\Local\Temp\OnboardLogs"\RTDC4003\*4003*201610091* | grep -SE "((Enforcement Ac)|(PRM))" -</v>
      </c>
    </row>
    <row r="31" spans="1:29" ht="15" customHeight="1" x14ac:dyDescent="0.25">
      <c r="A31" s="38">
        <v>42652.913726851853</v>
      </c>
      <c r="B31" s="33" t="s">
        <v>240</v>
      </c>
      <c r="C31" s="33" t="s">
        <v>594</v>
      </c>
      <c r="D31" s="33" t="s">
        <v>49</v>
      </c>
      <c r="E31" s="33" t="s">
        <v>50</v>
      </c>
      <c r="F31" s="49">
        <v>0</v>
      </c>
      <c r="G31" s="49">
        <v>57</v>
      </c>
      <c r="H31" s="49">
        <v>766</v>
      </c>
      <c r="I31" s="49">
        <v>731</v>
      </c>
      <c r="J31" s="33" t="s">
        <v>51</v>
      </c>
      <c r="K31" s="49">
        <v>575</v>
      </c>
      <c r="L31" s="145" t="s">
        <v>53</v>
      </c>
      <c r="M31" s="148">
        <f t="shared" si="0"/>
        <v>82.367999999999995</v>
      </c>
      <c r="N31" s="87" t="str">
        <f>VLOOKUP(C31,'Trips&amp;Operators'!$C$1:$E$99999,3,FALSE)</f>
        <v>CRAYTON</v>
      </c>
      <c r="O31" s="169" t="s">
        <v>86</v>
      </c>
      <c r="P31" s="10"/>
      <c r="Q31" s="33"/>
      <c r="R31" s="103" t="str">
        <f>VLOOKUP(C31,'Train Runs'!$A$13:$AE$10008,31,0)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S31" s="106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https://search-rtdc-monitor-bjffxe2xuh6vdkpspy63sjmuny.us-east-1.es.amazonaws.com/_plugin/kibana/#/discover/Steve-Slow-Train-Analysis-(2080s-and-2083s)?_g=(refreshInterval:(display:Off,section:0,value:0),time:(from:'2016-10-09 20:38:01-0600',mode:absolute,to:'2016-10-09 22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8" t="str">
        <f t="shared" si="1"/>
        <v>"C:\Program Files (x86)\AstroGrep\AstroGrep.exe" /spath="%USERPROFILE%\AppData\Local\Temp\OnboardLogs" /stypes="*4004*201610100*" /stext=" 03:.+((SYSTEM_STATE.+slice.+state.+changed )|(ment ac)|(system.+state.+changed )|(\[timeout)|(PRM\|1\|D)|(kpr)|(kdp)|(\|lc)|(penalty))" /e /r /s</v>
      </c>
      <c r="U31" s="9" t="str">
        <f t="shared" si="2"/>
        <v>4004</v>
      </c>
      <c r="V31" s="38">
        <f t="shared" si="3"/>
        <v>42653.163726851853</v>
      </c>
      <c r="W31" s="52" t="str">
        <f t="shared" si="4"/>
        <v>NW</v>
      </c>
      <c r="X31" s="52" t="str">
        <f t="shared" si="5"/>
        <v>KEEP</v>
      </c>
      <c r="Y31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{"issue":{"subject":"","project_id":79,"tracker_id":40,"status_id":1,"priority_id":2,"assigned_to_id":23,"start_date":"2016-10-09","description":"","custom_fields":[{"id":1,"name":"Subdivision","value":"NW"},{"id":4,"name":"Milepost","value":"0.0575"},{"id":17,"name":"Train ID","value":"1832-09"},{"id":16,"name":"Locomotive ID","value":"4004"},{"id":130,"name":"Impact","value":""},{"id":150,"name":"Time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 t="shared" si="7"/>
        <v>grep -hSE -A100 "Enforcement Action" "%USERPROFILE%\AppData\Local\Temp\OnboardLogs"\RTDC4004\*4004*201610100* | grep -SE "((Enforcement Ac)|(PRM))" -</v>
      </c>
    </row>
    <row r="32" spans="1:29" x14ac:dyDescent="0.25">
      <c r="A32" s="38">
        <v>42652.775000000001</v>
      </c>
      <c r="B32" s="33" t="s">
        <v>239</v>
      </c>
      <c r="C32" s="33" t="s">
        <v>555</v>
      </c>
      <c r="D32" s="33" t="s">
        <v>49</v>
      </c>
      <c r="E32" s="33" t="s">
        <v>50</v>
      </c>
      <c r="F32" s="49">
        <v>0</v>
      </c>
      <c r="G32" s="49">
        <v>52</v>
      </c>
      <c r="H32" s="49">
        <v>58897</v>
      </c>
      <c r="I32" s="49">
        <v>58946</v>
      </c>
      <c r="J32" s="33" t="s">
        <v>51</v>
      </c>
      <c r="K32" s="49">
        <v>59058</v>
      </c>
      <c r="L32" s="145" t="s">
        <v>52</v>
      </c>
      <c r="M32" s="148">
        <f t="shared" si="0"/>
        <v>59.136000000000003</v>
      </c>
      <c r="N32" s="87" t="str">
        <f>VLOOKUP(C32,'Trips&amp;Operators'!$C$1:$E$99999,3,FALSE)</f>
        <v>CRAYTON</v>
      </c>
      <c r="O32" s="169" t="s">
        <v>86</v>
      </c>
      <c r="P32" s="10"/>
      <c r="Q32" s="33"/>
      <c r="R32" s="103" t="str">
        <f>VLOOKUP(C32,'Train Runs'!$A$13:$AE$10008,31,0)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32" s="106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17:01:33-0600',mode:absolute,to:'2016-10-09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8" t="str">
        <f t="shared" si="1"/>
        <v>"C:\Program Files (x86)\AstroGrep\AstroGrep.exe" /spath="%USERPROFILE%\AppData\Local\Temp\OnboardLogs" /stypes="*4003*201610100*" /stext=" 00:.+((SYSTEM_STATE.+slice.+state.+changed )|(ment ac)|(system.+state.+changed )|(\[timeout)|(PRM\|1\|D)|(kpr)|(kdp)|(\|lc)|(penalty))" /e /r /s</v>
      </c>
      <c r="U32" s="9" t="str">
        <f t="shared" si="2"/>
        <v>4003</v>
      </c>
      <c r="V32" s="38">
        <f t="shared" si="3"/>
        <v>42653.025000000001</v>
      </c>
      <c r="W32" s="52" t="str">
        <f t="shared" si="4"/>
        <v>NW</v>
      </c>
      <c r="X32" s="52" t="str">
        <f t="shared" si="5"/>
        <v>KEEP</v>
      </c>
      <c r="Y32" s="129" t="str">
        <f t="shared" si="6"/>
        <v>echo {"issue":{"subject":"","project_id":79,"tracker_id":40,"status_id":1,"priority_id":2,"assigned_to_id":23,"start_date":"2016-10-09","description":"","custom_fields":[{"id":1,"name":"Subdivision","value":"NW"},{"id":4,"name":"Milepost","value":"5.9058"},{"id":17,"name":"Train ID","value":"1825-09"},{"id":16,"name":"Locomotive ID","value":"4003"},{"id":130,"name":"Impact","value":""},{"id":150,"name":"Time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 t="shared" si="7"/>
        <v>grep -hSE -A100 "Enforcement Action" "%USERPROFILE%\AppData\Local\Temp\OnboardLogs"\RTDC4003\*4003*201610100* | grep -SE "((Enforcement Ac)|(PRM))" -</v>
      </c>
    </row>
    <row r="33" spans="1:29" ht="15" customHeight="1" x14ac:dyDescent="0.25">
      <c r="A33" s="38">
        <v>42652.779965277776</v>
      </c>
      <c r="B33" s="33" t="s">
        <v>234</v>
      </c>
      <c r="C33" s="33" t="s">
        <v>559</v>
      </c>
      <c r="D33" s="33" t="s">
        <v>105</v>
      </c>
      <c r="E33" s="33" t="s">
        <v>54</v>
      </c>
      <c r="F33" s="49">
        <v>0</v>
      </c>
      <c r="G33" s="49">
        <v>124</v>
      </c>
      <c r="H33" s="49">
        <v>22219</v>
      </c>
      <c r="I33" s="49">
        <v>22534</v>
      </c>
      <c r="J33" s="33" t="s">
        <v>55</v>
      </c>
      <c r="K33" s="49">
        <v>22206</v>
      </c>
      <c r="L33" s="145" t="s">
        <v>52</v>
      </c>
      <c r="M33" s="148">
        <f t="shared" si="0"/>
        <v>-173.18400000000003</v>
      </c>
      <c r="N33" s="87" t="str">
        <f>VLOOKUP(C33,'Trips&amp;Operators'!$C$1:$E$99999,3,FALSE)</f>
        <v>BRUDER</v>
      </c>
      <c r="O33" s="169" t="s">
        <v>86</v>
      </c>
      <c r="P33" s="10"/>
      <c r="Q33" s="33"/>
      <c r="R33" s="103" t="str">
        <f>VLOOKUP(C33,'Train Runs'!$A$13:$AE$10008,31,0)</f>
        <v>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 &amp; aws s3 cp s3://rtdc.mdm.uploadarchive.raw/RTDC4009/ "%USERPROFILE%\AppData\Local\Temp\OnboardLogs"\RTDC4009\2016-10-10 --exclude "*" --recursive --include "*20161010*" &amp; "%USERPROFILE%\Documents\GitHub\mrs-test-scripts\Headless Mode &amp; Sideloading\WalkAndUnGZ.bat" "%USERPROFILE%\AppData\Local\Temp\OnboardLogs"\RTDC4009\2016-10-10</v>
      </c>
      <c r="S33" s="106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17:29:32-0600',mode:absolute,to:'2016-10-09 19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3" s="108" t="str">
        <f t="shared" si="1"/>
        <v>"C:\Program Files (x86)\AstroGrep\AstroGrep.exe" /spath="%USERPROFILE%\AppData\Local\Temp\OnboardLogs" /stypes="*4009*201610100*" /stext=" 00:.+((SYSTEM_STATE.+slice.+state.+changed )|(ment ac)|(system.+state.+changed )|(\[timeout)|(PRM\|1\|D)|(kpr)|(kdp)|(\|lc)|(penalty))" /e /r /s</v>
      </c>
      <c r="U33" s="9" t="str">
        <f t="shared" si="2"/>
        <v>4009</v>
      </c>
      <c r="V33" s="38">
        <f t="shared" si="3"/>
        <v>42653.029965277776</v>
      </c>
      <c r="W33" s="52" t="str">
        <f t="shared" si="4"/>
        <v>Other</v>
      </c>
      <c r="X33" s="52" t="str">
        <f t="shared" si="5"/>
        <v>KEEP</v>
      </c>
      <c r="Y33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{"issue":{"subject":"","project_id":79,"tracker_id":40,"status_id":1,"priority_id":2,"assigned_to_id":23,"start_date":"2016-10-09","description":"","custom_fields":[{"id":1,"name":"Subdivision","value":"Other"},{"id":4,"name":"Milepost","value":"2.2206"},{"id":17,"name":"Train ID","value":"67-09"},{"id":16,"name":"Locomotive ID","value":"4009"},{"id":130,"name":"Impact","value":""},{"id":150,"name":"Time of Event (Mountain Time)","value":"18:43:09"},{"id":151,"name":"Denver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 t="shared" si="7"/>
        <v>grep -hSE -A100 "Enforcement Action" "%USERPROFILE%\AppData\Local\Temp\OnboardLogs"\RTDC4009\*4009*201610100* | grep -SE "((Enforcement Ac)|(PRM))" -</v>
      </c>
    </row>
    <row r="34" spans="1:29" x14ac:dyDescent="0.25">
      <c r="A34" s="38">
        <v>42652.751782407409</v>
      </c>
      <c r="B34" s="33" t="s">
        <v>230</v>
      </c>
      <c r="C34" s="33" t="s">
        <v>552</v>
      </c>
      <c r="D34" s="33" t="s">
        <v>49</v>
      </c>
      <c r="E34" s="33" t="s">
        <v>54</v>
      </c>
      <c r="F34" s="49">
        <v>0</v>
      </c>
      <c r="G34" s="49">
        <v>71</v>
      </c>
      <c r="H34" s="49">
        <v>24286</v>
      </c>
      <c r="I34" s="49">
        <v>24224</v>
      </c>
      <c r="J34" s="33" t="s">
        <v>55</v>
      </c>
      <c r="K34" s="49">
        <v>24235</v>
      </c>
      <c r="L34" s="145" t="s">
        <v>53</v>
      </c>
      <c r="M34" s="148">
        <f t="shared" si="0"/>
        <v>-5.8079999999999998</v>
      </c>
      <c r="N34" s="87" t="str">
        <f>VLOOKUP(C34,'Trips&amp;Operators'!$C$1:$E$99999,3,FALSE)</f>
        <v>CHANDLER</v>
      </c>
      <c r="O34" s="169" t="s">
        <v>86</v>
      </c>
      <c r="P34" s="10"/>
      <c r="Q34" s="33"/>
      <c r="R34" s="103" t="str">
        <f>VLOOKUP(C34,'Train Runs'!$A$13:$AE$10008,31,0)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4" s="106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8" t="str">
        <f t="shared" si="1"/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4" s="9" t="str">
        <f t="shared" si="2"/>
        <v>4010</v>
      </c>
      <c r="V34" s="38">
        <f t="shared" si="3"/>
        <v>42653.001782407409</v>
      </c>
      <c r="W34" s="52" t="str">
        <f t="shared" si="4"/>
        <v>Other</v>
      </c>
      <c r="X34" s="52" t="str">
        <f t="shared" si="5"/>
        <v>KEEP</v>
      </c>
      <c r="Y34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{"issue":{"subject":"","project_id":79,"tracker_id":40,"status_id":1,"priority_id":2,"assigned_to_id":23,"start_date":"2016-10-09","description":"","custom_fields":[{"id":1,"name":"Subdivision","value":"Other"},{"id":4,"name":"Milepost","value":"2.4235"},{"id":17,"name":"Train ID","value":"62-09"},{"id":16,"name":"Locomotive ID","value":"4010"},{"id":130,"name":"Impact","value":""},{"id":150,"name":"Time of Event (Mountain Time)","value":"18:02:34"},{"id":151,"name":"Denver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 t="shared" si="7"/>
        <v>grep -hSE -A100 "Enforcement Action" "%USERPROFILE%\AppData\Local\Temp\OnboardLogs"\RTDC4010\*4010*201610100* | grep -SE "((Enforcement Ac)|(PRM))" -</v>
      </c>
    </row>
    <row r="35" spans="1:29" x14ac:dyDescent="0.25">
      <c r="A35" s="38">
        <v>42652.777060185188</v>
      </c>
      <c r="B35" s="33" t="s">
        <v>335</v>
      </c>
      <c r="C35" s="33" t="s">
        <v>561</v>
      </c>
      <c r="D35" s="33" t="s">
        <v>105</v>
      </c>
      <c r="E35" s="33" t="s">
        <v>616</v>
      </c>
      <c r="F35" s="49">
        <v>0</v>
      </c>
      <c r="G35" s="49">
        <v>62</v>
      </c>
      <c r="H35" s="49">
        <v>23902</v>
      </c>
      <c r="I35" s="49">
        <v>23807</v>
      </c>
      <c r="J35" s="33" t="s">
        <v>365</v>
      </c>
      <c r="K35" s="49">
        <v>24235</v>
      </c>
      <c r="L35" s="145" t="s">
        <v>53</v>
      </c>
      <c r="M35" s="148">
        <f t="shared" si="0"/>
        <v>-225.98400000000001</v>
      </c>
      <c r="N35" s="87" t="str">
        <f>VLOOKUP(C35,'Trips&amp;Operators'!$C$1:$E$99999,3,FALSE)</f>
        <v>SMITH</v>
      </c>
      <c r="O35" s="169" t="s">
        <v>86</v>
      </c>
      <c r="P35" s="10"/>
      <c r="Q35" s="33"/>
      <c r="R35" s="103" t="str">
        <f>VLOOKUP(C35,'Train Runs'!$A$13:$AE$10008,31,0)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S35" s="106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5" s="108" t="str">
        <f t="shared" si="1"/>
        <v>"C:\Program Files (x86)\AstroGrep\AstroGrep.exe" /spath="%USERPROFILE%\AppData\Local\Temp\OnboardLogs" /stypes="*4019*201610100*" /stext=" 00:.+((SYSTEM_STATE.+slice.+state.+changed )|(ment ac)|(system.+state.+changed )|(\[timeout)|(PRM\|1\|D)|(kpr)|(kdp)|(\|lc)|(penalty))" /e /r /s</v>
      </c>
      <c r="U35" s="9" t="str">
        <f t="shared" si="2"/>
        <v>4019</v>
      </c>
      <c r="V35" s="38">
        <f t="shared" si="3"/>
        <v>42653.027060185188</v>
      </c>
      <c r="W35" s="52" t="str">
        <f t="shared" si="4"/>
        <v>Other</v>
      </c>
      <c r="X35" s="52" t="str">
        <f t="shared" si="5"/>
        <v>KEEP</v>
      </c>
      <c r="Y35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{"issue":{"subject":"","project_id":79,"tracker_id":40,"status_id":1,"priority_id":2,"assigned_to_id":23,"start_date":"2016-10-09","description":"","custom_fields":[{"id":1,"name":"Subdivision","value":"Other"},{"id":4,"name":"Milepost","value":"2.4235"},{"id":17,"name":"Train ID","value":"66-09"},{"id":16,"name":"Locomotive ID","value":"4019"},{"id":130,"name":"Impact","value":""},{"id":150,"name":"Time of Event (Mountain Time)","value":"18:38:58"},{"id":151,"name":"Denver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 t="shared" si="7"/>
        <v>grep -hSE -A100 "Enforcement Action" "%USERPROFILE%\AppData\Local\Temp\OnboardLogs"\RTDC4019\*4019*201610100* | grep -SE "((Enforcement Ac)|(PRM))" -</v>
      </c>
    </row>
    <row r="36" spans="1:29" x14ac:dyDescent="0.25">
      <c r="A36" s="38">
        <v>42652.762025462966</v>
      </c>
      <c r="B36" s="33" t="s">
        <v>230</v>
      </c>
      <c r="C36" s="33" t="s">
        <v>552</v>
      </c>
      <c r="D36" s="33" t="s">
        <v>49</v>
      </c>
      <c r="E36" s="33" t="s">
        <v>50</v>
      </c>
      <c r="F36" s="49">
        <v>0</v>
      </c>
      <c r="G36" s="49">
        <v>52</v>
      </c>
      <c r="H36" s="49">
        <v>989</v>
      </c>
      <c r="I36" s="49">
        <v>932</v>
      </c>
      <c r="J36" s="33" t="s">
        <v>51</v>
      </c>
      <c r="K36" s="49">
        <v>826</v>
      </c>
      <c r="L36" s="145" t="s">
        <v>53</v>
      </c>
      <c r="M36" s="148">
        <f t="shared" si="0"/>
        <v>55.968000000000004</v>
      </c>
      <c r="N36" s="87" t="str">
        <f>VLOOKUP(C36,'Trips&amp;Operators'!$C$1:$E$99999,3,FALSE)</f>
        <v>CHANDLER</v>
      </c>
      <c r="O36" s="169" t="s">
        <v>86</v>
      </c>
      <c r="P36" s="10"/>
      <c r="Q36" s="33"/>
      <c r="R36" s="103" t="str">
        <f>VLOOKUP(C36,'Train Runs'!$A$13:$AE$10008,31,0)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6" s="106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8" t="str">
        <f t="shared" si="1"/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6" s="9" t="str">
        <f t="shared" si="2"/>
        <v>4010</v>
      </c>
      <c r="V36" s="38">
        <f t="shared" si="3"/>
        <v>42653.012025462966</v>
      </c>
      <c r="W36" s="52" t="str">
        <f t="shared" si="4"/>
        <v>Other</v>
      </c>
      <c r="X36" s="52" t="str">
        <f t="shared" si="5"/>
        <v>KEEP</v>
      </c>
      <c r="Y36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 t="shared" si="7"/>
        <v>grep -hSE -A100 "Enforcement Action" "%USERPROFILE%\AppData\Local\Temp\OnboardLogs"\RTDC4010\*4010*201610100* | grep -SE "((Enforcement Ac)|(PRM))" -</v>
      </c>
    </row>
    <row r="37" spans="1:29" ht="15" customHeight="1" x14ac:dyDescent="0.25">
      <c r="A37" s="38">
        <v>42652.762546296297</v>
      </c>
      <c r="B37" s="33" t="s">
        <v>230</v>
      </c>
      <c r="C37" s="33" t="s">
        <v>552</v>
      </c>
      <c r="D37" s="33" t="s">
        <v>49</v>
      </c>
      <c r="E37" s="33" t="s">
        <v>50</v>
      </c>
      <c r="F37" s="49">
        <v>0</v>
      </c>
      <c r="G37" s="49">
        <v>17</v>
      </c>
      <c r="H37" s="49">
        <v>915</v>
      </c>
      <c r="I37" s="49">
        <v>893</v>
      </c>
      <c r="J37" s="33" t="s">
        <v>51</v>
      </c>
      <c r="K37" s="49">
        <v>826</v>
      </c>
      <c r="L37" s="145" t="s">
        <v>53</v>
      </c>
      <c r="M37" s="148">
        <f t="shared" si="0"/>
        <v>35.375999999999998</v>
      </c>
      <c r="N37" s="87" t="str">
        <f>VLOOKUP(C37,'Trips&amp;Operators'!$C$1:$E$99999,3,FALSE)</f>
        <v>CHANDLER</v>
      </c>
      <c r="O37" s="169" t="s">
        <v>86</v>
      </c>
      <c r="P37" s="10"/>
      <c r="Q37" s="33"/>
      <c r="R37" s="103" t="str">
        <f>VLOOKUP(C37,'Train Runs'!$A$13:$AE$10008,31,0)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7" s="106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8" t="str">
        <f t="shared" si="1"/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7" s="9" t="str">
        <f t="shared" si="2"/>
        <v>4010</v>
      </c>
      <c r="V37" s="38">
        <f t="shared" si="3"/>
        <v>42653.012546296297</v>
      </c>
      <c r="W37" s="52" t="str">
        <f t="shared" si="4"/>
        <v>Other</v>
      </c>
      <c r="X37" s="52" t="str">
        <f t="shared" si="5"/>
        <v>KEEP</v>
      </c>
      <c r="Y37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ID","value":"62-09"},{"id":16,"name":"Locomotive ID","value":"4010"},{"id":130,"name":"Impact","value":""},{"id":150,"name":"Time of Event (Mountain Time)","value":"18:18:04"},{"id":151,"name":"Denver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 t="shared" si="7"/>
        <v>grep -hSE -A100 "Enforcement Action" "%USERPROFILE%\AppData\Local\Temp\OnboardLogs"\RTDC4010\*4010*201610100* | grep -SE "((Enforcement Ac)|(PRM))" -</v>
      </c>
    </row>
    <row r="38" spans="1:29" x14ac:dyDescent="0.25">
      <c r="A38" s="38">
        <v>42652.78738425926</v>
      </c>
      <c r="B38" s="33" t="s">
        <v>335</v>
      </c>
      <c r="C38" s="33" t="s">
        <v>561</v>
      </c>
      <c r="D38" s="33" t="s">
        <v>49</v>
      </c>
      <c r="E38" s="33" t="s">
        <v>50</v>
      </c>
      <c r="F38" s="49">
        <v>0</v>
      </c>
      <c r="G38" s="49">
        <v>13</v>
      </c>
      <c r="H38" s="49">
        <v>856</v>
      </c>
      <c r="I38" s="49">
        <v>845</v>
      </c>
      <c r="J38" s="33" t="s">
        <v>51</v>
      </c>
      <c r="K38" s="49">
        <v>826</v>
      </c>
      <c r="L38" s="145" t="s">
        <v>53</v>
      </c>
      <c r="M38" s="148">
        <f t="shared" si="0"/>
        <v>10.032</v>
      </c>
      <c r="N38" s="87" t="str">
        <f>VLOOKUP(C38,'Trips&amp;Operators'!$C$1:$E$99999,3,FALSE)</f>
        <v>SMITH</v>
      </c>
      <c r="O38" s="169" t="s">
        <v>86</v>
      </c>
      <c r="P38" s="10"/>
      <c r="Q38" s="33"/>
      <c r="R38" s="103" t="str">
        <f>VLOOKUP(C38,'Train Runs'!$A$13:$AE$10008,31,0)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S38" s="106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8" s="108" t="str">
        <f t="shared" si="1"/>
        <v>"C:\Program Files (x86)\AstroGrep\AstroGrep.exe" /spath="%USERPROFILE%\AppData\Local\Temp\OnboardLogs" /stypes="*4019*201610100*" /stext=" 00:.+((SYSTEM_STATE.+slice.+state.+changed )|(ment ac)|(system.+state.+changed )|(\[timeout)|(PRM\|1\|D)|(kpr)|(kdp)|(\|lc)|(penalty))" /e /r /s</v>
      </c>
      <c r="U38" s="9" t="str">
        <f t="shared" si="2"/>
        <v>4019</v>
      </c>
      <c r="V38" s="38">
        <f t="shared" si="3"/>
        <v>42653.03738425926</v>
      </c>
      <c r="W38" s="52" t="str">
        <f t="shared" si="4"/>
        <v>Other</v>
      </c>
      <c r="X38" s="52" t="str">
        <f t="shared" si="5"/>
        <v>KEEP</v>
      </c>
      <c r="Y38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ID","value":"66-09"},{"id":16,"name":"Locomotive ID","value":"4019"},{"id":130,"name":"Impact","value":""},{"id":150,"name":"Time of Event (Mountain Time)","value":"18:53:50"},{"id":151,"name":"Denver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 t="shared" si="7"/>
        <v>grep -hSE -A100 "Enforcement Action" "%USERPROFILE%\AppData\Local\Temp\OnboardLogs"\RTDC4019\*4019*201610100* | grep -SE "((Enforcement Ac)|(PRM))" -</v>
      </c>
    </row>
    <row r="39" spans="1:29" x14ac:dyDescent="0.25">
      <c r="A39" s="38">
        <v>42652.754687499997</v>
      </c>
      <c r="B39" s="33" t="s">
        <v>231</v>
      </c>
      <c r="C39" s="33" t="s">
        <v>548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1526</v>
      </c>
      <c r="I39" s="49">
        <v>1458</v>
      </c>
      <c r="J39" s="33" t="s">
        <v>51</v>
      </c>
      <c r="K39" s="49">
        <v>839</v>
      </c>
      <c r="L39" s="145" t="s">
        <v>53</v>
      </c>
      <c r="M39" s="148">
        <f t="shared" si="0"/>
        <v>326.83199999999999</v>
      </c>
      <c r="N39" s="87" t="str">
        <f>VLOOKUP(C39,'Trips&amp;Operators'!$C$1:$E$99999,3,FALSE)</f>
        <v>BERLING</v>
      </c>
      <c r="O39" s="169" t="s">
        <v>86</v>
      </c>
      <c r="P39" s="10"/>
      <c r="Q39" s="33"/>
      <c r="R39" s="103" t="str">
        <f>VLOOKUP(C39,'Train Runs'!$A$13:$AE$10008,31,0)</f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S39" s="106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https://search-rtdc-monitor-bjffxe2xuh6vdkpspy63sjmuny.us-east-1.es.amazonaws.com/_plugin/kibana/#/discover/Steve-Slow-Train-Analysis-(2080s-and-2083s)?_g=(refreshInterval:(display:Off,section:0,value:0),time:(from:'2016-10-09 16:47:02-0600',mode:absolute,to:'2016-10-09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8" t="str">
        <f t="shared" si="1"/>
        <v>"C:\Program Files (x86)\AstroGrep\AstroGrep.exe" /spath="%USERPROFILE%\AppData\Local\Temp\OnboardLogs" /stypes="*4032*201610100*" /stext=" 00:.+((SYSTEM_STATE.+slice.+state.+changed )|(ment ac)|(system.+state.+changed )|(\[timeout)|(PRM\|1\|D)|(kpr)|(kdp)|(\|lc)|(penalty))" /e /r /s</v>
      </c>
      <c r="U39" s="9" t="str">
        <f t="shared" si="2"/>
        <v>4032</v>
      </c>
      <c r="V39" s="38">
        <f t="shared" si="3"/>
        <v>42653.004687499997</v>
      </c>
      <c r="W39" s="52" t="str">
        <f t="shared" si="4"/>
        <v>Other</v>
      </c>
      <c r="X39" s="52" t="str">
        <f t="shared" si="5"/>
        <v>KEEP</v>
      </c>
      <c r="Y39" s="129" t="str">
        <f t="shared" si="6"/>
        <v>echo {"issue":{"subject":"","project_id":79,"tracker_id":40,"status_id":1,"priority_id":2,"assigned_to_id":23,"start_date":"2016-10-09","description":"","custom_fields":[{"id":1,"name":"Subdivision","value":"Other"},{"id":4,"name":"Milepost","value":"0.0839"},{"id":17,"name":"Train ID","value":"64-09"},{"id":16,"name":"Locomotive ID","value":"4032"},{"id":130,"name":"Impact","value":""},{"id":150,"name":"Time of Event (Mountain Time)","value":"18:06:45"},{"id":151,"name":"Denver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 t="shared" si="7"/>
        <v>grep -hSE -A100 "Enforcement Action" "%USERPROFILE%\AppData\Local\Temp\OnboardLogs"\RTDC4032\*4032*201610100* | grep -SE "((Enforcement Ac)|(PRM))" -</v>
      </c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45"/>
      <c r="M40" s="148"/>
      <c r="N40" s="87"/>
      <c r="O40" s="169"/>
      <c r="P40" s="10"/>
      <c r="Q40" s="33"/>
      <c r="R40" s="103"/>
      <c r="S40" s="106"/>
      <c r="T40" s="108"/>
      <c r="U40" s="9"/>
      <c r="V40" s="38"/>
      <c r="W40" s="52"/>
      <c r="X40" s="52"/>
      <c r="Y40" s="129"/>
      <c r="Z40" s="55"/>
      <c r="AA40" s="55"/>
      <c r="AB40" s="23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5"/>
      <c r="M41" s="148"/>
      <c r="N41" s="87"/>
      <c r="O41" s="169"/>
      <c r="P41" s="10"/>
      <c r="Q41" s="33"/>
      <c r="R41" s="103"/>
      <c r="S41" s="106"/>
      <c r="T41" s="108"/>
      <c r="U41" s="9"/>
      <c r="V41" s="38"/>
      <c r="W41" s="52"/>
      <c r="X41" s="52"/>
      <c r="Y41" s="129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5"/>
      <c r="M42" s="148"/>
      <c r="N42" s="87"/>
      <c r="O42" s="169"/>
      <c r="P42" s="10"/>
      <c r="Q42" s="33"/>
      <c r="R42" s="103"/>
      <c r="S42" s="106"/>
      <c r="T42" s="108"/>
      <c r="U42" s="9"/>
      <c r="V42" s="38"/>
      <c r="W42" s="52"/>
      <c r="X42" s="52"/>
      <c r="Y42" s="129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5"/>
      <c r="M43" s="148"/>
      <c r="N43" s="87"/>
      <c r="O43" s="169"/>
      <c r="P43" s="10"/>
      <c r="Q43" s="33"/>
      <c r="R43" s="103"/>
      <c r="S43" s="106"/>
      <c r="T43" s="108"/>
      <c r="U43" s="9"/>
      <c r="V43" s="38"/>
      <c r="W43" s="52"/>
      <c r="X43" s="52"/>
      <c r="Y43" s="129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5"/>
      <c r="M44" s="148"/>
      <c r="N44" s="87"/>
      <c r="O44" s="169"/>
      <c r="P44" s="10"/>
      <c r="Q44" s="33"/>
      <c r="R44" s="103"/>
      <c r="S44" s="106"/>
      <c r="T44" s="108"/>
      <c r="U44" s="9"/>
      <c r="V44" s="38"/>
      <c r="W44" s="52"/>
      <c r="X44" s="52"/>
      <c r="Y44" s="129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5"/>
      <c r="M45" s="148"/>
      <c r="N45" s="87"/>
      <c r="O45" s="169"/>
      <c r="P45" s="10"/>
      <c r="Q45" s="33"/>
      <c r="R45" s="103"/>
      <c r="S45" s="106"/>
      <c r="T45" s="108"/>
      <c r="U45" s="9"/>
      <c r="V45" s="38"/>
      <c r="W45" s="52"/>
      <c r="X45" s="52"/>
      <c r="Y45" s="129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5"/>
      <c r="M46" s="148"/>
      <c r="N46" s="87"/>
      <c r="O46" s="169"/>
      <c r="P46" s="10"/>
      <c r="Q46" s="33"/>
      <c r="R46" s="103"/>
      <c r="S46" s="106"/>
      <c r="T46" s="108"/>
      <c r="U46" s="9"/>
      <c r="V46" s="38"/>
      <c r="W46" s="52"/>
      <c r="X46" s="52"/>
      <c r="Y46" s="129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5"/>
      <c r="M47" s="148"/>
      <c r="N47" s="87"/>
      <c r="O47" s="169"/>
      <c r="P47" s="10"/>
      <c r="Q47" s="33"/>
      <c r="R47" s="103"/>
      <c r="S47" s="106"/>
      <c r="T47" s="108"/>
      <c r="U47" s="9"/>
      <c r="V47" s="38"/>
      <c r="W47" s="52"/>
      <c r="X47" s="52"/>
      <c r="Y47" s="129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5"/>
      <c r="M48" s="148"/>
      <c r="N48" s="87"/>
      <c r="O48" s="169"/>
      <c r="P48" s="10"/>
      <c r="Q48" s="33"/>
      <c r="R48" s="103"/>
      <c r="S48" s="106"/>
      <c r="T48" s="108"/>
      <c r="U48" s="9"/>
      <c r="V48" s="38"/>
      <c r="W48" s="52"/>
      <c r="X48" s="52"/>
      <c r="Y48" s="129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5"/>
      <c r="M49" s="148"/>
      <c r="N49" s="87"/>
      <c r="O49" s="169"/>
      <c r="P49" s="10"/>
      <c r="Q49" s="33"/>
      <c r="R49" s="103"/>
      <c r="S49" s="106"/>
      <c r="T49" s="108"/>
      <c r="U49" s="9"/>
      <c r="V49" s="38"/>
      <c r="W49" s="52"/>
      <c r="X49" s="52"/>
      <c r="Y49" s="129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5"/>
      <c r="M50" s="148"/>
      <c r="N50" s="87"/>
      <c r="O50" s="169"/>
      <c r="P50" s="10"/>
      <c r="Q50" s="33"/>
      <c r="R50" s="103"/>
      <c r="S50" s="106"/>
      <c r="T50" s="108"/>
      <c r="U50" s="9"/>
      <c r="V50" s="38"/>
      <c r="W50" s="52"/>
      <c r="X50" s="52"/>
      <c r="Y50" s="129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5"/>
      <c r="M51" s="148"/>
      <c r="N51" s="87"/>
      <c r="O51" s="169"/>
      <c r="P51" s="10"/>
      <c r="Q51" s="33"/>
      <c r="R51" s="103"/>
      <c r="S51" s="106"/>
      <c r="T51" s="108"/>
      <c r="U51" s="9"/>
      <c r="V51" s="38"/>
      <c r="W51" s="52"/>
      <c r="X51" s="52"/>
      <c r="Y51" s="129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5"/>
      <c r="M52" s="148"/>
      <c r="N52" s="87"/>
      <c r="O52" s="169"/>
      <c r="P52" s="10"/>
      <c r="Q52" s="33"/>
      <c r="R52" s="103"/>
      <c r="S52" s="106"/>
      <c r="T52" s="108"/>
      <c r="U52" s="9"/>
      <c r="V52" s="38"/>
      <c r="W52" s="52"/>
      <c r="X52" s="52"/>
      <c r="Y52" s="129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5"/>
      <c r="M53" s="148"/>
      <c r="N53" s="87"/>
      <c r="O53" s="169"/>
      <c r="P53" s="10"/>
      <c r="Q53" s="33"/>
      <c r="R53" s="103"/>
      <c r="S53" s="106"/>
      <c r="T53" s="108"/>
      <c r="U53" s="9"/>
      <c r="V53" s="38"/>
      <c r="W53" s="52"/>
      <c r="X53" s="52"/>
      <c r="Y53" s="129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5"/>
      <c r="M54" s="148"/>
      <c r="N54" s="87"/>
      <c r="O54" s="169"/>
      <c r="P54" s="10"/>
      <c r="Q54" s="33"/>
      <c r="R54" s="103"/>
      <c r="S54" s="106"/>
      <c r="T54" s="108"/>
      <c r="U54" s="9"/>
      <c r="V54" s="38"/>
      <c r="W54" s="52"/>
      <c r="X54" s="52"/>
      <c r="Y54" s="129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5"/>
      <c r="M55" s="148"/>
      <c r="N55" s="87"/>
      <c r="O55" s="169"/>
      <c r="P55" s="10"/>
      <c r="Q55" s="33"/>
      <c r="R55" s="103"/>
      <c r="S55" s="106"/>
      <c r="T55" s="108"/>
      <c r="U55" s="9"/>
      <c r="V55" s="38"/>
      <c r="W55" s="52"/>
      <c r="X55" s="52"/>
      <c r="Y55" s="129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5"/>
      <c r="M56" s="148"/>
      <c r="N56" s="87"/>
      <c r="O56" s="169"/>
      <c r="P56" s="10"/>
      <c r="Q56" s="33"/>
      <c r="R56" s="103"/>
      <c r="S56" s="106"/>
      <c r="T56" s="108"/>
      <c r="U56" s="9"/>
      <c r="V56" s="38"/>
      <c r="W56" s="52"/>
      <c r="X56" s="52"/>
      <c r="Y56" s="129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5"/>
      <c r="M57" s="148"/>
      <c r="N57" s="87"/>
      <c r="O57" s="169"/>
      <c r="P57" s="10"/>
      <c r="Q57" s="33"/>
      <c r="R57" s="103"/>
      <c r="S57" s="106"/>
      <c r="T57" s="108"/>
      <c r="U57" s="9"/>
      <c r="V57" s="38"/>
      <c r="W57" s="52"/>
      <c r="X57" s="52"/>
      <c r="Y57" s="129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5"/>
      <c r="M58" s="148"/>
      <c r="N58" s="87"/>
      <c r="O58" s="169"/>
      <c r="P58" s="10"/>
      <c r="Q58" s="33"/>
      <c r="R58" s="103"/>
      <c r="S58" s="106"/>
      <c r="T58" s="108"/>
      <c r="U58" s="9"/>
      <c r="V58" s="38"/>
      <c r="W58" s="52"/>
      <c r="X58" s="52"/>
      <c r="Y58" s="129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66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7" sqref="I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6" t="str">
        <f>"Trips that did not appear in PTC Data "&amp;TEXT(Variables!$A$2,"YYYY-mm-dd")</f>
        <v>Trips that did not appear in PTC Data 2016-10-09</v>
      </c>
      <c r="C1" s="186"/>
      <c r="D1" s="186"/>
      <c r="E1" s="186"/>
      <c r="F1" s="186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105</v>
      </c>
      <c r="B3" s="2" t="str">
        <f>A3&amp;"-"&amp;IF(DAY(Variables!$A$2)&lt;10,0,"")&amp;DAY(Variables!$A$2)</f>
        <v>105-09</v>
      </c>
      <c r="C3" s="114"/>
      <c r="D3" s="114"/>
      <c r="E3" s="33"/>
      <c r="F3" s="24" t="str">
        <f>VLOOKUP(B3,'Trips&amp;Operators'!$C$2:$E$10000,3,FALSE)</f>
        <v>MAELZER</v>
      </c>
      <c r="G3" s="24" t="str">
        <f>VLOOKUP(B3,'Trips&amp;Operators'!$C$1:$F$10000,4,FALSE)</f>
        <v>rtdc.l.rtdc.4014:itc</v>
      </c>
      <c r="H3" s="32">
        <f>VLOOKUP(B3,'Trips&amp;Operators'!$C$1:$H$10000,5,FALSE)</f>
        <v>42652.169942129629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-09%22)),sort:!(Time,asc))</v>
      </c>
      <c r="J3" s="23"/>
      <c r="K3" s="23"/>
    </row>
    <row r="4" spans="1:11" x14ac:dyDescent="0.25">
      <c r="A4" s="156">
        <v>119</v>
      </c>
      <c r="B4" s="2" t="str">
        <f>A4&amp;"-"&amp;IF(DAY(Variables!$A$2)&lt;10,0,"")&amp;DAY(Variables!$A$2)</f>
        <v>119-09</v>
      </c>
      <c r="C4" s="114"/>
      <c r="D4" s="114"/>
      <c r="E4" s="33"/>
      <c r="F4" s="24" t="str">
        <f>VLOOKUP(B4,'Trips&amp;Operators'!$C$2:$E$10000,3,FALSE)</f>
        <v>MAELZER</v>
      </c>
      <c r="G4" s="24" t="str">
        <f>VLOOKUP(B4,'Trips&amp;Operators'!$C$1:$F$10000,4,FALSE)</f>
        <v>rtdc.l.rtdc.4014:itc</v>
      </c>
      <c r="H4" s="32">
        <f>VLOOKUP(B4,'Trips&amp;Operators'!$C$1:$H$10000,5,FALSE)</f>
        <v>42652.247083333335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-09%22)),sort:!(Time,asc))</v>
      </c>
      <c r="J4" s="23"/>
      <c r="K4" s="23"/>
    </row>
    <row r="5" spans="1:11" x14ac:dyDescent="0.25">
      <c r="A5" s="156">
        <v>120</v>
      </c>
      <c r="B5" s="2" t="str">
        <f>A5&amp;"-"&amp;IF(DAY(Variables!$A$2)&lt;10,0,"")&amp;DAY(Variables!$A$2)</f>
        <v>120-09</v>
      </c>
      <c r="C5" s="114"/>
      <c r="D5" s="114"/>
      <c r="E5" s="33"/>
      <c r="F5" s="24" t="str">
        <f>VLOOKUP(B5,'Trips&amp;Operators'!$C$2:$E$10000,3,FALSE)</f>
        <v>MAELZER</v>
      </c>
      <c r="G5" s="24" t="str">
        <f>VLOOKUP(B5,'Trips&amp;Operators'!$C$1:$F$10000,4,FALSE)</f>
        <v>rtdc.l.rtdc.4013:itc</v>
      </c>
      <c r="H5" s="32">
        <f>VLOOKUP(B5,'Trips&amp;Operators'!$C$1:$H$10000,5,FALSE)</f>
        <v>42652.285000000003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-09%22)),sort:!(Time,asc))</v>
      </c>
      <c r="J5" s="23"/>
      <c r="K5" s="23"/>
    </row>
    <row r="6" spans="1:11" x14ac:dyDescent="0.25">
      <c r="A6" s="156">
        <v>225</v>
      </c>
      <c r="B6" s="2" t="str">
        <f>A6&amp;"-"&amp;IF(DAY(Variables!$A$2)&lt;10,0,"")&amp;DAY(Variables!$A$2)</f>
        <v>225-09</v>
      </c>
      <c r="C6" s="114"/>
      <c r="D6" s="114"/>
      <c r="E6" s="33"/>
      <c r="F6" s="24" t="str">
        <f>VLOOKUP(B6,'Trips&amp;Operators'!$C$2:$E$10000,3,FALSE)</f>
        <v>NEWELL</v>
      </c>
      <c r="G6" s="24" t="str">
        <f>VLOOKUP(B6,'Trips&amp;Operators'!$C$1:$F$10000,4,FALSE)</f>
        <v>rtdc.l.rtdc.4014:itc</v>
      </c>
      <c r="H6" s="32">
        <f>VLOOKUP(B6,'Trips&amp;Operators'!$C$1:$H$10000,5,FALSE)</f>
        <v>42652.827719907407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22225-09%22)),sort:!(Time,asc))</v>
      </c>
      <c r="J6" s="23"/>
      <c r="K6" s="23"/>
    </row>
    <row r="7" spans="1:11" x14ac:dyDescent="0.25">
      <c r="A7" s="156">
        <v>233</v>
      </c>
      <c r="B7" s="2" t="str">
        <f>A7&amp;"-"&amp;IF(DAY(Variables!$A$2)&lt;10,0,"")&amp;DAY(Variables!$A$2)</f>
        <v>233-09</v>
      </c>
      <c r="C7" s="114"/>
      <c r="D7" s="114"/>
      <c r="E7" s="33"/>
      <c r="F7" s="24" t="str">
        <f>VLOOKUP(B7,'Trips&amp;Operators'!$C$2:$E$10000,3,FALSE)</f>
        <v>NEWELL</v>
      </c>
      <c r="G7" s="24" t="str">
        <f>VLOOKUP(B7,'Trips&amp;Operators'!$C$1:$F$10000,4,FALSE)</f>
        <v>rtdc.l.rtdc.4014:itc</v>
      </c>
      <c r="H7" s="32">
        <f>VLOOKUP(B7,'Trips&amp;Operators'!$C$1:$H$10000,5,FALSE)</f>
        <v>42652.901331018518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-09%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-09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-09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-09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-09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-09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-09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-09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15" spans="1:11" x14ac:dyDescent="0.25">
      <c r="A15" s="183"/>
      <c r="B15" s="2" t="str">
        <f>A15&amp;"-"&amp;IF(DAY(Variables!$A$2)&lt;10,0,"")&amp;DAY(Variables!$A$2)</f>
        <v>-09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-09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-09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-09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-09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-09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-09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-09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3" spans="2:11" x14ac:dyDescent="0.25">
      <c r="B23" s="2" t="str">
        <f>A23&amp;"-"&amp;IF(DAY(Variables!$A$2)&lt;10,0,"")&amp;DAY(Variables!$A$2)</f>
        <v>-09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4" spans="2:11" x14ac:dyDescent="0.25">
      <c r="B24" s="2" t="str">
        <f>A24&amp;"-"&amp;IF(DAY(Variables!$A$2)&lt;10,0,"")&amp;DAY(Variables!$A$2)</f>
        <v>-09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5" spans="2:11" x14ac:dyDescent="0.25">
      <c r="B25" s="2" t="str">
        <f>A25&amp;"-"&amp;IF(DAY(Variables!$A$2)&lt;10,0,"")&amp;DAY(Variables!$A$2)</f>
        <v>-09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6" spans="2:11" x14ac:dyDescent="0.25">
      <c r="B26" s="2" t="str">
        <f>A26&amp;"-"&amp;IF(DAY(Variables!$A$2)&lt;10,0,"")&amp;DAY(Variables!$A$2)</f>
        <v>-09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7" spans="2:11" x14ac:dyDescent="0.25">
      <c r="B27" s="2" t="str">
        <f>A27&amp;"-"&amp;IF(DAY(Variables!$A$2)&lt;10,0,"")&amp;DAY(Variables!$A$2)</f>
        <v>-09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8" spans="2:11" x14ac:dyDescent="0.25">
      <c r="B28" s="2" t="str">
        <f>A28&amp;"-"&amp;IF(DAY(Variables!$A$2)&lt;10,0,"")&amp;DAY(Variables!$A$2)</f>
        <v>-09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210</v>
      </c>
      <c r="B1" s="23" t="s">
        <v>211</v>
      </c>
      <c r="C1" s="23" t="s">
        <v>0</v>
      </c>
      <c r="D1" s="23" t="s">
        <v>212</v>
      </c>
      <c r="E1" s="23" t="s">
        <v>213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42652.035000000003</v>
      </c>
      <c r="B2" s="23" t="s">
        <v>233</v>
      </c>
      <c r="C2" s="23" t="s">
        <v>357</v>
      </c>
      <c r="D2" s="23">
        <v>1300000</v>
      </c>
      <c r="E2" s="23" t="s">
        <v>121</v>
      </c>
      <c r="F2" s="23" t="str">
        <f t="shared" ref="F2:F65" si="0">B2</f>
        <v>rtdc.l.rtdc.4053:itc</v>
      </c>
      <c r="G2" s="8">
        <f t="shared" ref="G2:G65" si="1">A2</f>
        <v>42652.035000000003</v>
      </c>
    </row>
    <row r="3" spans="1:7" x14ac:dyDescent="0.25">
      <c r="A3" s="8">
        <v>42652.035277777781</v>
      </c>
      <c r="B3" s="23" t="s">
        <v>231</v>
      </c>
      <c r="C3" s="23" t="s">
        <v>358</v>
      </c>
      <c r="D3" s="23">
        <v>1480000</v>
      </c>
      <c r="E3" s="23" t="s">
        <v>223</v>
      </c>
      <c r="F3" s="23" t="str">
        <f t="shared" si="0"/>
        <v>rtdc.l.rtdc.4032:itc</v>
      </c>
      <c r="G3" s="8">
        <f t="shared" si="1"/>
        <v>42652.035277777781</v>
      </c>
    </row>
    <row r="4" spans="1:7" x14ac:dyDescent="0.25">
      <c r="A4" s="8">
        <v>42652.047673611109</v>
      </c>
      <c r="B4" s="23" t="s">
        <v>339</v>
      </c>
      <c r="C4" s="23" t="s">
        <v>359</v>
      </c>
      <c r="D4" s="23">
        <v>1810000</v>
      </c>
      <c r="E4" s="23" t="s">
        <v>275</v>
      </c>
      <c r="F4" s="23" t="str">
        <f t="shared" si="0"/>
        <v>rtdc.l.rtdc.4038:itc</v>
      </c>
      <c r="G4" s="8">
        <f t="shared" si="1"/>
        <v>42652.047673611109</v>
      </c>
    </row>
    <row r="5" spans="1:7" x14ac:dyDescent="0.25">
      <c r="A5" s="8">
        <v>42652.058171296296</v>
      </c>
      <c r="B5" s="23" t="s">
        <v>347</v>
      </c>
      <c r="C5" s="23" t="s">
        <v>360</v>
      </c>
      <c r="D5" s="23">
        <v>1800000</v>
      </c>
      <c r="E5" s="23" t="s">
        <v>344</v>
      </c>
      <c r="F5" s="23" t="str">
        <f t="shared" si="0"/>
        <v>rtdc.l.rtdc.4043:itc</v>
      </c>
      <c r="G5" s="8">
        <f t="shared" si="1"/>
        <v>42652.058171296296</v>
      </c>
    </row>
    <row r="6" spans="1:7" x14ac:dyDescent="0.25">
      <c r="A6" s="8">
        <v>42652.069189814814</v>
      </c>
      <c r="B6" s="23" t="s">
        <v>232</v>
      </c>
      <c r="C6" s="23" t="s">
        <v>361</v>
      </c>
      <c r="D6" s="23">
        <v>1480000</v>
      </c>
      <c r="E6" s="23" t="s">
        <v>223</v>
      </c>
      <c r="F6" s="23" t="str">
        <f t="shared" si="0"/>
        <v>rtdc.l.rtdc.4031:itc</v>
      </c>
      <c r="G6" s="8">
        <f t="shared" si="1"/>
        <v>42652.069189814814</v>
      </c>
    </row>
    <row r="7" spans="1:7" x14ac:dyDescent="0.25">
      <c r="A7" s="8">
        <v>42652.078518518516</v>
      </c>
      <c r="B7" s="23" t="s">
        <v>272</v>
      </c>
      <c r="C7" s="23" t="s">
        <v>362</v>
      </c>
      <c r="D7" s="23">
        <v>1300000</v>
      </c>
      <c r="E7" s="23" t="s">
        <v>121</v>
      </c>
      <c r="F7" s="23" t="str">
        <f t="shared" si="0"/>
        <v>rtdc.l.rtdc.4054:itc</v>
      </c>
      <c r="G7" s="8">
        <f t="shared" si="1"/>
        <v>42652.078518518516</v>
      </c>
    </row>
    <row r="8" spans="1:7" x14ac:dyDescent="0.25">
      <c r="A8" s="8">
        <v>42652.090324074074</v>
      </c>
      <c r="B8" s="23" t="s">
        <v>252</v>
      </c>
      <c r="C8" s="23" t="s">
        <v>363</v>
      </c>
      <c r="D8" s="23">
        <v>1800000</v>
      </c>
      <c r="E8" s="23" t="s">
        <v>344</v>
      </c>
      <c r="F8" s="23" t="str">
        <f t="shared" si="0"/>
        <v>rtdc.l.rtdc.4044:itc</v>
      </c>
      <c r="G8" s="8">
        <f t="shared" si="1"/>
        <v>42652.090324074074</v>
      </c>
    </row>
    <row r="9" spans="1:7" ht="15.75" thickBot="1" x14ac:dyDescent="0.3">
      <c r="A9" s="27">
        <v>42652.108472222222</v>
      </c>
      <c r="B9" s="23" t="s">
        <v>233</v>
      </c>
      <c r="C9" s="23" t="s">
        <v>364</v>
      </c>
      <c r="D9" s="23">
        <v>1300000</v>
      </c>
      <c r="E9" s="23" t="s">
        <v>121</v>
      </c>
      <c r="F9" s="23" t="str">
        <f t="shared" si="0"/>
        <v>rtdc.l.rtdc.4053:itc</v>
      </c>
      <c r="G9" s="8">
        <f t="shared" si="1"/>
        <v>42652.108472222222</v>
      </c>
    </row>
    <row r="10" spans="1:7" x14ac:dyDescent="0.25">
      <c r="A10" s="8">
        <v>42652.11791666667</v>
      </c>
      <c r="B10" s="23" t="s">
        <v>251</v>
      </c>
      <c r="C10" s="23" t="s">
        <v>400</v>
      </c>
      <c r="D10" s="23">
        <v>2030000</v>
      </c>
      <c r="E10" s="23" t="s">
        <v>349</v>
      </c>
      <c r="F10" s="23" t="str">
        <f t="shared" si="0"/>
        <v>rtdc.l.rtdc.4008:itc</v>
      </c>
      <c r="G10" s="8">
        <f t="shared" si="1"/>
        <v>42652.11791666667</v>
      </c>
    </row>
    <row r="11" spans="1:7" x14ac:dyDescent="0.25">
      <c r="A11" s="8">
        <v>42652.129363425927</v>
      </c>
      <c r="B11" s="23" t="s">
        <v>250</v>
      </c>
      <c r="C11" s="23" t="s">
        <v>401</v>
      </c>
      <c r="D11" s="23">
        <v>2030000</v>
      </c>
      <c r="E11" s="23" t="s">
        <v>349</v>
      </c>
      <c r="F11" s="23" t="str">
        <f t="shared" si="0"/>
        <v>rtdc.l.rtdc.4002:itc</v>
      </c>
      <c r="G11" s="8">
        <f t="shared" si="1"/>
        <v>42652.129363425927</v>
      </c>
    </row>
    <row r="12" spans="1:7" x14ac:dyDescent="0.25">
      <c r="A12" s="8">
        <v>42652.141342592593</v>
      </c>
      <c r="B12" s="23" t="s">
        <v>402</v>
      </c>
      <c r="C12" s="23" t="s">
        <v>403</v>
      </c>
      <c r="D12" s="23">
        <v>1260000</v>
      </c>
      <c r="E12" s="23" t="s">
        <v>348</v>
      </c>
      <c r="F12" s="23" t="str">
        <f t="shared" si="0"/>
        <v>rtdc.l.rtdc.4039:itc</v>
      </c>
      <c r="G12" s="8">
        <f t="shared" si="1"/>
        <v>42652.141342592593</v>
      </c>
    </row>
    <row r="13" spans="1:7" x14ac:dyDescent="0.25">
      <c r="A13" s="8">
        <v>42652.151956018519</v>
      </c>
      <c r="B13" s="23" t="s">
        <v>165</v>
      </c>
      <c r="C13" s="23" t="s">
        <v>404</v>
      </c>
      <c r="D13" s="23">
        <v>1260000</v>
      </c>
      <c r="E13" s="23" t="s">
        <v>348</v>
      </c>
      <c r="F13" s="23" t="str">
        <f t="shared" si="0"/>
        <v>rtdc.l.rtdc.4025:itc</v>
      </c>
      <c r="G13" s="8">
        <f t="shared" si="1"/>
        <v>42652.151956018519</v>
      </c>
    </row>
    <row r="14" spans="1:7" x14ac:dyDescent="0.25">
      <c r="A14" s="8">
        <v>42652.159594907411</v>
      </c>
      <c r="B14" s="23" t="s">
        <v>405</v>
      </c>
      <c r="C14" s="23" t="s">
        <v>406</v>
      </c>
      <c r="D14" s="23">
        <v>2010000</v>
      </c>
      <c r="E14" s="23" t="s">
        <v>260</v>
      </c>
      <c r="F14" s="23" t="str">
        <f t="shared" si="0"/>
        <v>rtdc.l.rtdc.4030:itc</v>
      </c>
      <c r="G14" s="8">
        <f t="shared" si="1"/>
        <v>42652.159594907411</v>
      </c>
    </row>
    <row r="15" spans="1:7" x14ac:dyDescent="0.25">
      <c r="A15" s="8">
        <v>42652.16983796296</v>
      </c>
      <c r="B15" s="23" t="s">
        <v>251</v>
      </c>
      <c r="C15" s="23" t="s">
        <v>407</v>
      </c>
      <c r="D15" s="23">
        <v>2030000</v>
      </c>
      <c r="E15" s="23" t="s">
        <v>349</v>
      </c>
      <c r="F15" s="23" t="str">
        <f t="shared" si="0"/>
        <v>rtdc.l.rtdc.4008:itc</v>
      </c>
      <c r="G15" s="8">
        <f t="shared" si="1"/>
        <v>42652.16983796296</v>
      </c>
    </row>
    <row r="16" spans="1:7" x14ac:dyDescent="0.25">
      <c r="A16" s="8">
        <v>42652.169942129629</v>
      </c>
      <c r="B16" s="23" t="s">
        <v>342</v>
      </c>
      <c r="C16" s="23" t="s">
        <v>408</v>
      </c>
      <c r="D16" s="23">
        <v>2010000</v>
      </c>
      <c r="E16" s="23" t="s">
        <v>260</v>
      </c>
      <c r="F16" s="23" t="str">
        <f t="shared" si="0"/>
        <v>rtdc.l.rtdc.4014:itc</v>
      </c>
      <c r="G16" s="8">
        <f t="shared" si="1"/>
        <v>42652.169942129629</v>
      </c>
    </row>
    <row r="17" spans="1:7" x14ac:dyDescent="0.25">
      <c r="A17" s="8">
        <v>42652.17392361111</v>
      </c>
      <c r="B17" s="23" t="s">
        <v>346</v>
      </c>
      <c r="C17" s="23" t="s">
        <v>409</v>
      </c>
      <c r="D17" s="23">
        <v>1990000</v>
      </c>
      <c r="E17" s="23" t="s">
        <v>337</v>
      </c>
      <c r="F17" s="23" t="str">
        <f t="shared" si="0"/>
        <v>rtdc.l.rtdc.4028:itc</v>
      </c>
      <c r="G17" s="8">
        <f t="shared" si="1"/>
        <v>42652.17392361111</v>
      </c>
    </row>
    <row r="18" spans="1:7" x14ac:dyDescent="0.25">
      <c r="A18" s="8">
        <v>42652.184224537035</v>
      </c>
      <c r="B18" s="23" t="s">
        <v>350</v>
      </c>
      <c r="C18" s="23" t="s">
        <v>410</v>
      </c>
      <c r="D18" s="23">
        <v>1990000</v>
      </c>
      <c r="E18" s="23" t="s">
        <v>337</v>
      </c>
      <c r="F18" s="23" t="str">
        <f t="shared" si="0"/>
        <v>rtdc.l.rtdc.4027:itc</v>
      </c>
      <c r="G18" s="8">
        <f t="shared" si="1"/>
        <v>42652.184224537035</v>
      </c>
    </row>
    <row r="19" spans="1:7" x14ac:dyDescent="0.25">
      <c r="A19" s="8">
        <v>42652.189259259256</v>
      </c>
      <c r="B19" s="23" t="s">
        <v>402</v>
      </c>
      <c r="C19" s="23" t="s">
        <v>411</v>
      </c>
      <c r="D19" s="23">
        <v>1260000</v>
      </c>
      <c r="E19" s="23" t="s">
        <v>348</v>
      </c>
      <c r="F19" s="23" t="str">
        <f t="shared" si="0"/>
        <v>rtdc.l.rtdc.4039:itc</v>
      </c>
      <c r="G19" s="8">
        <f t="shared" si="1"/>
        <v>42652.189259259256</v>
      </c>
    </row>
    <row r="20" spans="1:7" x14ac:dyDescent="0.25">
      <c r="A20" s="8">
        <v>42652.197060185186</v>
      </c>
      <c r="B20" s="23" t="s">
        <v>218</v>
      </c>
      <c r="C20" s="23" t="s">
        <v>412</v>
      </c>
      <c r="D20" s="23">
        <v>1310000</v>
      </c>
      <c r="E20" s="23" t="s">
        <v>338</v>
      </c>
      <c r="F20" s="23" t="str">
        <f t="shared" si="0"/>
        <v>rtdc.l.rtdc.4018:itc</v>
      </c>
      <c r="G20" s="8">
        <f t="shared" si="1"/>
        <v>42652.197060185186</v>
      </c>
    </row>
    <row r="21" spans="1:7" x14ac:dyDescent="0.25">
      <c r="A21" s="8">
        <v>42652.204548611109</v>
      </c>
      <c r="B21" s="23" t="s">
        <v>250</v>
      </c>
      <c r="C21" s="23" t="s">
        <v>413</v>
      </c>
      <c r="D21" s="23">
        <v>1760000</v>
      </c>
      <c r="E21" s="23" t="s">
        <v>261</v>
      </c>
      <c r="F21" s="23" t="str">
        <f t="shared" si="0"/>
        <v>rtdc.l.rtdc.4002:itc</v>
      </c>
      <c r="G21" s="8">
        <f t="shared" si="1"/>
        <v>42652.204548611109</v>
      </c>
    </row>
    <row r="22" spans="1:7" x14ac:dyDescent="0.25">
      <c r="A22" s="29">
        <v>42652.205300925925</v>
      </c>
      <c r="B22" s="23" t="s">
        <v>253</v>
      </c>
      <c r="C22" s="23" t="s">
        <v>414</v>
      </c>
      <c r="D22" s="23">
        <v>2030000</v>
      </c>
      <c r="E22" s="23" t="s">
        <v>349</v>
      </c>
      <c r="F22" s="23" t="str">
        <f t="shared" si="0"/>
        <v>rtdc.l.rtdc.4007:itc</v>
      </c>
      <c r="G22" s="8">
        <f t="shared" si="1"/>
        <v>42652.205300925925</v>
      </c>
    </row>
    <row r="23" spans="1:7" x14ac:dyDescent="0.25">
      <c r="A23" s="8">
        <v>42652.212280092594</v>
      </c>
      <c r="B23" s="23" t="s">
        <v>405</v>
      </c>
      <c r="C23" s="23" t="s">
        <v>415</v>
      </c>
      <c r="D23" s="23">
        <v>2010000</v>
      </c>
      <c r="E23" s="23" t="s">
        <v>260</v>
      </c>
      <c r="F23" s="23" t="str">
        <f t="shared" si="0"/>
        <v>rtdc.l.rtdc.4030:itc</v>
      </c>
      <c r="G23" s="8">
        <f t="shared" si="1"/>
        <v>42652.212280092594</v>
      </c>
    </row>
    <row r="24" spans="1:7" x14ac:dyDescent="0.25">
      <c r="A24" s="8">
        <v>42652.223495370374</v>
      </c>
      <c r="B24" s="23" t="s">
        <v>346</v>
      </c>
      <c r="C24" s="23" t="s">
        <v>416</v>
      </c>
      <c r="D24" s="23">
        <v>1990000</v>
      </c>
      <c r="E24" s="23" t="s">
        <v>337</v>
      </c>
      <c r="F24" s="23" t="str">
        <f t="shared" si="0"/>
        <v>rtdc.l.rtdc.4028:itc</v>
      </c>
      <c r="G24" s="8">
        <f t="shared" si="1"/>
        <v>42652.223495370374</v>
      </c>
    </row>
    <row r="25" spans="1:7" x14ac:dyDescent="0.25">
      <c r="A25" s="8">
        <v>42652.225127314814</v>
      </c>
      <c r="B25" s="23" t="s">
        <v>165</v>
      </c>
      <c r="C25" s="23" t="s">
        <v>417</v>
      </c>
      <c r="D25" s="23">
        <v>1830000</v>
      </c>
      <c r="E25" s="23" t="s">
        <v>351</v>
      </c>
      <c r="F25" s="23" t="str">
        <f t="shared" si="0"/>
        <v>rtdc.l.rtdc.4025:itc</v>
      </c>
      <c r="G25" s="8">
        <f t="shared" si="1"/>
        <v>42652.225127314814</v>
      </c>
    </row>
    <row r="26" spans="1:7" x14ac:dyDescent="0.25">
      <c r="A26" s="8">
        <v>42652.225462962961</v>
      </c>
      <c r="B26" s="23" t="s">
        <v>239</v>
      </c>
      <c r="C26" s="23" t="s">
        <v>418</v>
      </c>
      <c r="D26" s="23">
        <v>2140000</v>
      </c>
      <c r="E26" s="23" t="s">
        <v>356</v>
      </c>
      <c r="F26" s="23" t="str">
        <f t="shared" si="0"/>
        <v>rtdc.l.rtdc.4003:itc</v>
      </c>
      <c r="G26" s="8">
        <f t="shared" si="1"/>
        <v>42652.225462962961</v>
      </c>
    </row>
    <row r="27" spans="1:7" x14ac:dyDescent="0.25">
      <c r="A27" s="8">
        <v>42652.233136574076</v>
      </c>
      <c r="B27" s="23" t="s">
        <v>354</v>
      </c>
      <c r="C27" s="23" t="s">
        <v>419</v>
      </c>
      <c r="D27" s="23">
        <v>1260000</v>
      </c>
      <c r="E27" s="23" t="s">
        <v>348</v>
      </c>
      <c r="F27" s="23" t="str">
        <f t="shared" si="0"/>
        <v>rtdc.l.rtdc.4040:itc</v>
      </c>
      <c r="G27" s="8">
        <f t="shared" si="1"/>
        <v>42652.233136574076</v>
      </c>
    </row>
    <row r="28" spans="1:7" x14ac:dyDescent="0.25">
      <c r="A28" s="8">
        <v>42652.233668981484</v>
      </c>
      <c r="B28" s="23" t="s">
        <v>217</v>
      </c>
      <c r="C28" s="23" t="s">
        <v>420</v>
      </c>
      <c r="D28" s="23">
        <v>1310000</v>
      </c>
      <c r="E28" s="23" t="s">
        <v>338</v>
      </c>
      <c r="F28" s="23" t="str">
        <f t="shared" si="0"/>
        <v>rtdc.l.rtdc.4017:itc</v>
      </c>
      <c r="G28" s="8">
        <f t="shared" si="1"/>
        <v>42652.233668981484</v>
      </c>
    </row>
    <row r="29" spans="1:7" x14ac:dyDescent="0.25">
      <c r="A29" s="8">
        <v>42652.235520833332</v>
      </c>
      <c r="B29" s="23" t="s">
        <v>240</v>
      </c>
      <c r="C29" s="23" t="s">
        <v>421</v>
      </c>
      <c r="D29" s="23">
        <v>2140000</v>
      </c>
      <c r="E29" s="23" t="s">
        <v>356</v>
      </c>
      <c r="F29" s="23" t="str">
        <f t="shared" si="0"/>
        <v>rtdc.l.rtdc.4004:itc</v>
      </c>
      <c r="G29" s="8">
        <f t="shared" si="1"/>
        <v>42652.235520833332</v>
      </c>
    </row>
    <row r="30" spans="1:7" x14ac:dyDescent="0.25">
      <c r="A30" s="8">
        <v>42652.243564814817</v>
      </c>
      <c r="B30" s="23" t="s">
        <v>249</v>
      </c>
      <c r="C30" s="23" t="s">
        <v>422</v>
      </c>
      <c r="D30" s="23">
        <v>1760000</v>
      </c>
      <c r="E30" s="23" t="s">
        <v>261</v>
      </c>
      <c r="F30" s="23" t="str">
        <f t="shared" si="0"/>
        <v>rtdc.l.rtdc.4001:itc</v>
      </c>
      <c r="G30" s="8">
        <f t="shared" si="1"/>
        <v>42652.243564814817</v>
      </c>
    </row>
    <row r="31" spans="1:7" x14ac:dyDescent="0.25">
      <c r="A31" s="8">
        <v>42652.247083333335</v>
      </c>
      <c r="B31" s="23" t="s">
        <v>342</v>
      </c>
      <c r="C31" s="23" t="s">
        <v>423</v>
      </c>
      <c r="D31" s="23">
        <v>2010000</v>
      </c>
      <c r="E31" s="23" t="s">
        <v>260</v>
      </c>
      <c r="F31" s="23" t="str">
        <f t="shared" si="0"/>
        <v>rtdc.l.rtdc.4014:itc</v>
      </c>
      <c r="G31" s="8">
        <f t="shared" si="1"/>
        <v>42652.247083333335</v>
      </c>
    </row>
    <row r="32" spans="1:7" x14ac:dyDescent="0.25">
      <c r="A32" s="8">
        <v>42652.255208333336</v>
      </c>
      <c r="B32" s="23" t="s">
        <v>251</v>
      </c>
      <c r="C32" s="23" t="s">
        <v>424</v>
      </c>
      <c r="D32" s="23">
        <v>2030000</v>
      </c>
      <c r="E32" s="23" t="s">
        <v>349</v>
      </c>
      <c r="F32" s="23" t="str">
        <f t="shared" si="0"/>
        <v>rtdc.l.rtdc.4008:itc</v>
      </c>
      <c r="G32" s="8">
        <f t="shared" si="1"/>
        <v>42652.255208333336</v>
      </c>
    </row>
    <row r="33" spans="1:7" x14ac:dyDescent="0.25">
      <c r="A33" s="8">
        <v>42652.255254629628</v>
      </c>
      <c r="B33" s="23" t="s">
        <v>166</v>
      </c>
      <c r="C33" s="23" t="s">
        <v>425</v>
      </c>
      <c r="D33" s="23">
        <v>1830000</v>
      </c>
      <c r="E33" s="23" t="s">
        <v>351</v>
      </c>
      <c r="F33" s="23" t="str">
        <f t="shared" si="0"/>
        <v>rtdc.l.rtdc.4026:itc</v>
      </c>
      <c r="G33" s="8">
        <f t="shared" si="1"/>
        <v>42652.255254629628</v>
      </c>
    </row>
    <row r="34" spans="1:7" x14ac:dyDescent="0.25">
      <c r="A34" s="8">
        <v>42652.256689814814</v>
      </c>
      <c r="B34" s="23" t="s">
        <v>350</v>
      </c>
      <c r="C34" s="23" t="s">
        <v>426</v>
      </c>
      <c r="D34" s="23">
        <v>1990000</v>
      </c>
      <c r="E34" s="23" t="s">
        <v>337</v>
      </c>
      <c r="F34" s="23" t="str">
        <f t="shared" si="0"/>
        <v>rtdc.l.rtdc.4027:itc</v>
      </c>
      <c r="G34" s="8">
        <f t="shared" si="1"/>
        <v>42652.256689814814</v>
      </c>
    </row>
    <row r="35" spans="1:7" x14ac:dyDescent="0.25">
      <c r="A35" s="8">
        <v>42652.260844907411</v>
      </c>
      <c r="B35" s="23" t="s">
        <v>239</v>
      </c>
      <c r="C35" s="23" t="s">
        <v>427</v>
      </c>
      <c r="D35" s="23">
        <v>2140000</v>
      </c>
      <c r="E35" s="23" t="s">
        <v>356</v>
      </c>
      <c r="F35" s="23" t="str">
        <f t="shared" si="0"/>
        <v>rtdc.l.rtdc.4003:itc</v>
      </c>
      <c r="G35" s="8">
        <f t="shared" si="1"/>
        <v>42652.260844907411</v>
      </c>
    </row>
    <row r="36" spans="1:7" x14ac:dyDescent="0.25">
      <c r="A36" s="8">
        <v>42652.270381944443</v>
      </c>
      <c r="B36" s="23" t="s">
        <v>218</v>
      </c>
      <c r="C36" s="23" t="s">
        <v>428</v>
      </c>
      <c r="D36" s="23">
        <v>1310000</v>
      </c>
      <c r="E36" s="23" t="s">
        <v>338</v>
      </c>
      <c r="F36" s="23" t="str">
        <f t="shared" si="0"/>
        <v>rtdc.l.rtdc.4018:itc</v>
      </c>
      <c r="G36" s="8">
        <f t="shared" si="1"/>
        <v>42652.270381944443</v>
      </c>
    </row>
    <row r="37" spans="1:7" x14ac:dyDescent="0.25">
      <c r="A37" s="8">
        <v>42652.272615740738</v>
      </c>
      <c r="B37" s="23" t="s">
        <v>402</v>
      </c>
      <c r="C37" s="23" t="s">
        <v>429</v>
      </c>
      <c r="D37" s="23">
        <v>1260000</v>
      </c>
      <c r="E37" s="23" t="s">
        <v>348</v>
      </c>
      <c r="F37" s="23" t="str">
        <f t="shared" si="0"/>
        <v>rtdc.l.rtdc.4039:itc</v>
      </c>
      <c r="G37" s="8">
        <f t="shared" si="1"/>
        <v>42652.272615740738</v>
      </c>
    </row>
    <row r="38" spans="1:7" x14ac:dyDescent="0.25">
      <c r="A38" s="8">
        <v>42652.275995370372</v>
      </c>
      <c r="B38" s="23" t="s">
        <v>240</v>
      </c>
      <c r="C38" s="23" t="s">
        <v>430</v>
      </c>
      <c r="D38" s="23">
        <v>2140000</v>
      </c>
      <c r="E38" s="23" t="s">
        <v>356</v>
      </c>
      <c r="F38" s="23" t="str">
        <f t="shared" si="0"/>
        <v>rtdc.l.rtdc.4004:itc</v>
      </c>
      <c r="G38" s="8">
        <f t="shared" si="1"/>
        <v>42652.275995370372</v>
      </c>
    </row>
    <row r="39" spans="1:7" x14ac:dyDescent="0.25">
      <c r="A39" s="8">
        <v>42652.277858796297</v>
      </c>
      <c r="B39" s="23" t="s">
        <v>250</v>
      </c>
      <c r="C39" s="23" t="s">
        <v>431</v>
      </c>
      <c r="D39" s="23">
        <v>1760000</v>
      </c>
      <c r="E39" s="23" t="s">
        <v>261</v>
      </c>
      <c r="F39" s="23" t="str">
        <f t="shared" si="0"/>
        <v>rtdc.l.rtdc.4002:itc</v>
      </c>
      <c r="G39" s="8">
        <f t="shared" si="1"/>
        <v>42652.277858796297</v>
      </c>
    </row>
    <row r="40" spans="1:7" x14ac:dyDescent="0.25">
      <c r="A40" s="8">
        <v>42652.285000000003</v>
      </c>
      <c r="B40" s="28" t="s">
        <v>336</v>
      </c>
      <c r="C40" s="23" t="s">
        <v>432</v>
      </c>
      <c r="D40" s="23">
        <v>2010000</v>
      </c>
      <c r="E40" s="23" t="s">
        <v>260</v>
      </c>
      <c r="F40" s="23" t="str">
        <f t="shared" si="0"/>
        <v>rtdc.l.rtdc.4013:itc</v>
      </c>
      <c r="G40" s="8">
        <f t="shared" si="1"/>
        <v>42652.285000000003</v>
      </c>
    </row>
    <row r="41" spans="1:7" x14ac:dyDescent="0.25">
      <c r="A41" s="8">
        <v>42652.287129629629</v>
      </c>
      <c r="B41" s="23" t="s">
        <v>253</v>
      </c>
      <c r="C41" s="23" t="s">
        <v>433</v>
      </c>
      <c r="D41" s="23">
        <v>2030000</v>
      </c>
      <c r="E41" s="23" t="s">
        <v>349</v>
      </c>
      <c r="F41" s="23" t="str">
        <f t="shared" si="0"/>
        <v>rtdc.l.rtdc.4007:itc</v>
      </c>
      <c r="G41" s="8">
        <f t="shared" si="1"/>
        <v>42652.287129629629</v>
      </c>
    </row>
    <row r="42" spans="1:7" x14ac:dyDescent="0.25">
      <c r="A42" s="8">
        <v>42652.291979166665</v>
      </c>
      <c r="B42" s="23" t="s">
        <v>239</v>
      </c>
      <c r="C42" s="23" t="s">
        <v>434</v>
      </c>
      <c r="D42" s="23">
        <v>2140000</v>
      </c>
      <c r="E42" s="23" t="s">
        <v>356</v>
      </c>
      <c r="F42" s="23" t="str">
        <f t="shared" si="0"/>
        <v>rtdc.l.rtdc.4003:itc</v>
      </c>
      <c r="G42" s="8">
        <f t="shared" si="1"/>
        <v>42652.291979166665</v>
      </c>
    </row>
    <row r="43" spans="1:7" x14ac:dyDescent="0.25">
      <c r="A43" s="8">
        <v>42652.295937499999</v>
      </c>
      <c r="B43" s="23" t="s">
        <v>165</v>
      </c>
      <c r="C43" s="23" t="s">
        <v>435</v>
      </c>
      <c r="D43" s="23">
        <v>1830000</v>
      </c>
      <c r="E43" s="23" t="s">
        <v>351</v>
      </c>
      <c r="F43" s="23" t="str">
        <f t="shared" si="0"/>
        <v>rtdc.l.rtdc.4025:itc</v>
      </c>
      <c r="G43" s="8">
        <f t="shared" si="1"/>
        <v>42652.295937499999</v>
      </c>
    </row>
    <row r="44" spans="1:7" x14ac:dyDescent="0.25">
      <c r="A44" s="8">
        <v>42652.298460648148</v>
      </c>
      <c r="B44" s="23" t="s">
        <v>346</v>
      </c>
      <c r="C44" s="23" t="s">
        <v>436</v>
      </c>
      <c r="D44" s="23">
        <v>1990000</v>
      </c>
      <c r="E44" s="23" t="s">
        <v>337</v>
      </c>
      <c r="F44" s="23" t="str">
        <f t="shared" si="0"/>
        <v>rtdc.l.rtdc.4028:itc</v>
      </c>
      <c r="G44" s="8">
        <f t="shared" si="1"/>
        <v>42652.298460648148</v>
      </c>
    </row>
    <row r="45" spans="1:7" x14ac:dyDescent="0.25">
      <c r="A45" s="8">
        <v>42652.307870370372</v>
      </c>
      <c r="B45" s="23" t="s">
        <v>354</v>
      </c>
      <c r="C45" s="23" t="s">
        <v>437</v>
      </c>
      <c r="D45" s="23">
        <v>1260000</v>
      </c>
      <c r="E45" s="23" t="s">
        <v>348</v>
      </c>
      <c r="F45" s="23" t="str">
        <f t="shared" si="0"/>
        <v>rtdc.l.rtdc.4040:itc</v>
      </c>
      <c r="G45" s="8">
        <f t="shared" si="1"/>
        <v>42652.307870370372</v>
      </c>
    </row>
    <row r="46" spans="1:7" x14ac:dyDescent="0.25">
      <c r="A46" s="8">
        <v>42652.308668981481</v>
      </c>
      <c r="B46" s="23" t="s">
        <v>217</v>
      </c>
      <c r="C46" s="23" t="s">
        <v>438</v>
      </c>
      <c r="D46" s="23">
        <v>1310000</v>
      </c>
      <c r="E46" s="23" t="s">
        <v>338</v>
      </c>
      <c r="F46" s="23" t="str">
        <f t="shared" si="0"/>
        <v>rtdc.l.rtdc.4017:itc</v>
      </c>
      <c r="G46" s="8">
        <f t="shared" si="1"/>
        <v>42652.308668981481</v>
      </c>
    </row>
    <row r="47" spans="1:7" x14ac:dyDescent="0.25">
      <c r="A47" s="8">
        <v>42652.312141203707</v>
      </c>
      <c r="B47" s="23" t="s">
        <v>253</v>
      </c>
      <c r="C47" s="23" t="s">
        <v>433</v>
      </c>
      <c r="D47" s="23">
        <v>2030000</v>
      </c>
      <c r="E47" s="23" t="s">
        <v>349</v>
      </c>
      <c r="F47" s="23" t="str">
        <f t="shared" si="0"/>
        <v>rtdc.l.rtdc.4007:itc</v>
      </c>
      <c r="G47" s="8">
        <f t="shared" si="1"/>
        <v>42652.312141203707</v>
      </c>
    </row>
    <row r="48" spans="1:7" x14ac:dyDescent="0.25">
      <c r="A48" s="8">
        <v>42652.317731481482</v>
      </c>
      <c r="B48" s="23" t="s">
        <v>240</v>
      </c>
      <c r="C48" s="23" t="s">
        <v>439</v>
      </c>
      <c r="D48" s="23">
        <v>2140000</v>
      </c>
      <c r="E48" s="23" t="s">
        <v>356</v>
      </c>
      <c r="F48" s="23" t="str">
        <f t="shared" si="0"/>
        <v>rtdc.l.rtdc.4004:itc</v>
      </c>
      <c r="G48" s="8">
        <f t="shared" si="1"/>
        <v>42652.317731481482</v>
      </c>
    </row>
    <row r="49" spans="1:7" x14ac:dyDescent="0.25">
      <c r="A49" s="8">
        <v>42652.317870370367</v>
      </c>
      <c r="B49" s="23" t="s">
        <v>249</v>
      </c>
      <c r="C49" s="23" t="s">
        <v>440</v>
      </c>
      <c r="D49" s="23">
        <v>1760000</v>
      </c>
      <c r="E49" s="23" t="s">
        <v>261</v>
      </c>
      <c r="F49" s="23" t="str">
        <f t="shared" si="0"/>
        <v>rtdc.l.rtdc.4001:itc</v>
      </c>
      <c r="G49" s="8">
        <f t="shared" si="1"/>
        <v>42652.317870370367</v>
      </c>
    </row>
    <row r="50" spans="1:7" x14ac:dyDescent="0.25">
      <c r="A50" s="8">
        <v>42652.318784722222</v>
      </c>
      <c r="B50" s="23" t="s">
        <v>342</v>
      </c>
      <c r="C50" s="23" t="s">
        <v>441</v>
      </c>
      <c r="D50" s="23">
        <v>2010000</v>
      </c>
      <c r="E50" s="23" t="s">
        <v>260</v>
      </c>
      <c r="F50" s="23" t="str">
        <f t="shared" si="0"/>
        <v>rtdc.l.rtdc.4014:itc</v>
      </c>
      <c r="G50" s="8">
        <f t="shared" si="1"/>
        <v>42652.318784722222</v>
      </c>
    </row>
    <row r="51" spans="1:7" x14ac:dyDescent="0.25">
      <c r="A51" s="8">
        <v>42652.327025462961</v>
      </c>
      <c r="B51" s="23" t="s">
        <v>251</v>
      </c>
      <c r="C51" s="23" t="s">
        <v>442</v>
      </c>
      <c r="D51" s="23">
        <v>2030000</v>
      </c>
      <c r="E51" s="23" t="s">
        <v>349</v>
      </c>
      <c r="F51" s="23" t="str">
        <f t="shared" si="0"/>
        <v>rtdc.l.rtdc.4008:itc</v>
      </c>
      <c r="G51" s="8">
        <f t="shared" si="1"/>
        <v>42652.327025462961</v>
      </c>
    </row>
    <row r="52" spans="1:7" x14ac:dyDescent="0.25">
      <c r="A52" s="8">
        <v>42652.329386574071</v>
      </c>
      <c r="B52" s="23" t="s">
        <v>350</v>
      </c>
      <c r="C52" s="23" t="s">
        <v>443</v>
      </c>
      <c r="D52" s="23">
        <v>1990000</v>
      </c>
      <c r="E52" s="23" t="s">
        <v>337</v>
      </c>
      <c r="F52" s="23" t="str">
        <f t="shared" si="0"/>
        <v>rtdc.l.rtdc.4027:itc</v>
      </c>
      <c r="G52" s="8">
        <f t="shared" si="1"/>
        <v>42652.329386574071</v>
      </c>
    </row>
    <row r="53" spans="1:7" x14ac:dyDescent="0.25">
      <c r="A53" s="8">
        <v>42652.339305555557</v>
      </c>
      <c r="B53" s="23" t="s">
        <v>166</v>
      </c>
      <c r="C53" s="23" t="s">
        <v>444</v>
      </c>
      <c r="D53" s="23">
        <v>1830000</v>
      </c>
      <c r="E53" s="23" t="s">
        <v>351</v>
      </c>
      <c r="F53" s="23" t="str">
        <f t="shared" si="0"/>
        <v>rtdc.l.rtdc.4026:itc</v>
      </c>
      <c r="G53" s="8">
        <f t="shared" si="1"/>
        <v>42652.339305555557</v>
      </c>
    </row>
    <row r="54" spans="1:7" x14ac:dyDescent="0.25">
      <c r="A54" s="8">
        <v>42652.340798611112</v>
      </c>
      <c r="B54" s="23" t="s">
        <v>239</v>
      </c>
      <c r="C54" s="23" t="s">
        <v>445</v>
      </c>
      <c r="D54" s="23">
        <v>2140000</v>
      </c>
      <c r="E54" s="23" t="s">
        <v>356</v>
      </c>
      <c r="F54" s="23" t="str">
        <f t="shared" si="0"/>
        <v>rtdc.l.rtdc.4003:itc</v>
      </c>
      <c r="G54" s="8">
        <f t="shared" si="1"/>
        <v>42652.340798611112</v>
      </c>
    </row>
    <row r="55" spans="1:7" x14ac:dyDescent="0.25">
      <c r="A55" s="8">
        <v>42652.342199074075</v>
      </c>
      <c r="B55" s="23" t="s">
        <v>218</v>
      </c>
      <c r="C55" s="23" t="s">
        <v>446</v>
      </c>
      <c r="D55" s="23">
        <v>1310000</v>
      </c>
      <c r="E55" s="23" t="s">
        <v>338</v>
      </c>
      <c r="F55" s="23" t="str">
        <f t="shared" si="0"/>
        <v>rtdc.l.rtdc.4018:itc</v>
      </c>
      <c r="G55" s="8">
        <f t="shared" si="1"/>
        <v>42652.342199074075</v>
      </c>
    </row>
    <row r="56" spans="1:7" x14ac:dyDescent="0.25">
      <c r="A56" s="8">
        <v>42652.346898148149</v>
      </c>
      <c r="B56" s="23" t="s">
        <v>402</v>
      </c>
      <c r="C56" s="23" t="s">
        <v>447</v>
      </c>
      <c r="D56" s="23">
        <v>1260000</v>
      </c>
      <c r="E56" s="23" t="s">
        <v>348</v>
      </c>
      <c r="F56" s="23" t="str">
        <f t="shared" si="0"/>
        <v>rtdc.l.rtdc.4039:itc</v>
      </c>
      <c r="G56" s="8">
        <f t="shared" si="1"/>
        <v>42652.346898148149</v>
      </c>
    </row>
    <row r="57" spans="1:7" x14ac:dyDescent="0.25">
      <c r="A57" s="8">
        <v>42652.350474537037</v>
      </c>
      <c r="B57" s="23" t="s">
        <v>250</v>
      </c>
      <c r="C57" s="23" t="s">
        <v>448</v>
      </c>
      <c r="D57" s="23">
        <v>1760000</v>
      </c>
      <c r="E57" s="23" t="s">
        <v>261</v>
      </c>
      <c r="F57" s="23" t="str">
        <f t="shared" si="0"/>
        <v>rtdc.l.rtdc.4002:itc</v>
      </c>
      <c r="G57" s="8">
        <f t="shared" si="1"/>
        <v>42652.350474537037</v>
      </c>
    </row>
    <row r="58" spans="1:7" x14ac:dyDescent="0.25">
      <c r="A58" s="8">
        <v>42652.357847222222</v>
      </c>
      <c r="B58" s="23" t="s">
        <v>336</v>
      </c>
      <c r="C58" s="23" t="s">
        <v>449</v>
      </c>
      <c r="D58" s="23">
        <v>2010000</v>
      </c>
      <c r="E58" s="23" t="s">
        <v>260</v>
      </c>
      <c r="F58" s="23" t="str">
        <f t="shared" si="0"/>
        <v>rtdc.l.rtdc.4013:itc</v>
      </c>
      <c r="G58" s="8">
        <f t="shared" si="1"/>
        <v>42652.357847222222</v>
      </c>
    </row>
    <row r="59" spans="1:7" x14ac:dyDescent="0.25">
      <c r="A59" s="8">
        <v>42652.359259259261</v>
      </c>
      <c r="B59" s="23" t="s">
        <v>240</v>
      </c>
      <c r="C59" s="23" t="s">
        <v>450</v>
      </c>
      <c r="D59" s="23">
        <v>2140000</v>
      </c>
      <c r="E59" s="23" t="s">
        <v>356</v>
      </c>
      <c r="F59" s="23" t="str">
        <f t="shared" si="0"/>
        <v>rtdc.l.rtdc.4004:itc</v>
      </c>
      <c r="G59" s="8">
        <f t="shared" si="1"/>
        <v>42652.359259259261</v>
      </c>
    </row>
    <row r="60" spans="1:7" x14ac:dyDescent="0.25">
      <c r="A60" s="8">
        <v>42652.360729166663</v>
      </c>
      <c r="B60" s="23" t="s">
        <v>253</v>
      </c>
      <c r="C60" s="23" t="s">
        <v>451</v>
      </c>
      <c r="D60" s="23">
        <v>2030000</v>
      </c>
      <c r="E60" s="23" t="s">
        <v>349</v>
      </c>
      <c r="F60" s="23" t="str">
        <f t="shared" si="0"/>
        <v>rtdc.l.rtdc.4007:itc</v>
      </c>
      <c r="G60" s="8">
        <f t="shared" si="1"/>
        <v>42652.360729166663</v>
      </c>
    </row>
    <row r="61" spans="1:7" x14ac:dyDescent="0.25">
      <c r="A61" s="8">
        <v>42652.369675925926</v>
      </c>
      <c r="B61" s="23" t="s">
        <v>346</v>
      </c>
      <c r="C61" s="23" t="s">
        <v>452</v>
      </c>
      <c r="D61" s="23">
        <v>1990000</v>
      </c>
      <c r="E61" s="23" t="s">
        <v>337</v>
      </c>
      <c r="F61" s="23" t="str">
        <f t="shared" si="0"/>
        <v>rtdc.l.rtdc.4028:itc</v>
      </c>
      <c r="G61" s="8">
        <f t="shared" si="1"/>
        <v>42652.369675925926</v>
      </c>
    </row>
    <row r="62" spans="1:7" x14ac:dyDescent="0.25">
      <c r="A62" s="8">
        <v>42652.371932870374</v>
      </c>
      <c r="B62" s="23" t="s">
        <v>165</v>
      </c>
      <c r="C62" s="23" t="s">
        <v>453</v>
      </c>
      <c r="D62" s="23">
        <v>1830000</v>
      </c>
      <c r="E62" s="23" t="s">
        <v>351</v>
      </c>
      <c r="F62" s="23" t="str">
        <f t="shared" si="0"/>
        <v>rtdc.l.rtdc.4025:itc</v>
      </c>
      <c r="G62" s="8">
        <f t="shared" si="1"/>
        <v>42652.371932870374</v>
      </c>
    </row>
    <row r="63" spans="1:7" x14ac:dyDescent="0.25">
      <c r="A63" s="8">
        <v>42652.3749537037</v>
      </c>
      <c r="B63" s="23" t="s">
        <v>239</v>
      </c>
      <c r="C63" s="23" t="s">
        <v>454</v>
      </c>
      <c r="D63" s="23">
        <v>2140000</v>
      </c>
      <c r="E63" s="23" t="s">
        <v>356</v>
      </c>
      <c r="F63" s="23" t="str">
        <f t="shared" si="0"/>
        <v>rtdc.l.rtdc.4003:itc</v>
      </c>
      <c r="G63" s="8">
        <f t="shared" si="1"/>
        <v>42652.3749537037</v>
      </c>
    </row>
    <row r="64" spans="1:7" x14ac:dyDescent="0.25">
      <c r="A64" s="29">
        <v>42652.380798611113</v>
      </c>
      <c r="B64" s="23" t="s">
        <v>354</v>
      </c>
      <c r="C64" s="23" t="s">
        <v>455</v>
      </c>
      <c r="D64" s="23">
        <v>1260000</v>
      </c>
      <c r="E64" s="23" t="s">
        <v>348</v>
      </c>
      <c r="F64" s="23" t="str">
        <f t="shared" si="0"/>
        <v>rtdc.l.rtdc.4040:itc</v>
      </c>
      <c r="G64" s="8">
        <f t="shared" si="1"/>
        <v>42652.380798611113</v>
      </c>
    </row>
    <row r="65" spans="1:7" x14ac:dyDescent="0.25">
      <c r="A65" s="8">
        <v>42652.381724537037</v>
      </c>
      <c r="B65" s="23" t="s">
        <v>217</v>
      </c>
      <c r="C65" s="23" t="s">
        <v>456</v>
      </c>
      <c r="D65" s="23">
        <v>1310000</v>
      </c>
      <c r="E65" s="23" t="s">
        <v>338</v>
      </c>
      <c r="F65" s="23" t="str">
        <f t="shared" si="0"/>
        <v>rtdc.l.rtdc.4017:itc</v>
      </c>
      <c r="G65" s="8">
        <f t="shared" si="1"/>
        <v>42652.381724537037</v>
      </c>
    </row>
    <row r="66" spans="1:7" x14ac:dyDescent="0.25">
      <c r="A66" s="8">
        <v>42652.388958333337</v>
      </c>
      <c r="B66" s="23" t="s">
        <v>249</v>
      </c>
      <c r="C66" s="23" t="s">
        <v>457</v>
      </c>
      <c r="D66" s="23">
        <v>1760000</v>
      </c>
      <c r="E66" s="23" t="s">
        <v>261</v>
      </c>
      <c r="F66" s="23" t="str">
        <f t="shared" ref="F66:F129" si="2">B66</f>
        <v>rtdc.l.rtdc.4001:itc</v>
      </c>
      <c r="G66" s="8">
        <f t="shared" ref="G66:G129" si="3">A66</f>
        <v>42652.388958333337</v>
      </c>
    </row>
    <row r="67" spans="1:7" x14ac:dyDescent="0.25">
      <c r="A67" s="8">
        <v>42652.391493055555</v>
      </c>
      <c r="B67" s="23" t="s">
        <v>342</v>
      </c>
      <c r="C67" s="23" t="s">
        <v>458</v>
      </c>
      <c r="D67" s="23">
        <v>2010000</v>
      </c>
      <c r="E67" s="23" t="s">
        <v>260</v>
      </c>
      <c r="F67" s="23" t="str">
        <f t="shared" si="2"/>
        <v>rtdc.l.rtdc.4014:itc</v>
      </c>
      <c r="G67" s="8">
        <f t="shared" si="3"/>
        <v>42652.391493055555</v>
      </c>
    </row>
    <row r="68" spans="1:7" x14ac:dyDescent="0.25">
      <c r="A68" s="8">
        <v>42652.398692129631</v>
      </c>
      <c r="B68" s="23" t="s">
        <v>251</v>
      </c>
      <c r="C68" s="23" t="s">
        <v>459</v>
      </c>
      <c r="D68" s="23">
        <v>2030000</v>
      </c>
      <c r="E68" s="23" t="s">
        <v>349</v>
      </c>
      <c r="F68" s="23" t="str">
        <f t="shared" si="2"/>
        <v>rtdc.l.rtdc.4008:itc</v>
      </c>
      <c r="G68" s="8">
        <f t="shared" si="3"/>
        <v>42652.398692129631</v>
      </c>
    </row>
    <row r="69" spans="1:7" x14ac:dyDescent="0.25">
      <c r="A69" s="8">
        <v>42652.400949074072</v>
      </c>
      <c r="B69" s="23" t="s">
        <v>166</v>
      </c>
      <c r="C69" s="23" t="s">
        <v>460</v>
      </c>
      <c r="D69" s="23">
        <v>1830000</v>
      </c>
      <c r="E69" s="23" t="s">
        <v>351</v>
      </c>
      <c r="F69" s="23" t="str">
        <f t="shared" si="2"/>
        <v>rtdc.l.rtdc.4026:itc</v>
      </c>
      <c r="G69" s="8">
        <f t="shared" si="3"/>
        <v>42652.400949074072</v>
      </c>
    </row>
    <row r="70" spans="1:7" x14ac:dyDescent="0.25">
      <c r="A70" s="8">
        <v>42652.401006944441</v>
      </c>
      <c r="B70" s="23" t="s">
        <v>240</v>
      </c>
      <c r="C70" s="23" t="s">
        <v>461</v>
      </c>
      <c r="D70" s="23">
        <v>2140000</v>
      </c>
      <c r="E70" s="23" t="s">
        <v>356</v>
      </c>
      <c r="F70" s="23" t="str">
        <f t="shared" si="2"/>
        <v>rtdc.l.rtdc.4004:itc</v>
      </c>
      <c r="G70" s="8">
        <f t="shared" si="3"/>
        <v>42652.401006944441</v>
      </c>
    </row>
    <row r="71" spans="1:7" x14ac:dyDescent="0.25">
      <c r="A71" s="8">
        <v>42652.404317129629</v>
      </c>
      <c r="B71" s="23" t="s">
        <v>350</v>
      </c>
      <c r="C71" s="23" t="s">
        <v>462</v>
      </c>
      <c r="D71" s="23">
        <v>1990000</v>
      </c>
      <c r="E71" s="23" t="s">
        <v>337</v>
      </c>
      <c r="F71" s="23" t="str">
        <f t="shared" si="2"/>
        <v>rtdc.l.rtdc.4027:itc</v>
      </c>
      <c r="G71" s="8">
        <f t="shared" si="3"/>
        <v>42652.404317129629</v>
      </c>
    </row>
    <row r="72" spans="1:7" x14ac:dyDescent="0.25">
      <c r="A72" s="8">
        <v>42652.415486111109</v>
      </c>
      <c r="B72" s="23" t="s">
        <v>218</v>
      </c>
      <c r="C72" s="23" t="s">
        <v>463</v>
      </c>
      <c r="D72" s="23">
        <v>1310000</v>
      </c>
      <c r="E72" s="23" t="s">
        <v>338</v>
      </c>
      <c r="F72" s="23" t="str">
        <f t="shared" si="2"/>
        <v>rtdc.l.rtdc.4018:itc</v>
      </c>
      <c r="G72" s="8">
        <f t="shared" si="3"/>
        <v>42652.415486111109</v>
      </c>
    </row>
    <row r="73" spans="1:7" x14ac:dyDescent="0.25">
      <c r="A73" s="8">
        <v>42652.416273148148</v>
      </c>
      <c r="B73" s="23" t="s">
        <v>239</v>
      </c>
      <c r="C73" s="23" t="s">
        <v>464</v>
      </c>
      <c r="D73" s="23">
        <v>2140000</v>
      </c>
      <c r="E73" s="23" t="s">
        <v>356</v>
      </c>
      <c r="F73" s="23" t="str">
        <f t="shared" si="2"/>
        <v>rtdc.l.rtdc.4003:itc</v>
      </c>
      <c r="G73" s="8">
        <f t="shared" si="3"/>
        <v>42652.416273148148</v>
      </c>
    </row>
    <row r="74" spans="1:7" x14ac:dyDescent="0.25">
      <c r="A74" s="8">
        <v>42652.417569444442</v>
      </c>
      <c r="B74" s="23" t="s">
        <v>402</v>
      </c>
      <c r="C74" s="23" t="s">
        <v>465</v>
      </c>
      <c r="D74" s="23">
        <v>1260000</v>
      </c>
      <c r="E74" s="23" t="s">
        <v>348</v>
      </c>
      <c r="F74" s="23" t="str">
        <f t="shared" si="2"/>
        <v>rtdc.l.rtdc.4039:itc</v>
      </c>
      <c r="G74" s="8">
        <f t="shared" si="3"/>
        <v>42652.417569444442</v>
      </c>
    </row>
    <row r="75" spans="1:7" x14ac:dyDescent="0.25">
      <c r="A75" s="8">
        <v>42652.423622685186</v>
      </c>
      <c r="B75" s="23" t="s">
        <v>250</v>
      </c>
      <c r="C75" s="23" t="s">
        <v>466</v>
      </c>
      <c r="D75" s="23">
        <v>1760000</v>
      </c>
      <c r="E75" s="23" t="s">
        <v>261</v>
      </c>
      <c r="F75" s="23" t="str">
        <f t="shared" si="2"/>
        <v>rtdc.l.rtdc.4002:itc</v>
      </c>
      <c r="G75" s="8">
        <f t="shared" si="3"/>
        <v>42652.423622685186</v>
      </c>
    </row>
    <row r="76" spans="1:7" x14ac:dyDescent="0.25">
      <c r="A76" s="8">
        <v>42652.427754629629</v>
      </c>
      <c r="B76" s="23" t="s">
        <v>336</v>
      </c>
      <c r="C76" s="23" t="s">
        <v>467</v>
      </c>
      <c r="D76" s="23">
        <v>2010000</v>
      </c>
      <c r="E76" s="23" t="s">
        <v>260</v>
      </c>
      <c r="F76" s="23" t="str">
        <f t="shared" si="2"/>
        <v>rtdc.l.rtdc.4013:itc</v>
      </c>
      <c r="G76" s="8">
        <f t="shared" si="3"/>
        <v>42652.427754629629</v>
      </c>
    </row>
    <row r="77" spans="1:7" x14ac:dyDescent="0.25">
      <c r="A77" s="8">
        <v>42652.433749999997</v>
      </c>
      <c r="B77" s="23" t="s">
        <v>253</v>
      </c>
      <c r="C77" s="23" t="s">
        <v>468</v>
      </c>
      <c r="D77" s="23">
        <v>930000</v>
      </c>
      <c r="E77" s="23" t="s">
        <v>341</v>
      </c>
      <c r="F77" s="23" t="str">
        <f t="shared" si="2"/>
        <v>rtdc.l.rtdc.4007:itc</v>
      </c>
      <c r="G77" s="8">
        <f t="shared" si="3"/>
        <v>42652.433749999997</v>
      </c>
    </row>
    <row r="78" spans="1:7" x14ac:dyDescent="0.25">
      <c r="A78" s="8">
        <v>42652.440555555557</v>
      </c>
      <c r="B78" s="23" t="s">
        <v>346</v>
      </c>
      <c r="C78" s="23" t="s">
        <v>469</v>
      </c>
      <c r="D78" s="23">
        <v>1990000</v>
      </c>
      <c r="E78" s="23" t="s">
        <v>337</v>
      </c>
      <c r="F78" s="23" t="str">
        <f t="shared" si="2"/>
        <v>rtdc.l.rtdc.4028:itc</v>
      </c>
      <c r="G78" s="8">
        <f t="shared" si="3"/>
        <v>42652.440555555557</v>
      </c>
    </row>
    <row r="79" spans="1:7" x14ac:dyDescent="0.25">
      <c r="A79" s="8">
        <v>42652.442476851851</v>
      </c>
      <c r="B79" s="23" t="s">
        <v>165</v>
      </c>
      <c r="C79" s="23" t="s">
        <v>470</v>
      </c>
      <c r="D79" s="23">
        <v>1830000</v>
      </c>
      <c r="E79" s="23" t="s">
        <v>351</v>
      </c>
      <c r="F79" s="23" t="str">
        <f t="shared" si="2"/>
        <v>rtdc.l.rtdc.4025:itc</v>
      </c>
      <c r="G79" s="8">
        <f t="shared" si="3"/>
        <v>42652.442476851851</v>
      </c>
    </row>
    <row r="80" spans="1:7" x14ac:dyDescent="0.25">
      <c r="A80" s="8">
        <v>42652.442743055559</v>
      </c>
      <c r="B80" s="23" t="s">
        <v>240</v>
      </c>
      <c r="C80" s="23" t="s">
        <v>471</v>
      </c>
      <c r="D80" s="23">
        <v>2140000</v>
      </c>
      <c r="E80" s="23" t="s">
        <v>356</v>
      </c>
      <c r="F80" s="23" t="str">
        <f t="shared" si="2"/>
        <v>rtdc.l.rtdc.4004:itc</v>
      </c>
      <c r="G80" s="8">
        <f t="shared" si="3"/>
        <v>42652.442743055559</v>
      </c>
    </row>
    <row r="81" spans="1:7" x14ac:dyDescent="0.25">
      <c r="A81" s="8">
        <v>42652.453622685185</v>
      </c>
      <c r="B81" s="23" t="s">
        <v>217</v>
      </c>
      <c r="C81" s="23" t="s">
        <v>472</v>
      </c>
      <c r="D81" s="23">
        <v>1310000</v>
      </c>
      <c r="E81" s="23" t="s">
        <v>338</v>
      </c>
      <c r="F81" s="23" t="str">
        <f t="shared" si="2"/>
        <v>rtdc.l.rtdc.4017:itc</v>
      </c>
      <c r="G81" s="8">
        <f t="shared" si="3"/>
        <v>42652.453622685185</v>
      </c>
    </row>
    <row r="82" spans="1:7" x14ac:dyDescent="0.25">
      <c r="A82" s="8">
        <v>42652.454571759263</v>
      </c>
      <c r="B82" s="23" t="s">
        <v>354</v>
      </c>
      <c r="C82" s="23" t="s">
        <v>473</v>
      </c>
      <c r="D82" s="23">
        <v>880000</v>
      </c>
      <c r="E82" s="23" t="s">
        <v>340</v>
      </c>
      <c r="F82" s="23" t="str">
        <f t="shared" si="2"/>
        <v>rtdc.l.rtdc.4040:itc</v>
      </c>
      <c r="G82" s="8">
        <f t="shared" si="3"/>
        <v>42652.454571759263</v>
      </c>
    </row>
    <row r="83" spans="1:7" x14ac:dyDescent="0.25">
      <c r="A83" s="8">
        <v>42652.460833333331</v>
      </c>
      <c r="B83" s="23" t="s">
        <v>249</v>
      </c>
      <c r="C83" s="23" t="s">
        <v>474</v>
      </c>
      <c r="D83" s="23">
        <v>1760000</v>
      </c>
      <c r="E83" s="23" t="s">
        <v>261</v>
      </c>
      <c r="F83" s="23" t="str">
        <f t="shared" si="2"/>
        <v>rtdc.l.rtdc.4001:itc</v>
      </c>
      <c r="G83" s="8">
        <f t="shared" si="3"/>
        <v>42652.460833333331</v>
      </c>
    </row>
    <row r="84" spans="1:7" x14ac:dyDescent="0.25">
      <c r="A84" s="8">
        <v>42652.464861111112</v>
      </c>
      <c r="B84" s="23" t="s">
        <v>342</v>
      </c>
      <c r="C84" s="23" t="s">
        <v>475</v>
      </c>
      <c r="D84" s="23">
        <v>1280000</v>
      </c>
      <c r="E84" s="23" t="s">
        <v>352</v>
      </c>
      <c r="F84" s="23" t="str">
        <f t="shared" si="2"/>
        <v>rtdc.l.rtdc.4014:itc</v>
      </c>
      <c r="G84" s="8">
        <f t="shared" si="3"/>
        <v>42652.464861111112</v>
      </c>
    </row>
    <row r="85" spans="1:7" x14ac:dyDescent="0.25">
      <c r="A85" s="8">
        <v>42652.466226851851</v>
      </c>
      <c r="B85" s="23" t="s">
        <v>239</v>
      </c>
      <c r="C85" s="23" t="s">
        <v>476</v>
      </c>
      <c r="D85" s="23">
        <v>2140000</v>
      </c>
      <c r="E85" s="23" t="s">
        <v>356</v>
      </c>
      <c r="F85" s="23" t="str">
        <f t="shared" si="2"/>
        <v>rtdc.l.rtdc.4003:itc</v>
      </c>
      <c r="G85" s="8">
        <f t="shared" si="3"/>
        <v>42652.466226851851</v>
      </c>
    </row>
    <row r="86" spans="1:7" x14ac:dyDescent="0.25">
      <c r="A86" s="8">
        <v>42652.472870370373</v>
      </c>
      <c r="B86" s="23" t="s">
        <v>251</v>
      </c>
      <c r="C86" s="23" t="s">
        <v>477</v>
      </c>
      <c r="D86" s="23">
        <v>930000</v>
      </c>
      <c r="E86" s="23" t="s">
        <v>341</v>
      </c>
      <c r="F86" s="23" t="str">
        <f t="shared" si="2"/>
        <v>rtdc.l.rtdc.4008:itc</v>
      </c>
      <c r="G86" s="8">
        <f t="shared" si="3"/>
        <v>42652.472870370373</v>
      </c>
    </row>
    <row r="87" spans="1:7" x14ac:dyDescent="0.25">
      <c r="A87" s="8">
        <v>42652.473634259259</v>
      </c>
      <c r="B87" s="23" t="s">
        <v>166</v>
      </c>
      <c r="C87" s="23" t="s">
        <v>478</v>
      </c>
      <c r="D87" s="23">
        <v>1830000</v>
      </c>
      <c r="E87" s="23" t="s">
        <v>351</v>
      </c>
      <c r="F87" s="23" t="str">
        <f t="shared" si="2"/>
        <v>rtdc.l.rtdc.4026:itc</v>
      </c>
      <c r="G87" s="8">
        <f t="shared" si="3"/>
        <v>42652.473634259259</v>
      </c>
    </row>
    <row r="88" spans="1:7" x14ac:dyDescent="0.25">
      <c r="A88" s="8">
        <v>42652.479016203702</v>
      </c>
      <c r="B88" s="23" t="s">
        <v>350</v>
      </c>
      <c r="C88" s="23" t="s">
        <v>479</v>
      </c>
      <c r="D88" s="23">
        <v>1770000</v>
      </c>
      <c r="E88" s="23" t="s">
        <v>480</v>
      </c>
      <c r="F88" s="23" t="str">
        <f t="shared" si="2"/>
        <v>rtdc.l.rtdc.4027:itc</v>
      </c>
      <c r="G88" s="8">
        <f t="shared" si="3"/>
        <v>42652.479016203702</v>
      </c>
    </row>
    <row r="89" spans="1:7" x14ac:dyDescent="0.25">
      <c r="A89" s="8">
        <v>42652.4844212963</v>
      </c>
      <c r="B89" s="23" t="s">
        <v>240</v>
      </c>
      <c r="C89" s="23" t="s">
        <v>481</v>
      </c>
      <c r="D89" s="23">
        <v>2140000</v>
      </c>
      <c r="E89" s="23" t="s">
        <v>356</v>
      </c>
      <c r="F89" s="23" t="str">
        <f t="shared" si="2"/>
        <v>rtdc.l.rtdc.4004:itc</v>
      </c>
      <c r="G89" s="8">
        <f t="shared" si="3"/>
        <v>42652.4844212963</v>
      </c>
    </row>
    <row r="90" spans="1:7" x14ac:dyDescent="0.25">
      <c r="A90" s="8">
        <v>42652.487719907411</v>
      </c>
      <c r="B90" s="23" t="s">
        <v>218</v>
      </c>
      <c r="C90" s="23" t="s">
        <v>482</v>
      </c>
      <c r="D90" s="23">
        <v>2040000</v>
      </c>
      <c r="E90" s="23" t="s">
        <v>262</v>
      </c>
      <c r="F90" s="23" t="str">
        <f t="shared" si="2"/>
        <v>rtdc.l.rtdc.4018:itc</v>
      </c>
      <c r="G90" s="8">
        <f t="shared" si="3"/>
        <v>42652.487719907411</v>
      </c>
    </row>
    <row r="91" spans="1:7" x14ac:dyDescent="0.25">
      <c r="A91" s="8">
        <v>42652.494733796295</v>
      </c>
      <c r="B91" s="23" t="s">
        <v>402</v>
      </c>
      <c r="C91" s="23" t="s">
        <v>483</v>
      </c>
      <c r="D91" s="23">
        <v>880000</v>
      </c>
      <c r="E91" s="23" t="s">
        <v>340</v>
      </c>
      <c r="F91" s="23" t="str">
        <f t="shared" si="2"/>
        <v>rtdc.l.rtdc.4039:itc</v>
      </c>
      <c r="G91" s="8">
        <f t="shared" si="3"/>
        <v>42652.494733796295</v>
      </c>
    </row>
    <row r="92" spans="1:7" x14ac:dyDescent="0.25">
      <c r="A92" s="8">
        <v>42652.496712962966</v>
      </c>
      <c r="B92" s="23" t="s">
        <v>250</v>
      </c>
      <c r="C92" s="23" t="s">
        <v>484</v>
      </c>
      <c r="D92" s="23">
        <v>1140000</v>
      </c>
      <c r="E92" s="23" t="s">
        <v>263</v>
      </c>
      <c r="F92" s="23" t="str">
        <f t="shared" si="2"/>
        <v>rtdc.l.rtdc.4002:itc</v>
      </c>
      <c r="G92" s="8">
        <f t="shared" si="3"/>
        <v>42652.496712962966</v>
      </c>
    </row>
    <row r="93" spans="1:7" x14ac:dyDescent="0.25">
      <c r="A93" s="8">
        <v>42652.49732638889</v>
      </c>
      <c r="B93" s="23" t="s">
        <v>336</v>
      </c>
      <c r="C93" s="23" t="s">
        <v>485</v>
      </c>
      <c r="D93" s="23">
        <v>1280000</v>
      </c>
      <c r="E93" s="23" t="s">
        <v>352</v>
      </c>
      <c r="F93" s="23" t="str">
        <f t="shared" si="2"/>
        <v>rtdc.l.rtdc.4013:itc</v>
      </c>
      <c r="G93" s="8">
        <f t="shared" si="3"/>
        <v>42652.49732638889</v>
      </c>
    </row>
    <row r="94" spans="1:7" x14ac:dyDescent="0.25">
      <c r="A94" s="8">
        <v>42652.500115740739</v>
      </c>
      <c r="B94" s="23" t="s">
        <v>239</v>
      </c>
      <c r="C94" s="23" t="s">
        <v>486</v>
      </c>
      <c r="D94" s="23">
        <v>2140000</v>
      </c>
      <c r="E94" s="23" t="s">
        <v>356</v>
      </c>
      <c r="F94" s="23" t="str">
        <f t="shared" si="2"/>
        <v>rtdc.l.rtdc.4003:itc</v>
      </c>
      <c r="G94" s="8">
        <f t="shared" si="3"/>
        <v>42652.500115740739</v>
      </c>
    </row>
    <row r="95" spans="1:7" x14ac:dyDescent="0.25">
      <c r="A95" s="8">
        <v>42652.50677083333</v>
      </c>
      <c r="B95" s="23" t="s">
        <v>253</v>
      </c>
      <c r="C95" s="23" t="s">
        <v>487</v>
      </c>
      <c r="D95" s="23">
        <v>930000</v>
      </c>
      <c r="E95" s="23" t="s">
        <v>341</v>
      </c>
      <c r="F95" s="23" t="str">
        <f t="shared" si="2"/>
        <v>rtdc.l.rtdc.4007:itc</v>
      </c>
      <c r="G95" s="8">
        <f t="shared" si="3"/>
        <v>42652.50677083333</v>
      </c>
    </row>
    <row r="96" spans="1:7" x14ac:dyDescent="0.25">
      <c r="A96" s="8">
        <v>42652.514432870368</v>
      </c>
      <c r="B96" s="23" t="s">
        <v>346</v>
      </c>
      <c r="C96" s="23" t="s">
        <v>488</v>
      </c>
      <c r="D96" s="23">
        <v>1770000</v>
      </c>
      <c r="E96" s="23" t="s">
        <v>480</v>
      </c>
      <c r="F96" s="23" t="str">
        <f t="shared" si="2"/>
        <v>rtdc.l.rtdc.4028:itc</v>
      </c>
      <c r="G96" s="8">
        <f t="shared" si="3"/>
        <v>42652.514432870368</v>
      </c>
    </row>
    <row r="97" spans="1:7" x14ac:dyDescent="0.25">
      <c r="A97" s="8">
        <v>42652.516018518516</v>
      </c>
      <c r="B97" s="23" t="s">
        <v>165</v>
      </c>
      <c r="C97" s="23" t="s">
        <v>489</v>
      </c>
      <c r="D97" s="23">
        <v>2020000</v>
      </c>
      <c r="E97" s="23" t="s">
        <v>274</v>
      </c>
      <c r="F97" s="23" t="str">
        <f t="shared" si="2"/>
        <v>rtdc.l.rtdc.4025:itc</v>
      </c>
      <c r="G97" s="8">
        <f t="shared" si="3"/>
        <v>42652.516018518516</v>
      </c>
    </row>
    <row r="98" spans="1:7" x14ac:dyDescent="0.25">
      <c r="A98" s="8">
        <v>42652.525057870371</v>
      </c>
      <c r="B98" s="23" t="s">
        <v>217</v>
      </c>
      <c r="C98" s="23" t="s">
        <v>490</v>
      </c>
      <c r="D98" s="23">
        <v>2040000</v>
      </c>
      <c r="E98" s="23" t="s">
        <v>262</v>
      </c>
      <c r="F98" s="23" t="str">
        <f t="shared" si="2"/>
        <v>rtdc.l.rtdc.4017:itc</v>
      </c>
      <c r="G98" s="8">
        <f t="shared" si="3"/>
        <v>42652.525057870371</v>
      </c>
    </row>
    <row r="99" spans="1:7" x14ac:dyDescent="0.25">
      <c r="A99" s="8">
        <v>42652.526539351849</v>
      </c>
      <c r="B99" s="23" t="s">
        <v>240</v>
      </c>
      <c r="C99" s="23" t="s">
        <v>491</v>
      </c>
      <c r="D99" s="23">
        <v>2140000</v>
      </c>
      <c r="E99" s="23" t="s">
        <v>356</v>
      </c>
      <c r="F99" s="23" t="str">
        <f t="shared" si="2"/>
        <v>rtdc.l.rtdc.4004:itc</v>
      </c>
      <c r="G99" s="8">
        <f t="shared" si="3"/>
        <v>42652.526539351849</v>
      </c>
    </row>
    <row r="100" spans="1:7" x14ac:dyDescent="0.25">
      <c r="A100" s="8">
        <v>42652.528819444444</v>
      </c>
      <c r="B100" s="23" t="s">
        <v>354</v>
      </c>
      <c r="C100" s="23" t="s">
        <v>492</v>
      </c>
      <c r="D100" s="23">
        <v>880000</v>
      </c>
      <c r="E100" s="23" t="s">
        <v>340</v>
      </c>
      <c r="F100" s="23" t="str">
        <f t="shared" si="2"/>
        <v>rtdc.l.rtdc.4040:itc</v>
      </c>
      <c r="G100" s="8">
        <f t="shared" si="3"/>
        <v>42652.528819444444</v>
      </c>
    </row>
    <row r="101" spans="1:7" x14ac:dyDescent="0.25">
      <c r="A101" s="8">
        <v>42652.533634259256</v>
      </c>
      <c r="B101" s="23" t="s">
        <v>249</v>
      </c>
      <c r="C101" s="23" t="s">
        <v>493</v>
      </c>
      <c r="D101" s="23">
        <v>1140000</v>
      </c>
      <c r="E101" s="23" t="s">
        <v>263</v>
      </c>
      <c r="F101" s="23" t="str">
        <f t="shared" si="2"/>
        <v>rtdc.l.rtdc.4001:itc</v>
      </c>
      <c r="G101" s="8">
        <f t="shared" si="3"/>
        <v>42652.533634259256</v>
      </c>
    </row>
    <row r="102" spans="1:7" x14ac:dyDescent="0.25">
      <c r="A102" s="8">
        <v>42652.537812499999</v>
      </c>
      <c r="B102" s="23" t="s">
        <v>342</v>
      </c>
      <c r="C102" s="23" t="s">
        <v>494</v>
      </c>
      <c r="D102" s="23">
        <v>1280000</v>
      </c>
      <c r="E102" s="23" t="s">
        <v>352</v>
      </c>
      <c r="F102" s="23" t="str">
        <f t="shared" si="2"/>
        <v>rtdc.l.rtdc.4014:itc</v>
      </c>
      <c r="G102" s="8">
        <f t="shared" si="3"/>
        <v>42652.537812499999</v>
      </c>
    </row>
    <row r="103" spans="1:7" x14ac:dyDescent="0.25">
      <c r="A103" s="8">
        <v>42652.543333333335</v>
      </c>
      <c r="B103" s="23" t="s">
        <v>251</v>
      </c>
      <c r="C103" s="23" t="s">
        <v>495</v>
      </c>
      <c r="D103" s="23">
        <v>930000</v>
      </c>
      <c r="E103" s="23" t="s">
        <v>341</v>
      </c>
      <c r="F103" s="23" t="str">
        <f t="shared" si="2"/>
        <v>rtdc.l.rtdc.4008:itc</v>
      </c>
      <c r="G103" s="8">
        <f t="shared" si="3"/>
        <v>42652.543333333335</v>
      </c>
    </row>
    <row r="104" spans="1:7" x14ac:dyDescent="0.25">
      <c r="A104" s="8">
        <v>42652.547951388886</v>
      </c>
      <c r="B104" s="23" t="s">
        <v>350</v>
      </c>
      <c r="C104" s="23" t="s">
        <v>496</v>
      </c>
      <c r="D104" s="23">
        <v>1770000</v>
      </c>
      <c r="E104" s="23" t="s">
        <v>480</v>
      </c>
      <c r="F104" s="23" t="str">
        <f t="shared" si="2"/>
        <v>rtdc.l.rtdc.4027:itc</v>
      </c>
      <c r="G104" s="8">
        <f t="shared" si="3"/>
        <v>42652.547951388886</v>
      </c>
    </row>
    <row r="105" spans="1:7" x14ac:dyDescent="0.25">
      <c r="A105" s="8">
        <v>42652.551886574074</v>
      </c>
      <c r="B105" s="23" t="s">
        <v>239</v>
      </c>
      <c r="C105" s="23" t="s">
        <v>497</v>
      </c>
      <c r="D105" s="23">
        <v>2140000</v>
      </c>
      <c r="E105" s="23" t="s">
        <v>356</v>
      </c>
      <c r="F105" s="23" t="str">
        <f t="shared" si="2"/>
        <v>rtdc.l.rtdc.4003:itc</v>
      </c>
      <c r="G105" s="8">
        <f t="shared" si="3"/>
        <v>42652.551886574074</v>
      </c>
    </row>
    <row r="106" spans="1:7" x14ac:dyDescent="0.25">
      <c r="A106" s="8">
        <v>42652.556458333333</v>
      </c>
      <c r="B106" s="23" t="s">
        <v>166</v>
      </c>
      <c r="C106" s="23" t="s">
        <v>498</v>
      </c>
      <c r="D106" s="23">
        <v>2020000</v>
      </c>
      <c r="E106" s="23" t="s">
        <v>274</v>
      </c>
      <c r="F106" s="23" t="str">
        <f t="shared" si="2"/>
        <v>rtdc.l.rtdc.4026:itc</v>
      </c>
      <c r="G106" s="8">
        <f t="shared" si="3"/>
        <v>42652.556458333333</v>
      </c>
    </row>
    <row r="107" spans="1:7" x14ac:dyDescent="0.25">
      <c r="A107" s="8">
        <v>42652.558969907404</v>
      </c>
      <c r="B107" s="23" t="s">
        <v>218</v>
      </c>
      <c r="C107" s="23" t="s">
        <v>499</v>
      </c>
      <c r="D107" s="23">
        <v>2040000</v>
      </c>
      <c r="E107" s="23" t="s">
        <v>262</v>
      </c>
      <c r="F107" s="23" t="str">
        <f t="shared" si="2"/>
        <v>rtdc.l.rtdc.4018:itc</v>
      </c>
      <c r="G107" s="8">
        <f t="shared" si="3"/>
        <v>42652.558969907404</v>
      </c>
    </row>
    <row r="108" spans="1:7" x14ac:dyDescent="0.25">
      <c r="A108" s="8">
        <v>42652.566469907404</v>
      </c>
      <c r="B108" s="23" t="s">
        <v>402</v>
      </c>
      <c r="C108" s="23" t="s">
        <v>500</v>
      </c>
      <c r="D108" s="23">
        <v>880000</v>
      </c>
      <c r="E108" s="23" t="s">
        <v>340</v>
      </c>
      <c r="F108" s="23" t="str">
        <f t="shared" si="2"/>
        <v>rtdc.l.rtdc.4039:itc</v>
      </c>
      <c r="G108" s="8">
        <f t="shared" si="3"/>
        <v>42652.566469907404</v>
      </c>
    </row>
    <row r="109" spans="1:7" x14ac:dyDescent="0.25">
      <c r="A109" s="8">
        <v>42652.567523148151</v>
      </c>
      <c r="B109" s="23" t="s">
        <v>240</v>
      </c>
      <c r="C109" s="23" t="s">
        <v>501</v>
      </c>
      <c r="D109" s="23">
        <v>2140000</v>
      </c>
      <c r="E109" s="23" t="s">
        <v>356</v>
      </c>
      <c r="F109" s="23" t="str">
        <f t="shared" si="2"/>
        <v>rtdc.l.rtdc.4004:itc</v>
      </c>
      <c r="G109" s="8">
        <f t="shared" si="3"/>
        <v>42652.567523148151</v>
      </c>
    </row>
    <row r="110" spans="1:7" x14ac:dyDescent="0.25">
      <c r="A110" s="8">
        <v>42652.569490740738</v>
      </c>
      <c r="B110" s="23" t="s">
        <v>336</v>
      </c>
      <c r="C110" s="23" t="s">
        <v>502</v>
      </c>
      <c r="D110" s="23">
        <v>1280000</v>
      </c>
      <c r="E110" s="23" t="s">
        <v>352</v>
      </c>
      <c r="F110" s="23" t="str">
        <f t="shared" si="2"/>
        <v>rtdc.l.rtdc.4013:itc</v>
      </c>
      <c r="G110" s="8">
        <f t="shared" si="3"/>
        <v>42652.569490740738</v>
      </c>
    </row>
    <row r="111" spans="1:7" x14ac:dyDescent="0.25">
      <c r="A111" s="8">
        <v>42652.569768518515</v>
      </c>
      <c r="B111" s="23" t="s">
        <v>240</v>
      </c>
      <c r="C111" s="23" t="s">
        <v>501</v>
      </c>
      <c r="D111" s="23">
        <v>2140000</v>
      </c>
      <c r="E111" s="23" t="s">
        <v>356</v>
      </c>
      <c r="F111" s="23" t="str">
        <f t="shared" si="2"/>
        <v>rtdc.l.rtdc.4004:itc</v>
      </c>
      <c r="G111" s="8">
        <f t="shared" si="3"/>
        <v>42652.569768518515</v>
      </c>
    </row>
    <row r="112" spans="1:7" x14ac:dyDescent="0.25">
      <c r="A112" s="8">
        <v>42652.571273148147</v>
      </c>
      <c r="B112" s="23" t="s">
        <v>250</v>
      </c>
      <c r="C112" s="23" t="s">
        <v>503</v>
      </c>
      <c r="D112" s="23">
        <v>1140000</v>
      </c>
      <c r="E112" s="23" t="s">
        <v>263</v>
      </c>
      <c r="F112" s="23" t="str">
        <f t="shared" si="2"/>
        <v>rtdc.l.rtdc.4002:itc</v>
      </c>
      <c r="G112" s="8">
        <f t="shared" si="3"/>
        <v>42652.571273148147</v>
      </c>
    </row>
    <row r="113" spans="1:7" x14ac:dyDescent="0.25">
      <c r="A113" s="8">
        <v>42652.580185185187</v>
      </c>
      <c r="B113" s="23" t="s">
        <v>253</v>
      </c>
      <c r="C113" s="23" t="s">
        <v>504</v>
      </c>
      <c r="D113" s="23">
        <v>930000</v>
      </c>
      <c r="E113" s="23" t="s">
        <v>341</v>
      </c>
      <c r="F113" s="23" t="str">
        <f t="shared" si="2"/>
        <v>rtdc.l.rtdc.4007:itc</v>
      </c>
      <c r="G113" s="8">
        <f t="shared" si="3"/>
        <v>42652.580185185187</v>
      </c>
    </row>
    <row r="114" spans="1:7" x14ac:dyDescent="0.25">
      <c r="A114" s="8">
        <v>42652.585833333331</v>
      </c>
      <c r="B114" s="23" t="s">
        <v>239</v>
      </c>
      <c r="C114" s="23" t="s">
        <v>505</v>
      </c>
      <c r="D114" s="23">
        <v>2250000</v>
      </c>
      <c r="E114" s="23" t="s">
        <v>506</v>
      </c>
      <c r="F114" s="23" t="str">
        <f t="shared" si="2"/>
        <v>rtdc.l.rtdc.4003:itc</v>
      </c>
      <c r="G114" s="8">
        <f t="shared" si="3"/>
        <v>42652.585833333331</v>
      </c>
    </row>
    <row r="115" spans="1:7" x14ac:dyDescent="0.25">
      <c r="A115" s="8">
        <v>42652.586423611108</v>
      </c>
      <c r="B115" s="23" t="s">
        <v>346</v>
      </c>
      <c r="C115" s="23" t="s">
        <v>507</v>
      </c>
      <c r="D115" s="23">
        <v>1770000</v>
      </c>
      <c r="E115" s="23" t="s">
        <v>480</v>
      </c>
      <c r="F115" s="23" t="str">
        <f t="shared" si="2"/>
        <v>rtdc.l.rtdc.4028:itc</v>
      </c>
      <c r="G115" s="8">
        <f t="shared" si="3"/>
        <v>42652.586423611108</v>
      </c>
    </row>
    <row r="116" spans="1:7" x14ac:dyDescent="0.25">
      <c r="A116" s="8">
        <v>42652.588680555556</v>
      </c>
      <c r="B116" s="23" t="s">
        <v>165</v>
      </c>
      <c r="C116" s="23" t="s">
        <v>508</v>
      </c>
      <c r="D116" s="23">
        <v>2020000</v>
      </c>
      <c r="E116" s="23" t="s">
        <v>274</v>
      </c>
      <c r="F116" s="23" t="str">
        <f t="shared" si="2"/>
        <v>rtdc.l.rtdc.4025:itc</v>
      </c>
      <c r="G116" s="8">
        <f t="shared" si="3"/>
        <v>42652.588680555556</v>
      </c>
    </row>
    <row r="117" spans="1:7" x14ac:dyDescent="0.25">
      <c r="A117" s="8">
        <v>42652.598321759258</v>
      </c>
      <c r="B117" s="23" t="s">
        <v>217</v>
      </c>
      <c r="C117" s="23" t="s">
        <v>509</v>
      </c>
      <c r="D117" s="23">
        <v>2040000</v>
      </c>
      <c r="E117" s="23" t="s">
        <v>262</v>
      </c>
      <c r="F117" s="23" t="str">
        <f t="shared" si="2"/>
        <v>rtdc.l.rtdc.4017:itc</v>
      </c>
      <c r="G117" s="8">
        <f t="shared" si="3"/>
        <v>42652.598321759258</v>
      </c>
    </row>
    <row r="118" spans="1:7" x14ac:dyDescent="0.25">
      <c r="A118" s="8">
        <v>42652.601122685184</v>
      </c>
      <c r="B118" s="23" t="s">
        <v>354</v>
      </c>
      <c r="C118" s="23" t="s">
        <v>510</v>
      </c>
      <c r="D118" s="23">
        <v>880000</v>
      </c>
      <c r="E118" s="23" t="s">
        <v>340</v>
      </c>
      <c r="F118" s="23" t="str">
        <f t="shared" si="2"/>
        <v>rtdc.l.rtdc.4040:itc</v>
      </c>
      <c r="G118" s="8">
        <f t="shared" si="3"/>
        <v>42652.601122685184</v>
      </c>
    </row>
    <row r="119" spans="1:7" x14ac:dyDescent="0.25">
      <c r="A119" s="8">
        <v>42652.606122685182</v>
      </c>
      <c r="B119" s="23" t="s">
        <v>249</v>
      </c>
      <c r="C119" s="23" t="s">
        <v>511</v>
      </c>
      <c r="D119" s="23">
        <v>1140000</v>
      </c>
      <c r="E119" s="23" t="s">
        <v>263</v>
      </c>
      <c r="F119" s="23" t="str">
        <f t="shared" si="2"/>
        <v>rtdc.l.rtdc.4001:itc</v>
      </c>
      <c r="G119" s="8">
        <f t="shared" si="3"/>
        <v>42652.606122685182</v>
      </c>
    </row>
    <row r="120" spans="1:7" x14ac:dyDescent="0.25">
      <c r="A120" s="8">
        <v>42652.610347222224</v>
      </c>
      <c r="B120" s="23" t="s">
        <v>240</v>
      </c>
      <c r="C120" s="23" t="s">
        <v>512</v>
      </c>
      <c r="D120" s="23">
        <v>2250000</v>
      </c>
      <c r="E120" s="23" t="s">
        <v>506</v>
      </c>
      <c r="F120" s="23" t="str">
        <f t="shared" si="2"/>
        <v>rtdc.l.rtdc.4004:itc</v>
      </c>
      <c r="G120" s="8">
        <f t="shared" si="3"/>
        <v>42652.610347222224</v>
      </c>
    </row>
    <row r="121" spans="1:7" x14ac:dyDescent="0.25">
      <c r="A121" s="8">
        <v>42652.610486111109</v>
      </c>
      <c r="B121" s="23" t="s">
        <v>342</v>
      </c>
      <c r="C121" s="23" t="s">
        <v>513</v>
      </c>
      <c r="D121" s="23">
        <v>1280000</v>
      </c>
      <c r="E121" s="23" t="s">
        <v>352</v>
      </c>
      <c r="F121" s="23" t="str">
        <f t="shared" si="2"/>
        <v>rtdc.l.rtdc.4014:itc</v>
      </c>
      <c r="G121" s="8">
        <f t="shared" si="3"/>
        <v>42652.610486111109</v>
      </c>
    </row>
    <row r="122" spans="1:7" x14ac:dyDescent="0.25">
      <c r="A122" s="8">
        <v>42652.617488425924</v>
      </c>
      <c r="B122" s="28" t="s">
        <v>251</v>
      </c>
      <c r="C122" s="23" t="s">
        <v>514</v>
      </c>
      <c r="D122" s="23">
        <v>930000</v>
      </c>
      <c r="E122" s="23" t="s">
        <v>341</v>
      </c>
      <c r="F122" s="23" t="str">
        <f t="shared" si="2"/>
        <v>rtdc.l.rtdc.4008:itc</v>
      </c>
      <c r="G122" s="8">
        <f t="shared" si="3"/>
        <v>42652.617488425924</v>
      </c>
    </row>
    <row r="123" spans="1:7" x14ac:dyDescent="0.25">
      <c r="A123" s="8">
        <v>42652.620300925926</v>
      </c>
      <c r="B123" s="23" t="s">
        <v>350</v>
      </c>
      <c r="C123" s="23" t="s">
        <v>515</v>
      </c>
      <c r="D123" s="23">
        <v>1770000</v>
      </c>
      <c r="E123" s="23" t="s">
        <v>480</v>
      </c>
      <c r="F123" s="23" t="str">
        <f t="shared" si="2"/>
        <v>rtdc.l.rtdc.4027:itc</v>
      </c>
      <c r="G123" s="8">
        <f t="shared" si="3"/>
        <v>42652.620300925926</v>
      </c>
    </row>
    <row r="124" spans="1:7" x14ac:dyDescent="0.25">
      <c r="A124" s="8">
        <v>42652.625243055554</v>
      </c>
      <c r="B124" s="23" t="s">
        <v>239</v>
      </c>
      <c r="C124" s="23" t="s">
        <v>516</v>
      </c>
      <c r="D124" s="23">
        <v>2250000</v>
      </c>
      <c r="E124" s="23" t="s">
        <v>506</v>
      </c>
      <c r="F124" s="23" t="str">
        <f t="shared" si="2"/>
        <v>rtdc.l.rtdc.4003:itc</v>
      </c>
      <c r="G124" s="8">
        <f t="shared" si="3"/>
        <v>42652.625243055554</v>
      </c>
    </row>
    <row r="125" spans="1:7" x14ac:dyDescent="0.25">
      <c r="A125" s="8">
        <v>42652.629247685189</v>
      </c>
      <c r="B125" s="23" t="s">
        <v>166</v>
      </c>
      <c r="C125" s="23" t="s">
        <v>517</v>
      </c>
      <c r="D125" s="23">
        <v>2020000</v>
      </c>
      <c r="E125" s="23" t="s">
        <v>274</v>
      </c>
      <c r="F125" s="23" t="str">
        <f t="shared" si="2"/>
        <v>rtdc.l.rtdc.4026:itc</v>
      </c>
      <c r="G125" s="8">
        <f t="shared" si="3"/>
        <v>42652.629247685189</v>
      </c>
    </row>
    <row r="126" spans="1:7" x14ac:dyDescent="0.25">
      <c r="A126" s="8">
        <v>42652.632592592592</v>
      </c>
      <c r="B126" s="23" t="s">
        <v>218</v>
      </c>
      <c r="C126" s="23" t="s">
        <v>518</v>
      </c>
      <c r="D126" s="23">
        <v>2040000</v>
      </c>
      <c r="E126" s="23" t="s">
        <v>262</v>
      </c>
      <c r="F126" s="23" t="str">
        <f t="shared" si="2"/>
        <v>rtdc.l.rtdc.4018:itc</v>
      </c>
      <c r="G126" s="8">
        <f t="shared" si="3"/>
        <v>42652.632592592592</v>
      </c>
    </row>
    <row r="127" spans="1:7" x14ac:dyDescent="0.25">
      <c r="A127" s="8">
        <v>42652.640532407408</v>
      </c>
      <c r="B127" s="23" t="s">
        <v>402</v>
      </c>
      <c r="C127" s="23" t="s">
        <v>519</v>
      </c>
      <c r="D127" s="23">
        <v>880000</v>
      </c>
      <c r="E127" s="23" t="s">
        <v>340</v>
      </c>
      <c r="F127" s="23" t="str">
        <f t="shared" si="2"/>
        <v>rtdc.l.rtdc.4039:itc</v>
      </c>
      <c r="G127" s="8">
        <f t="shared" si="3"/>
        <v>42652.640532407408</v>
      </c>
    </row>
    <row r="128" spans="1:7" x14ac:dyDescent="0.25">
      <c r="A128" s="8">
        <v>42652.642604166664</v>
      </c>
      <c r="B128" s="23" t="s">
        <v>336</v>
      </c>
      <c r="C128" s="23" t="s">
        <v>520</v>
      </c>
      <c r="D128" s="23">
        <v>1280000</v>
      </c>
      <c r="E128" s="23" t="s">
        <v>352</v>
      </c>
      <c r="F128" s="23" t="str">
        <f t="shared" si="2"/>
        <v>rtdc.l.rtdc.4013:itc</v>
      </c>
      <c r="G128" s="8">
        <f t="shared" si="3"/>
        <v>42652.642604166664</v>
      </c>
    </row>
    <row r="129" spans="1:7" x14ac:dyDescent="0.25">
      <c r="A129" s="8">
        <v>42652.64402777778</v>
      </c>
      <c r="B129" s="23" t="s">
        <v>250</v>
      </c>
      <c r="C129" s="23" t="s">
        <v>521</v>
      </c>
      <c r="D129" s="23">
        <v>1140000</v>
      </c>
      <c r="E129" s="23" t="s">
        <v>263</v>
      </c>
      <c r="F129" s="23" t="str">
        <f t="shared" si="2"/>
        <v>rtdc.l.rtdc.4002:itc</v>
      </c>
      <c r="G129" s="8">
        <f t="shared" si="3"/>
        <v>42652.64402777778</v>
      </c>
    </row>
    <row r="130" spans="1:7" x14ac:dyDescent="0.25">
      <c r="A130" s="8">
        <v>42652.651342592595</v>
      </c>
      <c r="B130" s="23" t="s">
        <v>240</v>
      </c>
      <c r="C130" s="23" t="s">
        <v>522</v>
      </c>
      <c r="D130" s="23">
        <v>2250000</v>
      </c>
      <c r="E130" s="23" t="s">
        <v>506</v>
      </c>
      <c r="F130" s="23" t="str">
        <f t="shared" ref="F130:F193" si="4">B130</f>
        <v>rtdc.l.rtdc.4004:itc</v>
      </c>
      <c r="G130" s="8">
        <f t="shared" ref="G130:G193" si="5">A130</f>
        <v>42652.651342592595</v>
      </c>
    </row>
    <row r="131" spans="1:7" x14ac:dyDescent="0.25">
      <c r="A131" s="8">
        <v>42652.65351851852</v>
      </c>
      <c r="B131" s="23" t="s">
        <v>253</v>
      </c>
      <c r="C131" s="23" t="s">
        <v>523</v>
      </c>
      <c r="D131" s="23">
        <v>930000</v>
      </c>
      <c r="E131" s="23" t="s">
        <v>341</v>
      </c>
      <c r="F131" s="23" t="str">
        <f t="shared" si="4"/>
        <v>rtdc.l.rtdc.4007:itc</v>
      </c>
      <c r="G131" s="8">
        <f t="shared" si="5"/>
        <v>42652.65351851852</v>
      </c>
    </row>
    <row r="132" spans="1:7" x14ac:dyDescent="0.25">
      <c r="A132" s="8">
        <v>42652.657569444447</v>
      </c>
      <c r="B132" s="23" t="s">
        <v>346</v>
      </c>
      <c r="C132" s="23" t="s">
        <v>524</v>
      </c>
      <c r="D132" s="23">
        <v>1770000</v>
      </c>
      <c r="E132" s="23" t="s">
        <v>480</v>
      </c>
      <c r="F132" s="23" t="str">
        <f t="shared" si="4"/>
        <v>rtdc.l.rtdc.4028:itc</v>
      </c>
      <c r="G132" s="8">
        <f t="shared" si="5"/>
        <v>42652.657569444447</v>
      </c>
    </row>
    <row r="133" spans="1:7" x14ac:dyDescent="0.25">
      <c r="A133" s="8">
        <v>42652.66233796296</v>
      </c>
      <c r="B133" s="23" t="s">
        <v>165</v>
      </c>
      <c r="C133" s="23" t="s">
        <v>525</v>
      </c>
      <c r="D133" s="23">
        <v>2020000</v>
      </c>
      <c r="E133" s="23" t="s">
        <v>274</v>
      </c>
      <c r="F133" s="23" t="str">
        <f t="shared" si="4"/>
        <v>rtdc.l.rtdc.4025:itc</v>
      </c>
      <c r="G133" s="8">
        <f t="shared" si="5"/>
        <v>42652.66233796296</v>
      </c>
    </row>
    <row r="134" spans="1:7" x14ac:dyDescent="0.25">
      <c r="A134" s="8">
        <v>42652.666666666664</v>
      </c>
      <c r="B134" s="23" t="s">
        <v>239</v>
      </c>
      <c r="C134" s="23" t="s">
        <v>526</v>
      </c>
      <c r="D134" s="23">
        <v>2250000</v>
      </c>
      <c r="E134" s="23" t="s">
        <v>506</v>
      </c>
      <c r="F134" s="23" t="str">
        <f t="shared" si="4"/>
        <v>rtdc.l.rtdc.4003:itc</v>
      </c>
      <c r="G134" s="8">
        <f t="shared" si="5"/>
        <v>42652.666666666664</v>
      </c>
    </row>
    <row r="135" spans="1:7" x14ac:dyDescent="0.25">
      <c r="A135" s="8">
        <v>42652.671898148146</v>
      </c>
      <c r="B135" s="23" t="s">
        <v>217</v>
      </c>
      <c r="C135" s="23" t="s">
        <v>527</v>
      </c>
      <c r="D135" s="23">
        <v>2040000</v>
      </c>
      <c r="E135" s="23" t="s">
        <v>262</v>
      </c>
      <c r="F135" s="23" t="str">
        <f t="shared" si="4"/>
        <v>rtdc.l.rtdc.4017:itc</v>
      </c>
      <c r="G135" s="8">
        <f t="shared" si="5"/>
        <v>42652.671898148146</v>
      </c>
    </row>
    <row r="136" spans="1:7" x14ac:dyDescent="0.25">
      <c r="A136" s="8">
        <v>42652.673194444447</v>
      </c>
      <c r="B136" s="23" t="s">
        <v>354</v>
      </c>
      <c r="C136" s="23" t="s">
        <v>528</v>
      </c>
      <c r="D136" s="23">
        <v>880000</v>
      </c>
      <c r="E136" s="23" t="s">
        <v>340</v>
      </c>
      <c r="F136" s="23" t="str">
        <f t="shared" si="4"/>
        <v>rtdc.l.rtdc.4040:itc</v>
      </c>
      <c r="G136" s="8">
        <f t="shared" si="5"/>
        <v>42652.673194444447</v>
      </c>
    </row>
    <row r="137" spans="1:7" x14ac:dyDescent="0.25">
      <c r="A137" s="8">
        <v>42652.676076388889</v>
      </c>
      <c r="B137" s="23" t="s">
        <v>249</v>
      </c>
      <c r="C137" s="23" t="s">
        <v>529</v>
      </c>
      <c r="D137" s="23">
        <v>1140000</v>
      </c>
      <c r="E137" s="23" t="s">
        <v>263</v>
      </c>
      <c r="F137" s="23" t="str">
        <f t="shared" si="4"/>
        <v>rtdc.l.rtdc.4001:itc</v>
      </c>
      <c r="G137" s="8">
        <f t="shared" si="5"/>
        <v>42652.676076388889</v>
      </c>
    </row>
    <row r="138" spans="1:7" x14ac:dyDescent="0.25">
      <c r="A138" s="8">
        <v>42652.683449074073</v>
      </c>
      <c r="B138" s="23" t="s">
        <v>342</v>
      </c>
      <c r="C138" s="23" t="s">
        <v>530</v>
      </c>
      <c r="D138" s="23">
        <v>1280000</v>
      </c>
      <c r="E138" s="23" t="s">
        <v>352</v>
      </c>
      <c r="F138" s="23" t="str">
        <f t="shared" si="4"/>
        <v>rtdc.l.rtdc.4014:itc</v>
      </c>
      <c r="G138" s="8">
        <f t="shared" si="5"/>
        <v>42652.683449074073</v>
      </c>
    </row>
    <row r="139" spans="1:7" x14ac:dyDescent="0.25">
      <c r="A139" s="8">
        <v>42652.690729166665</v>
      </c>
      <c r="B139" s="23" t="s">
        <v>251</v>
      </c>
      <c r="C139" s="23" t="s">
        <v>531</v>
      </c>
      <c r="D139" s="23">
        <v>930000</v>
      </c>
      <c r="E139" s="23" t="s">
        <v>341</v>
      </c>
      <c r="F139" s="23" t="str">
        <f t="shared" si="4"/>
        <v>rtdc.l.rtdc.4008:itc</v>
      </c>
      <c r="G139" s="8">
        <f t="shared" si="5"/>
        <v>42652.690729166665</v>
      </c>
    </row>
    <row r="140" spans="1:7" x14ac:dyDescent="0.25">
      <c r="A140" s="8">
        <v>42652.691412037035</v>
      </c>
      <c r="B140" s="23" t="s">
        <v>251</v>
      </c>
      <c r="C140" s="23" t="s">
        <v>531</v>
      </c>
      <c r="D140" s="23">
        <v>930000</v>
      </c>
      <c r="E140" s="23" t="s">
        <v>341</v>
      </c>
      <c r="F140" s="23" t="str">
        <f t="shared" si="4"/>
        <v>rtdc.l.rtdc.4008:itc</v>
      </c>
      <c r="G140" s="8">
        <f t="shared" si="5"/>
        <v>42652.691412037035</v>
      </c>
    </row>
    <row r="141" spans="1:7" x14ac:dyDescent="0.25">
      <c r="A141" s="8">
        <v>42652.693402777775</v>
      </c>
      <c r="B141" s="23" t="s">
        <v>350</v>
      </c>
      <c r="C141" s="23" t="s">
        <v>532</v>
      </c>
      <c r="D141" s="23">
        <v>1770000</v>
      </c>
      <c r="E141" s="23" t="s">
        <v>480</v>
      </c>
      <c r="F141" s="23" t="str">
        <f t="shared" si="4"/>
        <v>rtdc.l.rtdc.4027:itc</v>
      </c>
      <c r="G141" s="8">
        <f t="shared" si="5"/>
        <v>42652.693402777775</v>
      </c>
    </row>
    <row r="142" spans="1:7" x14ac:dyDescent="0.25">
      <c r="A142" s="8">
        <v>42652.693414351852</v>
      </c>
      <c r="B142" s="23" t="s">
        <v>240</v>
      </c>
      <c r="C142" s="23" t="s">
        <v>533</v>
      </c>
      <c r="D142" s="23">
        <v>2250000</v>
      </c>
      <c r="E142" s="23" t="s">
        <v>506</v>
      </c>
      <c r="F142" s="23" t="str">
        <f t="shared" si="4"/>
        <v>rtdc.l.rtdc.4004:itc</v>
      </c>
      <c r="G142" s="8">
        <f t="shared" si="5"/>
        <v>42652.693414351852</v>
      </c>
    </row>
    <row r="143" spans="1:7" x14ac:dyDescent="0.25">
      <c r="A143" s="8">
        <v>42652.70034722222</v>
      </c>
      <c r="B143" s="23" t="s">
        <v>166</v>
      </c>
      <c r="C143" s="23" t="s">
        <v>534</v>
      </c>
      <c r="D143" s="23">
        <v>2020000</v>
      </c>
      <c r="E143" s="23" t="s">
        <v>274</v>
      </c>
      <c r="F143" s="23" t="str">
        <f t="shared" si="4"/>
        <v>rtdc.l.rtdc.4026:itc</v>
      </c>
      <c r="G143" s="8">
        <f t="shared" si="5"/>
        <v>42652.70034722222</v>
      </c>
    </row>
    <row r="144" spans="1:7" x14ac:dyDescent="0.25">
      <c r="A144" s="8">
        <v>42652.706076388888</v>
      </c>
      <c r="B144" s="23" t="s">
        <v>218</v>
      </c>
      <c r="C144" s="23" t="s">
        <v>535</v>
      </c>
      <c r="D144" s="23">
        <v>2040000</v>
      </c>
      <c r="E144" s="23" t="s">
        <v>262</v>
      </c>
      <c r="F144" s="23" t="str">
        <f t="shared" si="4"/>
        <v>rtdc.l.rtdc.4018:itc</v>
      </c>
      <c r="G144" s="8">
        <f t="shared" si="5"/>
        <v>42652.706076388888</v>
      </c>
    </row>
    <row r="145" spans="1:7" x14ac:dyDescent="0.25">
      <c r="A145" s="8">
        <v>42652.707997685182</v>
      </c>
      <c r="B145" s="23" t="s">
        <v>239</v>
      </c>
      <c r="C145" s="23" t="s">
        <v>536</v>
      </c>
      <c r="D145" s="23">
        <v>2250000</v>
      </c>
      <c r="E145" s="23" t="s">
        <v>506</v>
      </c>
      <c r="F145" s="23" t="str">
        <f t="shared" si="4"/>
        <v>rtdc.l.rtdc.4003:itc</v>
      </c>
      <c r="G145" s="8">
        <f t="shared" si="5"/>
        <v>42652.707997685182</v>
      </c>
    </row>
    <row r="146" spans="1:7" x14ac:dyDescent="0.25">
      <c r="A146" s="8">
        <v>42652.712650462963</v>
      </c>
      <c r="B146" s="23" t="s">
        <v>402</v>
      </c>
      <c r="C146" s="23" t="s">
        <v>537</v>
      </c>
      <c r="D146" s="23">
        <v>880000</v>
      </c>
      <c r="E146" s="23" t="s">
        <v>340</v>
      </c>
      <c r="F146" s="23" t="str">
        <f t="shared" si="4"/>
        <v>rtdc.l.rtdc.4039:itc</v>
      </c>
      <c r="G146" s="8">
        <f t="shared" si="5"/>
        <v>42652.712650462963</v>
      </c>
    </row>
    <row r="147" spans="1:7" x14ac:dyDescent="0.25">
      <c r="A147" s="8">
        <v>42652.715358796297</v>
      </c>
      <c r="B147" s="23" t="s">
        <v>336</v>
      </c>
      <c r="C147" s="23" t="s">
        <v>538</v>
      </c>
      <c r="D147" s="23">
        <v>1280000</v>
      </c>
      <c r="E147" s="23" t="s">
        <v>352</v>
      </c>
      <c r="F147" s="23" t="str">
        <f t="shared" si="4"/>
        <v>rtdc.l.rtdc.4013:itc</v>
      </c>
      <c r="G147" s="8">
        <f t="shared" si="5"/>
        <v>42652.715358796297</v>
      </c>
    </row>
    <row r="148" spans="1:7" x14ac:dyDescent="0.25">
      <c r="A148" s="8">
        <v>42652.71638888889</v>
      </c>
      <c r="B148" s="23" t="s">
        <v>250</v>
      </c>
      <c r="C148" s="23" t="s">
        <v>539</v>
      </c>
      <c r="D148" s="23">
        <v>1180000</v>
      </c>
      <c r="E148" s="23" t="s">
        <v>220</v>
      </c>
      <c r="F148" s="23" t="str">
        <f t="shared" si="4"/>
        <v>rtdc.l.rtdc.4002:itc</v>
      </c>
      <c r="G148" s="8">
        <f t="shared" si="5"/>
        <v>42652.71638888889</v>
      </c>
    </row>
    <row r="149" spans="1:7" x14ac:dyDescent="0.25">
      <c r="A149" s="8">
        <v>42652.716747685183</v>
      </c>
      <c r="B149" s="23" t="s">
        <v>335</v>
      </c>
      <c r="C149" s="23" t="s">
        <v>540</v>
      </c>
      <c r="D149" s="23">
        <v>1290000</v>
      </c>
      <c r="E149" s="23" t="s">
        <v>541</v>
      </c>
      <c r="F149" s="23" t="str">
        <f t="shared" si="4"/>
        <v>rtdc.l.rtdc.4019:itc</v>
      </c>
      <c r="G149" s="8">
        <f t="shared" si="5"/>
        <v>42652.716747685183</v>
      </c>
    </row>
    <row r="150" spans="1:7" x14ac:dyDescent="0.25">
      <c r="A150" s="8">
        <v>42652.724803240744</v>
      </c>
      <c r="B150" s="23" t="s">
        <v>253</v>
      </c>
      <c r="C150" s="23" t="s">
        <v>542</v>
      </c>
      <c r="D150" s="23">
        <v>1140000</v>
      </c>
      <c r="E150" s="23" t="s">
        <v>263</v>
      </c>
      <c r="F150" s="23" t="str">
        <f t="shared" si="4"/>
        <v>rtdc.l.rtdc.4007:itc</v>
      </c>
      <c r="G150" s="8">
        <f t="shared" si="5"/>
        <v>42652.724803240744</v>
      </c>
    </row>
    <row r="151" spans="1:7" x14ac:dyDescent="0.25">
      <c r="A151" s="8">
        <v>42652.724999999999</v>
      </c>
      <c r="B151" s="23" t="s">
        <v>543</v>
      </c>
      <c r="C151" s="23" t="s">
        <v>544</v>
      </c>
      <c r="D151" s="23">
        <v>2150000</v>
      </c>
      <c r="E151" s="23" t="s">
        <v>343</v>
      </c>
      <c r="F151" s="23" t="str">
        <f t="shared" si="4"/>
        <v>rtdc.l.rtdc.4029:itc</v>
      </c>
      <c r="G151" s="8">
        <f t="shared" si="5"/>
        <v>42652.724999999999</v>
      </c>
    </row>
    <row r="152" spans="1:7" x14ac:dyDescent="0.25">
      <c r="A152" s="8">
        <v>42652.733703703707</v>
      </c>
      <c r="B152" s="23" t="s">
        <v>346</v>
      </c>
      <c r="C152" s="23" t="s">
        <v>545</v>
      </c>
      <c r="D152" s="23">
        <v>1770000</v>
      </c>
      <c r="E152" s="23" t="s">
        <v>480</v>
      </c>
      <c r="F152" s="23" t="str">
        <f t="shared" si="4"/>
        <v>rtdc.l.rtdc.4028:itc</v>
      </c>
      <c r="G152" s="8">
        <f t="shared" si="5"/>
        <v>42652.733703703707</v>
      </c>
    </row>
    <row r="153" spans="1:7" x14ac:dyDescent="0.25">
      <c r="A153" s="8">
        <v>42652.734756944446</v>
      </c>
      <c r="B153" s="23" t="s">
        <v>240</v>
      </c>
      <c r="C153" s="23" t="s">
        <v>546</v>
      </c>
      <c r="D153" s="23">
        <v>2250000</v>
      </c>
      <c r="E153" s="23" t="s">
        <v>506</v>
      </c>
      <c r="F153" s="23" t="str">
        <f t="shared" si="4"/>
        <v>rtdc.l.rtdc.4004:itc</v>
      </c>
      <c r="G153" s="8">
        <f t="shared" si="5"/>
        <v>42652.734756944446</v>
      </c>
    </row>
    <row r="154" spans="1:7" x14ac:dyDescent="0.25">
      <c r="A154" s="8">
        <v>42652.737662037034</v>
      </c>
      <c r="B154" s="23" t="s">
        <v>165</v>
      </c>
      <c r="C154" s="23" t="s">
        <v>547</v>
      </c>
      <c r="D154" s="23">
        <v>1290000</v>
      </c>
      <c r="E154" s="23" t="s">
        <v>541</v>
      </c>
      <c r="F154" s="23" t="str">
        <f t="shared" si="4"/>
        <v>rtdc.l.rtdc.4025:itc</v>
      </c>
      <c r="G154" s="8">
        <f t="shared" si="5"/>
        <v>42652.737662037034</v>
      </c>
    </row>
    <row r="155" spans="1:7" x14ac:dyDescent="0.25">
      <c r="A155" s="8">
        <v>42652.741689814815</v>
      </c>
      <c r="B155" s="23" t="s">
        <v>231</v>
      </c>
      <c r="C155" s="23" t="s">
        <v>548</v>
      </c>
      <c r="D155" s="23">
        <v>2350000</v>
      </c>
      <c r="E155" s="23" t="s">
        <v>549</v>
      </c>
      <c r="F155" s="23" t="str">
        <f t="shared" si="4"/>
        <v>rtdc.l.rtdc.4032:itc</v>
      </c>
      <c r="G155" s="8">
        <f t="shared" si="5"/>
        <v>42652.741689814815</v>
      </c>
    </row>
    <row r="156" spans="1:7" x14ac:dyDescent="0.25">
      <c r="A156" s="8">
        <v>42652.743159722224</v>
      </c>
      <c r="B156" s="23" t="s">
        <v>217</v>
      </c>
      <c r="C156" s="23" t="s">
        <v>550</v>
      </c>
      <c r="D156" s="23">
        <v>2040000</v>
      </c>
      <c r="E156" s="23" t="s">
        <v>262</v>
      </c>
      <c r="F156" s="23" t="str">
        <f t="shared" si="4"/>
        <v>rtdc.l.rtdc.4017:itc</v>
      </c>
      <c r="G156" s="8">
        <f t="shared" si="5"/>
        <v>42652.743159722224</v>
      </c>
    </row>
    <row r="157" spans="1:7" x14ac:dyDescent="0.25">
      <c r="A157" s="8">
        <v>42652.745185185187</v>
      </c>
      <c r="B157" s="23" t="s">
        <v>354</v>
      </c>
      <c r="C157" s="23" t="s">
        <v>551</v>
      </c>
      <c r="D157" s="23">
        <v>2020000</v>
      </c>
      <c r="E157" s="23" t="s">
        <v>274</v>
      </c>
      <c r="F157" s="23" t="str">
        <f t="shared" si="4"/>
        <v>rtdc.l.rtdc.4040:itc</v>
      </c>
      <c r="G157" s="8">
        <f t="shared" si="5"/>
        <v>42652.745185185187</v>
      </c>
    </row>
    <row r="158" spans="1:7" x14ac:dyDescent="0.25">
      <c r="A158" s="8">
        <v>42652.749178240738</v>
      </c>
      <c r="B158" s="23" t="s">
        <v>230</v>
      </c>
      <c r="C158" s="23" t="s">
        <v>552</v>
      </c>
      <c r="D158" s="23">
        <v>1800000</v>
      </c>
      <c r="E158" s="23" t="s">
        <v>344</v>
      </c>
      <c r="F158" s="23" t="str">
        <f t="shared" si="4"/>
        <v>rtdc.l.rtdc.4010:itc</v>
      </c>
      <c r="G158" s="8">
        <f t="shared" si="5"/>
        <v>42652.749178240738</v>
      </c>
    </row>
    <row r="159" spans="1:7" x14ac:dyDescent="0.25">
      <c r="A159" s="8">
        <v>42652.750347222223</v>
      </c>
      <c r="B159" s="23" t="s">
        <v>334</v>
      </c>
      <c r="C159" s="23" t="s">
        <v>553</v>
      </c>
      <c r="D159" s="23">
        <v>880000</v>
      </c>
      <c r="E159" s="23" t="s">
        <v>340</v>
      </c>
      <c r="F159" s="23" t="str">
        <f t="shared" si="4"/>
        <v>rtdc.l.rtdc.4020:itc</v>
      </c>
      <c r="G159" s="8">
        <f t="shared" si="5"/>
        <v>42652.750347222223</v>
      </c>
    </row>
    <row r="160" spans="1:7" x14ac:dyDescent="0.25">
      <c r="A160" s="8">
        <v>42652.751250000001</v>
      </c>
      <c r="B160" s="23" t="s">
        <v>249</v>
      </c>
      <c r="C160" s="23" t="s">
        <v>554</v>
      </c>
      <c r="D160" s="23">
        <v>1180000</v>
      </c>
      <c r="E160" s="23" t="s">
        <v>220</v>
      </c>
      <c r="F160" s="23" t="str">
        <f t="shared" si="4"/>
        <v>rtdc.l.rtdc.4001:itc</v>
      </c>
      <c r="G160" s="8">
        <f t="shared" si="5"/>
        <v>42652.751250000001</v>
      </c>
    </row>
    <row r="161" spans="1:7" x14ac:dyDescent="0.25">
      <c r="A161" s="8">
        <v>42652.751458333332</v>
      </c>
      <c r="B161" s="23" t="s">
        <v>239</v>
      </c>
      <c r="C161" s="23" t="s">
        <v>555</v>
      </c>
      <c r="D161" s="23">
        <v>2250000</v>
      </c>
      <c r="E161" s="23" t="s">
        <v>506</v>
      </c>
      <c r="F161" s="23" t="str">
        <f t="shared" si="4"/>
        <v>rtdc.l.rtdc.4003:itc</v>
      </c>
      <c r="G161" s="8">
        <f t="shared" si="5"/>
        <v>42652.751458333332</v>
      </c>
    </row>
    <row r="162" spans="1:7" x14ac:dyDescent="0.25">
      <c r="A162" s="8">
        <v>42652.753287037034</v>
      </c>
      <c r="B162" s="23" t="s">
        <v>230</v>
      </c>
      <c r="C162" s="23" t="s">
        <v>552</v>
      </c>
      <c r="D162" s="23">
        <v>1800000</v>
      </c>
      <c r="E162" s="23" t="s">
        <v>344</v>
      </c>
      <c r="F162" s="23" t="str">
        <f t="shared" si="4"/>
        <v>rtdc.l.rtdc.4010:itc</v>
      </c>
      <c r="G162" s="8">
        <f t="shared" si="5"/>
        <v>42652.753287037034</v>
      </c>
    </row>
    <row r="163" spans="1:7" x14ac:dyDescent="0.25">
      <c r="A163" s="8">
        <v>42652.756701388891</v>
      </c>
      <c r="B163" s="23" t="s">
        <v>342</v>
      </c>
      <c r="C163" s="23" t="s">
        <v>556</v>
      </c>
      <c r="D163" s="23">
        <v>1810000</v>
      </c>
      <c r="E163" s="23" t="s">
        <v>275</v>
      </c>
      <c r="F163" s="23" t="str">
        <f t="shared" si="4"/>
        <v>rtdc.l.rtdc.4014:itc</v>
      </c>
      <c r="G163" s="8">
        <f t="shared" si="5"/>
        <v>42652.756701388891</v>
      </c>
    </row>
    <row r="164" spans="1:7" x14ac:dyDescent="0.25">
      <c r="A164" s="8">
        <v>42652.762048611112</v>
      </c>
      <c r="B164" s="23" t="s">
        <v>251</v>
      </c>
      <c r="C164" s="23" t="s">
        <v>557</v>
      </c>
      <c r="D164" s="23">
        <v>1140000</v>
      </c>
      <c r="E164" s="23" t="s">
        <v>263</v>
      </c>
      <c r="F164" s="23" t="str">
        <f t="shared" si="4"/>
        <v>rtdc.l.rtdc.4008:itc</v>
      </c>
      <c r="G164" s="8">
        <f t="shared" si="5"/>
        <v>42652.762048611112</v>
      </c>
    </row>
    <row r="165" spans="1:7" x14ac:dyDescent="0.25">
      <c r="A165" s="8">
        <v>42652.768680555557</v>
      </c>
      <c r="B165" s="23" t="s">
        <v>350</v>
      </c>
      <c r="C165" s="23" t="s">
        <v>558</v>
      </c>
      <c r="D165" s="23">
        <v>1800000</v>
      </c>
      <c r="E165" s="23" t="s">
        <v>344</v>
      </c>
      <c r="F165" s="23" t="str">
        <f t="shared" si="4"/>
        <v>rtdc.l.rtdc.4027:itc</v>
      </c>
      <c r="G165" s="8">
        <f t="shared" si="5"/>
        <v>42652.768680555557</v>
      </c>
    </row>
    <row r="166" spans="1:7" x14ac:dyDescent="0.25">
      <c r="A166" s="8">
        <v>42652.771053240744</v>
      </c>
      <c r="B166" s="23" t="s">
        <v>234</v>
      </c>
      <c r="C166" s="23" t="s">
        <v>559</v>
      </c>
      <c r="D166" s="23">
        <v>1770000</v>
      </c>
      <c r="E166" s="23" t="s">
        <v>480</v>
      </c>
      <c r="F166" s="23" t="str">
        <f t="shared" si="4"/>
        <v>rtdc.l.rtdc.4009:itc</v>
      </c>
      <c r="G166" s="8">
        <f t="shared" si="5"/>
        <v>42652.771053240744</v>
      </c>
    </row>
    <row r="167" spans="1:7" x14ac:dyDescent="0.25">
      <c r="A167" s="8">
        <v>42652.772002314814</v>
      </c>
      <c r="B167" s="23" t="s">
        <v>166</v>
      </c>
      <c r="C167" s="23" t="s">
        <v>560</v>
      </c>
      <c r="D167" s="23">
        <v>1290000</v>
      </c>
      <c r="E167" s="23" t="s">
        <v>541</v>
      </c>
      <c r="F167" s="23" t="str">
        <f t="shared" si="4"/>
        <v>rtdc.l.rtdc.4026:itc</v>
      </c>
      <c r="G167" s="8">
        <f t="shared" si="5"/>
        <v>42652.772002314814</v>
      </c>
    </row>
    <row r="168" spans="1:7" x14ac:dyDescent="0.25">
      <c r="A168" s="8">
        <v>42652.772337962961</v>
      </c>
      <c r="B168" s="23" t="s">
        <v>335</v>
      </c>
      <c r="C168" s="23" t="s">
        <v>561</v>
      </c>
      <c r="D168" s="23">
        <v>2230000</v>
      </c>
      <c r="E168" s="23" t="s">
        <v>562</v>
      </c>
      <c r="F168" s="23" t="str">
        <f t="shared" si="4"/>
        <v>rtdc.l.rtdc.4019:itc</v>
      </c>
      <c r="G168" s="8">
        <f t="shared" si="5"/>
        <v>42652.772337962961</v>
      </c>
    </row>
    <row r="169" spans="1:7" x14ac:dyDescent="0.25">
      <c r="A169" s="8">
        <v>42652.773159722223</v>
      </c>
      <c r="B169" s="23" t="s">
        <v>335</v>
      </c>
      <c r="C169" s="23" t="s">
        <v>561</v>
      </c>
      <c r="D169" s="23">
        <v>2230000</v>
      </c>
      <c r="E169" s="23" t="s">
        <v>562</v>
      </c>
      <c r="F169" s="23" t="str">
        <f t="shared" si="4"/>
        <v>rtdc.l.rtdc.4019:itc</v>
      </c>
      <c r="G169" s="8">
        <f t="shared" si="5"/>
        <v>42652.773159722223</v>
      </c>
    </row>
    <row r="170" spans="1:7" x14ac:dyDescent="0.25">
      <c r="A170" s="8">
        <v>42652.777141203704</v>
      </c>
      <c r="B170" s="23" t="s">
        <v>240</v>
      </c>
      <c r="C170" s="23" t="s">
        <v>563</v>
      </c>
      <c r="D170" s="23">
        <v>2250000</v>
      </c>
      <c r="E170" s="23" t="s">
        <v>506</v>
      </c>
      <c r="F170" s="23" t="str">
        <f t="shared" si="4"/>
        <v>rtdc.l.rtdc.4004:itc</v>
      </c>
      <c r="G170" s="8">
        <f t="shared" si="5"/>
        <v>42652.777141203704</v>
      </c>
    </row>
    <row r="171" spans="1:7" x14ac:dyDescent="0.25">
      <c r="A171" s="8">
        <v>42652.778877314813</v>
      </c>
      <c r="B171" s="23" t="s">
        <v>218</v>
      </c>
      <c r="C171" s="23" t="s">
        <v>564</v>
      </c>
      <c r="D171" s="23">
        <v>2270000</v>
      </c>
      <c r="E171" s="23" t="s">
        <v>353</v>
      </c>
      <c r="F171" s="23" t="str">
        <f t="shared" si="4"/>
        <v>rtdc.l.rtdc.4018:itc</v>
      </c>
      <c r="G171" s="8">
        <f t="shared" si="5"/>
        <v>42652.778877314813</v>
      </c>
    </row>
    <row r="172" spans="1:7" x14ac:dyDescent="0.25">
      <c r="A172" s="8">
        <v>42652.779490740744</v>
      </c>
      <c r="B172" s="23" t="s">
        <v>335</v>
      </c>
      <c r="C172" s="23" t="s">
        <v>561</v>
      </c>
      <c r="D172" s="23">
        <v>2230000</v>
      </c>
      <c r="E172" s="23" t="s">
        <v>562</v>
      </c>
      <c r="F172" s="23" t="str">
        <f t="shared" si="4"/>
        <v>rtdc.l.rtdc.4019:itc</v>
      </c>
      <c r="G172" s="8">
        <f t="shared" si="5"/>
        <v>42652.779490740744</v>
      </c>
    </row>
    <row r="173" spans="1:7" x14ac:dyDescent="0.25">
      <c r="A173" s="8">
        <v>42652.784733796296</v>
      </c>
      <c r="B173" s="23" t="s">
        <v>402</v>
      </c>
      <c r="C173" s="23" t="s">
        <v>565</v>
      </c>
      <c r="D173" s="23">
        <v>2020000</v>
      </c>
      <c r="E173" s="23" t="s">
        <v>274</v>
      </c>
      <c r="F173" s="23" t="str">
        <f t="shared" si="4"/>
        <v>rtdc.l.rtdc.4039:itc</v>
      </c>
      <c r="G173" s="8">
        <f t="shared" si="5"/>
        <v>42652.784733796296</v>
      </c>
    </row>
    <row r="174" spans="1:7" x14ac:dyDescent="0.25">
      <c r="A174" s="8">
        <v>42652.788078703707</v>
      </c>
      <c r="B174" s="23" t="s">
        <v>250</v>
      </c>
      <c r="C174" s="23" t="s">
        <v>566</v>
      </c>
      <c r="D174" s="23">
        <v>1180000</v>
      </c>
      <c r="E174" s="23" t="s">
        <v>220</v>
      </c>
      <c r="F174" s="23" t="str">
        <f t="shared" si="4"/>
        <v>rtdc.l.rtdc.4002:itc</v>
      </c>
      <c r="G174" s="8">
        <f t="shared" si="5"/>
        <v>42652.788078703707</v>
      </c>
    </row>
    <row r="175" spans="1:7" x14ac:dyDescent="0.25">
      <c r="A175" s="8">
        <v>42652.791655092595</v>
      </c>
      <c r="B175" s="23" t="s">
        <v>336</v>
      </c>
      <c r="C175" s="23" t="s">
        <v>567</v>
      </c>
      <c r="D175" s="23">
        <v>1810000</v>
      </c>
      <c r="E175" s="23" t="s">
        <v>275</v>
      </c>
      <c r="F175" s="23" t="str">
        <f t="shared" si="4"/>
        <v>rtdc.l.rtdc.4013:itc</v>
      </c>
      <c r="G175" s="8">
        <f t="shared" si="5"/>
        <v>42652.791655092595</v>
      </c>
    </row>
    <row r="176" spans="1:7" x14ac:dyDescent="0.25">
      <c r="A176" s="8">
        <v>42652.797256944446</v>
      </c>
      <c r="B176" s="23" t="s">
        <v>239</v>
      </c>
      <c r="C176" s="23" t="s">
        <v>568</v>
      </c>
      <c r="D176" s="23">
        <v>2250000</v>
      </c>
      <c r="E176" s="23" t="s">
        <v>506</v>
      </c>
      <c r="F176" s="23" t="str">
        <f t="shared" si="4"/>
        <v>rtdc.l.rtdc.4003:itc</v>
      </c>
      <c r="G176" s="8">
        <f t="shared" si="5"/>
        <v>42652.797256944446</v>
      </c>
    </row>
    <row r="177" spans="1:7" x14ac:dyDescent="0.25">
      <c r="A177" s="8">
        <v>42652.800775462965</v>
      </c>
      <c r="B177" s="23" t="s">
        <v>253</v>
      </c>
      <c r="C177" s="23" t="s">
        <v>569</v>
      </c>
      <c r="D177" s="23">
        <v>2230000</v>
      </c>
      <c r="E177" s="23" t="s">
        <v>562</v>
      </c>
      <c r="F177" s="23" t="str">
        <f t="shared" si="4"/>
        <v>rtdc.l.rtdc.4007:itc</v>
      </c>
      <c r="G177" s="8">
        <f t="shared" si="5"/>
        <v>42652.800775462965</v>
      </c>
    </row>
    <row r="178" spans="1:7" x14ac:dyDescent="0.25">
      <c r="A178" s="8">
        <v>42652.805381944447</v>
      </c>
      <c r="B178" s="23" t="s">
        <v>334</v>
      </c>
      <c r="C178" s="23" t="s">
        <v>570</v>
      </c>
      <c r="D178" s="23">
        <v>1140000</v>
      </c>
      <c r="E178" s="23" t="s">
        <v>263</v>
      </c>
      <c r="F178" s="23" t="str">
        <f t="shared" si="4"/>
        <v>rtdc.l.rtdc.4020:itc</v>
      </c>
      <c r="G178" s="8">
        <f t="shared" si="5"/>
        <v>42652.805381944447</v>
      </c>
    </row>
    <row r="179" spans="1:7" x14ac:dyDescent="0.25">
      <c r="A179" s="8">
        <v>42652.808391203704</v>
      </c>
      <c r="B179" s="23" t="s">
        <v>165</v>
      </c>
      <c r="C179" s="23" t="s">
        <v>571</v>
      </c>
      <c r="D179" s="23">
        <v>1290000</v>
      </c>
      <c r="E179" s="23" t="s">
        <v>541</v>
      </c>
      <c r="F179" s="23" t="str">
        <f t="shared" si="4"/>
        <v>rtdc.l.rtdc.4025:itc</v>
      </c>
      <c r="G179" s="8">
        <f t="shared" si="5"/>
        <v>42652.808391203704</v>
      </c>
    </row>
    <row r="180" spans="1:7" x14ac:dyDescent="0.25">
      <c r="A180" s="8">
        <v>42652.808877314812</v>
      </c>
      <c r="B180" s="23" t="s">
        <v>346</v>
      </c>
      <c r="C180" s="23" t="s">
        <v>572</v>
      </c>
      <c r="D180" s="23">
        <v>1800000</v>
      </c>
      <c r="E180" s="23" t="s">
        <v>344</v>
      </c>
      <c r="F180" s="23" t="str">
        <f t="shared" si="4"/>
        <v>rtdc.l.rtdc.4028:itc</v>
      </c>
      <c r="G180" s="8">
        <f t="shared" si="5"/>
        <v>42652.808877314812</v>
      </c>
    </row>
    <row r="181" spans="1:7" x14ac:dyDescent="0.25">
      <c r="A181" s="8">
        <v>42652.818298611113</v>
      </c>
      <c r="B181" s="23" t="s">
        <v>217</v>
      </c>
      <c r="C181" s="23" t="s">
        <v>573</v>
      </c>
      <c r="D181" s="23">
        <v>2270000</v>
      </c>
      <c r="E181" s="23" t="s">
        <v>353</v>
      </c>
      <c r="F181" s="23" t="str">
        <f t="shared" si="4"/>
        <v>rtdc.l.rtdc.4017:itc</v>
      </c>
      <c r="G181" s="8">
        <f t="shared" si="5"/>
        <v>42652.818298611113</v>
      </c>
    </row>
    <row r="182" spans="1:7" x14ac:dyDescent="0.25">
      <c r="A182" s="8">
        <v>42652.81962962963</v>
      </c>
      <c r="B182" s="23" t="s">
        <v>240</v>
      </c>
      <c r="C182" s="23" t="s">
        <v>574</v>
      </c>
      <c r="D182" s="23">
        <v>2250000</v>
      </c>
      <c r="E182" s="23" t="s">
        <v>506</v>
      </c>
      <c r="F182" s="23" t="str">
        <f t="shared" si="4"/>
        <v>rtdc.l.rtdc.4004:itc</v>
      </c>
      <c r="G182" s="8">
        <f t="shared" si="5"/>
        <v>42652.81962962963</v>
      </c>
    </row>
    <row r="183" spans="1:7" x14ac:dyDescent="0.25">
      <c r="A183" s="8">
        <v>42652.821863425925</v>
      </c>
      <c r="B183" s="23" t="s">
        <v>354</v>
      </c>
      <c r="C183" s="23" t="s">
        <v>575</v>
      </c>
      <c r="D183" s="23">
        <v>120000</v>
      </c>
      <c r="E183" s="23" t="s">
        <v>576</v>
      </c>
      <c r="F183" s="23" t="str">
        <f t="shared" si="4"/>
        <v>rtdc.l.rtdc.4040:itc</v>
      </c>
      <c r="G183" s="8">
        <f t="shared" si="5"/>
        <v>42652.821863425925</v>
      </c>
    </row>
    <row r="184" spans="1:7" x14ac:dyDescent="0.25">
      <c r="A184" s="8">
        <v>42652.823761574073</v>
      </c>
      <c r="B184" s="23" t="s">
        <v>249</v>
      </c>
      <c r="C184" s="23" t="s">
        <v>577</v>
      </c>
      <c r="D184" s="23">
        <v>1180000</v>
      </c>
      <c r="E184" s="23" t="s">
        <v>220</v>
      </c>
      <c r="F184" s="23" t="str">
        <f t="shared" si="4"/>
        <v>rtdc.l.rtdc.4001:itc</v>
      </c>
      <c r="G184" s="8">
        <f t="shared" si="5"/>
        <v>42652.823761574073</v>
      </c>
    </row>
    <row r="185" spans="1:7" x14ac:dyDescent="0.25">
      <c r="A185" s="8">
        <v>42652.827719907407</v>
      </c>
      <c r="B185" s="23" t="s">
        <v>342</v>
      </c>
      <c r="C185" s="23" t="s">
        <v>578</v>
      </c>
      <c r="D185" s="23">
        <v>1810000</v>
      </c>
      <c r="E185" s="23" t="s">
        <v>275</v>
      </c>
      <c r="F185" s="23" t="str">
        <f t="shared" si="4"/>
        <v>rtdc.l.rtdc.4014:itc</v>
      </c>
      <c r="G185" s="8">
        <f t="shared" si="5"/>
        <v>42652.827719907407</v>
      </c>
    </row>
    <row r="186" spans="1:7" x14ac:dyDescent="0.25">
      <c r="A186" s="8">
        <v>42652.832546296297</v>
      </c>
      <c r="B186" s="23" t="s">
        <v>239</v>
      </c>
      <c r="C186" s="23" t="s">
        <v>579</v>
      </c>
      <c r="D186" s="23">
        <v>2250000</v>
      </c>
      <c r="E186" s="23" t="s">
        <v>506</v>
      </c>
      <c r="F186" s="23" t="str">
        <f t="shared" si="4"/>
        <v>rtdc.l.rtdc.4003:itc</v>
      </c>
      <c r="G186" s="8">
        <f t="shared" si="5"/>
        <v>42652.832546296297</v>
      </c>
    </row>
    <row r="187" spans="1:7" x14ac:dyDescent="0.25">
      <c r="A187" s="8">
        <v>42652.8362037037</v>
      </c>
      <c r="B187" s="23" t="s">
        <v>251</v>
      </c>
      <c r="C187" s="23" t="s">
        <v>580</v>
      </c>
      <c r="D187" s="23">
        <v>2230000</v>
      </c>
      <c r="E187" s="23" t="s">
        <v>562</v>
      </c>
      <c r="F187" s="23" t="str">
        <f t="shared" si="4"/>
        <v>rtdc.l.rtdc.4008:itc</v>
      </c>
      <c r="G187" s="8">
        <f t="shared" si="5"/>
        <v>42652.8362037037</v>
      </c>
    </row>
    <row r="188" spans="1:7" x14ac:dyDescent="0.25">
      <c r="A188" s="8">
        <v>42652.838553240741</v>
      </c>
      <c r="B188" s="23" t="s">
        <v>342</v>
      </c>
      <c r="C188" s="23" t="s">
        <v>578</v>
      </c>
      <c r="D188" s="23">
        <v>1810000</v>
      </c>
      <c r="E188" s="23" t="s">
        <v>275</v>
      </c>
      <c r="F188" s="23" t="str">
        <f t="shared" si="4"/>
        <v>rtdc.l.rtdc.4014:itc</v>
      </c>
      <c r="G188" s="8">
        <f t="shared" si="5"/>
        <v>42652.838553240741</v>
      </c>
    </row>
    <row r="189" spans="1:7" x14ac:dyDescent="0.25">
      <c r="A189" s="8">
        <v>42652.848506944443</v>
      </c>
      <c r="B189" s="23" t="s">
        <v>166</v>
      </c>
      <c r="C189" s="23" t="s">
        <v>581</v>
      </c>
      <c r="D189" s="23">
        <v>1290000</v>
      </c>
      <c r="E189" s="23" t="s">
        <v>541</v>
      </c>
      <c r="F189" s="23" t="str">
        <f t="shared" si="4"/>
        <v>rtdc.l.rtdc.4026:itc</v>
      </c>
      <c r="G189" s="8">
        <f t="shared" si="5"/>
        <v>42652.848506944443</v>
      </c>
    </row>
    <row r="190" spans="1:7" x14ac:dyDescent="0.25">
      <c r="A190" s="8">
        <v>42652.850648148145</v>
      </c>
      <c r="B190" s="23" t="s">
        <v>218</v>
      </c>
      <c r="C190" s="23" t="s">
        <v>582</v>
      </c>
      <c r="D190" s="23">
        <v>2270000</v>
      </c>
      <c r="E190" s="23" t="s">
        <v>353</v>
      </c>
      <c r="F190" s="23" t="str">
        <f t="shared" si="4"/>
        <v>rtdc.l.rtdc.4018:itc</v>
      </c>
      <c r="G190" s="8">
        <f t="shared" si="5"/>
        <v>42652.850648148145</v>
      </c>
    </row>
    <row r="191" spans="1:7" x14ac:dyDescent="0.25">
      <c r="A191" s="8">
        <v>42652.852326388886</v>
      </c>
      <c r="B191" s="23" t="s">
        <v>350</v>
      </c>
      <c r="C191" s="23" t="s">
        <v>583</v>
      </c>
      <c r="D191" s="23">
        <v>1800000</v>
      </c>
      <c r="E191" s="23" t="s">
        <v>344</v>
      </c>
      <c r="F191" s="23" t="str">
        <f t="shared" si="4"/>
        <v>rtdc.l.rtdc.4027:itc</v>
      </c>
      <c r="G191" s="8">
        <f t="shared" si="5"/>
        <v>42652.852326388886</v>
      </c>
    </row>
    <row r="192" spans="1:7" x14ac:dyDescent="0.25">
      <c r="A192" s="8">
        <v>42652.857581018521</v>
      </c>
      <c r="B192" s="23" t="s">
        <v>402</v>
      </c>
      <c r="C192" s="23" t="s">
        <v>584</v>
      </c>
      <c r="D192" s="23">
        <v>120000</v>
      </c>
      <c r="E192" s="23" t="s">
        <v>576</v>
      </c>
      <c r="F192" s="23" t="str">
        <f t="shared" si="4"/>
        <v>rtdc.l.rtdc.4039:itc</v>
      </c>
      <c r="G192" s="8">
        <f t="shared" si="5"/>
        <v>42652.857581018521</v>
      </c>
    </row>
    <row r="193" spans="1:7" x14ac:dyDescent="0.25">
      <c r="A193" s="8">
        <v>42652.860081018516</v>
      </c>
      <c r="B193" s="23" t="s">
        <v>240</v>
      </c>
      <c r="C193" s="23" t="s">
        <v>585</v>
      </c>
      <c r="D193" s="23">
        <v>2250000</v>
      </c>
      <c r="E193" s="23" t="s">
        <v>506</v>
      </c>
      <c r="F193" s="23" t="str">
        <f t="shared" si="4"/>
        <v>rtdc.l.rtdc.4004:itc</v>
      </c>
      <c r="G193" s="8">
        <f t="shared" si="5"/>
        <v>42652.860081018516</v>
      </c>
    </row>
    <row r="194" spans="1:7" x14ac:dyDescent="0.25">
      <c r="A194" s="8">
        <v>42652.86341435185</v>
      </c>
      <c r="B194" s="23" t="s">
        <v>336</v>
      </c>
      <c r="C194" s="23" t="s">
        <v>586</v>
      </c>
      <c r="D194" s="23">
        <v>1810000</v>
      </c>
      <c r="E194" s="23" t="s">
        <v>275</v>
      </c>
      <c r="F194" s="23" t="str">
        <f t="shared" ref="F194:F235" si="6">B194</f>
        <v>rtdc.l.rtdc.4013:itc</v>
      </c>
      <c r="G194" s="8">
        <f t="shared" ref="G194:G235" si="7">A194</f>
        <v>42652.86341435185</v>
      </c>
    </row>
    <row r="195" spans="1:7" x14ac:dyDescent="0.25">
      <c r="A195" s="8">
        <v>42652.870520833334</v>
      </c>
      <c r="B195" s="23" t="s">
        <v>250</v>
      </c>
      <c r="C195" s="23" t="s">
        <v>587</v>
      </c>
      <c r="D195" s="23">
        <v>1180000</v>
      </c>
      <c r="E195" s="23" t="s">
        <v>220</v>
      </c>
      <c r="F195" s="23" t="str">
        <f t="shared" si="6"/>
        <v>rtdc.l.rtdc.4002:itc</v>
      </c>
      <c r="G195" s="8">
        <f t="shared" si="7"/>
        <v>42652.870520833334</v>
      </c>
    </row>
    <row r="196" spans="1:7" x14ac:dyDescent="0.25">
      <c r="A196" s="8">
        <v>42652.875740740739</v>
      </c>
      <c r="B196" s="23" t="s">
        <v>239</v>
      </c>
      <c r="C196" s="23" t="s">
        <v>588</v>
      </c>
      <c r="D196" s="23">
        <v>2250000</v>
      </c>
      <c r="E196" s="23" t="s">
        <v>506</v>
      </c>
      <c r="F196" s="23" t="str">
        <f t="shared" si="6"/>
        <v>rtdc.l.rtdc.4003:itc</v>
      </c>
      <c r="G196" s="8">
        <f t="shared" si="7"/>
        <v>42652.875740740739</v>
      </c>
    </row>
    <row r="197" spans="1:7" x14ac:dyDescent="0.25">
      <c r="A197" s="8">
        <v>42652.876736111109</v>
      </c>
      <c r="B197" s="23" t="s">
        <v>253</v>
      </c>
      <c r="C197" s="23" t="s">
        <v>589</v>
      </c>
      <c r="D197" s="23">
        <v>2230000</v>
      </c>
      <c r="E197" s="23" t="s">
        <v>562</v>
      </c>
      <c r="F197" s="23" t="str">
        <f t="shared" si="6"/>
        <v>rtdc.l.rtdc.4007:itc</v>
      </c>
      <c r="G197" s="8">
        <f t="shared" si="7"/>
        <v>42652.876736111109</v>
      </c>
    </row>
    <row r="198" spans="1:7" x14ac:dyDescent="0.25">
      <c r="A198" s="8">
        <v>42652.89298611111</v>
      </c>
      <c r="B198" s="23" t="s">
        <v>346</v>
      </c>
      <c r="C198" s="23" t="s">
        <v>590</v>
      </c>
      <c r="D198" s="23">
        <v>1800000</v>
      </c>
      <c r="E198" s="23" t="s">
        <v>344</v>
      </c>
      <c r="F198" s="23" t="str">
        <f t="shared" si="6"/>
        <v>rtdc.l.rtdc.4028:itc</v>
      </c>
      <c r="G198" s="8">
        <f t="shared" si="7"/>
        <v>42652.89298611111</v>
      </c>
    </row>
    <row r="199" spans="1:7" x14ac:dyDescent="0.25">
      <c r="A199" s="8">
        <v>42652.894131944442</v>
      </c>
      <c r="B199" s="23" t="s">
        <v>165</v>
      </c>
      <c r="C199" s="23" t="s">
        <v>591</v>
      </c>
      <c r="D199" s="23">
        <v>1290000</v>
      </c>
      <c r="E199" s="23" t="s">
        <v>541</v>
      </c>
      <c r="F199" s="23" t="str">
        <f t="shared" si="6"/>
        <v>rtdc.l.rtdc.4025:itc</v>
      </c>
      <c r="G199" s="8">
        <f t="shared" si="7"/>
        <v>42652.894131944442</v>
      </c>
    </row>
    <row r="200" spans="1:7" x14ac:dyDescent="0.25">
      <c r="A200" s="8">
        <v>42652.896736111114</v>
      </c>
      <c r="B200" s="23" t="s">
        <v>354</v>
      </c>
      <c r="C200" s="23" t="s">
        <v>592</v>
      </c>
      <c r="D200" s="23">
        <v>120000</v>
      </c>
      <c r="E200" s="23" t="s">
        <v>576</v>
      </c>
      <c r="F200" s="23" t="str">
        <f t="shared" si="6"/>
        <v>rtdc.l.rtdc.4040:itc</v>
      </c>
      <c r="G200" s="8">
        <f t="shared" si="7"/>
        <v>42652.896736111114</v>
      </c>
    </row>
    <row r="201" spans="1:7" x14ac:dyDescent="0.25">
      <c r="A201" s="8">
        <v>42652.901331018518</v>
      </c>
      <c r="B201" s="23" t="s">
        <v>342</v>
      </c>
      <c r="C201" s="23" t="s">
        <v>593</v>
      </c>
      <c r="D201" s="23">
        <v>1810000</v>
      </c>
      <c r="E201" s="23" t="s">
        <v>275</v>
      </c>
      <c r="F201" s="23" t="str">
        <f t="shared" si="6"/>
        <v>rtdc.l.rtdc.4014:itc</v>
      </c>
      <c r="G201" s="8">
        <f t="shared" si="7"/>
        <v>42652.901331018518</v>
      </c>
    </row>
    <row r="202" spans="1:7" x14ac:dyDescent="0.25">
      <c r="A202" s="29">
        <v>42652.901747685188</v>
      </c>
      <c r="B202" s="23" t="s">
        <v>240</v>
      </c>
      <c r="C202" s="23" t="s">
        <v>594</v>
      </c>
      <c r="D202" s="23">
        <v>2250000</v>
      </c>
      <c r="E202" s="23" t="s">
        <v>506</v>
      </c>
      <c r="F202" s="23" t="str">
        <f t="shared" si="6"/>
        <v>rtdc.l.rtdc.4004:itc</v>
      </c>
      <c r="G202" s="8">
        <f t="shared" si="7"/>
        <v>42652.901747685188</v>
      </c>
    </row>
    <row r="203" spans="1:7" x14ac:dyDescent="0.25">
      <c r="A203" s="8">
        <v>42652.907002314816</v>
      </c>
      <c r="B203" s="23" t="s">
        <v>249</v>
      </c>
      <c r="C203" s="23" t="s">
        <v>595</v>
      </c>
      <c r="D203" s="23">
        <v>1180000</v>
      </c>
      <c r="E203" s="23" t="s">
        <v>220</v>
      </c>
      <c r="F203" s="23" t="str">
        <f t="shared" si="6"/>
        <v>rtdc.l.rtdc.4001:itc</v>
      </c>
      <c r="G203" s="8">
        <f t="shared" si="7"/>
        <v>42652.907002314816</v>
      </c>
    </row>
    <row r="204" spans="1:7" x14ac:dyDescent="0.25">
      <c r="A204" s="8">
        <v>42652.920115740744</v>
      </c>
      <c r="B204" s="23" t="s">
        <v>239</v>
      </c>
      <c r="C204" s="23" t="s">
        <v>596</v>
      </c>
      <c r="D204" s="23">
        <v>2250000</v>
      </c>
      <c r="E204" s="23" t="s">
        <v>506</v>
      </c>
      <c r="F204" s="23" t="str">
        <f t="shared" si="6"/>
        <v>rtdc.l.rtdc.4003:itc</v>
      </c>
      <c r="G204" s="8">
        <f t="shared" si="7"/>
        <v>42652.920115740744</v>
      </c>
    </row>
    <row r="205" spans="1:7" x14ac:dyDescent="0.25">
      <c r="A205" s="8">
        <v>42652.931226851855</v>
      </c>
      <c r="B205" s="23" t="s">
        <v>166</v>
      </c>
      <c r="C205" s="23" t="s">
        <v>597</v>
      </c>
      <c r="D205" s="23">
        <v>1290000</v>
      </c>
      <c r="E205" s="23" t="s">
        <v>541</v>
      </c>
      <c r="F205" s="23" t="str">
        <f t="shared" si="6"/>
        <v>rtdc.l.rtdc.4026:itc</v>
      </c>
      <c r="G205" s="8">
        <f t="shared" si="7"/>
        <v>42652.931226851855</v>
      </c>
    </row>
    <row r="206" spans="1:7" x14ac:dyDescent="0.25">
      <c r="A206" s="8">
        <v>42652.9372337963</v>
      </c>
      <c r="B206" s="23" t="s">
        <v>350</v>
      </c>
      <c r="C206" s="23" t="s">
        <v>598</v>
      </c>
      <c r="D206" s="23">
        <v>1800000</v>
      </c>
      <c r="E206" s="23" t="s">
        <v>344</v>
      </c>
      <c r="F206" s="23" t="str">
        <f t="shared" si="6"/>
        <v>rtdc.l.rtdc.4027:itc</v>
      </c>
      <c r="G206" s="8">
        <f t="shared" si="7"/>
        <v>42652.9372337963</v>
      </c>
    </row>
    <row r="207" spans="1:7" x14ac:dyDescent="0.25">
      <c r="A207" s="8">
        <v>42652.943796296298</v>
      </c>
      <c r="B207" s="23" t="s">
        <v>240</v>
      </c>
      <c r="C207" s="23" t="s">
        <v>599</v>
      </c>
      <c r="D207" s="23">
        <v>2250000</v>
      </c>
      <c r="E207" s="23" t="s">
        <v>506</v>
      </c>
      <c r="F207" s="23" t="str">
        <f t="shared" si="6"/>
        <v>rtdc.l.rtdc.4004:itc</v>
      </c>
      <c r="G207" s="8">
        <f t="shared" si="7"/>
        <v>42652.943796296298</v>
      </c>
    </row>
    <row r="208" spans="1:7" x14ac:dyDescent="0.25">
      <c r="A208" s="8">
        <v>42652.951770833337</v>
      </c>
      <c r="B208" s="23" t="s">
        <v>336</v>
      </c>
      <c r="C208" s="23" t="s">
        <v>600</v>
      </c>
      <c r="D208" s="23">
        <v>1810000</v>
      </c>
      <c r="E208" s="23" t="s">
        <v>275</v>
      </c>
      <c r="F208" s="23" t="str">
        <f t="shared" si="6"/>
        <v>rtdc.l.rtdc.4013:itc</v>
      </c>
      <c r="G208" s="8">
        <f t="shared" si="7"/>
        <v>42652.951770833337</v>
      </c>
    </row>
    <row r="209" spans="1:7" x14ac:dyDescent="0.25">
      <c r="A209" s="8">
        <v>42652.952627314815</v>
      </c>
      <c r="B209" s="23" t="s">
        <v>250</v>
      </c>
      <c r="C209" s="23" t="s">
        <v>601</v>
      </c>
      <c r="D209" s="23">
        <v>1180000</v>
      </c>
      <c r="E209" s="23" t="s">
        <v>220</v>
      </c>
      <c r="F209" s="23" t="str">
        <f t="shared" si="6"/>
        <v>rtdc.l.rtdc.4002:itc</v>
      </c>
      <c r="G209" s="8">
        <f t="shared" si="7"/>
        <v>42652.952627314815</v>
      </c>
    </row>
    <row r="210" spans="1:7" x14ac:dyDescent="0.25">
      <c r="A210" s="8">
        <v>42652.975023148145</v>
      </c>
      <c r="B210" s="23" t="s">
        <v>165</v>
      </c>
      <c r="C210" s="23" t="s">
        <v>602</v>
      </c>
      <c r="D210" s="23">
        <v>1290000</v>
      </c>
      <c r="E210" s="23" t="s">
        <v>541</v>
      </c>
      <c r="F210" s="23" t="str">
        <f t="shared" si="6"/>
        <v>rtdc.l.rtdc.4025:itc</v>
      </c>
      <c r="G210" s="8">
        <f t="shared" si="7"/>
        <v>42652.975023148145</v>
      </c>
    </row>
    <row r="211" spans="1:7" x14ac:dyDescent="0.25">
      <c r="A211" s="8">
        <v>42652.975081018521</v>
      </c>
      <c r="B211" s="23" t="s">
        <v>346</v>
      </c>
      <c r="C211" s="23" t="s">
        <v>603</v>
      </c>
      <c r="D211" s="23">
        <v>1800000</v>
      </c>
      <c r="E211" s="23" t="s">
        <v>344</v>
      </c>
      <c r="F211" s="23" t="str">
        <f t="shared" si="6"/>
        <v>rtdc.l.rtdc.4028:itc</v>
      </c>
      <c r="G211" s="8">
        <f t="shared" si="7"/>
        <v>42652.975081018521</v>
      </c>
    </row>
    <row r="212" spans="1:7" x14ac:dyDescent="0.25">
      <c r="A212" s="8">
        <v>42652.983946759261</v>
      </c>
      <c r="B212" s="23" t="s">
        <v>342</v>
      </c>
      <c r="C212" s="23" t="s">
        <v>604</v>
      </c>
      <c r="D212" s="23">
        <v>1810000</v>
      </c>
      <c r="E212" s="23" t="s">
        <v>275</v>
      </c>
      <c r="F212" s="23" t="str">
        <f t="shared" si="6"/>
        <v>rtdc.l.rtdc.4014:itc</v>
      </c>
      <c r="G212" s="8">
        <f t="shared" si="7"/>
        <v>42652.983946759261</v>
      </c>
    </row>
    <row r="213" spans="1:7" x14ac:dyDescent="0.25">
      <c r="A213" s="8">
        <v>42652.993344907409</v>
      </c>
      <c r="B213" s="23" t="s">
        <v>249</v>
      </c>
      <c r="C213" s="23" t="s">
        <v>605</v>
      </c>
      <c r="D213" s="23">
        <v>1180000</v>
      </c>
      <c r="E213" s="23" t="s">
        <v>220</v>
      </c>
      <c r="F213" s="23" t="str">
        <f t="shared" si="6"/>
        <v>rtdc.l.rtdc.4001:itc</v>
      </c>
      <c r="G213" s="8">
        <f t="shared" si="7"/>
        <v>42652.993344907409</v>
      </c>
    </row>
    <row r="214" spans="1:7" x14ac:dyDescent="0.25">
      <c r="A214" s="8">
        <v>42653.014189814814</v>
      </c>
      <c r="B214" s="23" t="s">
        <v>166</v>
      </c>
      <c r="C214" s="23" t="s">
        <v>606</v>
      </c>
      <c r="D214" s="23">
        <v>1290000</v>
      </c>
      <c r="E214" s="23" t="s">
        <v>541</v>
      </c>
      <c r="F214" s="23" t="str">
        <f t="shared" si="6"/>
        <v>rtdc.l.rtdc.4026:itc</v>
      </c>
      <c r="G214" s="8">
        <f t="shared" si="7"/>
        <v>42653.014189814814</v>
      </c>
    </row>
    <row r="215" spans="1:7" x14ac:dyDescent="0.25">
      <c r="A215" s="8">
        <v>42653.016597222224</v>
      </c>
      <c r="B215" s="23" t="s">
        <v>167</v>
      </c>
      <c r="C215" s="23" t="s">
        <v>607</v>
      </c>
      <c r="D215" s="23">
        <v>1410000</v>
      </c>
      <c r="E215" s="23" t="s">
        <v>608</v>
      </c>
      <c r="F215" s="23" t="str">
        <f t="shared" si="6"/>
        <v>rtdc.l.rtdc.4051:itc</v>
      </c>
      <c r="G215" s="8">
        <f t="shared" si="7"/>
        <v>42653.016597222224</v>
      </c>
    </row>
    <row r="216" spans="1:7" x14ac:dyDescent="0.25">
      <c r="A216" s="8">
        <v>42653.019814814812</v>
      </c>
      <c r="B216" s="23" t="s">
        <v>350</v>
      </c>
      <c r="C216" s="23" t="s">
        <v>609</v>
      </c>
      <c r="D216" s="23">
        <v>1800000</v>
      </c>
      <c r="E216" s="23" t="s">
        <v>344</v>
      </c>
      <c r="F216" s="23" t="str">
        <f t="shared" si="6"/>
        <v>rtdc.l.rtdc.4027:itc</v>
      </c>
      <c r="G216" s="8">
        <f t="shared" si="7"/>
        <v>42653.019814814812</v>
      </c>
    </row>
    <row r="217" spans="1:7" x14ac:dyDescent="0.25">
      <c r="A217" s="8">
        <v>42653.022060185183</v>
      </c>
      <c r="B217" s="23" t="s">
        <v>167</v>
      </c>
      <c r="C217" s="23" t="s">
        <v>607</v>
      </c>
      <c r="D217" s="23">
        <v>1410000</v>
      </c>
      <c r="E217" s="23" t="s">
        <v>608</v>
      </c>
      <c r="F217" s="23" t="str">
        <f t="shared" si="6"/>
        <v>rtdc.l.rtdc.4051:itc</v>
      </c>
      <c r="G217" s="8">
        <f t="shared" si="7"/>
        <v>42653.022060185183</v>
      </c>
    </row>
    <row r="218" spans="1:7" x14ac:dyDescent="0.25">
      <c r="A218" s="8">
        <v>42653.02921296296</v>
      </c>
      <c r="B218" s="23" t="s">
        <v>250</v>
      </c>
      <c r="C218" s="23" t="s">
        <v>610</v>
      </c>
      <c r="D218" s="23">
        <v>1180000</v>
      </c>
      <c r="E218" s="23" t="s">
        <v>220</v>
      </c>
      <c r="F218" s="23" t="str">
        <f t="shared" si="6"/>
        <v>rtdc.l.rtdc.4002:itc</v>
      </c>
      <c r="G218" s="8">
        <f t="shared" si="7"/>
        <v>42653.02921296296</v>
      </c>
    </row>
    <row r="219" spans="1:7" x14ac:dyDescent="0.25">
      <c r="A219" s="8">
        <v>42653.030358796299</v>
      </c>
      <c r="B219" s="23" t="s">
        <v>336</v>
      </c>
      <c r="C219" s="23" t="s">
        <v>611</v>
      </c>
      <c r="D219" s="23">
        <v>1810000</v>
      </c>
      <c r="E219" s="23" t="s">
        <v>275</v>
      </c>
      <c r="F219" s="23" t="str">
        <f t="shared" si="6"/>
        <v>rtdc.l.rtdc.4013:itc</v>
      </c>
      <c r="G219" s="8">
        <f t="shared" si="7"/>
        <v>42653.030358796299</v>
      </c>
    </row>
    <row r="220" spans="1:7" x14ac:dyDescent="0.25">
      <c r="A220" s="8">
        <v>42653.046979166669</v>
      </c>
      <c r="B220" s="23" t="s">
        <v>165</v>
      </c>
      <c r="C220" s="23" t="s">
        <v>612</v>
      </c>
      <c r="D220" s="23">
        <v>1290000</v>
      </c>
      <c r="E220" s="23" t="s">
        <v>541</v>
      </c>
      <c r="F220" s="23" t="str">
        <f t="shared" si="6"/>
        <v>rtdc.l.rtdc.4025:itc</v>
      </c>
      <c r="G220" s="8">
        <f t="shared" si="7"/>
        <v>42653.046979166669</v>
      </c>
    </row>
    <row r="221" spans="1:7" x14ac:dyDescent="0.25">
      <c r="A221" s="8">
        <v>42653.047673611109</v>
      </c>
      <c r="B221" s="23" t="s">
        <v>165</v>
      </c>
      <c r="C221" s="23" t="s">
        <v>612</v>
      </c>
      <c r="D221" s="23">
        <v>1290000</v>
      </c>
      <c r="E221" s="23" t="s">
        <v>541</v>
      </c>
      <c r="F221" s="23" t="str">
        <f t="shared" si="6"/>
        <v>rtdc.l.rtdc.4025:itc</v>
      </c>
      <c r="G221" s="8">
        <f t="shared" si="7"/>
        <v>42653.047673611109</v>
      </c>
    </row>
    <row r="222" spans="1:7" x14ac:dyDescent="0.25">
      <c r="A222" s="8">
        <v>42653.048692129632</v>
      </c>
      <c r="B222" s="23" t="s">
        <v>165</v>
      </c>
      <c r="C222" s="23" t="s">
        <v>612</v>
      </c>
      <c r="D222" s="23">
        <v>1290000</v>
      </c>
      <c r="E222" s="23" t="s">
        <v>541</v>
      </c>
      <c r="F222" s="23" t="str">
        <f t="shared" si="6"/>
        <v>rtdc.l.rtdc.4025:itc</v>
      </c>
      <c r="G222" s="8">
        <f t="shared" si="7"/>
        <v>42653.048692129632</v>
      </c>
    </row>
    <row r="223" spans="1:7" x14ac:dyDescent="0.25">
      <c r="A223" s="8">
        <v>42653.050393518519</v>
      </c>
      <c r="B223" s="23" t="s">
        <v>168</v>
      </c>
      <c r="C223" s="23" t="s">
        <v>607</v>
      </c>
      <c r="D223" s="23">
        <v>0</v>
      </c>
      <c r="E223" s="23" t="s">
        <v>355</v>
      </c>
      <c r="F223" s="23" t="str">
        <f t="shared" si="6"/>
        <v>rtdc.l.rtdc.4052:itc</v>
      </c>
      <c r="G223" s="8">
        <f t="shared" si="7"/>
        <v>42653.050393518519</v>
      </c>
    </row>
    <row r="224" spans="1:7" x14ac:dyDescent="0.25">
      <c r="A224" s="8">
        <v>42653.05159722222</v>
      </c>
      <c r="B224" t="s">
        <v>168</v>
      </c>
      <c r="C224" t="s">
        <v>607</v>
      </c>
      <c r="D224">
        <v>1410000</v>
      </c>
      <c r="E224" t="s">
        <v>608</v>
      </c>
      <c r="F224" s="23" t="str">
        <f t="shared" si="6"/>
        <v>rtdc.l.rtdc.4052:itc</v>
      </c>
      <c r="G224" s="8">
        <f t="shared" si="7"/>
        <v>42653.05159722222</v>
      </c>
    </row>
    <row r="225" spans="1:7" x14ac:dyDescent="0.25">
      <c r="A225" s="8">
        <v>42653.059502314813</v>
      </c>
      <c r="B225" t="s">
        <v>346</v>
      </c>
      <c r="C225" t="s">
        <v>613</v>
      </c>
      <c r="D225">
        <v>1800000</v>
      </c>
      <c r="E225" t="s">
        <v>344</v>
      </c>
      <c r="F225" s="23" t="str">
        <f t="shared" si="6"/>
        <v>rtdc.l.rtdc.4028:itc</v>
      </c>
      <c r="G225" s="8">
        <f t="shared" si="7"/>
        <v>42653.059502314813</v>
      </c>
    </row>
    <row r="226" spans="1:7" x14ac:dyDescent="0.25">
      <c r="A226" s="8">
        <v>42653.068668981483</v>
      </c>
      <c r="B226" t="s">
        <v>342</v>
      </c>
      <c r="C226" t="s">
        <v>614</v>
      </c>
      <c r="D226">
        <v>1810000</v>
      </c>
      <c r="E226" t="s">
        <v>275</v>
      </c>
      <c r="F226" s="23" t="str">
        <f t="shared" si="6"/>
        <v>rtdc.l.rtdc.4014:itc</v>
      </c>
      <c r="G226" s="8">
        <f t="shared" si="7"/>
        <v>42653.068668981483</v>
      </c>
    </row>
    <row r="227" spans="1:7" x14ac:dyDescent="0.25">
      <c r="A227" s="8">
        <v>42653.070150462961</v>
      </c>
      <c r="B227" t="s">
        <v>167</v>
      </c>
      <c r="C227" t="s">
        <v>607</v>
      </c>
      <c r="D227">
        <v>1410000</v>
      </c>
      <c r="E227" t="s">
        <v>608</v>
      </c>
      <c r="F227" s="23" t="str">
        <f t="shared" si="6"/>
        <v>rtdc.l.rtdc.4051:itc</v>
      </c>
      <c r="G227" s="8">
        <f t="shared" si="7"/>
        <v>42653.070150462961</v>
      </c>
    </row>
    <row r="228" spans="1:7" x14ac:dyDescent="0.25">
      <c r="A228" s="8">
        <v>42653.070740740739</v>
      </c>
      <c r="B228" t="s">
        <v>342</v>
      </c>
      <c r="C228" t="s">
        <v>614</v>
      </c>
      <c r="D228">
        <v>1810000</v>
      </c>
      <c r="E228" t="s">
        <v>275</v>
      </c>
      <c r="F228" s="23" t="str">
        <f t="shared" si="6"/>
        <v>rtdc.l.rtdc.4014:itc</v>
      </c>
      <c r="G228" s="8">
        <f t="shared" si="7"/>
        <v>42653.070740740739</v>
      </c>
    </row>
    <row r="229" spans="1:7" x14ac:dyDescent="0.25">
      <c r="A229" s="8">
        <v>42653.071539351855</v>
      </c>
      <c r="B229" t="s">
        <v>167</v>
      </c>
      <c r="C229" t="s">
        <v>607</v>
      </c>
      <c r="D229">
        <v>1410000</v>
      </c>
      <c r="E229" t="s">
        <v>608</v>
      </c>
      <c r="F229" s="23" t="str">
        <f t="shared" si="6"/>
        <v>rtdc.l.rtdc.4051:itc</v>
      </c>
      <c r="G229" s="8">
        <f t="shared" si="7"/>
        <v>42653.071539351855</v>
      </c>
    </row>
    <row r="230" spans="1:7" x14ac:dyDescent="0.25">
      <c r="A230" s="8">
        <v>42653.084756944445</v>
      </c>
      <c r="B230" t="s">
        <v>168</v>
      </c>
      <c r="C230" t="s">
        <v>607</v>
      </c>
      <c r="D230">
        <v>1410000</v>
      </c>
      <c r="E230" t="s">
        <v>608</v>
      </c>
      <c r="F230" s="23" t="str">
        <f t="shared" si="6"/>
        <v>rtdc.l.rtdc.4052:itc</v>
      </c>
      <c r="G230" s="8">
        <f t="shared" si="7"/>
        <v>42653.084756944445</v>
      </c>
    </row>
    <row r="231" spans="1:7" x14ac:dyDescent="0.25">
      <c r="A231" s="8">
        <v>42653.08997685185</v>
      </c>
      <c r="B231" t="s">
        <v>350</v>
      </c>
      <c r="C231" t="s">
        <v>615</v>
      </c>
      <c r="D231">
        <v>1800000</v>
      </c>
      <c r="E231" t="s">
        <v>344</v>
      </c>
      <c r="F231" s="23" t="str">
        <f t="shared" si="6"/>
        <v>rtdc.l.rtdc.4027:itc</v>
      </c>
      <c r="G231" s="8">
        <f t="shared" si="7"/>
        <v>42653.08997685185</v>
      </c>
    </row>
    <row r="232" spans="1:7" x14ac:dyDescent="0.25">
      <c r="A232" s="8">
        <v>42653.098506944443</v>
      </c>
      <c r="B232" t="s">
        <v>167</v>
      </c>
      <c r="C232" t="s">
        <v>607</v>
      </c>
      <c r="D232">
        <v>1410000</v>
      </c>
      <c r="E232" t="s">
        <v>608</v>
      </c>
      <c r="F232" s="23" t="str">
        <f t="shared" si="6"/>
        <v>rtdc.l.rtdc.4051:itc</v>
      </c>
      <c r="G232" s="8">
        <f t="shared" si="7"/>
        <v>42653.098506944443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42650.929872685185</v>
      </c>
      <c r="B234" t="s">
        <v>240</v>
      </c>
      <c r="C234" t="s">
        <v>307</v>
      </c>
      <c r="D234">
        <v>140000</v>
      </c>
      <c r="E234" t="s">
        <v>263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334</v>
      </c>
      <c r="C235" t="s">
        <v>309</v>
      </c>
      <c r="D235">
        <v>1480000</v>
      </c>
      <c r="E235" t="s">
        <v>223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333</v>
      </c>
      <c r="D236">
        <v>1810000</v>
      </c>
      <c r="E236" t="s">
        <v>275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253</v>
      </c>
      <c r="C237" t="s">
        <v>311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273</v>
      </c>
      <c r="C238" t="s">
        <v>308</v>
      </c>
      <c r="D238">
        <v>1800000</v>
      </c>
      <c r="E238" t="s">
        <v>344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335</v>
      </c>
      <c r="C239" t="s">
        <v>310</v>
      </c>
      <c r="D239">
        <v>1480000</v>
      </c>
      <c r="E239" t="s">
        <v>223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239</v>
      </c>
      <c r="C240" t="s">
        <v>313</v>
      </c>
      <c r="D240">
        <v>140000</v>
      </c>
      <c r="E240" t="s">
        <v>263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251</v>
      </c>
      <c r="C241" t="s">
        <v>312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271</v>
      </c>
      <c r="C242" t="s">
        <v>315</v>
      </c>
      <c r="D242">
        <v>1800000</v>
      </c>
      <c r="E242" t="s">
        <v>344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327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240</v>
      </c>
      <c r="C244" t="s">
        <v>314</v>
      </c>
      <c r="D244">
        <v>140000</v>
      </c>
      <c r="E244" t="s">
        <v>263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327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334</v>
      </c>
      <c r="C246" t="s">
        <v>317</v>
      </c>
      <c r="D246">
        <v>1480000</v>
      </c>
      <c r="E246" t="s">
        <v>223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326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273</v>
      </c>
      <c r="C248" t="s">
        <v>316</v>
      </c>
      <c r="D248">
        <v>1800000</v>
      </c>
      <c r="E248" t="s">
        <v>344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253</v>
      </c>
      <c r="C249" t="s">
        <v>319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239</v>
      </c>
      <c r="C250" t="s">
        <v>321</v>
      </c>
      <c r="D250">
        <v>140000</v>
      </c>
      <c r="E250" t="s">
        <v>263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335</v>
      </c>
      <c r="C251" t="s">
        <v>318</v>
      </c>
      <c r="D251">
        <v>1480000</v>
      </c>
      <c r="E251" t="s">
        <v>223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327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271</v>
      </c>
      <c r="C253" t="s">
        <v>322</v>
      </c>
      <c r="D253">
        <v>1800000</v>
      </c>
      <c r="E253" t="s">
        <v>344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251</v>
      </c>
      <c r="C254" t="s">
        <v>320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327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327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325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334</v>
      </c>
      <c r="C258" t="s">
        <v>323</v>
      </c>
      <c r="D258">
        <v>1480000</v>
      </c>
      <c r="E258" t="s">
        <v>223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253</v>
      </c>
      <c r="C259" t="s">
        <v>324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253</v>
      </c>
      <c r="C261" t="s">
        <v>277</v>
      </c>
      <c r="D261">
        <v>1180000</v>
      </c>
      <c r="E261" t="s">
        <v>220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276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230</v>
      </c>
      <c r="C263" t="s">
        <v>278</v>
      </c>
      <c r="D263">
        <v>1480000</v>
      </c>
      <c r="E263" t="s">
        <v>223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252</v>
      </c>
      <c r="C264" t="s">
        <v>279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276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276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276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276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276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234</v>
      </c>
      <c r="C270" t="s">
        <v>280</v>
      </c>
      <c r="D270">
        <v>1480000</v>
      </c>
      <c r="E270" t="s">
        <v>223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276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276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276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34" sqref="I34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178</v>
      </c>
      <c r="B1" s="150" t="s">
        <v>181</v>
      </c>
      <c r="C1" s="150" t="s">
        <v>174</v>
      </c>
      <c r="D1" s="150" t="s">
        <v>199</v>
      </c>
      <c r="E1" s="150" t="s">
        <v>175</v>
      </c>
      <c r="F1" s="150" t="s">
        <v>173</v>
      </c>
      <c r="G1" s="150" t="s">
        <v>171</v>
      </c>
      <c r="H1" s="150" t="s">
        <v>184</v>
      </c>
      <c r="I1" s="150" t="s">
        <v>185</v>
      </c>
      <c r="J1" s="150" t="s">
        <v>179</v>
      </c>
      <c r="K1" s="150" t="s">
        <v>177</v>
      </c>
      <c r="L1" s="150" t="s">
        <v>172</v>
      </c>
      <c r="M1" s="150" t="s">
        <v>182</v>
      </c>
      <c r="N1" s="150" t="s">
        <v>176</v>
      </c>
      <c r="O1" s="150" t="s">
        <v>183</v>
      </c>
      <c r="P1" s="150" t="s">
        <v>180</v>
      </c>
      <c r="Q1" s="150"/>
    </row>
    <row r="2" spans="1:17" x14ac:dyDescent="0.25">
      <c r="A2" s="149">
        <v>51.06</v>
      </c>
      <c r="B2" s="149">
        <v>0.66</v>
      </c>
      <c r="C2" s="149">
        <v>29.4</v>
      </c>
      <c r="D2" s="164">
        <v>42652</v>
      </c>
      <c r="E2" s="149">
        <v>0.43</v>
      </c>
      <c r="F2" s="149" t="s">
        <v>761</v>
      </c>
      <c r="G2" s="149">
        <v>281.19</v>
      </c>
      <c r="H2" s="149">
        <v>0</v>
      </c>
      <c r="I2" s="149">
        <v>0</v>
      </c>
      <c r="J2" s="149">
        <v>1022.05</v>
      </c>
      <c r="K2" s="149" t="s">
        <v>762</v>
      </c>
      <c r="L2" s="149">
        <v>51.06</v>
      </c>
      <c r="M2" s="149">
        <v>1475992800</v>
      </c>
      <c r="N2" s="149">
        <v>1.24</v>
      </c>
      <c r="O2" s="149">
        <v>168</v>
      </c>
      <c r="P2" s="149">
        <v>2.4500000000000002</v>
      </c>
    </row>
    <row r="3" spans="1:17" x14ac:dyDescent="0.25">
      <c r="A3" s="149">
        <v>48.83</v>
      </c>
      <c r="B3" s="149">
        <v>0.5</v>
      </c>
      <c r="C3" s="149">
        <v>30.35</v>
      </c>
      <c r="D3" s="164">
        <v>42652.041666666664</v>
      </c>
      <c r="E3" s="149">
        <v>0.49</v>
      </c>
      <c r="F3" s="149" t="s">
        <v>761</v>
      </c>
      <c r="G3" s="149">
        <v>281.33999999999997</v>
      </c>
      <c r="H3" s="149">
        <v>0</v>
      </c>
      <c r="I3" s="149">
        <v>0</v>
      </c>
      <c r="J3" s="149">
        <v>1022.21</v>
      </c>
      <c r="K3" s="149" t="s">
        <v>762</v>
      </c>
      <c r="L3" s="149">
        <v>48.83</v>
      </c>
      <c r="M3" s="149">
        <v>1475996400</v>
      </c>
      <c r="N3" s="149">
        <v>1.24</v>
      </c>
      <c r="O3" s="149">
        <v>171</v>
      </c>
      <c r="P3" s="149">
        <v>2.62</v>
      </c>
    </row>
    <row r="4" spans="1:17" x14ac:dyDescent="0.25">
      <c r="A4" s="149">
        <v>46.62</v>
      </c>
      <c r="B4" s="149">
        <v>0.37</v>
      </c>
      <c r="C4" s="149">
        <v>29.08</v>
      </c>
      <c r="D4" s="164">
        <v>42652.083333333336</v>
      </c>
      <c r="E4" s="149">
        <v>0.5</v>
      </c>
      <c r="F4" s="149" t="s">
        <v>761</v>
      </c>
      <c r="G4" s="149">
        <v>281.49</v>
      </c>
      <c r="H4" s="149">
        <v>0</v>
      </c>
      <c r="I4" s="149">
        <v>0</v>
      </c>
      <c r="J4" s="149">
        <v>1022.35</v>
      </c>
      <c r="K4" s="149" t="s">
        <v>762</v>
      </c>
      <c r="L4" s="149">
        <v>46.62</v>
      </c>
      <c r="M4" s="149">
        <v>1476000000</v>
      </c>
      <c r="N4" s="149">
        <v>1.24</v>
      </c>
      <c r="O4" s="149">
        <v>178</v>
      </c>
      <c r="P4" s="149">
        <v>2.48</v>
      </c>
    </row>
    <row r="5" spans="1:17" x14ac:dyDescent="0.25">
      <c r="A5" s="149">
        <v>43.33</v>
      </c>
      <c r="B5" s="149">
        <v>0.25</v>
      </c>
      <c r="C5" s="149">
        <v>28.28</v>
      </c>
      <c r="D5" s="164">
        <v>42652.125</v>
      </c>
      <c r="E5" s="149">
        <v>0.52</v>
      </c>
      <c r="F5" s="149" t="s">
        <v>761</v>
      </c>
      <c r="G5" s="149">
        <v>281.64</v>
      </c>
      <c r="H5" s="149">
        <v>0</v>
      </c>
      <c r="I5" s="149">
        <v>0</v>
      </c>
      <c r="J5" s="149">
        <v>1022.48</v>
      </c>
      <c r="K5" s="149" t="s">
        <v>762</v>
      </c>
      <c r="L5" s="149">
        <v>44.82</v>
      </c>
      <c r="M5" s="149">
        <v>1476003600</v>
      </c>
      <c r="N5" s="149">
        <v>1.24</v>
      </c>
      <c r="O5" s="149">
        <v>225</v>
      </c>
      <c r="P5" s="149">
        <v>3.5</v>
      </c>
    </row>
    <row r="6" spans="1:17" x14ac:dyDescent="0.25">
      <c r="A6" s="149">
        <v>43.3</v>
      </c>
      <c r="B6" s="149">
        <v>0.19</v>
      </c>
      <c r="C6" s="149">
        <v>28.22</v>
      </c>
      <c r="D6" s="164">
        <v>42652.166666666664</v>
      </c>
      <c r="E6" s="149">
        <v>0.55000000000000004</v>
      </c>
      <c r="F6" s="149" t="s">
        <v>761</v>
      </c>
      <c r="G6" s="149">
        <v>281.63</v>
      </c>
      <c r="H6" s="149">
        <v>0</v>
      </c>
      <c r="I6" s="149">
        <v>0</v>
      </c>
      <c r="J6" s="149">
        <v>1022.31</v>
      </c>
      <c r="K6" s="149" t="s">
        <v>762</v>
      </c>
      <c r="L6" s="149">
        <v>43.3</v>
      </c>
      <c r="M6" s="149">
        <v>1476007200</v>
      </c>
      <c r="N6" s="149">
        <v>1.24</v>
      </c>
      <c r="O6" s="149">
        <v>232</v>
      </c>
      <c r="P6" s="149">
        <v>2.1800000000000002</v>
      </c>
    </row>
    <row r="7" spans="1:17" x14ac:dyDescent="0.25">
      <c r="A7" s="149">
        <v>42.44</v>
      </c>
      <c r="B7" s="149">
        <v>0.15</v>
      </c>
      <c r="C7" s="149">
        <v>28.45</v>
      </c>
      <c r="D7" s="164">
        <v>42652.208333333336</v>
      </c>
      <c r="E7" s="149">
        <v>0.56999999999999995</v>
      </c>
      <c r="F7" s="149" t="s">
        <v>761</v>
      </c>
      <c r="G7" s="149">
        <v>281.57</v>
      </c>
      <c r="H7" s="149">
        <v>0</v>
      </c>
      <c r="I7" s="149">
        <v>0</v>
      </c>
      <c r="J7" s="149">
        <v>1021.98</v>
      </c>
      <c r="K7" s="149" t="s">
        <v>762</v>
      </c>
      <c r="L7" s="149">
        <v>42.44</v>
      </c>
      <c r="M7" s="149">
        <v>1476010800</v>
      </c>
      <c r="N7" s="149">
        <v>1.24</v>
      </c>
      <c r="O7" s="149">
        <v>205</v>
      </c>
      <c r="P7" s="149">
        <v>1.1599999999999999</v>
      </c>
    </row>
    <row r="8" spans="1:17" x14ac:dyDescent="0.25">
      <c r="A8" s="149">
        <v>41.42</v>
      </c>
      <c r="B8" s="149">
        <v>0.14000000000000001</v>
      </c>
      <c r="C8" s="149">
        <v>28.8</v>
      </c>
      <c r="D8" s="164">
        <v>42652.25</v>
      </c>
      <c r="E8" s="149">
        <v>0.61</v>
      </c>
      <c r="F8" s="149" t="s">
        <v>761</v>
      </c>
      <c r="G8" s="149">
        <v>281.68</v>
      </c>
      <c r="H8" s="149">
        <v>0</v>
      </c>
      <c r="I8" s="149">
        <v>0</v>
      </c>
      <c r="J8" s="149">
        <v>1021.54</v>
      </c>
      <c r="K8" s="149" t="s">
        <v>762</v>
      </c>
      <c r="L8" s="149">
        <v>41.42</v>
      </c>
      <c r="M8" s="149">
        <v>1476014400</v>
      </c>
      <c r="N8" s="149">
        <v>1.24</v>
      </c>
      <c r="O8" s="149">
        <v>219</v>
      </c>
      <c r="P8" s="149">
        <v>1.05</v>
      </c>
    </row>
    <row r="9" spans="1:17" x14ac:dyDescent="0.25">
      <c r="A9" s="149">
        <v>42.2</v>
      </c>
      <c r="B9" s="149">
        <v>0.18</v>
      </c>
      <c r="C9" s="149">
        <v>30.71</v>
      </c>
      <c r="D9" s="164">
        <v>42652.291666666664</v>
      </c>
      <c r="E9" s="149">
        <v>0.63</v>
      </c>
      <c r="F9" s="149" t="s">
        <v>761</v>
      </c>
      <c r="G9" s="149">
        <v>282.11</v>
      </c>
      <c r="H9" s="149">
        <v>0</v>
      </c>
      <c r="I9" s="149">
        <v>0</v>
      </c>
      <c r="J9" s="149">
        <v>1020.95</v>
      </c>
      <c r="K9" s="149" t="s">
        <v>762</v>
      </c>
      <c r="L9" s="149">
        <v>42.2</v>
      </c>
      <c r="M9" s="149">
        <v>1476018000</v>
      </c>
      <c r="N9" s="149">
        <v>1.24</v>
      </c>
      <c r="O9" s="149">
        <v>202</v>
      </c>
      <c r="P9" s="149">
        <v>1.03</v>
      </c>
    </row>
    <row r="10" spans="1:17" x14ac:dyDescent="0.25">
      <c r="A10" s="149">
        <v>43.74</v>
      </c>
      <c r="B10" s="149">
        <v>0.25</v>
      </c>
      <c r="C10" s="149">
        <v>31.41</v>
      </c>
      <c r="D10" s="164">
        <v>42652.333333333336</v>
      </c>
      <c r="E10" s="149">
        <v>0.62</v>
      </c>
      <c r="F10" s="149" t="s">
        <v>761</v>
      </c>
      <c r="G10" s="149">
        <v>282.70999999999998</v>
      </c>
      <c r="H10" s="149">
        <v>0</v>
      </c>
      <c r="I10" s="149">
        <v>0</v>
      </c>
      <c r="J10" s="149">
        <v>1020.22</v>
      </c>
      <c r="K10" s="149" t="s">
        <v>762</v>
      </c>
      <c r="L10" s="149">
        <v>43.74</v>
      </c>
      <c r="M10" s="149">
        <v>1476021600</v>
      </c>
      <c r="N10" s="149">
        <v>1.24</v>
      </c>
      <c r="O10" s="149">
        <v>208</v>
      </c>
      <c r="P10" s="149">
        <v>1.42</v>
      </c>
    </row>
    <row r="11" spans="1:17" x14ac:dyDescent="0.25">
      <c r="A11" s="149">
        <v>49.4</v>
      </c>
      <c r="B11" s="149">
        <v>0.34</v>
      </c>
      <c r="C11" s="149">
        <v>30.5</v>
      </c>
      <c r="D11" s="164">
        <v>42652.375</v>
      </c>
      <c r="E11" s="149">
        <v>0.48</v>
      </c>
      <c r="F11" s="149" t="s">
        <v>761</v>
      </c>
      <c r="G11" s="149">
        <v>283.33</v>
      </c>
      <c r="H11" s="149">
        <v>0</v>
      </c>
      <c r="I11" s="149">
        <v>0</v>
      </c>
      <c r="J11" s="149">
        <v>1019.45</v>
      </c>
      <c r="K11" s="149" t="s">
        <v>762</v>
      </c>
      <c r="L11" s="149">
        <v>49.4</v>
      </c>
      <c r="M11" s="149">
        <v>1476025200</v>
      </c>
      <c r="N11" s="149">
        <v>1.24</v>
      </c>
      <c r="O11" s="149">
        <v>197</v>
      </c>
      <c r="P11" s="149">
        <v>1.24</v>
      </c>
    </row>
    <row r="12" spans="1:17" x14ac:dyDescent="0.25">
      <c r="A12" s="149">
        <v>58.26</v>
      </c>
      <c r="B12" s="149">
        <v>0.46</v>
      </c>
      <c r="C12" s="149">
        <v>30.82</v>
      </c>
      <c r="D12" s="164">
        <v>42652.416666666664</v>
      </c>
      <c r="E12" s="149">
        <v>0.35</v>
      </c>
      <c r="F12" s="149" t="s">
        <v>761</v>
      </c>
      <c r="G12" s="149">
        <v>283.94</v>
      </c>
      <c r="H12" s="149">
        <v>0</v>
      </c>
      <c r="I12" s="149">
        <v>0</v>
      </c>
      <c r="J12" s="149">
        <v>1018.51</v>
      </c>
      <c r="K12" s="149" t="s">
        <v>762</v>
      </c>
      <c r="L12" s="149">
        <v>58.26</v>
      </c>
      <c r="M12" s="149">
        <v>1476028800</v>
      </c>
      <c r="N12" s="149">
        <v>1.24</v>
      </c>
      <c r="O12" s="149">
        <v>101</v>
      </c>
      <c r="P12" s="149">
        <v>0.32</v>
      </c>
    </row>
    <row r="13" spans="1:17" x14ac:dyDescent="0.25">
      <c r="A13" s="149">
        <v>63.41</v>
      </c>
      <c r="B13" s="149">
        <v>0.59</v>
      </c>
      <c r="C13" s="149">
        <v>31.04</v>
      </c>
      <c r="D13" s="164">
        <v>42652.458333333336</v>
      </c>
      <c r="E13" s="149">
        <v>0.3</v>
      </c>
      <c r="F13" s="149" t="s">
        <v>761</v>
      </c>
      <c r="G13" s="149">
        <v>284.58</v>
      </c>
      <c r="H13" s="149">
        <v>0</v>
      </c>
      <c r="I13" s="149">
        <v>0</v>
      </c>
      <c r="J13" s="149">
        <v>1017.58</v>
      </c>
      <c r="K13" s="149" t="s">
        <v>762</v>
      </c>
      <c r="L13" s="149">
        <v>63.41</v>
      </c>
      <c r="M13" s="149">
        <v>1476032400</v>
      </c>
      <c r="N13" s="149">
        <v>1.24</v>
      </c>
      <c r="O13" s="149">
        <v>75</v>
      </c>
      <c r="P13" s="149">
        <v>0.35</v>
      </c>
    </row>
    <row r="14" spans="1:17" x14ac:dyDescent="0.25">
      <c r="A14" s="149">
        <v>67.489999999999995</v>
      </c>
      <c r="B14" s="149">
        <v>0.7</v>
      </c>
      <c r="C14" s="149">
        <v>31.12</v>
      </c>
      <c r="D14" s="164">
        <v>42652.5</v>
      </c>
      <c r="E14" s="149">
        <v>0.26</v>
      </c>
      <c r="F14" s="149" t="s">
        <v>761</v>
      </c>
      <c r="G14" s="149">
        <v>285.14</v>
      </c>
      <c r="H14" s="149">
        <v>0</v>
      </c>
      <c r="I14" s="149">
        <v>0</v>
      </c>
      <c r="J14" s="149">
        <v>1016.62</v>
      </c>
      <c r="K14" s="149" t="s">
        <v>762</v>
      </c>
      <c r="L14" s="149">
        <v>67.489999999999995</v>
      </c>
      <c r="M14" s="149">
        <v>1476036000</v>
      </c>
      <c r="N14" s="149">
        <v>1.24</v>
      </c>
      <c r="O14" s="149">
        <v>215</v>
      </c>
      <c r="P14" s="149">
        <v>0.13</v>
      </c>
    </row>
    <row r="15" spans="1:17" x14ac:dyDescent="0.25">
      <c r="A15" s="149">
        <v>71.569999999999993</v>
      </c>
      <c r="B15" s="149">
        <v>0.79</v>
      </c>
      <c r="C15" s="149">
        <v>32.020000000000003</v>
      </c>
      <c r="D15" s="164">
        <v>42652.541666666664</v>
      </c>
      <c r="E15" s="149">
        <v>0.23</v>
      </c>
      <c r="F15" s="149" t="s">
        <v>761</v>
      </c>
      <c r="G15" s="149">
        <v>285.72000000000003</v>
      </c>
      <c r="H15" s="149">
        <v>0</v>
      </c>
      <c r="I15" s="149">
        <v>0</v>
      </c>
      <c r="J15" s="149">
        <v>1015.54</v>
      </c>
      <c r="K15" s="149" t="s">
        <v>762</v>
      </c>
      <c r="L15" s="149">
        <v>71.569999999999993</v>
      </c>
      <c r="M15" s="149">
        <v>1476039600</v>
      </c>
      <c r="N15" s="149">
        <v>1.24</v>
      </c>
      <c r="O15" s="149">
        <v>76</v>
      </c>
      <c r="P15" s="149">
        <v>1.07</v>
      </c>
    </row>
    <row r="16" spans="1:17" x14ac:dyDescent="0.25">
      <c r="A16" s="149">
        <v>73.42</v>
      </c>
      <c r="B16" s="149">
        <v>0.86</v>
      </c>
      <c r="C16" s="149">
        <v>31.84</v>
      </c>
      <c r="D16" s="164">
        <v>42652.583333333336</v>
      </c>
      <c r="E16" s="149">
        <v>0.22</v>
      </c>
      <c r="F16" s="149" t="s">
        <v>761</v>
      </c>
      <c r="G16" s="149">
        <v>286.23</v>
      </c>
      <c r="H16" s="149">
        <v>0</v>
      </c>
      <c r="I16" s="149">
        <v>0</v>
      </c>
      <c r="J16" s="149">
        <v>1014.47</v>
      </c>
      <c r="K16" s="149" t="s">
        <v>762</v>
      </c>
      <c r="L16" s="149">
        <v>73.42</v>
      </c>
      <c r="M16" s="149">
        <v>1476043200</v>
      </c>
      <c r="N16" s="149">
        <v>1.24</v>
      </c>
      <c r="O16" s="149">
        <v>75</v>
      </c>
      <c r="P16" s="149">
        <v>1.3</v>
      </c>
    </row>
    <row r="17" spans="1:16" x14ac:dyDescent="0.25">
      <c r="A17" s="149">
        <v>73.599999999999994</v>
      </c>
      <c r="B17" s="149">
        <v>0.61</v>
      </c>
      <c r="C17" s="149">
        <v>32.26</v>
      </c>
      <c r="D17" s="164">
        <v>42652.625</v>
      </c>
      <c r="E17" s="149">
        <v>0.22</v>
      </c>
      <c r="F17" s="149" t="s">
        <v>396</v>
      </c>
      <c r="G17" s="149">
        <v>286.33999999999997</v>
      </c>
      <c r="H17" s="149">
        <v>0</v>
      </c>
      <c r="I17" s="149">
        <v>0</v>
      </c>
      <c r="J17" s="149">
        <v>1013.72</v>
      </c>
      <c r="K17" s="149" t="s">
        <v>398</v>
      </c>
      <c r="L17" s="149">
        <v>73.599999999999994</v>
      </c>
      <c r="M17" s="149">
        <v>1476046800</v>
      </c>
      <c r="N17" s="149">
        <v>3.91</v>
      </c>
      <c r="O17" s="149">
        <v>50</v>
      </c>
      <c r="P17" s="149">
        <v>1.78</v>
      </c>
    </row>
    <row r="18" spans="1:16" x14ac:dyDescent="0.25">
      <c r="A18" s="149">
        <v>73</v>
      </c>
      <c r="B18" s="149">
        <v>0.73</v>
      </c>
      <c r="C18" s="149">
        <v>33.07</v>
      </c>
      <c r="D18" s="164">
        <v>42652.666666666664</v>
      </c>
      <c r="E18" s="149">
        <v>0.23</v>
      </c>
      <c r="F18" s="149" t="s">
        <v>396</v>
      </c>
      <c r="G18" s="149">
        <v>285.70999999999998</v>
      </c>
      <c r="H18" s="149">
        <v>0</v>
      </c>
      <c r="I18" s="149">
        <v>0</v>
      </c>
      <c r="J18" s="149">
        <v>1013.48</v>
      </c>
      <c r="K18" s="149" t="s">
        <v>398</v>
      </c>
      <c r="L18" s="149">
        <v>73</v>
      </c>
      <c r="M18" s="149">
        <v>1476050400</v>
      </c>
      <c r="N18" s="149">
        <v>4.0599999999999996</v>
      </c>
      <c r="O18" s="149">
        <v>59</v>
      </c>
      <c r="P18" s="149">
        <v>2.12</v>
      </c>
    </row>
    <row r="19" spans="1:16" x14ac:dyDescent="0.25">
      <c r="A19" s="149">
        <v>70.59</v>
      </c>
      <c r="B19" s="149">
        <v>0.85</v>
      </c>
      <c r="C19" s="149">
        <v>32.49</v>
      </c>
      <c r="D19" s="164">
        <v>42652.708333333336</v>
      </c>
      <c r="E19" s="149">
        <v>0.24</v>
      </c>
      <c r="F19" s="149" t="s">
        <v>396</v>
      </c>
      <c r="G19" s="149">
        <v>284.68</v>
      </c>
      <c r="H19" s="149">
        <v>0</v>
      </c>
      <c r="I19" s="149">
        <v>0</v>
      </c>
      <c r="J19" s="149">
        <v>1013.58</v>
      </c>
      <c r="K19" s="149" t="s">
        <v>398</v>
      </c>
      <c r="L19" s="149">
        <v>70.59</v>
      </c>
      <c r="M19" s="149">
        <v>1476054000</v>
      </c>
      <c r="N19" s="149">
        <v>6.55</v>
      </c>
      <c r="O19" s="149">
        <v>45</v>
      </c>
      <c r="P19" s="149">
        <v>2.14</v>
      </c>
    </row>
    <row r="20" spans="1:16" x14ac:dyDescent="0.25">
      <c r="A20" s="149">
        <v>66.98</v>
      </c>
      <c r="B20" s="149">
        <v>0.97</v>
      </c>
      <c r="C20" s="149">
        <v>33.799999999999997</v>
      </c>
      <c r="D20" s="164">
        <v>42652.75</v>
      </c>
      <c r="E20" s="149">
        <v>0.28999999999999998</v>
      </c>
      <c r="F20" s="149" t="s">
        <v>763</v>
      </c>
      <c r="G20" s="149">
        <v>283.99</v>
      </c>
      <c r="H20" s="149">
        <v>0</v>
      </c>
      <c r="I20" s="149">
        <v>0</v>
      </c>
      <c r="J20" s="149">
        <v>1013.85</v>
      </c>
      <c r="K20" s="149" t="s">
        <v>764</v>
      </c>
      <c r="L20" s="149">
        <v>66.98</v>
      </c>
      <c r="M20" s="149">
        <v>1476057600</v>
      </c>
      <c r="N20" s="149">
        <v>6.91</v>
      </c>
      <c r="O20" s="149">
        <v>33</v>
      </c>
      <c r="P20" s="149">
        <v>1.42</v>
      </c>
    </row>
    <row r="21" spans="1:16" x14ac:dyDescent="0.25">
      <c r="A21" s="149">
        <v>62.91</v>
      </c>
      <c r="B21" s="149">
        <v>0.8</v>
      </c>
      <c r="C21" s="149">
        <v>35.79</v>
      </c>
      <c r="D21" s="164">
        <v>42652.791666666664</v>
      </c>
      <c r="E21" s="149">
        <v>0.36</v>
      </c>
      <c r="F21" s="149" t="s">
        <v>399</v>
      </c>
      <c r="G21" s="149">
        <v>283.95</v>
      </c>
      <c r="H21" s="149">
        <v>0</v>
      </c>
      <c r="I21" s="149">
        <v>0</v>
      </c>
      <c r="J21" s="149">
        <v>1013.99</v>
      </c>
      <c r="K21" s="149" t="s">
        <v>398</v>
      </c>
      <c r="L21" s="149">
        <v>62.91</v>
      </c>
      <c r="M21" s="149">
        <v>1476061200</v>
      </c>
      <c r="N21" s="149">
        <v>7.31</v>
      </c>
      <c r="O21" s="149">
        <v>28</v>
      </c>
      <c r="P21" s="149">
        <v>0.74</v>
      </c>
    </row>
    <row r="22" spans="1:16" x14ac:dyDescent="0.25">
      <c r="A22" s="149">
        <v>59.77</v>
      </c>
      <c r="B22" s="149">
        <v>0.49</v>
      </c>
      <c r="C22" s="149">
        <v>36.979999999999997</v>
      </c>
      <c r="D22" s="164">
        <v>42652.833333333336</v>
      </c>
      <c r="E22" s="149">
        <v>0.43</v>
      </c>
      <c r="F22" s="149" t="s">
        <v>399</v>
      </c>
      <c r="G22" s="149">
        <v>284.25</v>
      </c>
      <c r="H22" s="149">
        <v>0</v>
      </c>
      <c r="I22" s="149">
        <v>0</v>
      </c>
      <c r="J22" s="149">
        <v>1014.36</v>
      </c>
      <c r="K22" s="149" t="s">
        <v>397</v>
      </c>
      <c r="L22" s="149">
        <v>59.77</v>
      </c>
      <c r="M22" s="149">
        <v>1476064800</v>
      </c>
      <c r="N22" s="149">
        <v>7.91</v>
      </c>
      <c r="O22" s="149">
        <v>256</v>
      </c>
      <c r="P22" s="149">
        <v>0.83</v>
      </c>
    </row>
    <row r="23" spans="1:16" x14ac:dyDescent="0.25">
      <c r="A23" s="149">
        <v>56.17</v>
      </c>
      <c r="B23" s="149">
        <v>0.25</v>
      </c>
      <c r="C23" s="149">
        <v>35.950000000000003</v>
      </c>
      <c r="D23" s="164">
        <v>42652.875</v>
      </c>
      <c r="E23" s="149">
        <v>0.47</v>
      </c>
      <c r="F23" s="149" t="s">
        <v>399</v>
      </c>
      <c r="G23" s="149">
        <v>284.58999999999997</v>
      </c>
      <c r="H23" s="149">
        <v>0</v>
      </c>
      <c r="I23" s="149">
        <v>0</v>
      </c>
      <c r="J23" s="149">
        <v>1014.82</v>
      </c>
      <c r="K23" s="149" t="s">
        <v>397</v>
      </c>
      <c r="L23" s="149">
        <v>56.17</v>
      </c>
      <c r="M23" s="149">
        <v>1476068400</v>
      </c>
      <c r="N23" s="149">
        <v>8.59</v>
      </c>
      <c r="O23" s="149">
        <v>252</v>
      </c>
      <c r="P23" s="149">
        <v>1.93</v>
      </c>
    </row>
    <row r="24" spans="1:16" x14ac:dyDescent="0.25">
      <c r="A24" s="149">
        <v>53.81</v>
      </c>
      <c r="B24" s="149">
        <v>0.4</v>
      </c>
      <c r="C24" s="149">
        <v>34.950000000000003</v>
      </c>
      <c r="D24" s="164">
        <v>42652.916666666664</v>
      </c>
      <c r="E24" s="149">
        <v>0.49</v>
      </c>
      <c r="F24" s="149" t="s">
        <v>399</v>
      </c>
      <c r="G24" s="149">
        <v>284.93</v>
      </c>
      <c r="H24" s="149">
        <v>0</v>
      </c>
      <c r="I24" s="149">
        <v>0</v>
      </c>
      <c r="J24" s="149">
        <v>1015.32</v>
      </c>
      <c r="K24" s="149" t="s">
        <v>397</v>
      </c>
      <c r="L24" s="149">
        <v>53.81</v>
      </c>
      <c r="M24" s="149">
        <v>1476072000</v>
      </c>
      <c r="N24" s="149">
        <v>8.51</v>
      </c>
      <c r="O24" s="149">
        <v>240</v>
      </c>
      <c r="P24" s="149">
        <v>2.27</v>
      </c>
    </row>
    <row r="25" spans="1:16" x14ac:dyDescent="0.25">
      <c r="A25" s="149">
        <v>52</v>
      </c>
      <c r="B25" s="149">
        <v>0.28000000000000003</v>
      </c>
      <c r="C25" s="149">
        <v>34.49</v>
      </c>
      <c r="D25" s="164">
        <v>42652.958333333336</v>
      </c>
      <c r="E25" s="149">
        <v>0.51</v>
      </c>
      <c r="F25" s="149" t="s">
        <v>399</v>
      </c>
      <c r="G25" s="149">
        <v>285.31</v>
      </c>
      <c r="H25" s="149">
        <v>0</v>
      </c>
      <c r="I25" s="149">
        <v>0</v>
      </c>
      <c r="J25" s="149">
        <v>1015.86</v>
      </c>
      <c r="K25" s="149" t="s">
        <v>397</v>
      </c>
      <c r="L25" s="149">
        <v>52</v>
      </c>
      <c r="M25" s="149">
        <v>1476075600</v>
      </c>
      <c r="N25" s="149">
        <v>8.33</v>
      </c>
      <c r="O25" s="149">
        <v>233</v>
      </c>
      <c r="P25" s="149">
        <v>2.62</v>
      </c>
    </row>
    <row r="26" spans="1:16" x14ac:dyDescent="0.25">
      <c r="A26" s="149">
        <v>50.22</v>
      </c>
      <c r="B26" s="149">
        <v>0.4</v>
      </c>
      <c r="C26" s="149">
        <v>33.57</v>
      </c>
      <c r="D26" s="164">
        <v>42653</v>
      </c>
      <c r="E26" s="149">
        <v>0.53</v>
      </c>
      <c r="F26" s="149" t="s">
        <v>399</v>
      </c>
      <c r="G26" s="149">
        <v>285.64999999999998</v>
      </c>
      <c r="H26" s="149">
        <v>0</v>
      </c>
      <c r="I26" s="149">
        <v>0</v>
      </c>
      <c r="J26" s="149">
        <v>1016.41</v>
      </c>
      <c r="K26" s="149" t="s">
        <v>397</v>
      </c>
      <c r="L26" s="149">
        <v>50.22</v>
      </c>
      <c r="M26" s="149">
        <v>1476079200</v>
      </c>
      <c r="N26" s="149">
        <v>8.52</v>
      </c>
      <c r="O26" s="149">
        <v>233</v>
      </c>
      <c r="P26" s="149">
        <v>2.56</v>
      </c>
    </row>
    <row r="27" spans="1:16" x14ac:dyDescent="0.25">
      <c r="A27" s="149">
        <v>50.33</v>
      </c>
      <c r="B27" s="149">
        <v>0.23</v>
      </c>
      <c r="C27" s="149">
        <v>33.86</v>
      </c>
      <c r="D27" s="164">
        <v>42653.041666666664</v>
      </c>
      <c r="E27" s="149">
        <v>0.53</v>
      </c>
      <c r="F27" s="149" t="s">
        <v>292</v>
      </c>
      <c r="G27" s="149">
        <v>285.87</v>
      </c>
      <c r="H27" s="149">
        <v>0</v>
      </c>
      <c r="I27" s="149">
        <v>0</v>
      </c>
      <c r="J27" s="149">
        <v>1016.94</v>
      </c>
      <c r="K27" s="149" t="s">
        <v>216</v>
      </c>
      <c r="L27" s="149">
        <v>50.33</v>
      </c>
      <c r="M27" s="149">
        <v>1476082800</v>
      </c>
      <c r="N27" s="149">
        <v>8.61</v>
      </c>
      <c r="O27" s="149">
        <v>230</v>
      </c>
      <c r="P27" s="149">
        <v>2.67</v>
      </c>
    </row>
    <row r="28" spans="1:16" x14ac:dyDescent="0.25">
      <c r="A28" s="149">
        <v>49.25</v>
      </c>
      <c r="B28" s="149">
        <v>0.15</v>
      </c>
      <c r="C28" s="149">
        <v>34.090000000000003</v>
      </c>
      <c r="D28" s="164">
        <v>42653.083333333336</v>
      </c>
      <c r="E28" s="149">
        <v>0.56000000000000005</v>
      </c>
      <c r="F28" s="149" t="s">
        <v>292</v>
      </c>
      <c r="G28" s="149">
        <v>286.08999999999997</v>
      </c>
      <c r="H28" s="149">
        <v>0</v>
      </c>
      <c r="I28" s="149">
        <v>0</v>
      </c>
      <c r="J28" s="149">
        <v>1017.44</v>
      </c>
      <c r="K28" s="149" t="s">
        <v>216</v>
      </c>
      <c r="L28" s="149">
        <v>49.25</v>
      </c>
      <c r="M28" s="149">
        <v>1476086400</v>
      </c>
      <c r="N28" s="149">
        <v>8.57</v>
      </c>
      <c r="O28" s="149">
        <v>227</v>
      </c>
      <c r="P28" s="149">
        <v>2.92</v>
      </c>
    </row>
    <row r="29" spans="1:16" x14ac:dyDescent="0.25">
      <c r="A29" s="149">
        <v>48.21</v>
      </c>
      <c r="B29" s="149">
        <v>0.08</v>
      </c>
      <c r="C29" s="149">
        <v>34.450000000000003</v>
      </c>
      <c r="D29" s="164">
        <v>42653.125</v>
      </c>
      <c r="E29" s="149">
        <v>0.56999999999999995</v>
      </c>
      <c r="F29" s="149" t="s">
        <v>292</v>
      </c>
      <c r="G29" s="149">
        <v>286.31</v>
      </c>
      <c r="H29" s="149">
        <v>0</v>
      </c>
      <c r="I29" s="149">
        <v>0</v>
      </c>
      <c r="J29" s="149">
        <v>1017.9</v>
      </c>
      <c r="K29" s="149" t="s">
        <v>216</v>
      </c>
      <c r="L29" s="149">
        <v>49</v>
      </c>
      <c r="M29" s="149">
        <v>1476090000</v>
      </c>
      <c r="N29" s="149">
        <v>7.29</v>
      </c>
      <c r="O29" s="149">
        <v>215</v>
      </c>
      <c r="P29" s="149">
        <v>3.37</v>
      </c>
    </row>
    <row r="31" spans="1:16" x14ac:dyDescent="0.25">
      <c r="A31" s="149" t="s">
        <v>765</v>
      </c>
    </row>
    <row r="33" spans="1:1" x14ac:dyDescent="0.25">
      <c r="A33" s="149" t="s">
        <v>345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42652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222</v>
      </c>
    </row>
    <row r="21" spans="10:13" x14ac:dyDescent="0.25">
      <c r="J21" s="23" t="s">
        <v>97</v>
      </c>
      <c r="K21" s="23" t="s">
        <v>98</v>
      </c>
      <c r="M21" s="70" t="s">
        <v>226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C:\Users\stu\Documents\GitHub\eaglep3-reporting\EC\2016-10-09-refined-times.txt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202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2016-10-10T18:36:51Z</dcterms:modified>
</cp:coreProperties>
</file>