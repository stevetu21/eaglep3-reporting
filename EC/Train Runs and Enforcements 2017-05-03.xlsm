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Enforcements!$A$6:$AC$65</definedName>
    <definedName name="_xlnm._FilterDatabase" localSheetId="2" hidden="1">'Missing Trips'!$A$2:$J$82</definedName>
    <definedName name="_xlnm._FilterDatabase" localSheetId="0" hidden="1">'Train Runs'!$A$12:$AG$268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Runs'!$A$12:$J$65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59" i="1" l="1"/>
  <c r="K159" i="1"/>
  <c r="L159" i="1"/>
  <c r="M159" i="1"/>
  <c r="T159" i="1"/>
  <c r="V159" i="1"/>
  <c r="AA159" i="1"/>
  <c r="AB159" i="1"/>
  <c r="AC159" i="1"/>
  <c r="AD159" i="1"/>
  <c r="AG159" i="1" s="1"/>
  <c r="AE159" i="1"/>
  <c r="AF159" i="1"/>
  <c r="AH159" i="1"/>
  <c r="AM159" i="1"/>
  <c r="AN159" i="1"/>
  <c r="W159" i="1" l="1"/>
  <c r="U159" i="1"/>
  <c r="S159" i="1" s="1"/>
  <c r="AI159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A18" i="1" s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G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AG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G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G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G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G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G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T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S17" i="3" s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R20" i="3" s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V57" i="1"/>
  <c r="Y57" i="1"/>
  <c r="Z57" i="1"/>
  <c r="AA57" i="1" s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K59" i="1"/>
  <c r="L59" i="1"/>
  <c r="M59" i="1"/>
  <c r="N59" i="1" s="1"/>
  <c r="V59" i="1"/>
  <c r="S18" i="3" s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/>
  <c r="V60" i="1"/>
  <c r="Y60" i="1"/>
  <c r="AA60" i="1" s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V70" i="1"/>
  <c r="Y70" i="1"/>
  <c r="Z70" i="1"/>
  <c r="AB70" i="1"/>
  <c r="AC70" i="1"/>
  <c r="AD70" i="1"/>
  <c r="AG70" i="1" s="1"/>
  <c r="AE70" i="1"/>
  <c r="AF70" i="1"/>
  <c r="AH70" i="1"/>
  <c r="AM70" i="1"/>
  <c r="AN70" i="1"/>
  <c r="K71" i="1"/>
  <c r="L71" i="1"/>
  <c r="M71" i="1"/>
  <c r="V71" i="1"/>
  <c r="Y71" i="1"/>
  <c r="Z71" i="1"/>
  <c r="AB71" i="1"/>
  <c r="AC71" i="1"/>
  <c r="AD71" i="1"/>
  <c r="T71" i="1" s="1"/>
  <c r="AE71" i="1"/>
  <c r="R21" i="3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G78" i="1" s="1"/>
  <c r="AE78" i="1"/>
  <c r="R27" i="3" s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S11" i="3" s="1"/>
  <c r="Y80" i="1"/>
  <c r="Z80" i="1"/>
  <c r="AB80" i="1"/>
  <c r="AC80" i="1"/>
  <c r="AD80" i="1"/>
  <c r="AE80" i="1"/>
  <c r="R15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A83" i="1" s="1"/>
  <c r="W83" i="1" s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G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G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G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S28" i="3" s="1"/>
  <c r="Y98" i="1"/>
  <c r="Z98" i="1"/>
  <c r="AB98" i="1"/>
  <c r="AC98" i="1"/>
  <c r="AD98" i="1"/>
  <c r="AG98" i="1" s="1"/>
  <c r="AE98" i="1"/>
  <c r="AF98" i="1"/>
  <c r="AH98" i="1"/>
  <c r="AM98" i="1"/>
  <c r="AN98" i="1"/>
  <c r="K99" i="1"/>
  <c r="L99" i="1"/>
  <c r="M99" i="1"/>
  <c r="N99" i="1" s="1"/>
  <c r="V99" i="1"/>
  <c r="S14" i="3" s="1"/>
  <c r="Y99" i="1"/>
  <c r="Z99" i="1"/>
  <c r="AB99" i="1"/>
  <c r="AC99" i="1"/>
  <c r="AD99" i="1"/>
  <c r="AG99" i="1" s="1"/>
  <c r="AE99" i="1"/>
  <c r="R14" i="3" s="1"/>
  <c r="AF99" i="1"/>
  <c r="AH99" i="1"/>
  <c r="AM99" i="1"/>
  <c r="AN99" i="1"/>
  <c r="K100" i="1"/>
  <c r="L100" i="1"/>
  <c r="M100" i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V101" i="1"/>
  <c r="Y101" i="1"/>
  <c r="Z101" i="1"/>
  <c r="AB101" i="1"/>
  <c r="AC101" i="1"/>
  <c r="AD101" i="1"/>
  <c r="T101" i="1" s="1"/>
  <c r="AE101" i="1"/>
  <c r="R25" i="3" s="1"/>
  <c r="AF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11" i="1"/>
  <c r="AM111" i="1"/>
  <c r="AN111" i="1"/>
  <c r="K112" i="1"/>
  <c r="L112" i="1"/>
  <c r="M112" i="1"/>
  <c r="N112" i="1" s="1"/>
  <c r="V112" i="1"/>
  <c r="S30" i="3" s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AG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S29" i="3" s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S16" i="3" s="1"/>
  <c r="Y120" i="1"/>
  <c r="Z120" i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R12" i="3" s="1"/>
  <c r="AF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AG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S19" i="3" s="1"/>
  <c r="Y135" i="1"/>
  <c r="Z135" i="1"/>
  <c r="AB135" i="1"/>
  <c r="AC135" i="1"/>
  <c r="AD135" i="1"/>
  <c r="T135" i="1" s="1"/>
  <c r="AE135" i="1"/>
  <c r="R19" i="3" s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R9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X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R7" i="3" s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A147" i="1" s="1"/>
  <c r="AB147" i="1"/>
  <c r="AC147" i="1"/>
  <c r="AD147" i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AM149" i="1"/>
  <c r="AN149" i="1"/>
  <c r="K150" i="1"/>
  <c r="L150" i="1"/>
  <c r="M150" i="1"/>
  <c r="N150" i="1" s="1"/>
  <c r="V150" i="1"/>
  <c r="S10" i="3" s="1"/>
  <c r="Y150" i="1"/>
  <c r="Z150" i="1"/>
  <c r="AB150" i="1"/>
  <c r="AC150" i="1"/>
  <c r="AD150" i="1"/>
  <c r="T150" i="1" s="1"/>
  <c r="AE150" i="1"/>
  <c r="R10" i="3" s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T152" i="1"/>
  <c r="V152" i="1"/>
  <c r="X152" i="1"/>
  <c r="Y152" i="1"/>
  <c r="Z152" i="1"/>
  <c r="AB152" i="1"/>
  <c r="AC152" i="1"/>
  <c r="AD152" i="1"/>
  <c r="AE152" i="1"/>
  <c r="AF152" i="1"/>
  <c r="AG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AA156" i="1" s="1"/>
  <c r="Z156" i="1"/>
  <c r="AB156" i="1"/>
  <c r="AC156" i="1"/>
  <c r="AD156" i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X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158" i="1"/>
  <c r="AM158" i="1"/>
  <c r="AN158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G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AG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AG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B217" i="1"/>
  <c r="AC217" i="1"/>
  <c r="AD217" i="1"/>
  <c r="AG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Z232" i="1"/>
  <c r="AB232" i="1"/>
  <c r="AC232" i="1"/>
  <c r="AD232" i="1"/>
  <c r="AE232" i="1"/>
  <c r="AF232" i="1"/>
  <c r="AH179" i="1"/>
  <c r="AM179" i="1"/>
  <c r="AN179" i="1"/>
  <c r="K233" i="1"/>
  <c r="L233" i="1"/>
  <c r="M233" i="1"/>
  <c r="N233" i="1" s="1"/>
  <c r="V233" i="1"/>
  <c r="S39" i="3" s="1"/>
  <c r="Y233" i="1"/>
  <c r="Z233" i="1"/>
  <c r="AB233" i="1"/>
  <c r="AC233" i="1"/>
  <c r="AD233" i="1"/>
  <c r="AG233" i="1" s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T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2" i="1"/>
  <c r="AM182" i="1"/>
  <c r="AN182" i="1"/>
  <c r="K236" i="1"/>
  <c r="L236" i="1"/>
  <c r="M236" i="1"/>
  <c r="N236" i="1" s="1"/>
  <c r="V236" i="1"/>
  <c r="Y236" i="1"/>
  <c r="Z236" i="1"/>
  <c r="AB236" i="1"/>
  <c r="AC236" i="1"/>
  <c r="AD236" i="1"/>
  <c r="T236" i="1" s="1"/>
  <c r="AE236" i="1"/>
  <c r="AF236" i="1"/>
  <c r="AH183" i="1"/>
  <c r="AM183" i="1"/>
  <c r="AN183" i="1"/>
  <c r="K237" i="1"/>
  <c r="L237" i="1"/>
  <c r="M237" i="1"/>
  <c r="N237" i="1" s="1"/>
  <c r="V237" i="1"/>
  <c r="Y237" i="1"/>
  <c r="Z237" i="1"/>
  <c r="AB237" i="1"/>
  <c r="AC237" i="1"/>
  <c r="AD237" i="1"/>
  <c r="AG237" i="1" s="1"/>
  <c r="AE237" i="1"/>
  <c r="AF237" i="1"/>
  <c r="AH184" i="1"/>
  <c r="AM184" i="1"/>
  <c r="AN184" i="1"/>
  <c r="K238" i="1"/>
  <c r="L238" i="1"/>
  <c r="M238" i="1"/>
  <c r="N238" i="1" s="1"/>
  <c r="V238" i="1"/>
  <c r="S43" i="3" s="1"/>
  <c r="Y238" i="1"/>
  <c r="Z238" i="1"/>
  <c r="AB238" i="1"/>
  <c r="AC238" i="1"/>
  <c r="AD238" i="1"/>
  <c r="AE238" i="1"/>
  <c r="AF238" i="1"/>
  <c r="AH185" i="1"/>
  <c r="AM185" i="1"/>
  <c r="AN185" i="1"/>
  <c r="K239" i="1"/>
  <c r="L239" i="1"/>
  <c r="M239" i="1"/>
  <c r="N239" i="1" s="1"/>
  <c r="V239" i="1"/>
  <c r="S41" i="3" s="1"/>
  <c r="Y239" i="1"/>
  <c r="Z239" i="1"/>
  <c r="AB239" i="1"/>
  <c r="AC239" i="1"/>
  <c r="AD239" i="1"/>
  <c r="AE239" i="1"/>
  <c r="AF239" i="1"/>
  <c r="AH186" i="1"/>
  <c r="AM186" i="1"/>
  <c r="AN186" i="1"/>
  <c r="K240" i="1"/>
  <c r="L240" i="1"/>
  <c r="M240" i="1"/>
  <c r="N240" i="1" s="1"/>
  <c r="V240" i="1"/>
  <c r="Y240" i="1"/>
  <c r="Z240" i="1"/>
  <c r="AB240" i="1"/>
  <c r="AC240" i="1"/>
  <c r="AD240" i="1"/>
  <c r="AG240" i="1" s="1"/>
  <c r="AE240" i="1"/>
  <c r="AF240" i="1"/>
  <c r="AH187" i="1"/>
  <c r="AM187" i="1"/>
  <c r="AN187" i="1"/>
  <c r="K241" i="1"/>
  <c r="L241" i="1"/>
  <c r="M241" i="1"/>
  <c r="N241" i="1" s="1"/>
  <c r="V241" i="1"/>
  <c r="Y241" i="1"/>
  <c r="Z241" i="1"/>
  <c r="AI241" i="1" s="1"/>
  <c r="AB241" i="1"/>
  <c r="AC241" i="1"/>
  <c r="AD241" i="1"/>
  <c r="AG241" i="1" s="1"/>
  <c r="AE241" i="1"/>
  <c r="AF241" i="1"/>
  <c r="AH188" i="1"/>
  <c r="AM188" i="1"/>
  <c r="AN188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189" i="1"/>
  <c r="AM189" i="1"/>
  <c r="AN189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190" i="1"/>
  <c r="AM190" i="1"/>
  <c r="AN190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191" i="1"/>
  <c r="AM191" i="1"/>
  <c r="AN191" i="1"/>
  <c r="K163" i="1"/>
  <c r="L163" i="1"/>
  <c r="M163" i="1"/>
  <c r="N163" i="1" s="1"/>
  <c r="V163" i="1"/>
  <c r="Y163" i="1"/>
  <c r="Z163" i="1"/>
  <c r="AB163" i="1"/>
  <c r="AC163" i="1"/>
  <c r="AD163" i="1"/>
  <c r="AG163" i="1" s="1"/>
  <c r="AE163" i="1"/>
  <c r="AF163" i="1"/>
  <c r="AH192" i="1"/>
  <c r="AM192" i="1"/>
  <c r="AN192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93" i="1"/>
  <c r="AM193" i="1"/>
  <c r="AN193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4" i="1"/>
  <c r="AM194" i="1"/>
  <c r="AN194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95" i="1"/>
  <c r="AM195" i="1"/>
  <c r="AN195" i="1"/>
  <c r="K167" i="1"/>
  <c r="L167" i="1"/>
  <c r="M167" i="1"/>
  <c r="N167" i="1" s="1"/>
  <c r="V167" i="1"/>
  <c r="Y167" i="1"/>
  <c r="Z167" i="1"/>
  <c r="AB167" i="1"/>
  <c r="AC167" i="1"/>
  <c r="AD167" i="1"/>
  <c r="AG167" i="1" s="1"/>
  <c r="AE167" i="1"/>
  <c r="AF167" i="1"/>
  <c r="AH196" i="1"/>
  <c r="AM196" i="1"/>
  <c r="AN196" i="1"/>
  <c r="K168" i="1"/>
  <c r="L168" i="1"/>
  <c r="M168" i="1"/>
  <c r="N168" i="1" s="1"/>
  <c r="V168" i="1"/>
  <c r="Y168" i="1"/>
  <c r="Z168" i="1"/>
  <c r="AA168" i="1" s="1"/>
  <c r="W168" i="1" s="1"/>
  <c r="AB168" i="1"/>
  <c r="AC168" i="1"/>
  <c r="AD168" i="1"/>
  <c r="AG168" i="1" s="1"/>
  <c r="AE168" i="1"/>
  <c r="AF168" i="1"/>
  <c r="AH197" i="1"/>
  <c r="AM197" i="1"/>
  <c r="AN197" i="1"/>
  <c r="K169" i="1"/>
  <c r="L169" i="1"/>
  <c r="M169" i="1"/>
  <c r="N169" i="1" s="1"/>
  <c r="T169" i="1"/>
  <c r="V169" i="1"/>
  <c r="Y169" i="1"/>
  <c r="Z169" i="1"/>
  <c r="AB169" i="1"/>
  <c r="AC169" i="1"/>
  <c r="AD169" i="1"/>
  <c r="X169" i="1" s="1"/>
  <c r="AE169" i="1"/>
  <c r="AF169" i="1"/>
  <c r="AH198" i="1"/>
  <c r="AM198" i="1"/>
  <c r="AN198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199" i="1"/>
  <c r="AM199" i="1"/>
  <c r="AN199" i="1"/>
  <c r="K171" i="1"/>
  <c r="L171" i="1"/>
  <c r="M171" i="1"/>
  <c r="N171" i="1" s="1"/>
  <c r="V171" i="1"/>
  <c r="Y171" i="1"/>
  <c r="Z171" i="1"/>
  <c r="AB171" i="1"/>
  <c r="AC171" i="1"/>
  <c r="AD171" i="1"/>
  <c r="AG171" i="1" s="1"/>
  <c r="AE171" i="1"/>
  <c r="AF171" i="1"/>
  <c r="AH200" i="1"/>
  <c r="AM200" i="1"/>
  <c r="AN200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201" i="1"/>
  <c r="AM201" i="1"/>
  <c r="AN201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202" i="1"/>
  <c r="AM202" i="1"/>
  <c r="AN202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203" i="1"/>
  <c r="AM203" i="1"/>
  <c r="AN203" i="1"/>
  <c r="K175" i="1"/>
  <c r="L175" i="1"/>
  <c r="M175" i="1"/>
  <c r="N175" i="1" s="1"/>
  <c r="V175" i="1"/>
  <c r="S33" i="3" s="1"/>
  <c r="Y175" i="1"/>
  <c r="Z175" i="1"/>
  <c r="AB175" i="1"/>
  <c r="AC175" i="1"/>
  <c r="AD175" i="1"/>
  <c r="AE175" i="1"/>
  <c r="R33" i="3" s="1"/>
  <c r="AF175" i="1"/>
  <c r="AH204" i="1"/>
  <c r="AM204" i="1"/>
  <c r="AN204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205" i="1"/>
  <c r="AM205" i="1"/>
  <c r="AN205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6" i="1"/>
  <c r="AM206" i="1"/>
  <c r="AN206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7" i="1"/>
  <c r="AM207" i="1"/>
  <c r="AN207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208" i="1"/>
  <c r="AM208" i="1"/>
  <c r="AN208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209" i="1"/>
  <c r="AI209" i="1"/>
  <c r="AM209" i="1"/>
  <c r="AN209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210" i="1"/>
  <c r="AM210" i="1"/>
  <c r="AN210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11" i="1"/>
  <c r="AM211" i="1"/>
  <c r="AN211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R34" i="3" s="1"/>
  <c r="AF183" i="1"/>
  <c r="AH212" i="1"/>
  <c r="AM212" i="1"/>
  <c r="AN212" i="1"/>
  <c r="K184" i="1"/>
  <c r="L184" i="1"/>
  <c r="M184" i="1"/>
  <c r="N184" i="1" s="1"/>
  <c r="T184" i="1"/>
  <c r="V184" i="1"/>
  <c r="Y184" i="1"/>
  <c r="Z184" i="1"/>
  <c r="AB184" i="1"/>
  <c r="AC184" i="1"/>
  <c r="AD184" i="1"/>
  <c r="AE184" i="1"/>
  <c r="AF184" i="1"/>
  <c r="AG184" i="1"/>
  <c r="AH213" i="1"/>
  <c r="AI213" i="1"/>
  <c r="AM213" i="1"/>
  <c r="AN213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214" i="1"/>
  <c r="AM214" i="1"/>
  <c r="AN214" i="1"/>
  <c r="K186" i="1"/>
  <c r="L186" i="1"/>
  <c r="M186" i="1"/>
  <c r="N186" i="1" s="1"/>
  <c r="T186" i="1"/>
  <c r="V186" i="1"/>
  <c r="Y186" i="1"/>
  <c r="Z186" i="1"/>
  <c r="AB186" i="1"/>
  <c r="AC186" i="1"/>
  <c r="AD186" i="1"/>
  <c r="AE186" i="1"/>
  <c r="AF186" i="1"/>
  <c r="AG186" i="1"/>
  <c r="AH215" i="1"/>
  <c r="AI215" i="1"/>
  <c r="AM215" i="1"/>
  <c r="AN215" i="1"/>
  <c r="K187" i="1"/>
  <c r="L187" i="1"/>
  <c r="M187" i="1"/>
  <c r="N187" i="1" s="1"/>
  <c r="V187" i="1"/>
  <c r="Y187" i="1"/>
  <c r="Z187" i="1"/>
  <c r="AA187" i="1" s="1"/>
  <c r="AB187" i="1"/>
  <c r="AC187" i="1"/>
  <c r="AD187" i="1"/>
  <c r="AG187" i="1" s="1"/>
  <c r="AE187" i="1"/>
  <c r="AF187" i="1"/>
  <c r="AH216" i="1"/>
  <c r="AM216" i="1"/>
  <c r="AN216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17" i="1"/>
  <c r="AM217" i="1"/>
  <c r="AN217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218" i="1"/>
  <c r="AM218" i="1"/>
  <c r="AN218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19" i="1"/>
  <c r="AM219" i="1"/>
  <c r="AN219" i="1"/>
  <c r="K191" i="1"/>
  <c r="L191" i="1"/>
  <c r="M191" i="1"/>
  <c r="N191" i="1" s="1"/>
  <c r="V191" i="1"/>
  <c r="S35" i="3" s="1"/>
  <c r="Y191" i="1"/>
  <c r="Z191" i="1"/>
  <c r="AB191" i="1"/>
  <c r="AC191" i="1"/>
  <c r="AD191" i="1"/>
  <c r="AG191" i="1" s="1"/>
  <c r="AE191" i="1"/>
  <c r="R35" i="3" s="1"/>
  <c r="AF191" i="1"/>
  <c r="AH220" i="1"/>
  <c r="AM220" i="1"/>
  <c r="AN220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1" i="1"/>
  <c r="AM221" i="1"/>
  <c r="AN221" i="1"/>
  <c r="K193" i="1"/>
  <c r="L193" i="1"/>
  <c r="M193" i="1"/>
  <c r="N193" i="1"/>
  <c r="V193" i="1"/>
  <c r="Y193" i="1"/>
  <c r="Z193" i="1"/>
  <c r="AB193" i="1"/>
  <c r="AC193" i="1"/>
  <c r="AD193" i="1"/>
  <c r="T193" i="1" s="1"/>
  <c r="AE193" i="1"/>
  <c r="AF193" i="1"/>
  <c r="AH222" i="1"/>
  <c r="AM222" i="1"/>
  <c r="AN222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223" i="1"/>
  <c r="AM223" i="1"/>
  <c r="AN223" i="1"/>
  <c r="K195" i="1"/>
  <c r="L195" i="1"/>
  <c r="M195" i="1"/>
  <c r="N195" i="1" s="1"/>
  <c r="V195" i="1"/>
  <c r="S32" i="3" s="1"/>
  <c r="Y195" i="1"/>
  <c r="Z195" i="1"/>
  <c r="AB195" i="1"/>
  <c r="AC195" i="1"/>
  <c r="AD195" i="1"/>
  <c r="AG195" i="1" s="1"/>
  <c r="AE195" i="1"/>
  <c r="R32" i="3" s="1"/>
  <c r="AF195" i="1"/>
  <c r="AH224" i="1"/>
  <c r="AM224" i="1"/>
  <c r="AN224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25" i="1"/>
  <c r="AM225" i="1"/>
  <c r="AN225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226" i="1"/>
  <c r="AM226" i="1"/>
  <c r="AN226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27" i="1"/>
  <c r="AM227" i="1"/>
  <c r="AN227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28" i="1"/>
  <c r="AM228" i="1"/>
  <c r="AN228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29" i="1"/>
  <c r="AM229" i="1"/>
  <c r="AN229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30" i="1"/>
  <c r="AM230" i="1"/>
  <c r="AN230" i="1"/>
  <c r="K202" i="1"/>
  <c r="L202" i="1"/>
  <c r="M202" i="1"/>
  <c r="N202" i="1" s="1"/>
  <c r="V202" i="1"/>
  <c r="Y202" i="1"/>
  <c r="Z202" i="1"/>
  <c r="AB202" i="1"/>
  <c r="AC202" i="1"/>
  <c r="AD202" i="1"/>
  <c r="AG202" i="1" s="1"/>
  <c r="AE202" i="1"/>
  <c r="AF202" i="1"/>
  <c r="AH231" i="1"/>
  <c r="AM231" i="1"/>
  <c r="AN231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32" i="1"/>
  <c r="AM232" i="1"/>
  <c r="AN232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33" i="1"/>
  <c r="AI233" i="1"/>
  <c r="AM233" i="1"/>
  <c r="AN233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34" i="1"/>
  <c r="AM234" i="1"/>
  <c r="AN234" i="1"/>
  <c r="K206" i="1"/>
  <c r="L206" i="1"/>
  <c r="M206" i="1"/>
  <c r="N206" i="1" s="1"/>
  <c r="V206" i="1"/>
  <c r="Y206" i="1"/>
  <c r="Z206" i="1"/>
  <c r="AB206" i="1"/>
  <c r="AC206" i="1"/>
  <c r="AD206" i="1"/>
  <c r="AG206" i="1" s="1"/>
  <c r="AE206" i="1"/>
  <c r="R38" i="3" s="1"/>
  <c r="AF206" i="1"/>
  <c r="AH235" i="1"/>
  <c r="AM235" i="1"/>
  <c r="AN235" i="1"/>
  <c r="K220" i="1"/>
  <c r="L220" i="1"/>
  <c r="M220" i="1"/>
  <c r="N220" i="1" s="1"/>
  <c r="V220" i="1"/>
  <c r="Y220" i="1"/>
  <c r="Z220" i="1"/>
  <c r="AB220" i="1"/>
  <c r="AC220" i="1"/>
  <c r="AD220" i="1"/>
  <c r="AG220" i="1" s="1"/>
  <c r="AE220" i="1"/>
  <c r="AF220" i="1"/>
  <c r="AH236" i="1"/>
  <c r="AM236" i="1"/>
  <c r="AN236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37" i="1"/>
  <c r="AM237" i="1"/>
  <c r="AN237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38" i="1"/>
  <c r="AM238" i="1"/>
  <c r="AN238" i="1"/>
  <c r="K223" i="1"/>
  <c r="L223" i="1"/>
  <c r="M223" i="1"/>
  <c r="N223" i="1" s="1"/>
  <c r="V223" i="1"/>
  <c r="Y223" i="1"/>
  <c r="Z223" i="1"/>
  <c r="AA223" i="1" s="1"/>
  <c r="AB223" i="1"/>
  <c r="AC223" i="1"/>
  <c r="AD223" i="1"/>
  <c r="AG223" i="1" s="1"/>
  <c r="AE223" i="1"/>
  <c r="AF223" i="1"/>
  <c r="AH239" i="1"/>
  <c r="AM239" i="1"/>
  <c r="AN239" i="1"/>
  <c r="K224" i="1"/>
  <c r="L224" i="1"/>
  <c r="M224" i="1"/>
  <c r="N224" i="1" s="1"/>
  <c r="V224" i="1"/>
  <c r="Y224" i="1"/>
  <c r="Z224" i="1"/>
  <c r="AB224" i="1"/>
  <c r="AC224" i="1"/>
  <c r="AD224" i="1"/>
  <c r="AG224" i="1" s="1"/>
  <c r="AE224" i="1"/>
  <c r="AF224" i="1"/>
  <c r="AH240" i="1"/>
  <c r="AM240" i="1"/>
  <c r="AN240" i="1"/>
  <c r="K225" i="1"/>
  <c r="L225" i="1"/>
  <c r="M225" i="1"/>
  <c r="N225" i="1" s="1"/>
  <c r="V225" i="1"/>
  <c r="Y225" i="1"/>
  <c r="Z225" i="1"/>
  <c r="AB225" i="1"/>
  <c r="AC225" i="1"/>
  <c r="AD225" i="1"/>
  <c r="AE225" i="1"/>
  <c r="AF225" i="1"/>
  <c r="AH241" i="1"/>
  <c r="AM241" i="1"/>
  <c r="AN241" i="1"/>
  <c r="M13" i="3"/>
  <c r="R13" i="3"/>
  <c r="S13" i="3"/>
  <c r="U13" i="3"/>
  <c r="T13" i="3" s="1"/>
  <c r="V13" i="3"/>
  <c r="W13" i="3"/>
  <c r="X13" i="3"/>
  <c r="M8" i="3"/>
  <c r="R8" i="3"/>
  <c r="S8" i="3"/>
  <c r="U8" i="3"/>
  <c r="T8" i="3" s="1"/>
  <c r="V8" i="3"/>
  <c r="W8" i="3"/>
  <c r="X8" i="3"/>
  <c r="AC8" i="3"/>
  <c r="M26" i="3"/>
  <c r="R26" i="3"/>
  <c r="S26" i="3"/>
  <c r="U26" i="3"/>
  <c r="AC26" i="3" s="1"/>
  <c r="V26" i="3"/>
  <c r="W26" i="3"/>
  <c r="X26" i="3"/>
  <c r="M31" i="3"/>
  <c r="R31" i="3"/>
  <c r="S31" i="3"/>
  <c r="U31" i="3"/>
  <c r="AC31" i="3" s="1"/>
  <c r="V31" i="3"/>
  <c r="W31" i="3"/>
  <c r="Y31" i="3" s="1"/>
  <c r="X31" i="3"/>
  <c r="M20" i="3"/>
  <c r="S20" i="3"/>
  <c r="U20" i="3"/>
  <c r="AC20" i="3" s="1"/>
  <c r="V20" i="3"/>
  <c r="W20" i="3"/>
  <c r="X20" i="3"/>
  <c r="M17" i="3"/>
  <c r="R17" i="3"/>
  <c r="U17" i="3"/>
  <c r="T17" i="3" s="1"/>
  <c r="V17" i="3"/>
  <c r="W17" i="3"/>
  <c r="X17" i="3"/>
  <c r="AC17" i="3"/>
  <c r="M24" i="3"/>
  <c r="R24" i="3"/>
  <c r="U24" i="3"/>
  <c r="AC24" i="3" s="1"/>
  <c r="V24" i="3"/>
  <c r="W24" i="3"/>
  <c r="X24" i="3"/>
  <c r="M23" i="3"/>
  <c r="R23" i="3"/>
  <c r="S23" i="3"/>
  <c r="U23" i="3"/>
  <c r="AC23" i="3" s="1"/>
  <c r="V23" i="3"/>
  <c r="W23" i="3"/>
  <c r="X23" i="3"/>
  <c r="M42" i="3"/>
  <c r="R42" i="3"/>
  <c r="S42" i="3"/>
  <c r="U42" i="3"/>
  <c r="AC42" i="3" s="1"/>
  <c r="V42" i="3"/>
  <c r="W42" i="3"/>
  <c r="X42" i="3"/>
  <c r="M33" i="3"/>
  <c r="U33" i="3"/>
  <c r="T33" i="3" s="1"/>
  <c r="V33" i="3"/>
  <c r="W33" i="3"/>
  <c r="X33" i="3"/>
  <c r="AC33" i="3"/>
  <c r="M39" i="3"/>
  <c r="R39" i="3"/>
  <c r="U39" i="3"/>
  <c r="AD39" i="3" s="1"/>
  <c r="V39" i="3"/>
  <c r="W39" i="3"/>
  <c r="X39" i="3"/>
  <c r="AC39" i="3"/>
  <c r="M18" i="3"/>
  <c r="R18" i="3"/>
  <c r="U18" i="3"/>
  <c r="AC18" i="3" s="1"/>
  <c r="V18" i="3"/>
  <c r="W18" i="3"/>
  <c r="X18" i="3"/>
  <c r="M21" i="3"/>
  <c r="S21" i="3"/>
  <c r="U21" i="3"/>
  <c r="AC21" i="3" s="1"/>
  <c r="V21" i="3"/>
  <c r="W21" i="3"/>
  <c r="X21" i="3"/>
  <c r="M15" i="3"/>
  <c r="S15" i="3"/>
  <c r="U15" i="3"/>
  <c r="T15" i="3" s="1"/>
  <c r="V15" i="3"/>
  <c r="W15" i="3"/>
  <c r="X15" i="3"/>
  <c r="AC15" i="3"/>
  <c r="M27" i="3"/>
  <c r="S27" i="3"/>
  <c r="U27" i="3"/>
  <c r="AD27" i="3" s="1"/>
  <c r="V27" i="3"/>
  <c r="W27" i="3"/>
  <c r="X27" i="3"/>
  <c r="M11" i="3"/>
  <c r="R11" i="3"/>
  <c r="U11" i="3"/>
  <c r="AC11" i="3" s="1"/>
  <c r="V11" i="3"/>
  <c r="W11" i="3"/>
  <c r="X11" i="3"/>
  <c r="M14" i="3"/>
  <c r="U14" i="3"/>
  <c r="AC14" i="3" s="1"/>
  <c r="V14" i="3"/>
  <c r="W14" i="3"/>
  <c r="X14" i="3"/>
  <c r="M34" i="3"/>
  <c r="S34" i="3"/>
  <c r="U34" i="3"/>
  <c r="T34" i="3" s="1"/>
  <c r="V34" i="3"/>
  <c r="W34" i="3"/>
  <c r="X34" i="3"/>
  <c r="AC34" i="3"/>
  <c r="M22" i="3"/>
  <c r="U22" i="3"/>
  <c r="V22" i="3"/>
  <c r="W22" i="3"/>
  <c r="X22" i="3"/>
  <c r="M25" i="3"/>
  <c r="U25" i="3"/>
  <c r="AC25" i="3" s="1"/>
  <c r="V25" i="3"/>
  <c r="W25" i="3"/>
  <c r="X25" i="3"/>
  <c r="M28" i="3"/>
  <c r="R28" i="3"/>
  <c r="U28" i="3"/>
  <c r="T28" i="3" s="1"/>
  <c r="V28" i="3"/>
  <c r="W28" i="3"/>
  <c r="X28" i="3"/>
  <c r="AC28" i="3"/>
  <c r="M30" i="3"/>
  <c r="R30" i="3"/>
  <c r="U30" i="3"/>
  <c r="V30" i="3"/>
  <c r="W30" i="3"/>
  <c r="X30" i="3"/>
  <c r="M16" i="3"/>
  <c r="R16" i="3"/>
  <c r="U16" i="3"/>
  <c r="AC16" i="3" s="1"/>
  <c r="V16" i="3"/>
  <c r="W16" i="3"/>
  <c r="X16" i="3"/>
  <c r="M35" i="3"/>
  <c r="U35" i="3"/>
  <c r="AC35" i="3" s="1"/>
  <c r="V35" i="3"/>
  <c r="W35" i="3"/>
  <c r="X35" i="3"/>
  <c r="AD31" i="3"/>
  <c r="M36" i="3"/>
  <c r="R36" i="3"/>
  <c r="U36" i="3"/>
  <c r="T36" i="3" s="1"/>
  <c r="V36" i="3"/>
  <c r="W36" i="3"/>
  <c r="X36" i="3"/>
  <c r="AC36" i="3"/>
  <c r="M43" i="3"/>
  <c r="R43" i="3"/>
  <c r="U43" i="3"/>
  <c r="V43" i="3"/>
  <c r="W43" i="3"/>
  <c r="X43" i="3"/>
  <c r="M29" i="3"/>
  <c r="R29" i="3"/>
  <c r="U29" i="3"/>
  <c r="AC29" i="3" s="1"/>
  <c r="V29" i="3"/>
  <c r="W29" i="3"/>
  <c r="X29" i="3"/>
  <c r="M41" i="3"/>
  <c r="R41" i="3"/>
  <c r="U41" i="3"/>
  <c r="AC41" i="3" s="1"/>
  <c r="V41" i="3"/>
  <c r="W41" i="3"/>
  <c r="X41" i="3"/>
  <c r="M32" i="3"/>
  <c r="U32" i="3"/>
  <c r="T32" i="3" s="1"/>
  <c r="V32" i="3"/>
  <c r="W32" i="3"/>
  <c r="X32" i="3"/>
  <c r="AC32" i="3"/>
  <c r="M37" i="3"/>
  <c r="U37" i="3"/>
  <c r="AD37" i="3" s="1"/>
  <c r="V37" i="3"/>
  <c r="W37" i="3"/>
  <c r="X37" i="3"/>
  <c r="M12" i="3"/>
  <c r="S12" i="3"/>
  <c r="U12" i="3"/>
  <c r="AC12" i="3" s="1"/>
  <c r="V12" i="3"/>
  <c r="W12" i="3"/>
  <c r="X12" i="3"/>
  <c r="M19" i="3"/>
  <c r="U19" i="3"/>
  <c r="AC19" i="3" s="1"/>
  <c r="V19" i="3"/>
  <c r="W19" i="3"/>
  <c r="X19" i="3"/>
  <c r="M9" i="3"/>
  <c r="S9" i="3"/>
  <c r="U9" i="3"/>
  <c r="T9" i="3" s="1"/>
  <c r="V9" i="3"/>
  <c r="W9" i="3"/>
  <c r="X9" i="3"/>
  <c r="M7" i="3"/>
  <c r="S7" i="3"/>
  <c r="U7" i="3"/>
  <c r="V7" i="3"/>
  <c r="W7" i="3"/>
  <c r="X7" i="3"/>
  <c r="M38" i="3"/>
  <c r="S38" i="3"/>
  <c r="U38" i="3"/>
  <c r="AC38" i="3" s="1"/>
  <c r="V38" i="3"/>
  <c r="W38" i="3"/>
  <c r="X38" i="3"/>
  <c r="M10" i="3"/>
  <c r="U10" i="3"/>
  <c r="AC10" i="3" s="1"/>
  <c r="V10" i="3"/>
  <c r="W10" i="3"/>
  <c r="X10" i="3"/>
  <c r="X191" i="1" l="1"/>
  <c r="Y27" i="3"/>
  <c r="Y15" i="3"/>
  <c r="S24" i="3"/>
  <c r="T196" i="1"/>
  <c r="X173" i="1"/>
  <c r="T170" i="1"/>
  <c r="AA169" i="1"/>
  <c r="X237" i="1"/>
  <c r="AI229" i="1"/>
  <c r="AI219" i="1"/>
  <c r="AA213" i="1"/>
  <c r="W213" i="1" s="1"/>
  <c r="T213" i="1"/>
  <c r="AA212" i="1"/>
  <c r="AA210" i="1"/>
  <c r="AA158" i="1"/>
  <c r="T148" i="1"/>
  <c r="X148" i="1"/>
  <c r="AG146" i="1"/>
  <c r="X146" i="1"/>
  <c r="X144" i="1"/>
  <c r="T142" i="1"/>
  <c r="X142" i="1"/>
  <c r="AG141" i="1"/>
  <c r="AI141" i="1" s="1"/>
  <c r="AG140" i="1"/>
  <c r="AI140" i="1" s="1"/>
  <c r="AA115" i="1"/>
  <c r="W115" i="1" s="1"/>
  <c r="T115" i="1"/>
  <c r="U115" i="1" s="1"/>
  <c r="S115" i="1" s="1"/>
  <c r="AA73" i="1"/>
  <c r="X58" i="1"/>
  <c r="AA46" i="1"/>
  <c r="T41" i="1"/>
  <c r="AA23" i="1"/>
  <c r="W23" i="1" s="1"/>
  <c r="AA15" i="1"/>
  <c r="T187" i="1"/>
  <c r="AA176" i="1"/>
  <c r="AG160" i="1"/>
  <c r="AI160" i="1" s="1"/>
  <c r="X160" i="1"/>
  <c r="T158" i="1"/>
  <c r="X159" i="1"/>
  <c r="T141" i="1"/>
  <c r="X137" i="1"/>
  <c r="N70" i="1"/>
  <c r="X32" i="1"/>
  <c r="T29" i="1"/>
  <c r="AA237" i="1"/>
  <c r="W237" i="1" s="1"/>
  <c r="T237" i="1"/>
  <c r="U237" i="1" s="1"/>
  <c r="S237" i="1" s="1"/>
  <c r="AA236" i="1"/>
  <c r="AA234" i="1"/>
  <c r="X213" i="1"/>
  <c r="AI211" i="1"/>
  <c r="AG147" i="1"/>
  <c r="W147" i="1" s="1"/>
  <c r="X147" i="1"/>
  <c r="AG145" i="1"/>
  <c r="AI145" i="1" s="1"/>
  <c r="X145" i="1"/>
  <c r="T143" i="1"/>
  <c r="U143" i="1" s="1"/>
  <c r="S143" i="1" s="1"/>
  <c r="X143" i="1"/>
  <c r="AA141" i="1"/>
  <c r="AA136" i="1"/>
  <c r="X115" i="1"/>
  <c r="AA105" i="1"/>
  <c r="AA101" i="1"/>
  <c r="AA35" i="1"/>
  <c r="AA29" i="1"/>
  <c r="W29" i="1" s="1"/>
  <c r="AC9" i="3"/>
  <c r="S37" i="3"/>
  <c r="S22" i="3"/>
  <c r="S25" i="3"/>
  <c r="X189" i="1"/>
  <c r="T21" i="1"/>
  <c r="X21" i="1"/>
  <c r="AG19" i="1"/>
  <c r="U19" i="1" s="1"/>
  <c r="S19" i="1" s="1"/>
  <c r="X19" i="1"/>
  <c r="T17" i="1"/>
  <c r="X17" i="1"/>
  <c r="AI195" i="1"/>
  <c r="AG194" i="1"/>
  <c r="X161" i="1"/>
  <c r="AI231" i="1"/>
  <c r="AI203" i="1"/>
  <c r="X187" i="1"/>
  <c r="AI183" i="1"/>
  <c r="AA170" i="1"/>
  <c r="W170" i="1" s="1"/>
  <c r="T240" i="1"/>
  <c r="U240" i="1" s="1"/>
  <c r="S240" i="1" s="1"/>
  <c r="AG226" i="1"/>
  <c r="AA119" i="1"/>
  <c r="AA81" i="1"/>
  <c r="AG75" i="1"/>
  <c r="AI75" i="1" s="1"/>
  <c r="AA74" i="1"/>
  <c r="T74" i="1"/>
  <c r="AG63" i="1"/>
  <c r="AI63" i="1" s="1"/>
  <c r="AG48" i="1"/>
  <c r="AI48" i="1" s="1"/>
  <c r="X48" i="1"/>
  <c r="X47" i="1"/>
  <c r="AG28" i="1"/>
  <c r="AI28" i="1" s="1"/>
  <c r="X28" i="1"/>
  <c r="AG24" i="1"/>
  <c r="AI24" i="1" s="1"/>
  <c r="X24" i="1"/>
  <c r="R37" i="3"/>
  <c r="AA180" i="1"/>
  <c r="Y12" i="3"/>
  <c r="Y11" i="3"/>
  <c r="AA206" i="1"/>
  <c r="W206" i="1" s="1"/>
  <c r="T202" i="1"/>
  <c r="U202" i="1" s="1"/>
  <c r="S202" i="1" s="1"/>
  <c r="S36" i="3"/>
  <c r="Y16" i="3"/>
  <c r="Y24" i="3"/>
  <c r="AA205" i="1"/>
  <c r="X179" i="1"/>
  <c r="T178" i="1"/>
  <c r="AI163" i="1"/>
  <c r="AA161" i="1"/>
  <c r="AA160" i="1"/>
  <c r="AA232" i="1"/>
  <c r="AA230" i="1"/>
  <c r="W230" i="1" s="1"/>
  <c r="AI217" i="1"/>
  <c r="T107" i="1"/>
  <c r="AA104" i="1"/>
  <c r="T78" i="1"/>
  <c r="U78" i="1" s="1"/>
  <c r="S78" i="1" s="1"/>
  <c r="AA26" i="1"/>
  <c r="T22" i="1"/>
  <c r="X22" i="1"/>
  <c r="T20" i="1"/>
  <c r="U20" i="1" s="1"/>
  <c r="S20" i="1" s="1"/>
  <c r="X20" i="1"/>
  <c r="T18" i="1"/>
  <c r="X18" i="1"/>
  <c r="AG16" i="1"/>
  <c r="AI16" i="1" s="1"/>
  <c r="X16" i="1"/>
  <c r="AA207" i="1"/>
  <c r="W207" i="1" s="1"/>
  <c r="X149" i="1"/>
  <c r="AA118" i="1"/>
  <c r="W118" i="1" s="1"/>
  <c r="AA113" i="1"/>
  <c r="W113" i="1" s="1"/>
  <c r="AA90" i="1"/>
  <c r="W90" i="1" s="1"/>
  <c r="AI84" i="1"/>
  <c r="AA82" i="1"/>
  <c r="W82" i="1" s="1"/>
  <c r="X74" i="1"/>
  <c r="AA61" i="1"/>
  <c r="W61" i="1" s="1"/>
  <c r="AA30" i="1"/>
  <c r="X29" i="1"/>
  <c r="AA19" i="1"/>
  <c r="W19" i="1" s="1"/>
  <c r="R22" i="3"/>
  <c r="P100" i="1"/>
  <c r="W234" i="1"/>
  <c r="Y30" i="3"/>
  <c r="AD25" i="3"/>
  <c r="T206" i="1"/>
  <c r="T182" i="1"/>
  <c r="U182" i="1" s="1"/>
  <c r="S182" i="1" s="1"/>
  <c r="T14" i="3"/>
  <c r="AA220" i="1"/>
  <c r="T220" i="1"/>
  <c r="AA201" i="1"/>
  <c r="AG200" i="1"/>
  <c r="U200" i="1" s="1"/>
  <c r="S200" i="1" s="1"/>
  <c r="AA190" i="1"/>
  <c r="AI171" i="1"/>
  <c r="AG166" i="1"/>
  <c r="AI166" i="1" s="1"/>
  <c r="AA162" i="1"/>
  <c r="W162" i="1" s="1"/>
  <c r="AG234" i="1"/>
  <c r="AG228" i="1"/>
  <c r="AA216" i="1"/>
  <c r="W216" i="1" s="1"/>
  <c r="AA145" i="1"/>
  <c r="W145" i="1" s="1"/>
  <c r="AA143" i="1"/>
  <c r="AA137" i="1"/>
  <c r="T137" i="1"/>
  <c r="AG136" i="1"/>
  <c r="AI136" i="1" s="1"/>
  <c r="AA134" i="1"/>
  <c r="AA132" i="1"/>
  <c r="AA128" i="1"/>
  <c r="W128" i="1" s="1"/>
  <c r="AA99" i="1"/>
  <c r="W99" i="1" s="1"/>
  <c r="AG87" i="1"/>
  <c r="U87" i="1" s="1"/>
  <c r="X87" i="1"/>
  <c r="X86" i="1"/>
  <c r="AG73" i="1"/>
  <c r="AI73" i="1" s="1"/>
  <c r="AA65" i="1"/>
  <c r="AG50" i="1"/>
  <c r="AA44" i="1"/>
  <c r="X27" i="1"/>
  <c r="AA22" i="1"/>
  <c r="AG20" i="1"/>
  <c r="AI20" i="1" s="1"/>
  <c r="T21" i="3"/>
  <c r="X220" i="1"/>
  <c r="AA202" i="1"/>
  <c r="AI199" i="1"/>
  <c r="AA197" i="1"/>
  <c r="AA192" i="1"/>
  <c r="AA188" i="1"/>
  <c r="AI207" i="1"/>
  <c r="AG174" i="1"/>
  <c r="U174" i="1" s="1"/>
  <c r="S174" i="1" s="1"/>
  <c r="AG218" i="1"/>
  <c r="X216" i="1"/>
  <c r="AG210" i="1"/>
  <c r="AI146" i="1"/>
  <c r="AG137" i="1"/>
  <c r="W137" i="1" s="1"/>
  <c r="AG134" i="1"/>
  <c r="AA123" i="1"/>
  <c r="AA111" i="1"/>
  <c r="AG95" i="1"/>
  <c r="U95" i="1" s="1"/>
  <c r="S95" i="1" s="1"/>
  <c r="AA91" i="1"/>
  <c r="AA86" i="1"/>
  <c r="W86" i="1" s="1"/>
  <c r="T86" i="1"/>
  <c r="U86" i="1" s="1"/>
  <c r="S86" i="1" s="1"/>
  <c r="AA85" i="1"/>
  <c r="AG79" i="1"/>
  <c r="AI79" i="1" s="1"/>
  <c r="AA78" i="1"/>
  <c r="W78" i="1" s="1"/>
  <c r="AG69" i="1"/>
  <c r="AI69" i="1" s="1"/>
  <c r="AA56" i="1"/>
  <c r="W56" i="1" s="1"/>
  <c r="AA50" i="1"/>
  <c r="AA34" i="1"/>
  <c r="AA21" i="1"/>
  <c r="AD33" i="3"/>
  <c r="Y39" i="3"/>
  <c r="AI237" i="1"/>
  <c r="U170" i="1"/>
  <c r="S170" i="1" s="1"/>
  <c r="X158" i="1"/>
  <c r="X156" i="1"/>
  <c r="U93" i="1"/>
  <c r="S93" i="1" s="1"/>
  <c r="T45" i="1"/>
  <c r="U45" i="1" s="1"/>
  <c r="S45" i="1" s="1"/>
  <c r="AA25" i="1"/>
  <c r="Y37" i="3"/>
  <c r="Y29" i="3"/>
  <c r="Y22" i="3"/>
  <c r="AD20" i="3"/>
  <c r="Y23" i="3"/>
  <c r="AD8" i="3"/>
  <c r="AD43" i="3"/>
  <c r="Y7" i="3"/>
  <c r="T31" i="3"/>
  <c r="AD36" i="3"/>
  <c r="Y38" i="3"/>
  <c r="AD35" i="3"/>
  <c r="Y43" i="3"/>
  <c r="AD28" i="3"/>
  <c r="AD24" i="3"/>
  <c r="AD22" i="3"/>
  <c r="AD21" i="3"/>
  <c r="Y26" i="3"/>
  <c r="Y8" i="3"/>
  <c r="Y13" i="3"/>
  <c r="AA224" i="1"/>
  <c r="W224" i="1" s="1"/>
  <c r="T224" i="1"/>
  <c r="T223" i="1"/>
  <c r="U223" i="1" s="1"/>
  <c r="S223" i="1" s="1"/>
  <c r="AA222" i="1"/>
  <c r="U206" i="1"/>
  <c r="S206" i="1" s="1"/>
  <c r="X203" i="1"/>
  <c r="AA198" i="1"/>
  <c r="AA195" i="1"/>
  <c r="W195" i="1" s="1"/>
  <c r="T195" i="1"/>
  <c r="AI191" i="1"/>
  <c r="AA177" i="1"/>
  <c r="AA173" i="1"/>
  <c r="T173" i="1"/>
  <c r="AA172" i="1"/>
  <c r="AI167" i="1"/>
  <c r="AA166" i="1"/>
  <c r="W166" i="1" s="1"/>
  <c r="X165" i="1"/>
  <c r="T239" i="1"/>
  <c r="X239" i="1"/>
  <c r="X230" i="1"/>
  <c r="AG230" i="1"/>
  <c r="AA225" i="1"/>
  <c r="X224" i="1"/>
  <c r="AA203" i="1"/>
  <c r="T203" i="1"/>
  <c r="AA196" i="1"/>
  <c r="W196" i="1" s="1"/>
  <c r="X195" i="1"/>
  <c r="AA194" i="1"/>
  <c r="W194" i="1" s="1"/>
  <c r="AG192" i="1"/>
  <c r="U192" i="1" s="1"/>
  <c r="S192" i="1" s="1"/>
  <c r="AG190" i="1"/>
  <c r="W190" i="1" s="1"/>
  <c r="AG188" i="1"/>
  <c r="U188" i="1" s="1"/>
  <c r="S188" i="1" s="1"/>
  <c r="AA186" i="1"/>
  <c r="W186" i="1" s="1"/>
  <c r="AA184" i="1"/>
  <c r="W184" i="1" s="1"/>
  <c r="X183" i="1"/>
  <c r="AA182" i="1"/>
  <c r="W182" i="1" s="1"/>
  <c r="AG180" i="1"/>
  <c r="U180" i="1" s="1"/>
  <c r="S180" i="1" s="1"/>
  <c r="AA178" i="1"/>
  <c r="W178" i="1" s="1"/>
  <c r="AA174" i="1"/>
  <c r="W174" i="1" s="1"/>
  <c r="AA165" i="1"/>
  <c r="AA164" i="1"/>
  <c r="AG162" i="1"/>
  <c r="U162" i="1" s="1"/>
  <c r="S162" i="1" s="1"/>
  <c r="T238" i="1"/>
  <c r="X238" i="1"/>
  <c r="U186" i="1"/>
  <c r="S186" i="1" s="1"/>
  <c r="U184" i="1"/>
  <c r="S184" i="1" s="1"/>
  <c r="U178" i="1"/>
  <c r="S178" i="1" s="1"/>
  <c r="T232" i="1"/>
  <c r="AG232" i="1"/>
  <c r="W232" i="1" s="1"/>
  <c r="AA240" i="1"/>
  <c r="W240" i="1" s="1"/>
  <c r="AA228" i="1"/>
  <c r="W228" i="1" s="1"/>
  <c r="AA218" i="1"/>
  <c r="X215" i="1"/>
  <c r="X214" i="1"/>
  <c r="AG212" i="1"/>
  <c r="W212" i="1" s="1"/>
  <c r="AA157" i="1"/>
  <c r="T157" i="1"/>
  <c r="U157" i="1" s="1"/>
  <c r="S157" i="1" s="1"/>
  <c r="AG156" i="1"/>
  <c r="AI156" i="1" s="1"/>
  <c r="AA155" i="1"/>
  <c r="W155" i="1" s="1"/>
  <c r="AG153" i="1"/>
  <c r="AI153" i="1" s="1"/>
  <c r="X153" i="1"/>
  <c r="AA151" i="1"/>
  <c r="W151" i="1" s="1"/>
  <c r="T144" i="1"/>
  <c r="AG143" i="1"/>
  <c r="AI143" i="1" s="1"/>
  <c r="AA131" i="1"/>
  <c r="AI128" i="1"/>
  <c r="AA126" i="1"/>
  <c r="W126" i="1" s="1"/>
  <c r="AA124" i="1"/>
  <c r="W124" i="1" s="1"/>
  <c r="T124" i="1"/>
  <c r="U124" i="1" s="1"/>
  <c r="S124" i="1" s="1"/>
  <c r="AA122" i="1"/>
  <c r="W122" i="1" s="1"/>
  <c r="AA120" i="1"/>
  <c r="W120" i="1" s="1"/>
  <c r="T120" i="1"/>
  <c r="AG117" i="1"/>
  <c r="U117" i="1" s="1"/>
  <c r="X117" i="1"/>
  <c r="AA116" i="1"/>
  <c r="X110" i="1"/>
  <c r="AA107" i="1"/>
  <c r="W107" i="1" s="1"/>
  <c r="AG103" i="1"/>
  <c r="U103" i="1" s="1"/>
  <c r="AG101" i="1"/>
  <c r="AI101" i="1" s="1"/>
  <c r="X98" i="1"/>
  <c r="AA96" i="1"/>
  <c r="T90" i="1"/>
  <c r="U90" i="1" s="1"/>
  <c r="S90" i="1" s="1"/>
  <c r="AA89" i="1"/>
  <c r="AA84" i="1"/>
  <c r="W84" i="1" s="1"/>
  <c r="AI83" i="1"/>
  <c r="X70" i="1"/>
  <c r="AA69" i="1"/>
  <c r="AG67" i="1"/>
  <c r="AI67" i="1" s="1"/>
  <c r="AA66" i="1"/>
  <c r="T66" i="1"/>
  <c r="U66" i="1" s="1"/>
  <c r="S66" i="1" s="1"/>
  <c r="AG65" i="1"/>
  <c r="AI65" i="1" s="1"/>
  <c r="X56" i="1"/>
  <c r="X53" i="1"/>
  <c r="AA51" i="1"/>
  <c r="AG46" i="1"/>
  <c r="AI46" i="1" s="1"/>
  <c r="AA45" i="1"/>
  <c r="AG42" i="1"/>
  <c r="AI42" i="1" s="1"/>
  <c r="AA41" i="1"/>
  <c r="W41" i="1" s="1"/>
  <c r="AG40" i="1"/>
  <c r="AI40" i="1" s="1"/>
  <c r="X40" i="1"/>
  <c r="X36" i="1"/>
  <c r="T32" i="1"/>
  <c r="AA31" i="1"/>
  <c r="W31" i="1" s="1"/>
  <c r="X23" i="1"/>
  <c r="U152" i="1"/>
  <c r="S152" i="1" s="1"/>
  <c r="T106" i="1"/>
  <c r="T91" i="1"/>
  <c r="U91" i="1" s="1"/>
  <c r="S91" i="1" s="1"/>
  <c r="X57" i="1"/>
  <c r="X54" i="1"/>
  <c r="X44" i="1"/>
  <c r="T39" i="1"/>
  <c r="AA239" i="1"/>
  <c r="AA238" i="1"/>
  <c r="AA226" i="1"/>
  <c r="W226" i="1" s="1"/>
  <c r="AA215" i="1"/>
  <c r="W215" i="1" s="1"/>
  <c r="T215" i="1"/>
  <c r="AA214" i="1"/>
  <c r="W214" i="1" s="1"/>
  <c r="AA208" i="1"/>
  <c r="AG157" i="1"/>
  <c r="AI157" i="1" s="1"/>
  <c r="AA154" i="1"/>
  <c r="AA153" i="1"/>
  <c r="W153" i="1" s="1"/>
  <c r="AA148" i="1"/>
  <c r="AG144" i="1"/>
  <c r="AA140" i="1"/>
  <c r="W140" i="1" s="1"/>
  <c r="AA135" i="1"/>
  <c r="X132" i="1"/>
  <c r="AA130" i="1"/>
  <c r="AA127" i="1"/>
  <c r="AA125" i="1"/>
  <c r="X124" i="1"/>
  <c r="X120" i="1"/>
  <c r="AA117" i="1"/>
  <c r="AG116" i="1"/>
  <c r="AI116" i="1" s="1"/>
  <c r="X116" i="1"/>
  <c r="AA110" i="1"/>
  <c r="W110" i="1" s="1"/>
  <c r="T110" i="1"/>
  <c r="U110" i="1" s="1"/>
  <c r="S110" i="1" s="1"/>
  <c r="AA109" i="1"/>
  <c r="AA106" i="1"/>
  <c r="W106" i="1" s="1"/>
  <c r="AA98" i="1"/>
  <c r="T98" i="1"/>
  <c r="AA97" i="1"/>
  <c r="AA93" i="1"/>
  <c r="W93" i="1" s="1"/>
  <c r="AA88" i="1"/>
  <c r="X84" i="1"/>
  <c r="AA77" i="1"/>
  <c r="W77" i="1" s="1"/>
  <c r="AG71" i="1"/>
  <c r="AI71" i="1" s="1"/>
  <c r="AA70" i="1"/>
  <c r="W70" i="1" s="1"/>
  <c r="T70" i="1"/>
  <c r="X66" i="1"/>
  <c r="AA55" i="1"/>
  <c r="AA53" i="1"/>
  <c r="AA52" i="1"/>
  <c r="W52" i="1" s="1"/>
  <c r="AA42" i="1"/>
  <c r="W42" i="1" s="1"/>
  <c r="AA39" i="1"/>
  <c r="W39" i="1" s="1"/>
  <c r="AA38" i="1"/>
  <c r="X37" i="1"/>
  <c r="T36" i="1"/>
  <c r="AG32" i="1"/>
  <c r="AI32" i="1" s="1"/>
  <c r="X31" i="1"/>
  <c r="AA14" i="1"/>
  <c r="W141" i="1"/>
  <c r="AI223" i="1"/>
  <c r="AA221" i="1"/>
  <c r="AA204" i="1"/>
  <c r="W202" i="1"/>
  <c r="AA200" i="1"/>
  <c r="AG198" i="1"/>
  <c r="U198" i="1" s="1"/>
  <c r="S198" i="1" s="1"/>
  <c r="AA193" i="1"/>
  <c r="AA185" i="1"/>
  <c r="X181" i="1"/>
  <c r="AG176" i="1"/>
  <c r="T176" i="1"/>
  <c r="T225" i="1"/>
  <c r="X226" i="1"/>
  <c r="W223" i="1"/>
  <c r="X223" i="1"/>
  <c r="AG221" i="1"/>
  <c r="AI221" i="1" s="1"/>
  <c r="X206" i="1"/>
  <c r="AG204" i="1"/>
  <c r="X202" i="1"/>
  <c r="X194" i="1"/>
  <c r="X186" i="1"/>
  <c r="X177" i="1"/>
  <c r="W160" i="1"/>
  <c r="AG225" i="1"/>
  <c r="X222" i="1"/>
  <c r="X205" i="1"/>
  <c r="X201" i="1"/>
  <c r="AA199" i="1"/>
  <c r="W199" i="1" s="1"/>
  <c r="X193" i="1"/>
  <c r="AA189" i="1"/>
  <c r="AI187" i="1"/>
  <c r="X185" i="1"/>
  <c r="AA181" i="1"/>
  <c r="AG179" i="1"/>
  <c r="AI179" i="1" s="1"/>
  <c r="T179" i="1"/>
  <c r="AG175" i="1"/>
  <c r="AI175" i="1" s="1"/>
  <c r="X175" i="1"/>
  <c r="T175" i="1"/>
  <c r="AA191" i="1"/>
  <c r="W191" i="1" s="1"/>
  <c r="T191" i="1"/>
  <c r="U191" i="1" s="1"/>
  <c r="S191" i="1" s="1"/>
  <c r="X190" i="1"/>
  <c r="AA183" i="1"/>
  <c r="W183" i="1" s="1"/>
  <c r="T183" i="1"/>
  <c r="U183" i="1" s="1"/>
  <c r="S183" i="1" s="1"/>
  <c r="X182" i="1"/>
  <c r="T172" i="1"/>
  <c r="AG172" i="1"/>
  <c r="AI172" i="1" s="1"/>
  <c r="AA175" i="1"/>
  <c r="W175" i="1" s="1"/>
  <c r="X174" i="1"/>
  <c r="X171" i="1"/>
  <c r="T168" i="1"/>
  <c r="U168" i="1" s="1"/>
  <c r="S168" i="1" s="1"/>
  <c r="AA167" i="1"/>
  <c r="W167" i="1" s="1"/>
  <c r="T167" i="1"/>
  <c r="X166" i="1"/>
  <c r="AG164" i="1"/>
  <c r="U164" i="1" s="1"/>
  <c r="S164" i="1" s="1"/>
  <c r="X163" i="1"/>
  <c r="T160" i="1"/>
  <c r="AA241" i="1"/>
  <c r="T241" i="1"/>
  <c r="U241" i="1" s="1"/>
  <c r="S241" i="1" s="1"/>
  <c r="X240" i="1"/>
  <c r="AG238" i="1"/>
  <c r="AG236" i="1"/>
  <c r="U236" i="1" s="1"/>
  <c r="S236" i="1" s="1"/>
  <c r="X235" i="1"/>
  <c r="X234" i="1"/>
  <c r="X233" i="1"/>
  <c r="AA231" i="1"/>
  <c r="T231" i="1"/>
  <c r="U231" i="1" s="1"/>
  <c r="S231" i="1" s="1"/>
  <c r="T230" i="1"/>
  <c r="U230" i="1" s="1"/>
  <c r="S230" i="1" s="1"/>
  <c r="AA229" i="1"/>
  <c r="T229" i="1"/>
  <c r="X227" i="1"/>
  <c r="X219" i="1"/>
  <c r="X218" i="1"/>
  <c r="X217" i="1"/>
  <c r="AA211" i="1"/>
  <c r="W211" i="1" s="1"/>
  <c r="T211" i="1"/>
  <c r="U211" i="1" s="1"/>
  <c r="S211" i="1" s="1"/>
  <c r="AA209" i="1"/>
  <c r="W209" i="1" s="1"/>
  <c r="T209" i="1"/>
  <c r="AG208" i="1"/>
  <c r="U208" i="1" s="1"/>
  <c r="S208" i="1" s="1"/>
  <c r="T207" i="1"/>
  <c r="U207" i="1" s="1"/>
  <c r="S207" i="1" s="1"/>
  <c r="AG158" i="1"/>
  <c r="AI158" i="1" s="1"/>
  <c r="T156" i="1"/>
  <c r="AA152" i="1"/>
  <c r="W152" i="1" s="1"/>
  <c r="T151" i="1"/>
  <c r="U151" i="1" s="1"/>
  <c r="S151" i="1" s="1"/>
  <c r="AA150" i="1"/>
  <c r="AA149" i="1"/>
  <c r="T149" i="1"/>
  <c r="AG148" i="1"/>
  <c r="AA146" i="1"/>
  <c r="T140" i="1"/>
  <c r="U140" i="1" s="1"/>
  <c r="S140" i="1" s="1"/>
  <c r="AA139" i="1"/>
  <c r="AA138" i="1"/>
  <c r="X136" i="1"/>
  <c r="AG133" i="1"/>
  <c r="U133" i="1" s="1"/>
  <c r="S133" i="1" s="1"/>
  <c r="X133" i="1"/>
  <c r="T125" i="1"/>
  <c r="X125" i="1"/>
  <c r="AG125" i="1"/>
  <c r="AI125" i="1" s="1"/>
  <c r="X121" i="1"/>
  <c r="AG121" i="1"/>
  <c r="AI121" i="1" s="1"/>
  <c r="T121" i="1"/>
  <c r="AG111" i="1"/>
  <c r="AI111" i="1" s="1"/>
  <c r="T111" i="1"/>
  <c r="AI57" i="1"/>
  <c r="T216" i="1"/>
  <c r="U216" i="1" s="1"/>
  <c r="S216" i="1" s="1"/>
  <c r="T214" i="1"/>
  <c r="U214" i="1" s="1"/>
  <c r="S214" i="1" s="1"/>
  <c r="U210" i="1"/>
  <c r="S210" i="1" s="1"/>
  <c r="X208" i="1"/>
  <c r="W157" i="1"/>
  <c r="T155" i="1"/>
  <c r="U155" i="1" s="1"/>
  <c r="S155" i="1" s="1"/>
  <c r="T132" i="1"/>
  <c r="T128" i="1"/>
  <c r="U128" i="1" s="1"/>
  <c r="S128" i="1" s="1"/>
  <c r="AA179" i="1"/>
  <c r="W179" i="1" s="1"/>
  <c r="X178" i="1"/>
  <c r="AA171" i="1"/>
  <c r="T171" i="1"/>
  <c r="X170" i="1"/>
  <c r="X167" i="1"/>
  <c r="AA163" i="1"/>
  <c r="T163" i="1"/>
  <c r="X162" i="1"/>
  <c r="X241" i="1"/>
  <c r="AA235" i="1"/>
  <c r="AA233" i="1"/>
  <c r="W233" i="1" s="1"/>
  <c r="T233" i="1"/>
  <c r="U233" i="1" s="1"/>
  <c r="S233" i="1" s="1"/>
  <c r="X231" i="1"/>
  <c r="X229" i="1"/>
  <c r="AA227" i="1"/>
  <c r="W227" i="1" s="1"/>
  <c r="T227" i="1"/>
  <c r="U227" i="1" s="1"/>
  <c r="S227" i="1" s="1"/>
  <c r="AA219" i="1"/>
  <c r="W219" i="1" s="1"/>
  <c r="T219" i="1"/>
  <c r="AA217" i="1"/>
  <c r="W217" i="1" s="1"/>
  <c r="T217" i="1"/>
  <c r="U217" i="1" s="1"/>
  <c r="S217" i="1" s="1"/>
  <c r="X212" i="1"/>
  <c r="X211" i="1"/>
  <c r="X210" i="1"/>
  <c r="X209" i="1"/>
  <c r="X207" i="1"/>
  <c r="X151" i="1"/>
  <c r="AG149" i="1"/>
  <c r="AI149" i="1" s="1"/>
  <c r="AA142" i="1"/>
  <c r="AG138" i="1"/>
  <c r="U138" i="1" s="1"/>
  <c r="S138" i="1" s="1"/>
  <c r="AA133" i="1"/>
  <c r="AG132" i="1"/>
  <c r="W132" i="1" s="1"/>
  <c r="AG129" i="1"/>
  <c r="U129" i="1" s="1"/>
  <c r="S129" i="1" s="1"/>
  <c r="X129" i="1"/>
  <c r="AI124" i="1"/>
  <c r="U120" i="1"/>
  <c r="S120" i="1" s="1"/>
  <c r="AI120" i="1"/>
  <c r="AI115" i="1"/>
  <c r="AI61" i="1"/>
  <c r="W53" i="1"/>
  <c r="X236" i="1"/>
  <c r="U234" i="1"/>
  <c r="S234" i="1" s="1"/>
  <c r="U226" i="1"/>
  <c r="S226" i="1" s="1"/>
  <c r="X155" i="1"/>
  <c r="AI152" i="1"/>
  <c r="T147" i="1"/>
  <c r="U141" i="1"/>
  <c r="S141" i="1" s="1"/>
  <c r="W134" i="1"/>
  <c r="X128" i="1"/>
  <c r="AG114" i="1"/>
  <c r="AI114" i="1" s="1"/>
  <c r="X114" i="1"/>
  <c r="T114" i="1"/>
  <c r="AI77" i="1"/>
  <c r="W57" i="1"/>
  <c r="AI53" i="1"/>
  <c r="X106" i="1"/>
  <c r="T99" i="1"/>
  <c r="U99" i="1" s="1"/>
  <c r="S99" i="1" s="1"/>
  <c r="AI93" i="1"/>
  <c r="W91" i="1"/>
  <c r="X90" i="1"/>
  <c r="T84" i="1"/>
  <c r="U84" i="1" s="1"/>
  <c r="S84" i="1" s="1"/>
  <c r="X81" i="1"/>
  <c r="X78" i="1"/>
  <c r="X61" i="1"/>
  <c r="T57" i="1"/>
  <c r="U57" i="1" s="1"/>
  <c r="T53" i="1"/>
  <c r="U53" i="1" s="1"/>
  <c r="S53" i="1" s="1"/>
  <c r="U50" i="1"/>
  <c r="S50" i="1" s="1"/>
  <c r="X50" i="1"/>
  <c r="AA47" i="1"/>
  <c r="W47" i="1" s="1"/>
  <c r="T47" i="1"/>
  <c r="U47" i="1" s="1"/>
  <c r="S47" i="1" s="1"/>
  <c r="X45" i="1"/>
  <c r="X39" i="1"/>
  <c r="AA37" i="1"/>
  <c r="W37" i="1" s="1"/>
  <c r="T37" i="1"/>
  <c r="U37" i="1" s="1"/>
  <c r="S37" i="1" s="1"/>
  <c r="AG36" i="1"/>
  <c r="AI36" i="1" s="1"/>
  <c r="AG34" i="1"/>
  <c r="AI34" i="1" s="1"/>
  <c r="AA32" i="1"/>
  <c r="T31" i="1"/>
  <c r="U31" i="1" s="1"/>
  <c r="S31" i="1" s="1"/>
  <c r="AA129" i="1"/>
  <c r="AA121" i="1"/>
  <c r="W121" i="1" s="1"/>
  <c r="AA114" i="1"/>
  <c r="AA112" i="1"/>
  <c r="AG109" i="1"/>
  <c r="AA103" i="1"/>
  <c r="W103" i="1" s="1"/>
  <c r="X102" i="1"/>
  <c r="AA100" i="1"/>
  <c r="AG97" i="1"/>
  <c r="AA94" i="1"/>
  <c r="W94" i="1" s="1"/>
  <c r="T94" i="1"/>
  <c r="U94" i="1" s="1"/>
  <c r="S94" i="1" s="1"/>
  <c r="AA87" i="1"/>
  <c r="W87" i="1" s="1"/>
  <c r="AG85" i="1"/>
  <c r="AG81" i="1"/>
  <c r="W81" i="1" s="1"/>
  <c r="AA79" i="1"/>
  <c r="W79" i="1" s="1"/>
  <c r="T77" i="1"/>
  <c r="U77" i="1" s="1"/>
  <c r="S77" i="1" s="1"/>
  <c r="AA76" i="1"/>
  <c r="X73" i="1"/>
  <c r="AA71" i="1"/>
  <c r="AA68" i="1"/>
  <c r="X65" i="1"/>
  <c r="AA63" i="1"/>
  <c r="W63" i="1" s="1"/>
  <c r="AG62" i="1"/>
  <c r="U62" i="1" s="1"/>
  <c r="S62" i="1" s="1"/>
  <c r="X62" i="1"/>
  <c r="AA58" i="1"/>
  <c r="T58" i="1"/>
  <c r="T56" i="1"/>
  <c r="U56" i="1" s="1"/>
  <c r="S56" i="1" s="1"/>
  <c r="AA54" i="1"/>
  <c r="T54" i="1"/>
  <c r="T52" i="1"/>
  <c r="U52" i="1" s="1"/>
  <c r="S52" i="1" s="1"/>
  <c r="AA49" i="1"/>
  <c r="W49" i="1" s="1"/>
  <c r="T49" i="1"/>
  <c r="AA48" i="1"/>
  <c r="T44" i="1"/>
  <c r="AA43" i="1"/>
  <c r="W43" i="1" s="1"/>
  <c r="T43" i="1"/>
  <c r="X41" i="1"/>
  <c r="X35" i="1"/>
  <c r="AA33" i="1"/>
  <c r="W33" i="1" s="1"/>
  <c r="T33" i="1"/>
  <c r="AG17" i="1"/>
  <c r="AI17" i="1" s="1"/>
  <c r="X77" i="1"/>
  <c r="T61" i="1"/>
  <c r="U61" i="1" s="1"/>
  <c r="S61" i="1" s="1"/>
  <c r="T16" i="1"/>
  <c r="AA108" i="1"/>
  <c r="AG105" i="1"/>
  <c r="AI105" i="1" s="1"/>
  <c r="AA102" i="1"/>
  <c r="W102" i="1" s="1"/>
  <c r="T102" i="1"/>
  <c r="AA95" i="1"/>
  <c r="X94" i="1"/>
  <c r="AA92" i="1"/>
  <c r="AG89" i="1"/>
  <c r="AI89" i="1" s="1"/>
  <c r="AA80" i="1"/>
  <c r="AA75" i="1"/>
  <c r="AA72" i="1"/>
  <c r="X69" i="1"/>
  <c r="AA67" i="1"/>
  <c r="W67" i="1" s="1"/>
  <c r="AA64" i="1"/>
  <c r="AA62" i="1"/>
  <c r="AG58" i="1"/>
  <c r="AG54" i="1"/>
  <c r="AI54" i="1" s="1"/>
  <c r="X52" i="1"/>
  <c r="X49" i="1"/>
  <c r="AG44" i="1"/>
  <c r="AI44" i="1" s="1"/>
  <c r="X43" i="1"/>
  <c r="AA40" i="1"/>
  <c r="AG38" i="1"/>
  <c r="W38" i="1" s="1"/>
  <c r="AA36" i="1"/>
  <c r="T35" i="1"/>
  <c r="U35" i="1" s="1"/>
  <c r="S35" i="1" s="1"/>
  <c r="X33" i="1"/>
  <c r="AA28" i="1"/>
  <c r="T27" i="1"/>
  <c r="AA24" i="1"/>
  <c r="W24" i="1" s="1"/>
  <c r="T23" i="1"/>
  <c r="AA20" i="1"/>
  <c r="W20" i="1" s="1"/>
  <c r="T19" i="1"/>
  <c r="AA17" i="1"/>
  <c r="U224" i="1"/>
  <c r="S224" i="1" s="1"/>
  <c r="AI240" i="1"/>
  <c r="U203" i="1"/>
  <c r="S203" i="1" s="1"/>
  <c r="U220" i="1"/>
  <c r="S220" i="1" s="1"/>
  <c r="AI236" i="1"/>
  <c r="W220" i="1"/>
  <c r="W203" i="1"/>
  <c r="U204" i="1"/>
  <c r="S204" i="1" s="1"/>
  <c r="U195" i="1"/>
  <c r="S195" i="1" s="1"/>
  <c r="AI224" i="1"/>
  <c r="U187" i="1"/>
  <c r="S187" i="1" s="1"/>
  <c r="AI216" i="1"/>
  <c r="AI208" i="1"/>
  <c r="U171" i="1"/>
  <c r="S171" i="1" s="1"/>
  <c r="U163" i="1"/>
  <c r="S163" i="1" s="1"/>
  <c r="AI180" i="1"/>
  <c r="U232" i="1"/>
  <c r="S232" i="1" s="1"/>
  <c r="U219" i="1"/>
  <c r="S219" i="1" s="1"/>
  <c r="AI170" i="1"/>
  <c r="AI147" i="1"/>
  <c r="X225" i="1"/>
  <c r="AG222" i="1"/>
  <c r="X221" i="1"/>
  <c r="AG205" i="1"/>
  <c r="AI205" i="1" s="1"/>
  <c r="X204" i="1"/>
  <c r="AG201" i="1"/>
  <c r="AI201" i="1" s="1"/>
  <c r="X200" i="1"/>
  <c r="X199" i="1"/>
  <c r="U196" i="1"/>
  <c r="S196" i="1" s="1"/>
  <c r="W241" i="1"/>
  <c r="AI184" i="1"/>
  <c r="W231" i="1"/>
  <c r="W229" i="1"/>
  <c r="AI151" i="1"/>
  <c r="AI227" i="1"/>
  <c r="X198" i="1"/>
  <c r="AG197" i="1"/>
  <c r="AI197" i="1" s="1"/>
  <c r="AI220" i="1"/>
  <c r="AI204" i="1"/>
  <c r="U167" i="1"/>
  <c r="S167" i="1" s="1"/>
  <c r="AI196" i="1"/>
  <c r="AI178" i="1"/>
  <c r="U229" i="1"/>
  <c r="S229" i="1" s="1"/>
  <c r="AI176" i="1"/>
  <c r="AI164" i="1"/>
  <c r="U209" i="1"/>
  <c r="S209" i="1" s="1"/>
  <c r="AI155" i="1"/>
  <c r="T199" i="1"/>
  <c r="U199" i="1" s="1"/>
  <c r="S199" i="1" s="1"/>
  <c r="X197" i="1"/>
  <c r="W187" i="1"/>
  <c r="W171" i="1"/>
  <c r="W163" i="1"/>
  <c r="U215" i="1"/>
  <c r="S215" i="1" s="1"/>
  <c r="AI168" i="1"/>
  <c r="U213" i="1"/>
  <c r="S213" i="1" s="1"/>
  <c r="X196" i="1"/>
  <c r="AG193" i="1"/>
  <c r="AI193" i="1" s="1"/>
  <c r="X192" i="1"/>
  <c r="AG189" i="1"/>
  <c r="AI189" i="1" s="1"/>
  <c r="X188" i="1"/>
  <c r="AG185" i="1"/>
  <c r="X184" i="1"/>
  <c r="AG181" i="1"/>
  <c r="AI181" i="1" s="1"/>
  <c r="X180" i="1"/>
  <c r="AG177" i="1"/>
  <c r="X176" i="1"/>
  <c r="AG173" i="1"/>
  <c r="AI173" i="1" s="1"/>
  <c r="X172" i="1"/>
  <c r="AG169" i="1"/>
  <c r="X168" i="1"/>
  <c r="AG165" i="1"/>
  <c r="AI165" i="1" s="1"/>
  <c r="X164" i="1"/>
  <c r="AG161" i="1"/>
  <c r="AG239" i="1"/>
  <c r="AI239" i="1" s="1"/>
  <c r="AG235" i="1"/>
  <c r="AI235" i="1" s="1"/>
  <c r="U153" i="1"/>
  <c r="S153" i="1" s="1"/>
  <c r="U149" i="1"/>
  <c r="S149" i="1" s="1"/>
  <c r="T146" i="1"/>
  <c r="U146" i="1" s="1"/>
  <c r="S146" i="1" s="1"/>
  <c r="AA144" i="1"/>
  <c r="W144" i="1" s="1"/>
  <c r="U194" i="1"/>
  <c r="S194" i="1" s="1"/>
  <c r="U190" i="1"/>
  <c r="S190" i="1" s="1"/>
  <c r="U218" i="1"/>
  <c r="S218" i="1" s="1"/>
  <c r="AG154" i="1"/>
  <c r="AG150" i="1"/>
  <c r="T145" i="1"/>
  <c r="U145" i="1" s="1"/>
  <c r="S145" i="1" s="1"/>
  <c r="AI126" i="1"/>
  <c r="AI118" i="1"/>
  <c r="X232" i="1"/>
  <c r="X228" i="1"/>
  <c r="X154" i="1"/>
  <c r="X150" i="1"/>
  <c r="AI144" i="1"/>
  <c r="U134" i="1"/>
  <c r="S134" i="1" s="1"/>
  <c r="W130" i="1"/>
  <c r="AI130" i="1"/>
  <c r="AI122" i="1"/>
  <c r="AI113" i="1"/>
  <c r="AG142" i="1"/>
  <c r="AG139" i="1"/>
  <c r="W139" i="1" s="1"/>
  <c r="X138" i="1"/>
  <c r="AG135" i="1"/>
  <c r="X134" i="1"/>
  <c r="AG131" i="1"/>
  <c r="X130" i="1"/>
  <c r="T130" i="1"/>
  <c r="U130" i="1" s="1"/>
  <c r="S130" i="1" s="1"/>
  <c r="AG127" i="1"/>
  <c r="X126" i="1"/>
  <c r="T126" i="1"/>
  <c r="U126" i="1" s="1"/>
  <c r="S126" i="1" s="1"/>
  <c r="AG123" i="1"/>
  <c r="X122" i="1"/>
  <c r="T122" i="1"/>
  <c r="U122" i="1" s="1"/>
  <c r="S122" i="1" s="1"/>
  <c r="AG119" i="1"/>
  <c r="W119" i="1" s="1"/>
  <c r="X118" i="1"/>
  <c r="T118" i="1"/>
  <c r="U118" i="1" s="1"/>
  <c r="S118" i="1" s="1"/>
  <c r="S117" i="1"/>
  <c r="W112" i="1"/>
  <c r="T112" i="1"/>
  <c r="U112" i="1" s="1"/>
  <c r="S112" i="1" s="1"/>
  <c r="AI107" i="1"/>
  <c r="U102" i="1"/>
  <c r="S102" i="1" s="1"/>
  <c r="AI102" i="1"/>
  <c r="W98" i="1"/>
  <c r="X139" i="1"/>
  <c r="X135" i="1"/>
  <c r="AI134" i="1"/>
  <c r="X131" i="1"/>
  <c r="X127" i="1"/>
  <c r="X123" i="1"/>
  <c r="X119" i="1"/>
  <c r="AI112" i="1"/>
  <c r="U107" i="1"/>
  <c r="S107" i="1" s="1"/>
  <c r="U98" i="1"/>
  <c r="S98" i="1" s="1"/>
  <c r="AI98" i="1"/>
  <c r="AI86" i="1"/>
  <c r="X112" i="1"/>
  <c r="AI94" i="1"/>
  <c r="T113" i="1"/>
  <c r="U113" i="1" s="1"/>
  <c r="S113" i="1" s="1"/>
  <c r="X113" i="1"/>
  <c r="AI110" i="1"/>
  <c r="U109" i="1"/>
  <c r="S109" i="1" s="1"/>
  <c r="T108" i="1"/>
  <c r="X108" i="1"/>
  <c r="AG108" i="1"/>
  <c r="U106" i="1"/>
  <c r="S106" i="1" s="1"/>
  <c r="AI106" i="1"/>
  <c r="AI90" i="1"/>
  <c r="U89" i="1"/>
  <c r="S89" i="1" s="1"/>
  <c r="X111" i="1"/>
  <c r="X107" i="1"/>
  <c r="AG104" i="1"/>
  <c r="W104" i="1" s="1"/>
  <c r="X103" i="1"/>
  <c r="AG100" i="1"/>
  <c r="X99" i="1"/>
  <c r="AG96" i="1"/>
  <c r="X95" i="1"/>
  <c r="AG92" i="1"/>
  <c r="X91" i="1"/>
  <c r="AG88" i="1"/>
  <c r="T83" i="1"/>
  <c r="U83" i="1" s="1"/>
  <c r="S83" i="1" s="1"/>
  <c r="X83" i="1"/>
  <c r="X82" i="1"/>
  <c r="W74" i="1"/>
  <c r="W66" i="1"/>
  <c r="X104" i="1"/>
  <c r="S103" i="1"/>
  <c r="X100" i="1"/>
  <c r="AI99" i="1"/>
  <c r="X96" i="1"/>
  <c r="AI95" i="1"/>
  <c r="X92" i="1"/>
  <c r="AI91" i="1"/>
  <c r="X88" i="1"/>
  <c r="AI87" i="1"/>
  <c r="S87" i="1"/>
  <c r="U74" i="1"/>
  <c r="S74" i="1" s="1"/>
  <c r="AI74" i="1"/>
  <c r="AI66" i="1"/>
  <c r="AI56" i="1"/>
  <c r="AI52" i="1"/>
  <c r="X109" i="1"/>
  <c r="X105" i="1"/>
  <c r="X101" i="1"/>
  <c r="X97" i="1"/>
  <c r="X93" i="1"/>
  <c r="X89" i="1"/>
  <c r="X85" i="1"/>
  <c r="T82" i="1"/>
  <c r="U82" i="1" s="1"/>
  <c r="S82" i="1" s="1"/>
  <c r="AI82" i="1"/>
  <c r="AI78" i="1"/>
  <c r="U70" i="1"/>
  <c r="AI70" i="1"/>
  <c r="U79" i="1"/>
  <c r="S79" i="1" s="1"/>
  <c r="U71" i="1"/>
  <c r="U67" i="1"/>
  <c r="S67" i="1" s="1"/>
  <c r="AG59" i="1"/>
  <c r="AG55" i="1"/>
  <c r="AG51" i="1"/>
  <c r="AI41" i="1"/>
  <c r="U41" i="1"/>
  <c r="S41" i="1" s="1"/>
  <c r="AI31" i="1"/>
  <c r="AG80" i="1"/>
  <c r="X79" i="1"/>
  <c r="AG76" i="1"/>
  <c r="X75" i="1"/>
  <c r="AG72" i="1"/>
  <c r="W72" i="1" s="1"/>
  <c r="X71" i="1"/>
  <c r="AG68" i="1"/>
  <c r="X67" i="1"/>
  <c r="AG64" i="1"/>
  <c r="X63" i="1"/>
  <c r="AG60" i="1"/>
  <c r="W60" i="1" s="1"/>
  <c r="X59" i="1"/>
  <c r="AI58" i="1"/>
  <c r="X55" i="1"/>
  <c r="X51" i="1"/>
  <c r="AI50" i="1"/>
  <c r="AI47" i="1"/>
  <c r="AI37" i="1"/>
  <c r="AI29" i="1"/>
  <c r="U29" i="1"/>
  <c r="S29" i="1" s="1"/>
  <c r="X80" i="1"/>
  <c r="T80" i="1"/>
  <c r="X76" i="1"/>
  <c r="T76" i="1"/>
  <c r="X72" i="1"/>
  <c r="X68" i="1"/>
  <c r="X64" i="1"/>
  <c r="X60" i="1"/>
  <c r="AI49" i="1"/>
  <c r="U49" i="1"/>
  <c r="S49" i="1" s="1"/>
  <c r="W45" i="1"/>
  <c r="U43" i="1"/>
  <c r="S43" i="1" s="1"/>
  <c r="AI43" i="1"/>
  <c r="W35" i="1"/>
  <c r="AI33" i="1"/>
  <c r="U33" i="1"/>
  <c r="S33" i="1" s="1"/>
  <c r="W27" i="1"/>
  <c r="AI45" i="1"/>
  <c r="U39" i="1"/>
  <c r="S39" i="1" s="1"/>
  <c r="AI39" i="1"/>
  <c r="AI35" i="1"/>
  <c r="U27" i="1"/>
  <c r="S27" i="1" s="1"/>
  <c r="AI27" i="1"/>
  <c r="U23" i="1"/>
  <c r="S23" i="1" s="1"/>
  <c r="AI23" i="1"/>
  <c r="U24" i="1"/>
  <c r="S24" i="1" s="1"/>
  <c r="AG25" i="1"/>
  <c r="AG21" i="1"/>
  <c r="AG14" i="1"/>
  <c r="AG30" i="1"/>
  <c r="W30" i="1" s="1"/>
  <c r="AG26" i="1"/>
  <c r="X25" i="1"/>
  <c r="AG22" i="1"/>
  <c r="AG18" i="1"/>
  <c r="AG15" i="1"/>
  <c r="X46" i="1"/>
  <c r="X42" i="1"/>
  <c r="X38" i="1"/>
  <c r="X34" i="1"/>
  <c r="X30" i="1"/>
  <c r="X26" i="1"/>
  <c r="X15" i="1"/>
  <c r="Y18" i="3"/>
  <c r="AD18" i="3"/>
  <c r="Y33" i="3"/>
  <c r="AD16" i="3"/>
  <c r="AD12" i="3"/>
  <c r="AD41" i="3"/>
  <c r="Y9" i="3"/>
  <c r="Y32" i="3"/>
  <c r="Y36" i="3"/>
  <c r="AD29" i="3"/>
  <c r="Y28" i="3"/>
  <c r="Y34" i="3"/>
  <c r="AD17" i="3"/>
  <c r="T42" i="3"/>
  <c r="Y17" i="3"/>
  <c r="AE11" i="3"/>
  <c r="AD9" i="3"/>
  <c r="AD32" i="3"/>
  <c r="AE16" i="3"/>
  <c r="T41" i="3"/>
  <c r="Y10" i="3"/>
  <c r="Y41" i="3"/>
  <c r="Y35" i="3"/>
  <c r="Y25" i="3"/>
  <c r="Y14" i="3"/>
  <c r="Y21" i="3"/>
  <c r="Y42" i="3"/>
  <c r="AE15" i="3"/>
  <c r="AD13" i="3"/>
  <c r="T20" i="3"/>
  <c r="T10" i="3"/>
  <c r="T19" i="3"/>
  <c r="Y19" i="3"/>
  <c r="AE43" i="3"/>
  <c r="AC7" i="3"/>
  <c r="AE39" i="3"/>
  <c r="AC37" i="3"/>
  <c r="AE35" i="3"/>
  <c r="AC43" i="3"/>
  <c r="AE31" i="3"/>
  <c r="AC30" i="3"/>
  <c r="AE27" i="3"/>
  <c r="AC22" i="3"/>
  <c r="AE24" i="3"/>
  <c r="AC27" i="3"/>
  <c r="AE20" i="3"/>
  <c r="Y20" i="3"/>
  <c r="T23" i="3"/>
  <c r="AE12" i="3"/>
  <c r="T35" i="3"/>
  <c r="T25" i="3"/>
  <c r="AE30" i="3"/>
  <c r="T16" i="3"/>
  <c r="AE42" i="3"/>
  <c r="T38" i="3"/>
  <c r="AE38" i="3"/>
  <c r="T12" i="3"/>
  <c r="AE34" i="3"/>
  <c r="T29" i="3"/>
  <c r="AD42" i="3"/>
  <c r="AE41" i="3"/>
  <c r="T7" i="3"/>
  <c r="AD38" i="3"/>
  <c r="AE37" i="3"/>
  <c r="T37" i="3"/>
  <c r="AD34" i="3"/>
  <c r="AE33" i="3"/>
  <c r="T43" i="3"/>
  <c r="AD30" i="3"/>
  <c r="AE29" i="3"/>
  <c r="T30" i="3"/>
  <c r="AD26" i="3"/>
  <c r="T22" i="3"/>
  <c r="AD23" i="3"/>
  <c r="AE22" i="3"/>
  <c r="T27" i="3"/>
  <c r="AD19" i="3"/>
  <c r="AE18" i="3"/>
  <c r="T39" i="3"/>
  <c r="AD15" i="3"/>
  <c r="AE14" i="3"/>
  <c r="T24" i="3"/>
  <c r="AD11" i="3"/>
  <c r="AE10" i="3"/>
  <c r="T26" i="3"/>
  <c r="AC13" i="3"/>
  <c r="AE26" i="3"/>
  <c r="AE23" i="3"/>
  <c r="T11" i="3"/>
  <c r="AE19" i="3"/>
  <c r="T18" i="3"/>
  <c r="AE36" i="3"/>
  <c r="AE32" i="3"/>
  <c r="AE28" i="3"/>
  <c r="AE25" i="3"/>
  <c r="AE21" i="3"/>
  <c r="AE17" i="3"/>
  <c r="AD14" i="3"/>
  <c r="AE13" i="3"/>
  <c r="AD10" i="3"/>
  <c r="AE9" i="3"/>
  <c r="AE8" i="3"/>
  <c r="AI103" i="1" l="1"/>
  <c r="W85" i="1"/>
  <c r="W156" i="1"/>
  <c r="U36" i="1"/>
  <c r="S36" i="1" s="1"/>
  <c r="U17" i="1"/>
  <c r="S17" i="1" s="1"/>
  <c r="AI19" i="1"/>
  <c r="U42" i="1"/>
  <c r="S42" i="1" s="1"/>
  <c r="U105" i="1"/>
  <c r="S105" i="1" s="1"/>
  <c r="U111" i="1"/>
  <c r="S111" i="1" s="1"/>
  <c r="AI117" i="1"/>
  <c r="AI137" i="1"/>
  <c r="W222" i="1"/>
  <c r="W36" i="1"/>
  <c r="U16" i="1"/>
  <c r="S16" i="1" s="1"/>
  <c r="U147" i="1"/>
  <c r="S147" i="1" s="1"/>
  <c r="W117" i="1"/>
  <c r="W218" i="1"/>
  <c r="U166" i="1"/>
  <c r="S166" i="1" s="1"/>
  <c r="W210" i="1"/>
  <c r="U32" i="1"/>
  <c r="S32" i="1" s="1"/>
  <c r="AI188" i="1"/>
  <c r="W95" i="1"/>
  <c r="W135" i="1"/>
  <c r="W64" i="1"/>
  <c r="W142" i="1"/>
  <c r="W71" i="1"/>
  <c r="W114" i="1"/>
  <c r="W32" i="1"/>
  <c r="W146" i="1"/>
  <c r="U238" i="1"/>
  <c r="S238" i="1" s="1"/>
  <c r="U160" i="1"/>
  <c r="S160" i="1" s="1"/>
  <c r="W69" i="1"/>
  <c r="W125" i="1"/>
  <c r="W148" i="1"/>
  <c r="W116" i="1"/>
  <c r="U44" i="1"/>
  <c r="S44" i="1" s="1"/>
  <c r="U75" i="1"/>
  <c r="S75" i="1" s="1"/>
  <c r="AI192" i="1"/>
  <c r="W28" i="1"/>
  <c r="W62" i="1"/>
  <c r="W48" i="1"/>
  <c r="U73" i="1"/>
  <c r="S73" i="1" s="1"/>
  <c r="W16" i="1"/>
  <c r="U156" i="1"/>
  <c r="S156" i="1" s="1"/>
  <c r="U179" i="1"/>
  <c r="S179" i="1" s="1"/>
  <c r="W192" i="1"/>
  <c r="U40" i="1"/>
  <c r="S40" i="1" s="1"/>
  <c r="W80" i="1"/>
  <c r="U136" i="1"/>
  <c r="S136" i="1" s="1"/>
  <c r="W26" i="1"/>
  <c r="W25" i="1"/>
  <c r="U28" i="1"/>
  <c r="S28" i="1" s="1"/>
  <c r="U48" i="1"/>
  <c r="S48" i="1" s="1"/>
  <c r="U34" i="1"/>
  <c r="S34" i="1" s="1"/>
  <c r="U63" i="1"/>
  <c r="S63" i="1" s="1"/>
  <c r="AI138" i="1"/>
  <c r="AI129" i="1"/>
  <c r="AI162" i="1"/>
  <c r="U175" i="1"/>
  <c r="S175" i="1" s="1"/>
  <c r="AI174" i="1"/>
  <c r="U221" i="1"/>
  <c r="S221" i="1" s="1"/>
  <c r="W75" i="1"/>
  <c r="U69" i="1"/>
  <c r="S69" i="1" s="1"/>
  <c r="U137" i="1"/>
  <c r="S137" i="1" s="1"/>
  <c r="S70" i="1"/>
  <c r="U114" i="1"/>
  <c r="S114" i="1" s="1"/>
  <c r="AI133" i="1"/>
  <c r="AI200" i="1"/>
  <c r="W40" i="1"/>
  <c r="W133" i="1"/>
  <c r="U212" i="1"/>
  <c r="S212" i="1" s="1"/>
  <c r="W46" i="1"/>
  <c r="W50" i="1"/>
  <c r="U46" i="1"/>
  <c r="S46" i="1" s="1"/>
  <c r="AI62" i="1"/>
  <c r="U101" i="1"/>
  <c r="AI232" i="1"/>
  <c r="W58" i="1"/>
  <c r="W97" i="1"/>
  <c r="W129" i="1"/>
  <c r="U121" i="1"/>
  <c r="S121" i="1" s="1"/>
  <c r="U172" i="1"/>
  <c r="S172" i="1" s="1"/>
  <c r="W200" i="1"/>
  <c r="W73" i="1"/>
  <c r="U228" i="1"/>
  <c r="S228" i="1" s="1"/>
  <c r="AI228" i="1"/>
  <c r="U158" i="1"/>
  <c r="S158" i="1" s="1"/>
  <c r="AI212" i="1"/>
  <c r="U116" i="1"/>
  <c r="S116" i="1" s="1"/>
  <c r="U65" i="1"/>
  <c r="S65" i="1" s="1"/>
  <c r="U144" i="1"/>
  <c r="S144" i="1" s="1"/>
  <c r="W136" i="1"/>
  <c r="W158" i="1"/>
  <c r="W65" i="1"/>
  <c r="U176" i="1"/>
  <c r="S176" i="1" s="1"/>
  <c r="W143" i="1"/>
  <c r="W101" i="1"/>
  <c r="W180" i="1"/>
  <c r="U58" i="1"/>
  <c r="S58" i="1" s="1"/>
  <c r="W54" i="1"/>
  <c r="W176" i="1"/>
  <c r="W198" i="1"/>
  <c r="W188" i="1"/>
  <c r="U54" i="1"/>
  <c r="S54" i="1" s="1"/>
  <c r="W44" i="1"/>
  <c r="W111" i="1"/>
  <c r="U148" i="1"/>
  <c r="S148" i="1" s="1"/>
  <c r="AI148" i="1"/>
  <c r="U225" i="1"/>
  <c r="S225" i="1" s="1"/>
  <c r="AI225" i="1"/>
  <c r="W164" i="1"/>
  <c r="W221" i="1"/>
  <c r="U81" i="1"/>
  <c r="S81" i="1" s="1"/>
  <c r="AI81" i="1"/>
  <c r="W138" i="1"/>
  <c r="W208" i="1"/>
  <c r="W172" i="1"/>
  <c r="W161" i="1"/>
  <c r="AI161" i="1"/>
  <c r="W169" i="1"/>
  <c r="AI169" i="1"/>
  <c r="W177" i="1"/>
  <c r="AI177" i="1"/>
  <c r="W185" i="1"/>
  <c r="AI185" i="1"/>
  <c r="U38" i="1"/>
  <c r="S38" i="1" s="1"/>
  <c r="AI38" i="1"/>
  <c r="U85" i="1"/>
  <c r="S85" i="1" s="1"/>
  <c r="AI85" i="1"/>
  <c r="U97" i="1"/>
  <c r="S97" i="1" s="1"/>
  <c r="AI97" i="1"/>
  <c r="AI109" i="1"/>
  <c r="W109" i="1"/>
  <c r="W149" i="1"/>
  <c r="W236" i="1"/>
  <c r="W204" i="1"/>
  <c r="W17" i="1"/>
  <c r="W34" i="1"/>
  <c r="U132" i="1"/>
  <c r="S132" i="1" s="1"/>
  <c r="AI132" i="1"/>
  <c r="W105" i="1"/>
  <c r="W89" i="1"/>
  <c r="U125" i="1"/>
  <c r="S125" i="1" s="1"/>
  <c r="W238" i="1"/>
  <c r="W225" i="1"/>
  <c r="U15" i="1"/>
  <c r="S15" i="1" s="1"/>
  <c r="AI15" i="1"/>
  <c r="U22" i="1"/>
  <c r="S22" i="1" s="1"/>
  <c r="AI22" i="1"/>
  <c r="AI14" i="1"/>
  <c r="U14" i="1"/>
  <c r="S14" i="1" s="1"/>
  <c r="W14" i="1"/>
  <c r="AI68" i="1"/>
  <c r="U68" i="1"/>
  <c r="S68" i="1" s="1"/>
  <c r="AI76" i="1"/>
  <c r="U76" i="1"/>
  <c r="S76" i="1" s="1"/>
  <c r="AI92" i="1"/>
  <c r="U92" i="1"/>
  <c r="S92" i="1" s="1"/>
  <c r="AI100" i="1"/>
  <c r="U100" i="1"/>
  <c r="S100" i="1" s="1"/>
  <c r="AI123" i="1"/>
  <c r="U123" i="1"/>
  <c r="S123" i="1" s="1"/>
  <c r="AI182" i="1"/>
  <c r="U235" i="1"/>
  <c r="S235" i="1" s="1"/>
  <c r="AI226" i="1"/>
  <c r="U197" i="1"/>
  <c r="S197" i="1" s="1"/>
  <c r="W15" i="1"/>
  <c r="AI51" i="1"/>
  <c r="U51" i="1"/>
  <c r="S51" i="1" s="1"/>
  <c r="W51" i="1"/>
  <c r="W68" i="1"/>
  <c r="W76" i="1"/>
  <c r="W92" i="1"/>
  <c r="AI127" i="1"/>
  <c r="U127" i="1"/>
  <c r="S127" i="1" s="1"/>
  <c r="W123" i="1"/>
  <c r="AI154" i="1"/>
  <c r="U154" i="1"/>
  <c r="S154" i="1" s="1"/>
  <c r="AI186" i="1"/>
  <c r="U239" i="1"/>
  <c r="S239" i="1" s="1"/>
  <c r="AI194" i="1"/>
  <c r="U165" i="1"/>
  <c r="S165" i="1" s="1"/>
  <c r="AI202" i="1"/>
  <c r="U173" i="1"/>
  <c r="S173" i="1" s="1"/>
  <c r="AI210" i="1"/>
  <c r="U181" i="1"/>
  <c r="S181" i="1" s="1"/>
  <c r="AI218" i="1"/>
  <c r="U189" i="1"/>
  <c r="S189" i="1" s="1"/>
  <c r="W235" i="1"/>
  <c r="W197" i="1"/>
  <c r="AI230" i="1"/>
  <c r="U201" i="1"/>
  <c r="S201" i="1" s="1"/>
  <c r="AI238" i="1"/>
  <c r="U222" i="1"/>
  <c r="S222" i="1" s="1"/>
  <c r="U18" i="1"/>
  <c r="S18" i="1" s="1"/>
  <c r="AI18" i="1"/>
  <c r="AI21" i="1"/>
  <c r="U21" i="1"/>
  <c r="S21" i="1" s="1"/>
  <c r="W18" i="1"/>
  <c r="W22" i="1"/>
  <c r="AI60" i="1"/>
  <c r="U60" i="1"/>
  <c r="S60" i="1" s="1"/>
  <c r="AI64" i="1"/>
  <c r="U64" i="1"/>
  <c r="S64" i="1" s="1"/>
  <c r="AI72" i="1"/>
  <c r="U72" i="1"/>
  <c r="S72" i="1" s="1"/>
  <c r="AI80" i="1"/>
  <c r="U80" i="1"/>
  <c r="S80" i="1" s="1"/>
  <c r="AI55" i="1"/>
  <c r="U55" i="1"/>
  <c r="S55" i="1" s="1"/>
  <c r="W55" i="1"/>
  <c r="AI88" i="1"/>
  <c r="U88" i="1"/>
  <c r="S88" i="1" s="1"/>
  <c r="AI96" i="1"/>
  <c r="U96" i="1"/>
  <c r="S96" i="1" s="1"/>
  <c r="AI104" i="1"/>
  <c r="U104" i="1"/>
  <c r="S104" i="1" s="1"/>
  <c r="AI108" i="1"/>
  <c r="U108" i="1"/>
  <c r="S108" i="1" s="1"/>
  <c r="W96" i="1"/>
  <c r="W100" i="1"/>
  <c r="AI131" i="1"/>
  <c r="U131" i="1"/>
  <c r="S131" i="1" s="1"/>
  <c r="AI135" i="1"/>
  <c r="U135" i="1"/>
  <c r="S135" i="1" s="1"/>
  <c r="AI139" i="1"/>
  <c r="U139" i="1"/>
  <c r="S139" i="1" s="1"/>
  <c r="U142" i="1"/>
  <c r="S142" i="1" s="1"/>
  <c r="AI142" i="1"/>
  <c r="W127" i="1"/>
  <c r="W201" i="1"/>
  <c r="U26" i="1"/>
  <c r="S26" i="1" s="1"/>
  <c r="AI26" i="1"/>
  <c r="U30" i="1"/>
  <c r="S30" i="1" s="1"/>
  <c r="AI30" i="1"/>
  <c r="AI25" i="1"/>
  <c r="U25" i="1"/>
  <c r="S25" i="1" s="1"/>
  <c r="W21" i="1"/>
  <c r="AI59" i="1"/>
  <c r="U59" i="1"/>
  <c r="S59" i="1" s="1"/>
  <c r="W59" i="1"/>
  <c r="W108" i="1"/>
  <c r="W88" i="1"/>
  <c r="AI119" i="1"/>
  <c r="U119" i="1"/>
  <c r="S119" i="1" s="1"/>
  <c r="W131" i="1"/>
  <c r="AI150" i="1"/>
  <c r="U150" i="1"/>
  <c r="S150" i="1" s="1"/>
  <c r="AI190" i="1"/>
  <c r="U161" i="1"/>
  <c r="S161" i="1" s="1"/>
  <c r="AI198" i="1"/>
  <c r="U169" i="1"/>
  <c r="S169" i="1" s="1"/>
  <c r="AI206" i="1"/>
  <c r="U177" i="1"/>
  <c r="S177" i="1" s="1"/>
  <c r="AI214" i="1"/>
  <c r="U185" i="1"/>
  <c r="S185" i="1" s="1"/>
  <c r="AI222" i="1"/>
  <c r="U193" i="1"/>
  <c r="S193" i="1" s="1"/>
  <c r="W154" i="1"/>
  <c r="W193" i="1"/>
  <c r="W150" i="1"/>
  <c r="AI234" i="1"/>
  <c r="U205" i="1"/>
  <c r="S205" i="1" s="1"/>
  <c r="W239" i="1"/>
  <c r="W165" i="1"/>
  <c r="W173" i="1"/>
  <c r="W181" i="1"/>
  <c r="W189" i="1"/>
  <c r="W205" i="1"/>
  <c r="M40" i="3"/>
  <c r="R40" i="3"/>
  <c r="S40" i="3"/>
  <c r="U40" i="3"/>
  <c r="V40" i="3"/>
  <c r="W40" i="3"/>
  <c r="X40" i="3"/>
  <c r="AC40" i="3" l="1"/>
  <c r="AD40" i="3"/>
  <c r="AE40" i="3"/>
  <c r="Y40" i="3"/>
  <c r="T40" i="3"/>
  <c r="O2" i="3" l="1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N13" i="3" s="1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N31" i="3" s="1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N20" i="3" s="1"/>
  <c r="G80" i="4"/>
  <c r="G81" i="4"/>
  <c r="G82" i="4"/>
  <c r="G83" i="4"/>
  <c r="G84" i="4"/>
  <c r="G85" i="4"/>
  <c r="G86" i="4"/>
  <c r="G87" i="4"/>
  <c r="G88" i="4"/>
  <c r="G89" i="4"/>
  <c r="G90" i="4"/>
  <c r="G91" i="4"/>
  <c r="N23" i="3" s="1"/>
  <c r="G92" i="4"/>
  <c r="G93" i="4"/>
  <c r="N18" i="3" s="1"/>
  <c r="G94" i="4"/>
  <c r="G95" i="4"/>
  <c r="N33" i="3" s="1"/>
  <c r="G96" i="4"/>
  <c r="G97" i="4"/>
  <c r="N42" i="3" s="1"/>
  <c r="G98" i="4"/>
  <c r="G99" i="4"/>
  <c r="G100" i="4"/>
  <c r="N39" i="3" s="1"/>
  <c r="G101" i="4"/>
  <c r="G102" i="4"/>
  <c r="G103" i="4"/>
  <c r="G104" i="4"/>
  <c r="G105" i="4"/>
  <c r="G106" i="4"/>
  <c r="N21" i="3" s="1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N27" i="3" s="1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N14" i="3" s="1"/>
  <c r="G142" i="4"/>
  <c r="N34" i="3" s="1"/>
  <c r="G143" i="4"/>
  <c r="G144" i="4"/>
  <c r="G145" i="4"/>
  <c r="G146" i="4"/>
  <c r="G147" i="4"/>
  <c r="G148" i="4"/>
  <c r="N28" i="3" s="1"/>
  <c r="G149" i="4"/>
  <c r="G150" i="4"/>
  <c r="G151" i="4"/>
  <c r="G152" i="4"/>
  <c r="G153" i="4"/>
  <c r="G154" i="4"/>
  <c r="G155" i="4"/>
  <c r="G156" i="4"/>
  <c r="G157" i="4"/>
  <c r="G158" i="4"/>
  <c r="G159" i="4"/>
  <c r="G160" i="4"/>
  <c r="N30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N16" i="3" s="1"/>
  <c r="G174" i="4"/>
  <c r="G175" i="4"/>
  <c r="G176" i="4"/>
  <c r="G177" i="4"/>
  <c r="N29" i="3" s="1"/>
  <c r="G178" i="4"/>
  <c r="G179" i="4"/>
  <c r="G180" i="4"/>
  <c r="G181" i="4"/>
  <c r="G182" i="4"/>
  <c r="G183" i="4"/>
  <c r="G184" i="4"/>
  <c r="G185" i="4"/>
  <c r="N43" i="3" s="1"/>
  <c r="G186" i="4"/>
  <c r="N41" i="3" s="1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N12" i="3" s="1"/>
  <c r="G200" i="4"/>
  <c r="G201" i="4"/>
  <c r="G202" i="4"/>
  <c r="G203" i="4"/>
  <c r="G204" i="4"/>
  <c r="G205" i="4"/>
  <c r="G206" i="4"/>
  <c r="G207" i="4"/>
  <c r="G208" i="4"/>
  <c r="N19" i="3" s="1"/>
  <c r="G209" i="4"/>
  <c r="G210" i="4"/>
  <c r="N9" i="3" s="1"/>
  <c r="G211" i="4"/>
  <c r="G212" i="4"/>
  <c r="G213" i="4"/>
  <c r="G214" i="4"/>
  <c r="G215" i="4"/>
  <c r="G216" i="4"/>
  <c r="G217" i="4"/>
  <c r="G218" i="4"/>
  <c r="G219" i="4"/>
  <c r="G220" i="4"/>
  <c r="G221" i="4"/>
  <c r="N7" i="3" s="1"/>
  <c r="G222" i="4"/>
  <c r="G223" i="4"/>
  <c r="G224" i="4"/>
  <c r="G225" i="4"/>
  <c r="G226" i="4"/>
  <c r="G227" i="4"/>
  <c r="G228" i="4"/>
  <c r="N10" i="3" s="1"/>
  <c r="G229" i="4"/>
  <c r="N38" i="3" s="1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2" i="3" l="1"/>
  <c r="N37" i="3"/>
  <c r="N35" i="3"/>
  <c r="N36" i="3"/>
  <c r="N22" i="3"/>
  <c r="N25" i="3"/>
  <c r="N17" i="3"/>
  <c r="N24" i="3"/>
  <c r="N11" i="3"/>
  <c r="N15" i="3"/>
  <c r="N40" i="3"/>
  <c r="N8" i="3"/>
  <c r="N26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3" i="3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H3" i="6"/>
  <c r="J3" i="6"/>
  <c r="G3" i="6"/>
  <c r="B4" i="6"/>
  <c r="I4" i="6" l="1"/>
  <c r="F4" i="6"/>
  <c r="B5" i="6"/>
  <c r="G4" i="6"/>
  <c r="J4" i="6"/>
  <c r="H4" i="6"/>
  <c r="I5" i="6" l="1"/>
  <c r="F5" i="6"/>
  <c r="G5" i="6"/>
  <c r="H5" i="6"/>
  <c r="J5" i="6"/>
  <c r="B6" i="6"/>
  <c r="I6" i="6" l="1"/>
  <c r="F6" i="6"/>
  <c r="J6" i="6"/>
  <c r="G6" i="6"/>
  <c r="H6" i="6"/>
  <c r="B7" i="6"/>
  <c r="I7" i="6" l="1"/>
  <c r="F7" i="6"/>
  <c r="G7" i="6"/>
  <c r="H7" i="6"/>
  <c r="J7" i="6"/>
  <c r="B8" i="6"/>
  <c r="I8" i="6" l="1"/>
  <c r="F8" i="6"/>
  <c r="B9" i="6"/>
  <c r="J8" i="6"/>
  <c r="H8" i="6"/>
  <c r="G8" i="6"/>
  <c r="I9" i="6" l="1"/>
  <c r="F9" i="6"/>
  <c r="J9" i="6"/>
  <c r="G9" i="6"/>
  <c r="H9" i="6"/>
  <c r="B10" i="6"/>
  <c r="I10" i="6" l="1"/>
  <c r="F10" i="6"/>
  <c r="B11" i="6"/>
  <c r="G10" i="6"/>
  <c r="J10" i="6"/>
  <c r="H10" i="6"/>
  <c r="I11" i="6" l="1"/>
  <c r="F11" i="6"/>
  <c r="G11" i="6"/>
  <c r="J11" i="6"/>
  <c r="H11" i="6"/>
  <c r="B73" i="6" l="1"/>
  <c r="I73" i="6" l="1"/>
  <c r="F73" i="6"/>
  <c r="B74" i="6"/>
  <c r="H73" i="6"/>
  <c r="G73" i="6"/>
  <c r="J73" i="6"/>
  <c r="I74" i="6" l="1"/>
  <c r="F74" i="6"/>
  <c r="B75" i="6"/>
  <c r="J74" i="6"/>
  <c r="G74" i="6"/>
  <c r="H74" i="6"/>
  <c r="I75" i="6" l="1"/>
  <c r="F75" i="6"/>
  <c r="H75" i="6"/>
  <c r="G75" i="6"/>
  <c r="J75" i="6"/>
  <c r="B76" i="6"/>
  <c r="I76" i="6" l="1"/>
  <c r="F76" i="6"/>
  <c r="H76" i="6"/>
  <c r="J76" i="6"/>
  <c r="G76" i="6"/>
  <c r="B77" i="6"/>
  <c r="I77" i="6" l="1"/>
  <c r="F77" i="6"/>
  <c r="G77" i="6"/>
  <c r="J77" i="6"/>
  <c r="H77" i="6"/>
  <c r="B78" i="6"/>
  <c r="I78" i="6" l="1"/>
  <c r="F78" i="6"/>
  <c r="B79" i="6"/>
  <c r="H78" i="6"/>
  <c r="J78" i="6"/>
  <c r="G78" i="6"/>
  <c r="I79" i="6" l="1"/>
  <c r="F79" i="6"/>
  <c r="B80" i="6"/>
  <c r="J79" i="6"/>
  <c r="H79" i="6"/>
  <c r="G79" i="6"/>
  <c r="I80" i="6" l="1"/>
  <c r="F80" i="6"/>
  <c r="B82" i="6"/>
  <c r="B81" i="6"/>
  <c r="G80" i="6"/>
  <c r="H80" i="6"/>
  <c r="J80" i="6"/>
  <c r="I81" i="6" l="1"/>
  <c r="F81" i="6"/>
  <c r="I82" i="6"/>
  <c r="F82" i="6"/>
  <c r="G81" i="6"/>
  <c r="H81" i="6"/>
  <c r="J81" i="6"/>
  <c r="J82" i="6"/>
  <c r="G82" i="6"/>
  <c r="H82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<sst xmlns="http://schemas.openxmlformats.org/spreadsheetml/2006/main" count="2844" uniqueCount="1030">
  <si>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</si>
  <si>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</si>
  <si>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</si>
  <si>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</si>
  <si>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</si>
  <si>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</si>
  <si>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</si>
  <si>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</si>
  <si>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</si>
  <si>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</si>
  <si>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</si>
  <si>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</si>
  <si>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</si>
  <si>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</si>
  <si>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</si>
  <si>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</si>
  <si>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</si>
  <si>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</si>
  <si>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</si>
  <si>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</si>
  <si>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</si>
  <si>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</si>
  <si>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</si>
  <si>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</si>
  <si>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</si>
  <si>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</si>
  <si>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</si>
  <si>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</si>
  <si>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</si>
  <si>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</si>
  <si>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</si>
  <si>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</si>
  <si>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</si>
  <si>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</si>
  <si>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</si>
  <si>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</si>
  <si>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</si>
  <si>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</si>
  <si>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</si>
  <si>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</si>
  <si>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</si>
  <si>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</si>
  <si>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</si>
  <si>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</si>
  <si>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</si>
  <si>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</si>
  <si>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</si>
  <si>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</si>
  <si>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</si>
  <si>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</si>
  <si>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</si>
  <si>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</si>
  <si>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</si>
  <si>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</si>
  <si>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</si>
  <si>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</si>
  <si>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</si>
  <si>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</si>
  <si>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</si>
  <si>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</si>
  <si>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</si>
  <si>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</si>
  <si>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</si>
  <si>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</si>
  <si>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</si>
  <si>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</si>
  <si>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</si>
  <si>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</si>
  <si>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</si>
  <si>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</si>
  <si>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</si>
  <si>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</si>
  <si>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</si>
  <si>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</si>
  <si>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</si>
  <si>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</si>
  <si>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</si>
  <si>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</si>
  <si>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</si>
  <si>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</si>
  <si>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</si>
  <si>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</si>
  <si>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</si>
  <si>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</si>
  <si>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</si>
  <si>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</si>
  <si>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</si>
  <si>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</si>
  <si>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</si>
  <si>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</si>
  <si>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</si>
  <si>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</si>
  <si>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</si>
  <si>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</si>
  <si>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</si>
  <si>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</si>
  <si>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</si>
  <si>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</si>
  <si>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</si>
  <si>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</si>
  <si>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</si>
  <si>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</si>
  <si>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</si>
  <si>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</si>
  <si>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</si>
  <si>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</si>
  <si>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</si>
  <si>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</si>
  <si>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</si>
  <si>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</si>
  <si>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</si>
  <si>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</si>
  <si>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</si>
  <si>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</si>
  <si>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</si>
  <si>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</si>
  <si>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</si>
  <si>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</si>
  <si>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</si>
  <si>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</si>
  <si>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</si>
  <si>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</si>
  <si>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</si>
  <si>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</si>
  <si>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</si>
  <si>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</si>
  <si>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</si>
  <si>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</si>
  <si>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</si>
  <si>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</si>
  <si>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</si>
  <si>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</si>
  <si>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</si>
  <si>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</si>
  <si>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</si>
  <si>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</si>
  <si>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</si>
  <si>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</si>
  <si>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</si>
  <si>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</si>
  <si>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</si>
  <si>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</si>
  <si>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</si>
  <si>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</si>
  <si>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</si>
  <si>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</si>
  <si>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</si>
  <si>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</si>
  <si>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</si>
  <si>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</si>
  <si>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</si>
  <si>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</si>
  <si>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</si>
  <si>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</si>
  <si>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</si>
  <si>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</si>
  <si>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</si>
  <si>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</si>
  <si>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</si>
  <si>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</si>
  <si>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</si>
  <si>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</si>
  <si>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</si>
  <si>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</si>
  <si>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</si>
  <si>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</si>
  <si>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</si>
  <si>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</si>
  <si>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</si>
  <si>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</si>
  <si>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</si>
  <si>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</si>
  <si>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</si>
  <si>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</si>
  <si>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</si>
  <si>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</si>
  <si>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</si>
  <si>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</si>
  <si>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</si>
  <si>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</si>
  <si>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</si>
  <si>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</si>
  <si>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</si>
  <si>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</si>
  <si>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</si>
  <si>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</si>
  <si>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</si>
  <si>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</si>
  <si>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</si>
  <si>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</si>
  <si>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</si>
  <si>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</si>
  <si>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</si>
  <si>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</si>
  <si>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</si>
  <si>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</si>
  <si>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</si>
  <si>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</si>
  <si>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</si>
  <si>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</si>
  <si>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</si>
  <si>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</si>
  <si>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</si>
  <si>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</si>
  <si>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</si>
  <si>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</si>
  <si>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</si>
  <si>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</si>
  <si>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</si>
  <si>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</si>
  <si>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</si>
  <si>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</si>
  <si>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</si>
  <si>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</si>
  <si>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</si>
  <si>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</si>
  <si>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</si>
  <si>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</si>
  <si>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</si>
  <si>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</si>
  <si>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</si>
  <si>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</si>
  <si>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</si>
  <si>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</si>
  <si>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</si>
  <si>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</si>
  <si>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</si>
  <si>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</si>
  <si>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</si>
  <si>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</si>
  <si>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</si>
  <si>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</si>
  <si>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</si>
  <si>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</si>
  <si>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</si>
  <si>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</si>
  <si>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</si>
  <si>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</si>
  <si>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</si>
  <si>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</si>
  <si>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</si>
  <si>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</si>
  <si>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</si>
  <si>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</si>
  <si>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</si>
  <si>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</si>
  <si>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</si>
  <si>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</si>
  <si>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</si>
  <si>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</si>
  <si>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</si>
  <si>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</si>
  <si>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</si>
  <si>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</si>
  <si>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</si>
  <si>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</si>
  <si>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</si>
  <si>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</si>
  <si>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</si>
  <si>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</si>
  <si>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</si>
  <si>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</si>
  <si>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</si>
  <si>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</si>
  <si>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</si>
  <si>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</si>
  <si>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</si>
  <si>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</si>
  <si>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</si>
  <si>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</si>
  <si>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</si>
  <si>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</si>
  <si>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</si>
  <si>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</si>
  <si>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</si>
  <si>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</si>
  <si>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</si>
  <si>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</si>
  <si>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</si>
  <si>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</si>
  <si>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</si>
  <si>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</si>
  <si>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</si>
  <si>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</si>
  <si>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</si>
  <si>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</si>
  <si>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</si>
  <si>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</si>
  <si>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</si>
  <si>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</si>
  <si>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</si>
  <si>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</si>
  <si>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</si>
  <si>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</si>
  <si>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</si>
  <si>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</si>
  <si>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</si>
  <si>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</si>
  <si>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</si>
  <si>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</si>
  <si>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</si>
  <si>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</si>
  <si>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</si>
  <si>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</si>
  <si>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</si>
  <si>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</si>
  <si>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</si>
  <si>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</si>
  <si>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</si>
  <si>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</si>
  <si>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</si>
  <si>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</si>
  <si>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</si>
  <si>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</si>
  <si>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</si>
  <si>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</si>
  <si>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</si>
  <si>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</si>
  <si>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</si>
  <si>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</si>
  <si>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</si>
  <si>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</si>
  <si>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</si>
  <si>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</si>
  <si>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</si>
  <si>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</si>
  <si>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</si>
  <si>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</si>
  <si>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</si>
  <si>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</si>
  <si>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</si>
  <si>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</si>
  <si>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</si>
  <si>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</si>
  <si>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</si>
  <si>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</si>
  <si>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</si>
  <si>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</si>
  <si>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</si>
  <si>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</si>
  <si>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</si>
  <si>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</si>
  <si>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</si>
  <si>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</si>
  <si>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</si>
  <si>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</si>
  <si>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</si>
  <si>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</si>
  <si>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</si>
  <si>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</si>
  <si>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</si>
  <si>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</si>
  <si>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</si>
  <si>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</si>
  <si>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</si>
  <si>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</si>
  <si>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</si>
  <si>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</si>
  <si>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</si>
  <si>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</si>
  <si>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</si>
  <si>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</si>
  <si>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</si>
  <si>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</si>
  <si>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</si>
  <si>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</si>
  <si>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</si>
  <si>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</si>
  <si>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</si>
  <si>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</si>
  <si>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</si>
  <si>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</si>
  <si>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</si>
  <si>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</si>
  <si>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</si>
  <si>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</si>
  <si>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204:138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</si>
  <si>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</si>
  <si>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</si>
  <si>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</si>
  <si>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</si>
  <si>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</si>
  <si>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204:446</t>
  </si>
  <si>
    <t>rtdc.l.rtdc.4009:itc</t>
  </si>
  <si>
    <t>rtdc.l.rtdc.4045:itc</t>
  </si>
  <si>
    <t>204:145</t>
  </si>
  <si>
    <t>204:160</t>
  </si>
  <si>
    <t>DUNCAN</t>
  </si>
  <si>
    <t>SHEILA</t>
  </si>
  <si>
    <t>204:458</t>
  </si>
  <si>
    <t>rtdc.l.rtdc.4004:itc</t>
  </si>
  <si>
    <t>rtdc.l.rtdc.4003:itc</t>
  </si>
  <si>
    <t>GUZMAN</t>
  </si>
  <si>
    <t>DANNY</t>
  </si>
  <si>
    <t>81-04</t>
  </si>
  <si>
    <t>82-04</t>
  </si>
  <si>
    <t>240-04</t>
  </si>
  <si>
    <t>315-04</t>
  </si>
  <si>
    <t>242-04</t>
  </si>
  <si>
    <t>244-04</t>
  </si>
  <si>
    <t>309-04</t>
  </si>
  <si>
    <t>311-04</t>
  </si>
  <si>
    <t>313-04</t>
  </si>
  <si>
    <t>204:467</t>
  </si>
  <si>
    <t>rtdc.l.rtdc.4054:itc</t>
  </si>
  <si>
    <t>204:150</t>
  </si>
  <si>
    <t>204:149</t>
  </si>
  <si>
    <t>204:143</t>
  </si>
  <si>
    <t>partly-cloudy-day</t>
  </si>
  <si>
    <t>204:466</t>
  </si>
  <si>
    <t>204:469</t>
  </si>
  <si>
    <t>rtdc.l.rtdc.4039:itc</t>
  </si>
  <si>
    <t>rtdc.l.rtdc.4040:itc</t>
  </si>
  <si>
    <t>204:451</t>
  </si>
  <si>
    <t>300:23346</t>
  </si>
  <si>
    <t>rtdc.l.rtdc.4018:itc</t>
  </si>
  <si>
    <t>precipType</t>
  </si>
  <si>
    <t>THOMAS</t>
  </si>
  <si>
    <t>204:233314</t>
  </si>
  <si>
    <t>204:464</t>
  </si>
  <si>
    <t>204:233300</t>
  </si>
  <si>
    <t>rtdc.l.rtdc.4053:itc</t>
  </si>
  <si>
    <t>204:156</t>
  </si>
  <si>
    <t>204:233310</t>
  </si>
  <si>
    <t>300:23302</t>
  </si>
  <si>
    <t>rtdc.l.rtdc.4017:itc</t>
  </si>
  <si>
    <t>204:233304</t>
  </si>
  <si>
    <t>204:453</t>
  </si>
  <si>
    <t>204:435</t>
  </si>
  <si>
    <t>204:232978</t>
  </si>
  <si>
    <t>204:232973</t>
  </si>
  <si>
    <t>204:233003</t>
  </si>
  <si>
    <t>204:232969</t>
  </si>
  <si>
    <t>204:233312</t>
  </si>
  <si>
    <t>204:440</t>
  </si>
  <si>
    <t>204:232982</t>
  </si>
  <si>
    <t>204:232996</t>
  </si>
  <si>
    <t>204:232993</t>
  </si>
  <si>
    <t>204:232984</t>
  </si>
  <si>
    <t>204:176</t>
  </si>
  <si>
    <t>300:23304</t>
  </si>
  <si>
    <t>rtdc.l.rtdc.4032:itc</t>
  </si>
  <si>
    <t>rtdc.l.rtdc.4061:itc</t>
  </si>
  <si>
    <t>YORK</t>
  </si>
  <si>
    <t>EDGAR</t>
  </si>
  <si>
    <t>204:233293</t>
  </si>
  <si>
    <t>204:444</t>
  </si>
  <si>
    <t>204:161</t>
  </si>
  <si>
    <t>204:447</t>
  </si>
  <si>
    <t>204:139</t>
  </si>
  <si>
    <t>300:58621</t>
  </si>
  <si>
    <t>rtdc.l.rtdc.4042:itc</t>
  </si>
  <si>
    <t>rtdc.l.rtdc.4060:itc</t>
  </si>
  <si>
    <t>SANTIZO</t>
  </si>
  <si>
    <t>D. EDY</t>
  </si>
  <si>
    <t>MAELZER</t>
  </si>
  <si>
    <t>KURT</t>
  </si>
  <si>
    <t>DAVIS</t>
  </si>
  <si>
    <t>LEVIN</t>
  </si>
  <si>
    <t>SCOTT</t>
  </si>
  <si>
    <t>LALONDE</t>
  </si>
  <si>
    <t>GREGORY</t>
  </si>
  <si>
    <t>204:165</t>
  </si>
  <si>
    <t>204:232986</t>
  </si>
  <si>
    <t>204:141</t>
  </si>
  <si>
    <t>204:233318</t>
  </si>
  <si>
    <t>204:163</t>
  </si>
  <si>
    <t>300:58943</t>
  </si>
  <si>
    <t>300:58933</t>
  </si>
  <si>
    <t>300:58628</t>
  </si>
  <si>
    <t>204:233282</t>
  </si>
  <si>
    <t>204:233308</t>
  </si>
  <si>
    <t>204:233336</t>
  </si>
  <si>
    <t>234-01</t>
  </si>
  <si>
    <t>STARKS</t>
  </si>
  <si>
    <t>ANGELINA</t>
  </si>
  <si>
    <t>THOMPSON</t>
  </si>
  <si>
    <t>LESTER</t>
  </si>
  <si>
    <t>LAMAR</t>
  </si>
  <si>
    <t>NEKESHA</t>
  </si>
  <si>
    <t>SPECTOR</t>
  </si>
  <si>
    <t>CLARK</t>
  </si>
  <si>
    <t>KATHLEEN</t>
  </si>
  <si>
    <t>BIRENBAUM</t>
  </si>
  <si>
    <t>ZEWDU</t>
  </si>
  <si>
    <t>DEREJE</t>
  </si>
  <si>
    <t>80-01</t>
  </si>
  <si>
    <t>81-01</t>
  </si>
  <si>
    <t>230-01</t>
  </si>
  <si>
    <t>847-01</t>
  </si>
  <si>
    <t>235-01</t>
  </si>
  <si>
    <t>232-01</t>
  </si>
  <si>
    <t>908-01</t>
  </si>
  <si>
    <t>237-01</t>
  </si>
  <si>
    <t>239-01</t>
  </si>
  <si>
    <t>236-01</t>
  </si>
  <si>
    <t>241-01</t>
  </si>
  <si>
    <t>238-01</t>
  </si>
  <si>
    <t>240-01</t>
  </si>
  <si>
    <t>243-01</t>
  </si>
  <si>
    <t>315-01</t>
  </si>
  <si>
    <t>242-01</t>
  </si>
  <si>
    <t>309-01</t>
  </si>
  <si>
    <t>244-01</t>
  </si>
  <si>
    <t>311-01</t>
  </si>
  <si>
    <t>313-01</t>
  </si>
  <si>
    <t>rain</t>
  </si>
  <si>
    <t>Mostly Cloudy</t>
  </si>
  <si>
    <t>204:147</t>
  </si>
  <si>
    <t>204:233323</t>
  </si>
  <si>
    <t>204:232981</t>
  </si>
  <si>
    <t>204:233291</t>
  </si>
  <si>
    <t>204:232965</t>
  </si>
  <si>
    <t>204:136</t>
  </si>
  <si>
    <t>204:233332</t>
  </si>
  <si>
    <t>204:232972</t>
  </si>
  <si>
    <t>204:958</t>
  </si>
  <si>
    <t>204:232976</t>
  </si>
  <si>
    <t>204:233302</t>
  </si>
  <si>
    <t>204:950</t>
  </si>
  <si>
    <t>300:58950</t>
  </si>
  <si>
    <t>300:58636</t>
  </si>
  <si>
    <t>300:58619</t>
  </si>
  <si>
    <t>Onboard in-route failure</t>
  </si>
  <si>
    <t>Early arrival</t>
  </si>
  <si>
    <t>:.+((SYSTEM_STATE.+slice.+state.+changed )|(ment ac)|(multiple cpu faults)|(system.+state.+changed )|(\[timeout)|(PRM\|1\|D)|(kpr)|(kdp)|(train st.+moving)|(\|lc)|(penalty))</t>
  </si>
  <si>
    <t>rtdc.l.rtdc.4015:itc</t>
  </si>
  <si>
    <t>242-02</t>
  </si>
  <si>
    <t>LOZA</t>
  </si>
  <si>
    <t>FIDEL</t>
  </si>
  <si>
    <t>FRANK</t>
  </si>
  <si>
    <t>DE LA ROSA</t>
  </si>
  <si>
    <t>ALEX</t>
  </si>
  <si>
    <t>rtdc.l.rtdc.4016:itc</t>
  </si>
  <si>
    <t>309-02</t>
  </si>
  <si>
    <t>244-02</t>
  </si>
  <si>
    <t>311-02</t>
  </si>
  <si>
    <t>313-02</t>
  </si>
  <si>
    <t>Drizzle</t>
  </si>
  <si>
    <t>Light Rain</t>
  </si>
  <si>
    <t>204:761</t>
  </si>
  <si>
    <t>204:233289</t>
  </si>
  <si>
    <t>204:442</t>
  </si>
  <si>
    <t>204:233288</t>
  </si>
  <si>
    <t>204:233316</t>
  </si>
  <si>
    <t>204:233319</t>
  </si>
  <si>
    <t>204:471</t>
  </si>
  <si>
    <t>204:437</t>
  </si>
  <si>
    <t>204:232989</t>
  </si>
  <si>
    <t>204:232980</t>
  </si>
  <si>
    <t>204:473</t>
  </si>
  <si>
    <t>204:232985</t>
  </si>
  <si>
    <t>204:233307</t>
  </si>
  <si>
    <t>204:130</t>
  </si>
  <si>
    <t>204:427</t>
  </si>
  <si>
    <t>204:233361</t>
  </si>
  <si>
    <t>204:233326</t>
  </si>
  <si>
    <t>204:232975</t>
  </si>
  <si>
    <t>204:233343</t>
  </si>
  <si>
    <t>204:233017</t>
  </si>
  <si>
    <t>204:233011</t>
  </si>
  <si>
    <t>300:23312</t>
  </si>
  <si>
    <t>300:58928</t>
  </si>
  <si>
    <t>204:701</t>
  </si>
  <si>
    <t>300:58935</t>
  </si>
  <si>
    <t>300:58958</t>
  </si>
  <si>
    <t>204:687</t>
  </si>
  <si>
    <t>204:957</t>
  </si>
  <si>
    <t>204:680</t>
  </si>
  <si>
    <t>204:1009</t>
  </si>
  <si>
    <t>204:969</t>
  </si>
  <si>
    <t>300:58944</t>
  </si>
  <si>
    <t>300:58990</t>
  </si>
  <si>
    <t>204:654</t>
  </si>
  <si>
    <t>204:985</t>
  </si>
  <si>
    <t>204:682</t>
  </si>
  <si>
    <t>300:58939</t>
  </si>
  <si>
    <t>300:23285</t>
  </si>
  <si>
    <t>rtdc.l.rtdc.4023:itc</t>
  </si>
  <si>
    <t>304-03</t>
  </si>
  <si>
    <t>SWITCH UNKNOWN</t>
  </si>
  <si>
    <t>Track device (7)</t>
  </si>
  <si>
    <t>105-03</t>
  </si>
  <si>
    <t>106-03</t>
  </si>
  <si>
    <t>805-03</t>
  </si>
  <si>
    <t>141-03</t>
  </si>
  <si>
    <t>SIGNAL</t>
  </si>
  <si>
    <t>Signal based authority (5)</t>
  </si>
  <si>
    <t>140-03</t>
  </si>
  <si>
    <t>144-03</t>
  </si>
  <si>
    <t>rtdc.l.rtdc.4051:itc</t>
  </si>
  <si>
    <t>54-03</t>
  </si>
  <si>
    <t>rtdc.l.rtdc.4006:itc</t>
  </si>
  <si>
    <t>815-03</t>
  </si>
  <si>
    <t>57-03</t>
  </si>
  <si>
    <t>146-03</t>
  </si>
  <si>
    <t>157-03</t>
  </si>
  <si>
    <t>166-03</t>
  </si>
  <si>
    <t>164-03</t>
  </si>
  <si>
    <t>185-03</t>
  </si>
  <si>
    <t>823-03</t>
  </si>
  <si>
    <t>rtdc.l.rtdc.4011:itc</t>
  </si>
  <si>
    <t>186-03</t>
  </si>
  <si>
    <t>184-03</t>
  </si>
  <si>
    <t>197-03</t>
  </si>
  <si>
    <t>205-03</t>
  </si>
  <si>
    <t>831-03</t>
  </si>
  <si>
    <t>70-03</t>
  </si>
  <si>
    <t>202-03</t>
  </si>
  <si>
    <t>72-03</t>
  </si>
  <si>
    <t>835-03</t>
  </si>
  <si>
    <t>214-03</t>
  </si>
  <si>
    <t>220-03</t>
  </si>
  <si>
    <t>rtdc.l.rtdc.4024:itc</t>
  </si>
  <si>
    <t>223-03</t>
  </si>
  <si>
    <t>226-03</t>
  </si>
  <si>
    <t>847-03</t>
  </si>
  <si>
    <t>235-03</t>
  </si>
  <si>
    <t>Y</t>
  </si>
  <si>
    <t>302-03</t>
  </si>
  <si>
    <t>BADERTSCHER</t>
  </si>
  <si>
    <t>DIANE</t>
  </si>
  <si>
    <t>101-03</t>
  </si>
  <si>
    <t>103-03</t>
  </si>
  <si>
    <t>306-03</t>
  </si>
  <si>
    <t>GEBRETEKLE</t>
  </si>
  <si>
    <t>DAGNEW</t>
  </si>
  <si>
    <t>308-03</t>
  </si>
  <si>
    <t>102-03</t>
  </si>
  <si>
    <t>310-03</t>
  </si>
  <si>
    <t>107-03</t>
  </si>
  <si>
    <t>104-03</t>
  </si>
  <si>
    <t>50-03</t>
  </si>
  <si>
    <t>52-03</t>
  </si>
  <si>
    <t>YOUNG</t>
  </si>
  <si>
    <t>ELIZABETH</t>
  </si>
  <si>
    <t>109-03</t>
  </si>
  <si>
    <t>51-03</t>
  </si>
  <si>
    <t>53-03</t>
  </si>
  <si>
    <t>901-03</t>
  </si>
  <si>
    <t>111-03</t>
  </si>
  <si>
    <t>113-03</t>
  </si>
  <si>
    <t>800-03</t>
  </si>
  <si>
    <t>108-03</t>
  </si>
  <si>
    <t>110-03</t>
  </si>
  <si>
    <t>117-03</t>
  </si>
  <si>
    <t>801-03</t>
  </si>
  <si>
    <t>115-03</t>
  </si>
  <si>
    <t>112-03</t>
  </si>
  <si>
    <t>119-03</t>
  </si>
  <si>
    <t>114-03</t>
  </si>
  <si>
    <t>802-03</t>
  </si>
  <si>
    <t>rtdc.l.rtdc.4005:itc</t>
  </si>
  <si>
    <t>902-03</t>
  </si>
  <si>
    <t>121-03</t>
  </si>
  <si>
    <t>803-03</t>
  </si>
  <si>
    <t>123-03</t>
  </si>
  <si>
    <t>116-03</t>
  </si>
  <si>
    <t>118-03</t>
  </si>
  <si>
    <t>804-03</t>
  </si>
  <si>
    <t>125-03</t>
  </si>
  <si>
    <t>120-03</t>
  </si>
  <si>
    <t>127-03</t>
  </si>
  <si>
    <t>806-03</t>
  </si>
  <si>
    <t>122-03</t>
  </si>
  <si>
    <t>124-03</t>
  </si>
  <si>
    <t>129-03</t>
  </si>
  <si>
    <t>807-03</t>
  </si>
  <si>
    <t>131-03</t>
  </si>
  <si>
    <t>126-03</t>
  </si>
  <si>
    <t>808-03</t>
  </si>
  <si>
    <t>133-03</t>
  </si>
  <si>
    <t>128-03</t>
  </si>
  <si>
    <t>809-03</t>
  </si>
  <si>
    <t>135-03</t>
  </si>
  <si>
    <t>810-03</t>
  </si>
  <si>
    <t>130-03</t>
  </si>
  <si>
    <t>137-03</t>
  </si>
  <si>
    <t>132-03</t>
  </si>
  <si>
    <t>811-03</t>
  </si>
  <si>
    <t>139-03</t>
  </si>
  <si>
    <t>55-03</t>
  </si>
  <si>
    <t>903-03</t>
  </si>
  <si>
    <t>812-03</t>
  </si>
  <si>
    <t>134-03</t>
  </si>
  <si>
    <t>143-03</t>
  </si>
  <si>
    <t>SNYDER</t>
  </si>
  <si>
    <t>PETER</t>
  </si>
  <si>
    <t>136-03</t>
  </si>
  <si>
    <t>138-03</t>
  </si>
  <si>
    <t>145-03</t>
  </si>
  <si>
    <t>813-03</t>
  </si>
  <si>
    <t>147-03</t>
  </si>
  <si>
    <t>142-03</t>
  </si>
  <si>
    <t>814-03</t>
  </si>
  <si>
    <t>149-03</t>
  </si>
  <si>
    <t>PELLITIER</t>
  </si>
  <si>
    <t>GEORGE</t>
  </si>
  <si>
    <t>151-03</t>
  </si>
  <si>
    <t>153-03</t>
  </si>
  <si>
    <t>148-03</t>
  </si>
  <si>
    <t>155-03</t>
  </si>
  <si>
    <t>MAYBERRY</t>
  </si>
  <si>
    <t>BILL</t>
  </si>
  <si>
    <t>150-03</t>
  </si>
  <si>
    <t>816-03</t>
  </si>
  <si>
    <t>58-03</t>
  </si>
  <si>
    <t>152-03</t>
  </si>
  <si>
    <t>159-03</t>
  </si>
  <si>
    <t>156-03</t>
  </si>
  <si>
    <t>154-03</t>
  </si>
  <si>
    <t>161-03</t>
  </si>
  <si>
    <t>rtdc.l.rtdc.4052:itc</t>
  </si>
  <si>
    <t>59-03</t>
  </si>
  <si>
    <t>817-03</t>
  </si>
  <si>
    <t>163-03</t>
  </si>
  <si>
    <t>818-03</t>
  </si>
  <si>
    <t>158-03</t>
  </si>
  <si>
    <t>165-03</t>
  </si>
  <si>
    <t>160-03</t>
  </si>
  <si>
    <t>167-03</t>
  </si>
  <si>
    <t>162-03</t>
  </si>
  <si>
    <t>169-03</t>
  </si>
  <si>
    <t>819-03</t>
  </si>
  <si>
    <t>171-03</t>
  </si>
  <si>
    <t>MOSES</t>
  </si>
  <si>
    <t>BRADLEY</t>
  </si>
  <si>
    <t>820-03</t>
  </si>
  <si>
    <t>173-03</t>
  </si>
  <si>
    <t>168-03</t>
  </si>
  <si>
    <t>175-03</t>
  </si>
  <si>
    <t>177-03</t>
  </si>
  <si>
    <t>821-03</t>
  </si>
  <si>
    <t>BRUDER</t>
  </si>
  <si>
    <t>RICHARD</t>
  </si>
  <si>
    <t>170-03</t>
  </si>
  <si>
    <t>172-03</t>
  </si>
  <si>
    <t>179-03</t>
  </si>
  <si>
    <t>174-03</t>
  </si>
  <si>
    <t>822-03</t>
  </si>
  <si>
    <t>181-03</t>
  </si>
  <si>
    <t>176-03</t>
  </si>
  <si>
    <t>178-03</t>
  </si>
  <si>
    <t>183-03</t>
  </si>
  <si>
    <t>180-03</t>
  </si>
  <si>
    <t>187-03</t>
  </si>
  <si>
    <t>182-03</t>
  </si>
  <si>
    <t>824-03</t>
  </si>
  <si>
    <t>189-03</t>
  </si>
  <si>
    <t>191-03</t>
  </si>
  <si>
    <t>193-03</t>
  </si>
  <si>
    <t>825-03</t>
  </si>
  <si>
    <t>188-03</t>
  </si>
  <si>
    <t>195-03</t>
  </si>
  <si>
    <t>904-03</t>
  </si>
  <si>
    <t>190-03</t>
  </si>
  <si>
    <t>826-03</t>
  </si>
  <si>
    <t>61-03</t>
  </si>
  <si>
    <t>192-03</t>
  </si>
  <si>
    <t>827-03</t>
  </si>
  <si>
    <t>199-03</t>
  </si>
  <si>
    <t>194-03</t>
  </si>
  <si>
    <t>196-03</t>
  </si>
  <si>
    <t>828-03</t>
  </si>
  <si>
    <t>201-03</t>
  </si>
  <si>
    <t>829-03</t>
  </si>
  <si>
    <t>203-03</t>
  </si>
  <si>
    <t>198-03</t>
  </si>
  <si>
    <t>830-03</t>
  </si>
  <si>
    <t>200-03</t>
  </si>
  <si>
    <t>207-03</t>
  </si>
  <si>
    <t>209-03</t>
  </si>
  <si>
    <t>JACKSON</t>
  </si>
  <si>
    <t>WILLIAM</t>
  </si>
  <si>
    <t>832-03</t>
  </si>
  <si>
    <t>75-03</t>
  </si>
  <si>
    <t>DELGADO</t>
  </si>
  <si>
    <t>DIANAH</t>
  </si>
  <si>
    <t>833-03</t>
  </si>
  <si>
    <t>204-03</t>
  </si>
  <si>
    <t>211-03</t>
  </si>
  <si>
    <t>206-03</t>
  </si>
  <si>
    <t>834-03</t>
  </si>
  <si>
    <t>213-03</t>
  </si>
  <si>
    <t>208-03</t>
  </si>
  <si>
    <t>215-03</t>
  </si>
  <si>
    <t>210-03</t>
  </si>
  <si>
    <t>212-03</t>
  </si>
  <si>
    <t>836-03</t>
  </si>
  <si>
    <t>217-03</t>
  </si>
  <si>
    <t>837-03</t>
  </si>
  <si>
    <t>219-03</t>
  </si>
  <si>
    <t>73-03</t>
  </si>
  <si>
    <t>LEVERE</t>
  </si>
  <si>
    <t>CRAIG</t>
  </si>
  <si>
    <t>838-03</t>
  </si>
  <si>
    <t>303-03</t>
  </si>
  <si>
    <t>839-03</t>
  </si>
  <si>
    <t>216-03</t>
  </si>
  <si>
    <t>221-03</t>
  </si>
  <si>
    <t>218-03</t>
  </si>
  <si>
    <t>305-03</t>
  </si>
  <si>
    <t>906-03</t>
  </si>
  <si>
    <t>841-03</t>
  </si>
  <si>
    <t>840-03</t>
  </si>
  <si>
    <t>307-03</t>
  </si>
  <si>
    <t>222-03</t>
  </si>
  <si>
    <t>225-03</t>
  </si>
  <si>
    <t>227-03</t>
  </si>
  <si>
    <t>224-03</t>
  </si>
  <si>
    <t>843-03</t>
  </si>
  <si>
    <t>FORTUNATO</t>
  </si>
  <si>
    <t>842-03</t>
  </si>
  <si>
    <t>229-03</t>
  </si>
  <si>
    <t>845-03</t>
  </si>
  <si>
    <t>228-03</t>
  </si>
  <si>
    <t>231-03</t>
  </si>
  <si>
    <t>844-03</t>
  </si>
  <si>
    <t>230-03</t>
  </si>
  <si>
    <t>233-03</t>
  </si>
  <si>
    <t>232-03</t>
  </si>
  <si>
    <t>908-03</t>
  </si>
  <si>
    <t>234-03</t>
  </si>
  <si>
    <t>237-03</t>
  </si>
  <si>
    <t>239-03</t>
  </si>
  <si>
    <t>236-03</t>
  </si>
  <si>
    <t>241-03</t>
  </si>
  <si>
    <t>238-03</t>
  </si>
  <si>
    <t>243-03</t>
  </si>
  <si>
    <t>240-03</t>
  </si>
  <si>
    <t>315-03</t>
  </si>
  <si>
    <t>242-03</t>
  </si>
  <si>
    <t>244-03</t>
  </si>
  <si>
    <t>309-03</t>
  </si>
  <si>
    <t>311-03</t>
  </si>
  <si>
    <t>313-03</t>
  </si>
  <si>
    <t>clear-day</t>
  </si>
  <si>
    <t>Clear</t>
  </si>
  <si>
    <t>clear-night</t>
  </si>
  <si>
    <t>204:732</t>
  </si>
  <si>
    <t>204:232677</t>
  </si>
  <si>
    <t>204:233330</t>
  </si>
  <si>
    <t>204:232689</t>
  </si>
  <si>
    <t>204:119</t>
  </si>
  <si>
    <t>204:1154</t>
  </si>
  <si>
    <t>204:233306</t>
  </si>
  <si>
    <t>204:788</t>
  </si>
  <si>
    <t>204:233334</t>
  </si>
  <si>
    <t>204:233042</t>
  </si>
  <si>
    <t>204:233340</t>
  </si>
  <si>
    <t>204:233010</t>
  </si>
  <si>
    <t>204:132</t>
  </si>
  <si>
    <t>204:754</t>
  </si>
  <si>
    <t>204:233297</t>
  </si>
  <si>
    <t>204:233325</t>
  </si>
  <si>
    <t>204:2421</t>
  </si>
  <si>
    <t>204:232992</t>
  </si>
  <si>
    <t>204:123</t>
  </si>
  <si>
    <t>204:232994</t>
  </si>
  <si>
    <t>204:170</t>
  </si>
  <si>
    <t>204:233015</t>
  </si>
  <si>
    <t>204:153740</t>
  </si>
  <si>
    <t>204:181638</t>
  </si>
  <si>
    <t>204:433</t>
  </si>
  <si>
    <t>204:1162</t>
  </si>
  <si>
    <t>204:482</t>
  </si>
  <si>
    <t>204:233357</t>
  </si>
  <si>
    <t>204:233034</t>
  </si>
  <si>
    <t>204:489</t>
  </si>
  <si>
    <t>204:232959</t>
  </si>
  <si>
    <t>204:154255</t>
  </si>
  <si>
    <t>204:155489</t>
  </si>
  <si>
    <t>204:233276</t>
  </si>
  <si>
    <t>204:232964</t>
  </si>
  <si>
    <t>204:178</t>
  </si>
  <si>
    <t>204:233013</t>
  </si>
  <si>
    <t>204:233366</t>
  </si>
  <si>
    <t>204:233063</t>
  </si>
  <si>
    <t>204:475</t>
  </si>
  <si>
    <t>204:232950</t>
  </si>
  <si>
    <t>204:172</t>
  </si>
  <si>
    <t>204:233030</t>
  </si>
  <si>
    <t>204:233383</t>
  </si>
  <si>
    <t>204:233083</t>
  </si>
  <si>
    <t>204:196</t>
  </si>
  <si>
    <t>204:127848</t>
  </si>
  <si>
    <t>204:81328</t>
  </si>
  <si>
    <t>204:233001</t>
  </si>
  <si>
    <t>204:156707</t>
  </si>
  <si>
    <t>204:200</t>
  </si>
  <si>
    <t>204:233311</t>
  </si>
  <si>
    <t>204:517</t>
  </si>
  <si>
    <t>204:233339</t>
  </si>
  <si>
    <t>204:497</t>
  </si>
  <si>
    <t>204:232961</t>
  </si>
  <si>
    <t>204:233321</t>
  </si>
  <si>
    <t>204:488</t>
  </si>
  <si>
    <t>204:233382</t>
  </si>
  <si>
    <t>204:233032</t>
  </si>
  <si>
    <t>204:478</t>
  </si>
  <si>
    <t>204:233238</t>
  </si>
  <si>
    <t>204:519</t>
  </si>
  <si>
    <t>204:233019</t>
  </si>
  <si>
    <t>204:233440</t>
  </si>
  <si>
    <t>204:233077</t>
  </si>
  <si>
    <t>204:233036</t>
  </si>
  <si>
    <t>204:232987</t>
  </si>
  <si>
    <t>204:233298</t>
  </si>
  <si>
    <t>204:232983</t>
  </si>
  <si>
    <t>204:233070</t>
  </si>
  <si>
    <t>204:233342</t>
  </si>
  <si>
    <t>204:233081</t>
  </si>
  <si>
    <t>204:233331</t>
  </si>
  <si>
    <t>204:232991</t>
  </si>
  <si>
    <t>300:22894</t>
  </si>
  <si>
    <t>300:23177</t>
  </si>
  <si>
    <t>300:23308</t>
  </si>
  <si>
    <t>300:23559</t>
  </si>
  <si>
    <t>204:504</t>
  </si>
  <si>
    <t>300:23703</t>
  </si>
  <si>
    <t>300:23310</t>
  </si>
  <si>
    <t>300:19466</t>
  </si>
  <si>
    <t>204:744</t>
  </si>
  <si>
    <t>204:3682</t>
  </si>
  <si>
    <t>204:3388</t>
  </si>
  <si>
    <t>204:1318</t>
  </si>
  <si>
    <t>204:3516</t>
  </si>
  <si>
    <t>204:3199</t>
  </si>
  <si>
    <t>204:1167</t>
  </si>
  <si>
    <t>300:23434</t>
  </si>
  <si>
    <t>204:867</t>
  </si>
  <si>
    <t>204:3341</t>
  </si>
  <si>
    <t>204:1469</t>
  </si>
  <si>
    <t>204:3656</t>
  </si>
  <si>
    <t>204:1490</t>
  </si>
  <si>
    <t>204:1845</t>
  </si>
  <si>
    <t>204:2925</t>
  </si>
  <si>
    <t>204:1177</t>
  </si>
  <si>
    <t>300:24237</t>
  </si>
  <si>
    <t>204:3207</t>
  </si>
  <si>
    <t>204:1488</t>
  </si>
  <si>
    <t>204:3520</t>
  </si>
  <si>
    <t>300:22280</t>
  </si>
  <si>
    <t>204:894</t>
  </si>
  <si>
    <t>300:23533</t>
  </si>
  <si>
    <t>204:91</t>
  </si>
  <si>
    <t>204:350</t>
  </si>
  <si>
    <t>300:22858</t>
  </si>
  <si>
    <t>204:1462</t>
  </si>
  <si>
    <t>300:58617</t>
  </si>
  <si>
    <t>204:745</t>
  </si>
  <si>
    <t>300:58931</t>
  </si>
  <si>
    <t>204:733</t>
  </si>
  <si>
    <t>204:960</t>
  </si>
  <si>
    <t>300:58946</t>
  </si>
  <si>
    <t>300:58634</t>
  </si>
  <si>
    <t>204:1013</t>
  </si>
  <si>
    <t>300:58606</t>
  </si>
  <si>
    <t>204:722</t>
  </si>
  <si>
    <t>204:976</t>
  </si>
  <si>
    <t>300:58954</t>
  </si>
  <si>
    <t>204:685</t>
  </si>
  <si>
    <t>204:1007</t>
  </si>
  <si>
    <t>204:808</t>
  </si>
  <si>
    <t>204:971</t>
  </si>
  <si>
    <t>300:58638</t>
  </si>
  <si>
    <t>204:983</t>
  </si>
  <si>
    <t>300:58641</t>
  </si>
  <si>
    <t>204:699</t>
  </si>
  <si>
    <t>300:58937</t>
  </si>
  <si>
    <t>204:673</t>
  </si>
  <si>
    <t>300:58952</t>
  </si>
  <si>
    <t>300:58640</t>
  </si>
  <si>
    <t>204:979</t>
  </si>
  <si>
    <t>300:58632</t>
  </si>
  <si>
    <t>204:974</t>
  </si>
  <si>
    <t>204:678</t>
  </si>
  <si>
    <t>204:964</t>
  </si>
  <si>
    <t>204:692</t>
  </si>
  <si>
    <t>300:58677</t>
  </si>
  <si>
    <t>204:650</t>
  </si>
  <si>
    <t>204:941</t>
  </si>
  <si>
    <t>300:59005</t>
  </si>
  <si>
    <t>300:58690</t>
  </si>
  <si>
    <t>300:59001</t>
  </si>
  <si>
    <t>300:58681</t>
  </si>
  <si>
    <t>204:677</t>
  </si>
  <si>
    <t>300:58615</t>
  </si>
  <si>
    <t>204:719</t>
  </si>
  <si>
    <t>300:58997</t>
  </si>
  <si>
    <t>204:691</t>
  </si>
  <si>
    <t>204:972</t>
  </si>
  <si>
    <t>300:58685</t>
  </si>
  <si>
    <t>300:59007</t>
  </si>
  <si>
    <t>300:30226</t>
  </si>
  <si>
    <t>204:1095</t>
  </si>
  <si>
    <t>300:31530</t>
  </si>
  <si>
    <t>300:28784</t>
  </si>
  <si>
    <t>300:58679</t>
  </si>
  <si>
    <t>300:21242</t>
  </si>
  <si>
    <t>start /low /b %USERPROFILE%\Documents\GitHub\eaglep3\Utilities\DownloadLogsFromS3.py --loco 4046 --day 2017-05-03</t>
  </si>
  <si>
    <t>start /low /b %USERPROFILE%\Documents\GitHub\eaglep3\Utilities\DownloadLogsFromS3.py --loco 4053 --day 2017-05-03</t>
  </si>
  <si>
    <t>start /low /b %USERPROFILE%\Documents\GitHub\eaglep3\Utilities\DownloadLogsFromS3.py --loco 4012 --day 2017-05-03</t>
  </si>
  <si>
    <t>start /low /b %USERPROFILE%\Documents\GitHub\eaglep3\Utilities\DownloadLogsFromS3.py --loco 4011 --day 2017-05-03</t>
  </si>
  <si>
    <t>start /low /b %USERPROFILE%\Documents\GitHub\eaglep3\Utilities\DownloadLogsFromS3.py --loco 4016 --day 2017-05-03</t>
  </si>
  <si>
    <t>start /low /b %USERPROFILE%\Documents\GitHub\eaglep3\Utilities\DownloadLogsFromS3.py --loco 4029 --day 2017-05-04</t>
  </si>
  <si>
    <t>start /low /b %USERPROFILE%\Documents\GitHub\eaglep3\Utilities\DownloadLogsFromS3.py --loco 4029 --day 2017-05-03</t>
  </si>
  <si>
    <t>start /low /b %USERPROFILE%\Documents\GitHub\eaglep3\Utilities\DownloadLogsFromS3.py --loco 4024 --day 2017-05-04</t>
  </si>
  <si>
    <t>start /low /b %USERPROFILE%\Documents\GitHub\eaglep3\Utilities\DownloadLogsFromS3.py --loco 4016 --day 2017-05-04</t>
  </si>
  <si>
    <t>start /low /b %USERPROFILE%\Documents\GitHub\eaglep3\Utilities\DownloadLogsFromS3.py --loco 4017 --day 2017-05-03</t>
  </si>
  <si>
    <t>start /low /b %USERPROFILE%\Documents\GitHub\eaglep3\Utilities\DownloadLogsFromS3.py --loco 4023 --day 2017-05-04</t>
  </si>
  <si>
    <t>start /low /b %USERPROFILE%\Documents\GitHub\eaglep3\Utilities\DownloadLogsFromS3.py --loco 4030 --day 2017-05-03</t>
  </si>
  <si>
    <t>start /low /b %USERPROFILE%\Documents\GitHub\eaglep3\Utilities\DownloadLogsFromS3.py --loco 4027 --day 2017-05-03</t>
  </si>
  <si>
    <t>start /low /b %USERPROFILE%\Documents\GitHub\eaglep3\Utilities\DownloadLogsFromS3.py --loco 4023 --day 2017-05-03</t>
  </si>
  <si>
    <t>start /low /b %USERPROFILE%\Documents\GitHub\eaglep3\Utilities\DownloadLogsFromS3.py --loco 4015 --day 2017-05-04</t>
  </si>
  <si>
    <t>start /low /b %USERPROFILE%\Documents\GitHub\eaglep3\Utilities\DownloadLogsFromS3.py --loco 4040 --day 2017-05-03</t>
  </si>
  <si>
    <t>start /low /b %USERPROFILE%\Documents\GitHub\eaglep3\Utilities\DownloadLogsFromS3.py --loco 4015 --day 2017-05-03</t>
  </si>
  <si>
    <t>start /low /b %USERPROFILE%\Documents\GitHub\eaglep3\Utilities\DownloadLogsFromS3.py --loco 4039 --day 2017-05-03</t>
  </si>
  <si>
    <t>start /low /b %USERPROFILE%\Documents\GitHub\eaglep3\Utilities\DownloadLogsFromS3.py --loco 4032 --day 2017-05-03</t>
  </si>
  <si>
    <t>start /low /b %USERPROFILE%\Documents\GitHub\eaglep3\Utilities\DownloadLogsFromS3.py --loco 4032 --day 2017-05-04</t>
  </si>
  <si>
    <t>start /low /b %USERPROFILE%\Documents\GitHub\eaglep3\Utilities\DownloadLogsFromS3.py --loco 4006 --day 2017-05-03</t>
  </si>
  <si>
    <t>start /low /b %USERPROFILE%\Documents\GitHub\eaglep3\Utilities\DownloadLogsFromS3.py --loco 4006 --day 2017-05-04</t>
  </si>
  <si>
    <t>Delayed by Class 2 brake test failure</t>
  </si>
  <si>
    <t>PSS Test</t>
  </si>
  <si>
    <t>Slowed by trip 144 PSS Test</t>
  </si>
  <si>
    <t>Overshot platform due to brake issues</t>
  </si>
  <si>
    <t>Wi-MAX data drop</t>
  </si>
  <si>
    <t>Overspeed</t>
  </si>
  <si>
    <t>STOP aspect</t>
  </si>
  <si>
    <t>Unhealthy crossing prompt due to Wi-MAX data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</si>
</sst>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4"/>
  <sheetViews>
    <sheetView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42858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42858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COUNTIFS($N$13:$N$9333,"&gt;0",$AG$13:$AG$9333,I1)</f>
        <v>142</v>
      </c>
      <c r="K5" s="39"/>
      <c r="L5" s="39"/>
      <c r="M5" s="40">
        <f>AVERAGEIFS($N$13:$N$9333,$AG$13:$AG$9333,I1)</f>
        <v>38.649061032797171</v>
      </c>
      <c r="N5" s="38">
        <f t="array" ref="N5">MIN(IF($AG$13:$AG$9333=I1,IF(ISNUMBER($N$13:$N$9333),IF($N$13:$N$9333&gt;0,$N$13:$N$9333))))</f>
        <v>29.183333334513009</v>
      </c>
      <c r="O5" s="3">
        <f t="array" ref="O5">MAX(IF($AG$13:$AG$9333=I1,IF(ISNUMBER($N$13:$N$9333),IF($N$13:$N$9333&gt;0,$N$13:$N$9333))))</f>
        <v>55.000000001164153</v>
      </c>
      <c r="P5" s="2"/>
      <c r="R5" s="177" t="s">
        <v>17</v>
      </c>
      <c r="S5" s="199">
        <f>COUNTIFS($N$13:$N$9333,"&gt;0",$AG$13:$AG$9333,R1)</f>
        <v>47</v>
      </c>
      <c r="T5" s="179"/>
      <c r="U5" s="179"/>
      <c r="V5" s="176">
        <f>AVERAGEIFS($N$13:$N$9333,$AG$13:$AG$9333,R1)</f>
        <v>14.275886525271183</v>
      </c>
      <c r="W5" s="177">
        <f t="array" ref="W5">MIN(IF($AG$13:$AG$9333=R1,IF(ISNUMBER($N$13:$N$9333),IF($N$13:$N$9333&gt;0,$N$13:$N$9333))))</f>
        <v>11.700000000419095</v>
      </c>
      <c r="X5" s="178">
        <f t="array" ref="X5">MAX(IF($AG$13:$AG$9333=R1,IF(ISNUMBER($N$13:$N$9333),IF($N$13:$N$9333&gt;0,$N$13:$N$9333))))</f>
        <v>17.599999996600673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COUNT($O$13:$O$118)</f>
        <v>0</v>
      </c>
      <c r="K6" s="39"/>
      <c r="L6" s="39"/>
      <c r="M6" s="40">
        <f>IFERROR(AVERAGE($O$13:$O$118),0)</f>
        <v>0</v>
      </c>
      <c r="N6" s="38">
        <f>MIN($O$13:$O$118)</f>
        <v>0</v>
      </c>
      <c r="O6" s="3">
        <f>MAX($O$13:$O$118)</f>
        <v>0</v>
      </c>
      <c r="P6" s="2"/>
      <c r="R6" s="180" t="s">
        <v>43</v>
      </c>
      <c r="S6" s="199">
        <f>COUNT($O$13:$O$118)</f>
        <v>0</v>
      </c>
      <c r="T6" s="179"/>
      <c r="U6" s="179"/>
      <c r="V6" s="176">
        <f>IFERROR(AVERAGE($O$13:$O$118),0)</f>
        <v>0</v>
      </c>
      <c r="W6" s="177">
        <f>MIN($O$13:$O$118)</f>
        <v>0</v>
      </c>
      <c r="X6" s="178">
        <f>MAX($O$13:$O$118)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COUNTIFS($P$13:$P$9333,"&gt;0",$AG$13:$AG$9333,I1)</f>
        <v>2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COUNTIFS($P$13:$P$9333,"&gt;0",$AG$13:$AG$9333,R1)</f>
        <v>0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142</v>
      </c>
      <c r="K8" s="39"/>
      <c r="L8" s="39"/>
      <c r="M8" s="40">
        <f>M5</f>
        <v>38.649061032797171</v>
      </c>
      <c r="N8" s="38">
        <f>N5</f>
        <v>29.183333334513009</v>
      </c>
      <c r="O8" s="3">
        <f>O5</f>
        <v>55.000000001164153</v>
      </c>
      <c r="P8" s="2"/>
      <c r="R8" s="177" t="s">
        <v>16</v>
      </c>
      <c r="S8" s="199">
        <f>S5</f>
        <v>47</v>
      </c>
      <c r="T8" s="179"/>
      <c r="U8" s="179"/>
      <c r="V8" s="176">
        <f>V5</f>
        <v>14.275886525271183</v>
      </c>
      <c r="W8" s="177">
        <f>W5</f>
        <v>11.700000000419095</v>
      </c>
      <c r="X8" s="178">
        <f>X5</f>
        <v>17.599999996600673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0.98611111111111116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1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- 2017-05-03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AVERAGE(S13:S90)</f>
        <v>1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200</v>
      </c>
      <c r="AN12" s="46" t="s">
        <v>377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622</v>
      </c>
      <c r="B13" s="7">
        <v>4028</v>
      </c>
      <c r="C13" s="21" t="s">
        <v>210</v>
      </c>
      <c r="D13" s="21" t="s">
        <v>839</v>
      </c>
      <c r="E13" s="13">
        <v>42858.131620370368</v>
      </c>
      <c r="F13" s="13">
        <v>42858.135810185187</v>
      </c>
      <c r="G13" s="7">
        <v>1</v>
      </c>
      <c r="H13" s="21" t="s">
        <v>433</v>
      </c>
      <c r="I13" s="13">
        <v>42858.163587962961</v>
      </c>
      <c r="J13" s="7">
        <v>0</v>
      </c>
      <c r="K13" s="92" t="str">
        <f>IF(ISEVEN(B13),(B13-1)&amp;"/"&amp;B13,B13&amp;"/"&amp;(B13+1))</f>
        <v>4027/4028</v>
      </c>
      <c r="L13" s="21" t="str">
        <f>VLOOKUP(A13,'Trips&amp;Operators'!$C$1:$G$99999,5,FALSE)</f>
        <v>BADERTSCHER DIANE</v>
      </c>
      <c r="M13" s="6">
        <f>I13-F13</f>
        <v>2.7777777773735579E-2</v>
      </c>
      <c r="N13" s="7">
        <f>24*60*SUM($M13:$M13)</f>
        <v>39.999999994179234</v>
      </c>
      <c r="O13" s="7"/>
      <c r="P13" s="7"/>
      <c r="Q13" s="22"/>
      <c r="R13" s="190"/>
      <c r="S13" s="196">
        <f>SUM(U13:U13)/IF(AG13="EC",12,1)</f>
        <v>1</v>
      </c>
      <c r="T13" s="190" t="str">
        <f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-05-03T02:09:32-0600',mode:absolute,to:'2017-05-03T04:55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" s="192" t="str">
        <f>IF(AA13&lt;IF(AG13="EC",23,5.65),"Y","N")</f>
        <v>N</v>
      </c>
      <c r="X13" s="192" t="e">
        <f>VALUE(LEFT(AD13,4))-VALUE(LEFT(AD12,4))</f>
        <v>#VALUE!</v>
      </c>
      <c r="Y13" s="192">
        <f>RIGHT(D13,LEN(D13)-4)/10000</f>
        <v>7.3200000000000001E-2</v>
      </c>
      <c r="Z13" s="192">
        <f>RIGHT(H13,LEN(H13)-4)/10000</f>
        <v>23.331199999999999</v>
      </c>
      <c r="AA13" s="192">
        <f>ABS(Z13-Y13)</f>
        <v>23.257999999999999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>IF(LEN(A13)=6,"0"&amp;A13,A13)</f>
        <v>0101-03</v>
      </c>
      <c r="AE13" s="80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13" s="77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/stypes="app*4028*20170503*" /stext=" 09:.+((SYSTEM_STATE.+slice.+state.+changed )|(ment ac)|(multiple cpu faults)|(system.+state.+changed )|(\[timeout)|(PRM\|1\|D)|(kpr)|(kdp)|(train st.+moving)|(\|lc)|(penalty))"</v>
      </c>
      <c r="AG13" s="1" t="str">
        <f>IFERROR(IF(VALUE(LEFT(AD13,2))&lt;=2,"EC",IF(OR(VALUE(LEFT(AD13,2))=8,VALUE(LEFT(AD13,2))=18),"NW","Other")),"Other")</f>
        <v>EC</v>
      </c>
      <c r="AH13" s="81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101-03 --locoid 4028 --swversion DE.1.0.9.0 --startMP 204:732 --initTime 2017-05-03T03:09:32 --startdatetime 2017-05-03T03:15:34 --delay 1 --endMP 204:233312 --enddatetime 2017-05-03T03:55:34 --enforcementcount 0 &gt;&gt;C:\Users\stu\Documents\GitHub\eaglep3-reporting\EC\2017-05-03-refined-times.txt</v>
      </c>
      <c r="AI13" s="99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{"issue":{"subject":"","project_id":79,"tracker_id":40,"status_id":1,"priority_id":2,"assigned_to_id":23,"start_date":"2017-05-03","description":"","custom_fields":[{"id":1,"name":"Subdivision","value":"EC"},{"id":4,"name":"Milepost","value":"23.3312"},{"id":17,"name":"Train ID","value":"101-03"},{"id":16,"name":"Locomotive ID","value":"4028"},{"id":130,"name":"Impact","value":""},{"id":150,"name":"Time of Event (Mountain Time)","value":"03:55:34"},{"id":151,"name":"Denver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2">"start /low /b "&amp;dls3logs&amp;" --loco "&amp;B13&amp;" --day "&amp;TEXT(F13,"YYYY-MM-DD")</f>
        <v>start /low /b %USERPROFILE%\Documents\GitHub\eaglep3\Utilities\DownloadLogsFromS3.py --loco 4028 --day 2017-05-03</v>
      </c>
      <c r="AN13" s="154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09:55:34"},{"id":29,"name":"Sharepoint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628</v>
      </c>
      <c r="B14" s="7">
        <v>4039</v>
      </c>
      <c r="C14" s="21" t="s">
        <v>210</v>
      </c>
      <c r="D14" s="21" t="s">
        <v>840</v>
      </c>
      <c r="E14" s="13">
        <v>42858.171990740739</v>
      </c>
      <c r="F14" s="13">
        <v>42858.174513888887</v>
      </c>
      <c r="G14" s="7">
        <v>1</v>
      </c>
      <c r="H14" s="21" t="s">
        <v>386</v>
      </c>
      <c r="I14" s="13">
        <v>42858.202881944446</v>
      </c>
      <c r="J14" s="7">
        <v>0</v>
      </c>
      <c r="K14" s="92" t="str">
        <f>IF(ISEVEN(B14),(B14-1)&amp;"/"&amp;B14,B14&amp;"/"&amp;(B14+1))</f>
        <v>4039/4040</v>
      </c>
      <c r="L14" s="21" t="str">
        <f>VLOOKUP(A14,'Trips&amp;Operators'!$C$1:$G$99999,5,FALSE)</f>
        <v>BADERTSCHER DIANE</v>
      </c>
      <c r="M14" s="6">
        <f>I14-F14</f>
        <v>2.8368055558530614E-2</v>
      </c>
      <c r="N14" s="7">
        <f>24*60*SUM($M14:$M14)</f>
        <v>40.850000004284084</v>
      </c>
      <c r="O14" s="7"/>
      <c r="P14" s="7"/>
      <c r="Q14" s="22"/>
      <c r="R14" s="190"/>
      <c r="S14" s="196">
        <f>SUM(U14:U14)/IF(AG14="EC",12,1)</f>
        <v>1</v>
      </c>
      <c r="T14" s="190" t="str">
        <f>IF(ISEVEN(LEFT(AD14,4)),"Southbound","NorthBound")</f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-05-03T03:07:40-0600',mode:absolute,to:'2017-05-03T05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" s="192" t="str">
        <f>IF(AA14&lt;IF(AG14="EC",23,5.65),"Y","N")</f>
        <v>N</v>
      </c>
      <c r="X14" s="192">
        <f>VALUE(LEFT(AD14,4))-VALUE(LEFT(AD13,4))</f>
        <v>1</v>
      </c>
      <c r="Y14" s="192">
        <f>RIGHT(D14,LEN(D14)-4)/10000</f>
        <v>23.267700000000001</v>
      </c>
      <c r="Z14" s="192">
        <f>RIGHT(H14,LEN(H14)-4)/10000</f>
        <v>1.6E-2</v>
      </c>
      <c r="AA14" s="192">
        <f>ABS(Z14-Y14)</f>
        <v>23.251700000000003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>IF(LEN(A14)=6,"0"&amp;A14,A14)</f>
        <v>0102-03</v>
      </c>
      <c r="AE14" s="80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14" s="77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/stypes="app*4039*20170503*" /stext=" 10:.+((SYSTEM_STATE.+slice.+state.+changed )|(ment ac)|(multiple cpu faults)|(system.+state.+changed )|(\[timeout)|(PRM\|1\|D)|(kpr)|(kdp)|(train st.+moving)|(\|lc)|(penalty))"</v>
      </c>
      <c r="AG14" s="1" t="str">
        <f>IFERROR(IF(VALUE(LEFT(AD14,2))&lt;=2,"EC",IF(OR(VALUE(LEFT(AD14,2))=8,VALUE(LEFT(AD14,2))=18),"NW","Other")),"Other")</f>
        <v>EC</v>
      </c>
      <c r="AH14" s="81" t="str">
        <f t="shared" ref="AH14:AH76" si="4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102-03 --locoid 4039 --swversion DE.1.0.9.0 --startMP 204:232677 --initTime 2017-05-03T04:07:40 --startdatetime 2017-05-03T04:11:18 --delay 1 --endMP 204:160 --enddatetime 2017-05-03T04:52:09 --enforcementcount 0 &gt;&gt;C:\Users\stu\Documents\GitHub\eaglep3-reporting\EC\2017-05-03-refined-times.txt</v>
      </c>
      <c r="AI14" s="99" t="str">
        <f t="shared" ref="AI14:AI76" si="5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{"issue":{"subject":"","project_id":79,"tracker_id":40,"status_id":1,"priority_id":2,"assigned_to_id":23,"start_date":"2017-05-03","description":"","custom_fields":[{"id":1,"name":"Subdivision","value":"EC"},{"id":4,"name":"Milepost","value":"0.016"},{"id":17,"name":"Train ID","value":"102-03"},{"id":16,"name":"Locomotive ID","value":"4039"},{"id":130,"name":"Impact","value":""},{"id":150,"name":"Time of Event (Mountain Time)","value":"04:52:09"},{"id":151,"name":"Denver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6" si="6">"start /low /b "&amp;dls3logs&amp;" --loco "&amp;B14&amp;" --day "&amp;TEXT(F14,"YYYY-MM-DD")</f>
        <v>start /low /b %USERPROFILE%\Documents\GitHub\eaglep3\Utilities\DownloadLogsFromS3.py --loco 4039 --day 2017-05-03</v>
      </c>
      <c r="AN14" s="154" t="str">
        <f t="shared" ref="AN14:AN76" si="7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10:52:09"},{"id":29,"name":"Sharepoint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623</v>
      </c>
      <c r="B15" s="7">
        <v>4012</v>
      </c>
      <c r="C15" s="21" t="s">
        <v>210</v>
      </c>
      <c r="D15" s="21" t="s">
        <v>540</v>
      </c>
      <c r="E15" s="13">
        <v>42858.153506944444</v>
      </c>
      <c r="F15" s="13">
        <v>42858.1565162037</v>
      </c>
      <c r="G15" s="7">
        <v>1</v>
      </c>
      <c r="H15" s="21" t="s">
        <v>841</v>
      </c>
      <c r="I15" s="13">
        <v>42858.181134259263</v>
      </c>
      <c r="J15" s="7">
        <v>0</v>
      </c>
      <c r="K15" s="92" t="str">
        <f>IF(ISEVEN(B15),(B15-1)&amp;"/"&amp;B15,B15&amp;"/"&amp;(B15+1))</f>
        <v>4011/4012</v>
      </c>
      <c r="L15" s="21" t="str">
        <f>VLOOKUP(A15,'Trips&amp;Operators'!$C$1:$G$99999,5,FALSE)</f>
        <v>MAELZER KURT</v>
      </c>
      <c r="M15" s="6">
        <f>I15-F15</f>
        <v>2.4618055562314112E-2</v>
      </c>
      <c r="N15" s="7">
        <f>24*60*SUM($M15:$M15)</f>
        <v>35.450000009732321</v>
      </c>
      <c r="O15" s="7"/>
      <c r="P15" s="7"/>
      <c r="Q15" s="22"/>
      <c r="R15" s="190"/>
      <c r="S15" s="196">
        <f>SUM(U15:U15)/IF(AG15="EC",12,1)</f>
        <v>1</v>
      </c>
      <c r="T15" s="190" t="str">
        <f>IF(ISEVEN(LEFT(AD15,4)),"Southbound","NorthBound")</f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-05-03T02:41:03-0600',mode:absolute,to:'2017-05-03T05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" s="192" t="str">
        <f>IF(AA15&lt;IF(AG15="EC",23,5.65),"Y","N")</f>
        <v>N</v>
      </c>
      <c r="X15" s="192">
        <f>VALUE(LEFT(AD15,4))-VALUE(LEFT(AD14,4))</f>
        <v>1</v>
      </c>
      <c r="Y15" s="192">
        <f>RIGHT(D15,LEN(D15)-4)/10000</f>
        <v>7.6100000000000001E-2</v>
      </c>
      <c r="Z15" s="192">
        <f>RIGHT(H15,LEN(H15)-4)/10000</f>
        <v>23.332999999999998</v>
      </c>
      <c r="AA15" s="192">
        <f>ABS(Z15-Y15)</f>
        <v>23.256899999999998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>IF(LEN(A15)=6,"0"&amp;A15,A15)</f>
        <v>0103-03</v>
      </c>
      <c r="AE15" s="80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AF15" s="77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/stypes="app*4012*20170503*" /stext=" 10:.+((SYSTEM_STATE.+slice.+state.+changed )|(ment ac)|(multiple cpu faults)|(system.+state.+changed )|(\[timeout)|(PRM\|1\|D)|(kpr)|(kdp)|(train st.+moving)|(\|lc)|(penalty))"</v>
      </c>
      <c r="AG15" s="1" t="str">
        <f>IFERROR(IF(VALUE(LEFT(AD15,2))&lt;=2,"EC",IF(OR(VALUE(LEFT(AD15,2))=8,VALUE(LEFT(AD15,2))=18),"NW","Other")),"Other")</f>
        <v>EC</v>
      </c>
      <c r="AH15" s="81" t="str">
        <f t="shared" si="4"/>
        <v>"%USERPROFILE%\Documents\GitHub\eaglep3\Utilities\RefineRTDCRunTimes.py" --tripid 103-03 --locoid 4012 --swversion DE.1.0.9.0 --startMP 204:761 --initTime 2017-05-03T03:41:03 --startdatetime 2017-05-03T03:45:23 --delay 1 --endMP 204:233330 --enddatetime 2017-05-03T04:20:50 --enforcementcount 0 &gt;&gt;C:\Users\stu\Documents\GitHub\eaglep3-reporting\EC\2017-05-03-refined-times.txt</v>
      </c>
      <c r="AI15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{"issue":{"subject":"","project_id":79,"tracker_id":40,"status_id":1,"priority_id":2,"assigned_to_id":23,"start_date":"2017-05-03","description":"","custom_fields":[{"id":1,"name":"Subdivision","value":"EC"},{"id":4,"name":"Milepost","value":"23.333"},{"id":17,"name":"Train ID","value":"103-03"},{"id":16,"name":"Locomotive ID","value":"4012"},{"id":130,"name":"Impact","value":""},{"id":150,"name":"Time of Event (Mountain Time)","value":"04:20:50"},{"id":151,"name":"Denver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6"/>
        <v>start /low /b %USERPROFILE%\Documents\GitHub\eaglep3\Utilities\DownloadLogsFromS3.py --loco 4012 --day 2017-05-03</v>
      </c>
      <c r="AN15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10:20:50"},{"id":29,"name":"Sharepoint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631</v>
      </c>
      <c r="B16" s="7">
        <v>4023</v>
      </c>
      <c r="C16" s="21" t="s">
        <v>210</v>
      </c>
      <c r="D16" s="21" t="s">
        <v>842</v>
      </c>
      <c r="E16" s="13">
        <v>42858.186493055553</v>
      </c>
      <c r="F16" s="13">
        <v>42858.195416666669</v>
      </c>
      <c r="G16" s="7">
        <v>1</v>
      </c>
      <c r="H16" s="21" t="s">
        <v>843</v>
      </c>
      <c r="I16" s="13">
        <v>42858.221724537034</v>
      </c>
      <c r="J16" s="7">
        <v>0</v>
      </c>
      <c r="K16" s="92" t="str">
        <f>IF(ISEVEN(B16),(B16-1)&amp;"/"&amp;B16,B16&amp;"/"&amp;(B16+1))</f>
        <v>4023/4024</v>
      </c>
      <c r="L16" s="21" t="str">
        <f>VLOOKUP(A16,'Trips&amp;Operators'!$C$1:$G$99999,5,FALSE)</f>
        <v>MAELZER KURT</v>
      </c>
      <c r="M16" s="6">
        <f>I16-F16</f>
        <v>2.6307870364689734E-2</v>
      </c>
      <c r="N16" s="7">
        <f>24*60*SUM($M16:$M16)</f>
        <v>37.883333325153217</v>
      </c>
      <c r="O16" s="7"/>
      <c r="P16" s="7"/>
      <c r="Q16" s="22"/>
      <c r="R16" s="190"/>
      <c r="S16" s="196">
        <f>SUM(U16:U16)/IF(AG16="EC",12,1)</f>
        <v>1</v>
      </c>
      <c r="T16" s="190" t="str">
        <f>IF(ISEVEN(LEFT(AD16,4)),"Southbound","NorthBound")</f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-05-03T03:28:33-0600',mode:absolute,to:'2017-05-03T06:19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6" s="192" t="str">
        <f>IF(AA16&lt;IF(AG16="EC",23,5.65),"Y","N")</f>
        <v>N</v>
      </c>
      <c r="X16" s="192">
        <f t="shared" ref="X16:X22" si="8">VALUE(LEFT(AD16,4))-VALUE(LEFT(AD15,4))</f>
        <v>1</v>
      </c>
      <c r="Y16" s="192">
        <f>RIGHT(D16,LEN(D16)-4)/10000</f>
        <v>23.268899999999999</v>
      </c>
      <c r="Z16" s="192">
        <f>RIGHT(H16,LEN(H16)-4)/10000</f>
        <v>1.1900000000000001E-2</v>
      </c>
      <c r="AA16" s="192">
        <f>ABS(Z16-Y16)</f>
        <v>23.256999999999998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>IF(LEN(A16)=6,"0"&amp;A16,A16)</f>
        <v>0104-03</v>
      </c>
      <c r="AE16" s="80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16" s="77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/stypes="app*4023*20170503*" /stext=" 11:.+((SYSTEM_STATE.+slice.+state.+changed )|(ment ac)|(multiple cpu faults)|(system.+state.+changed )|(\[timeout)|(PRM\|1\|D)|(kpr)|(kdp)|(train st.+moving)|(\|lc)|(penalty))"</v>
      </c>
      <c r="AG16" s="1" t="str">
        <f>IFERROR(IF(VALUE(LEFT(AD16,2))&lt;=2,"EC",IF(OR(VALUE(LEFT(AD16,2))=8,VALUE(LEFT(AD16,2))=18),"NW","Other")),"Other")</f>
        <v>EC</v>
      </c>
      <c r="AH16" s="81" t="str">
        <f t="shared" si="4"/>
        <v>"%USERPROFILE%\Documents\GitHub\eaglep3\Utilities\RefineRTDCRunTimes.py" --tripid 104-03 --locoid 4023 --swversion DE.1.0.9.0 --startMP 204:232689 --initTime 2017-05-03T04:28:33 --startdatetime 2017-05-03T04:41:24 --delay 1 --endMP 204:119 --enddatetime 2017-05-03T05:19:17 --enforcementcount 0 &gt;&gt;C:\Users\stu\Documents\GitHub\eaglep3-reporting\EC\2017-05-03-refined-times.txt</v>
      </c>
      <c r="AI16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{"issue":{"subject":"","project_id":79,"tracker_id":40,"status_id":1,"priority_id":2,"assigned_to_id":23,"start_date":"2017-05-03","description":"","custom_fields":[{"id":1,"name":"Subdivision","value":"EC"},{"id":4,"name":"Milepost","value":"0.0119"},{"id":17,"name":"Train ID","value":"104-03"},{"id":16,"name":"Locomotive ID","value":"4023"},{"id":130,"name":"Impact","value":""},{"id":150,"name":"Time of Event (Mountain Time)","value":"05:19:17"},{"id":151,"name":"Denver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6"/>
        <v>start /low /b %USERPROFILE%\Documents\GitHub\eaglep3\Utilities\DownloadLogsFromS3.py --loco 4023 --day 2017-05-03</v>
      </c>
      <c r="AN16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11:19:17"},{"id":29,"name":"Sharepoint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582</v>
      </c>
      <c r="B17" s="7">
        <v>4030</v>
      </c>
      <c r="C17" s="21" t="s">
        <v>210</v>
      </c>
      <c r="D17" s="21" t="s">
        <v>844</v>
      </c>
      <c r="E17" s="13">
        <v>42858.179560185185</v>
      </c>
      <c r="F17" s="13">
        <v>42858.183437500003</v>
      </c>
      <c r="G17" s="7">
        <v>2</v>
      </c>
      <c r="H17" s="21" t="s">
        <v>845</v>
      </c>
      <c r="I17" s="13">
        <v>42858.210636574076</v>
      </c>
      <c r="J17" s="7">
        <v>0</v>
      </c>
      <c r="K17" s="92" t="str">
        <f>IF(ISEVEN(B17),(B17-1)&amp;"/"&amp;B17,B17&amp;"/"&amp;(B17+1))</f>
        <v>4029/4030</v>
      </c>
      <c r="L17" s="21" t="str">
        <f>VLOOKUP(A17,'Trips&amp;Operators'!$C$1:$G$99999,5,FALSE)</f>
        <v>GEBRETEKLE DAGNEW</v>
      </c>
      <c r="M17" s="6">
        <f>I17-F17</f>
        <v>2.7199074072996154E-2</v>
      </c>
      <c r="N17" s="7">
        <f>24*60*SUM($M17:$M17)</f>
        <v>39.166666665114462</v>
      </c>
      <c r="O17" s="7"/>
      <c r="P17" s="7"/>
      <c r="Q17" s="22"/>
      <c r="R17" s="190" t="s">
        <v>1022</v>
      </c>
      <c r="S17" s="196">
        <f>SUM(U17:U17)/IF(AG17="EC",12,1)</f>
        <v>1</v>
      </c>
      <c r="T17" s="190" t="str">
        <f>IF(ISEVEN(LEFT(AD17,4)),"Southbound","NorthBound")</f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-05-03T03:18:34-0600',mode:absolute,to:'2017-05-03T06:03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" s="192" t="str">
        <f>IF(AA17&lt;IF(AG17="EC",23,5.65),"Y","N")</f>
        <v>N</v>
      </c>
      <c r="X17" s="192">
        <f t="shared" si="8"/>
        <v>1</v>
      </c>
      <c r="Y17" s="192">
        <f>RIGHT(D17,LEN(D17)-4)/10000</f>
        <v>0.1154</v>
      </c>
      <c r="Z17" s="192">
        <f>RIGHT(H17,LEN(H17)-4)/10000</f>
        <v>23.3306</v>
      </c>
      <c r="AA17" s="192">
        <f>ABS(Z17-Y17)</f>
        <v>23.215199999999999</v>
      </c>
      <c r="AB17" s="57" t="str">
        <f>VLOOKUP(A17,Enforcements!$C$7:$K$13,8,0)</f>
        <v>Bulletin (2)</v>
      </c>
      <c r="AC17" s="53" t="str">
        <f>VLOOKUP(A17,Enforcements!$C$7:$E$13,3,0)</f>
        <v>GRADE CROSSING</v>
      </c>
      <c r="AD17" s="54" t="str">
        <f>IF(LEN(A17)=6,"0"&amp;A17,A17)</f>
        <v>0105-03</v>
      </c>
      <c r="AE17" s="80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17" s="77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/stypes="app*4030*20170503*" /stext=" 11:.+((SYSTEM_STATE.+slice.+state.+changed )|(ment ac)|(multiple cpu faults)|(system.+state.+changed )|(\[timeout)|(PRM\|1\|D)|(kpr)|(kdp)|(train st.+moving)|(\|lc)|(penalty))"</v>
      </c>
      <c r="AG17" s="1" t="str">
        <f>IFERROR(IF(VALUE(LEFT(AD17,2))&lt;=2,"EC",IF(OR(VALUE(LEFT(AD17,2))=8,VALUE(LEFT(AD17,2))=18),"NW","Other")),"Other")</f>
        <v>EC</v>
      </c>
      <c r="AH17" s="81" t="str">
        <f t="shared" si="4"/>
        <v>"%USERPROFILE%\Documents\GitHub\eaglep3\Utilities\RefineRTDCRunTimes.py" --tripid 105-03 --locoid 4030 --swversion DE.1.0.9.0 --startMP 204:1154 --initTime 2017-05-03T04:18:34 --startdatetime 2017-05-03T04:24:09 --delay 2 --endMP 204:233306 --enddatetime 2017-05-03T05:03:19 --enforcementcount 0 &gt;&gt;C:\Users\stu\Documents\GitHub\eaglep3-reporting\EC\2017-05-03-refined-times.txt</v>
      </c>
      <c r="AI17" s="99" t="str">
        <f t="shared" si="5"/>
        <v>echo {"issue":{"subject":"Delayed by Class 2 brake test failure","project_id":79,"tracker_id":40,"status_id":1,"priority_id":2,"assigned_to_id":23,"start_date":"2017-05-03","description":"","custom_fields":[{"id":1,"name":"Subdivision","value":"EC"},{"id":4,"name":"Milepost","value":"23.3306"},{"id":17,"name":"Train ID","value":"105-03"},{"id":16,"name":"Locomotive ID","value":"4030"},{"id":130,"name":"Impact","value":""},{"id":150,"name":"Time of Event (Mountain Time)","value":"05:03:19"},{"id":151,"name":"Denver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6"/>
        <v>start /low /b %USERPROFILE%\Documents\GitHub\eaglep3\Utilities\DownloadLogsFromS3.py --loco 4030 --day 2017-05-03</v>
      </c>
      <c r="AN17" s="154" t="str">
        <f t="shared" si="7"/>
        <v>echo {"issue":{"subject":"Delayed by Class 2 brake test failure","project_id":30,"tracker_id":4,"status_id":1,"priority_id":1,"assigned_to_id":10,"start_date":"2017-05-03","description":"","custom_fields":[{"id":30,"name":"Category","value":"Issue"},{"id":3,"name":"Functional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11:03:19"},{"id":29,"name":"Sharepoint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583</v>
      </c>
      <c r="B18" s="7">
        <v>4029</v>
      </c>
      <c r="C18" s="21" t="s">
        <v>210</v>
      </c>
      <c r="D18" s="21" t="s">
        <v>548</v>
      </c>
      <c r="E18" s="13">
        <v>42858.212743055556</v>
      </c>
      <c r="F18" s="13">
        <v>42858.216157407405</v>
      </c>
      <c r="G18" s="7">
        <v>2</v>
      </c>
      <c r="H18" s="21" t="s">
        <v>439</v>
      </c>
      <c r="I18" s="13">
        <v>42858.245162037034</v>
      </c>
      <c r="J18" s="7">
        <v>0</v>
      </c>
      <c r="K18" s="92" t="str">
        <f>IF(ISEVEN(B18),(B18-1)&amp;"/"&amp;B18,B18&amp;"/"&amp;(B18+1))</f>
        <v>4029/4030</v>
      </c>
      <c r="L18" s="21" t="str">
        <f>VLOOKUP(A18,'Trips&amp;Operators'!$C$1:$G$99999,5,FALSE)</f>
        <v>SPECTOR MICHAEL</v>
      </c>
      <c r="M18" s="6">
        <f>I18-F18</f>
        <v>2.9004629628616385E-2</v>
      </c>
      <c r="N18" s="7">
        <f>24*60*SUM($M18:$M18)</f>
        <v>41.766666665207595</v>
      </c>
      <c r="O18" s="7"/>
      <c r="P18" s="7"/>
      <c r="Q18" s="22"/>
      <c r="R18" s="190"/>
      <c r="S18" s="196">
        <f>SUM(U18:U18)/IF(AG18="EC",12,1)</f>
        <v>1</v>
      </c>
      <c r="T18" s="190" t="str">
        <f>IF(ISEVEN(LEFT(AD18,4)),"Southbound","NorthBound")</f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-05-03T04:06:21-0600',mode:absolute,to:'2017-05-03T06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" s="192" t="str">
        <f>IF(AA18&lt;IF(AG18="EC",23,5.65),"Y","N")</f>
        <v>N</v>
      </c>
      <c r="X18" s="192">
        <f t="shared" si="8"/>
        <v>1</v>
      </c>
      <c r="Y18" s="192">
        <f>RIGHT(D18,LEN(D18)-4)/10000</f>
        <v>23.2989</v>
      </c>
      <c r="Z18" s="192">
        <f>RIGHT(H18,LEN(H18)-4)/10000</f>
        <v>1.7600000000000001E-2</v>
      </c>
      <c r="AA18" s="192">
        <f>ABS(Z18-Y18)</f>
        <v>23.281299999999998</v>
      </c>
      <c r="AB18" s="57" t="str">
        <f>VLOOKUP(A18,Enforcements!$C$7:$K$13,8,0)</f>
        <v>Bulletin (2)</v>
      </c>
      <c r="AC18" s="53" t="str">
        <f>VLOOKUP(A18,Enforcements!$C$7:$E$13,3,0)</f>
        <v>GRADE CROSSING</v>
      </c>
      <c r="AD18" s="54" t="str">
        <f>IF(LEN(A18)=6,"0"&amp;A18,A18)</f>
        <v>0106-03</v>
      </c>
      <c r="AE18" s="80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18" s="77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/stypes="app*4029*20170503*" /stext=" 11:.+((SYSTEM_STATE.+slice.+state.+changed )|(ment ac)|(multiple cpu faults)|(system.+state.+changed )|(\[timeout)|(PRM\|1\|D)|(kpr)|(kdp)|(train st.+moving)|(\|lc)|(penalty))"</v>
      </c>
      <c r="AG18" s="1" t="str">
        <f>IFERROR(IF(VALUE(LEFT(AD18,2))&lt;=2,"EC",IF(OR(VALUE(LEFT(AD18,2))=8,VALUE(LEFT(AD18,2))=18),"NW","Other")),"Other")</f>
        <v>EC</v>
      </c>
      <c r="AH18" s="81" t="str">
        <f t="shared" si="4"/>
        <v>"%USERPROFILE%\Documents\GitHub\eaglep3\Utilities\RefineRTDCRunTimes.py" --tripid 106-03 --locoid 4029 --swversion DE.1.0.9.0 --startMP 204:232989 --initTime 2017-05-03T05:06:21 --startdatetime 2017-05-03T05:11:16 --delay 2 --endMP 204:176 --enddatetime 2017-05-03T05:53:02 --enforcementcount 0 &gt;&gt;C:\Users\stu\Documents\GitHub\eaglep3-reporting\EC\2017-05-03-refined-times.txt</v>
      </c>
      <c r="AI18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{"issue":{"subject":"","project_id":79,"tracker_id":40,"status_id":1,"priority_id":2,"assigned_to_id":23,"start_date":"2017-05-03","description":"","custom_fields":[{"id":1,"name":"Subdivision","value":"EC"},{"id":4,"name":"Milepost","value":"0.0176"},{"id":17,"name":"Train ID","value":"106-03"},{"id":16,"name":"Locomotive ID","value":"4029"},{"id":130,"name":"Impact","value":""},{"id":150,"name":"Time of Event (Mountain Time)","value":"05:53:02"},{"id":151,"name":"Denver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6"/>
        <v>start /low /b %USERPROFILE%\Documents\GitHub\eaglep3\Utilities\DownloadLogsFromS3.py --loco 4029 --day 2017-05-03</v>
      </c>
      <c r="AN18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630</v>
      </c>
      <c r="B19" s="7">
        <v>4016</v>
      </c>
      <c r="C19" s="21" t="s">
        <v>210</v>
      </c>
      <c r="D19" s="21" t="s">
        <v>448</v>
      </c>
      <c r="E19" s="13">
        <v>42858.183541666665</v>
      </c>
      <c r="F19" s="13">
        <v>42858.187685185185</v>
      </c>
      <c r="G19" s="7">
        <v>1</v>
      </c>
      <c r="H19" s="21" t="s">
        <v>445</v>
      </c>
      <c r="I19" s="13">
        <v>42858.213993055557</v>
      </c>
      <c r="J19" s="7">
        <v>0</v>
      </c>
      <c r="K19" s="92" t="str">
        <f>IF(ISEVEN(B19),(B19-1)&amp;"/"&amp;B19,B19&amp;"/"&amp;(B19+1))</f>
        <v>4015/4016</v>
      </c>
      <c r="L19" s="21" t="str">
        <f>VLOOKUP(A19,'Trips&amp;Operators'!$C$1:$G$99999,5,FALSE)</f>
        <v>THOMPSON LESTER</v>
      </c>
      <c r="M19" s="6">
        <f>I19-F19</f>
        <v>2.6307870371965691E-2</v>
      </c>
      <c r="N19" s="7">
        <f>24*60*SUM($M19:$M19)</f>
        <v>37.883333335630596</v>
      </c>
      <c r="O19" s="7"/>
      <c r="P19" s="7"/>
      <c r="Q19" s="22"/>
      <c r="R19" s="190"/>
      <c r="S19" s="196">
        <f>SUM(U19:U19)/IF(AG19="EC",12,1)</f>
        <v>1</v>
      </c>
      <c r="T19" s="190" t="str">
        <f>IF(ISEVEN(LEFT(AD19,4)),"Southbound","NorthBound")</f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-05-03T03:24:18-0600',mode:absolute,to:'2017-05-03T06:08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192" t="str">
        <f>IF(AA19&lt;IF(AG19="EC",23,5.65),"Y","N")</f>
        <v>N</v>
      </c>
      <c r="X19" s="192">
        <f t="shared" si="8"/>
        <v>1</v>
      </c>
      <c r="Y19" s="192">
        <f>RIGHT(D19,LEN(D19)-4)/10000</f>
        <v>4.4699999999999997E-2</v>
      </c>
      <c r="Z19" s="192">
        <f>RIGHT(H19,LEN(H19)-4)/10000</f>
        <v>23.3293</v>
      </c>
      <c r="AA19" s="192">
        <f>ABS(Z19-Y19)</f>
        <v>23.284600000000001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>IF(LEN(A19)=6,"0"&amp;A19,A19)</f>
        <v>0107-03</v>
      </c>
      <c r="AE19" s="80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19" s="77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/stypes="app*4016*20170503*" /stext=" 11:.+((SYSTEM_STATE.+slice.+state.+changed )|(ment ac)|(multiple cpu faults)|(system.+state.+changed )|(\[timeout)|(PRM\|1\|D)|(kpr)|(kdp)|(train st.+moving)|(\|lc)|(penalty))"</v>
      </c>
      <c r="AG19" s="1" t="str">
        <f>IFERROR(IF(VALUE(LEFT(AD19,2))&lt;=2,"EC",IF(OR(VALUE(LEFT(AD19,2))=8,VALUE(LEFT(AD19,2))=18),"NW","Other")),"Other")</f>
        <v>EC</v>
      </c>
      <c r="AH19" s="81" t="str">
        <f t="shared" si="4"/>
        <v>"%USERPROFILE%\Documents\GitHub\eaglep3\Utilities\RefineRTDCRunTimes.py" --tripid 107-03 --locoid 4016 --swversion DE.1.0.9.0 --startMP 204:447 --initTime 2017-05-03T04:24:18 --startdatetime 2017-05-03T04:30:16 --delay 1 --endMP 204:233293 --enddatetime 2017-05-03T05:08:09 --enforcementcount 0 &gt;&gt;C:\Users\stu\Documents\GitHub\eaglep3-reporting\EC\2017-05-03-refined-times.txt</v>
      </c>
      <c r="AI19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{"issue":{"subject":"","project_id":79,"tracker_id":40,"status_id":1,"priority_id":2,"assigned_to_id":23,"start_date":"2017-05-03","description":"","custom_fields":[{"id":1,"name":"Subdivision","value":"EC"},{"id":4,"name":"Milepost","value":"23.3293"},{"id":17,"name":"Train ID","value":"107-03"},{"id":16,"name":"Locomotive ID","value":"4016"},{"id":130,"name":"Impact","value":""},{"id":150,"name":"Time of Event (Mountain Time)","value":"05:08:09"},{"id":151,"name":"Denver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6"/>
        <v>start /low /b %USERPROFILE%\Documents\GitHub\eaglep3\Utilities\DownloadLogsFromS3.py --loco 4016 --day 2017-05-03</v>
      </c>
      <c r="AN19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11:08:09"},{"id":29,"name":"Sharepoint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643</v>
      </c>
      <c r="B20" s="7">
        <v>4015</v>
      </c>
      <c r="C20" s="21" t="s">
        <v>210</v>
      </c>
      <c r="D20" s="21" t="s">
        <v>438</v>
      </c>
      <c r="E20" s="13">
        <v>42858.220439814817</v>
      </c>
      <c r="F20" s="13">
        <v>42858.2265625</v>
      </c>
      <c r="G20" s="7">
        <v>1</v>
      </c>
      <c r="H20" s="21" t="s">
        <v>405</v>
      </c>
      <c r="I20" s="13">
        <v>42858.254849537036</v>
      </c>
      <c r="J20" s="7">
        <v>0</v>
      </c>
      <c r="K20" s="92" t="str">
        <f>IF(ISEVEN(B20),(B20-1)&amp;"/"&amp;B20,B20&amp;"/"&amp;(B20+1))</f>
        <v>4015/4016</v>
      </c>
      <c r="L20" s="21" t="str">
        <f>VLOOKUP(A20,'Trips&amp;Operators'!$C$1:$G$99999,5,FALSE)</f>
        <v>THOMPSON LESTER</v>
      </c>
      <c r="M20" s="6">
        <f>I20-F20</f>
        <v>2.8287037035624962E-2</v>
      </c>
      <c r="N20" s="7">
        <f>24*60*SUM($M20:$M20)</f>
        <v>40.733333331299946</v>
      </c>
      <c r="O20" s="7"/>
      <c r="P20" s="7"/>
      <c r="Q20" s="22"/>
      <c r="R20" s="190"/>
      <c r="S20" s="196">
        <f>SUM(U20:U20)/IF(AG20="EC",12,1)</f>
        <v>1</v>
      </c>
      <c r="T20" s="190" t="str">
        <f>IF(ISEVEN(LEFT(AD20,4)),"Southbound","NorthBound")</f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-05-03T04:17:26-0600',mode:absolute,to:'2017-05-03T07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192" t="str">
        <f>IF(AA20&lt;IF(AG20="EC",23,5.65),"Y","N")</f>
        <v>N</v>
      </c>
      <c r="X20" s="192">
        <f t="shared" si="8"/>
        <v>1</v>
      </c>
      <c r="Y20" s="192">
        <f>RIGHT(D20,LEN(D20)-4)/10000</f>
        <v>23.298400000000001</v>
      </c>
      <c r="Z20" s="192">
        <f>RIGHT(H20,LEN(H20)-4)/10000</f>
        <v>1.4999999999999999E-2</v>
      </c>
      <c r="AA20" s="192">
        <f>ABS(Z20-Y20)</f>
        <v>23.2834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>IF(LEN(A20)=6,"0"&amp;A20,A20)</f>
        <v>0108-03</v>
      </c>
      <c r="AE20" s="80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20" s="77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/stypes="app*4015*20170503*" /stext=" 12:.+((SYSTEM_STATE.+slice.+state.+changed )|(ment ac)|(multiple cpu faults)|(system.+state.+changed )|(\[timeout)|(PRM\|1\|D)|(kpr)|(kdp)|(train st.+moving)|(\|lc)|(penalty))"</v>
      </c>
      <c r="AG20" s="1" t="str">
        <f>IFERROR(IF(VALUE(LEFT(AD20,2))&lt;=2,"EC",IF(OR(VALUE(LEFT(AD20,2))=8,VALUE(LEFT(AD20,2))=18),"NW","Other")),"Other")</f>
        <v>EC</v>
      </c>
      <c r="AH20" s="81" t="str">
        <f t="shared" si="4"/>
        <v>"%USERPROFILE%\Documents\GitHub\eaglep3\Utilities\RefineRTDCRunTimes.py" --tripid 108-03 --locoid 4015 --swversion DE.1.0.9.0 --startMP 204:232984 --initTime 2017-05-03T05:17:26 --startdatetime 2017-05-03T05:26:15 --delay 1 --endMP 204:150 --enddatetime 2017-05-03T06:06:59 --enforcementcount 0 &gt;&gt;C:\Users\stu\Documents\GitHub\eaglep3-reporting\EC\2017-05-03-refined-times.txt</v>
      </c>
      <c r="AI20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{"issue":{"subject":"","project_id":79,"tracker_id":40,"status_id":1,"priority_id":2,"assigned_to_id":23,"start_date":"2017-05-03","description":"","custom_fields":[{"id":1,"name":"Subdivision","value":"EC"},{"id":4,"name":"Milepost","value":"0.015"},{"id":17,"name":"Train ID","value":"108-03"},{"id":16,"name":"Locomotive ID","value":"4015"},{"id":130,"name":"Impact","value":""},{"id":150,"name":"Time of Event (Mountain Time)","value":"06:06:59"},{"id":151,"name":"Denver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6"/>
        <v>start /low /b %USERPROFILE%\Documents\GitHub\eaglep3\Utilities\DownloadLogsFromS3.py --loco 4015 --day 2017-05-03</v>
      </c>
      <c r="AN20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636</v>
      </c>
      <c r="B21" s="7">
        <v>4018</v>
      </c>
      <c r="C21" s="21" t="s">
        <v>210</v>
      </c>
      <c r="D21" s="21" t="s">
        <v>542</v>
      </c>
      <c r="E21" s="13">
        <v>42858.1952662037</v>
      </c>
      <c r="F21" s="13">
        <v>42858.198807870373</v>
      </c>
      <c r="G21" s="7">
        <v>1</v>
      </c>
      <c r="H21" s="21" t="s">
        <v>514</v>
      </c>
      <c r="I21" s="13">
        <v>42858.223425925928</v>
      </c>
      <c r="J21" s="7">
        <v>0</v>
      </c>
      <c r="K21" s="92" t="str">
        <f>IF(ISEVEN(B21),(B21-1)&amp;"/"&amp;B21,B21&amp;"/"&amp;(B21+1))</f>
        <v>4017/4018</v>
      </c>
      <c r="L21" s="21" t="str">
        <f>VLOOKUP(A21,'Trips&amp;Operators'!$C$1:$G$99999,5,FALSE)</f>
        <v>SANTIZO D. EDY</v>
      </c>
      <c r="M21" s="6">
        <f>I21-F21</f>
        <v>2.4618055555038154E-2</v>
      </c>
      <c r="N21" s="7">
        <f>24*60*SUM($M21:$M21)</f>
        <v>35.449999999254942</v>
      </c>
      <c r="O21" s="7"/>
      <c r="P21" s="7"/>
      <c r="Q21" s="22"/>
      <c r="R21" s="190"/>
      <c r="S21" s="196">
        <f>SUM(U21:U21)/IF(AG21="EC",12,1)</f>
        <v>1</v>
      </c>
      <c r="T21" s="190" t="str">
        <f>IF(ISEVEN(LEFT(AD21,4)),"Southbound","NorthBound")</f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-05-03T03:41:11-0600',mode:absolute,to:'2017-05-03T06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" s="192" t="str">
        <f>IF(AA21&lt;IF(AG21="EC",23,5.65),"Y","N")</f>
        <v>N</v>
      </c>
      <c r="X21" s="192">
        <f t="shared" si="8"/>
        <v>1</v>
      </c>
      <c r="Y21" s="192">
        <f>RIGHT(D21,LEN(D21)-4)/10000</f>
        <v>4.4200000000000003E-2</v>
      </c>
      <c r="Z21" s="192">
        <f>RIGHT(H21,LEN(H21)-4)/10000</f>
        <v>23.333200000000001</v>
      </c>
      <c r="AA21" s="192">
        <f>ABS(Z21-Y21)</f>
        <v>23.289000000000001</v>
      </c>
      <c r="AB21" s="57" t="e">
        <f>VLOOKUP(A21,Enforcements!$C$7:$K$13,8,0)</f>
        <v>#N/A</v>
      </c>
      <c r="AC21" s="53" t="e">
        <f>VLOOKUP(A21,Enforcements!$C$7:$E$13,3,0)</f>
        <v>#N/A</v>
      </c>
      <c r="AD21" s="54" t="str">
        <f>IF(LEN(A21)=6,"0"&amp;A21,A21)</f>
        <v>0109-03</v>
      </c>
      <c r="AE21" s="80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 &amp; 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</v>
      </c>
      <c r="AF21" s="77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/stypes="app*4018*20170503*" /stext=" 11:.+((SYSTEM_STATE.+slice.+state.+changed )|(ment ac)|(multiple cpu faults)|(system.+state.+changed )|(\[timeout)|(PRM\|1\|D)|(kpr)|(kdp)|(train st.+moving)|(\|lc)|(penalty))"</v>
      </c>
      <c r="AG21" s="1" t="str">
        <f>IFERROR(IF(VALUE(LEFT(AD21,2))&lt;=2,"EC",IF(OR(VALUE(LEFT(AD21,2))=8,VALUE(LEFT(AD21,2))=18),"NW","Other")),"Other")</f>
        <v>EC</v>
      </c>
      <c r="AH21" s="81" t="str">
        <f t="shared" si="4"/>
        <v>"%USERPROFILE%\Documents\GitHub\eaglep3\Utilities\RefineRTDCRunTimes.py" --tripid 109-03 --locoid 4018 --swversion DE.1.0.9.0 --startMP 204:442 --initTime 2017-05-03T04:41:11 --startdatetime 2017-05-03T04:46:17 --delay 1 --endMP 204:233332 --enddatetime 2017-05-03T05:21:44 --enforcementcount 0 &gt;&gt;C:\Users\stu\Documents\GitHub\eaglep3-reporting\EC\2017-05-03-refined-times.txt</v>
      </c>
      <c r="AI21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{"issue":{"subject":"","project_id":79,"tracker_id":40,"status_id":1,"priority_id":2,"assigned_to_id":23,"start_date":"2017-05-03","description":"","custom_fields":[{"id":1,"name":"Subdivision","value":"EC"},{"id":4,"name":"Milepost","value":"23.3332"},{"id":17,"name":"Train ID","value":"109-03"},{"id":16,"name":"Locomotive ID","value":"4018"},{"id":130,"name":"Impact","value":""},{"id":150,"name":"Time of Event (Mountain Time)","value":"05:21:44"},{"id":151,"name":"Denver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6"/>
        <v>start /low /b %USERPROFILE%\Documents\GitHub\eaglep3\Utilities\DownloadLogsFromS3.py --loco 4018 --day 2017-05-03</v>
      </c>
      <c r="AN21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644</v>
      </c>
      <c r="B22" s="7">
        <v>4017</v>
      </c>
      <c r="C22" s="21" t="s">
        <v>210</v>
      </c>
      <c r="D22" s="21" t="s">
        <v>437</v>
      </c>
      <c r="E22" s="13">
        <v>42858.224907407406</v>
      </c>
      <c r="F22" s="13">
        <v>42858.236967592595</v>
      </c>
      <c r="G22" s="7">
        <v>0</v>
      </c>
      <c r="H22" s="21" t="s">
        <v>198</v>
      </c>
      <c r="I22" s="13">
        <v>42858.262789351851</v>
      </c>
      <c r="J22" s="7">
        <v>0</v>
      </c>
      <c r="K22" s="92" t="str">
        <f>IF(ISEVEN(B22),(B22-1)&amp;"/"&amp;B22,B22&amp;"/"&amp;(B22+1))</f>
        <v>4017/4018</v>
      </c>
      <c r="L22" s="21" t="str">
        <f>VLOOKUP(A22,'Trips&amp;Operators'!$C$1:$G$99999,5,FALSE)</f>
        <v>SANTIZO D. EDY</v>
      </c>
      <c r="M22" s="6">
        <f>I22-F22</f>
        <v>2.5821759256359655E-2</v>
      </c>
      <c r="N22" s="7">
        <f>24*60*SUM($M22:$M22)</f>
        <v>37.183333329157904</v>
      </c>
      <c r="O22" s="7"/>
      <c r="P22" s="7"/>
      <c r="Q22" s="22"/>
      <c r="R22" s="190"/>
      <c r="S22" s="196">
        <f>SUM(U22:U22)/IF(AG22="EC",12,1)</f>
        <v>1</v>
      </c>
      <c r="T22" s="190" t="str">
        <f>IF(ISEVEN(LEFT(AD22,4)),"Southbound","NorthBound")</f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-05-03T04:23:52-0600',mode:absolute,to:'2017-05-03T07:18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" s="192" t="str">
        <f>IF(AA22&lt;IF(AG22="EC",23,5.65),"Y","N")</f>
        <v>N</v>
      </c>
      <c r="X22" s="192">
        <f t="shared" si="8"/>
        <v>1</v>
      </c>
      <c r="Y22" s="192">
        <f>RIGHT(D22,LEN(D22)-4)/10000</f>
        <v>23.299299999999999</v>
      </c>
      <c r="Z22" s="192">
        <f>RIGHT(H22,LEN(H22)-4)/10000</f>
        <v>1.5800000000000002E-2</v>
      </c>
      <c r="AA22" s="192">
        <f>ABS(Z22-Y22)</f>
        <v>23.2835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>IF(LEN(A22)=6,"0"&amp;A22,A22)</f>
        <v>0110-03</v>
      </c>
      <c r="AE22" s="80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AF22" s="77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/stypes="app*4017*20170503*" /stext=" 12:.+((SYSTEM_STATE.+slice.+state.+changed )|(ment ac)|(multiple cpu faults)|(system.+state.+changed )|(\[timeout)|(PRM\|1\|D)|(kpr)|(kdp)|(train st.+moving)|(\|lc)|(penalty))"</v>
      </c>
      <c r="AG22" s="1" t="str">
        <f>IFERROR(IF(VALUE(LEFT(AD22,2))&lt;=2,"EC",IF(OR(VALUE(LEFT(AD22,2))=8,VALUE(LEFT(AD22,2))=18),"NW","Other")),"Other")</f>
        <v>EC</v>
      </c>
      <c r="AH22" s="81" t="str">
        <f t="shared" si="4"/>
        <v>"%USERPROFILE%\Documents\GitHub\eaglep3\Utilities\RefineRTDCRunTimes.py" --tripid 110-03 --locoid 4017 --swversion DE.1.0.9.0 --startMP 204:232993 --initTime 2017-05-03T05:23:52 --startdatetime 2017-05-03T05:41:14 --delay 0 --endMP 204:158 --enddatetime 2017-05-03T06:18:25 --enforcementcount 0 &gt;&gt;C:\Users\stu\Documents\GitHub\eaglep3-reporting\EC\2017-05-03-refined-times.txt</v>
      </c>
      <c r="AI22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{"issue":{"subject":"","project_id":79,"tracker_id":40,"status_id":1,"priority_id":2,"assigned_to_id":23,"start_date":"2017-05-03","description":"","custom_fields":[{"id":1,"name":"Subdivision","value":"EC"},{"id":4,"name":"Milepost","value":"0.0158"},{"id":17,"name":"Train ID","value":"110-03"},{"id":16,"name":"Locomotive ID","value":"4017"},{"id":130,"name":"Impact","value":""},{"id":150,"name":"Time of Event (Mountain Time)","value":"06:18:25"},{"id":151,"name":"Denver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6"/>
        <v>start /low /b %USERPROFILE%\Documents\GitHub\eaglep3\Utilities\DownloadLogsFromS3.py --loco 4017 --day 2017-05-03</v>
      </c>
      <c r="AN22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12:18:25"},{"id":29,"name":"Sharepoint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640</v>
      </c>
      <c r="B23" s="7">
        <v>4028</v>
      </c>
      <c r="C23" s="21" t="s">
        <v>210</v>
      </c>
      <c r="D23" s="21" t="s">
        <v>846</v>
      </c>
      <c r="E23" s="13">
        <v>42858.205763888887</v>
      </c>
      <c r="F23" s="13">
        <v>42858.208877314813</v>
      </c>
      <c r="G23" s="7">
        <v>1</v>
      </c>
      <c r="H23" s="21" t="s">
        <v>847</v>
      </c>
      <c r="I23" s="13">
        <v>42858.23296296296</v>
      </c>
      <c r="J23" s="7">
        <v>0</v>
      </c>
      <c r="K23" s="92" t="str">
        <f>IF(ISEVEN(B23),(B23-1)&amp;"/"&amp;B23,B23&amp;"/"&amp;(B23+1))</f>
        <v>4027/4028</v>
      </c>
      <c r="L23" s="21" t="str">
        <f>VLOOKUP(A23,'Trips&amp;Operators'!$C$1:$G$99999,5,FALSE)</f>
        <v>LAMAR NEKESHA</v>
      </c>
      <c r="M23" s="6">
        <f>I23-F23</f>
        <v>2.4085648146865424E-2</v>
      </c>
      <c r="N23" s="7">
        <f>24*60*SUM($M23:$M23)</f>
        <v>34.68333333148621</v>
      </c>
      <c r="O23" s="7"/>
      <c r="P23" s="7"/>
      <c r="Q23" s="22"/>
      <c r="R23" s="190"/>
      <c r="S23" s="196">
        <f>SUM(U23:U23)/IF(AG23="EC",12,1)</f>
        <v>1</v>
      </c>
      <c r="T23" s="190" t="str">
        <f>IF(ISEVEN(LEFT(AD23,4)),"Southbound","NorthBound")</f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-05-03T03:56:18-0600',mode:absolute,to:'2017-05-03T06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3" s="192" t="str">
        <f>IF(AA23&lt;IF(AG23="EC",23,5.65),"Y","N")</f>
        <v>N</v>
      </c>
      <c r="X23" s="192">
        <f>VALUE(LEFT(AD23,4))-VALUE(LEFT(AD22,4))</f>
        <v>1</v>
      </c>
      <c r="Y23" s="192">
        <f>RIGHT(D23,LEN(D23)-4)/10000</f>
        <v>7.8799999999999995E-2</v>
      </c>
      <c r="Z23" s="192">
        <f>RIGHT(H23,LEN(H23)-4)/10000</f>
        <v>23.333400000000001</v>
      </c>
      <c r="AA23" s="192">
        <f>ABS(Z23-Y23)</f>
        <v>23.2546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>IF(LEN(A23)=6,"0"&amp;A23,A23)</f>
        <v>0111-03</v>
      </c>
      <c r="AE23" s="80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23" s="77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/stypes="app*4028*20170503*" /stext=" 11:.+((SYSTEM_STATE.+slice.+state.+changed )|(ment ac)|(multiple cpu faults)|(system.+state.+changed )|(\[timeout)|(PRM\|1\|D)|(kpr)|(kdp)|(train st.+moving)|(\|lc)|(penalty))"</v>
      </c>
      <c r="AG23" s="1" t="str">
        <f>IFERROR(IF(VALUE(LEFT(AD23,2))&lt;=2,"EC",IF(OR(VALUE(LEFT(AD23,2))=8,VALUE(LEFT(AD23,2))=18),"NW","Other")),"Other")</f>
        <v>EC</v>
      </c>
      <c r="AH23" s="81" t="str">
        <f t="shared" si="4"/>
        <v>"%USERPROFILE%\Documents\GitHub\eaglep3\Utilities\RefineRTDCRunTimes.py" --tripid 111-03 --locoid 4028 --swversion DE.1.0.9.0 --startMP 204:788 --initTime 2017-05-03T04:56:18 --startdatetime 2017-05-03T05:00:47 --delay 1 --endMP 204:233334 --enddatetime 2017-05-03T05:35:28 --enforcementcount 0 &gt;&gt;C:\Users\stu\Documents\GitHub\eaglep3-reporting\EC\2017-05-03-refined-times.txt</v>
      </c>
      <c r="AI23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{"issue":{"subject":"","project_id":79,"tracker_id":40,"status_id":1,"priority_id":2,"assigned_to_id":23,"start_date":"2017-05-03","description":"","custom_fields":[{"id":1,"name":"Subdivision","value":"EC"},{"id":4,"name":"Milepost","value":"23.3334"},{"id":17,"name":"Train ID","value":"111-03"},{"id":16,"name":"Locomotive ID","value":"4028"},{"id":130,"name":"Impact","value":""},{"id":150,"name":"Time of Event (Mountain Time)","value":"05:35:28"},{"id":151,"name":"Denver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6"/>
        <v>start /low /b %USERPROFILE%\Documents\GitHub\eaglep3\Utilities\DownloadLogsFromS3.py --loco 4028 --day 2017-05-03</v>
      </c>
      <c r="AN23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648</v>
      </c>
      <c r="B24" s="7">
        <v>4027</v>
      </c>
      <c r="C24" s="21" t="s">
        <v>210</v>
      </c>
      <c r="D24" s="21" t="s">
        <v>848</v>
      </c>
      <c r="E24" s="13">
        <v>42858.245740740742</v>
      </c>
      <c r="F24" s="13">
        <v>42858.247546296298</v>
      </c>
      <c r="G24" s="7">
        <v>1</v>
      </c>
      <c r="H24" s="21" t="s">
        <v>203</v>
      </c>
      <c r="I24" s="13">
        <v>42858.273935185185</v>
      </c>
      <c r="J24" s="7">
        <v>0</v>
      </c>
      <c r="K24" s="92" t="str">
        <f>IF(ISEVEN(B24),(B24-1)&amp;"/"&amp;B24,B24&amp;"/"&amp;(B24+1))</f>
        <v>4027/4028</v>
      </c>
      <c r="L24" s="21" t="str">
        <f>VLOOKUP(A24,'Trips&amp;Operators'!$C$1:$G$99999,5,FALSE)</f>
        <v>LAMAR NEKESHA</v>
      </c>
      <c r="M24" s="6">
        <f>I24-F24</f>
        <v>2.6388888887595385E-2</v>
      </c>
      <c r="N24" s="7">
        <f>24*60*SUM($M24:$M24)</f>
        <v>37.999999998137355</v>
      </c>
      <c r="O24" s="7"/>
      <c r="P24" s="7"/>
      <c r="Q24" s="22"/>
      <c r="R24" s="190"/>
      <c r="S24" s="196">
        <f>SUM(U24:U24)/IF(AG24="EC",12,1)</f>
        <v>1</v>
      </c>
      <c r="T24" s="190" t="str">
        <f>IF(ISEVEN(LEFT(AD24,4)),"Southbound","NorthBound")</f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-05-03T04:53:52-0600',mode:absolute,to:'2017-05-03T07:34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4" s="192" t="str">
        <f>IF(AA24&lt;IF(AG24="EC",23,5.65),"Y","N")</f>
        <v>N</v>
      </c>
      <c r="X24" s="192">
        <f>VALUE(LEFT(AD24,4))-VALUE(LEFT(AD23,4))</f>
        <v>1</v>
      </c>
      <c r="Y24" s="192">
        <f>RIGHT(D24,LEN(D24)-4)/10000</f>
        <v>23.304200000000002</v>
      </c>
      <c r="Z24" s="192">
        <f>RIGHT(H24,LEN(H24)-4)/10000</f>
        <v>1.54E-2</v>
      </c>
      <c r="AA24" s="192">
        <f>ABS(Z24-Y24)</f>
        <v>23.288800000000002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>IF(LEN(A24)=6,"0"&amp;A24,A24)</f>
        <v>0112-03</v>
      </c>
      <c r="AE24" s="80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24" s="77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/stypes="app*4027*20170503*" /stext=" 12:.+((SYSTEM_STATE.+slice.+state.+changed )|(ment ac)|(multiple cpu faults)|(system.+state.+changed )|(\[timeout)|(PRM\|1\|D)|(kpr)|(kdp)|(train st.+moving)|(\|lc)|(penalty))"</v>
      </c>
      <c r="AG24" s="1" t="str">
        <f>IFERROR(IF(VALUE(LEFT(AD24,2))&lt;=2,"EC",IF(OR(VALUE(LEFT(AD24,2))=8,VALUE(LEFT(AD24,2))=18),"NW","Other")),"Other")</f>
        <v>EC</v>
      </c>
      <c r="AH24" s="81" t="str">
        <f t="shared" si="4"/>
        <v>"%USERPROFILE%\Documents\GitHub\eaglep3\Utilities\RefineRTDCRunTimes.py" --tripid 112-03 --locoid 4027 --swversion DE.1.0.9.0 --startMP 204:233042 --initTime 2017-05-03T05:53:52 --startdatetime 2017-05-03T05:56:28 --delay 1 --endMP 204:154 --enddatetime 2017-05-03T06:34:28 --enforcementcount 0 &gt;&gt;C:\Users\stu\Documents\GitHub\eaglep3-reporting\EC\2017-05-03-refined-times.txt</v>
      </c>
      <c r="AI24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{"issue":{"subject":"","project_id":79,"tracker_id":40,"status_id":1,"priority_id":2,"assigned_to_id":23,"start_date":"2017-05-03","description":"","custom_fields":[{"id":1,"name":"Subdivision","value":"EC"},{"id":4,"name":"Milepost","value":"0.0154"},{"id":17,"name":"Train ID","value":"112-03"},{"id":16,"name":"Locomotive ID","value":"4027"},{"id":130,"name":"Impact","value":""},{"id":150,"name":"Time of Event (Mountain Time)","value":"06:34:28"},{"id":151,"name":"Denver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6"/>
        <v>start /low /b %USERPROFILE%\Documents\GitHub\eaglep3\Utilities\DownloadLogsFromS3.py --loco 4027 --day 2017-05-03</v>
      </c>
      <c r="AN24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12:34:28"},{"id":29,"name":"Sharepoint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641</v>
      </c>
      <c r="B25" s="7">
        <v>4040</v>
      </c>
      <c r="C25" s="21" t="s">
        <v>210</v>
      </c>
      <c r="D25" s="21" t="s">
        <v>381</v>
      </c>
      <c r="E25" s="13">
        <v>42858.208321759259</v>
      </c>
      <c r="F25" s="13">
        <v>42858.218923611108</v>
      </c>
      <c r="G25" s="7">
        <v>2</v>
      </c>
      <c r="H25" s="21" t="s">
        <v>849</v>
      </c>
      <c r="I25" s="13">
        <v>42858.245219907411</v>
      </c>
      <c r="J25" s="7">
        <v>0</v>
      </c>
      <c r="K25" s="92" t="str">
        <f>IF(ISEVEN(B25),(B25-1)&amp;"/"&amp;B25,B25&amp;"/"&amp;(B25+1))</f>
        <v>4039/4040</v>
      </c>
      <c r="L25" s="21" t="str">
        <f>VLOOKUP(A25,'Trips&amp;Operators'!$C$1:$G$99999,5,FALSE)</f>
        <v>BADERTSCHER DIANE</v>
      </c>
      <c r="M25" s="6">
        <f>I25-F25</f>
        <v>2.6296296302461997E-2</v>
      </c>
      <c r="N25" s="7">
        <f>24*60*SUM($M25:$M25)</f>
        <v>37.866666675545275</v>
      </c>
      <c r="O25" s="7"/>
      <c r="P25" s="7"/>
      <c r="Q25" s="22"/>
      <c r="R25" s="190"/>
      <c r="S25" s="196">
        <f>SUM(U25:U25)/IF(AG25="EC",12,1)</f>
        <v>1</v>
      </c>
      <c r="T25" s="190" t="str">
        <f>IF(ISEVEN(LEFT(AD25,4)),"Southbound","NorthBound")</f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-05-03T03:59:59-0600',mode:absolute,to:'2017-05-03T06:53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5" s="192" t="str">
        <f>IF(AA25&lt;IF(AG25="EC",23,5.65),"Y","N")</f>
        <v>N</v>
      </c>
      <c r="X25" s="192">
        <f>VALUE(LEFT(AD25,4))-VALUE(LEFT(AD24,4))</f>
        <v>1</v>
      </c>
      <c r="Y25" s="192">
        <f>RIGHT(D25,LEN(D25)-4)/10000</f>
        <v>4.6199999999999998E-2</v>
      </c>
      <c r="Z25" s="192">
        <f>RIGHT(H25,LEN(H25)-4)/10000</f>
        <v>23.334</v>
      </c>
      <c r="AA25" s="192">
        <f>ABS(Z25-Y25)</f>
        <v>23.287800000000001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>IF(LEN(A25)=6,"0"&amp;A25,A25)</f>
        <v>0113-03</v>
      </c>
      <c r="AE25" s="80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AF25" s="77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/stypes="app*4040*20170503*" /stext=" 11:.+((SYSTEM_STATE.+slice.+state.+changed )|(ment ac)|(multiple cpu faults)|(system.+state.+changed )|(\[timeout)|(PRM\|1\|D)|(kpr)|(kdp)|(train st.+moving)|(\|lc)|(penalty))"</v>
      </c>
      <c r="AG25" s="1" t="str">
        <f>IFERROR(IF(VALUE(LEFT(AD25,2))&lt;=2,"EC",IF(OR(VALUE(LEFT(AD25,2))=8,VALUE(LEFT(AD25,2))=18),"NW","Other")),"Other")</f>
        <v>EC</v>
      </c>
      <c r="AH25" s="81" t="str">
        <f t="shared" si="4"/>
        <v>"%USERPROFILE%\Documents\GitHub\eaglep3\Utilities\RefineRTDCRunTimes.py" --tripid 113-03 --locoid 4040 --swversion DE.1.0.9.0 --startMP 204:462 --initTime 2017-05-03T04:59:59 --startdatetime 2017-05-03T05:15:15 --delay 2 --endMP 204:233340 --enddatetime 2017-05-03T05:53:07 --enforcementcount 0 &gt;&gt;C:\Users\stu\Documents\GitHub\eaglep3-reporting\EC\2017-05-03-refined-times.txt</v>
      </c>
      <c r="AI25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{"issue":{"subject":"","project_id":79,"tracker_id":40,"status_id":1,"priority_id":2,"assigned_to_id":23,"start_date":"2017-05-03","description":"","custom_fields":[{"id":1,"name":"Subdivision","value":"EC"},{"id":4,"name":"Milepost","value":"23.334"},{"id":17,"name":"Train ID","value":"113-03"},{"id":16,"name":"Locomotive ID","value":"4040"},{"id":130,"name":"Impact","value":""},{"id":150,"name":"Time of Event (Mountain Time)","value":"05:53:07"},{"id":151,"name":"Denver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6"/>
        <v>start /low /b %USERPROFILE%\Documents\GitHub\eaglep3\Utilities\DownloadLogsFromS3.py --loco 4040 --day 2017-05-03</v>
      </c>
      <c r="AN25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650</v>
      </c>
      <c r="B26" s="7">
        <v>4039</v>
      </c>
      <c r="C26" s="21" t="s">
        <v>210</v>
      </c>
      <c r="D26" s="21" t="s">
        <v>850</v>
      </c>
      <c r="E26" s="13">
        <v>42858.247986111113</v>
      </c>
      <c r="F26" s="13">
        <v>42858.257824074077</v>
      </c>
      <c r="G26" s="7">
        <v>1</v>
      </c>
      <c r="H26" s="21" t="s">
        <v>851</v>
      </c>
      <c r="I26" s="13">
        <v>42858.285381944443</v>
      </c>
      <c r="J26" s="7">
        <v>0</v>
      </c>
      <c r="K26" s="92" t="str">
        <f>IF(ISEVEN(B26),(B26-1)&amp;"/"&amp;B26,B26&amp;"/"&amp;(B26+1))</f>
        <v>4039/4040</v>
      </c>
      <c r="L26" s="21" t="str">
        <f>VLOOKUP(A26,'Trips&amp;Operators'!$C$1:$G$99999,5,FALSE)</f>
        <v>BADERTSCHER DIANE</v>
      </c>
      <c r="M26" s="6">
        <f>I26-F26</f>
        <v>2.7557870365853887E-2</v>
      </c>
      <c r="N26" s="7">
        <f>24*60*SUM($M26:$M26)</f>
        <v>39.683333326829597</v>
      </c>
      <c r="O26" s="7"/>
      <c r="P26" s="7"/>
      <c r="Q26" s="22"/>
      <c r="R26" s="190"/>
      <c r="S26" s="196">
        <f>SUM(U26:U26)/IF(AG26="EC",12,1)</f>
        <v>1</v>
      </c>
      <c r="T26" s="190" t="str">
        <f>IF(ISEVEN(LEFT(AD26,4)),"Southbound","NorthBound")</f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-05-03T04:57:06-0600',mode:absolute,to:'2017-05-03T07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6" s="192" t="str">
        <f>IF(AA26&lt;IF(AG26="EC",23,5.65),"Y","N")</f>
        <v>N</v>
      </c>
      <c r="X26" s="192">
        <f>VALUE(LEFT(AD26,4))-VALUE(LEFT(AD25,4))</f>
        <v>1</v>
      </c>
      <c r="Y26" s="192">
        <f>RIGHT(D26,LEN(D26)-4)/10000</f>
        <v>23.300999999999998</v>
      </c>
      <c r="Z26" s="192">
        <f>RIGHT(H26,LEN(H26)-4)/10000</f>
        <v>1.32E-2</v>
      </c>
      <c r="AA26" s="192">
        <f>ABS(Z26-Y26)</f>
        <v>23.287799999999997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>IF(LEN(A26)=6,"0"&amp;A26,A26)</f>
        <v>0114-03</v>
      </c>
      <c r="AE26" s="80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26" s="77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/stypes="app*4039*20170503*" /stext=" 12:.+((SYSTEM_STATE.+slice.+state.+changed )|(ment ac)|(multiple cpu faults)|(system.+state.+changed )|(\[timeout)|(PRM\|1\|D)|(kpr)|(kdp)|(train st.+moving)|(\|lc)|(penalty))"</v>
      </c>
      <c r="AG26" s="1" t="str">
        <f>IFERROR(IF(VALUE(LEFT(AD26,2))&lt;=2,"EC",IF(OR(VALUE(LEFT(AD26,2))=8,VALUE(LEFT(AD26,2))=18),"NW","Other")),"Other")</f>
        <v>EC</v>
      </c>
      <c r="AH26" s="81" t="str">
        <f t="shared" si="4"/>
        <v>"%USERPROFILE%\Documents\GitHub\eaglep3\Utilities\RefineRTDCRunTimes.py" --tripid 114-03 --locoid 4039 --swversion DE.1.0.9.0 --startMP 204:233010 --initTime 2017-05-03T05:57:06 --startdatetime 2017-05-03T06:11:16 --delay 1 --endMP 204:132 --enddatetime 2017-05-03T06:50:57 --enforcementcount 0 &gt;&gt;C:\Users\stu\Documents\GitHub\eaglep3-reporting\EC\2017-05-03-refined-times.txt</v>
      </c>
      <c r="AI26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{"issue":{"subject":"","project_id":79,"tracker_id":40,"status_id":1,"priority_id":2,"assigned_to_id":23,"start_date":"2017-05-03","description":"","custom_fields":[{"id":1,"name":"Subdivision","value":"EC"},{"id":4,"name":"Milepost","value":"0.0132"},{"id":17,"name":"Train ID","value":"114-03"},{"id":16,"name":"Locomotive ID","value":"4039"},{"id":130,"name":"Impact","value":""},{"id":150,"name":"Time of Event (Mountain Time)","value":"06:50:57"},{"id":151,"name":"Denver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6"/>
        <v>start /low /b %USERPROFILE%\Documents\GitHub\eaglep3\Utilities\DownloadLogsFromS3.py --loco 4039 --day 2017-05-03</v>
      </c>
      <c r="AN26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647</v>
      </c>
      <c r="B27" s="7">
        <v>4012</v>
      </c>
      <c r="C27" s="21" t="s">
        <v>210</v>
      </c>
      <c r="D27" s="21" t="s">
        <v>852</v>
      </c>
      <c r="E27" s="13">
        <v>42858.225972222222</v>
      </c>
      <c r="F27" s="13">
        <v>42858.22934027778</v>
      </c>
      <c r="G27" s="7">
        <v>1</v>
      </c>
      <c r="H27" s="21" t="s">
        <v>853</v>
      </c>
      <c r="I27" s="13">
        <v>42858.254027777781</v>
      </c>
      <c r="J27" s="7">
        <v>0</v>
      </c>
      <c r="K27" s="92" t="str">
        <f>IF(ISEVEN(B27),(B27-1)&amp;"/"&amp;B27,B27&amp;"/"&amp;(B27+1))</f>
        <v>4011/4012</v>
      </c>
      <c r="L27" s="21" t="str">
        <f>VLOOKUP(A27,'Trips&amp;Operators'!$C$1:$G$99999,5,FALSE)</f>
        <v>STARKS ANGELINA</v>
      </c>
      <c r="M27" s="6">
        <f>I27-F27</f>
        <v>2.4687500001164153E-2</v>
      </c>
      <c r="N27" s="7">
        <f>24*60*SUM($M27:$M27)</f>
        <v>35.550000001676381</v>
      </c>
      <c r="O27" s="7"/>
      <c r="P27" s="7"/>
      <c r="Q27" s="22"/>
      <c r="R27" s="190"/>
      <c r="S27" s="196">
        <f>SUM(U27:U27)/IF(AG27="EC",12,1)</f>
        <v>1</v>
      </c>
      <c r="T27" s="190" t="str">
        <f>IF(ISEVEN(LEFT(AD27,4)),"Southbound","NorthBound")</f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-05-03T04:25:24-0600',mode:absolute,to:'2017-05-03T07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7" s="192" t="str">
        <f>IF(AA27&lt;IF(AG27="EC",23,5.65),"Y","N")</f>
        <v>N</v>
      </c>
      <c r="X27" s="192">
        <f>VALUE(LEFT(AD27,4))-VALUE(LEFT(AD26,4))</f>
        <v>1</v>
      </c>
      <c r="Y27" s="192">
        <f>RIGHT(D27,LEN(D27)-4)/10000</f>
        <v>7.5399999999999995E-2</v>
      </c>
      <c r="Z27" s="192">
        <f>RIGHT(H27,LEN(H27)-4)/10000</f>
        <v>23.329699999999999</v>
      </c>
      <c r="AA27" s="192">
        <f>ABS(Z27-Y27)</f>
        <v>23.254300000000001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>IF(LEN(A27)=6,"0"&amp;A27,A27)</f>
        <v>0115-03</v>
      </c>
      <c r="AE27" s="80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AF27" s="77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/stypes="app*4012*20170503*" /stext=" 12:.+((SYSTEM_STATE.+slice.+state.+changed )|(ment ac)|(multiple cpu faults)|(system.+state.+changed )|(\[timeout)|(PRM\|1\|D)|(kpr)|(kdp)|(train st.+moving)|(\|lc)|(penalty))"</v>
      </c>
      <c r="AG27" s="1" t="str">
        <f>IFERROR(IF(VALUE(LEFT(AD27,2))&lt;=2,"EC",IF(OR(VALUE(LEFT(AD27,2))=8,VALUE(LEFT(AD27,2))=18),"NW","Other")),"Other")</f>
        <v>EC</v>
      </c>
      <c r="AH27" s="81" t="str">
        <f t="shared" si="4"/>
        <v>"%USERPROFILE%\Documents\GitHub\eaglep3\Utilities\RefineRTDCRunTimes.py" --tripid 115-03 --locoid 4012 --swversion DE.1.0.9.0 --startMP 204:754 --initTime 2017-05-03T05:25:24 --startdatetime 2017-05-03T05:30:15 --delay 1 --endMP 204:233297 --enddatetime 2017-05-03T06:05:48 --enforcementcount 0 &gt;&gt;C:\Users\stu\Documents\GitHub\eaglep3-reporting\EC\2017-05-03-refined-times.txt</v>
      </c>
      <c r="AI27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{"issue":{"subject":"","project_id":79,"tracker_id":40,"status_id":1,"priority_id":2,"assigned_to_id":23,"start_date":"2017-05-03","description":"","custom_fields":[{"id":1,"name":"Subdivision","value":"EC"},{"id":4,"name":"Milepost","value":"23.3297"},{"id":17,"name":"Train ID","value":"115-03"},{"id":16,"name":"Locomotive ID","value":"4012"},{"id":130,"name":"Impact","value":""},{"id":150,"name":"Time of Event (Mountain Time)","value":"06:05:48"},{"id":151,"name":"Denver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6"/>
        <v>start /low /b %USERPROFILE%\Documents\GitHub\eaglep3\Utilities\DownloadLogsFromS3.py --loco 4012 --day 2017-05-03</v>
      </c>
      <c r="AN27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657</v>
      </c>
      <c r="B28" s="7">
        <v>4011</v>
      </c>
      <c r="C28" s="21" t="s">
        <v>210</v>
      </c>
      <c r="D28" s="21" t="s">
        <v>435</v>
      </c>
      <c r="E28" s="13">
        <v>42858.26767361111</v>
      </c>
      <c r="F28" s="13">
        <v>42858.269224537034</v>
      </c>
      <c r="G28" s="7">
        <v>1</v>
      </c>
      <c r="H28" s="21" t="s">
        <v>513</v>
      </c>
      <c r="I28" s="13">
        <v>42858.296875</v>
      </c>
      <c r="J28" s="7">
        <v>0</v>
      </c>
      <c r="K28" s="92" t="str">
        <f>IF(ISEVEN(B28),(B28-1)&amp;"/"&amp;B28,B28&amp;"/"&amp;(B28+1))</f>
        <v>4011/4012</v>
      </c>
      <c r="L28" s="21" t="str">
        <f>VLOOKUP(A28,'Trips&amp;Operators'!$C$1:$G$99999,5,FALSE)</f>
        <v>STARKS ANGELINA</v>
      </c>
      <c r="M28" s="6">
        <f>I28-F28</f>
        <v>2.7650462965539191E-2</v>
      </c>
      <c r="N28" s="7">
        <f>24*60*SUM($M28:$M28)</f>
        <v>39.816666670376435</v>
      </c>
      <c r="O28" s="7"/>
      <c r="P28" s="7"/>
      <c r="Q28" s="22"/>
      <c r="R28" s="190"/>
      <c r="S28" s="196">
        <f>SUM(U28:U28)/IF(AG28="EC",12,1)</f>
        <v>1</v>
      </c>
      <c r="T28" s="190" t="str">
        <f>IF(ISEVEN(LEFT(AD28,4)),"Southbound","NorthBound")</f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-05-03T05:25:27-0600',mode:absolute,to:'2017-05-03T08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8" s="192" t="str">
        <f>IF(AA28&lt;IF(AG28="EC",23,5.65),"Y","N")</f>
        <v>N</v>
      </c>
      <c r="X28" s="192">
        <f>VALUE(LEFT(AD28,4))-VALUE(LEFT(AD27,4))</f>
        <v>1</v>
      </c>
      <c r="Y28" s="192">
        <f>RIGHT(D28,LEN(D28)-4)/10000</f>
        <v>23.298200000000001</v>
      </c>
      <c r="Z28" s="192">
        <f>RIGHT(H28,LEN(H28)-4)/10000</f>
        <v>1.3599999999999999E-2</v>
      </c>
      <c r="AA28" s="192">
        <f>ABS(Z28-Y28)</f>
        <v>23.284600000000001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>IF(LEN(A28)=6,"0"&amp;A28,A28)</f>
        <v>0116-03</v>
      </c>
      <c r="AE28" s="80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s3://rtdc.mdm.uploadarchive.raw/RTDC4011/ "%USERPROFILE%\AppData\Local\Temp\OnboardLogs"\RTDC4011\2017-05-03 --exclude "*" --recursive --include "*20170503*" &amp; "%USERPROFILE%\Documents\GitHub\mrs-test-scripts\Headless Mode &amp; Sideloading\WalkAndUnGZ.bat" "%USERPROFILE%\AppData\Local\Temp\OnboardLogs"\RTDC4011\2017-05-03 &amp; aws s3 cp s3://rtdc.mdm.uploadarchive.raw/RTDC4011/ "%USERPROFILE%\AppData\Local\Temp\OnboardLogs"\RTDC4011\2017-05-04 --exclude "*" --recursive --include "*20170504*" &amp; "%USERPROFILE%\Documents\GitHub\mrs-test-scripts\Headless Mode &amp; Sideloading\WalkAndUnGZ.bat" "%USERPROFILE%\AppData\Local\Temp\OnboardLogs"\RTDC4011\2017-05-04</v>
      </c>
      <c r="AF28" s="77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/stypes="app*4011*20170503*" /stext=" 13:.+((SYSTEM_STATE.+slice.+state.+changed )|(ment ac)|(multiple cpu faults)|(system.+state.+changed )|(\[timeout)|(PRM\|1\|D)|(kpr)|(kdp)|(train st.+moving)|(\|lc)|(penalty))"</v>
      </c>
      <c r="AG28" s="1" t="str">
        <f>IFERROR(IF(VALUE(LEFT(AD28,2))&lt;=2,"EC",IF(OR(VALUE(LEFT(AD28,2))=8,VALUE(LEFT(AD28,2))=18),"NW","Other")),"Other")</f>
        <v>EC</v>
      </c>
      <c r="AH28" s="81" t="str">
        <f t="shared" si="4"/>
        <v>"%USERPROFILE%\Documents\GitHub\eaglep3\Utilities\RefineRTDCRunTimes.py" --tripid 116-03 --locoid 4011 --swversion DE.1.0.9.0 --startMP 204:232982 --initTime 2017-05-03T06:25:27 --startdatetime 2017-05-03T06:27:41 --delay 1 --endMP 204:136 --enddatetime 2017-05-03T07:07:30 --enforcementcount 0 &gt;&gt;C:\Users\stu\Documents\GitHub\eaglep3-reporting\EC\2017-05-03-refined-times.txt</v>
      </c>
      <c r="AI28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{"issue":{"subject":"","project_id":79,"tracker_id":40,"status_id":1,"priority_id":2,"assigned_to_id":23,"start_date":"2017-05-03","description":"","custom_fields":[{"id":1,"name":"Subdivision","value":"EC"},{"id":4,"name":"Milepost","value":"0.0136"},{"id":17,"name":"Train ID","value":"116-03"},{"id":16,"name":"Locomotive ID","value":"4011"},{"id":130,"name":"Impact","value":""},{"id":150,"name":"Time of Event (Mountain Time)","value":"07:07:30"},{"id":151,"name":"Denver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6"/>
        <v>start /low /b %USERPROFILE%\Documents\GitHub\eaglep3\Utilities\DownloadLogsFromS3.py --loco 4011 --day 2017-05-03</v>
      </c>
      <c r="AN28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645</v>
      </c>
      <c r="B29" s="7">
        <v>4024</v>
      </c>
      <c r="C29" s="21" t="s">
        <v>210</v>
      </c>
      <c r="D29" s="21" t="s">
        <v>419</v>
      </c>
      <c r="E29" s="13">
        <v>42858.225381944445</v>
      </c>
      <c r="F29" s="13">
        <v>42858.239942129629</v>
      </c>
      <c r="G29" s="7">
        <v>1</v>
      </c>
      <c r="H29" s="21" t="s">
        <v>854</v>
      </c>
      <c r="I29" s="13">
        <v>42858.264780092592</v>
      </c>
      <c r="J29" s="7">
        <v>0</v>
      </c>
      <c r="K29" s="92" t="str">
        <f>IF(ISEVEN(B29),(B29-1)&amp;"/"&amp;B29,B29&amp;"/"&amp;(B29+1))</f>
        <v>4023/4024</v>
      </c>
      <c r="L29" s="21" t="str">
        <f>VLOOKUP(A29,'Trips&amp;Operators'!$C$1:$G$99999,5,FALSE)</f>
        <v>MAELZER KURT</v>
      </c>
      <c r="M29" s="6">
        <f>I29-F29</f>
        <v>2.4837962962919846E-2</v>
      </c>
      <c r="N29" s="7">
        <f>24*60*SUM($M29:$M29)</f>
        <v>35.766666666604578</v>
      </c>
      <c r="O29" s="7"/>
      <c r="P29" s="7"/>
      <c r="Q29" s="22"/>
      <c r="R29" s="190"/>
      <c r="S29" s="196">
        <f>SUM(U29:U29)/IF(AG29="EC",12,1)</f>
        <v>1</v>
      </c>
      <c r="T29" s="190" t="str">
        <f>IF(ISEVEN(LEFT(AD29,4)),"Southbound","NorthBound")</f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-05-03T04:24:33-0600',mode:absolute,to:'2017-05-03T07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9" s="192" t="str">
        <f>IF(AA29&lt;IF(AG29="EC",23,5.65),"Y","N")</f>
        <v>N</v>
      </c>
      <c r="X29" s="192">
        <f>VALUE(LEFT(AD29,4))-VALUE(LEFT(AD28,4))</f>
        <v>1</v>
      </c>
      <c r="Y29" s="192">
        <f>RIGHT(D29,LEN(D29)-4)/10000</f>
        <v>4.6399999999999997E-2</v>
      </c>
      <c r="Z29" s="192">
        <f>RIGHT(H29,LEN(H29)-4)/10000</f>
        <v>23.3325</v>
      </c>
      <c r="AA29" s="192">
        <f>ABS(Z29-Y29)</f>
        <v>23.286100000000001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>IF(LEN(A29)=6,"0"&amp;A29,A29)</f>
        <v>0117-03</v>
      </c>
      <c r="AE29" s="80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AF29" s="77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/stypes="app*4024*20170503*" /stext=" 12:.+((SYSTEM_STATE.+slice.+state.+changed )|(ment ac)|(multiple cpu faults)|(system.+state.+changed )|(\[timeout)|(PRM\|1\|D)|(kpr)|(kdp)|(train st.+moving)|(\|lc)|(penalty))"</v>
      </c>
      <c r="AG29" s="1" t="str">
        <f>IFERROR(IF(VALUE(LEFT(AD29,2))&lt;=2,"EC",IF(OR(VALUE(LEFT(AD29,2))=8,VALUE(LEFT(AD29,2))=18),"NW","Other")),"Other")</f>
        <v>EC</v>
      </c>
      <c r="AH29" s="81" t="str">
        <f t="shared" si="4"/>
        <v>"%USERPROFILE%\Documents\GitHub\eaglep3\Utilities\RefineRTDCRunTimes.py" --tripid 117-03 --locoid 4024 --swversion DE.1.0.9.0 --startMP 204:464 --initTime 2017-05-03T05:24:33 --startdatetime 2017-05-03T05:45:31 --delay 1 --endMP 204:233325 --enddatetime 2017-05-03T06:21:17 --enforcementcount 0 &gt;&gt;C:\Users\stu\Documents\GitHub\eaglep3-reporting\EC\2017-05-03-refined-times.txt</v>
      </c>
      <c r="AI29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{"issue":{"subject":"","project_id":79,"tracker_id":40,"status_id":1,"priority_id":2,"assigned_to_id":23,"start_date":"2017-05-03","description":"","custom_fields":[{"id":1,"name":"Subdivision","value":"EC"},{"id":4,"name":"Milepost","value":"23.3325"},{"id":17,"name":"Train ID","value":"117-03"},{"id":16,"name":"Locomotive ID","value":"4024"},{"id":130,"name":"Impact","value":""},{"id":150,"name":"Time of Event (Mountain Time)","value":"06:21:17"},{"id":151,"name":"Denver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6"/>
        <v>start /low /b %USERPROFILE%\Documents\GitHub\eaglep3\Utilities\DownloadLogsFromS3.py --loco 4024 --day 2017-05-03</v>
      </c>
      <c r="AN29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658</v>
      </c>
      <c r="B30" s="7">
        <v>4023</v>
      </c>
      <c r="C30" s="21" t="s">
        <v>210</v>
      </c>
      <c r="D30" s="21" t="s">
        <v>850</v>
      </c>
      <c r="E30" s="13">
        <v>42858.273414351854</v>
      </c>
      <c r="F30" s="13">
        <v>42858.278749999998</v>
      </c>
      <c r="G30" s="7">
        <v>1</v>
      </c>
      <c r="H30" s="21" t="s">
        <v>405</v>
      </c>
      <c r="I30" s="13">
        <v>42858.305381944447</v>
      </c>
      <c r="J30" s="7">
        <v>0</v>
      </c>
      <c r="K30" s="92" t="str">
        <f>IF(ISEVEN(B30),(B30-1)&amp;"/"&amp;B30,B30&amp;"/"&amp;(B30+1))</f>
        <v>4023/4024</v>
      </c>
      <c r="L30" s="21" t="str">
        <f>VLOOKUP(A30,'Trips&amp;Operators'!$C$1:$G$99999,5,FALSE)</f>
        <v>MAELZER KURT</v>
      </c>
      <c r="M30" s="6">
        <f>I30-F30</f>
        <v>2.6631944449036382E-2</v>
      </c>
      <c r="N30" s="7">
        <f>24*60*SUM($M30:$M30)</f>
        <v>38.35000000661239</v>
      </c>
      <c r="O30" s="7"/>
      <c r="P30" s="7"/>
      <c r="Q30" s="22"/>
      <c r="R30" s="190"/>
      <c r="S30" s="196">
        <f>SUM(U30:U30)/IF(AG30="EC",12,1)</f>
        <v>1</v>
      </c>
      <c r="T30" s="190" t="str">
        <f>IF(ISEVEN(LEFT(AD30,4)),"Southbound","NorthBound")</f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-05-03T05:33:43-0600',mode:absolute,to:'2017-05-03T08:19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0" s="192" t="str">
        <f>IF(AA30&lt;IF(AG30="EC",23,5.65),"Y","N")</f>
        <v>N</v>
      </c>
      <c r="X30" s="192">
        <f>VALUE(LEFT(AD30,4))-VALUE(LEFT(AD29,4))</f>
        <v>1</v>
      </c>
      <c r="Y30" s="192">
        <f>RIGHT(D30,LEN(D30)-4)/10000</f>
        <v>23.300999999999998</v>
      </c>
      <c r="Z30" s="192">
        <f>RIGHT(H30,LEN(H30)-4)/10000</f>
        <v>1.4999999999999999E-2</v>
      </c>
      <c r="AA30" s="192">
        <f>ABS(Z30-Y30)</f>
        <v>23.285999999999998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>IF(LEN(A30)=6,"0"&amp;A30,A30)</f>
        <v>0118-03</v>
      </c>
      <c r="AE30" s="80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30" s="77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/stypes="app*4023*20170503*" /stext=" 13:.+((SYSTEM_STATE.+slice.+state.+changed )|(ment ac)|(multiple cpu faults)|(system.+state.+changed )|(\[timeout)|(PRM\|1\|D)|(kpr)|(kdp)|(train st.+moving)|(\|lc)|(penalty))"</v>
      </c>
      <c r="AG30" s="1" t="str">
        <f>IFERROR(IF(VALUE(LEFT(AD30,2))&lt;=2,"EC",IF(OR(VALUE(LEFT(AD30,2))=8,VALUE(LEFT(AD30,2))=18),"NW","Other")),"Other")</f>
        <v>EC</v>
      </c>
      <c r="AH30" s="81" t="str">
        <f t="shared" si="4"/>
        <v>"%USERPROFILE%\Documents\GitHub\eaglep3\Utilities\RefineRTDCRunTimes.py" --tripid 118-03 --locoid 4023 --swversion DE.1.0.9.0 --startMP 204:233010 --initTime 2017-05-03T06:33:43 --startdatetime 2017-05-03T06:41:24 --delay 1 --endMP 204:150 --enddatetime 2017-05-03T07:19:45 --enforcementcount 0 &gt;&gt;C:\Users\stu\Documents\GitHub\eaglep3-reporting\EC\2017-05-03-refined-times.txt</v>
      </c>
      <c r="AI30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{"issue":{"subject":"","project_id":79,"tracker_id":40,"status_id":1,"priority_id":2,"assigned_to_id":23,"start_date":"2017-05-03","description":"","custom_fields":[{"id":1,"name":"Subdivision","value":"EC"},{"id":4,"name":"Milepost","value":"0.015"},{"id":17,"name":"Train ID","value":"118-03"},{"id":16,"name":"Locomotive ID","value":"4023"},{"id":130,"name":"Impact","value":""},{"id":150,"name":"Time of Event (Mountain Time)","value":"07:19:45"},{"id":151,"name":"Denver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6"/>
        <v>start /low /b %USERPROFILE%\Documents\GitHub\eaglep3\Utilities\DownloadLogsFromS3.py --loco 4023 --day 2017-05-03</v>
      </c>
      <c r="AN30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649</v>
      </c>
      <c r="B31" s="7">
        <v>4030</v>
      </c>
      <c r="C31" s="21" t="s">
        <v>210</v>
      </c>
      <c r="D31" s="21" t="s">
        <v>546</v>
      </c>
      <c r="E31" s="13">
        <v>42858.247604166667</v>
      </c>
      <c r="F31" s="13">
        <v>42858.250185185185</v>
      </c>
      <c r="G31" s="7">
        <v>2</v>
      </c>
      <c r="H31" s="21" t="s">
        <v>541</v>
      </c>
      <c r="I31" s="13">
        <v>42858.274629629632</v>
      </c>
      <c r="J31" s="7">
        <v>0</v>
      </c>
      <c r="K31" s="92" t="str">
        <f>IF(ISEVEN(B31),(B31-1)&amp;"/"&amp;B31,B31&amp;"/"&amp;(B31+1))</f>
        <v>4029/4030</v>
      </c>
      <c r="L31" s="21" t="str">
        <f>VLOOKUP(A31,'Trips&amp;Operators'!$C$1:$G$99999,5,FALSE)</f>
        <v>GEBRETEKLE DAGNEW</v>
      </c>
      <c r="M31" s="6">
        <f>I31-F31</f>
        <v>2.4444444446999114E-2</v>
      </c>
      <c r="N31" s="7">
        <f>24*60*SUM($M31:$M31)</f>
        <v>35.200000003678724</v>
      </c>
      <c r="O31" s="7"/>
      <c r="P31" s="7"/>
      <c r="Q31" s="22"/>
      <c r="R31" s="190"/>
      <c r="S31" s="196">
        <f>SUM(U31:U31)/IF(AG31="EC",12,1)</f>
        <v>1</v>
      </c>
      <c r="T31" s="190" t="str">
        <f>IF(ISEVEN(LEFT(AD31,4)),"Southbound","NorthBound")</f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-05-03T04:56:33-0600',mode:absolute,to:'2017-05-03T07:35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1" s="192" t="str">
        <f>IF(AA31&lt;IF(AG31="EC",23,5.65),"Y","N")</f>
        <v>N</v>
      </c>
      <c r="X31" s="192">
        <f>VALUE(LEFT(AD31,4))-VALUE(LEFT(AD30,4))</f>
        <v>1</v>
      </c>
      <c r="Y31" s="192">
        <f>RIGHT(D31,LEN(D31)-4)/10000</f>
        <v>4.7100000000000003E-2</v>
      </c>
      <c r="Z31" s="192">
        <f>RIGHT(H31,LEN(H31)-4)/10000</f>
        <v>23.328900000000001</v>
      </c>
      <c r="AA31" s="192">
        <f>ABS(Z31-Y31)</f>
        <v>23.2818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>IF(LEN(A31)=6,"0"&amp;A31,A31)</f>
        <v>0119-03</v>
      </c>
      <c r="AE31" s="80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31" s="77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/stypes="app*4030*20170503*" /stext=" 12:.+((SYSTEM_STATE.+slice.+state.+changed )|(ment ac)|(multiple cpu faults)|(system.+state.+changed )|(\[timeout)|(PRM\|1\|D)|(kpr)|(kdp)|(train st.+moving)|(\|lc)|(penalty))"</v>
      </c>
      <c r="AG31" s="1" t="str">
        <f>IFERROR(IF(VALUE(LEFT(AD31,2))&lt;=2,"EC",IF(OR(VALUE(LEFT(AD31,2))=8,VALUE(LEFT(AD31,2))=18),"NW","Other")),"Other")</f>
        <v>EC</v>
      </c>
      <c r="AH31" s="81" t="str">
        <f t="shared" si="4"/>
        <v>"%USERPROFILE%\Documents\GitHub\eaglep3\Utilities\RefineRTDCRunTimes.py" --tripid 119-03 --locoid 4030 --swversion DE.1.0.9.0 --startMP 204:471 --initTime 2017-05-03T05:56:33 --startdatetime 2017-05-03T06:00:16 --delay 2 --endMP 204:233289 --enddatetime 2017-05-03T06:35:28 --enforcementcount 0 &gt;&gt;C:\Users\stu\Documents\GitHub\eaglep3-reporting\EC\2017-05-03-refined-times.txt</v>
      </c>
      <c r="AI31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{"issue":{"subject":"","project_id":79,"tracker_id":40,"status_id":1,"priority_id":2,"assigned_to_id":23,"start_date":"2017-05-03","description":"","custom_fields":[{"id":1,"name":"Subdivision","value":"EC"},{"id":4,"name":"Milepost","value":"23.3289"},{"id":17,"name":"Train ID","value":"119-03"},{"id":16,"name":"Locomotive ID","value":"4030"},{"id":130,"name":"Impact","value":""},{"id":150,"name":"Time of Event (Mountain Time)","value":"06:35:28"},{"id":151,"name":"Denver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6"/>
        <v>start /low /b %USERPROFILE%\Documents\GitHub\eaglep3\Utilities\DownloadLogsFromS3.py --loco 4030 --day 2017-05-03</v>
      </c>
      <c r="AN31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661</v>
      </c>
      <c r="B32" s="7">
        <v>4029</v>
      </c>
      <c r="C32" s="21" t="s">
        <v>210</v>
      </c>
      <c r="D32" s="21" t="s">
        <v>557</v>
      </c>
      <c r="E32" s="13">
        <v>42858.282650462963</v>
      </c>
      <c r="F32" s="13">
        <v>42858.289085648146</v>
      </c>
      <c r="G32" s="7">
        <v>3</v>
      </c>
      <c r="H32" s="21" t="s">
        <v>447</v>
      </c>
      <c r="I32" s="13">
        <v>42858.315439814818</v>
      </c>
      <c r="J32" s="7">
        <v>0</v>
      </c>
      <c r="K32" s="92" t="str">
        <f>IF(ISEVEN(B32),(B32-1)&amp;"/"&amp;B32,B32&amp;"/"&amp;(B32+1))</f>
        <v>4029/4030</v>
      </c>
      <c r="L32" s="21" t="str">
        <f>VLOOKUP(A32,'Trips&amp;Operators'!$C$1:$G$99999,5,FALSE)</f>
        <v>GEBRETEKLE DAGNEW</v>
      </c>
      <c r="M32" s="6">
        <f>I32-F32</f>
        <v>2.6354166671808343E-2</v>
      </c>
      <c r="N32" s="7">
        <f>24*60*SUM($M32:$M32)</f>
        <v>37.950000007404014</v>
      </c>
      <c r="O32" s="7"/>
      <c r="P32" s="7"/>
      <c r="Q32" s="22"/>
      <c r="R32" s="190"/>
      <c r="S32" s="196">
        <f>SUM(U32:U32)/IF(AG32="EC",12,1)</f>
        <v>1</v>
      </c>
      <c r="T32" s="190" t="str">
        <f>IF(ISEVEN(LEFT(AD32,4)),"Southbound","NorthBound")</f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-05-03T05:47:01-0600',mode:absolute,to:'2017-05-03T08:34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2" s="192" t="str">
        <f>IF(AA32&lt;IF(AG32="EC",23,5.65),"Y","N")</f>
        <v>N</v>
      </c>
      <c r="X32" s="192">
        <f>VALUE(LEFT(AD32,4))-VALUE(LEFT(AD31,4))</f>
        <v>1</v>
      </c>
      <c r="Y32" s="192">
        <f>RIGHT(D32,LEN(D32)-4)/10000</f>
        <v>23.297499999999999</v>
      </c>
      <c r="Z32" s="192">
        <f>RIGHT(H32,LEN(H32)-4)/10000</f>
        <v>1.61E-2</v>
      </c>
      <c r="AA32" s="192">
        <f>ABS(Z32-Y32)</f>
        <v>23.281399999999998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>IF(LEN(A32)=6,"0"&amp;A32,A32)</f>
        <v>0120-03</v>
      </c>
      <c r="AE32" s="80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32" s="77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/stypes="app*4029*20170503*" /stext=" 13:.+((SYSTEM_STATE.+slice.+state.+changed )|(ment ac)|(multiple cpu faults)|(system.+state.+changed )|(\[timeout)|(PRM\|1\|D)|(kpr)|(kdp)|(train st.+moving)|(\|lc)|(penalty))"</v>
      </c>
      <c r="AG32" s="1" t="str">
        <f>IFERROR(IF(VALUE(LEFT(AD32,2))&lt;=2,"EC",IF(OR(VALUE(LEFT(AD32,2))=8,VALUE(LEFT(AD32,2))=18),"NW","Other")),"Other")</f>
        <v>EC</v>
      </c>
      <c r="AH32" s="81" t="str">
        <f t="shared" si="4"/>
        <v>"%USERPROFILE%\Documents\GitHub\eaglep3\Utilities\RefineRTDCRunTimes.py" --tripid 120-03 --locoid 4029 --swversion DE.1.0.9.0 --startMP 204:232975 --initTime 2017-05-03T06:47:01 --startdatetime 2017-05-03T06:56:17 --delay 3 --endMP 204:161 --enddatetime 2017-05-03T07:34:14 --enforcementcount 0 &gt;&gt;C:\Users\stu\Documents\GitHub\eaglep3-reporting\EC\2017-05-03-refined-times.txt</v>
      </c>
      <c r="AI32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{"issue":{"subject":"","project_id":79,"tracker_id":40,"status_id":1,"priority_id":2,"assigned_to_id":23,"start_date":"2017-05-03","description":"","custom_fields":[{"id":1,"name":"Subdivision","value":"EC"},{"id":4,"name":"Milepost","value":"0.0161"},{"id":17,"name":"Train ID","value":"120-03"},{"id":16,"name":"Locomotive ID","value":"4029"},{"id":130,"name":"Impact","value":""},{"id":150,"name":"Time of Event (Mountain Time)","value":"07:34:14"},{"id":151,"name":"Denver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6"/>
        <v>start /low /b %USERPROFILE%\Documents\GitHub\eaglep3\Utilities\DownloadLogsFromS3.py --loco 4029 --day 2017-05-03</v>
      </c>
      <c r="AN32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13:34:14"},{"id":29,"name":"Sharepoint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654</v>
      </c>
      <c r="B33" s="7">
        <v>4016</v>
      </c>
      <c r="C33" s="21" t="s">
        <v>210</v>
      </c>
      <c r="D33" s="21" t="s">
        <v>389</v>
      </c>
      <c r="E33" s="13">
        <v>42858.256851851853</v>
      </c>
      <c r="F33" s="13">
        <v>42858.260868055557</v>
      </c>
      <c r="G33" s="7">
        <v>1</v>
      </c>
      <c r="H33" s="21" t="s">
        <v>845</v>
      </c>
      <c r="I33" s="13">
        <v>42858.286435185182</v>
      </c>
      <c r="J33" s="7">
        <v>0</v>
      </c>
      <c r="K33" s="92" t="str">
        <f>IF(ISEVEN(B33),(B33-1)&amp;"/"&amp;B33,B33&amp;"/"&amp;(B33+1))</f>
        <v>4015/4016</v>
      </c>
      <c r="L33" s="21" t="str">
        <f>VLOOKUP(A33,'Trips&amp;Operators'!$C$1:$G$99999,5,FALSE)</f>
        <v>THOMPSON LESTER</v>
      </c>
      <c r="M33" s="6">
        <f>I33-F33</f>
        <v>2.5567129625414964E-2</v>
      </c>
      <c r="N33" s="7">
        <f>24*60*SUM($M33:$M33)</f>
        <v>36.816666660597548</v>
      </c>
      <c r="O33" s="7"/>
      <c r="P33" s="7"/>
      <c r="Q33" s="22"/>
      <c r="R33" s="190"/>
      <c r="S33" s="196">
        <f>SUM(U33:U33)/IF(AG33="EC",12,1)</f>
        <v>1</v>
      </c>
      <c r="T33" s="190" t="str">
        <f>IF(ISEVEN(LEFT(AD33,4)),"Southbound","NorthBound")</f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-05-03T05:09:52-0600',mode:absolute,to:'2017-05-03T07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3" s="192" t="str">
        <f>IF(AA33&lt;IF(AG33="EC",23,5.65),"Y","N")</f>
        <v>N</v>
      </c>
      <c r="X33" s="192">
        <f>VALUE(LEFT(AD33,4))-VALUE(LEFT(AD32,4))</f>
        <v>1</v>
      </c>
      <c r="Y33" s="192">
        <f>RIGHT(D33,LEN(D33)-4)/10000</f>
        <v>4.58E-2</v>
      </c>
      <c r="Z33" s="192">
        <f>RIGHT(H33,LEN(H33)-4)/10000</f>
        <v>23.3306</v>
      </c>
      <c r="AA33" s="192">
        <f>ABS(Z33-Y33)</f>
        <v>23.284800000000001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>IF(LEN(A33)=6,"0"&amp;A33,A33)</f>
        <v>0121-03</v>
      </c>
      <c r="AE33" s="80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33" s="77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/stypes="app*4016*20170503*" /stext=" 12:.+((SYSTEM_STATE.+slice.+state.+changed )|(ment ac)|(multiple cpu faults)|(system.+state.+changed )|(\[timeout)|(PRM\|1\|D)|(kpr)|(kdp)|(train st.+moving)|(\|lc)|(penalty))"</v>
      </c>
      <c r="AG33" s="1" t="str">
        <f>IFERROR(IF(VALUE(LEFT(AD33,2))&lt;=2,"EC",IF(OR(VALUE(LEFT(AD33,2))=8,VALUE(LEFT(AD33,2))=18),"NW","Other")),"Other")</f>
        <v>EC</v>
      </c>
      <c r="AH33" s="81" t="str">
        <f t="shared" si="4"/>
        <v>"%USERPROFILE%\Documents\GitHub\eaglep3\Utilities\RefineRTDCRunTimes.py" --tripid 121-03 --locoid 4016 --swversion DE.1.0.9.0 --startMP 204:458 --initTime 2017-05-03T06:09:52 --startdatetime 2017-05-03T06:15:39 --delay 1 --endMP 204:233306 --enddatetime 2017-05-03T06:52:28 --enforcementcount 0 &gt;&gt;C:\Users\stu\Documents\GitHub\eaglep3-reporting\EC\2017-05-03-refined-times.txt</v>
      </c>
      <c r="AI33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{"issue":{"subject":"","project_id":79,"tracker_id":40,"status_id":1,"priority_id":2,"assigned_to_id":23,"start_date":"2017-05-03","description":"","custom_fields":[{"id":1,"name":"Subdivision","value":"EC"},{"id":4,"name":"Milepost","value":"23.3306"},{"id":17,"name":"Train ID","value":"121-03"},{"id":16,"name":"Locomotive ID","value":"4016"},{"id":130,"name":"Impact","value":""},{"id":150,"name":"Time of Event (Mountain Time)","value":"06:52:28"},{"id":151,"name":"Denver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6"/>
        <v>start /low /b %USERPROFILE%\Documents\GitHub\eaglep3\Utilities\DownloadLogsFromS3.py --loco 4016 --day 2017-05-03</v>
      </c>
      <c r="AN33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664</v>
      </c>
      <c r="B34" s="7">
        <v>4015</v>
      </c>
      <c r="C34" s="21" t="s">
        <v>210</v>
      </c>
      <c r="D34" s="21" t="s">
        <v>551</v>
      </c>
      <c r="E34" s="13">
        <v>42858.296527777777</v>
      </c>
      <c r="F34" s="13">
        <v>42858.299456018518</v>
      </c>
      <c r="G34" s="7">
        <v>1</v>
      </c>
      <c r="H34" s="21" t="s">
        <v>449</v>
      </c>
      <c r="I34" s="13">
        <v>42858.327372685184</v>
      </c>
      <c r="J34" s="7">
        <v>0</v>
      </c>
      <c r="K34" s="92" t="str">
        <f>IF(ISEVEN(B34),(B34-1)&amp;"/"&amp;B34,B34&amp;"/"&amp;(B34+1))</f>
        <v>4015/4016</v>
      </c>
      <c r="L34" s="21" t="str">
        <f>VLOOKUP(A34,'Trips&amp;Operators'!$C$1:$G$99999,5,FALSE)</f>
        <v>THOMPSON LESTER</v>
      </c>
      <c r="M34" s="6">
        <f>I34-F34</f>
        <v>2.7916666665987577E-2</v>
      </c>
      <c r="N34" s="7">
        <f>24*60*SUM($M34:$M34)</f>
        <v>40.199999999022111</v>
      </c>
      <c r="O34" s="7"/>
      <c r="P34" s="7"/>
      <c r="Q34" s="22"/>
      <c r="R34" s="190"/>
      <c r="S34" s="196">
        <f>SUM(U34:U34)/IF(AG34="EC",12,1)</f>
        <v>1</v>
      </c>
      <c r="T34" s="190" t="str">
        <f>IF(ISEVEN(LEFT(AD34,4)),"Southbound","NorthBound")</f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-05-03T06:07:00-0600',mode:absolute,to:'2017-05-03T08:51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4" s="192" t="str">
        <f>IF(AA34&lt;IF(AG34="EC",23,5.65),"Y","N")</f>
        <v>N</v>
      </c>
      <c r="X34" s="192">
        <f>VALUE(LEFT(AD34,4))-VALUE(LEFT(AD33,4))</f>
        <v>1</v>
      </c>
      <c r="Y34" s="192">
        <f>RIGHT(D34,LEN(D34)-4)/10000</f>
        <v>23.298500000000001</v>
      </c>
      <c r="Z34" s="192">
        <f>RIGHT(H34,LEN(H34)-4)/10000</f>
        <v>1.3899999999999999E-2</v>
      </c>
      <c r="AA34" s="192">
        <f>ABS(Z34-Y34)</f>
        <v>23.284600000000001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>IF(LEN(A34)=6,"0"&amp;A34,A34)</f>
        <v>0122-03</v>
      </c>
      <c r="AE34" s="80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34" s="77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/stypes="app*4015*20170503*" /stext=" 13:.+((SYSTEM_STATE.+slice.+state.+changed )|(ment ac)|(multiple cpu faults)|(system.+state.+changed )|(\[timeout)|(PRM\|1\|D)|(kpr)|(kdp)|(train st.+moving)|(\|lc)|(penalty))"</v>
      </c>
      <c r="AG34" s="1" t="str">
        <f>IFERROR(IF(VALUE(LEFT(AD34,2))&lt;=2,"EC",IF(OR(VALUE(LEFT(AD34,2))=8,VALUE(LEFT(AD34,2))=18),"NW","Other")),"Other")</f>
        <v>EC</v>
      </c>
      <c r="AH34" s="81" t="str">
        <f t="shared" si="4"/>
        <v>"%USERPROFILE%\Documents\GitHub\eaglep3\Utilities\RefineRTDCRunTimes.py" --tripid 122-03 --locoid 4015 --swversion DE.1.0.9.0 --startMP 204:232985 --initTime 2017-05-03T07:07:00 --startdatetime 2017-05-03T07:11:13 --delay 1 --endMP 204:139 --enddatetime 2017-05-03T07:51:25 --enforcementcount 0 &gt;&gt;C:\Users\stu\Documents\GitHub\eaglep3-reporting\EC\2017-05-03-refined-times.txt</v>
      </c>
      <c r="AI34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{"issue":{"subject":"","project_id":79,"tracker_id":40,"status_id":1,"priority_id":2,"assigned_to_id":23,"start_date":"2017-05-03","description":"","custom_fields":[{"id":1,"name":"Subdivision","value":"EC"},{"id":4,"name":"Milepost","value":"0.0139"},{"id":17,"name":"Train ID","value":"122-03"},{"id":16,"name":"Locomotive ID","value":"4015"},{"id":130,"name":"Impact","value":""},{"id":150,"name":"Time of Event (Mountain Time)","value":"07:51:25"},{"id":151,"name":"Denver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6"/>
        <v>start /low /b %USERPROFILE%\Documents\GitHub\eaglep3\Utilities\DownloadLogsFromS3.py --loco 4015 --day 2017-05-03</v>
      </c>
      <c r="AN34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13:51:25"},{"id":29,"name":"Sharepoint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656</v>
      </c>
      <c r="B35" s="7">
        <v>4018</v>
      </c>
      <c r="C35" s="21" t="s">
        <v>210</v>
      </c>
      <c r="D35" s="21" t="s">
        <v>204</v>
      </c>
      <c r="E35" s="13">
        <v>42858.26462962963</v>
      </c>
      <c r="F35" s="13">
        <v>42858.271099537036</v>
      </c>
      <c r="G35" s="7">
        <v>1</v>
      </c>
      <c r="H35" s="21" t="s">
        <v>543</v>
      </c>
      <c r="I35" s="13">
        <v>42858.295648148145</v>
      </c>
      <c r="J35" s="7">
        <v>0</v>
      </c>
      <c r="K35" s="92" t="str">
        <f>IF(ISEVEN(B35),(B35-1)&amp;"/"&amp;B35,B35&amp;"/"&amp;(B35+1))</f>
        <v>4017/4018</v>
      </c>
      <c r="L35" s="21" t="str">
        <f>VLOOKUP(A35,'Trips&amp;Operators'!$C$1:$G$99999,5,FALSE)</f>
        <v>SANTIZO D. EDY</v>
      </c>
      <c r="M35" s="6">
        <f>I35-F35</f>
        <v>2.4548611108912155E-2</v>
      </c>
      <c r="N35" s="7">
        <f>24*60*SUM($M35:$M35)</f>
        <v>35.349999996833503</v>
      </c>
      <c r="O35" s="7"/>
      <c r="P35" s="7"/>
      <c r="Q35" s="22"/>
      <c r="R35" s="190"/>
      <c r="S35" s="196">
        <f>SUM(U35:U35)/IF(AG35="EC",12,1)</f>
        <v>1</v>
      </c>
      <c r="T35" s="190" t="str">
        <f>IF(ISEVEN(LEFT(AD35,4)),"Southbound","NorthBound")</f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-05-03T05:21:04-0600',mode:absolute,to:'2017-05-03T08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5" s="192" t="str">
        <f>IF(AA35&lt;IF(AG35="EC",23,5.65),"Y","N")</f>
        <v>N</v>
      </c>
      <c r="X35" s="192">
        <f>VALUE(LEFT(AD35,4))-VALUE(LEFT(AD34,4))</f>
        <v>1</v>
      </c>
      <c r="Y35" s="192">
        <f>RIGHT(D35,LEN(D35)-4)/10000</f>
        <v>4.5699999999999998E-2</v>
      </c>
      <c r="Z35" s="192">
        <f>RIGHT(H35,LEN(H35)-4)/10000</f>
        <v>23.328800000000001</v>
      </c>
      <c r="AA35" s="192">
        <f>ABS(Z35-Y35)</f>
        <v>23.283100000000001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>IF(LEN(A35)=6,"0"&amp;A35,A35)</f>
        <v>0123-03</v>
      </c>
      <c r="AE35" s="80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 &amp; 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</v>
      </c>
      <c r="AF35" s="77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/stypes="app*4018*20170503*" /stext=" 13:.+((SYSTEM_STATE.+slice.+state.+changed )|(ment ac)|(multiple cpu faults)|(system.+state.+changed )|(\[timeout)|(PRM\|1\|D)|(kpr)|(kdp)|(train st.+moving)|(\|lc)|(penalty))"</v>
      </c>
      <c r="AG35" s="1" t="str">
        <f>IFERROR(IF(VALUE(LEFT(AD35,2))&lt;=2,"EC",IF(OR(VALUE(LEFT(AD35,2))=8,VALUE(LEFT(AD35,2))=18),"NW","Other")),"Other")</f>
        <v>EC</v>
      </c>
      <c r="AH35" s="81" t="str">
        <f t="shared" si="4"/>
        <v>"%USERPROFILE%\Documents\GitHub\eaglep3\Utilities\RefineRTDCRunTimes.py" --tripid 123-03 --locoid 4018 --swversion DE.1.0.9.0 --startMP 204:457 --initTime 2017-05-03T06:21:04 --startdatetime 2017-05-03T06:30:23 --delay 1 --endMP 204:233288 --enddatetime 2017-05-03T07:05:44 --enforcementcount 0 &gt;&gt;C:\Users\stu\Documents\GitHub\eaglep3-reporting\EC\2017-05-03-refined-times.txt</v>
      </c>
      <c r="AI35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{"issue":{"subject":"","project_id":79,"tracker_id":40,"status_id":1,"priority_id":2,"assigned_to_id":23,"start_date":"2017-05-03","description":"","custom_fields":[{"id":1,"name":"Subdivision","value":"EC"},{"id":4,"name":"Milepost","value":"23.3288"},{"id":17,"name":"Train ID","value":"123-03"},{"id":16,"name":"Locomotive ID","value":"4018"},{"id":130,"name":"Impact","value":""},{"id":150,"name":"Time of Event (Mountain Time)","value":"07:05:44"},{"id":151,"name":"Denver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6"/>
        <v>start /low /b %USERPROFILE%\Documents\GitHub\eaglep3\Utilities\DownloadLogsFromS3.py --loco 4018 --day 2017-05-03</v>
      </c>
      <c r="AN35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665</v>
      </c>
      <c r="B36" s="7">
        <v>4017</v>
      </c>
      <c r="C36" s="21" t="s">
        <v>210</v>
      </c>
      <c r="D36" s="21" t="s">
        <v>432</v>
      </c>
      <c r="E36" s="13">
        <v>42858.296620370369</v>
      </c>
      <c r="F36" s="13">
        <v>42858.309884259259</v>
      </c>
      <c r="G36" s="7">
        <v>1</v>
      </c>
      <c r="H36" s="21" t="s">
        <v>508</v>
      </c>
      <c r="I36" s="13">
        <v>42858.335925925923</v>
      </c>
      <c r="J36" s="7">
        <v>0</v>
      </c>
      <c r="K36" s="92" t="str">
        <f>IF(ISEVEN(B36),(B36-1)&amp;"/"&amp;B36,B36&amp;"/"&amp;(B36+1))</f>
        <v>4017/4018</v>
      </c>
      <c r="L36" s="21" t="str">
        <f>VLOOKUP(A36,'Trips&amp;Operators'!$C$1:$G$99999,5,FALSE)</f>
        <v>SANTIZO D. EDY</v>
      </c>
      <c r="M36" s="6">
        <f>I36-F36</f>
        <v>2.6041666664241347E-2</v>
      </c>
      <c r="N36" s="7">
        <f>24*60*SUM($M36:$M36)</f>
        <v>37.49999999650754</v>
      </c>
      <c r="O36" s="7"/>
      <c r="P36" s="7"/>
      <c r="Q36" s="22"/>
      <c r="R36" s="190"/>
      <c r="S36" s="196">
        <f>SUM(U36:U36)/IF(AG36="EC",12,1)</f>
        <v>1</v>
      </c>
      <c r="T36" s="190" t="str">
        <f>IF(ISEVEN(LEFT(AD36,4)),"Southbound","NorthBound")</f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-05-03T06:07:08-0600',mode:absolute,to:'2017-05-03T09:03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6" s="192" t="str">
        <f>IF(AA36&lt;IF(AG36="EC",23,5.65),"Y","N")</f>
        <v>N</v>
      </c>
      <c r="X36" s="192">
        <f>VALUE(LEFT(AD36,4))-VALUE(LEFT(AD35,4))</f>
        <v>1</v>
      </c>
      <c r="Y36" s="192">
        <f>RIGHT(D36,LEN(D36)-4)/10000</f>
        <v>23.296900000000001</v>
      </c>
      <c r="Z36" s="192">
        <f>RIGHT(H36,LEN(H36)-4)/10000</f>
        <v>1.47E-2</v>
      </c>
      <c r="AA36" s="192">
        <f>ABS(Z36-Y36)</f>
        <v>23.2822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>IF(LEN(A36)=6,"0"&amp;A36,A36)</f>
        <v>0124-03</v>
      </c>
      <c r="AE36" s="80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AF36" s="77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/stypes="app*4017*20170503*" /stext=" 14:.+((SYSTEM_STATE.+slice.+state.+changed )|(ment ac)|(multiple cpu faults)|(system.+state.+changed )|(\[timeout)|(PRM\|1\|D)|(kpr)|(kdp)|(train st.+moving)|(\|lc)|(penalty))"</v>
      </c>
      <c r="AG36" s="1" t="str">
        <f>IFERROR(IF(VALUE(LEFT(AD36,2))&lt;=2,"EC",IF(OR(VALUE(LEFT(AD36,2))=8,VALUE(LEFT(AD36,2))=18),"NW","Other")),"Other")</f>
        <v>EC</v>
      </c>
      <c r="AH36" s="81" t="str">
        <f t="shared" si="4"/>
        <v>"%USERPROFILE%\Documents\GitHub\eaglep3\Utilities\RefineRTDCRunTimes.py" --tripid 124-03 --locoid 4017 --swversion DE.1.0.9.0 --startMP 204:232969 --initTime 2017-05-03T07:07:08 --startdatetime 2017-05-03T07:26:14 --delay 1 --endMP 204:147 --enddatetime 2017-05-03T08:03:44 --enforcementcount 0 &gt;&gt;C:\Users\stu\Documents\GitHub\eaglep3-reporting\EC\2017-05-03-refined-times.txt</v>
      </c>
      <c r="AI36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{"issue":{"subject":"","project_id":79,"tracker_id":40,"status_id":1,"priority_id":2,"assigned_to_id":23,"start_date":"2017-05-03","description":"","custom_fields":[{"id":1,"name":"Subdivision","value":"EC"},{"id":4,"name":"Milepost","value":"0.0147"},{"id":17,"name":"Train ID","value":"124-03"},{"id":16,"name":"Locomotive ID","value":"4017"},{"id":130,"name":"Impact","value":""},{"id":150,"name":"Time of Event (Mountain Time)","value":"08:03:44"},{"id":151,"name":"Denver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6"/>
        <v>start /low /b %USERPROFILE%\Documents\GitHub\eaglep3\Utilities\DownloadLogsFromS3.py --loco 4017 --day 2017-05-03</v>
      </c>
      <c r="AN36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14:03:44"},{"id":29,"name":"Sharepoint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660</v>
      </c>
      <c r="B37" s="7">
        <v>4028</v>
      </c>
      <c r="C37" s="21" t="s">
        <v>210</v>
      </c>
      <c r="D37" s="21" t="s">
        <v>389</v>
      </c>
      <c r="E37" s="13">
        <v>42858.278969907406</v>
      </c>
      <c r="F37" s="13">
        <v>42858.281631944446</v>
      </c>
      <c r="G37" s="7">
        <v>3</v>
      </c>
      <c r="H37" s="21" t="s">
        <v>426</v>
      </c>
      <c r="I37" s="13">
        <v>42858.306921296295</v>
      </c>
      <c r="J37" s="7">
        <v>0</v>
      </c>
      <c r="K37" s="92" t="str">
        <f>IF(ISEVEN(B37),(B37-1)&amp;"/"&amp;B37,B37&amp;"/"&amp;(B37+1))</f>
        <v>4027/4028</v>
      </c>
      <c r="L37" s="21" t="str">
        <f>VLOOKUP(A37,'Trips&amp;Operators'!$C$1:$G$99999,5,FALSE)</f>
        <v>LAMAR NEKESHA</v>
      </c>
      <c r="M37" s="6">
        <f>I37-F37</f>
        <v>2.5289351848186925E-2</v>
      </c>
      <c r="N37" s="7">
        <f>24*60*SUM($M37:$M37)</f>
        <v>36.416666661389172</v>
      </c>
      <c r="O37" s="7"/>
      <c r="P37" s="7"/>
      <c r="Q37" s="22"/>
      <c r="R37" s="190"/>
      <c r="S37" s="196">
        <f>SUM(U37:U37)/IF(AG37="EC",12,1)</f>
        <v>1</v>
      </c>
      <c r="T37" s="190" t="str">
        <f>IF(ISEVEN(LEFT(AD37,4)),"Southbound","NorthBound")</f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-05-03T05:41:43-0600',mode:absolute,to:'2017-05-03T08:21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7" s="192" t="str">
        <f>IF(AA37&lt;IF(AG37="EC",23,5.65),"Y","N")</f>
        <v>N</v>
      </c>
      <c r="X37" s="192">
        <f>VALUE(LEFT(AD37,4))-VALUE(LEFT(AD36,4))</f>
        <v>1</v>
      </c>
      <c r="Y37" s="192">
        <f>RIGHT(D37,LEN(D37)-4)/10000</f>
        <v>4.58E-2</v>
      </c>
      <c r="Z37" s="192">
        <f>RIGHT(H37,LEN(H37)-4)/10000</f>
        <v>23.330400000000001</v>
      </c>
      <c r="AA37" s="192">
        <f>ABS(Z37-Y37)</f>
        <v>23.284600000000001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>IF(LEN(A37)=6,"0"&amp;A37,A37)</f>
        <v>0125-03</v>
      </c>
      <c r="AE37" s="80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37" s="77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/stypes="app*4028*20170503*" /stext=" 13:.+((SYSTEM_STATE.+slice.+state.+changed )|(ment ac)|(multiple cpu faults)|(system.+state.+changed )|(\[timeout)|(PRM\|1\|D)|(kpr)|(kdp)|(train st.+moving)|(\|lc)|(penalty))"</v>
      </c>
      <c r="AG37" s="1" t="str">
        <f>IFERROR(IF(VALUE(LEFT(AD37,2))&lt;=2,"EC",IF(OR(VALUE(LEFT(AD37,2))=8,VALUE(LEFT(AD37,2))=18),"NW","Other")),"Other")</f>
        <v>EC</v>
      </c>
      <c r="AH37" s="81" t="str">
        <f t="shared" si="4"/>
        <v>"%USERPROFILE%\Documents\GitHub\eaglep3\Utilities\RefineRTDCRunTimes.py" --tripid 125-03 --locoid 4028 --swversion DE.1.0.9.0 --startMP 204:458 --initTime 2017-05-03T06:41:43 --startdatetime 2017-05-03T06:45:33 --delay 3 --endMP 204:233304 --enddatetime 2017-05-03T07:21:58 --enforcementcount 0 &gt;&gt;C:\Users\stu\Documents\GitHub\eaglep3-reporting\EC\2017-05-03-refined-times.txt</v>
      </c>
      <c r="AI37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{"issue":{"subject":"","project_id":79,"tracker_id":40,"status_id":1,"priority_id":2,"assigned_to_id":23,"start_date":"2017-05-03","description":"","custom_fields":[{"id":1,"name":"Subdivision","value":"EC"},{"id":4,"name":"Milepost","value":"23.3304"},{"id":17,"name":"Train ID","value":"125-03"},{"id":16,"name":"Locomotive ID","value":"4028"},{"id":130,"name":"Impact","value":""},{"id":150,"name":"Time of Event (Mountain Time)","value":"07:21:58"},{"id":151,"name":"Denver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6"/>
        <v>start /low /b %USERPROFILE%\Documents\GitHub\eaglep3\Utilities\DownloadLogsFromS3.py --loco 4028 --day 2017-05-03</v>
      </c>
      <c r="AN37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13:21:58"},{"id":29,"name":"Sharepoint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669</v>
      </c>
      <c r="B38" s="7">
        <v>4027</v>
      </c>
      <c r="C38" s="21" t="s">
        <v>210</v>
      </c>
      <c r="D38" s="21" t="s">
        <v>437</v>
      </c>
      <c r="E38" s="13">
        <v>42858.316504629627</v>
      </c>
      <c r="F38" s="13">
        <v>42858.3203587963</v>
      </c>
      <c r="G38" s="7">
        <v>2</v>
      </c>
      <c r="H38" s="21" t="s">
        <v>203</v>
      </c>
      <c r="I38" s="13">
        <v>42858.348217592589</v>
      </c>
      <c r="J38" s="7">
        <v>0</v>
      </c>
      <c r="K38" s="92" t="str">
        <f>IF(ISEVEN(B38),(B38-1)&amp;"/"&amp;B38,B38&amp;"/"&amp;(B38+1))</f>
        <v>4027/4028</v>
      </c>
      <c r="L38" s="21" t="str">
        <f>VLOOKUP(A38,'Trips&amp;Operators'!$C$1:$G$99999,5,FALSE)</f>
        <v>LAMAR NEKESHA</v>
      </c>
      <c r="M38" s="6">
        <f>I38-F38</f>
        <v>2.7858796289365273E-2</v>
      </c>
      <c r="N38" s="7">
        <f>24*60*SUM($M38:$M38)</f>
        <v>40.116666656685993</v>
      </c>
      <c r="O38" s="7"/>
      <c r="P38" s="7"/>
      <c r="Q38" s="22"/>
      <c r="R38" s="190"/>
      <c r="S38" s="196">
        <f>SUM(U38:U38)/IF(AG38="EC",12,1)</f>
        <v>1</v>
      </c>
      <c r="T38" s="190" t="str">
        <f>IF(ISEVEN(LEFT(AD38,4)),"Southbound","NorthBound")</f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-05-03T06:35:46-0600',mode:absolute,to:'2017-05-03T09:21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8" s="192" t="str">
        <f>IF(AA38&lt;IF(AG38="EC",23,5.65),"Y","N")</f>
        <v>N</v>
      </c>
      <c r="X38" s="192">
        <f>VALUE(LEFT(AD38,4))-VALUE(LEFT(AD37,4))</f>
        <v>1</v>
      </c>
      <c r="Y38" s="192">
        <f>RIGHT(D38,LEN(D38)-4)/10000</f>
        <v>23.299299999999999</v>
      </c>
      <c r="Z38" s="192">
        <f>RIGHT(H38,LEN(H38)-4)/10000</f>
        <v>1.54E-2</v>
      </c>
      <c r="AA38" s="192">
        <f>ABS(Z38-Y38)</f>
        <v>23.283899999999999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>IF(LEN(A38)=6,"0"&amp;A38,A38)</f>
        <v>0126-03</v>
      </c>
      <c r="AE38" s="80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38" s="77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/stypes="app*4027*20170503*" /stext=" 14:.+((SYSTEM_STATE.+slice.+state.+changed )|(ment ac)|(multiple cpu faults)|(system.+state.+changed )|(\[timeout)|(PRM\|1\|D)|(kpr)|(kdp)|(train st.+moving)|(\|lc)|(penalty))"</v>
      </c>
      <c r="AG38" s="1" t="str">
        <f>IFERROR(IF(VALUE(LEFT(AD38,2))&lt;=2,"EC",IF(OR(VALUE(LEFT(AD38,2))=8,VALUE(LEFT(AD38,2))=18),"NW","Other")),"Other")</f>
        <v>EC</v>
      </c>
      <c r="AH38" s="81" t="str">
        <f t="shared" si="4"/>
        <v>"%USERPROFILE%\Documents\GitHub\eaglep3\Utilities\RefineRTDCRunTimes.py" --tripid 126-03 --locoid 4027 --swversion DE.1.0.9.0 --startMP 204:232993 --initTime 2017-05-03T07:35:46 --startdatetime 2017-05-03T07:41:19 --delay 2 --endMP 204:154 --enddatetime 2017-05-03T08:21:26 --enforcementcount 0 &gt;&gt;C:\Users\stu\Documents\GitHub\eaglep3-reporting\EC\2017-05-03-refined-times.txt</v>
      </c>
      <c r="AI38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{"issue":{"subject":"","project_id":79,"tracker_id":40,"status_id":1,"priority_id":2,"assigned_to_id":23,"start_date":"2017-05-03","description":"","custom_fields":[{"id":1,"name":"Subdivision","value":"EC"},{"id":4,"name":"Milepost","value":"0.0154"},{"id":17,"name":"Train ID","value":"126-03"},{"id":16,"name":"Locomotive ID","value":"4027"},{"id":130,"name":"Impact","value":""},{"id":150,"name":"Time of Event (Mountain Time)","value":"08:21:26"},{"id":151,"name":"Denver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6"/>
        <v>start /low /b %USERPROFILE%\Documents\GitHub\eaglep3\Utilities\DownloadLogsFromS3.py --loco 4027 --day 2017-05-03</v>
      </c>
      <c r="AN38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662</v>
      </c>
      <c r="B39" s="7">
        <v>4040</v>
      </c>
      <c r="C39" s="21" t="s">
        <v>210</v>
      </c>
      <c r="D39" s="21" t="s">
        <v>446</v>
      </c>
      <c r="E39" s="13">
        <v>42858.287812499999</v>
      </c>
      <c r="F39" s="13">
        <v>42858.291944444441</v>
      </c>
      <c r="G39" s="7">
        <v>1</v>
      </c>
      <c r="H39" s="21" t="s">
        <v>418</v>
      </c>
      <c r="I39" s="13">
        <v>42858.316932870373</v>
      </c>
      <c r="J39" s="7">
        <v>0</v>
      </c>
      <c r="K39" s="92" t="str">
        <f>IF(ISEVEN(B39),(B39-1)&amp;"/"&amp;B39,B39&amp;"/"&amp;(B39+1))</f>
        <v>4039/4040</v>
      </c>
      <c r="L39" s="21" t="str">
        <f>VLOOKUP(A39,'Trips&amp;Operators'!$C$1:$G$99999,5,FALSE)</f>
        <v>BADERTSCHER DIANE</v>
      </c>
      <c r="M39" s="6">
        <f>I39-F39</f>
        <v>2.4988425931951497E-2</v>
      </c>
      <c r="N39" s="7">
        <f>24*60*SUM($M39:$M39)</f>
        <v>35.983333342010155</v>
      </c>
      <c r="O39" s="7"/>
      <c r="P39" s="7"/>
      <c r="Q39" s="22"/>
      <c r="R39" s="190"/>
      <c r="S39" s="196">
        <f>SUM(U39:U39)/IF(AG39="EC",12,1)</f>
        <v>1</v>
      </c>
      <c r="T39" s="190" t="str">
        <f>IF(ISEVEN(LEFT(AD39,4)),"Southbound","NorthBound")</f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-05-03T05:54:27-0600',mode:absolute,to:'2017-05-03T08:36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9" s="192" t="str">
        <f>IF(AA39&lt;IF(AG39="EC",23,5.65),"Y","N")</f>
        <v>N</v>
      </c>
      <c r="X39" s="192">
        <f>VALUE(LEFT(AD39,4))-VALUE(LEFT(AD38,4))</f>
        <v>1</v>
      </c>
      <c r="Y39" s="192">
        <f>RIGHT(D39,LEN(D39)-4)/10000</f>
        <v>4.4400000000000002E-2</v>
      </c>
      <c r="Z39" s="192">
        <f>RIGHT(H39,LEN(H39)-4)/10000</f>
        <v>23.331399999999999</v>
      </c>
      <c r="AA39" s="192">
        <f>ABS(Z39-Y39)</f>
        <v>23.286999999999999</v>
      </c>
      <c r="AB39" s="57" t="e">
        <f>VLOOKUP(A39,Enforcements!$C$7:$K$13,8,0)</f>
        <v>#N/A</v>
      </c>
      <c r="AC39" s="53" t="e">
        <f>VLOOKUP(A39,Enforcements!$C$7:$E$13,3,0)</f>
        <v>#N/A</v>
      </c>
      <c r="AD39" s="54" t="str">
        <f>IF(LEN(A39)=6,"0"&amp;A39,A39)</f>
        <v>0127-03</v>
      </c>
      <c r="AE39" s="80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AF39" s="77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/stypes="app*4040*20170503*" /stext=" 13:.+((SYSTEM_STATE.+slice.+state.+changed )|(ment ac)|(multiple cpu faults)|(system.+state.+changed )|(\[timeout)|(PRM\|1\|D)|(kpr)|(kdp)|(train st.+moving)|(\|lc)|(penalty))"</v>
      </c>
      <c r="AG39" s="1" t="str">
        <f>IFERROR(IF(VALUE(LEFT(AD39,2))&lt;=2,"EC",IF(OR(VALUE(LEFT(AD39,2))=8,VALUE(LEFT(AD39,2))=18),"NW","Other")),"Other")</f>
        <v>EC</v>
      </c>
      <c r="AH39" s="81" t="str">
        <f t="shared" si="4"/>
        <v>"%USERPROFILE%\Documents\GitHub\eaglep3\Utilities\RefineRTDCRunTimes.py" --tripid 127-03 --locoid 4040 --swversion DE.1.0.9.0 --startMP 204:444 --initTime 2017-05-03T06:54:27 --startdatetime 2017-05-03T07:00:24 --delay 1 --endMP 204:233314 --enddatetime 2017-05-03T07:36:23 --enforcementcount 0 &gt;&gt;C:\Users\stu\Documents\GitHub\eaglep3-reporting\EC\2017-05-03-refined-times.txt</v>
      </c>
      <c r="AI39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{"issue":{"subject":"","project_id":79,"tracker_id":40,"status_id":1,"priority_id":2,"assigned_to_id":23,"start_date":"2017-05-03","description":"","custom_fields":[{"id":1,"name":"Subdivision","value":"EC"},{"id":4,"name":"Milepost","value":"23.3314"},{"id":17,"name":"Train ID","value":"127-03"},{"id":16,"name":"Locomotive ID","value":"4040"},{"id":130,"name":"Impact","value":""},{"id":150,"name":"Time of Event (Mountain Time)","value":"07:36:23"},{"id":151,"name":"Denver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6"/>
        <v>start /low /b %USERPROFILE%\Documents\GitHub\eaglep3\Utilities\DownloadLogsFromS3.py --loco 4040 --day 2017-05-03</v>
      </c>
      <c r="AN39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13:36:23"},{"id":29,"name":"Sharepoint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672</v>
      </c>
      <c r="B40" s="7">
        <v>4039</v>
      </c>
      <c r="C40" s="21" t="s">
        <v>210</v>
      </c>
      <c r="D40" s="21" t="s">
        <v>463</v>
      </c>
      <c r="E40" s="13">
        <v>42858.324826388889</v>
      </c>
      <c r="F40" s="13">
        <v>42858.330763888887</v>
      </c>
      <c r="G40" s="7">
        <v>1</v>
      </c>
      <c r="H40" s="21" t="s">
        <v>385</v>
      </c>
      <c r="I40" s="13">
        <v>42858.358344907407</v>
      </c>
      <c r="J40" s="7">
        <v>0</v>
      </c>
      <c r="K40" s="92" t="str">
        <f>IF(ISEVEN(B40),(B40-1)&amp;"/"&amp;B40,B40&amp;"/"&amp;(B40+1))</f>
        <v>4039/4040</v>
      </c>
      <c r="L40" s="21" t="str">
        <f>VLOOKUP(A40,'Trips&amp;Operators'!$C$1:$G$99999,5,FALSE)</f>
        <v>BADERTSCHER DIANE</v>
      </c>
      <c r="M40" s="6">
        <f>I40-F40</f>
        <v>2.7581018519413192E-2</v>
      </c>
      <c r="N40" s="7">
        <f>24*60*SUM($M40:$M40)</f>
        <v>39.716666667954996</v>
      </c>
      <c r="O40" s="7"/>
      <c r="P40" s="7"/>
      <c r="Q40" s="22"/>
      <c r="R40" s="190"/>
      <c r="S40" s="196">
        <f>SUM(U40:U40)/IF(AG40="EC",12,1)</f>
        <v>1</v>
      </c>
      <c r="T40" s="190" t="str">
        <f>IF(ISEVEN(LEFT(AD40,4)),"Southbound","NorthBound")</f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-05-03T06:47:45-0600',mode:absolute,to:'2017-05-03T09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0" s="192" t="str">
        <f>IF(AA40&lt;IF(AG40="EC",23,5.65),"Y","N")</f>
        <v>N</v>
      </c>
      <c r="X40" s="192">
        <f>VALUE(LEFT(AD40,4))-VALUE(LEFT(AD39,4))</f>
        <v>1</v>
      </c>
      <c r="Y40" s="192">
        <f>RIGHT(D40,LEN(D40)-4)/10000</f>
        <v>23.2986</v>
      </c>
      <c r="Z40" s="192">
        <f>RIGHT(H40,LEN(H40)-4)/10000</f>
        <v>1.4500000000000001E-2</v>
      </c>
      <c r="AA40" s="192">
        <f>ABS(Z40-Y40)</f>
        <v>23.284099999999999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>IF(LEN(A40)=6,"0"&amp;A40,A40)</f>
        <v>0128-03</v>
      </c>
      <c r="AE40" s="80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40" s="77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/stypes="app*4039*20170503*" /stext=" 14:.+((SYSTEM_STATE.+slice.+state.+changed )|(ment ac)|(multiple cpu faults)|(system.+state.+changed )|(\[timeout)|(PRM\|1\|D)|(kpr)|(kdp)|(train st.+moving)|(\|lc)|(penalty))"</v>
      </c>
      <c r="AG40" s="1" t="str">
        <f>IFERROR(IF(VALUE(LEFT(AD40,2))&lt;=2,"EC",IF(OR(VALUE(LEFT(AD40,2))=8,VALUE(LEFT(AD40,2))=18),"NW","Other")),"Other")</f>
        <v>EC</v>
      </c>
      <c r="AH40" s="81" t="str">
        <f t="shared" si="4"/>
        <v>"%USERPROFILE%\Documents\GitHub\eaglep3\Utilities\RefineRTDCRunTimes.py" --tripid 128-03 --locoid 4039 --swversion DE.1.0.9.0 --startMP 204:232986 --initTime 2017-05-03T07:47:45 --startdatetime 2017-05-03T07:56:18 --delay 1 --endMP 204:145 --enddatetime 2017-05-03T08:36:01 --enforcementcount 0 &gt;&gt;C:\Users\stu\Documents\GitHub\eaglep3-reporting\EC\2017-05-03-refined-times.txt</v>
      </c>
      <c r="AI40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{"issue":{"subject":"","project_id":79,"tracker_id":40,"status_id":1,"priority_id":2,"assigned_to_id":23,"start_date":"2017-05-03","description":"","custom_fields":[{"id":1,"name":"Subdivision","value":"EC"},{"id":4,"name":"Milepost","value":"0.0145"},{"id":17,"name":"Train ID","value":"128-03"},{"id":16,"name":"Locomotive ID","value":"4039"},{"id":130,"name":"Impact","value":""},{"id":150,"name":"Time of Event (Mountain Time)","value":"08:36:01"},{"id":151,"name":"Denver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6"/>
        <v>start /low /b %USERPROFILE%\Documents\GitHub\eaglep3\Utilities\DownloadLogsFromS3.py --loco 4039 --day 2017-05-03</v>
      </c>
      <c r="AN40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666</v>
      </c>
      <c r="B41" s="7">
        <v>4012</v>
      </c>
      <c r="C41" s="21" t="s">
        <v>210</v>
      </c>
      <c r="D41" s="21" t="s">
        <v>554</v>
      </c>
      <c r="E41" s="13">
        <v>42858.299687500003</v>
      </c>
      <c r="F41" s="13">
        <v>42858.302268518521</v>
      </c>
      <c r="G41" s="7">
        <v>1</v>
      </c>
      <c r="H41" s="21" t="s">
        <v>471</v>
      </c>
      <c r="I41" s="13">
        <v>42858.327199074076</v>
      </c>
      <c r="J41" s="7">
        <v>0</v>
      </c>
      <c r="K41" s="92" t="str">
        <f>IF(ISEVEN(B41),(B41-1)&amp;"/"&amp;B41,B41&amp;"/"&amp;(B41+1))</f>
        <v>4011/4012</v>
      </c>
      <c r="L41" s="21" t="str">
        <f>VLOOKUP(A41,'Trips&amp;Operators'!$C$1:$G$99999,5,FALSE)</f>
        <v>STARKS ANGELINA</v>
      </c>
      <c r="M41" s="6">
        <f>I41-F41</f>
        <v>2.4930555555329192E-2</v>
      </c>
      <c r="N41" s="7">
        <f>24*60*SUM($M41:$M41)</f>
        <v>35.899999999674037</v>
      </c>
      <c r="O41" s="7"/>
      <c r="P41" s="7"/>
      <c r="Q41" s="22"/>
      <c r="R41" s="190"/>
      <c r="S41" s="196">
        <f>SUM(U41:U41)/IF(AG41="EC",12,1)</f>
        <v>1</v>
      </c>
      <c r="T41" s="190" t="str">
        <f>IF(ISEVEN(LEFT(AD41,4)),"Southbound","NorthBound")</f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-05-03T06:11:33-0600',mode:absolute,to:'2017-05-03T08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1" s="192" t="str">
        <f>IF(AA41&lt;IF(AG41="EC",23,5.65),"Y","N")</f>
        <v>N</v>
      </c>
      <c r="X41" s="192">
        <f>VALUE(LEFT(AD41,4))-VALUE(LEFT(AD40,4))</f>
        <v>1</v>
      </c>
      <c r="Y41" s="192">
        <f>RIGHT(D41,LEN(D41)-4)/10000</f>
        <v>4.2700000000000002E-2</v>
      </c>
      <c r="Z41" s="192">
        <f>RIGHT(H41,LEN(H41)-4)/10000</f>
        <v>23.3308</v>
      </c>
      <c r="AA41" s="192">
        <f>ABS(Z41-Y41)</f>
        <v>23.2881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>IF(LEN(A41)=6,"0"&amp;A41,A41)</f>
        <v>0129-03</v>
      </c>
      <c r="AE41" s="80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AF41" s="77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/stypes="app*4012*20170503*" /stext=" 13:.+((SYSTEM_STATE.+slice.+state.+changed )|(ment ac)|(multiple cpu faults)|(system.+state.+changed )|(\[timeout)|(PRM\|1\|D)|(kpr)|(kdp)|(train st.+moving)|(\|lc)|(penalty))"</v>
      </c>
      <c r="AG41" s="1" t="str">
        <f>IFERROR(IF(VALUE(LEFT(AD41,2))&lt;=2,"EC",IF(OR(VALUE(LEFT(AD41,2))=8,VALUE(LEFT(AD41,2))=18),"NW","Other")),"Other")</f>
        <v>EC</v>
      </c>
      <c r="AH41" s="81" t="str">
        <f t="shared" si="4"/>
        <v>"%USERPROFILE%\Documents\GitHub\eaglep3\Utilities\RefineRTDCRunTimes.py" --tripid 129-03 --locoid 4012 --swversion DE.1.0.9.0 --startMP 204:427 --initTime 2017-05-03T07:11:33 --startdatetime 2017-05-03T07:15:16 --delay 1 --endMP 204:233308 --enddatetime 2017-05-03T07:51:10 --enforcementcount 0 &gt;&gt;C:\Users\stu\Documents\GitHub\eaglep3-reporting\EC\2017-05-03-refined-times.txt</v>
      </c>
      <c r="AI41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{"issue":{"subject":"","project_id":79,"tracker_id":40,"status_id":1,"priority_id":2,"assigned_to_id":23,"start_date":"2017-05-03","description":"","custom_fields":[{"id":1,"name":"Subdivision","value":"EC"},{"id":4,"name":"Milepost","value":"23.3308"},{"id":17,"name":"Train ID","value":"129-03"},{"id":16,"name":"Locomotive ID","value":"4012"},{"id":130,"name":"Impact","value":""},{"id":150,"name":"Time of Event (Mountain Time)","value":"07:51:10"},{"id":151,"name":"Denver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6"/>
        <v>start /low /b %USERPROFILE%\Documents\GitHub\eaglep3\Utilities\DownloadLogsFromS3.py --loco 4012 --day 2017-05-03</v>
      </c>
      <c r="AN41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676</v>
      </c>
      <c r="B42" s="7">
        <v>4011</v>
      </c>
      <c r="C42" s="21" t="s">
        <v>210</v>
      </c>
      <c r="D42" s="21" t="s">
        <v>551</v>
      </c>
      <c r="E42" s="13">
        <v>42858.338414351849</v>
      </c>
      <c r="F42" s="13">
        <v>42858.341226851851</v>
      </c>
      <c r="G42" s="7">
        <v>1</v>
      </c>
      <c r="H42" s="21" t="s">
        <v>855</v>
      </c>
      <c r="I42" s="13">
        <v>42858.368634259263</v>
      </c>
      <c r="J42" s="7">
        <v>0</v>
      </c>
      <c r="K42" s="92" t="str">
        <f>IF(ISEVEN(B42),(B42-1)&amp;"/"&amp;B42,B42&amp;"/"&amp;(B42+1))</f>
        <v>4011/4012</v>
      </c>
      <c r="L42" s="21" t="str">
        <f>VLOOKUP(A42,'Trips&amp;Operators'!$C$1:$G$99999,5,FALSE)</f>
        <v>STARKS ANGELINA</v>
      </c>
      <c r="M42" s="6">
        <f>I42-F42</f>
        <v>2.7407407411374152E-2</v>
      </c>
      <c r="N42" s="7">
        <f>24*60*SUM($M42:$M42)</f>
        <v>39.466666672378778</v>
      </c>
      <c r="O42" s="7"/>
      <c r="P42" s="7"/>
      <c r="Q42" s="22"/>
      <c r="R42" s="190"/>
      <c r="S42" s="196">
        <f>SUM(U42:U42)/IF(AG42="EC",12,1)</f>
        <v>1</v>
      </c>
      <c r="T42" s="190" t="str">
        <f>IF(ISEVEN(LEFT(AD42,4)),"Southbound","NorthBound")</f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-05-03T07:07:19-0600',mode:absolute,to:'2017-05-03T09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2" s="192" t="str">
        <f>IF(AA42&lt;IF(AG42="EC",23,5.65),"Y","N")</f>
        <v>N</v>
      </c>
      <c r="X42" s="192">
        <f>VALUE(LEFT(AD42,4))-VALUE(LEFT(AD41,4))</f>
        <v>1</v>
      </c>
      <c r="Y42" s="192">
        <f>RIGHT(D42,LEN(D42)-4)/10000</f>
        <v>23.298500000000001</v>
      </c>
      <c r="Z42" s="192">
        <f>RIGHT(H42,LEN(H42)-4)/10000</f>
        <v>0.24210000000000001</v>
      </c>
      <c r="AA42" s="192">
        <f>ABS(Z42-Y42)</f>
        <v>23.0564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>IF(LEN(A42)=6,"0"&amp;A42,A42)</f>
        <v>0130-03</v>
      </c>
      <c r="AE42" s="80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s3://rtdc.mdm.uploadarchive.raw/RTDC4011/ "%USERPROFILE%\AppData\Local\Temp\OnboardLogs"\RTDC4011\2017-05-03 --exclude "*" --recursive --include "*20170503*" &amp; "%USERPROFILE%\Documents\GitHub\mrs-test-scripts\Headless Mode &amp; Sideloading\WalkAndUnGZ.bat" "%USERPROFILE%\AppData\Local\Temp\OnboardLogs"\RTDC4011\2017-05-03 &amp; aws s3 cp s3://rtdc.mdm.uploadarchive.raw/RTDC4011/ "%USERPROFILE%\AppData\Local\Temp\OnboardLogs"\RTDC4011\2017-05-04 --exclude "*" --recursive --include "*20170504*" &amp; "%USERPROFILE%\Documents\GitHub\mrs-test-scripts\Headless Mode &amp; Sideloading\WalkAndUnGZ.bat" "%USERPROFILE%\AppData\Local\Temp\OnboardLogs"\RTDC4011\2017-05-04</v>
      </c>
      <c r="AF42" s="77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/stypes="app*4011*20170503*" /stext=" 14:.+((SYSTEM_STATE.+slice.+state.+changed )|(ment ac)|(multiple cpu faults)|(system.+state.+changed )|(\[timeout)|(PRM\|1\|D)|(kpr)|(kdp)|(train st.+moving)|(\|lc)|(penalty))"</v>
      </c>
      <c r="AG42" s="1" t="str">
        <f>IFERROR(IF(VALUE(LEFT(AD42,2))&lt;=2,"EC",IF(OR(VALUE(LEFT(AD42,2))=8,VALUE(LEFT(AD42,2))=18),"NW","Other")),"Other")</f>
        <v>EC</v>
      </c>
      <c r="AH42" s="81" t="str">
        <f t="shared" si="4"/>
        <v>"%USERPROFILE%\Documents\GitHub\eaglep3\Utilities\RefineRTDCRunTimes.py" --tripid 130-03 --locoid 4011 --swversion DE.1.0.9.0 --startMP 204:232985 --initTime 2017-05-03T08:07:19 --startdatetime 2017-05-03T08:11:22 --delay 1 --endMP 204:2421 --enddatetime 2017-05-03T08:50:50 --enforcementcount 0 &gt;&gt;C:\Users\stu\Documents\GitHub\eaglep3-reporting\EC\2017-05-03-refined-times.txt</v>
      </c>
      <c r="AI42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{"issue":{"subject":"","project_id":79,"tracker_id":40,"status_id":1,"priority_id":2,"assigned_to_id":23,"start_date":"2017-05-03","description":"","custom_fields":[{"id":1,"name":"Subdivision","value":"EC"},{"id":4,"name":"Milepost","value":"0.2421"},{"id":17,"name":"Train ID","value":"130-03"},{"id":16,"name":"Locomotive ID","value":"4011"},{"id":130,"name":"Impact","value":""},{"id":150,"name":"Time of Event (Mountain Time)","value":"08:50:50"},{"id":151,"name":"Denver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6"/>
        <v>start /low /b %USERPROFILE%\Documents\GitHub\eaglep3\Utilities\DownloadLogsFromS3.py --loco 4011 --day 2017-05-03</v>
      </c>
      <c r="AN42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668</v>
      </c>
      <c r="B43" s="7">
        <v>4024</v>
      </c>
      <c r="C43" s="21" t="s">
        <v>210</v>
      </c>
      <c r="D43" s="21" t="s">
        <v>205</v>
      </c>
      <c r="E43" s="13">
        <v>42858.307708333334</v>
      </c>
      <c r="F43" s="13">
        <v>42858.312916666669</v>
      </c>
      <c r="G43" s="7">
        <v>1</v>
      </c>
      <c r="H43" s="21" t="s">
        <v>556</v>
      </c>
      <c r="I43" s="13">
        <v>42858.337766203702</v>
      </c>
      <c r="J43" s="7">
        <v>0</v>
      </c>
      <c r="K43" s="92" t="str">
        <f>IF(ISEVEN(B43),(B43-1)&amp;"/"&amp;B43,B43&amp;"/"&amp;(B43+1))</f>
        <v>4023/4024</v>
      </c>
      <c r="L43" s="21" t="str">
        <f>VLOOKUP(A43,'Trips&amp;Operators'!$C$1:$G$99999,5,FALSE)</f>
        <v>MAELZER KURT</v>
      </c>
      <c r="M43" s="6">
        <f>I43-F43</f>
        <v>2.4849537032423541E-2</v>
      </c>
      <c r="N43" s="7">
        <f>24*60*SUM($M43:$M43)</f>
        <v>35.783333326689899</v>
      </c>
      <c r="O43" s="7"/>
      <c r="P43" s="7"/>
      <c r="Q43" s="22"/>
      <c r="R43" s="190"/>
      <c r="S43" s="196">
        <f>SUM(U43:U43)/IF(AG43="EC",12,1)</f>
        <v>1</v>
      </c>
      <c r="T43" s="190" t="str">
        <f>IF(ISEVEN(LEFT(AD43,4)),"Southbound","NorthBound")</f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-05-03T06:23:06-0600',mode:absolute,to:'2017-05-03T09:06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3" s="192" t="str">
        <f>IF(AA43&lt;IF(AG43="EC",23,5.65),"Y","N")</f>
        <v>N</v>
      </c>
      <c r="X43" s="192">
        <f>VALUE(LEFT(AD43,4))-VALUE(LEFT(AD42,4))</f>
        <v>1</v>
      </c>
      <c r="Y43" s="192">
        <f>RIGHT(D43,LEN(D43)-4)/10000</f>
        <v>4.5999999999999999E-2</v>
      </c>
      <c r="Z43" s="192">
        <f>RIGHT(H43,LEN(H43)-4)/10000</f>
        <v>23.332599999999999</v>
      </c>
      <c r="AA43" s="192">
        <f>ABS(Z43-Y43)</f>
        <v>23.2866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>IF(LEN(A43)=6,"0"&amp;A43,A43)</f>
        <v>0131-03</v>
      </c>
      <c r="AE43" s="80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AF43" s="77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/stypes="app*4024*20170503*" /stext=" 14:.+((SYSTEM_STATE.+slice.+state.+changed )|(ment ac)|(multiple cpu faults)|(system.+state.+changed )|(\[timeout)|(PRM\|1\|D)|(kpr)|(kdp)|(train st.+moving)|(\|lc)|(penalty))"</v>
      </c>
      <c r="AG43" s="1" t="str">
        <f>IFERROR(IF(VALUE(LEFT(AD43,2))&lt;=2,"EC",IF(OR(VALUE(LEFT(AD43,2))=8,VALUE(LEFT(AD43,2))=18),"NW","Other")),"Other")</f>
        <v>EC</v>
      </c>
      <c r="AH43" s="81" t="str">
        <f t="shared" si="4"/>
        <v>"%USERPROFILE%\Documents\GitHub\eaglep3\Utilities\RefineRTDCRunTimes.py" --tripid 131-03 --locoid 4024 --swversion DE.1.0.9.0 --startMP 204:460 --initTime 2017-05-03T07:23:06 --startdatetime 2017-05-03T07:30:36 --delay 1 --endMP 204:233326 --enddatetime 2017-05-03T08:06:23 --enforcementcount 0 &gt;&gt;C:\Users\stu\Documents\GitHub\eaglep3-reporting\EC\2017-05-03-refined-times.txt</v>
      </c>
      <c r="AI43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{"issue":{"subject":"","project_id":79,"tracker_id":40,"status_id":1,"priority_id":2,"assigned_to_id":23,"start_date":"2017-05-03","description":"","custom_fields":[{"id":1,"name":"Subdivision","value":"EC"},{"id":4,"name":"Milepost","value":"23.3326"},{"id":17,"name":"Train ID","value":"131-03"},{"id":16,"name":"Locomotive ID","value":"4024"},{"id":130,"name":"Impact","value":""},{"id":150,"name":"Time of Event (Mountain Time)","value":"08:06:23"},{"id":151,"name":"Denver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6"/>
        <v>start /low /b %USERPROFILE%\Documents\GitHub\eaglep3\Utilities\DownloadLogsFromS3.py --loco 4024 --day 2017-05-03</v>
      </c>
      <c r="AN43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14:06:23"},{"id":29,"name":"Sharepoint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678</v>
      </c>
      <c r="B44" s="7">
        <v>4023</v>
      </c>
      <c r="C44" s="21" t="s">
        <v>210</v>
      </c>
      <c r="D44" s="21" t="s">
        <v>856</v>
      </c>
      <c r="E44" s="13">
        <v>42858.344942129632</v>
      </c>
      <c r="F44" s="13">
        <v>42858.351620370369</v>
      </c>
      <c r="G44" s="7">
        <v>1</v>
      </c>
      <c r="H44" s="21" t="s">
        <v>857</v>
      </c>
      <c r="I44" s="13">
        <v>42858.379444444443</v>
      </c>
      <c r="J44" s="7">
        <v>0</v>
      </c>
      <c r="K44" s="92" t="str">
        <f>IF(ISEVEN(B44),(B44-1)&amp;"/"&amp;B44,B44&amp;"/"&amp;(B44+1))</f>
        <v>4023/4024</v>
      </c>
      <c r="L44" s="21" t="str">
        <f>VLOOKUP(A44,'Trips&amp;Operators'!$C$1:$G$99999,5,FALSE)</f>
        <v>MAELZER KURT</v>
      </c>
      <c r="M44" s="6">
        <f>I44-F44</f>
        <v>2.7824074073578231E-2</v>
      </c>
      <c r="N44" s="7">
        <f>24*60*SUM($M44:$M44)</f>
        <v>40.066666665952653</v>
      </c>
      <c r="O44" s="7"/>
      <c r="P44" s="7"/>
      <c r="Q44" s="22"/>
      <c r="R44" s="190"/>
      <c r="S44" s="196">
        <f>SUM(U44:U44)/IF(AG44="EC",12,1)</f>
        <v>1</v>
      </c>
      <c r="T44" s="190" t="str">
        <f>IF(ISEVEN(LEFT(AD44,4)),"Southbound","NorthBound")</f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-05-03T07:16:43-0600',mode:absolute,to:'2017-05-03T10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4" s="192" t="str">
        <f>IF(AA44&lt;IF(AG44="EC",23,5.65),"Y","N")</f>
        <v>N</v>
      </c>
      <c r="X44" s="192">
        <f>VALUE(LEFT(AD44,4))-VALUE(LEFT(AD43,4))</f>
        <v>1</v>
      </c>
      <c r="Y44" s="192">
        <f>RIGHT(D44,LEN(D44)-4)/10000</f>
        <v>23.299199999999999</v>
      </c>
      <c r="Z44" s="192">
        <f>RIGHT(H44,LEN(H44)-4)/10000</f>
        <v>1.23E-2</v>
      </c>
      <c r="AA44" s="192">
        <f>ABS(Z44-Y44)</f>
        <v>23.286899999999999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>IF(LEN(A44)=6,"0"&amp;A44,A44)</f>
        <v>0132-03</v>
      </c>
      <c r="AE44" s="80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44" s="77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/stypes="app*4023*20170503*" /stext=" 15:.+((SYSTEM_STATE.+slice.+state.+changed )|(ment ac)|(multiple cpu faults)|(system.+state.+changed )|(\[timeout)|(PRM\|1\|D)|(kpr)|(kdp)|(train st.+moving)|(\|lc)|(penalty))"</v>
      </c>
      <c r="AG44" s="1" t="str">
        <f>IFERROR(IF(VALUE(LEFT(AD44,2))&lt;=2,"EC",IF(OR(VALUE(LEFT(AD44,2))=8,VALUE(LEFT(AD44,2))=18),"NW","Other")),"Other")</f>
        <v>EC</v>
      </c>
      <c r="AH44" s="81" t="str">
        <f t="shared" si="4"/>
        <v>"%USERPROFILE%\Documents\GitHub\eaglep3\Utilities\RefineRTDCRunTimes.py" --tripid 132-03 --locoid 4023 --swversion DE.1.0.9.0 --startMP 204:232992 --initTime 2017-05-03T08:16:43 --startdatetime 2017-05-03T08:26:20 --delay 1 --endMP 204:123 --enddatetime 2017-05-03T09:06:24 --enforcementcount 0 &gt;&gt;C:\Users\stu\Documents\GitHub\eaglep3-reporting\EC\2017-05-03-refined-times.txt</v>
      </c>
      <c r="AI44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{"issue":{"subject":"","project_id":79,"tracker_id":40,"status_id":1,"priority_id":2,"assigned_to_id":23,"start_date":"2017-05-03","description":"","custom_fields":[{"id":1,"name":"Subdivision","value":"EC"},{"id":4,"name":"Milepost","value":"0.0123"},{"id":17,"name":"Train ID","value":"132-03"},{"id":16,"name":"Locomotive ID","value":"4023"},{"id":130,"name":"Impact","value":""},{"id":150,"name":"Time of Event (Mountain Time)","value":"09:06:24"},{"id":151,"name":"Denver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6"/>
        <v>start /low /b %USERPROFILE%\Documents\GitHub\eaglep3\Utilities\DownloadLogsFromS3.py --loco 4023 --day 2017-05-03</v>
      </c>
      <c r="AN44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671</v>
      </c>
      <c r="B45" s="7">
        <v>4030</v>
      </c>
      <c r="C45" s="21" t="s">
        <v>210</v>
      </c>
      <c r="D45" s="21" t="s">
        <v>419</v>
      </c>
      <c r="E45" s="13">
        <v>42858.317048611112</v>
      </c>
      <c r="F45" s="13">
        <v>42858.32309027778</v>
      </c>
      <c r="G45" s="7">
        <v>1</v>
      </c>
      <c r="H45" s="21" t="s">
        <v>423</v>
      </c>
      <c r="I45" s="13">
        <v>42858.347766203704</v>
      </c>
      <c r="J45" s="7">
        <v>0</v>
      </c>
      <c r="K45" s="92" t="str">
        <f>IF(ISEVEN(B45),(B45-1)&amp;"/"&amp;B45,B45&amp;"/"&amp;(B45+1))</f>
        <v>4029/4030</v>
      </c>
      <c r="L45" s="21" t="str">
        <f>VLOOKUP(A45,'Trips&amp;Operators'!$C$1:$G$99999,5,FALSE)</f>
        <v>GEBRETEKLE DAGNEW</v>
      </c>
      <c r="M45" s="6">
        <f>I45-F45</f>
        <v>2.4675925924384501E-2</v>
      </c>
      <c r="N45" s="7">
        <f>24*60*SUM($M45:$M45)</f>
        <v>35.533333331113681</v>
      </c>
      <c r="O45" s="7"/>
      <c r="P45" s="7"/>
      <c r="Q45" s="22"/>
      <c r="R45" s="190"/>
      <c r="S45" s="196">
        <f>SUM(U45:U45)/IF(AG45="EC",12,1)</f>
        <v>1</v>
      </c>
      <c r="T45" s="190" t="str">
        <f>IF(ISEVEN(LEFT(AD45,4)),"Southbound","NorthBound")</f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-05-03T06:36:33-0600',mode:absolute,to:'2017-05-03T09:20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5" s="192" t="str">
        <f>IF(AA45&lt;IF(AG45="EC",23,5.65),"Y","N")</f>
        <v>N</v>
      </c>
      <c r="X45" s="192">
        <f>VALUE(LEFT(AD45,4))-VALUE(LEFT(AD44,4))</f>
        <v>1</v>
      </c>
      <c r="Y45" s="192">
        <f>RIGHT(D45,LEN(D45)-4)/10000</f>
        <v>4.6399999999999997E-2</v>
      </c>
      <c r="Z45" s="192">
        <f>RIGHT(H45,LEN(H45)-4)/10000</f>
        <v>23.331</v>
      </c>
      <c r="AA45" s="192">
        <f>ABS(Z45-Y45)</f>
        <v>23.284600000000001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>IF(LEN(A45)=6,"0"&amp;A45,A45)</f>
        <v>0133-03</v>
      </c>
      <c r="AE45" s="80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45" s="77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/stypes="app*4030*20170503*" /stext=" 14:.+((SYSTEM_STATE.+slice.+state.+changed )|(ment ac)|(multiple cpu faults)|(system.+state.+changed )|(\[timeout)|(PRM\|1\|D)|(kpr)|(kdp)|(train st.+moving)|(\|lc)|(penalty))"</v>
      </c>
      <c r="AG45" s="1" t="str">
        <f>IFERROR(IF(VALUE(LEFT(AD45,2))&lt;=2,"EC",IF(OR(VALUE(LEFT(AD45,2))=8,VALUE(LEFT(AD45,2))=18),"NW","Other")),"Other")</f>
        <v>EC</v>
      </c>
      <c r="AH45" s="81" t="str">
        <f t="shared" si="4"/>
        <v>"%USERPROFILE%\Documents\GitHub\eaglep3\Utilities\RefineRTDCRunTimes.py" --tripid 133-03 --locoid 4030 --swversion DE.1.0.9.0 --startMP 204:464 --initTime 2017-05-03T07:36:33 --startdatetime 2017-05-03T07:45:15 --delay 1 --endMP 204:233310 --enddatetime 2017-05-03T08:20:47 --enforcementcount 0 &gt;&gt;C:\Users\stu\Documents\GitHub\eaglep3-reporting\EC\2017-05-03-refined-times.txt</v>
      </c>
      <c r="AI45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{"issue":{"subject":"","project_id":79,"tracker_id":40,"status_id":1,"priority_id":2,"assigned_to_id":23,"start_date":"2017-05-03","description":"","custom_fields":[{"id":1,"name":"Subdivision","value":"EC"},{"id":4,"name":"Milepost","value":"23.331"},{"id":17,"name":"Train ID","value":"133-03"},{"id":16,"name":"Locomotive ID","value":"4030"},{"id":130,"name":"Impact","value":""},{"id":150,"name":"Time of Event (Mountain Time)","value":"08:20:47"},{"id":151,"name":"Denver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6"/>
        <v>start /low /b %USERPROFILE%\Documents\GitHub\eaglep3\Utilities\DownloadLogsFromS3.py --loco 4030 --day 2017-05-03</v>
      </c>
      <c r="AN45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14:20:47"},{"id":29,"name":"Sharepoint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684</v>
      </c>
      <c r="B46" s="7">
        <v>4029</v>
      </c>
      <c r="C46" s="21" t="s">
        <v>210</v>
      </c>
      <c r="D46" s="21" t="s">
        <v>858</v>
      </c>
      <c r="E46" s="13">
        <v>42858.359201388892</v>
      </c>
      <c r="F46" s="13">
        <v>42858.362037037034</v>
      </c>
      <c r="G46" s="7">
        <v>1</v>
      </c>
      <c r="H46" s="21" t="s">
        <v>407</v>
      </c>
      <c r="I46" s="13">
        <v>42858.388171296298</v>
      </c>
      <c r="J46" s="7">
        <v>0</v>
      </c>
      <c r="K46" s="92" t="str">
        <f>IF(ISEVEN(B46),(B46-1)&amp;"/"&amp;B46,B46&amp;"/"&amp;(B46+1))</f>
        <v>4029/4030</v>
      </c>
      <c r="L46" s="21" t="str">
        <f>VLOOKUP(A46,'Trips&amp;Operators'!$C$1:$G$99999,5,FALSE)</f>
        <v>GEBRETEKLE DAGNEW</v>
      </c>
      <c r="M46" s="6">
        <f>I46-F46</f>
        <v>2.6134259263926651E-2</v>
      </c>
      <c r="N46" s="7">
        <f>24*60*SUM($M46:$M46)</f>
        <v>37.633333340054378</v>
      </c>
      <c r="O46" s="7"/>
      <c r="P46" s="7"/>
      <c r="Q46" s="22"/>
      <c r="R46" s="190"/>
      <c r="S46" s="196">
        <f>SUM(U46:U46)/IF(AG46="EC",12,1)</f>
        <v>1</v>
      </c>
      <c r="T46" s="190" t="str">
        <f>IF(ISEVEN(LEFT(AD46,4)),"Southbound","NorthBound")</f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-05-03T07:37:15-0600',mode:absolute,to:'2017-05-03T10:18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6" s="192" t="str">
        <f>IF(AA46&lt;IF(AG46="EC",23,5.65),"Y","N")</f>
        <v>N</v>
      </c>
      <c r="X46" s="192">
        <f>VALUE(LEFT(AD46,4))-VALUE(LEFT(AD45,4))</f>
        <v>1</v>
      </c>
      <c r="Y46" s="192">
        <f>RIGHT(D46,LEN(D46)-4)/10000</f>
        <v>23.299399999999999</v>
      </c>
      <c r="Z46" s="192">
        <f>RIGHT(H46,LEN(H46)-4)/10000</f>
        <v>1.43E-2</v>
      </c>
      <c r="AA46" s="192">
        <f>ABS(Z46-Y46)</f>
        <v>23.2851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>IF(LEN(A46)=6,"0"&amp;A46,A46)</f>
        <v>0134-03</v>
      </c>
      <c r="AE46" s="80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46" s="77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/stypes="app*4029*20170503*" /stext=" 15:.+((SYSTEM_STATE.+slice.+state.+changed )|(ment ac)|(multiple cpu faults)|(system.+state.+changed )|(\[timeout)|(PRM\|1\|D)|(kpr)|(kdp)|(train st.+moving)|(\|lc)|(penalty))"</v>
      </c>
      <c r="AG46" s="1" t="str">
        <f>IFERROR(IF(VALUE(LEFT(AD46,2))&lt;=2,"EC",IF(OR(VALUE(LEFT(AD46,2))=8,VALUE(LEFT(AD46,2))=18),"NW","Other")),"Other")</f>
        <v>EC</v>
      </c>
      <c r="AH46" s="81" t="str">
        <f t="shared" si="4"/>
        <v>"%USERPROFILE%\Documents\GitHub\eaglep3\Utilities\RefineRTDCRunTimes.py" --tripid 134-03 --locoid 4029 --swversion DE.1.0.9.0 --startMP 204:232994 --initTime 2017-05-03T08:37:15 --startdatetime 2017-05-03T08:41:20 --delay 1 --endMP 204:143 --enddatetime 2017-05-03T09:18:58 --enforcementcount 0 &gt;&gt;C:\Users\stu\Documents\GitHub\eaglep3-reporting\EC\2017-05-03-refined-times.txt</v>
      </c>
      <c r="AI46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{"issue":{"subject":"","project_id":79,"tracker_id":40,"status_id":1,"priority_id":2,"assigned_to_id":23,"start_date":"2017-05-03","description":"","custom_fields":[{"id":1,"name":"Subdivision","value":"EC"},{"id":4,"name":"Milepost","value":"0.0143"},{"id":17,"name":"Train ID","value":"134-03"},{"id":16,"name":"Locomotive ID","value":"4029"},{"id":130,"name":"Impact","value":""},{"id":150,"name":"Time of Event (Mountain Time)","value":"09:18:58"},{"id":151,"name":"Denver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6"/>
        <v>start /low /b %USERPROFILE%\Documents\GitHub\eaglep3\Utilities\DownloadLogsFromS3.py --loco 4029 --day 2017-05-03</v>
      </c>
      <c r="AN46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15:18:58"},{"id":29,"name":"Sharepoint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674</v>
      </c>
      <c r="B47" s="7">
        <v>4016</v>
      </c>
      <c r="C47" s="21" t="s">
        <v>210</v>
      </c>
      <c r="D47" s="21" t="s">
        <v>542</v>
      </c>
      <c r="E47" s="13">
        <v>42858.329108796293</v>
      </c>
      <c r="F47" s="13">
        <v>42858.333761574075</v>
      </c>
      <c r="G47" s="7">
        <v>1</v>
      </c>
      <c r="H47" s="21" t="s">
        <v>853</v>
      </c>
      <c r="I47" s="13">
        <v>42858.36109953704</v>
      </c>
      <c r="J47" s="7">
        <v>0</v>
      </c>
      <c r="K47" s="92" t="str">
        <f>IF(ISEVEN(B47),(B47-1)&amp;"/"&amp;B47,B47&amp;"/"&amp;(B47+1))</f>
        <v>4015/4016</v>
      </c>
      <c r="L47" s="21" t="str">
        <f>VLOOKUP(A47,'Trips&amp;Operators'!$C$1:$G$99999,5,FALSE)</f>
        <v>THOMPSON LESTER</v>
      </c>
      <c r="M47" s="6">
        <f>I47-F47</f>
        <v>2.7337962965248153E-2</v>
      </c>
      <c r="N47" s="7">
        <f>24*60*SUM($M47:$M47)</f>
        <v>39.36666666995734</v>
      </c>
      <c r="O47" s="7"/>
      <c r="P47" s="7"/>
      <c r="Q47" s="22"/>
      <c r="R47" s="190"/>
      <c r="S47" s="196">
        <f>SUM(U47:U47)/IF(AG47="EC",12,1)</f>
        <v>1</v>
      </c>
      <c r="T47" s="190" t="str">
        <f>IF(ISEVEN(LEFT(AD47,4)),"Southbound","NorthBound")</f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-05-03T06:53:55-0600',mode:absolute,to:'2017-05-03T09:39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7" s="192" t="str">
        <f>IF(AA47&lt;IF(AG47="EC",23,5.65),"Y","N")</f>
        <v>N</v>
      </c>
      <c r="X47" s="192">
        <f>VALUE(LEFT(AD47,4))-VALUE(LEFT(AD46,4))</f>
        <v>1</v>
      </c>
      <c r="Y47" s="192">
        <f>RIGHT(D47,LEN(D47)-4)/10000</f>
        <v>4.4200000000000003E-2</v>
      </c>
      <c r="Z47" s="192">
        <f>RIGHT(H47,LEN(H47)-4)/10000</f>
        <v>23.329699999999999</v>
      </c>
      <c r="AA47" s="192">
        <f>ABS(Z47-Y47)</f>
        <v>23.285499999999999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>IF(LEN(A47)=6,"0"&amp;A47,A47)</f>
        <v>0135-03</v>
      </c>
      <c r="AE47" s="80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47" s="77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/stypes="app*4016*20170503*" /stext=" 14:.+((SYSTEM_STATE.+slice.+state.+changed )|(ment ac)|(multiple cpu faults)|(system.+state.+changed )|(\[timeout)|(PRM\|1\|D)|(kpr)|(kdp)|(train st.+moving)|(\|lc)|(penalty))"</v>
      </c>
      <c r="AG47" s="1" t="str">
        <f>IFERROR(IF(VALUE(LEFT(AD47,2))&lt;=2,"EC",IF(OR(VALUE(LEFT(AD47,2))=8,VALUE(LEFT(AD47,2))=18),"NW","Other")),"Other")</f>
        <v>EC</v>
      </c>
      <c r="AH47" s="81" t="str">
        <f t="shared" si="4"/>
        <v>"%USERPROFILE%\Documents\GitHub\eaglep3\Utilities\RefineRTDCRunTimes.py" --tripid 135-03 --locoid 4016 --swversion DE.1.0.9.0 --startMP 204:442 --initTime 2017-05-03T07:53:55 --startdatetime 2017-05-03T08:00:37 --delay 1 --endMP 204:233297 --enddatetime 2017-05-03T08:39:59 --enforcementcount 0 &gt;&gt;C:\Users\stu\Documents\GitHub\eaglep3-reporting\EC\2017-05-03-refined-times.txt</v>
      </c>
      <c r="AI47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{"issue":{"subject":"","project_id":79,"tracker_id":40,"status_id":1,"priority_id":2,"assigned_to_id":23,"start_date":"2017-05-03","description":"","custom_fields":[{"id":1,"name":"Subdivision","value":"EC"},{"id":4,"name":"Milepost","value":"23.3297"},{"id":17,"name":"Train ID","value":"135-03"},{"id":16,"name":"Locomotive ID","value":"4016"},{"id":130,"name":"Impact","value":""},{"id":150,"name":"Time of Event (Mountain Time)","value":"08:39:59"},{"id":151,"name":"Denver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6"/>
        <v>start /low /b %USERPROFILE%\Documents\GitHub\eaglep3\Utilities\DownloadLogsFromS3.py --loco 4016 --day 2017-05-03</v>
      </c>
      <c r="AN47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14:39:59"},{"id":29,"name":"Sharepoint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688</v>
      </c>
      <c r="B48" s="7">
        <v>4015</v>
      </c>
      <c r="C48" s="21" t="s">
        <v>210</v>
      </c>
      <c r="D48" s="21" t="s">
        <v>512</v>
      </c>
      <c r="E48" s="13">
        <v>42858.366956018515</v>
      </c>
      <c r="F48" s="13">
        <v>42858.372407407405</v>
      </c>
      <c r="G48" s="7">
        <v>1</v>
      </c>
      <c r="H48" s="21" t="s">
        <v>462</v>
      </c>
      <c r="I48" s="13">
        <v>42858.402754629627</v>
      </c>
      <c r="J48" s="7">
        <v>0</v>
      </c>
      <c r="K48" s="92" t="str">
        <f>IF(ISEVEN(B48),(B48-1)&amp;"/"&amp;B48,B48&amp;"/"&amp;(B48+1))</f>
        <v>4015/4016</v>
      </c>
      <c r="L48" s="21" t="str">
        <f>VLOOKUP(A48,'Trips&amp;Operators'!$C$1:$G$99999,5,FALSE)</f>
        <v>THOMPSON LESTER</v>
      </c>
      <c r="M48" s="6">
        <f>I48-F48</f>
        <v>3.0347222222189885E-2</v>
      </c>
      <c r="N48" s="7">
        <f>24*60*SUM($M48:$M48)</f>
        <v>43.699999999953434</v>
      </c>
      <c r="O48" s="7"/>
      <c r="P48" s="7"/>
      <c r="Q48" s="22"/>
      <c r="R48" s="190"/>
      <c r="S48" s="196">
        <f>SUM(U48:U48)/IF(AG48="EC",12,1)</f>
        <v>1</v>
      </c>
      <c r="T48" s="190" t="str">
        <f>IF(ISEVEN(LEFT(AD48,4)),"Southbound","NorthBound")</f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-05-03T07:48:25-0600',mode:absolute,to:'2017-05-03T10:39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8" s="192" t="str">
        <f>IF(AA48&lt;IF(AG48="EC",23,5.65),"Y","N")</f>
        <v>N</v>
      </c>
      <c r="X48" s="192">
        <f>VALUE(LEFT(AD48,4))-VALUE(LEFT(AD47,4))</f>
        <v>1</v>
      </c>
      <c r="Y48" s="192">
        <f>RIGHT(D48,LEN(D48)-4)/10000</f>
        <v>23.296500000000002</v>
      </c>
      <c r="Z48" s="192">
        <f>RIGHT(H48,LEN(H48)-4)/10000</f>
        <v>1.6500000000000001E-2</v>
      </c>
      <c r="AA48" s="192">
        <f>ABS(Z48-Y48)</f>
        <v>23.28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>IF(LEN(A48)=6,"0"&amp;A48,A48)</f>
        <v>0136-03</v>
      </c>
      <c r="AE48" s="80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48" s="77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/stypes="app*4015*20170503*" /stext=" 15:.+((SYSTEM_STATE.+slice.+state.+changed )|(ment ac)|(multiple cpu faults)|(system.+state.+changed )|(\[timeout)|(PRM\|1\|D)|(kpr)|(kdp)|(train st.+moving)|(\|lc)|(penalty))"</v>
      </c>
      <c r="AG48" s="1" t="str">
        <f>IFERROR(IF(VALUE(LEFT(AD48,2))&lt;=2,"EC",IF(OR(VALUE(LEFT(AD48,2))=8,VALUE(LEFT(AD48,2))=18),"NW","Other")),"Other")</f>
        <v>EC</v>
      </c>
      <c r="AH48" s="81" t="str">
        <f t="shared" si="4"/>
        <v>"%USERPROFILE%\Documents\GitHub\eaglep3\Utilities\RefineRTDCRunTimes.py" --tripid 136-03 --locoid 4015 --swversion DE.1.0.9.0 --startMP 204:232965 --initTime 2017-05-03T08:48:25 --startdatetime 2017-05-03T08:56:16 --delay 1 --endMP 204:165 --enddatetime 2017-05-03T09:39:58 --enforcementcount 0 &gt;&gt;C:\Users\stu\Documents\GitHub\eaglep3-reporting\EC\2017-05-03-refined-times.txt</v>
      </c>
      <c r="AI48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{"issue":{"subject":"","project_id":79,"tracker_id":40,"status_id":1,"priority_id":2,"assigned_to_id":23,"start_date":"2017-05-03","description":"","custom_fields":[{"id":1,"name":"Subdivision","value":"EC"},{"id":4,"name":"Milepost","value":"0.0165"},{"id":17,"name":"Train ID","value":"136-03"},{"id":16,"name":"Locomotive ID","value":"4015"},{"id":130,"name":"Impact","value":""},{"id":150,"name":"Time of Event (Mountain Time)","value":"09:39:58"},{"id":151,"name":"Denver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6"/>
        <v>start /low /b %USERPROFILE%\Documents\GitHub\eaglep3\Utilities\DownloadLogsFromS3.py --loco 4015 --day 2017-05-03</v>
      </c>
      <c r="AN48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15:39:58"},{"id":29,"name":"Sharepoint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677</v>
      </c>
      <c r="B49" s="7">
        <v>4018</v>
      </c>
      <c r="C49" s="21" t="s">
        <v>210</v>
      </c>
      <c r="D49" s="21" t="s">
        <v>410</v>
      </c>
      <c r="E49" s="13">
        <v>42858.338877314818</v>
      </c>
      <c r="F49" s="13">
        <v>42858.343958333331</v>
      </c>
      <c r="G49" s="7">
        <v>1</v>
      </c>
      <c r="H49" s="21" t="s">
        <v>471</v>
      </c>
      <c r="I49" s="13">
        <v>42858.368715277778</v>
      </c>
      <c r="J49" s="7">
        <v>0</v>
      </c>
      <c r="K49" s="92" t="str">
        <f>IF(ISEVEN(B49),(B49-1)&amp;"/"&amp;B49,B49&amp;"/"&amp;(B49+1))</f>
        <v>4017/4018</v>
      </c>
      <c r="L49" s="21" t="str">
        <f>VLOOKUP(A49,'Trips&amp;Operators'!$C$1:$G$99999,5,FALSE)</f>
        <v>SANTIZO D. EDY</v>
      </c>
      <c r="M49" s="6">
        <f>I49-F49</f>
        <v>2.4756944447290152E-2</v>
      </c>
      <c r="N49" s="7">
        <f>24*60*SUM($M49:$M49)</f>
        <v>35.650000004097819</v>
      </c>
      <c r="O49" s="7"/>
      <c r="P49" s="7"/>
      <c r="Q49" s="22"/>
      <c r="R49" s="190"/>
      <c r="S49" s="196">
        <f>SUM(U49:U49)/IF(AG49="EC",12,1)</f>
        <v>1</v>
      </c>
      <c r="T49" s="190" t="str">
        <f>IF(ISEVEN(LEFT(AD49,4)),"Southbound","NorthBound")</f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-05-03T07:07:59-0600',mode:absolute,to:'2017-05-03T09:50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9" s="192" t="str">
        <f>IF(AA49&lt;IF(AG49="EC",23,5.65),"Y","N")</f>
        <v>N</v>
      </c>
      <c r="X49" s="192">
        <f>VALUE(LEFT(AD49,4))-VALUE(LEFT(AD48,4))</f>
        <v>1</v>
      </c>
      <c r="Y49" s="192">
        <f>RIGHT(D49,LEN(D49)-4)/10000</f>
        <v>4.6899999999999997E-2</v>
      </c>
      <c r="Z49" s="192">
        <f>RIGHT(H49,LEN(H49)-4)/10000</f>
        <v>23.3308</v>
      </c>
      <c r="AA49" s="192">
        <f>ABS(Z49-Y49)</f>
        <v>23.283899999999999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>IF(LEN(A49)=6,"0"&amp;A49,A49)</f>
        <v>0137-03</v>
      </c>
      <c r="AE49" s="80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 &amp; 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</v>
      </c>
      <c r="AF49" s="77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/stypes="app*4018*20170503*" /stext=" 14:.+((SYSTEM_STATE.+slice.+state.+changed )|(ment ac)|(multiple cpu faults)|(system.+state.+changed )|(\[timeout)|(PRM\|1\|D)|(kpr)|(kdp)|(train st.+moving)|(\|lc)|(penalty))"</v>
      </c>
      <c r="AG49" s="1" t="str">
        <f>IFERROR(IF(VALUE(LEFT(AD49,2))&lt;=2,"EC",IF(OR(VALUE(LEFT(AD49,2))=8,VALUE(LEFT(AD49,2))=18),"NW","Other")),"Other")</f>
        <v>EC</v>
      </c>
      <c r="AH49" s="81" t="str">
        <f t="shared" si="4"/>
        <v>"%USERPROFILE%\Documents\GitHub\eaglep3\Utilities\RefineRTDCRunTimes.py" --tripid 137-03 --locoid 4018 --swversion DE.1.0.9.0 --startMP 204:469 --initTime 2017-05-03T08:07:59 --startdatetime 2017-05-03T08:15:18 --delay 1 --endMP 204:233308 --enddatetime 2017-05-03T08:50:57 --enforcementcount 0 &gt;&gt;C:\Users\stu\Documents\GitHub\eaglep3-reporting\EC\2017-05-03-refined-times.txt</v>
      </c>
      <c r="AI49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{"issue":{"subject":"","project_id":79,"tracker_id":40,"status_id":1,"priority_id":2,"assigned_to_id":23,"start_date":"2017-05-03","description":"","custom_fields":[{"id":1,"name":"Subdivision","value":"EC"},{"id":4,"name":"Milepost","value":"23.3308"},{"id":17,"name":"Train ID","value":"137-03"},{"id":16,"name":"Locomotive ID","value":"4018"},{"id":130,"name":"Impact","value":""},{"id":150,"name":"Time of Event (Mountain Time)","value":"08:50:57"},{"id":151,"name":"Denver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6"/>
        <v>start /low /b %USERPROFILE%\Documents\GitHub\eaglep3\Utilities\DownloadLogsFromS3.py --loco 4018 --day 2017-05-03</v>
      </c>
      <c r="AN49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14:50:57"},{"id":29,"name":"Sharepoint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689</v>
      </c>
      <c r="B50" s="7">
        <v>4017</v>
      </c>
      <c r="C50" s="21" t="s">
        <v>210</v>
      </c>
      <c r="D50" s="21" t="s">
        <v>551</v>
      </c>
      <c r="E50" s="13">
        <v>42858.369791666664</v>
      </c>
      <c r="F50" s="13">
        <v>42858.382800925923</v>
      </c>
      <c r="G50" s="7">
        <v>0</v>
      </c>
      <c r="H50" s="21" t="s">
        <v>197</v>
      </c>
      <c r="I50" s="13">
        <v>42858.411412037036</v>
      </c>
      <c r="J50" s="7">
        <v>0</v>
      </c>
      <c r="K50" s="92" t="str">
        <f>IF(ISEVEN(B50),(B50-1)&amp;"/"&amp;B50,B50&amp;"/"&amp;(B50+1))</f>
        <v>4017/4018</v>
      </c>
      <c r="L50" s="21" t="str">
        <f>VLOOKUP(A50,'Trips&amp;Operators'!$C$1:$G$99999,5,FALSE)</f>
        <v>SANTIZO D. EDY</v>
      </c>
      <c r="M50" s="6">
        <f>I50-F50</f>
        <v>2.8611111112695653E-2</v>
      </c>
      <c r="N50" s="7">
        <f>24*60*SUM($M50:$M50)</f>
        <v>41.20000000228174</v>
      </c>
      <c r="O50" s="7"/>
      <c r="P50" s="7"/>
      <c r="Q50" s="22"/>
      <c r="R50" s="190"/>
      <c r="S50" s="196">
        <f>SUM(U50:U50)/IF(AG50="EC",12,1)</f>
        <v>1</v>
      </c>
      <c r="T50" s="190" t="str">
        <f>IF(ISEVEN(LEFT(AD50,4)),"Southbound","NorthBound")</f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-05-03T07:52:30-0600',mode:absolute,to:'2017-05-03T10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0" s="192" t="str">
        <f>IF(AA50&lt;IF(AG50="EC",23,5.65),"Y","N")</f>
        <v>N</v>
      </c>
      <c r="X50" s="192">
        <f>VALUE(LEFT(AD50,4))-VALUE(LEFT(AD49,4))</f>
        <v>1</v>
      </c>
      <c r="Y50" s="192">
        <f>RIGHT(D50,LEN(D50)-4)/10000</f>
        <v>23.298500000000001</v>
      </c>
      <c r="Z50" s="192">
        <f>RIGHT(H50,LEN(H50)-4)/10000</f>
        <v>1.52E-2</v>
      </c>
      <c r="AA50" s="192">
        <f>ABS(Z50-Y50)</f>
        <v>23.283300000000001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>IF(LEN(A50)=6,"0"&amp;A50,A50)</f>
        <v>0138-03</v>
      </c>
      <c r="AE50" s="80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AF50" s="77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/stypes="app*4017*20170503*" /stext=" 15:.+((SYSTEM_STATE.+slice.+state.+changed )|(ment ac)|(multiple cpu faults)|(system.+state.+changed )|(\[timeout)|(PRM\|1\|D)|(kpr)|(kdp)|(train st.+moving)|(\|lc)|(penalty))"</v>
      </c>
      <c r="AG50" s="1" t="str">
        <f>IFERROR(IF(VALUE(LEFT(AD50,2))&lt;=2,"EC",IF(OR(VALUE(LEFT(AD50,2))=8,VALUE(LEFT(AD50,2))=18),"NW","Other")),"Other")</f>
        <v>EC</v>
      </c>
      <c r="AH50" s="81" t="str">
        <f t="shared" si="4"/>
        <v>"%USERPROFILE%\Documents\GitHub\eaglep3\Utilities\RefineRTDCRunTimes.py" --tripid 138-03 --locoid 4017 --swversion DE.1.0.9.0 --startMP 204:232985 --initTime 2017-05-03T08:52:30 --startdatetime 2017-05-03T09:11:14 --delay 0 --endMP 204:152 --enddatetime 2017-05-03T09:52:26 --enforcementcount 0 &gt;&gt;C:\Users\stu\Documents\GitHub\eaglep3-reporting\EC\2017-05-03-refined-times.txt</v>
      </c>
      <c r="AI50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{"issue":{"subject":"","project_id":79,"tracker_id":40,"status_id":1,"priority_id":2,"assigned_to_id":23,"start_date":"2017-05-03","description":"","custom_fields":[{"id":1,"name":"Subdivision","value":"EC"},{"id":4,"name":"Milepost","value":"0.0152"},{"id":17,"name":"Train ID","value":"138-03"},{"id":16,"name":"Locomotive ID","value":"4017"},{"id":130,"name":"Impact","value":""},{"id":150,"name":"Time of Event (Mountain Time)","value":"09:52:26"},{"id":151,"name":"Denver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6"/>
        <v>start /low /b %USERPROFILE%\Documents\GitHub\eaglep3\Utilities\DownloadLogsFromS3.py --loco 4017 --day 2017-05-03</v>
      </c>
      <c r="AN50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680</v>
      </c>
      <c r="B51" s="7">
        <v>4028</v>
      </c>
      <c r="C51" s="21" t="s">
        <v>210</v>
      </c>
      <c r="D51" s="21" t="s">
        <v>382</v>
      </c>
      <c r="E51" s="13">
        <v>42858.35052083333</v>
      </c>
      <c r="F51" s="13">
        <v>42858.354432870372</v>
      </c>
      <c r="G51" s="7">
        <v>2</v>
      </c>
      <c r="H51" s="21" t="s">
        <v>470</v>
      </c>
      <c r="I51" s="13">
        <v>42858.379687499997</v>
      </c>
      <c r="J51" s="7">
        <v>0</v>
      </c>
      <c r="K51" s="92" t="str">
        <f>IF(ISEVEN(B51),(B51-1)&amp;"/"&amp;B51,B51&amp;"/"&amp;(B51+1))</f>
        <v>4027/4028</v>
      </c>
      <c r="L51" s="21" t="str">
        <f>VLOOKUP(A51,'Trips&amp;Operators'!$C$1:$G$99999,5,FALSE)</f>
        <v>LAMAR NEKESHA</v>
      </c>
      <c r="M51" s="6">
        <f>I51-F51</f>
        <v>2.5254629625123926E-2</v>
      </c>
      <c r="N51" s="7">
        <f>24*60*SUM($M51:$M51)</f>
        <v>36.366666660178453</v>
      </c>
      <c r="O51" s="7"/>
      <c r="P51" s="7"/>
      <c r="Q51" s="22"/>
      <c r="R51" s="190"/>
      <c r="S51" s="196">
        <f>SUM(U51:U51)/IF(AG51="EC",12,1)</f>
        <v>1</v>
      </c>
      <c r="T51" s="190" t="str">
        <f>IF(ISEVEN(LEFT(AD51,4)),"Southbound","NorthBound")</f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-05-03T07:24:45-0600',mode:absolute,to:'2017-05-03T10:06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51" s="192" t="str">
        <f>IF(AA51&lt;IF(AG51="EC",23,5.65),"Y","N")</f>
        <v>N</v>
      </c>
      <c r="X51" s="192">
        <f>VALUE(LEFT(AD51,4))-VALUE(LEFT(AD50,4))</f>
        <v>1</v>
      </c>
      <c r="Y51" s="192">
        <f>RIGHT(D51,LEN(D51)-4)/10000</f>
        <v>4.4600000000000001E-2</v>
      </c>
      <c r="Z51" s="192">
        <f>RIGHT(H51,LEN(H51)-4)/10000</f>
        <v>23.328199999999999</v>
      </c>
      <c r="AA51" s="192">
        <f>ABS(Z51-Y51)</f>
        <v>23.2836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>IF(LEN(A51)=6,"0"&amp;A51,A51)</f>
        <v>0139-03</v>
      </c>
      <c r="AE51" s="80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51" s="77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/stypes="app*4028*20170503*" /stext=" 15:.+((SYSTEM_STATE.+slice.+state.+changed )|(ment ac)|(multiple cpu faults)|(system.+state.+changed )|(\[timeout)|(PRM\|1\|D)|(kpr)|(kdp)|(train st.+moving)|(\|lc)|(penalty))"</v>
      </c>
      <c r="AG51" s="1" t="str">
        <f>IFERROR(IF(VALUE(LEFT(AD51,2))&lt;=2,"EC",IF(OR(VALUE(LEFT(AD51,2))=8,VALUE(LEFT(AD51,2))=18),"NW","Other")),"Other")</f>
        <v>EC</v>
      </c>
      <c r="AH51" s="81" t="str">
        <f t="shared" si="4"/>
        <v>"%USERPROFILE%\Documents\GitHub\eaglep3\Utilities\RefineRTDCRunTimes.py" --tripid 139-03 --locoid 4028 --swversion DE.1.0.9.0 --startMP 204:446 --initTime 2017-05-03T08:24:45 --startdatetime 2017-05-03T08:30:23 --delay 2 --endMP 204:233282 --enddatetime 2017-05-03T09:06:45 --enforcementcount 0 &gt;&gt;C:\Users\stu\Documents\GitHub\eaglep3-reporting\EC\2017-05-03-refined-times.txt</v>
      </c>
      <c r="AI51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{"issue":{"subject":"","project_id":79,"tracker_id":40,"status_id":1,"priority_id":2,"assigned_to_id":23,"start_date":"2017-05-03","description":"","custom_fields":[{"id":1,"name":"Subdivision","value":"EC"},{"id":4,"name":"Milepost","value":"23.3282"},{"id":17,"name":"Train ID","value":"139-03"},{"id":16,"name":"Locomotive ID","value":"4028"},{"id":130,"name":"Impact","value":""},{"id":150,"name":"Time of Event (Mountain Time)","value":"09:06:45"},{"id":151,"name":"Denver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6"/>
        <v>start /low /b %USERPROFILE%\Documents\GitHub\eaglep3\Utilities\DownloadLogsFromS3.py --loco 4028 --day 2017-05-03</v>
      </c>
      <c r="AN51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15:06:45"},{"id":29,"name":"Sharepoint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588</v>
      </c>
      <c r="B52" s="7">
        <v>4027</v>
      </c>
      <c r="C52" s="21" t="s">
        <v>210</v>
      </c>
      <c r="D52" s="21" t="s">
        <v>512</v>
      </c>
      <c r="E52" s="13">
        <v>42858.381909722222</v>
      </c>
      <c r="F52" s="13">
        <v>42858.39340277778</v>
      </c>
      <c r="G52" s="7">
        <v>1</v>
      </c>
      <c r="H52" s="21" t="s">
        <v>859</v>
      </c>
      <c r="I52" s="13">
        <v>42858.423472222225</v>
      </c>
      <c r="J52" s="7">
        <v>0</v>
      </c>
      <c r="K52" s="92" t="str">
        <f>IF(ISEVEN(B52),(B52-1)&amp;"/"&amp;B52,B52&amp;"/"&amp;(B52+1))</f>
        <v>4027/4028</v>
      </c>
      <c r="L52" s="21" t="str">
        <f>VLOOKUP(A52,'Trips&amp;Operators'!$C$1:$G$99999,5,FALSE)</f>
        <v>LAMAR NEKESHA</v>
      </c>
      <c r="M52" s="6">
        <f>I52-F52</f>
        <v>3.0069444444961846E-2</v>
      </c>
      <c r="N52" s="7">
        <f>24*60*SUM($M52:$M52)</f>
        <v>43.300000000745058</v>
      </c>
      <c r="O52" s="7"/>
      <c r="P52" s="7"/>
      <c r="Q52" s="22"/>
      <c r="R52" s="190"/>
      <c r="S52" s="196">
        <f>SUM(U52:U52)/IF(AG52="EC",12,1)</f>
        <v>1</v>
      </c>
      <c r="T52" s="190" t="str">
        <f>IF(ISEVEN(LEFT(AD52,4)),"Southbound","NorthBound")</f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-05-03T08:09:57-0600',mode:absolute,to:'2017-05-03T11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52" s="192" t="str">
        <f>IF(AA52&lt;IF(AG52="EC",23,5.65),"Y","N")</f>
        <v>N</v>
      </c>
      <c r="X52" s="192">
        <f>VALUE(LEFT(AD52,4))-VALUE(LEFT(AD51,4))</f>
        <v>1</v>
      </c>
      <c r="Y52" s="192">
        <f>RIGHT(D52,LEN(D52)-4)/10000</f>
        <v>23.296500000000002</v>
      </c>
      <c r="Z52" s="192">
        <f>RIGHT(H52,LEN(H52)-4)/10000</f>
        <v>1.7000000000000001E-2</v>
      </c>
      <c r="AA52" s="192">
        <f>ABS(Z52-Y52)</f>
        <v>23.279500000000002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>IF(LEN(A52)=6,"0"&amp;A52,A52)</f>
        <v>0140-03</v>
      </c>
      <c r="AE52" s="80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52" s="77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/stypes="app*4027*20170503*" /stext=" 16:.+((SYSTEM_STATE.+slice.+state.+changed )|(ment ac)|(multiple cpu faults)|(system.+state.+changed )|(\[timeout)|(PRM\|1\|D)|(kpr)|(kdp)|(train st.+moving)|(\|lc)|(penalty))"</v>
      </c>
      <c r="AG52" s="1" t="str">
        <f>IFERROR(IF(VALUE(LEFT(AD52,2))&lt;=2,"EC",IF(OR(VALUE(LEFT(AD52,2))=8,VALUE(LEFT(AD52,2))=18),"NW","Other")),"Other")</f>
        <v>EC</v>
      </c>
      <c r="AH52" s="81" t="str">
        <f t="shared" si="4"/>
        <v>"%USERPROFILE%\Documents\GitHub\eaglep3\Utilities\RefineRTDCRunTimes.py" --tripid 140-03 --locoid 4027 --swversion DE.1.0.9.0 --startMP 204:232965 --initTime 2017-05-03T09:09:57 --startdatetime 2017-05-03T09:26:30 --delay 1 --endMP 204:170 --enddatetime 2017-05-03T10:09:48 --enforcementcount 0 &gt;&gt;C:\Users\stu\Documents\GitHub\eaglep3-reporting\EC\2017-05-03-refined-times.txt</v>
      </c>
      <c r="AI52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{"issue":{"subject":"","project_id":79,"tracker_id":40,"status_id":1,"priority_id":2,"assigned_to_id":23,"start_date":"2017-05-03","description":"","custom_fields":[{"id":1,"name":"Subdivision","value":"EC"},{"id":4,"name":"Milepost","value":"0.017"},{"id":17,"name":"Train ID","value":"140-03"},{"id":16,"name":"Locomotive ID","value":"4027"},{"id":130,"name":"Impact","value":""},{"id":150,"name":"Time of Event (Mountain Time)","value":"10:09:48"},{"id":151,"name":"Denver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6"/>
        <v>start /low /b %USERPROFILE%\Documents\GitHub\eaglep3\Utilities\DownloadLogsFromS3.py --loco 4027 --day 2017-05-03</v>
      </c>
      <c r="AN52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16:09:48"},{"id":29,"name":"Sharepoint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585</v>
      </c>
      <c r="B53" s="7">
        <v>4040</v>
      </c>
      <c r="C53" s="21" t="s">
        <v>210</v>
      </c>
      <c r="D53" s="21" t="s">
        <v>428</v>
      </c>
      <c r="E53" s="13">
        <v>42858.360671296294</v>
      </c>
      <c r="F53" s="13">
        <v>42858.364907407406</v>
      </c>
      <c r="G53" s="7">
        <v>1</v>
      </c>
      <c r="H53" s="21" t="s">
        <v>847</v>
      </c>
      <c r="I53" s="13">
        <v>42858.393078703702</v>
      </c>
      <c r="J53" s="7">
        <v>0</v>
      </c>
      <c r="K53" s="92" t="str">
        <f>IF(ISEVEN(B53),(B53-1)&amp;"/"&amp;B53,B53&amp;"/"&amp;(B53+1))</f>
        <v>4039/4040</v>
      </c>
      <c r="L53" s="21" t="str">
        <f>VLOOKUP(A53,'Trips&amp;Operators'!$C$1:$G$99999,5,FALSE)</f>
        <v>BADERTSCHER DIANE</v>
      </c>
      <c r="M53" s="6">
        <f>I53-F53</f>
        <v>2.8171296296932269E-2</v>
      </c>
      <c r="N53" s="7">
        <f>24*60*SUM($M53:$M53)</f>
        <v>40.566666667582467</v>
      </c>
      <c r="O53" s="7"/>
      <c r="P53" s="7"/>
      <c r="Q53" s="22"/>
      <c r="R53" s="190" t="s">
        <v>1029</v>
      </c>
      <c r="S53" s="196">
        <f>SUM(U53:U53)/IF(AG53="EC",12,1)</f>
        <v>1</v>
      </c>
      <c r="T53" s="190" t="str">
        <f>IF(ISEVEN(LEFT(AD53,4)),"Southbound","NorthBound")</f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-05-03T07:39:22-0600',mode:absolute,to:'2017-05-03T10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3" s="192" t="str">
        <f>IF(AA53&lt;IF(AG53="EC",23,5.65),"Y","N")</f>
        <v>N</v>
      </c>
      <c r="X53" s="192">
        <f>VALUE(LEFT(AD53,4))-VALUE(LEFT(AD52,4))</f>
        <v>1</v>
      </c>
      <c r="Y53" s="192">
        <f>RIGHT(D53,LEN(D53)-4)/10000</f>
        <v>4.3499999999999997E-2</v>
      </c>
      <c r="Z53" s="192">
        <f>RIGHT(H53,LEN(H53)-4)/10000</f>
        <v>23.333400000000001</v>
      </c>
      <c r="AA53" s="192">
        <f>ABS(Z53-Y53)</f>
        <v>23.289899999999999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>IF(LEN(A53)=6,"0"&amp;A53,A53)</f>
        <v>0141-03</v>
      </c>
      <c r="AE53" s="80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AF53" s="77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/stypes="app*4040*20170503*" /stext=" 15:.+((SYSTEM_STATE.+slice.+state.+changed )|(ment ac)|(multiple cpu faults)|(system.+state.+changed )|(\[timeout)|(PRM\|1\|D)|(kpr)|(kdp)|(train st.+moving)|(\|lc)|(penalty))"</v>
      </c>
      <c r="AG53" s="1" t="str">
        <f>IFERROR(IF(VALUE(LEFT(AD53,2))&lt;=2,"EC",IF(OR(VALUE(LEFT(AD53,2))=8,VALUE(LEFT(AD53,2))=18),"NW","Other")),"Other")</f>
        <v>EC</v>
      </c>
      <c r="AH53" s="81" t="str">
        <f t="shared" si="4"/>
        <v>"%USERPROFILE%\Documents\GitHub\eaglep3\Utilities\RefineRTDCRunTimes.py" --tripid 141-03 --locoid 4040 --swversion DE.1.0.9.0 --startMP 204:435 --initTime 2017-05-03T08:39:22 --startdatetime 2017-05-03T08:45:28 --delay 1 --endMP 204:233334 --enddatetime 2017-05-03T09:26:02 --enforcementcount 0 &gt;&gt;C:\Users\stu\Documents\GitHub\eaglep3-reporting\EC\2017-05-03-refined-times.txt</v>
      </c>
      <c r="AI53" s="99" t="str">
        <f t="shared" si="5"/>
        <v>echo {"issue":{"subject":"Unhealthy crossing prompt due to Wi-MAX data drop","project_id":79,"tracker_id":40,"status_id":1,"priority_id":2,"assigned_to_id":23,"start_date":"2017-05-03","description":"","custom_fields":[{"id":1,"name":"Subdivision","value":"EC"},{"id":4,"name":"Milepost","value":"23.3334"},{"id":17,"name":"Train ID","value":"141-03"},{"id":16,"name":"Locomotive ID","value":"4040"},{"id":130,"name":"Impact","value":""},{"id":150,"name":"Time of Event (Mountain Time)","value":"09:26:02"},{"id":151,"name":"Denver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6"/>
        <v>start /low /b %USERPROFILE%\Documents\GitHub\eaglep3\Utilities\DownloadLogsFromS3.py --loco 4040 --day 2017-05-03</v>
      </c>
      <c r="AN53" s="154" t="str">
        <f t="shared" si="7"/>
        <v>echo {"issue":{"subject":"Unhealthy crossing prompt due to Wi-MAX data drop","project_id":30,"tracker_id":4,"status_id":1,"priority_id":1,"assigned_to_id":10,"start_date":"2017-05-03","description":"","custom_fields":[{"id":30,"name":"Category","value":"Issue"},{"id":3,"name":"Functional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15:26:02"},{"id":29,"name":"Sharepoint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693</v>
      </c>
      <c r="B54" s="7">
        <v>4039</v>
      </c>
      <c r="C54" s="21" t="s">
        <v>210</v>
      </c>
      <c r="D54" s="21" t="s">
        <v>860</v>
      </c>
      <c r="E54" s="13">
        <v>42858.396296296298</v>
      </c>
      <c r="F54" s="13">
        <v>42858.403877314813</v>
      </c>
      <c r="G54" s="7">
        <v>1</v>
      </c>
      <c r="H54" s="21" t="s">
        <v>859</v>
      </c>
      <c r="I54" s="13">
        <v>42858.431087962963</v>
      </c>
      <c r="J54" s="7">
        <v>0</v>
      </c>
      <c r="K54" s="92" t="str">
        <f>IF(ISEVEN(B54),(B54-1)&amp;"/"&amp;B54,B54&amp;"/"&amp;(B54+1))</f>
        <v>4039/4040</v>
      </c>
      <c r="L54" s="21" t="str">
        <f>VLOOKUP(A54,'Trips&amp;Operators'!$C$1:$G$99999,5,FALSE)</f>
        <v>BADERTSCHER DIANE</v>
      </c>
      <c r="M54" s="6">
        <f>I54-F54</f>
        <v>2.7210648149775807E-2</v>
      </c>
      <c r="N54" s="7">
        <f>24*60*SUM($M54:$M54)</f>
        <v>39.183333335677162</v>
      </c>
      <c r="O54" s="7"/>
      <c r="P54" s="7"/>
      <c r="Q54" s="22"/>
      <c r="R54" s="190"/>
      <c r="S54" s="196">
        <f>SUM(U54:U54)/IF(AG54="EC",12,1)</f>
        <v>1</v>
      </c>
      <c r="T54" s="190" t="str">
        <f>IF(ISEVEN(LEFT(AD54,4)),"Southbound","NorthBound")</f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-05-03T08:30:40-0600',mode:absolute,to:'2017-05-03T11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4" s="192" t="str">
        <f>IF(AA54&lt;IF(AG54="EC",23,5.65),"Y","N")</f>
        <v>N</v>
      </c>
      <c r="X54" s="192">
        <f>VALUE(LEFT(AD54,4))-VALUE(LEFT(AD53,4))</f>
        <v>1</v>
      </c>
      <c r="Y54" s="192">
        <f>RIGHT(D54,LEN(D54)-4)/10000</f>
        <v>23.301500000000001</v>
      </c>
      <c r="Z54" s="192">
        <f>RIGHT(H54,LEN(H54)-4)/10000</f>
        <v>1.7000000000000001E-2</v>
      </c>
      <c r="AA54" s="192">
        <f>ABS(Z54-Y54)</f>
        <v>23.284500000000001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>IF(LEN(A54)=6,"0"&amp;A54,A54)</f>
        <v>0142-03</v>
      </c>
      <c r="AE54" s="80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54" s="77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/stypes="app*4039*20170503*" /stext=" 16:.+((SYSTEM_STATE.+slice.+state.+changed )|(ment ac)|(multiple cpu faults)|(system.+state.+changed )|(\[timeout)|(PRM\|1\|D)|(kpr)|(kdp)|(train st.+moving)|(\|lc)|(penalty))"</v>
      </c>
      <c r="AG54" s="1" t="str">
        <f>IFERROR(IF(VALUE(LEFT(AD54,2))&lt;=2,"EC",IF(OR(VALUE(LEFT(AD54,2))=8,VALUE(LEFT(AD54,2))=18),"NW","Other")),"Other")</f>
        <v>EC</v>
      </c>
      <c r="AH54" s="81" t="str">
        <f t="shared" si="4"/>
        <v>"%USERPROFILE%\Documents\GitHub\eaglep3\Utilities\RefineRTDCRunTimes.py" --tripid 142-03 --locoid 4039 --swversion DE.1.0.9.0 --startMP 204:233015 --initTime 2017-05-03T09:30:40 --startdatetime 2017-05-03T09:41:35 --delay 1 --endMP 204:170 --enddatetime 2017-05-03T10:20:46 --enforcementcount 0 &gt;&gt;C:\Users\stu\Documents\GitHub\eaglep3-reporting\EC\2017-05-03-refined-times.txt</v>
      </c>
      <c r="AI54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{"issue":{"subject":"","project_id":79,"tracker_id":40,"status_id":1,"priority_id":2,"assigned_to_id":23,"start_date":"2017-05-03","description":"","custom_fields":[{"id":1,"name":"Subdivision","value":"EC"},{"id":4,"name":"Milepost","value":"0.017"},{"id":17,"name":"Train ID","value":"142-03"},{"id":16,"name":"Locomotive ID","value":"4039"},{"id":130,"name":"Impact","value":""},{"id":150,"name":"Time of Event (Mountain Time)","value":"10:20:46"},{"id":151,"name":"Denver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6"/>
        <v>start /low /b %USERPROFILE%\Documents\GitHub\eaglep3\Utilities\DownloadLogsFromS3.py --loco 4039 --day 2017-05-03</v>
      </c>
      <c r="AN54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685</v>
      </c>
      <c r="B55" s="7">
        <v>4054</v>
      </c>
      <c r="C55" s="21" t="s">
        <v>210</v>
      </c>
      <c r="D55" s="21" t="s">
        <v>409</v>
      </c>
      <c r="E55" s="13">
        <v>42858.36855324074</v>
      </c>
      <c r="F55" s="13">
        <v>42858.374560185184</v>
      </c>
      <c r="G55" s="7">
        <v>1</v>
      </c>
      <c r="H55" s="21" t="s">
        <v>511</v>
      </c>
      <c r="I55" s="13">
        <v>42858.402777777781</v>
      </c>
      <c r="J55" s="7">
        <v>0</v>
      </c>
      <c r="K55" s="92" t="str">
        <f>IF(ISEVEN(B55),(B55-1)&amp;"/"&amp;B55,B55&amp;"/"&amp;(B55+1))</f>
        <v>4053/4054</v>
      </c>
      <c r="L55" s="21" t="str">
        <f>VLOOKUP(A55,'Trips&amp;Operators'!$C$1:$G$99999,5,FALSE)</f>
        <v>SNYDER PETER</v>
      </c>
      <c r="M55" s="6">
        <f>I55-F55</f>
        <v>2.8217592596774921E-2</v>
      </c>
      <c r="N55" s="7">
        <f>24*60*SUM($M55:$M55)</f>
        <v>40.633333339355886</v>
      </c>
      <c r="O55" s="7"/>
      <c r="P55" s="7"/>
      <c r="Q55" s="22"/>
      <c r="R55" s="190" t="s">
        <v>1029</v>
      </c>
      <c r="S55" s="196">
        <f>SUM(U55:U55)/IF(AG55="EC",12,1)</f>
        <v>1</v>
      </c>
      <c r="T55" s="190" t="str">
        <f>IF(ISEVEN(LEFT(AD55,4)),"Southbound","NorthBound")</f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-05-03T07:50:43-0600',mode:absolute,to:'2017-05-03T10:40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5" s="192" t="str">
        <f>IF(AA55&lt;IF(AG55="EC",23,5.65),"Y","N")</f>
        <v>N</v>
      </c>
      <c r="X55" s="192">
        <f>VALUE(LEFT(AD55,4))-VALUE(LEFT(AD54,4))</f>
        <v>1</v>
      </c>
      <c r="Y55" s="192">
        <f>RIGHT(D55,LEN(D55)-4)/10000</f>
        <v>4.6600000000000003E-2</v>
      </c>
      <c r="Z55" s="192">
        <f>RIGHT(H55,LEN(H55)-4)/10000</f>
        <v>23.3291</v>
      </c>
      <c r="AA55" s="192">
        <f>ABS(Z55-Y55)</f>
        <v>23.282499999999999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>IF(LEN(A55)=6,"0"&amp;A55,A55)</f>
        <v>0143-03</v>
      </c>
      <c r="AE55" s="80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 &amp; 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</v>
      </c>
      <c r="AF55" s="77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/stypes="app*4054*20170503*" /stext=" 15:.+((SYSTEM_STATE.+slice.+state.+changed )|(ment ac)|(multiple cpu faults)|(system.+state.+changed )|(\[timeout)|(PRM\|1\|D)|(kpr)|(kdp)|(train st.+moving)|(\|lc)|(penalty))"</v>
      </c>
      <c r="AG55" s="1" t="str">
        <f>IFERROR(IF(VALUE(LEFT(AD55,2))&lt;=2,"EC",IF(OR(VALUE(LEFT(AD55,2))=8,VALUE(LEFT(AD55,2))=18),"NW","Other")),"Other")</f>
        <v>EC</v>
      </c>
      <c r="AH55" s="81" t="str">
        <f t="shared" si="4"/>
        <v>"%USERPROFILE%\Documents\GitHub\eaglep3\Utilities\RefineRTDCRunTimes.py" --tripid 143-03 --locoid 4054 --swversion DE.1.0.9.0 --startMP 204:466 --initTime 2017-05-03T08:50:43 --startdatetime 2017-05-03T08:59:22 --delay 1 --endMP 204:233291 --enddatetime 2017-05-03T09:40:00 --enforcementcount 0 &gt;&gt;C:\Users\stu\Documents\GitHub\eaglep3-reporting\EC\2017-05-03-refined-times.txt</v>
      </c>
      <c r="AI55" s="99" t="str">
        <f t="shared" si="5"/>
        <v>echo {"issue":{"subject":"Unhealthy crossing prompt due to Wi-MAX data drop","project_id":79,"tracker_id":40,"status_id":1,"priority_id":2,"assigned_to_id":23,"start_date":"2017-05-03","description":"","custom_fields":[{"id":1,"name":"Subdivision","value":"EC"},{"id":4,"name":"Milepost","value":"23.3291"},{"id":17,"name":"Train ID","value":"143-03"},{"id":16,"name":"Locomotive ID","value":"4054"},{"id":130,"name":"Impact","value":""},{"id":150,"name":"Time of Event (Mountain Time)","value":"09:40:00"},{"id":151,"name":"Denver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6"/>
        <v>start /low /b %USERPROFILE%\Documents\GitHub\eaglep3\Utilities\DownloadLogsFromS3.py --loco 4054 --day 2017-05-03</v>
      </c>
      <c r="AN55" s="154" t="str">
        <f t="shared" si="7"/>
        <v>echo {"issue":{"subject":"Unhealthy crossing prompt due to Wi-MAX data drop","project_id":30,"tracker_id":4,"status_id":1,"priority_id":1,"assigned_to_id":10,"start_date":"2017-05-03","description":"","custom_fields":[{"id":30,"name":"Category","value":"Issue"},{"id":3,"name":"Functional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15:40:00"},{"id":29,"name":"Sharepoint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589</v>
      </c>
      <c r="B56" s="7">
        <v>4053</v>
      </c>
      <c r="C56" s="21" t="s">
        <v>210</v>
      </c>
      <c r="D56" s="21" t="s">
        <v>861</v>
      </c>
      <c r="E56" s="13">
        <v>42858.431377314817</v>
      </c>
      <c r="F56" s="13">
        <v>42858.432152777779</v>
      </c>
      <c r="G56" s="7">
        <v>0</v>
      </c>
      <c r="H56" s="21" t="s">
        <v>406</v>
      </c>
      <c r="I56" s="13">
        <v>42858.452418981484</v>
      </c>
      <c r="J56" s="7">
        <v>0</v>
      </c>
      <c r="K56" s="92" t="str">
        <f>IF(ISEVEN(B56),(B56-1)&amp;"/"&amp;B56,B56&amp;"/"&amp;(B56+1))</f>
        <v>4053/4054</v>
      </c>
      <c r="L56" s="21" t="str">
        <f>VLOOKUP(A56,'Trips&amp;Operators'!$C$1:$G$99999,5,FALSE)</f>
        <v>PELLITIER GEORGE</v>
      </c>
      <c r="M56" s="6">
        <f>I56-F56</f>
        <v>2.0266203704522923E-2</v>
      </c>
      <c r="N56" s="7">
        <f>24*60*SUM($M56:$M56)</f>
        <v>29.183333334513009</v>
      </c>
      <c r="O56" s="7"/>
      <c r="P56" s="7"/>
      <c r="Q56" s="22"/>
      <c r="R56" s="190" t="s">
        <v>1023</v>
      </c>
      <c r="S56" s="196">
        <f>SUM(U56:U56)/IF(AG56="EC",12,1)</f>
        <v>1</v>
      </c>
      <c r="T56" s="190" t="str">
        <f>IF(ISEVEN(LEFT(AD56,4)),"Southbound","NorthBound")</f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-05-03T09:21:11-0600',mode:absolute,to:'2017-05-03T11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6" s="192" t="str">
        <f>IF(AA56&lt;IF(AG56="EC",23,5.65),"Y","N")</f>
        <v>Y</v>
      </c>
      <c r="X56" s="192">
        <f>VALUE(LEFT(AD56,4))-VALUE(LEFT(AD55,4))</f>
        <v>1</v>
      </c>
      <c r="Y56" s="192">
        <f>RIGHT(D56,LEN(D56)-4)/10000</f>
        <v>15.374000000000001</v>
      </c>
      <c r="Z56" s="192">
        <f>RIGHT(H56,LEN(H56)-4)/10000</f>
        <v>1.49E-2</v>
      </c>
      <c r="AA56" s="192">
        <f>ABS(Z56-Y56)</f>
        <v>15.3591</v>
      </c>
      <c r="AB56" s="57" t="e">
        <f>VLOOKUP(A56,Enforcements!$C$7:$K$13,8,0)</f>
        <v>#N/A</v>
      </c>
      <c r="AC56" s="53" t="e">
        <f>VLOOKUP(A56,Enforcements!$C$7:$E$13,3,0)</f>
        <v>#N/A</v>
      </c>
      <c r="AD56" s="54" t="str">
        <f>IF(LEN(A56)=6,"0"&amp;A56,A56)</f>
        <v>0144-03</v>
      </c>
      <c r="AE56" s="80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56" s="77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/stypes="app*4053*20170503*" /stext=" 16:.+((SYSTEM_STATE.+slice.+state.+changed )|(ment ac)|(multiple cpu faults)|(system.+state.+changed )|(\[timeout)|(PRM\|1\|D)|(kpr)|(kdp)|(train st.+moving)|(\|lc)|(penalty))"</v>
      </c>
      <c r="AG56" s="1" t="str">
        <f>IFERROR(IF(VALUE(LEFT(AD56,2))&lt;=2,"EC",IF(OR(VALUE(LEFT(AD56,2))=8,VALUE(LEFT(AD56,2))=18),"NW","Other")),"Other")</f>
        <v>EC</v>
      </c>
      <c r="AH56" s="81" t="str">
        <f t="shared" si="4"/>
        <v>"%USERPROFILE%\Documents\GitHub\eaglep3\Utilities\RefineRTDCRunTimes.py" --tripid 144-03 --locoid 4053 --swversion DE.1.0.9.0 --startMP 204:153740 --initTime 2017-05-03T10:21:11 --startdatetime 2017-05-03T10:22:18 --delay 0 --endMP 204:149 --enddatetime 2017-05-03T10:51:29 --enforcementcount 0 &gt;&gt;C:\Users\stu\Documents\GitHub\eaglep3-reporting\EC\2017-05-03-refined-times.txt</v>
      </c>
      <c r="AI56" s="99" t="str">
        <f t="shared" si="5"/>
        <v>echo {"issue":{"subject":"PSS Test","project_id":79,"tracker_id":40,"status_id":1,"priority_id":2,"assigned_to_id":23,"start_date":"2017-05-03","description":"","custom_fields":[{"id":1,"name":"Subdivision","value":"EC"},{"id":4,"name":"Milepost","value":"0.0149"},{"id":17,"name":"Train ID","value":"144-03"},{"id":16,"name":"Locomotive ID","value":"4053"},{"id":130,"name":"Impact","value":""},{"id":150,"name":"Time of Event (Mountain Time)","value":"10:51:29"},{"id":151,"name":"Denver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6"/>
        <v>start /low /b %USERPROFILE%\Documents\GitHub\eaglep3\Utilities\DownloadLogsFromS3.py --loco 4053 --day 2017-05-03</v>
      </c>
      <c r="AN56" s="154" t="str">
        <f t="shared" si="7"/>
        <v>echo {"issue":{"subject":"PSS Test","project_id":30,"tracker_id":4,"status_id":1,"priority_id":1,"assigned_to_id":10,"start_date":"2017-05-03","description":"","custom_fields":[{"id":30,"name":"Category","value":"Issue"},{"id":3,"name":"Functional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589</v>
      </c>
      <c r="B57" s="7">
        <v>4053</v>
      </c>
      <c r="C57" s="21" t="s">
        <v>210</v>
      </c>
      <c r="D57" s="21" t="s">
        <v>430</v>
      </c>
      <c r="E57" s="13">
        <v>42858.412789351853</v>
      </c>
      <c r="F57" s="13">
        <v>42858.432152777779</v>
      </c>
      <c r="G57" s="7">
        <v>1</v>
      </c>
      <c r="H57" s="21" t="s">
        <v>862</v>
      </c>
      <c r="I57" s="13">
        <v>42858.452418981484</v>
      </c>
      <c r="J57" s="7">
        <v>0</v>
      </c>
      <c r="K57" s="92" t="str">
        <f>IF(ISEVEN(B57),(B57-1)&amp;"/"&amp;B57,B57&amp;"/"&amp;(B57+1))</f>
        <v>4053/4054</v>
      </c>
      <c r="L57" s="21" t="str">
        <f>VLOOKUP(A57,'Trips&amp;Operators'!$C$1:$G$99999,5,FALSE)</f>
        <v>PELLITIER GEORGE</v>
      </c>
      <c r="M57" s="6">
        <f>I57-F57</f>
        <v>2.0266203704522923E-2</v>
      </c>
      <c r="N57" s="7"/>
      <c r="O57" s="7"/>
      <c r="P57" s="7"/>
      <c r="Q57" s="22"/>
      <c r="R57" s="190"/>
      <c r="S57" s="196"/>
      <c r="T57" s="190" t="str">
        <f>IF(ISEVEN(LEFT(AD57,4)),"Southbound","NorthBound")</f>
        <v>Southbound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0</v>
      </c>
      <c r="V57" s="191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-05-03T08:54:25-0600',mode:absolute,to:'2017-05-03T11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7" s="192" t="str">
        <f>IF(AA57&lt;IF(AG57="EC",23,5.65),"Y","N")</f>
        <v>Y</v>
      </c>
      <c r="X57" s="192">
        <f>VALUE(LEFT(AD57,4))-VALUE(LEFT(AD56,4))</f>
        <v>0</v>
      </c>
      <c r="Y57" s="192">
        <f>RIGHT(D57,LEN(D57)-4)/10000</f>
        <v>23.2973</v>
      </c>
      <c r="Z57" s="192">
        <f>RIGHT(H57,LEN(H57)-4)/10000</f>
        <v>18.163799999999998</v>
      </c>
      <c r="AA57" s="192">
        <f>ABS(Z57-Y57)</f>
        <v>5.1335000000000015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>IF(LEN(A57)=6,"0"&amp;A57,A57)</f>
        <v>0144-03</v>
      </c>
      <c r="AE57" s="80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57" s="77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/stypes="app*4053*20170503*" /stext=" 16:.+((SYSTEM_STATE.+slice.+state.+changed )|(ment ac)|(multiple cpu faults)|(system.+state.+changed )|(\[timeout)|(PRM\|1\|D)|(kpr)|(kdp)|(train st.+moving)|(\|lc)|(penalty))"</v>
      </c>
      <c r="AG57" s="1" t="str">
        <f>IFERROR(IF(VALUE(LEFT(AD57,2))&lt;=2,"EC",IF(OR(VALUE(LEFT(AD57,2))=8,VALUE(LEFT(AD57,2))=18),"NW","Other")),"Other")</f>
        <v>EC</v>
      </c>
      <c r="AH57" s="81" t="str">
        <f t="shared" si="4"/>
        <v>"%USERPROFILE%\Documents\GitHub\eaglep3\Utilities\RefineRTDCRunTimes.py" --tripid 144-03 --locoid 4053 --swversion DE.1.0.9.0 --startMP 204:232973 --initTime 2017-05-03T09:54:25 --startdatetime 2017-05-03T10:22:18 --delay 1 --endMP 204:181638 --enddatetime 2017-05-03T10:51:29 --enforcementcount 0 &gt;&gt;C:\Users\stu\Documents\GitHub\eaglep3-reporting\EC\2017-05-03-refined-times.txt</v>
      </c>
      <c r="AI57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{"issue":{"subject":"","project_id":79,"tracker_id":40,"status_id":1,"priority_id":2,"assigned_to_id":23,"start_date":"2017-05-03","description":"","custom_fields":[{"id":1,"name":"Subdivision","value":"EC"},{"id":4,"name":"Milepost","value":"18.1638"},{"id":17,"name":"Train ID","value":"144-03"},{"id":16,"name":"Locomotive ID","value":"4053"},{"id":130,"name":"Impact","value":""},{"id":150,"name":"Time of Event (Mountain Time)","value":"10:51:29"},{"id":151,"name":"Denver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6"/>
        <v>start /low /b %USERPROFILE%\Documents\GitHub\eaglep3\Utilities\DownloadLogsFromS3.py --loco 4053 --day 2017-05-03</v>
      </c>
      <c r="AN57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690</v>
      </c>
      <c r="B58" s="7">
        <v>4024</v>
      </c>
      <c r="C58" s="21" t="s">
        <v>210</v>
      </c>
      <c r="D58" s="21" t="s">
        <v>863</v>
      </c>
      <c r="E58" s="13">
        <v>42858.382685185185</v>
      </c>
      <c r="F58" s="13">
        <v>42858.385775462964</v>
      </c>
      <c r="G58" s="7">
        <v>1</v>
      </c>
      <c r="H58" s="21" t="s">
        <v>545</v>
      </c>
      <c r="I58" s="13">
        <v>42858.410451388889</v>
      </c>
      <c r="J58" s="7">
        <v>0</v>
      </c>
      <c r="K58" s="92" t="str">
        <f>IF(ISEVEN(B58),(B58-1)&amp;"/"&amp;B58,B58&amp;"/"&amp;(B58+1))</f>
        <v>4023/4024</v>
      </c>
      <c r="L58" s="21" t="str">
        <f>VLOOKUP(A58,'Trips&amp;Operators'!$C$1:$G$99999,5,FALSE)</f>
        <v>MAELZER KURT</v>
      </c>
      <c r="M58" s="6">
        <f>I58-F58</f>
        <v>2.4675925924384501E-2</v>
      </c>
      <c r="N58" s="7">
        <f>24*60*SUM($M58:$M58)</f>
        <v>35.533333331113681</v>
      </c>
      <c r="O58" s="7"/>
      <c r="P58" s="7"/>
      <c r="Q58" s="22"/>
      <c r="R58" s="190"/>
      <c r="S58" s="196">
        <f>SUM(U58:U58)/IF(AG58="EC",12,1)</f>
        <v>1</v>
      </c>
      <c r="T58" s="190" t="str">
        <f>IF(ISEVEN(LEFT(AD58,4)),"Southbound","NorthBound")</f>
        <v>NorthBound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-05-03T08:11:04-0600',mode:absolute,to:'2017-05-03T10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8" s="192" t="str">
        <f>IF(AA58&lt;IF(AG58="EC",23,5.65),"Y","N")</f>
        <v>N</v>
      </c>
      <c r="X58" s="192">
        <f>VALUE(LEFT(AD58,4))-VALUE(LEFT(AD57,4))</f>
        <v>1</v>
      </c>
      <c r="Y58" s="192">
        <f>RIGHT(D58,LEN(D58)-4)/10000</f>
        <v>4.3299999999999998E-2</v>
      </c>
      <c r="Z58" s="192">
        <f>RIGHT(H58,LEN(H58)-4)/10000</f>
        <v>23.331900000000001</v>
      </c>
      <c r="AA58" s="192">
        <f>ABS(Z58-Y58)</f>
        <v>23.288600000000002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>IF(LEN(A58)=6,"0"&amp;A58,A58)</f>
        <v>0145-03</v>
      </c>
      <c r="AE58" s="80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AF58" s="77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/stypes="app*4024*20170503*" /stext=" 15:.+((SYSTEM_STATE.+slice.+state.+changed )|(ment ac)|(multiple cpu faults)|(system.+state.+changed )|(\[timeout)|(PRM\|1\|D)|(kpr)|(kdp)|(train st.+moving)|(\|lc)|(penalty))"</v>
      </c>
      <c r="AG58" s="1" t="str">
        <f>IFERROR(IF(VALUE(LEFT(AD58,2))&lt;=2,"EC",IF(OR(VALUE(LEFT(AD58,2))=8,VALUE(LEFT(AD58,2))=18),"NW","Other")),"Other")</f>
        <v>EC</v>
      </c>
      <c r="AH58" s="81" t="str">
        <f t="shared" si="4"/>
        <v>"%USERPROFILE%\Documents\GitHub\eaglep3\Utilities\RefineRTDCRunTimes.py" --tripid 145-03 --locoid 4024 --swversion DE.1.0.9.0 --startMP 204:433 --initTime 2017-05-03T09:11:04 --startdatetime 2017-05-03T09:15:31 --delay 1 --endMP 204:233319 --enddatetime 2017-05-03T09:51:03 --enforcementcount 0 &gt;&gt;C:\Users\stu\Documents\GitHub\eaglep3-reporting\EC\2017-05-03-refined-times.txt</v>
      </c>
      <c r="AI58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{"issue":{"subject":"","project_id":79,"tracker_id":40,"status_id":1,"priority_id":2,"assigned_to_id":23,"start_date":"2017-05-03","description":"","custom_fields":[{"id":1,"name":"Subdivision","value":"EC"},{"id":4,"name":"Milepost","value":"23.3319"},{"id":17,"name":"Train ID","value":"145-03"},{"id":16,"name":"Locomotive ID","value":"4024"},{"id":130,"name":"Impact","value":""},{"id":150,"name":"Time of Event (Mountain Time)","value":"09:51:03"},{"id":151,"name":"Denver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6"/>
        <v>start /low /b %USERPROFILE%\Documents\GitHub\eaglep3\Utilities\DownloadLogsFromS3.py --loco 4024 --day 2017-05-03</v>
      </c>
      <c r="AN58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595</v>
      </c>
      <c r="B59" s="7">
        <v>4023</v>
      </c>
      <c r="C59" s="21" t="s">
        <v>210</v>
      </c>
      <c r="D59" s="21" t="s">
        <v>850</v>
      </c>
      <c r="E59" s="13">
        <v>42858.41474537037</v>
      </c>
      <c r="F59" s="13">
        <v>42858.42459490741</v>
      </c>
      <c r="G59" s="7">
        <v>0</v>
      </c>
      <c r="H59" s="21" t="s">
        <v>864</v>
      </c>
      <c r="I59" s="13">
        <v>42858.462789351855</v>
      </c>
      <c r="J59" s="7">
        <v>0</v>
      </c>
      <c r="K59" s="92" t="str">
        <f>IF(ISEVEN(B59),(B59-1)&amp;"/"&amp;B59,B59&amp;"/"&amp;(B59+1))</f>
        <v>4023/4024</v>
      </c>
      <c r="L59" s="21" t="str">
        <f>VLOOKUP(A59,'Trips&amp;Operators'!$C$1:$G$99999,5,FALSE)</f>
        <v>MAELZER KURT</v>
      </c>
      <c r="M59" s="6">
        <f>I59-F59</f>
        <v>3.8194444445252884E-2</v>
      </c>
      <c r="N59" s="7">
        <f>24*60*SUM($M59:$M59)</f>
        <v>55.000000001164153</v>
      </c>
      <c r="O59" s="7"/>
      <c r="P59" s="7"/>
      <c r="Q59" s="22"/>
      <c r="R59" s="190" t="s">
        <v>1024</v>
      </c>
      <c r="S59" s="196">
        <f>SUM(U59:U59)/IF(AG59="EC",12,1)</f>
        <v>1</v>
      </c>
      <c r="T59" s="190" t="str">
        <f>IF(ISEVEN(LEFT(AD59,4)),"Southbound","NorthBound")</f>
        <v>Southbound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-05-03T08:57:14-0600',mode:absolute,to:'2017-05-03T12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9" s="192" t="str">
        <f>IF(AA59&lt;IF(AG59="EC",23,5.65),"Y","N")</f>
        <v>N</v>
      </c>
      <c r="X59" s="192">
        <f>VALUE(LEFT(AD59,4))-VALUE(LEFT(AD58,4))</f>
        <v>1</v>
      </c>
      <c r="Y59" s="192">
        <f>RIGHT(D59,LEN(D59)-4)/10000</f>
        <v>23.300999999999998</v>
      </c>
      <c r="Z59" s="192">
        <f>RIGHT(H59,LEN(H59)-4)/10000</f>
        <v>0.1162</v>
      </c>
      <c r="AA59" s="192">
        <f>ABS(Z59-Y59)</f>
        <v>23.184799999999999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>IF(LEN(A59)=6,"0"&amp;A59,A59)</f>
        <v>0146-03</v>
      </c>
      <c r="AE59" s="80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59" s="77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/stypes="app*4023*20170503*" /stext=" 17:.+((SYSTEM_STATE.+slice.+state.+changed )|(ment ac)|(multiple cpu faults)|(system.+state.+changed )|(\[timeout)|(PRM\|1\|D)|(kpr)|(kdp)|(train st.+moving)|(\|lc)|(penalty))"</v>
      </c>
      <c r="AG59" s="1" t="str">
        <f>IFERROR(IF(VALUE(LEFT(AD59,2))&lt;=2,"EC",IF(OR(VALUE(LEFT(AD59,2))=8,VALUE(LEFT(AD59,2))=18),"NW","Other")),"Other")</f>
        <v>EC</v>
      </c>
      <c r="AH59" s="81" t="str">
        <f t="shared" si="4"/>
        <v>"%USERPROFILE%\Documents\GitHub\eaglep3\Utilities\RefineRTDCRunTimes.py" --tripid 146-03 --locoid 4023 --swversion DE.1.0.9.0 --startMP 204:233010 --initTime 2017-05-03T09:57:14 --startdatetime 2017-05-03T10:11:25 --delay 0 --endMP 204:1162 --enddatetime 2017-05-03T11:06:25 --enforcementcount 0 &gt;&gt;C:\Users\stu\Documents\GitHub\eaglep3-reporting\EC\2017-05-03-refined-times.txt</v>
      </c>
      <c r="AI59" s="99" t="str">
        <f t="shared" si="5"/>
        <v>echo {"issue":{"subject":"Slowed by trip 144 PSS Test","project_id":79,"tracker_id":40,"status_id":1,"priority_id":2,"assigned_to_id":23,"start_date":"2017-05-03","description":"","custom_fields":[{"id":1,"name":"Subdivision","value":"EC"},{"id":4,"name":"Milepost","value":"0.1162"},{"id":17,"name":"Train ID","value":"146-03"},{"id":16,"name":"Locomotive ID","value":"4023"},{"id":130,"name":"Impact","value":""},{"id":150,"name":"Time of Event (Mountain Time)","value":"11:06:25"},{"id":151,"name":"Denver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6"/>
        <v>start /low /b %USERPROFILE%\Documents\GitHub\eaglep3\Utilities\DownloadLogsFromS3.py --loco 4023 --day 2017-05-03</v>
      </c>
      <c r="AN59" s="154" t="str">
        <f t="shared" si="7"/>
        <v>echo {"issue":{"subject":"Slowed by trip 144 PSS Test","project_id":30,"tracker_id":4,"status_id":1,"priority_id":1,"assigned_to_id":10,"start_date":"2017-05-03","description":"","custom_fields":[{"id":30,"name":"Category","value":"Issue"},{"id":3,"name":"Functional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692</v>
      </c>
      <c r="B60" s="7">
        <v>4030</v>
      </c>
      <c r="C60" s="21" t="s">
        <v>210</v>
      </c>
      <c r="D60" s="21" t="s">
        <v>446</v>
      </c>
      <c r="E60" s="13">
        <v>42858.389768518522</v>
      </c>
      <c r="F60" s="13">
        <v>42858.396087962959</v>
      </c>
      <c r="G60" s="7">
        <v>1</v>
      </c>
      <c r="H60" s="21" t="s">
        <v>433</v>
      </c>
      <c r="I60" s="13">
        <v>42858.420405092591</v>
      </c>
      <c r="J60" s="7">
        <v>0</v>
      </c>
      <c r="K60" s="92" t="str">
        <f>IF(ISEVEN(B60),(B60-1)&amp;"/"&amp;B60,B60&amp;"/"&amp;(B60+1))</f>
        <v>4029/4030</v>
      </c>
      <c r="L60" s="21" t="str">
        <f>VLOOKUP(A60,'Trips&amp;Operators'!$C$1:$G$99999,5,FALSE)</f>
        <v>GEBRETEKLE DAGNEW</v>
      </c>
      <c r="M60" s="6">
        <f>I60-F60</f>
        <v>2.4317129631526768E-2</v>
      </c>
      <c r="N60" s="7">
        <f>24*60*SUM($M60:$M60)</f>
        <v>35.016666669398546</v>
      </c>
      <c r="O60" s="7"/>
      <c r="P60" s="7"/>
      <c r="Q60" s="22"/>
      <c r="R60" s="190"/>
      <c r="S60" s="196">
        <f>SUM(U60:U60)/IF(AG60="EC",12,1)</f>
        <v>1</v>
      </c>
      <c r="T60" s="190" t="str">
        <f>IF(ISEVEN(LEFT(AD60,4)),"Southbound","NorthBound")</f>
        <v>NorthBound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-05-03T08:21:16-0600',mode:absolute,to:'2017-05-03T11:05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0" s="192" t="str">
        <f>IF(AA60&lt;IF(AG60="EC",23,5.65),"Y","N")</f>
        <v>N</v>
      </c>
      <c r="X60" s="192">
        <f>VALUE(LEFT(AD60,4))-VALUE(LEFT(AD59,4))</f>
        <v>1</v>
      </c>
      <c r="Y60" s="192">
        <f>RIGHT(D60,LEN(D60)-4)/10000</f>
        <v>4.4400000000000002E-2</v>
      </c>
      <c r="Z60" s="192">
        <f>RIGHT(H60,LEN(H60)-4)/10000</f>
        <v>23.331199999999999</v>
      </c>
      <c r="AA60" s="192">
        <f>ABS(Z60-Y60)</f>
        <v>23.286799999999999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>IF(LEN(A60)=6,"0"&amp;A60,A60)</f>
        <v>0147-03</v>
      </c>
      <c r="AE60" s="80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60" s="77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/stypes="app*4030*20170503*" /stext=" 16:.+((SYSTEM_STATE.+slice.+state.+changed )|(ment ac)|(multiple cpu faults)|(system.+state.+changed )|(\[timeout)|(PRM\|1\|D)|(kpr)|(kdp)|(train st.+moving)|(\|lc)|(penalty))"</v>
      </c>
      <c r="AG60" s="1" t="str">
        <f>IFERROR(IF(VALUE(LEFT(AD60,2))&lt;=2,"EC",IF(OR(VALUE(LEFT(AD60,2))=8,VALUE(LEFT(AD60,2))=18),"NW","Other")),"Other")</f>
        <v>EC</v>
      </c>
      <c r="AH60" s="81" t="str">
        <f t="shared" si="4"/>
        <v>"%USERPROFILE%\Documents\GitHub\eaglep3\Utilities\RefineRTDCRunTimes.py" --tripid 147-03 --locoid 4030 --swversion DE.1.0.9.0 --startMP 204:444 --initTime 2017-05-03T09:21:16 --startdatetime 2017-05-03T09:30:22 --delay 1 --endMP 204:233312 --enddatetime 2017-05-03T10:05:23 --enforcementcount 0 &gt;&gt;C:\Users\stu\Documents\GitHub\eaglep3-reporting\EC\2017-05-03-refined-times.txt</v>
      </c>
      <c r="AI60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{"issue":{"subject":"","project_id":79,"tracker_id":40,"status_id":1,"priority_id":2,"assigned_to_id":23,"start_date":"2017-05-03","description":"","custom_fields":[{"id":1,"name":"Subdivision","value":"EC"},{"id":4,"name":"Milepost","value":"23.3312"},{"id":17,"name":"Train ID","value":"147-03"},{"id":16,"name":"Locomotive ID","value":"4030"},{"id":130,"name":"Impact","value":""},{"id":150,"name":"Time of Event (Mountain Time)","value":"10:05:23"},{"id":151,"name":"Denver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6"/>
        <v>start /low /b %USERPROFILE%\Documents\GitHub\eaglep3\Utilities\DownloadLogsFromS3.py --loco 4030 --day 2017-05-03</v>
      </c>
      <c r="AN60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16:05:23"},{"id":29,"name":"Sharepoint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700</v>
      </c>
      <c r="B61" s="7">
        <v>4029</v>
      </c>
      <c r="C61" s="21" t="s">
        <v>210</v>
      </c>
      <c r="D61" s="21" t="s">
        <v>435</v>
      </c>
      <c r="E61" s="13">
        <v>42858.428576388891</v>
      </c>
      <c r="F61" s="13">
        <v>42858.435034722221</v>
      </c>
      <c r="G61" s="7">
        <v>1</v>
      </c>
      <c r="H61" s="21" t="s">
        <v>407</v>
      </c>
      <c r="I61" s="13">
        <v>42858.464305555557</v>
      </c>
      <c r="J61" s="7">
        <v>0</v>
      </c>
      <c r="K61" s="92" t="str">
        <f>IF(ISEVEN(B61),(B61-1)&amp;"/"&amp;B61,B61&amp;"/"&amp;(B61+1))</f>
        <v>4029/4030</v>
      </c>
      <c r="L61" s="21" t="str">
        <f>VLOOKUP(A61,'Trips&amp;Operators'!$C$1:$G$99999,5,FALSE)</f>
        <v>GEBRETEKLE DAGNEW</v>
      </c>
      <c r="M61" s="6">
        <f>I61-F61</f>
        <v>2.9270833336340729E-2</v>
      </c>
      <c r="N61" s="7">
        <f>24*60*SUM($M61:$M61)</f>
        <v>42.15000000433065</v>
      </c>
      <c r="O61" s="7"/>
      <c r="P61" s="7"/>
      <c r="Q61" s="22"/>
      <c r="R61" s="190"/>
      <c r="S61" s="196">
        <f>SUM(U61:U61)/IF(AG61="EC",12,1)</f>
        <v>1</v>
      </c>
      <c r="T61" s="190" t="str">
        <f>IF(ISEVEN(LEFT(AD61,4)),"Southbound","NorthBound")</f>
        <v>Southbound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-05-03T09:17:09-0600',mode:absolute,to:'2017-05-03T12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1" s="192" t="str">
        <f>IF(AA61&lt;IF(AG61="EC",23,5.65),"Y","N")</f>
        <v>N</v>
      </c>
      <c r="X61" s="192">
        <f>VALUE(LEFT(AD61,4))-VALUE(LEFT(AD60,4))</f>
        <v>1</v>
      </c>
      <c r="Y61" s="192">
        <f>RIGHT(D61,LEN(D61)-4)/10000</f>
        <v>23.298200000000001</v>
      </c>
      <c r="Z61" s="192">
        <f>RIGHT(H61,LEN(H61)-4)/10000</f>
        <v>1.43E-2</v>
      </c>
      <c r="AA61" s="192">
        <f>ABS(Z61-Y61)</f>
        <v>23.283900000000003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>IF(LEN(A61)=6,"0"&amp;A61,A61)</f>
        <v>0148-03</v>
      </c>
      <c r="AE61" s="80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61" s="77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/stypes="app*4029*20170503*" /stext=" 17:.+((SYSTEM_STATE.+slice.+state.+changed )|(ment ac)|(multiple cpu faults)|(system.+state.+changed )|(\[timeout)|(PRM\|1\|D)|(kpr)|(kdp)|(train st.+moving)|(\|lc)|(penalty))"</v>
      </c>
      <c r="AG61" s="1" t="str">
        <f>IFERROR(IF(VALUE(LEFT(AD61,2))&lt;=2,"EC",IF(OR(VALUE(LEFT(AD61,2))=8,VALUE(LEFT(AD61,2))=18),"NW","Other")),"Other")</f>
        <v>EC</v>
      </c>
      <c r="AH61" s="81" t="str">
        <f t="shared" si="4"/>
        <v>"%USERPROFILE%\Documents\GitHub\eaglep3\Utilities\RefineRTDCRunTimes.py" --tripid 148-03 --locoid 4029 --swversion DE.1.0.9.0 --startMP 204:232982 --initTime 2017-05-03T10:17:09 --startdatetime 2017-05-03T10:26:27 --delay 1 --endMP 204:143 --enddatetime 2017-05-03T11:08:36 --enforcementcount 0 &gt;&gt;C:\Users\stu\Documents\GitHub\eaglep3-reporting\EC\2017-05-03-refined-times.txt</v>
      </c>
      <c r="AI61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{"issue":{"subject":"","project_id":79,"tracker_id":40,"status_id":1,"priority_id":2,"assigned_to_id":23,"start_date":"2017-05-03","description":"","custom_fields":[{"id":1,"name":"Subdivision","value":"EC"},{"id":4,"name":"Milepost","value":"0.0143"},{"id":17,"name":"Train ID","value":"148-03"},{"id":16,"name":"Locomotive ID","value":"4029"},{"id":130,"name":"Impact","value":""},{"id":150,"name":"Time of Event (Mountain Time)","value":"11:08:36"},{"id":151,"name":"Denver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6"/>
        <v>start /low /b %USERPROFILE%\Documents\GitHub\eaglep3\Utilities\DownloadLogsFromS3.py --loco 4029 --day 2017-05-03</v>
      </c>
      <c r="AN61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695</v>
      </c>
      <c r="B62" s="7">
        <v>4016</v>
      </c>
      <c r="C62" s="21" t="s">
        <v>210</v>
      </c>
      <c r="D62" s="21" t="s">
        <v>865</v>
      </c>
      <c r="E62" s="13">
        <v>42858.403831018521</v>
      </c>
      <c r="F62" s="13">
        <v>42858.406412037039</v>
      </c>
      <c r="G62" s="7">
        <v>1</v>
      </c>
      <c r="H62" s="21" t="s">
        <v>866</v>
      </c>
      <c r="I62" s="13">
        <v>42858.438668981478</v>
      </c>
      <c r="J62" s="7">
        <v>0</v>
      </c>
      <c r="K62" s="92" t="str">
        <f>IF(ISEVEN(B62),(B62-1)&amp;"/"&amp;B62,B62&amp;"/"&amp;(B62+1))</f>
        <v>4015/4016</v>
      </c>
      <c r="L62" s="21" t="str">
        <f>VLOOKUP(A62,'Trips&amp;Operators'!$C$1:$G$99999,5,FALSE)</f>
        <v>THOMPSON LESTER</v>
      </c>
      <c r="M62" s="6">
        <f>I62-F62</f>
        <v>3.2256944439723156E-2</v>
      </c>
      <c r="N62" s="7">
        <f>24*60*SUM($M62:$M62)</f>
        <v>46.449999993201345</v>
      </c>
      <c r="O62" s="7"/>
      <c r="P62" s="7"/>
      <c r="Q62" s="22"/>
      <c r="R62" s="190"/>
      <c r="S62" s="196">
        <f>SUM(U62:U62)/IF(AG62="EC",12,1)</f>
        <v>1</v>
      </c>
      <c r="T62" s="190" t="str">
        <f>IF(ISEVEN(LEFT(AD62,4)),"Southbound","NorthBound")</f>
        <v>NorthBound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-05-03T08:41:31-0600',mode:absolute,to:'2017-05-03T11:31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2" s="192" t="str">
        <f>IF(AA62&lt;IF(AG62="EC",23,5.65),"Y","N")</f>
        <v>N</v>
      </c>
      <c r="X62" s="192">
        <f>VALUE(LEFT(AD62,4))-VALUE(LEFT(AD61,4))</f>
        <v>1</v>
      </c>
      <c r="Y62" s="192">
        <f>RIGHT(D62,LEN(D62)-4)/10000</f>
        <v>4.82E-2</v>
      </c>
      <c r="Z62" s="192">
        <f>RIGHT(H62,LEN(H62)-4)/10000</f>
        <v>23.335699999999999</v>
      </c>
      <c r="AA62" s="192">
        <f>ABS(Z62-Y62)</f>
        <v>23.287499999999998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>IF(LEN(A62)=6,"0"&amp;A62,A62)</f>
        <v>0149-03</v>
      </c>
      <c r="AE62" s="80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62" s="77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/stypes="app*4016*20170503*" /stext=" 16:.+((SYSTEM_STATE.+slice.+state.+changed )|(ment ac)|(multiple cpu faults)|(system.+state.+changed )|(\[timeout)|(PRM\|1\|D)|(kpr)|(kdp)|(train st.+moving)|(\|lc)|(penalty))"</v>
      </c>
      <c r="AG62" s="1" t="str">
        <f>IFERROR(IF(VALUE(LEFT(AD62,2))&lt;=2,"EC",IF(OR(VALUE(LEFT(AD62,2))=8,VALUE(LEFT(AD62,2))=18),"NW","Other")),"Other")</f>
        <v>EC</v>
      </c>
      <c r="AH62" s="81" t="str">
        <f t="shared" si="4"/>
        <v>"%USERPROFILE%\Documents\GitHub\eaglep3\Utilities\RefineRTDCRunTimes.py" --tripid 149-03 --locoid 4016 --swversion DE.1.0.9.0 --startMP 204:482 --initTime 2017-05-03T09:41:31 --startdatetime 2017-05-03T09:45:14 --delay 1 --endMP 204:233357 --enddatetime 2017-05-03T10:31:41 --enforcementcount 0 &gt;&gt;C:\Users\stu\Documents\GitHub\eaglep3-reporting\EC\2017-05-03-refined-times.txt</v>
      </c>
      <c r="AI62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{"issue":{"subject":"","project_id":79,"tracker_id":40,"status_id":1,"priority_id":2,"assigned_to_id":23,"start_date":"2017-05-03","description":"","custom_fields":[{"id":1,"name":"Subdivision","value":"EC"},{"id":4,"name":"Milepost","value":"23.3357"},{"id":17,"name":"Train ID","value":"149-03"},{"id":16,"name":"Locomotive ID","value":"4016"},{"id":130,"name":"Impact","value":""},{"id":150,"name":"Time of Event (Mountain Time)","value":"10:31:41"},{"id":151,"name":"Denver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6"/>
        <v>start /low /b %USERPROFILE%\Documents\GitHub\eaglep3\Utilities\DownloadLogsFromS3.py --loco 4016 --day 2017-05-03</v>
      </c>
      <c r="AN62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16:31:41"},{"id":29,"name":"Sharepoint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704</v>
      </c>
      <c r="B63" s="7">
        <v>4015</v>
      </c>
      <c r="C63" s="21" t="s">
        <v>210</v>
      </c>
      <c r="D63" s="21" t="s">
        <v>867</v>
      </c>
      <c r="E63" s="13">
        <v>42858.44190972222</v>
      </c>
      <c r="F63" s="13">
        <v>42858.445324074077</v>
      </c>
      <c r="G63" s="7">
        <v>1</v>
      </c>
      <c r="H63" s="21" t="s">
        <v>405</v>
      </c>
      <c r="I63" s="13">
        <v>42858.474583333336</v>
      </c>
      <c r="J63" s="7">
        <v>0</v>
      </c>
      <c r="K63" s="92" t="str">
        <f>IF(ISEVEN(B63),(B63-1)&amp;"/"&amp;B63,B63&amp;"/"&amp;(B63+1))</f>
        <v>4015/4016</v>
      </c>
      <c r="L63" s="21" t="str">
        <f>VLOOKUP(A63,'Trips&amp;Operators'!$C$1:$G$99999,5,FALSE)</f>
        <v>THOMPSON LESTER</v>
      </c>
      <c r="M63" s="6">
        <f>I63-F63</f>
        <v>2.9259259259561077E-2</v>
      </c>
      <c r="N63" s="7">
        <f>24*60*SUM($M63:$M63)</f>
        <v>42.133333333767951</v>
      </c>
      <c r="O63" s="7"/>
      <c r="P63" s="7"/>
      <c r="Q63" s="22"/>
      <c r="R63" s="190"/>
      <c r="S63" s="196">
        <f>SUM(U63:U63)/IF(AG63="EC",12,1)</f>
        <v>1</v>
      </c>
      <c r="T63" s="190" t="str">
        <f>IF(ISEVEN(LEFT(AD63,4)),"Southbound","NorthBound")</f>
        <v>Southbound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-05-03T09:36:21-0600',mode:absolute,to:'2017-05-03T12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3" s="192" t="str">
        <f>IF(AA63&lt;IF(AG63="EC",23,5.65),"Y","N")</f>
        <v>N</v>
      </c>
      <c r="X63" s="192">
        <f>VALUE(LEFT(AD63,4))-VALUE(LEFT(AD62,4))</f>
        <v>1</v>
      </c>
      <c r="Y63" s="192">
        <f>RIGHT(D63,LEN(D63)-4)/10000</f>
        <v>23.3034</v>
      </c>
      <c r="Z63" s="192">
        <f>RIGHT(H63,LEN(H63)-4)/10000</f>
        <v>1.4999999999999999E-2</v>
      </c>
      <c r="AA63" s="192">
        <f>ABS(Z63-Y63)</f>
        <v>23.288399999999999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>IF(LEN(A63)=6,"0"&amp;A63,A63)</f>
        <v>0150-03</v>
      </c>
      <c r="AE63" s="80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63" s="77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/stypes="app*4015*20170503*" /stext=" 17:.+((SYSTEM_STATE.+slice.+state.+changed )|(ment ac)|(multiple cpu faults)|(system.+state.+changed )|(\[timeout)|(PRM\|1\|D)|(kpr)|(kdp)|(train st.+moving)|(\|lc)|(penalty))"</v>
      </c>
      <c r="AG63" s="1" t="str">
        <f>IFERROR(IF(VALUE(LEFT(AD63,2))&lt;=2,"EC",IF(OR(VALUE(LEFT(AD63,2))=8,VALUE(LEFT(AD63,2))=18),"NW","Other")),"Other")</f>
        <v>EC</v>
      </c>
      <c r="AH63" s="81" t="str">
        <f t="shared" si="4"/>
        <v>"%USERPROFILE%\Documents\GitHub\eaglep3\Utilities\RefineRTDCRunTimes.py" --tripid 150-03 --locoid 4015 --swversion DE.1.0.9.0 --startMP 204:233034 --initTime 2017-05-03T10:36:21 --startdatetime 2017-05-03T10:41:16 --delay 1 --endMP 204:150 --enddatetime 2017-05-03T11:23:24 --enforcementcount 0 &gt;&gt;C:\Users\stu\Documents\GitHub\eaglep3-reporting\EC\2017-05-03-refined-times.txt</v>
      </c>
      <c r="AI63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{"issue":{"subject":"","project_id":79,"tracker_id":40,"status_id":1,"priority_id":2,"assigned_to_id":23,"start_date":"2017-05-03","description":"","custom_fields":[{"id":1,"name":"Subdivision","value":"EC"},{"id":4,"name":"Milepost","value":"0.015"},{"id":17,"name":"Train ID","value":"150-03"},{"id":16,"name":"Locomotive ID","value":"4015"},{"id":130,"name":"Impact","value":""},{"id":150,"name":"Time of Event (Mountain Time)","value":"11:23:24"},{"id":151,"name":"Denver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6"/>
        <v>start /low /b %USERPROFILE%\Documents\GitHub\eaglep3\Utilities\DownloadLogsFromS3.py --loco 4015 --day 2017-05-03</v>
      </c>
      <c r="AN63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698</v>
      </c>
      <c r="B64" s="7">
        <v>4018</v>
      </c>
      <c r="C64" s="21" t="s">
        <v>210</v>
      </c>
      <c r="D64" s="21" t="s">
        <v>409</v>
      </c>
      <c r="E64" s="13">
        <v>42858.413541666669</v>
      </c>
      <c r="F64" s="13">
        <v>42858.416851851849</v>
      </c>
      <c r="G64" s="7">
        <v>0</v>
      </c>
      <c r="H64" s="21" t="s">
        <v>552</v>
      </c>
      <c r="I64" s="13">
        <v>42858.445671296293</v>
      </c>
      <c r="J64" s="7">
        <v>0</v>
      </c>
      <c r="K64" s="92" t="str">
        <f>IF(ISEVEN(B64),(B64-1)&amp;"/"&amp;B64,B64&amp;"/"&amp;(B64+1))</f>
        <v>4017/4018</v>
      </c>
      <c r="L64" s="21" t="str">
        <f>VLOOKUP(A64,'Trips&amp;Operators'!$C$1:$G$99999,5,FALSE)</f>
        <v>SANTIZO D. EDY</v>
      </c>
      <c r="M64" s="6">
        <f>I64-F64</f>
        <v>2.8819444443797693E-2</v>
      </c>
      <c r="N64" s="7">
        <f>24*60*SUM($M64:$M64)</f>
        <v>41.499999999068677</v>
      </c>
      <c r="O64" s="7"/>
      <c r="P64" s="7"/>
      <c r="Q64" s="22"/>
      <c r="R64" s="190"/>
      <c r="S64" s="196">
        <f>SUM(U64:U64)/IF(AG64="EC",12,1)</f>
        <v>1</v>
      </c>
      <c r="T64" s="190" t="str">
        <f>IF(ISEVEN(LEFT(AD64,4)),"Southbound","NorthBound")</f>
        <v>NorthBound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-05-03T08:55:30-0600',mode:absolute,to:'2017-05-03T11:41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64" s="192" t="str">
        <f>IF(AA64&lt;IF(AG64="EC",23,5.65),"Y","N")</f>
        <v>N</v>
      </c>
      <c r="X64" s="192">
        <f>VALUE(LEFT(AD64,4))-VALUE(LEFT(AD63,4))</f>
        <v>1</v>
      </c>
      <c r="Y64" s="192">
        <f>RIGHT(D64,LEN(D64)-4)/10000</f>
        <v>4.6600000000000003E-2</v>
      </c>
      <c r="Z64" s="192">
        <f>RIGHT(H64,LEN(H64)-4)/10000</f>
        <v>23.3307</v>
      </c>
      <c r="AA64" s="192">
        <f>ABS(Z64-Y64)</f>
        <v>23.284099999999999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>IF(LEN(A64)=6,"0"&amp;A64,A64)</f>
        <v>0151-03</v>
      </c>
      <c r="AE64" s="80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 &amp; 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</v>
      </c>
      <c r="AF64" s="77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/stypes="app*4018*20170503*" /stext=" 16:.+((SYSTEM_STATE.+slice.+state.+changed )|(ment ac)|(multiple cpu faults)|(system.+state.+changed )|(\[timeout)|(PRM\|1\|D)|(kpr)|(kdp)|(train st.+moving)|(\|lc)|(penalty))"</v>
      </c>
      <c r="AG64" s="1" t="str">
        <f>IFERROR(IF(VALUE(LEFT(AD64,2))&lt;=2,"EC",IF(OR(VALUE(LEFT(AD64,2))=8,VALUE(LEFT(AD64,2))=18),"NW","Other")),"Other")</f>
        <v>EC</v>
      </c>
      <c r="AH64" s="81" t="str">
        <f t="shared" si="4"/>
        <v>"%USERPROFILE%\Documents\GitHub\eaglep3\Utilities\RefineRTDCRunTimes.py" --tripid 151-03 --locoid 4018 --swversion DE.1.0.9.0 --startMP 204:466 --initTime 2017-05-03T09:55:30 --startdatetime 2017-05-03T10:00:16 --delay 0 --endMP 204:233307 --enddatetime 2017-05-03T10:41:46 --enforcementcount 0 &gt;&gt;C:\Users\stu\Documents\GitHub\eaglep3-reporting\EC\2017-05-03-refined-times.txt</v>
      </c>
      <c r="AI64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{"issue":{"subject":"","project_id":79,"tracker_id":40,"status_id":1,"priority_id":2,"assigned_to_id":23,"start_date":"2017-05-03","description":"","custom_fields":[{"id":1,"name":"Subdivision","value":"EC"},{"id":4,"name":"Milepost","value":"23.3307"},{"id":17,"name":"Train ID","value":"151-03"},{"id":16,"name":"Locomotive ID","value":"4018"},{"id":130,"name":"Impact","value":""},{"id":150,"name":"Time of Event (Mountain Time)","value":"10:41:46"},{"id":151,"name":"Denver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6"/>
        <v>start /low /b %USERPROFILE%\Documents\GitHub\eaglep3\Utilities\DownloadLogsFromS3.py --loco 4018 --day 2017-05-03</v>
      </c>
      <c r="AN64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16:41:46"},{"id":29,"name":"Sharepoint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707</v>
      </c>
      <c r="B65" s="7">
        <v>4017</v>
      </c>
      <c r="C65" s="21" t="s">
        <v>210</v>
      </c>
      <c r="D65" s="21" t="s">
        <v>463</v>
      </c>
      <c r="E65" s="13">
        <v>42858.447129629632</v>
      </c>
      <c r="F65" s="13">
        <v>42858.455717592595</v>
      </c>
      <c r="G65" s="7">
        <v>1</v>
      </c>
      <c r="H65" s="21" t="s">
        <v>466</v>
      </c>
      <c r="I65" s="13">
        <v>42858.483703703707</v>
      </c>
      <c r="J65" s="7">
        <v>0</v>
      </c>
      <c r="K65" s="92" t="str">
        <f>IF(ISEVEN(B65),(B65-1)&amp;"/"&amp;B65,B65&amp;"/"&amp;(B65+1))</f>
        <v>4017/4018</v>
      </c>
      <c r="L65" s="21" t="str">
        <f>VLOOKUP(A65,'Trips&amp;Operators'!$C$1:$G$99999,5,FALSE)</f>
        <v>SANTIZO D. EDY</v>
      </c>
      <c r="M65" s="6">
        <f>I65-F65</f>
        <v>2.7986111112113576E-2</v>
      </c>
      <c r="N65" s="7">
        <f>24*60*SUM($M65:$M65)</f>
        <v>40.30000000144355</v>
      </c>
      <c r="O65" s="7"/>
      <c r="P65" s="7"/>
      <c r="Q65" s="22"/>
      <c r="R65" s="190"/>
      <c r="S65" s="196">
        <f>SUM(U65:U65)/IF(AG65="EC",12,1)</f>
        <v>1</v>
      </c>
      <c r="T65" s="190" t="str">
        <f>IF(ISEVEN(LEFT(AD65,4)),"Southbound","NorthBound")</f>
        <v>Southbound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-05-03T09:43:52-0600',mode:absolute,to:'2017-05-03T12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5" s="192" t="str">
        <f>IF(AA65&lt;IF(AG65="EC",23,5.65),"Y","N")</f>
        <v>N</v>
      </c>
      <c r="X65" s="192">
        <f>VALUE(LEFT(AD65,4))-VALUE(LEFT(AD64,4))</f>
        <v>1</v>
      </c>
      <c r="Y65" s="192">
        <f>RIGHT(D65,LEN(D65)-4)/10000</f>
        <v>23.2986</v>
      </c>
      <c r="Z65" s="192">
        <f>RIGHT(H65,LEN(H65)-4)/10000</f>
        <v>1.6299999999999999E-2</v>
      </c>
      <c r="AA65" s="192">
        <f>ABS(Z65-Y65)</f>
        <v>23.282299999999999</v>
      </c>
      <c r="AB65" s="57" t="e">
        <f>VLOOKUP(A65,Enforcements!$C$7:$K$13,8,0)</f>
        <v>#N/A</v>
      </c>
      <c r="AC65" s="53" t="e">
        <f>VLOOKUP(A65,Enforcements!$C$7:$E$13,3,0)</f>
        <v>#N/A</v>
      </c>
      <c r="AD65" s="54" t="str">
        <f>IF(LEN(A65)=6,"0"&amp;A65,A65)</f>
        <v>0152-03</v>
      </c>
      <c r="AE65" s="80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AF65" s="77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/stypes="app*4017*20170503*" /stext=" 17:.+((SYSTEM_STATE.+slice.+state.+changed )|(ment ac)|(multiple cpu faults)|(system.+state.+changed )|(\[timeout)|(PRM\|1\|D)|(kpr)|(kdp)|(train st.+moving)|(\|lc)|(penalty))"</v>
      </c>
      <c r="AG65" s="1" t="str">
        <f>IFERROR(IF(VALUE(LEFT(AD65,2))&lt;=2,"EC",IF(OR(VALUE(LEFT(AD65,2))=8,VALUE(LEFT(AD65,2))=18),"NW","Other")),"Other")</f>
        <v>EC</v>
      </c>
      <c r="AH65" s="81" t="str">
        <f t="shared" si="4"/>
        <v>"%USERPROFILE%\Documents\GitHub\eaglep3\Utilities\RefineRTDCRunTimes.py" --tripid 152-03 --locoid 4017 --swversion DE.1.0.9.0 --startMP 204:232986 --initTime 2017-05-03T10:43:52 --startdatetime 2017-05-03T10:56:14 --delay 1 --endMP 204:163 --enddatetime 2017-05-03T11:36:32 --enforcementcount 0 &gt;&gt;C:\Users\stu\Documents\GitHub\eaglep3-reporting\EC\2017-05-03-refined-times.txt</v>
      </c>
      <c r="AI65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{"issue":{"subject":"","project_id":79,"tracker_id":40,"status_id":1,"priority_id":2,"assigned_to_id":23,"start_date":"2017-05-03","description":"","custom_fields":[{"id":1,"name":"Subdivision","value":"EC"},{"id":4,"name":"Milepost","value":"0.0163"},{"id":17,"name":"Train ID","value":"152-03"},{"id":16,"name":"Locomotive ID","value":"4017"},{"id":130,"name":"Impact","value":""},{"id":150,"name":"Time of Event (Mountain Time)","value":"11:36:32"},{"id":151,"name":"Denver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6"/>
        <v>start /low /b %USERPROFILE%\Documents\GitHub\eaglep3\Utilities\DownloadLogsFromS3.py --loco 4017 --day 2017-05-03</v>
      </c>
      <c r="AN65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699</v>
      </c>
      <c r="B66" s="7">
        <v>4028</v>
      </c>
      <c r="C66" s="21" t="s">
        <v>210</v>
      </c>
      <c r="D66" s="21" t="s">
        <v>409</v>
      </c>
      <c r="E66" s="13">
        <v>42858.426087962966</v>
      </c>
      <c r="F66" s="13">
        <v>42858.42769675926</v>
      </c>
      <c r="G66" s="7">
        <v>1</v>
      </c>
      <c r="H66" s="21" t="s">
        <v>420</v>
      </c>
      <c r="I66" s="13">
        <v>42858.451979166668</v>
      </c>
      <c r="J66" s="7">
        <v>0</v>
      </c>
      <c r="K66" s="92" t="str">
        <f>IF(ISEVEN(B66),(B66-1)&amp;"/"&amp;B66,B66&amp;"/"&amp;(B66+1))</f>
        <v>4027/4028</v>
      </c>
      <c r="L66" s="21" t="str">
        <f>VLOOKUP(A66,'Trips&amp;Operators'!$C$1:$G$99999,5,FALSE)</f>
        <v>LAMAR NEKESHA</v>
      </c>
      <c r="M66" s="6">
        <f>I66-F66</f>
        <v>2.4282407408463769E-2</v>
      </c>
      <c r="N66" s="7">
        <f>24*60*SUM($M66:$M66)</f>
        <v>34.966666668187827</v>
      </c>
      <c r="O66" s="7"/>
      <c r="P66" s="7"/>
      <c r="Q66" s="22"/>
      <c r="R66" s="190"/>
      <c r="S66" s="196">
        <f>SUM(U66:U66)/IF(AG66="EC",12,1)</f>
        <v>1</v>
      </c>
      <c r="T66" s="190" t="str">
        <f>IF(ISEVEN(LEFT(AD66,4)),"Southbound","NorthBound")</f>
        <v>NorthBound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-05-03T09:13:34-0600',mode:absolute,to:'2017-05-03T11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6" s="192" t="str">
        <f>IF(AA66&lt;IF(AG66="EC",23,5.65),"Y","N")</f>
        <v>N</v>
      </c>
      <c r="X66" s="192">
        <f>VALUE(LEFT(AD66,4))-VALUE(LEFT(AD65,4))</f>
        <v>1</v>
      </c>
      <c r="Y66" s="192">
        <f>RIGHT(D66,LEN(D66)-4)/10000</f>
        <v>4.6600000000000003E-2</v>
      </c>
      <c r="Z66" s="192">
        <f>RIGHT(H66,LEN(H66)-4)/10000</f>
        <v>23.33</v>
      </c>
      <c r="AA66" s="192">
        <f>ABS(Z66-Y66)</f>
        <v>23.283399999999997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>IF(LEN(A66)=6,"0"&amp;A66,A66)</f>
        <v>0153-03</v>
      </c>
      <c r="AE66" s="80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66" s="77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/stypes="app*4028*20170503*" /stext=" 16:.+((SYSTEM_STATE.+slice.+state.+changed )|(ment ac)|(multiple cpu faults)|(system.+state.+changed )|(\[timeout)|(PRM\|1\|D)|(kpr)|(kdp)|(train st.+moving)|(\|lc)|(penalty))"</v>
      </c>
      <c r="AG66" s="1" t="str">
        <f>IFERROR(IF(VALUE(LEFT(AD66,2))&lt;=2,"EC",IF(OR(VALUE(LEFT(AD66,2))=8,VALUE(LEFT(AD66,2))=18),"NW","Other")),"Other")</f>
        <v>EC</v>
      </c>
      <c r="AH66" s="81" t="str">
        <f t="shared" si="4"/>
        <v>"%USERPROFILE%\Documents\GitHub\eaglep3\Utilities\RefineRTDCRunTimes.py" --tripid 153-03 --locoid 4028 --swversion DE.1.0.9.0 --startMP 204:466 --initTime 2017-05-03T10:13:34 --startdatetime 2017-05-03T10:15:53 --delay 1 --endMP 204:233300 --enddatetime 2017-05-03T10:50:51 --enforcementcount 0 &gt;&gt;C:\Users\stu\Documents\GitHub\eaglep3-reporting\EC\2017-05-03-refined-times.txt</v>
      </c>
      <c r="AI66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{"issue":{"subject":"","project_id":79,"tracker_id":40,"status_id":1,"priority_id":2,"assigned_to_id":23,"start_date":"2017-05-03","description":"","custom_fields":[{"id":1,"name":"Subdivision","value":"EC"},{"id":4,"name":"Milepost","value":"23.33"},{"id":17,"name":"Train ID","value":"153-03"},{"id":16,"name":"Locomotive ID","value":"4028"},{"id":130,"name":"Impact","value":""},{"id":150,"name":"Time of Event (Mountain Time)","value":"10:50:51"},{"id":151,"name":"Denver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6"/>
        <v>start /low /b %USERPROFILE%\Documents\GitHub\eaglep3\Utilities\DownloadLogsFromS3.py --loco 4028 --day 2017-05-03</v>
      </c>
      <c r="AN66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710</v>
      </c>
      <c r="B67" s="7">
        <v>4027</v>
      </c>
      <c r="C67" s="21" t="s">
        <v>210</v>
      </c>
      <c r="D67" s="21" t="s">
        <v>436</v>
      </c>
      <c r="E67" s="13">
        <v>42858.464953703704</v>
      </c>
      <c r="F67" s="13">
        <v>42858.466365740744</v>
      </c>
      <c r="G67" s="7">
        <v>1</v>
      </c>
      <c r="H67" s="21" t="s">
        <v>462</v>
      </c>
      <c r="I67" s="13">
        <v>42858.494513888887</v>
      </c>
      <c r="J67" s="7">
        <v>0</v>
      </c>
      <c r="K67" s="92" t="str">
        <f>IF(ISEVEN(B67),(B67-1)&amp;"/"&amp;B67,B67&amp;"/"&amp;(B67+1))</f>
        <v>4027/4028</v>
      </c>
      <c r="L67" s="21" t="str">
        <f>VLOOKUP(A67,'Trips&amp;Operators'!$C$1:$G$99999,5,FALSE)</f>
        <v>LAMAR NEKESHA</v>
      </c>
      <c r="M67" s="6">
        <f>I67-F67</f>
        <v>2.8148148143372964E-2</v>
      </c>
      <c r="N67" s="7">
        <f>24*60*SUM($M67:$M67)</f>
        <v>40.533333326457068</v>
      </c>
      <c r="O67" s="7"/>
      <c r="P67" s="7"/>
      <c r="Q67" s="22"/>
      <c r="R67" s="190"/>
      <c r="S67" s="196">
        <f>SUM(U67:U67)/IF(AG67="EC",12,1)</f>
        <v>1</v>
      </c>
      <c r="T67" s="190" t="str">
        <f>IF(ISEVEN(LEFT(AD67,4)),"Southbound","NorthBound")</f>
        <v>Southbound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-05-03T10:09:32-0600',mode:absolute,to:'2017-05-03T12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7" s="192" t="str">
        <f>IF(AA67&lt;IF(AG67="EC",23,5.65),"Y","N")</f>
        <v>N</v>
      </c>
      <c r="X67" s="192">
        <f>VALUE(LEFT(AD67,4))-VALUE(LEFT(AD66,4))</f>
        <v>1</v>
      </c>
      <c r="Y67" s="192">
        <f>RIGHT(D67,LEN(D67)-4)/10000</f>
        <v>23.299600000000002</v>
      </c>
      <c r="Z67" s="192">
        <f>RIGHT(H67,LEN(H67)-4)/10000</f>
        <v>1.6500000000000001E-2</v>
      </c>
      <c r="AA67" s="192">
        <f>ABS(Z67-Y67)</f>
        <v>23.283100000000001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>IF(LEN(A67)=6,"0"&amp;A67,A67)</f>
        <v>0154-03</v>
      </c>
      <c r="AE67" s="80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67" s="77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/stypes="app*4027*20170503*" /stext=" 17:.+((SYSTEM_STATE.+slice.+state.+changed )|(ment ac)|(multiple cpu faults)|(system.+state.+changed )|(\[timeout)|(PRM\|1\|D)|(kpr)|(kdp)|(train st.+moving)|(\|lc)|(penalty))"</v>
      </c>
      <c r="AG67" s="1" t="str">
        <f>IFERROR(IF(VALUE(LEFT(AD67,2))&lt;=2,"EC",IF(OR(VALUE(LEFT(AD67,2))=8,VALUE(LEFT(AD67,2))=18),"NW","Other")),"Other")</f>
        <v>EC</v>
      </c>
      <c r="AH67" s="81" t="str">
        <f t="shared" si="4"/>
        <v>"%USERPROFILE%\Documents\GitHub\eaglep3\Utilities\RefineRTDCRunTimes.py" --tripid 154-03 --locoid 4027 --swversion DE.1.0.9.0 --startMP 204:232996 --initTime 2017-05-03T11:09:32 --startdatetime 2017-05-03T11:11:34 --delay 1 --endMP 204:165 --enddatetime 2017-05-03T11:52:06 --enforcementcount 0 &gt;&gt;C:\Users\stu\Documents\GitHub\eaglep3-reporting\EC\2017-05-03-refined-times.txt</v>
      </c>
      <c r="AI67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{"issue":{"subject":"","project_id":79,"tracker_id":40,"status_id":1,"priority_id":2,"assigned_to_id":23,"start_date":"2017-05-03","description":"","custom_fields":[{"id":1,"name":"Subdivision","value":"EC"},{"id":4,"name":"Milepost","value":"0.0165"},{"id":17,"name":"Train ID","value":"154-03"},{"id":16,"name":"Locomotive ID","value":"4027"},{"id":130,"name":"Impact","value":""},{"id":150,"name":"Time of Event (Mountain Time)","value":"11:52:06"},{"id":151,"name":"Denver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6"/>
        <v>start /low /b %USERPROFILE%\Documents\GitHub\eaglep3\Utilities\DownloadLogsFromS3.py --loco 4027 --day 2017-05-03</v>
      </c>
      <c r="AN67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701</v>
      </c>
      <c r="B68" s="7">
        <v>4040</v>
      </c>
      <c r="C68" s="21" t="s">
        <v>210</v>
      </c>
      <c r="D68" s="21" t="s">
        <v>868</v>
      </c>
      <c r="E68" s="13">
        <v>42858.433217592596</v>
      </c>
      <c r="F68" s="13">
        <v>42858.438356481478</v>
      </c>
      <c r="G68" s="7">
        <v>1</v>
      </c>
      <c r="H68" s="21" t="s">
        <v>445</v>
      </c>
      <c r="I68" s="13">
        <v>42858.46193287037</v>
      </c>
      <c r="J68" s="7">
        <v>0</v>
      </c>
      <c r="K68" s="92" t="str">
        <f>IF(ISEVEN(B68),(B68-1)&amp;"/"&amp;B68,B68&amp;"/"&amp;(B68+1))</f>
        <v>4039/4040</v>
      </c>
      <c r="L68" s="21" t="str">
        <f>VLOOKUP(A68,'Trips&amp;Operators'!$C$1:$G$99999,5,FALSE)</f>
        <v>YORK EDGAR</v>
      </c>
      <c r="M68" s="6">
        <f>I68-F68</f>
        <v>2.3576388892251998E-2</v>
      </c>
      <c r="N68" s="7">
        <f>24*60*SUM($M68:$M68)</f>
        <v>33.950000004842877</v>
      </c>
      <c r="O68" s="7"/>
      <c r="P68" s="7"/>
      <c r="Q68" s="22"/>
      <c r="R68" s="190"/>
      <c r="S68" s="196">
        <f>SUM(U68:U68)/IF(AG68="EC",12,1)</f>
        <v>1</v>
      </c>
      <c r="T68" s="190" t="str">
        <f>IF(ISEVEN(LEFT(AD68,4)),"Southbound","NorthBound")</f>
        <v>NorthBound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-05-03T09:23:50-0600',mode:absolute,to:'2017-05-03T12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8" s="192" t="str">
        <f>IF(AA68&lt;IF(AG68="EC",23,5.65),"Y","N")</f>
        <v>N</v>
      </c>
      <c r="X68" s="192">
        <f>VALUE(LEFT(AD68,4))-VALUE(LEFT(AD67,4))</f>
        <v>1</v>
      </c>
      <c r="Y68" s="192">
        <f>RIGHT(D68,LEN(D68)-4)/10000</f>
        <v>4.8899999999999999E-2</v>
      </c>
      <c r="Z68" s="192">
        <f>RIGHT(H68,LEN(H68)-4)/10000</f>
        <v>23.3293</v>
      </c>
      <c r="AA68" s="192">
        <f>ABS(Z68-Y68)</f>
        <v>23.2804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>IF(LEN(A68)=6,"0"&amp;A68,A68)</f>
        <v>0155-03</v>
      </c>
      <c r="AE68" s="80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AF68" s="77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/stypes="app*4040*20170503*" /stext=" 17:.+((SYSTEM_STATE.+slice.+state.+changed )|(ment ac)|(multiple cpu faults)|(system.+state.+changed )|(\[timeout)|(PRM\|1\|D)|(kpr)|(kdp)|(train st.+moving)|(\|lc)|(penalty))"</v>
      </c>
      <c r="AG68" s="1" t="str">
        <f>IFERROR(IF(VALUE(LEFT(AD68,2))&lt;=2,"EC",IF(OR(VALUE(LEFT(AD68,2))=8,VALUE(LEFT(AD68,2))=18),"NW","Other")),"Other")</f>
        <v>EC</v>
      </c>
      <c r="AH68" s="81" t="str">
        <f t="shared" si="4"/>
        <v>"%USERPROFILE%\Documents\GitHub\eaglep3\Utilities\RefineRTDCRunTimes.py" --tripid 155-03 --locoid 4040 --swversion DE.1.0.9.0 --startMP 204:489 --initTime 2017-05-03T10:23:50 --startdatetime 2017-05-03T10:31:14 --delay 1 --endMP 204:233293 --enddatetime 2017-05-03T11:05:11 --enforcementcount 0 &gt;&gt;C:\Users\stu\Documents\GitHub\eaglep3-reporting\EC\2017-05-03-refined-times.txt</v>
      </c>
      <c r="AI68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{"issue":{"subject":"","project_id":79,"tracker_id":40,"status_id":1,"priority_id":2,"assigned_to_id":23,"start_date":"2017-05-03","description":"","custom_fields":[{"id":1,"name":"Subdivision","value":"EC"},{"id":4,"name":"Milepost","value":"23.3293"},{"id":17,"name":"Train ID","value":"155-03"},{"id":16,"name":"Locomotive ID","value":"4040"},{"id":130,"name":"Impact","value":""},{"id":150,"name":"Time of Event (Mountain Time)","value":"11:05:11"},{"id":151,"name":"Denver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6"/>
        <v>start /low /b %USERPROFILE%\Documents\GitHub\eaglep3\Utilities\DownloadLogsFromS3.py --loco 4040 --day 2017-05-03</v>
      </c>
      <c r="AN68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709</v>
      </c>
      <c r="B69" s="7">
        <v>4039</v>
      </c>
      <c r="C69" s="21" t="s">
        <v>210</v>
      </c>
      <c r="D69" s="21" t="s">
        <v>869</v>
      </c>
      <c r="E69" s="13">
        <v>42858.462766203702</v>
      </c>
      <c r="F69" s="13">
        <v>42858.476759259262</v>
      </c>
      <c r="G69" s="7">
        <v>1</v>
      </c>
      <c r="H69" s="21" t="s">
        <v>407</v>
      </c>
      <c r="I69" s="13">
        <v>42858.504606481481</v>
      </c>
      <c r="J69" s="7">
        <v>0</v>
      </c>
      <c r="K69" s="92" t="str">
        <f>IF(ISEVEN(B69),(B69-1)&amp;"/"&amp;B69,B69&amp;"/"&amp;(B69+1))</f>
        <v>4039/4040</v>
      </c>
      <c r="L69" s="21" t="str">
        <f>VLOOKUP(A69,'Trips&amp;Operators'!$C$1:$G$99999,5,FALSE)</f>
        <v>YORK EDGAR</v>
      </c>
      <c r="M69" s="6">
        <f>I69-F69</f>
        <v>2.7847222219861578E-2</v>
      </c>
      <c r="N69" s="7">
        <f>24*60*SUM($M69:$M69)</f>
        <v>40.099999996600673</v>
      </c>
      <c r="O69" s="7"/>
      <c r="P69" s="7"/>
      <c r="Q69" s="22"/>
      <c r="R69" s="190"/>
      <c r="S69" s="196">
        <f>SUM(U69:U69)/IF(AG69="EC",12,1)</f>
        <v>1</v>
      </c>
      <c r="T69" s="190" t="str">
        <f>IF(ISEVEN(LEFT(AD69,4)),"Southbound","NorthBound")</f>
        <v>Southbound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-05-03T10:06:23-0600',mode:absolute,to:'2017-05-03T13:06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9" s="192" t="str">
        <f>IF(AA69&lt;IF(AG69="EC",23,5.65),"Y","N")</f>
        <v>N</v>
      </c>
      <c r="X69" s="192">
        <f>VALUE(LEFT(AD69,4))-VALUE(LEFT(AD68,4))</f>
        <v>1</v>
      </c>
      <c r="Y69" s="192">
        <f>RIGHT(D69,LEN(D69)-4)/10000</f>
        <v>23.2959</v>
      </c>
      <c r="Z69" s="192">
        <f>RIGHT(H69,LEN(H69)-4)/10000</f>
        <v>1.43E-2</v>
      </c>
      <c r="AA69" s="192">
        <f>ABS(Z69-Y69)</f>
        <v>23.281600000000001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>IF(LEN(A69)=6,"0"&amp;A69,A69)</f>
        <v>0156-03</v>
      </c>
      <c r="AE69" s="80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69" s="77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/stypes="app*4039*20170503*" /stext=" 18:.+((SYSTEM_STATE.+slice.+state.+changed )|(ment ac)|(multiple cpu faults)|(system.+state.+changed )|(\[timeout)|(PRM\|1\|D)|(kpr)|(kdp)|(train st.+moving)|(\|lc)|(penalty))"</v>
      </c>
      <c r="AG69" s="1" t="str">
        <f>IFERROR(IF(VALUE(LEFT(AD69,2))&lt;=2,"EC",IF(OR(VALUE(LEFT(AD69,2))=8,VALUE(LEFT(AD69,2))=18),"NW","Other")),"Other")</f>
        <v>EC</v>
      </c>
      <c r="AH69" s="81" t="str">
        <f t="shared" si="4"/>
        <v>"%USERPROFILE%\Documents\GitHub\eaglep3\Utilities\RefineRTDCRunTimes.py" --tripid 156-03 --locoid 4039 --swversion DE.1.0.9.0 --startMP 204:232959 --initTime 2017-05-03T11:06:23 --startdatetime 2017-05-03T11:26:32 --delay 1 --endMP 204:143 --enddatetime 2017-05-03T12:06:38 --enforcementcount 0 &gt;&gt;C:\Users\stu\Documents\GitHub\eaglep3-reporting\EC\2017-05-03-refined-times.txt</v>
      </c>
      <c r="AI69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{"issue":{"subject":"","project_id":79,"tracker_id":40,"status_id":1,"priority_id":2,"assigned_to_id":23,"start_date":"2017-05-03","description":"","custom_fields":[{"id":1,"name":"Subdivision","value":"EC"},{"id":4,"name":"Milepost","value":"0.0143"},{"id":17,"name":"Train ID","value":"156-03"},{"id":16,"name":"Locomotive ID","value":"4039"},{"id":130,"name":"Impact","value":""},{"id":150,"name":"Time of Event (Mountain Time)","value":"12:06:38"},{"id":151,"name":"Denver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6"/>
        <v>start /low /b %USERPROFILE%\Documents\GitHub\eaglep3\Utilities\DownloadLogsFromS3.py --loco 4039 --day 2017-05-03</v>
      </c>
      <c r="AN69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18:06:38"},{"id":29,"name":"Sharepoint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596</v>
      </c>
      <c r="B70" s="7">
        <v>4012</v>
      </c>
      <c r="C70" s="21" t="s">
        <v>210</v>
      </c>
      <c r="D70" s="21" t="s">
        <v>870</v>
      </c>
      <c r="E70" s="13">
        <v>42858.47315972222</v>
      </c>
      <c r="F70" s="13">
        <v>42858.474143518521</v>
      </c>
      <c r="G70" s="7">
        <v>1</v>
      </c>
      <c r="H70" s="21" t="s">
        <v>465</v>
      </c>
      <c r="I70" s="13">
        <v>42858.484675925924</v>
      </c>
      <c r="J70" s="7">
        <v>1</v>
      </c>
      <c r="K70" s="92" t="str">
        <f>IF(ISEVEN(B70),(B70-1)&amp;"/"&amp;B70,B70&amp;"/"&amp;(B70+1))</f>
        <v>4011/4012</v>
      </c>
      <c r="L70" s="21" t="str">
        <f>VLOOKUP(A70,'Trips&amp;Operators'!$C$1:$G$99999,5,FALSE)</f>
        <v>MAYBERRY BILL</v>
      </c>
      <c r="M70" s="6">
        <f>I70-F70</f>
        <v>1.0532407402934041E-2</v>
      </c>
      <c r="N70" s="7">
        <f>24*60*SUM($M70:$M71)</f>
        <v>42.716666656779125</v>
      </c>
      <c r="O70" s="7"/>
      <c r="P70" s="7"/>
      <c r="Q70" s="22"/>
      <c r="R70" s="190" t="s">
        <v>1025</v>
      </c>
      <c r="S70" s="196">
        <f>SUM(U70:U71)/IF(AG70="EC",12,1)</f>
        <v>1</v>
      </c>
      <c r="T70" s="190" t="str">
        <f>IF(ISEVEN(LEFT(AD70,4)),"Southbound","NorthBound")</f>
        <v>NorthBound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0</v>
      </c>
      <c r="V70" s="191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-05-03T10:21:21-0600',mode:absolute,to:'2017-05-03T12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0" s="192" t="str">
        <f>IF(AA70&lt;IF(AG70="EC",23,5.65),"Y","N")</f>
        <v>Y</v>
      </c>
      <c r="X70" s="192">
        <f>VALUE(LEFT(AD70,4))-VALUE(LEFT(AD69,4))</f>
        <v>1</v>
      </c>
      <c r="Y70" s="192">
        <f>RIGHT(D70,LEN(D70)-4)/10000</f>
        <v>15.4255</v>
      </c>
      <c r="Z70" s="192">
        <f>RIGHT(H70,LEN(H70)-4)/10000</f>
        <v>23.331800000000001</v>
      </c>
      <c r="AA70" s="192">
        <f>ABS(Z70-Y70)</f>
        <v>7.9063000000000017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>IF(LEN(A70)=6,"0"&amp;A70,A70)</f>
        <v>0157-03</v>
      </c>
      <c r="AE70" s="80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AF70" s="77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/stypes="app*4012*20170503*" /stext=" 17:.+((SYSTEM_STATE.+slice.+state.+changed )|(ment ac)|(multiple cpu faults)|(system.+state.+changed )|(\[timeout)|(PRM\|1\|D)|(kpr)|(kdp)|(train st.+moving)|(\|lc)|(penalty))"</v>
      </c>
      <c r="AG70" s="1" t="str">
        <f>IFERROR(IF(VALUE(LEFT(AD70,2))&lt;=2,"EC",IF(OR(VALUE(LEFT(AD70,2))=8,VALUE(LEFT(AD70,2))=18),"NW","Other")),"Other")</f>
        <v>EC</v>
      </c>
      <c r="AH70" s="81" t="str">
        <f t="shared" si="4"/>
        <v>"%USERPROFILE%\Documents\GitHub\eaglep3\Utilities\RefineRTDCRunTimes.py" --tripid 157-03 --locoid 4012 --swversion DE.1.0.9.0 --startMP 204:154255 --initTime 2017-05-03T11:21:21 --startdatetime 2017-05-03T11:22:46 --delay 1 --endMP 204:233318 --enddatetime 2017-05-03T11:37:56 --enforcementcount 1 &gt;&gt;C:\Users\stu\Documents\GitHub\eaglep3-reporting\EC\2017-05-03-refined-times.txt</v>
      </c>
      <c r="AI70" s="99" t="str">
        <f t="shared" si="5"/>
        <v>echo {"issue":{"subject":"Overshot platform due to brake issues","project_id":79,"tracker_id":40,"status_id":1,"priority_id":2,"assigned_to_id":23,"start_date":"2017-05-03","description":"","custom_fields":[{"id":1,"name":"Subdivision","value":"EC"},{"id":4,"name":"Milepost","value":"23.3318"},{"id":17,"name":"Train ID","value":"157-03"},{"id":16,"name":"Locomotive ID","value":"4012"},{"id":130,"name":"Impact","value":""},{"id":150,"name":"Time of Event (Mountain Time)","value":"11:37:56"},{"id":151,"name":"Denver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6"/>
        <v>start /low /b %USERPROFILE%\Documents\GitHub\eaglep3\Utilities\DownloadLogsFromS3.py --loco 4012 --day 2017-05-03</v>
      </c>
      <c r="AN70" s="154" t="str">
        <f t="shared" si="7"/>
        <v>echo {"issue":{"subject":"Overshot platform due to brake issues","project_id":30,"tracker_id":4,"status_id":1,"priority_id":1,"assigned_to_id":10,"start_date":"2017-05-03","description":"","custom_fields":[{"id":30,"name":"Category","value":"Issue"},{"id":3,"name":"Functional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17:37:56"},{"id":29,"name":"Sharepoint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596</v>
      </c>
      <c r="B71" s="7">
        <v>4012</v>
      </c>
      <c r="C71" s="21" t="s">
        <v>210</v>
      </c>
      <c r="D71" s="21" t="s">
        <v>547</v>
      </c>
      <c r="E71" s="13">
        <v>42858.44935185185</v>
      </c>
      <c r="F71" s="13">
        <v>42858.450416666667</v>
      </c>
      <c r="G71" s="7">
        <v>1</v>
      </c>
      <c r="H71" s="21" t="s">
        <v>871</v>
      </c>
      <c r="I71" s="13">
        <v>42858.469548611109</v>
      </c>
      <c r="J71" s="7">
        <v>0</v>
      </c>
      <c r="K71" s="92" t="str">
        <f>IF(ISEVEN(B71),(B71-1)&amp;"/"&amp;B71,B71&amp;"/"&amp;(B71+1))</f>
        <v>4011/4012</v>
      </c>
      <c r="L71" s="21" t="str">
        <f>VLOOKUP(A71,'Trips&amp;Operators'!$C$1:$G$99999,5,FALSE)</f>
        <v>MAYBERRY BILL</v>
      </c>
      <c r="M71" s="6">
        <f>I71-F71</f>
        <v>1.9131944442051463E-2</v>
      </c>
      <c r="N71" s="7"/>
      <c r="O71" s="7"/>
      <c r="P71" s="7"/>
      <c r="Q71" s="22"/>
      <c r="R71" s="190"/>
      <c r="S71" s="196"/>
      <c r="T71" s="190" t="str">
        <f>IF(ISEVEN(LEFT(AD71,4)),"Southbound","NorthBound")</f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-05-03T09:47:04-0600',mode:absolute,to:'2017-05-03T12:16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1" s="192" t="str">
        <f>IF(AA71&lt;IF(AG71="EC",23,5.65),"Y","N")</f>
        <v>Y</v>
      </c>
      <c r="X71" s="192">
        <f>VALUE(LEFT(AD71,4))-VALUE(LEFT(AD70,4))</f>
        <v>0</v>
      </c>
      <c r="Y71" s="192">
        <f>RIGHT(D71,LEN(D71)-4)/10000</f>
        <v>4.3700000000000003E-2</v>
      </c>
      <c r="Z71" s="192">
        <f>RIGHT(H71,LEN(H71)-4)/10000</f>
        <v>15.5489</v>
      </c>
      <c r="AA71" s="192">
        <f>ABS(Z71-Y71)</f>
        <v>15.5052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>IF(LEN(A71)=6,"0"&amp;A71,A71)</f>
        <v>0157-03</v>
      </c>
      <c r="AE71" s="80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AF71" s="77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/stypes="app*4012*20170503*" /stext=" 17:.+((SYSTEM_STATE.+slice.+state.+changed )|(ment ac)|(multiple cpu faults)|(system.+state.+changed )|(\[timeout)|(PRM\|1\|D)|(kpr)|(kdp)|(train st.+moving)|(\|lc)|(penalty))"</v>
      </c>
      <c r="AG71" s="1" t="str">
        <f>IFERROR(IF(VALUE(LEFT(AD71,2))&lt;=2,"EC",IF(OR(VALUE(LEFT(AD71,2))=8,VALUE(LEFT(AD71,2))=18),"NW","Other")),"Other")</f>
        <v>EC</v>
      </c>
      <c r="AH71" s="81" t="str">
        <f t="shared" si="4"/>
        <v>"%USERPROFILE%\Documents\GitHub\eaglep3\Utilities\RefineRTDCRunTimes.py" --tripid 157-03 --locoid 4012 --swversion DE.1.0.9.0 --startMP 204:437 --initTime 2017-05-03T10:47:04 --startdatetime 2017-05-03T10:48:36 --delay 1 --endMP 204:155489 --enddatetime 2017-05-03T11:16:09 --enforcementcount 0 &gt;&gt;C:\Users\stu\Documents\GitHub\eaglep3-reporting\EC\2017-05-03-refined-times.txt</v>
      </c>
      <c r="AI71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{"issue":{"subject":"","project_id":79,"tracker_id":40,"status_id":1,"priority_id":2,"assigned_to_id":23,"start_date":"2017-05-03","description":"","custom_fields":[{"id":1,"name":"Subdivision","value":"EC"},{"id":4,"name":"Milepost","value":"15.5489"},{"id":17,"name":"Train ID","value":"157-03"},{"id":16,"name":"Locomotive ID","value":"4012"},{"id":130,"name":"Impact","value":""},{"id":150,"name":"Time of Event (Mountain Time)","value":"11:16:09"},{"id":151,"name":"Denver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6"/>
        <v>start /low /b %USERPROFILE%\Documents\GitHub\eaglep3\Utilities\DownloadLogsFromS3.py --loco 4012 --day 2017-05-03</v>
      </c>
      <c r="AN71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17:16:09"},{"id":29,"name":"Sharepoint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717</v>
      </c>
      <c r="B72" s="7">
        <v>4011</v>
      </c>
      <c r="C72" s="21" t="s">
        <v>210</v>
      </c>
      <c r="D72" s="21" t="s">
        <v>557</v>
      </c>
      <c r="E72" s="13">
        <v>42858.485902777778</v>
      </c>
      <c r="F72" s="13">
        <v>42858.487685185188</v>
      </c>
      <c r="G72" s="7">
        <v>1</v>
      </c>
      <c r="H72" s="21" t="s">
        <v>447</v>
      </c>
      <c r="I72" s="13">
        <v>42858.515902777777</v>
      </c>
      <c r="J72" s="7">
        <v>0</v>
      </c>
      <c r="K72" s="92" t="str">
        <f>IF(ISEVEN(B72),(B72-1)&amp;"/"&amp;B72,B72&amp;"/"&amp;(B72+1))</f>
        <v>4011/4012</v>
      </c>
      <c r="L72" s="21" t="str">
        <f>VLOOKUP(A72,'Trips&amp;Operators'!$C$1:$G$99999,5,FALSE)</f>
        <v>MAYBERRY BILL</v>
      </c>
      <c r="M72" s="6">
        <f>I72-F72</f>
        <v>2.8217592589498963E-2</v>
      </c>
      <c r="N72" s="7">
        <f>24*60*SUM($M72:$M72)</f>
        <v>40.633333328878507</v>
      </c>
      <c r="O72" s="7"/>
      <c r="P72" s="7"/>
      <c r="Q72" s="22"/>
      <c r="R72" s="190"/>
      <c r="S72" s="196">
        <f>SUM(U72:U72)/IF(AG72="EC",12,1)</f>
        <v>1</v>
      </c>
      <c r="T72" s="190" t="str">
        <f>IF(ISEVEN(LEFT(AD72,4)),"Southbound","NorthBound")</f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-05-03T10:39:42-0600',mode:absolute,to:'2017-05-03T13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2" s="192" t="str">
        <f>IF(AA72&lt;IF(AG72="EC",23,5.65),"Y","N")</f>
        <v>N</v>
      </c>
      <c r="X72" s="192">
        <f>VALUE(LEFT(AD72,4))-VALUE(LEFT(AD71,4))</f>
        <v>1</v>
      </c>
      <c r="Y72" s="192">
        <f>RIGHT(D72,LEN(D72)-4)/10000</f>
        <v>23.297499999999999</v>
      </c>
      <c r="Z72" s="192">
        <f>RIGHT(H72,LEN(H72)-4)/10000</f>
        <v>1.61E-2</v>
      </c>
      <c r="AA72" s="192">
        <f>ABS(Z72-Y72)</f>
        <v>23.281399999999998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>IF(LEN(A72)=6,"0"&amp;A72,A72)</f>
        <v>0158-03</v>
      </c>
      <c r="AE72" s="80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s3://rtdc.mdm.uploadarchive.raw/RTDC4011/ "%USERPROFILE%\AppData\Local\Temp\OnboardLogs"\RTDC4011\2017-05-03 --exclude "*" --recursive --include "*20170503*" &amp; "%USERPROFILE%\Documents\GitHub\mrs-test-scripts\Headless Mode &amp; Sideloading\WalkAndUnGZ.bat" "%USERPROFILE%\AppData\Local\Temp\OnboardLogs"\RTDC4011\2017-05-03 &amp; aws s3 cp s3://rtdc.mdm.uploadarchive.raw/RTDC4011/ "%USERPROFILE%\AppData\Local\Temp\OnboardLogs"\RTDC4011\2017-05-04 --exclude "*" --recursive --include "*20170504*" &amp; "%USERPROFILE%\Documents\GitHub\mrs-test-scripts\Headless Mode &amp; Sideloading\WalkAndUnGZ.bat" "%USERPROFILE%\AppData\Local\Temp\OnboardLogs"\RTDC4011\2017-05-04</v>
      </c>
      <c r="AF72" s="77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/stypes="app*4011*20170503*" /stext=" 18:.+((SYSTEM_STATE.+slice.+state.+changed )|(ment ac)|(multiple cpu faults)|(system.+state.+changed )|(\[timeout)|(PRM\|1\|D)|(kpr)|(kdp)|(train st.+moving)|(\|lc)|(penalty))"</v>
      </c>
      <c r="AG72" s="1" t="str">
        <f>IFERROR(IF(VALUE(LEFT(AD72,2))&lt;=2,"EC",IF(OR(VALUE(LEFT(AD72,2))=8,VALUE(LEFT(AD72,2))=18),"NW","Other")),"Other")</f>
        <v>EC</v>
      </c>
      <c r="AH72" s="81" t="str">
        <f t="shared" si="4"/>
        <v>"%USERPROFILE%\Documents\GitHub\eaglep3\Utilities\RefineRTDCRunTimes.py" --tripid 158-03 --locoid 4011 --swversion DE.1.0.9.0 --startMP 204:232975 --initTime 2017-05-03T11:39:42 --startdatetime 2017-05-03T11:42:16 --delay 1 --endMP 204:161 --enddatetime 2017-05-03T12:22:54 --enforcementcount 0 &gt;&gt;C:\Users\stu\Documents\GitHub\eaglep3-reporting\EC\2017-05-03-refined-times.txt</v>
      </c>
      <c r="AI72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{"issue":{"subject":"","project_id":79,"tracker_id":40,"status_id":1,"priority_id":2,"assigned_to_id":23,"start_date":"2017-05-03","description":"","custom_fields":[{"id":1,"name":"Subdivision","value":"EC"},{"id":4,"name":"Milepost","value":"0.0161"},{"id":17,"name":"Train ID","value":"158-03"},{"id":16,"name":"Locomotive ID","value":"4011"},{"id":130,"name":"Impact","value":""},{"id":150,"name":"Time of Event (Mountain Time)","value":"12:22:54"},{"id":151,"name":"Denver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si="6"/>
        <v>start /low /b %USERPROFILE%\Documents\GitHub\eaglep3\Utilities\DownloadLogsFromS3.py --loco 4011 --day 2017-05-03</v>
      </c>
      <c r="AN72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708</v>
      </c>
      <c r="B73" s="7">
        <v>4054</v>
      </c>
      <c r="C73" s="21" t="s">
        <v>210</v>
      </c>
      <c r="D73" s="21" t="s">
        <v>413</v>
      </c>
      <c r="E73" s="13">
        <v>42858.454317129632</v>
      </c>
      <c r="F73" s="13">
        <v>42858.458495370367</v>
      </c>
      <c r="G73" s="7">
        <v>2</v>
      </c>
      <c r="H73" s="21" t="s">
        <v>872</v>
      </c>
      <c r="I73" s="13">
        <v>42858.487071759257</v>
      </c>
      <c r="J73" s="7">
        <v>0</v>
      </c>
      <c r="K73" s="92" t="str">
        <f>IF(ISEVEN(B73),(B73-1)&amp;"/"&amp;B73,B73&amp;"/"&amp;(B73+1))</f>
        <v>4053/4054</v>
      </c>
      <c r="L73" s="21" t="str">
        <f>VLOOKUP(A73,'Trips&amp;Operators'!$C$1:$G$99999,5,FALSE)</f>
        <v>CLARK KATHLEEN</v>
      </c>
      <c r="M73" s="6">
        <f>I73-F73</f>
        <v>2.8576388889632653E-2</v>
      </c>
      <c r="N73" s="7">
        <f>24*60*SUM($M73:$M73)</f>
        <v>41.150000001071021</v>
      </c>
      <c r="O73" s="7"/>
      <c r="P73" s="7"/>
      <c r="Q73" s="22"/>
      <c r="R73" s="190"/>
      <c r="S73" s="196">
        <f>SUM(U73:U73)/IF(AG73="EC",12,1)</f>
        <v>1</v>
      </c>
      <c r="T73" s="190" t="str">
        <f>IF(ISEVEN(LEFT(AD73,4)),"Southbound","NorthBound")</f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-05-03T09:54:13-0600',mode:absolute,to:'2017-05-03T12:41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73" s="192" t="str">
        <f>IF(AA73&lt;IF(AG73="EC",23,5.65),"Y","N")</f>
        <v>N</v>
      </c>
      <c r="X73" s="192">
        <f>VALUE(LEFT(AD73,4))-VALUE(LEFT(AD72,4))</f>
        <v>1</v>
      </c>
      <c r="Y73" s="192">
        <f>RIGHT(D73,LEN(D73)-4)/10000</f>
        <v>4.5100000000000001E-2</v>
      </c>
      <c r="Z73" s="192">
        <f>RIGHT(H73,LEN(H73)-4)/10000</f>
        <v>23.3276</v>
      </c>
      <c r="AA73" s="192">
        <f>ABS(Z73-Y73)</f>
        <v>23.282499999999999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>IF(LEN(A73)=6,"0"&amp;A73,A73)</f>
        <v>0159-03</v>
      </c>
      <c r="AE73" s="80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 &amp; 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</v>
      </c>
      <c r="AF73" s="77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/stypes="app*4054*20170503*" /stext=" 17:.+((SYSTEM_STATE.+slice.+state.+changed )|(ment ac)|(multiple cpu faults)|(system.+state.+changed )|(\[timeout)|(PRM\|1\|D)|(kpr)|(kdp)|(train st.+moving)|(\|lc)|(penalty))"</v>
      </c>
      <c r="AG73" s="1" t="str">
        <f>IFERROR(IF(VALUE(LEFT(AD73,2))&lt;=2,"EC",IF(OR(VALUE(LEFT(AD73,2))=8,VALUE(LEFT(AD73,2))=18),"NW","Other")),"Other")</f>
        <v>EC</v>
      </c>
      <c r="AH73" s="81" t="str">
        <f t="shared" si="4"/>
        <v>"%USERPROFILE%\Documents\GitHub\eaglep3\Utilities\RefineRTDCRunTimes.py" --tripid 159-03 --locoid 4054 --swversion DE.1.0.9.0 --startMP 204:451 --initTime 2017-05-03T10:54:13 --startdatetime 2017-05-03T11:00:14 --delay 2 --endMP 204:233276 --enddatetime 2017-05-03T11:41:23 --enforcementcount 0 &gt;&gt;C:\Users\stu\Documents\GitHub\eaglep3-reporting\EC\2017-05-03-refined-times.txt</v>
      </c>
      <c r="AI73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{"issue":{"subject":"","project_id":79,"tracker_id":40,"status_id":1,"priority_id":2,"assigned_to_id":23,"start_date":"2017-05-03","description":"","custom_fields":[{"id":1,"name":"Subdivision","value":"EC"},{"id":4,"name":"Milepost","value":"23.3276"},{"id":17,"name":"Train ID","value":"159-03"},{"id":16,"name":"Locomotive ID","value":"4054"},{"id":130,"name":"Impact","value":""},{"id":150,"name":"Time of Event (Mountain Time)","value":"11:41:23"},{"id":151,"name":"Denver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6"/>
        <v>start /low /b %USERPROFILE%\Documents\GitHub\eaglep3\Utilities\DownloadLogsFromS3.py --loco 4054 --day 2017-05-03</v>
      </c>
      <c r="AN73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17:41:23"},{"id":29,"name":"Sharepoint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719</v>
      </c>
      <c r="B74" s="7">
        <v>4053</v>
      </c>
      <c r="C74" s="21" t="s">
        <v>210</v>
      </c>
      <c r="D74" s="21" t="s">
        <v>873</v>
      </c>
      <c r="E74" s="13">
        <v>42858.494039351855</v>
      </c>
      <c r="F74" s="13">
        <v>42858.497407407405</v>
      </c>
      <c r="G74" s="7">
        <v>1</v>
      </c>
      <c r="H74" s="21" t="s">
        <v>874</v>
      </c>
      <c r="I74" s="13">
        <v>42858.526134259257</v>
      </c>
      <c r="J74" s="7">
        <v>0</v>
      </c>
      <c r="K74" s="92" t="str">
        <f>IF(ISEVEN(B74),(B74-1)&amp;"/"&amp;B74,B74&amp;"/"&amp;(B74+1))</f>
        <v>4053/4054</v>
      </c>
      <c r="L74" s="21" t="str">
        <f>VLOOKUP(A74,'Trips&amp;Operators'!$C$1:$G$99999,5,FALSE)</f>
        <v>CLARK KATHLEEN</v>
      </c>
      <c r="M74" s="6">
        <f>I74-F74</f>
        <v>2.8726851851388346E-2</v>
      </c>
      <c r="N74" s="7">
        <f>24*60*SUM($M74:$M74)</f>
        <v>41.366666665999219</v>
      </c>
      <c r="O74" s="7"/>
      <c r="P74" s="7"/>
      <c r="Q74" s="22"/>
      <c r="R74" s="190"/>
      <c r="S74" s="196">
        <f>SUM(U74:U74)/IF(AG74="EC",12,1)</f>
        <v>1</v>
      </c>
      <c r="T74" s="190" t="str">
        <f>IF(ISEVEN(LEFT(AD74,4)),"Southbound","NorthBound")</f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-05-03T10:51:25-0600',mode:absolute,to:'2017-05-03T13:37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4" s="192" t="str">
        <f>IF(AA74&lt;IF(AG74="EC",23,5.65),"Y","N")</f>
        <v>N</v>
      </c>
      <c r="X74" s="192">
        <f>VALUE(LEFT(AD74,4))-VALUE(LEFT(AD73,4))</f>
        <v>1</v>
      </c>
      <c r="Y74" s="192">
        <f>RIGHT(D74,LEN(D74)-4)/10000</f>
        <v>23.296399999999998</v>
      </c>
      <c r="Z74" s="192">
        <f>RIGHT(H74,LEN(H74)-4)/10000</f>
        <v>1.78E-2</v>
      </c>
      <c r="AA74" s="192">
        <f>ABS(Z74-Y74)</f>
        <v>23.278599999999997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>IF(LEN(A74)=6,"0"&amp;A74,A74)</f>
        <v>0160-03</v>
      </c>
      <c r="AE74" s="80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74" s="77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/stypes="app*4053*20170503*" /stext=" 18:.+((SYSTEM_STATE.+slice.+state.+changed )|(ment ac)|(multiple cpu faults)|(system.+state.+changed )|(\[timeout)|(PRM\|1\|D)|(kpr)|(kdp)|(train st.+moving)|(\|lc)|(penalty))"</v>
      </c>
      <c r="AG74" s="1" t="str">
        <f>IFERROR(IF(VALUE(LEFT(AD74,2))&lt;=2,"EC",IF(OR(VALUE(LEFT(AD74,2))=8,VALUE(LEFT(AD74,2))=18),"NW","Other")),"Other")</f>
        <v>EC</v>
      </c>
      <c r="AH74" s="81" t="str">
        <f t="shared" si="4"/>
        <v>"%USERPROFILE%\Documents\GitHub\eaglep3\Utilities\RefineRTDCRunTimes.py" --tripid 160-03 --locoid 4053 --swversion DE.1.0.9.0 --startMP 204:232964 --initTime 2017-05-03T11:51:25 --startdatetime 2017-05-03T11:56:16 --delay 1 --endMP 204:178 --enddatetime 2017-05-03T12:37:38 --enforcementcount 0 &gt;&gt;C:\Users\stu\Documents\GitHub\eaglep3-reporting\EC\2017-05-03-refined-times.txt</v>
      </c>
      <c r="AI74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{"issue":{"subject":"","project_id":79,"tracker_id":40,"status_id":1,"priority_id":2,"assigned_to_id":23,"start_date":"2017-05-03","description":"","custom_fields":[{"id":1,"name":"Subdivision","value":"EC"},{"id":4,"name":"Milepost","value":"0.0178"},{"id":17,"name":"Train ID","value":"160-03"},{"id":16,"name":"Locomotive ID","value":"4053"},{"id":130,"name":"Impact","value":""},{"id":150,"name":"Time of Event (Mountain Time)","value":"12:37:38"},{"id":151,"name":"Denver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6"/>
        <v>start /low /b %USERPROFILE%\Documents\GitHub\eaglep3\Utilities\DownloadLogsFromS3.py --loco 4053 --day 2017-05-03</v>
      </c>
      <c r="AN74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711</v>
      </c>
      <c r="B75" s="7">
        <v>4030</v>
      </c>
      <c r="C75" s="21" t="s">
        <v>210</v>
      </c>
      <c r="D75" s="21" t="s">
        <v>542</v>
      </c>
      <c r="E75" s="13">
        <v>42858.467118055552</v>
      </c>
      <c r="F75" s="13">
        <v>42858.469664351855</v>
      </c>
      <c r="G75" s="7">
        <v>2</v>
      </c>
      <c r="H75" s="21" t="s">
        <v>841</v>
      </c>
      <c r="I75" s="13">
        <v>42858.495613425926</v>
      </c>
      <c r="J75" s="7">
        <v>0</v>
      </c>
      <c r="K75" s="92" t="str">
        <f>IF(ISEVEN(B75),(B75-1)&amp;"/"&amp;B75,B75&amp;"/"&amp;(B75+1))</f>
        <v>4029/4030</v>
      </c>
      <c r="L75" s="21" t="str">
        <f>VLOOKUP(A75,'Trips&amp;Operators'!$C$1:$G$99999,5,FALSE)</f>
        <v>DAVIS MICHAEL</v>
      </c>
      <c r="M75" s="6">
        <f>I75-F75</f>
        <v>2.5949074071832001E-2</v>
      </c>
      <c r="N75" s="7">
        <f>24*60*SUM($M75:$M75)</f>
        <v>37.366666663438082</v>
      </c>
      <c r="O75" s="7"/>
      <c r="P75" s="7"/>
      <c r="Q75" s="22"/>
      <c r="R75" s="190"/>
      <c r="S75" s="196">
        <f>SUM(U75:U75)/IF(AG75="EC",12,1)</f>
        <v>1</v>
      </c>
      <c r="T75" s="190" t="str">
        <f>IF(ISEVEN(LEFT(AD75,4)),"Southbound","NorthBound")</f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-05-03T10:12:39-0600',mode:absolute,to:'2017-05-03T12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5" s="192" t="str">
        <f>IF(AA75&lt;IF(AG75="EC",23,5.65),"Y","N")</f>
        <v>N</v>
      </c>
      <c r="X75" s="192">
        <f>VALUE(LEFT(AD75,4))-VALUE(LEFT(AD74,4))</f>
        <v>1</v>
      </c>
      <c r="Y75" s="192">
        <f>RIGHT(D75,LEN(D75)-4)/10000</f>
        <v>4.4200000000000003E-2</v>
      </c>
      <c r="Z75" s="192">
        <f>RIGHT(H75,LEN(H75)-4)/10000</f>
        <v>23.332999999999998</v>
      </c>
      <c r="AA75" s="192">
        <f>ABS(Z75-Y75)</f>
        <v>23.288799999999998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>IF(LEN(A75)=6,"0"&amp;A75,A75)</f>
        <v>0161-03</v>
      </c>
      <c r="AE75" s="80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75" s="77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/stypes="app*4030*20170503*" /stext=" 17:.+((SYSTEM_STATE.+slice.+state.+changed )|(ment ac)|(multiple cpu faults)|(system.+state.+changed )|(\[timeout)|(PRM\|1\|D)|(kpr)|(kdp)|(train st.+moving)|(\|lc)|(penalty))"</v>
      </c>
      <c r="AG75" s="1" t="str">
        <f>IFERROR(IF(VALUE(LEFT(AD75,2))&lt;=2,"EC",IF(OR(VALUE(LEFT(AD75,2))=8,VALUE(LEFT(AD75,2))=18),"NW","Other")),"Other")</f>
        <v>EC</v>
      </c>
      <c r="AH75" s="81" t="str">
        <f t="shared" si="4"/>
        <v>"%USERPROFILE%\Documents\GitHub\eaglep3\Utilities\RefineRTDCRunTimes.py" --tripid 161-03 --locoid 4030 --swversion DE.1.0.9.0 --startMP 204:442 --initTime 2017-05-03T11:12:39 --startdatetime 2017-05-03T11:16:19 --delay 2 --endMP 204:233330 --enddatetime 2017-05-03T11:53:41 --enforcementcount 0 &gt;&gt;C:\Users\stu\Documents\GitHub\eaglep3-reporting\EC\2017-05-03-refined-times.txt</v>
      </c>
      <c r="AI75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{"issue":{"subject":"","project_id":79,"tracker_id":40,"status_id":1,"priority_id":2,"assigned_to_id":23,"start_date":"2017-05-03","description":"","custom_fields":[{"id":1,"name":"Subdivision","value":"EC"},{"id":4,"name":"Milepost","value":"23.333"},{"id":17,"name":"Train ID","value":"161-03"},{"id":16,"name":"Locomotive ID","value":"4030"},{"id":130,"name":"Impact","value":""},{"id":150,"name":"Time of Event (Mountain Time)","value":"11:53:41"},{"id":151,"name":"Denver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6"/>
        <v>start /low /b %USERPROFILE%\Documents\GitHub\eaglep3\Utilities\DownloadLogsFromS3.py --loco 4030 --day 2017-05-03</v>
      </c>
      <c r="AN75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721</v>
      </c>
      <c r="B76" s="7">
        <v>4029</v>
      </c>
      <c r="C76" s="21" t="s">
        <v>210</v>
      </c>
      <c r="D76" s="21" t="s">
        <v>557</v>
      </c>
      <c r="E76" s="13">
        <v>42858.505266203705</v>
      </c>
      <c r="F76" s="13">
        <v>42858.507951388892</v>
      </c>
      <c r="G76" s="7">
        <v>2</v>
      </c>
      <c r="H76" s="21" t="s">
        <v>197</v>
      </c>
      <c r="I76" s="13">
        <v>42858.535462962966</v>
      </c>
      <c r="J76" s="7">
        <v>0</v>
      </c>
      <c r="K76" s="92" t="str">
        <f>IF(ISEVEN(B76),(B76-1)&amp;"/"&amp;B76,B76&amp;"/"&amp;(B76+1))</f>
        <v>4029/4030</v>
      </c>
      <c r="L76" s="21" t="str">
        <f>VLOOKUP(A76,'Trips&amp;Operators'!$C$1:$G$99999,5,FALSE)</f>
        <v>DAVIS MICHAEL</v>
      </c>
      <c r="M76" s="6">
        <f>I76-F76</f>
        <v>2.7511574073287193E-2</v>
      </c>
      <c r="N76" s="7">
        <f>24*60*SUM($M76:$M76)</f>
        <v>39.616666665533558</v>
      </c>
      <c r="O76" s="7"/>
      <c r="P76" s="7"/>
      <c r="Q76" s="22"/>
      <c r="R76" s="190"/>
      <c r="S76" s="196">
        <f>SUM(U76:U76)/IF(AG76="EC",12,1)</f>
        <v>1</v>
      </c>
      <c r="T76" s="190" t="str">
        <f>IF(ISEVEN(LEFT(AD76,4)),"Southbound","NorthBound")</f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-05-03T11:07:35-0600',mode:absolute,to:'2017-05-03T13:51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6" s="192" t="str">
        <f>IF(AA76&lt;IF(AG76="EC",23,5.65),"Y","N")</f>
        <v>N</v>
      </c>
      <c r="X76" s="192">
        <f>VALUE(LEFT(AD76,4))-VALUE(LEFT(AD75,4))</f>
        <v>1</v>
      </c>
      <c r="Y76" s="192">
        <f>RIGHT(D76,LEN(D76)-4)/10000</f>
        <v>23.297499999999999</v>
      </c>
      <c r="Z76" s="192">
        <f>RIGHT(H76,LEN(H76)-4)/10000</f>
        <v>1.52E-2</v>
      </c>
      <c r="AA76" s="192">
        <f>ABS(Z76-Y76)</f>
        <v>23.282299999999999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>IF(LEN(A76)=6,"0"&amp;A76,A76)</f>
        <v>0162-03</v>
      </c>
      <c r="AE76" s="80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76" s="77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/stypes="app*4029*20170503*" /stext=" 18:.+((SYSTEM_STATE.+slice.+state.+changed )|(ment ac)|(multiple cpu faults)|(system.+state.+changed )|(\[timeout)|(PRM\|1\|D)|(kpr)|(kdp)|(train st.+moving)|(\|lc)|(penalty))"</v>
      </c>
      <c r="AG76" s="1" t="str">
        <f>IFERROR(IF(VALUE(LEFT(AD76,2))&lt;=2,"EC",IF(OR(VALUE(LEFT(AD76,2))=8,VALUE(LEFT(AD76,2))=18),"NW","Other")),"Other")</f>
        <v>EC</v>
      </c>
      <c r="AH76" s="81" t="str">
        <f t="shared" si="4"/>
        <v>"%USERPROFILE%\Documents\GitHub\eaglep3\Utilities\RefineRTDCRunTimes.py" --tripid 162-03 --locoid 4029 --swversion DE.1.0.9.0 --startMP 204:232975 --initTime 2017-05-03T12:07:35 --startdatetime 2017-05-03T12:11:27 --delay 2 --endMP 204:152 --enddatetime 2017-05-03T12:51:04 --enforcementcount 0 &gt;&gt;C:\Users\stu\Documents\GitHub\eaglep3-reporting\EC\2017-05-03-refined-times.txt</v>
      </c>
      <c r="AI76" s="99" t="str">
        <f t="shared" si="5"/>
        <v>echo {"issue":{"subject":"","project_id":79,"tracker_id":40,"status_id":1,"priority_id":2,"assigned_to_id":23,"start_date":"2017-05-03","description":"","custom_fields":[{"id":1,"name":"Subdivision","value":"EC"},{"id":4,"name":"Milepost","value":"0.0152"},{"id":17,"name":"Train ID","value":"162-03"},{"id":16,"name":"Locomotive ID","value":"4029"},{"id":130,"name":"Impact","value":""},{"id":150,"name":"Time of Event (Mountain Time)","value":"12:51:04"},{"id":151,"name":"Denver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6"/>
        <v>start /low /b %USERPROFILE%\Documents\GitHub\eaglep3\Utilities\DownloadLogsFromS3.py --loco 4029 --day 2017-05-03</v>
      </c>
      <c r="AN76" s="154" t="str">
        <f t="shared" si="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18:51:04"},{"id":29,"name":"Sharepoint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715</v>
      </c>
      <c r="B77" s="7">
        <v>4016</v>
      </c>
      <c r="C77" s="21" t="s">
        <v>210</v>
      </c>
      <c r="D77" s="21" t="s">
        <v>409</v>
      </c>
      <c r="E77" s="13">
        <v>42858.476921296293</v>
      </c>
      <c r="F77" s="13">
        <v>42858.479525462964</v>
      </c>
      <c r="G77" s="7">
        <v>1</v>
      </c>
      <c r="H77" s="21" t="s">
        <v>845</v>
      </c>
      <c r="I77" s="13">
        <v>42858.505601851852</v>
      </c>
      <c r="J77" s="7">
        <v>0</v>
      </c>
      <c r="K77" s="92" t="str">
        <f>IF(ISEVEN(B77),(B77-1)&amp;"/"&amp;B77,B77&amp;"/"&amp;(B77+1))</f>
        <v>4015/4016</v>
      </c>
      <c r="L77" s="21" t="str">
        <f>VLOOKUP(A77,'Trips&amp;Operators'!$C$1:$G$99999,5,FALSE)</f>
        <v>ZEWDU DEREJE</v>
      </c>
      <c r="M77" s="6">
        <f>I77-F77</f>
        <v>2.6076388887304347E-2</v>
      </c>
      <c r="N77" s="7">
        <f>24*60*SUM($M77:$M77)</f>
        <v>37.54999999771826</v>
      </c>
      <c r="O77" s="7"/>
      <c r="P77" s="7"/>
      <c r="Q77" s="22"/>
      <c r="R77" s="190"/>
      <c r="S77" s="196">
        <f>SUM(U77:U77)/IF(AG77="EC",12,1)</f>
        <v>1</v>
      </c>
      <c r="T77" s="190" t="str">
        <f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-05-03T10:26:46-0600',mode:absolute,to:'2017-05-03T13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7" s="192" t="str">
        <f>IF(AA77&lt;IF(AG77="EC",23,5.65),"Y","N")</f>
        <v>N</v>
      </c>
      <c r="X77" s="192">
        <f>VALUE(LEFT(AD77,4))-VALUE(LEFT(AD76,4))</f>
        <v>1</v>
      </c>
      <c r="Y77" s="192">
        <f>RIGHT(D77,LEN(D77)-4)/10000</f>
        <v>4.6600000000000003E-2</v>
      </c>
      <c r="Z77" s="192">
        <f>RIGHT(H77,LEN(H77)-4)/10000</f>
        <v>23.3306</v>
      </c>
      <c r="AA77" s="192">
        <f>ABS(Z77-Y77)</f>
        <v>23.283999999999999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>IF(LEN(A77)=6,"0"&amp;A77,A77)</f>
        <v>0163-03</v>
      </c>
      <c r="AE77" s="80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77" s="77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/stypes="app*4016*20170503*" /stext=" 18:.+((SYSTEM_STATE.+slice.+state.+changed )|(ment ac)|(multiple cpu faults)|(system.+state.+changed )|(\[timeout)|(PRM\|1\|D)|(kpr)|(kdp)|(train st.+moving)|(\|lc)|(penalty))"</v>
      </c>
      <c r="AG77" s="1" t="str">
        <f>IFERROR(IF(VALUE(LEFT(AD77,2))&lt;=2,"EC",IF(OR(VALUE(LEFT(AD77,2))=8,VALUE(LEFT(AD77,2))=18),"NW","Other")),"Other")</f>
        <v>EC</v>
      </c>
      <c r="AH77" s="81" t="str">
        <f t="shared" ref="AH77:AH140" si="9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163-03 --locoid 4016 --swversion DE.1.0.9.0 --startMP 204:466 --initTime 2017-05-03T11:26:46 --startdatetime 2017-05-03T11:30:31 --delay 1 --endMP 204:233306 --enddatetime 2017-05-03T12:08:04 --enforcementcount 0 &gt;&gt;C:\Users\stu\Documents\GitHub\eaglep3-reporting\EC\2017-05-03-refined-times.txt</v>
      </c>
      <c r="AI77" s="99" t="str">
        <f t="shared" ref="AI77:AI140" si="10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{"issue":{"subject":"","project_id":79,"tracker_id":40,"status_id":1,"priority_id":2,"assigned_to_id":23,"start_date":"2017-05-03","description":"","custom_fields":[{"id":1,"name":"Subdivision","value":"EC"},{"id":4,"name":"Milepost","value":"23.3306"},{"id":17,"name":"Train ID","value":"163-03"},{"id":16,"name":"Locomotive ID","value":"4016"},{"id":130,"name":"Impact","value":""},{"id":150,"name":"Time of Event (Mountain Time)","value":"12:08:04"},{"id":151,"name":"Denver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ref="AM77:AM140" si="11">"start /low /b "&amp;dls3logs&amp;" --loco "&amp;B77&amp;" --day "&amp;TEXT(F77,"YYYY-MM-DD")</f>
        <v>start /low /b %USERPROFILE%\Documents\GitHub\eaglep3\Utilities\DownloadLogsFromS3.py --loco 4016 --day 2017-05-03</v>
      </c>
      <c r="AN77" s="154" t="str">
        <f t="shared" ref="AN77:AN140" si="12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598</v>
      </c>
      <c r="B78" s="7">
        <v>4015</v>
      </c>
      <c r="C78" s="21" t="s">
        <v>210</v>
      </c>
      <c r="D78" s="21" t="s">
        <v>548</v>
      </c>
      <c r="E78" s="13">
        <v>42858.507361111115</v>
      </c>
      <c r="F78" s="13">
        <v>42858.518229166664</v>
      </c>
      <c r="G78" s="7">
        <v>1</v>
      </c>
      <c r="H78" s="21" t="s">
        <v>466</v>
      </c>
      <c r="I78" s="13">
        <v>42858.545439814814</v>
      </c>
      <c r="J78" s="7">
        <v>0</v>
      </c>
      <c r="K78" s="92" t="str">
        <f>IF(ISEVEN(B78),(B78-1)&amp;"/"&amp;B78,B78&amp;"/"&amp;(B78+1))</f>
        <v>4015/4016</v>
      </c>
      <c r="L78" s="21" t="str">
        <f>VLOOKUP(A78,'Trips&amp;Operators'!$C$1:$G$99999,5,FALSE)</f>
        <v>ZEWDU DEREJE</v>
      </c>
      <c r="M78" s="6">
        <f>I78-F78</f>
        <v>2.7210648149775807E-2</v>
      </c>
      <c r="N78" s="7">
        <f>24*60*SUM($M78:$M78)</f>
        <v>39.183333335677162</v>
      </c>
      <c r="O78" s="7"/>
      <c r="P78" s="7"/>
      <c r="Q78" s="22"/>
      <c r="R78" s="190"/>
      <c r="S78" s="196">
        <f>SUM(U78:U78)/IF(AG78="EC",12,1)</f>
        <v>1</v>
      </c>
      <c r="T78" s="190" t="str">
        <f>IF(ISEVEN(LEFT(AD78,4)),"Southbound","NorthBound")</f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-05-03T11:10:36-0600',mode:absolute,to:'2017-05-03T14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8" s="192" t="str">
        <f>IF(AA78&lt;IF(AG78="EC",23,5.65),"Y","N")</f>
        <v>N</v>
      </c>
      <c r="X78" s="192">
        <f>VALUE(LEFT(AD78,4))-VALUE(LEFT(AD77,4))</f>
        <v>1</v>
      </c>
      <c r="Y78" s="192">
        <f>RIGHT(D78,LEN(D78)-4)/10000</f>
        <v>23.2989</v>
      </c>
      <c r="Z78" s="192">
        <f>RIGHT(H78,LEN(H78)-4)/10000</f>
        <v>1.6299999999999999E-2</v>
      </c>
      <c r="AA78" s="192">
        <f>ABS(Z78-Y78)</f>
        <v>23.282599999999999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>IF(LEN(A78)=6,"0"&amp;A78,A78)</f>
        <v>0164-03</v>
      </c>
      <c r="AE78" s="80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78" s="77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/stypes="app*4015*20170503*" /stext=" 19:.+((SYSTEM_STATE.+slice.+state.+changed )|(ment ac)|(multiple cpu faults)|(system.+state.+changed )|(\[timeout)|(PRM\|1\|D)|(kpr)|(kdp)|(train st.+moving)|(\|lc)|(penalty))"</v>
      </c>
      <c r="AG78" s="1" t="str">
        <f>IFERROR(IF(VALUE(LEFT(AD78,2))&lt;=2,"EC",IF(OR(VALUE(LEFT(AD78,2))=8,VALUE(LEFT(AD78,2))=18),"NW","Other")),"Other")</f>
        <v>EC</v>
      </c>
      <c r="AH78" s="81" t="str">
        <f t="shared" si="9"/>
        <v>"%USERPROFILE%\Documents\GitHub\eaglep3\Utilities\RefineRTDCRunTimes.py" --tripid 164-03 --locoid 4015 --swversion DE.1.0.9.0 --startMP 204:232989 --initTime 2017-05-03T12:10:36 --startdatetime 2017-05-03T12:26:15 --delay 1 --endMP 204:163 --enddatetime 2017-05-03T13:05:26 --enforcementcount 0 &gt;&gt;C:\Users\stu\Documents\GitHub\eaglep3-reporting\EC\2017-05-03-refined-times.txt</v>
      </c>
      <c r="AI78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{"issue":{"subject":"","project_id":79,"tracker_id":40,"status_id":1,"priority_id":2,"assigned_to_id":23,"start_date":"2017-05-03","description":"","custom_fields":[{"id":1,"name":"Subdivision","value":"EC"},{"id":4,"name":"Milepost","value":"0.0163"},{"id":17,"name":"Train ID","value":"164-03"},{"id":16,"name":"Locomotive ID","value":"4015"},{"id":130,"name":"Impact","value":""},{"id":150,"name":"Time of Event (Mountain Time)","value":"13:05:26"},{"id":151,"name":"Denver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si="11"/>
        <v>start /low /b %USERPROFILE%\Documents\GitHub\eaglep3\Utilities\DownloadLogsFromS3.py --loco 4015 --day 2017-05-03</v>
      </c>
      <c r="AN78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718</v>
      </c>
      <c r="B79" s="7">
        <v>4018</v>
      </c>
      <c r="C79" s="21" t="s">
        <v>210</v>
      </c>
      <c r="D79" s="21" t="s">
        <v>413</v>
      </c>
      <c r="E79" s="13">
        <v>42858.486030092594</v>
      </c>
      <c r="F79" s="13">
        <v>42858.489837962959</v>
      </c>
      <c r="G79" s="7">
        <v>1</v>
      </c>
      <c r="H79" s="21" t="s">
        <v>556</v>
      </c>
      <c r="I79" s="13">
        <v>42858.514201388891</v>
      </c>
      <c r="J79" s="7">
        <v>0</v>
      </c>
      <c r="K79" s="92" t="str">
        <f>IF(ISEVEN(B79),(B79-1)&amp;"/"&amp;B79,B79&amp;"/"&amp;(B79+1))</f>
        <v>4017/4018</v>
      </c>
      <c r="L79" s="21" t="str">
        <f>VLOOKUP(A79,'Trips&amp;Operators'!$C$1:$G$99999,5,FALSE)</f>
        <v>BIRENBAUM THOMAS</v>
      </c>
      <c r="M79" s="6">
        <f>I79-F79</f>
        <v>2.436342593136942E-2</v>
      </c>
      <c r="N79" s="7">
        <f>24*60*SUM($M79:$M79)</f>
        <v>35.083333341171965</v>
      </c>
      <c r="O79" s="7"/>
      <c r="P79" s="7"/>
      <c r="Q79" s="22"/>
      <c r="R79" s="190"/>
      <c r="S79" s="196">
        <f>SUM(U79:U79)/IF(AG79="EC",12,1)</f>
        <v>1</v>
      </c>
      <c r="T79" s="190" t="str">
        <f>IF(ISEVEN(LEFT(AD79,4)),"Southbound","NorthBound")</f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-05-03T10:39:53-0600',mode:absolute,to:'2017-05-03T13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9" s="192" t="str">
        <f>IF(AA79&lt;IF(AG79="EC",23,5.65),"Y","N")</f>
        <v>N</v>
      </c>
      <c r="X79" s="192">
        <f>VALUE(LEFT(AD79,4))-VALUE(LEFT(AD78,4))</f>
        <v>1</v>
      </c>
      <c r="Y79" s="192">
        <f>RIGHT(D79,LEN(D79)-4)/10000</f>
        <v>4.5100000000000001E-2</v>
      </c>
      <c r="Z79" s="192">
        <f>RIGHT(H79,LEN(H79)-4)/10000</f>
        <v>23.332599999999999</v>
      </c>
      <c r="AA79" s="192">
        <f>ABS(Z79-Y79)</f>
        <v>23.287499999999998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>IF(LEN(A79)=6,"0"&amp;A79,A79)</f>
        <v>0165-03</v>
      </c>
      <c r="AE79" s="80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 &amp; 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</v>
      </c>
      <c r="AF79" s="77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/stypes="app*4018*20170503*" /stext=" 18:.+((SYSTEM_STATE.+slice.+state.+changed )|(ment ac)|(multiple cpu faults)|(system.+state.+changed )|(\[timeout)|(PRM\|1\|D)|(kpr)|(kdp)|(train st.+moving)|(\|lc)|(penalty))"</v>
      </c>
      <c r="AG79" s="1" t="str">
        <f>IFERROR(IF(VALUE(LEFT(AD79,2))&lt;=2,"EC",IF(OR(VALUE(LEFT(AD79,2))=8,VALUE(LEFT(AD79,2))=18),"NW","Other")),"Other")</f>
        <v>EC</v>
      </c>
      <c r="AH79" s="81" t="str">
        <f t="shared" si="9"/>
        <v>"%USERPROFILE%\Documents\GitHub\eaglep3\Utilities\RefineRTDCRunTimes.py" --tripid 165-03 --locoid 4018 --swversion DE.1.0.9.0 --startMP 204:451 --initTime 2017-05-03T11:39:53 --startdatetime 2017-05-03T11:45:22 --delay 1 --endMP 204:233326 --enddatetime 2017-05-03T12:20:27 --enforcementcount 0 &gt;&gt;C:\Users\stu\Documents\GitHub\eaglep3-reporting\EC\2017-05-03-refined-times.txt</v>
      </c>
      <c r="AI79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{"issue":{"subject":"","project_id":79,"tracker_id":40,"status_id":1,"priority_id":2,"assigned_to_id":23,"start_date":"2017-05-03","description":"","custom_fields":[{"id":1,"name":"Subdivision","value":"EC"},{"id":4,"name":"Milepost","value":"23.3326"},{"id":17,"name":"Train ID","value":"165-03"},{"id":16,"name":"Locomotive ID","value":"4018"},{"id":130,"name":"Impact","value":""},{"id":150,"name":"Time of Event (Mountain Time)","value":"12:20:27"},{"id":151,"name":"Denver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11"/>
        <v>start /low /b %USERPROFILE%\Documents\GitHub\eaglep3\Utilities\DownloadLogsFromS3.py --loco 4018 --day 2017-05-03</v>
      </c>
      <c r="AN79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597</v>
      </c>
      <c r="B80" s="7">
        <v>4017</v>
      </c>
      <c r="C80" s="21" t="s">
        <v>210</v>
      </c>
      <c r="D80" s="21" t="s">
        <v>431</v>
      </c>
      <c r="E80" s="13">
        <v>42858.520092592589</v>
      </c>
      <c r="F80" s="13">
        <v>42858.528819444444</v>
      </c>
      <c r="G80" s="7">
        <v>1</v>
      </c>
      <c r="H80" s="21" t="s">
        <v>407</v>
      </c>
      <c r="I80" s="13">
        <v>42858.556446759256</v>
      </c>
      <c r="J80" s="7">
        <v>0</v>
      </c>
      <c r="K80" s="92" t="str">
        <f>IF(ISEVEN(B80),(B80-1)&amp;"/"&amp;B80,B80&amp;"/"&amp;(B80+1))</f>
        <v>4017/4018</v>
      </c>
      <c r="L80" s="21" t="str">
        <f>VLOOKUP(A80,'Trips&amp;Operators'!$C$1:$G$99999,5,FALSE)</f>
        <v>BIRENBAUM THOMAS</v>
      </c>
      <c r="M80" s="6">
        <f>I80-F80</f>
        <v>2.7627314811979886E-2</v>
      </c>
      <c r="N80" s="7">
        <f>24*60*SUM($M80:$M80)</f>
        <v>39.783333329251036</v>
      </c>
      <c r="O80" s="7"/>
      <c r="P80" s="7"/>
      <c r="Q80" s="22"/>
      <c r="R80" s="190"/>
      <c r="S80" s="196">
        <f>SUM(U80:U80)/IF(AG80="EC",12,1)</f>
        <v>1</v>
      </c>
      <c r="T80" s="190" t="str">
        <f>IF(ISEVEN(LEFT(AD80,4)),"Southbound","NorthBound")</f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-05-03T11:28:56-0600',mode:absolute,to:'2017-05-03T14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0" s="192" t="str">
        <f>IF(AA80&lt;IF(AG80="EC",23,5.65),"Y","N")</f>
        <v>N</v>
      </c>
      <c r="X80" s="192">
        <f>VALUE(LEFT(AD80,4))-VALUE(LEFT(AD79,4))</f>
        <v>1</v>
      </c>
      <c r="Y80" s="192">
        <f>RIGHT(D80,LEN(D80)-4)/10000</f>
        <v>23.3003</v>
      </c>
      <c r="Z80" s="192">
        <f>RIGHT(H80,LEN(H80)-4)/10000</f>
        <v>1.43E-2</v>
      </c>
      <c r="AA80" s="192">
        <f>ABS(Z80-Y80)</f>
        <v>23.286000000000001</v>
      </c>
      <c r="AB80" s="57" t="str">
        <f>VLOOKUP(A80,Enforcements!$C$7:$K$13,8,0)</f>
        <v>Bulletin (2)</v>
      </c>
      <c r="AC80" s="53" t="str">
        <f>VLOOKUP(A80,Enforcements!$C$7:$E$13,3,0)</f>
        <v>GRADE CROSSING</v>
      </c>
      <c r="AD80" s="54" t="str">
        <f>IF(LEN(A80)=6,"0"&amp;A80,A80)</f>
        <v>0166-03</v>
      </c>
      <c r="AE80" s="80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AF80" s="77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/stypes="app*4017*20170503*" /stext=" 19:.+((SYSTEM_STATE.+slice.+state.+changed )|(ment ac)|(multiple cpu faults)|(system.+state.+changed )|(\[timeout)|(PRM\|1\|D)|(kpr)|(kdp)|(train st.+moving)|(\|lc)|(penalty))"</v>
      </c>
      <c r="AG80" s="1" t="str">
        <f>IFERROR(IF(VALUE(LEFT(AD80,2))&lt;=2,"EC",IF(OR(VALUE(LEFT(AD80,2))=8,VALUE(LEFT(AD80,2))=18),"NW","Other")),"Other")</f>
        <v>EC</v>
      </c>
      <c r="AH80" s="81" t="str">
        <f t="shared" si="9"/>
        <v>"%USERPROFILE%\Documents\GitHub\eaglep3\Utilities\RefineRTDCRunTimes.py" --tripid 166-03 --locoid 4017 --swversion DE.1.0.9.0 --startMP 204:233003 --initTime 2017-05-03T12:28:56 --startdatetime 2017-05-03T12:41:30 --delay 1 --endMP 204:143 --enddatetime 2017-05-03T13:21:17 --enforcementcount 0 &gt;&gt;C:\Users\stu\Documents\GitHub\eaglep3-reporting\EC\2017-05-03-refined-times.txt</v>
      </c>
      <c r="AI80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{"issue":{"subject":"","project_id":79,"tracker_id":40,"status_id":1,"priority_id":2,"assigned_to_id":23,"start_date":"2017-05-03","description":"","custom_fields":[{"id":1,"name":"Subdivision","value":"EC"},{"id":4,"name":"Milepost","value":"0.0143"},{"id":17,"name":"Train ID","value":"166-03"},{"id":16,"name":"Locomotive ID","value":"4017"},{"id":130,"name":"Impact","value":""},{"id":150,"name":"Time of Event (Mountain Time)","value":"13:21:17"},{"id":151,"name":"Denver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11"/>
        <v>start /low /b %USERPROFILE%\Documents\GitHub\eaglep3\Utilities\DownloadLogsFromS3.py --loco 4017 --day 2017-05-03</v>
      </c>
      <c r="AN80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720</v>
      </c>
      <c r="B81" s="7">
        <v>4028</v>
      </c>
      <c r="C81" s="21" t="s">
        <v>210</v>
      </c>
      <c r="D81" s="21" t="s">
        <v>427</v>
      </c>
      <c r="E81" s="13">
        <v>42858.497210648151</v>
      </c>
      <c r="F81" s="13">
        <v>42858.500173611108</v>
      </c>
      <c r="G81" s="7">
        <v>1</v>
      </c>
      <c r="H81" s="21" t="s">
        <v>849</v>
      </c>
      <c r="I81" s="13">
        <v>42858.524513888886</v>
      </c>
      <c r="J81" s="7">
        <v>0</v>
      </c>
      <c r="K81" s="92" t="str">
        <f>IF(ISEVEN(B81),(B81-1)&amp;"/"&amp;B81,B81&amp;"/"&amp;(B81+1))</f>
        <v>4027/4028</v>
      </c>
      <c r="L81" s="21" t="str">
        <f>VLOOKUP(A81,'Trips&amp;Operators'!$C$1:$G$99999,5,FALSE)</f>
        <v>LALONDE GREGORY</v>
      </c>
      <c r="M81" s="6">
        <f>I81-F81</f>
        <v>2.4340277777810115E-2</v>
      </c>
      <c r="N81" s="7">
        <f>24*60*SUM($M81:$M81)</f>
        <v>35.050000000046566</v>
      </c>
      <c r="O81" s="7"/>
      <c r="P81" s="7"/>
      <c r="Q81" s="22"/>
      <c r="R81" s="190"/>
      <c r="S81" s="196">
        <f>SUM(U81:U81)/IF(AG81="EC",12,1)</f>
        <v>1</v>
      </c>
      <c r="T81" s="190" t="str">
        <f>IF(ISEVEN(LEFT(AD81,4)),"Southbound","NorthBound")</f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-05-03T10:55:59-0600',mode:absolute,to:'2017-05-03T13:35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1" s="192" t="str">
        <f>IF(AA81&lt;IF(AG81="EC",23,5.65),"Y","N")</f>
        <v>N</v>
      </c>
      <c r="X81" s="192">
        <f>VALUE(LEFT(AD81,4))-VALUE(LEFT(AD80,4))</f>
        <v>1</v>
      </c>
      <c r="Y81" s="192">
        <f>RIGHT(D81,LEN(D81)-4)/10000</f>
        <v>4.53E-2</v>
      </c>
      <c r="Z81" s="192">
        <f>RIGHT(H81,LEN(H81)-4)/10000</f>
        <v>23.334</v>
      </c>
      <c r="AA81" s="192">
        <f>ABS(Z81-Y81)</f>
        <v>23.288699999999999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>IF(LEN(A81)=6,"0"&amp;A81,A81)</f>
        <v>0167-03</v>
      </c>
      <c r="AE81" s="80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81" s="77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/stypes="app*4028*20170503*" /stext=" 18:.+((SYSTEM_STATE.+slice.+state.+changed )|(ment ac)|(multiple cpu faults)|(system.+state.+changed )|(\[timeout)|(PRM\|1\|D)|(kpr)|(kdp)|(train st.+moving)|(\|lc)|(penalty))"</v>
      </c>
      <c r="AG81" s="1" t="str">
        <f>IFERROR(IF(VALUE(LEFT(AD81,2))&lt;=2,"EC",IF(OR(VALUE(LEFT(AD81,2))=8,VALUE(LEFT(AD81,2))=18),"NW","Other")),"Other")</f>
        <v>EC</v>
      </c>
      <c r="AH81" s="81" t="str">
        <f t="shared" si="9"/>
        <v>"%USERPROFILE%\Documents\GitHub\eaglep3\Utilities\RefineRTDCRunTimes.py" --tripid 167-03 --locoid 4028 --swversion DE.1.0.9.0 --startMP 204:453 --initTime 2017-05-03T11:55:59 --startdatetime 2017-05-03T12:00:15 --delay 1 --endMP 204:233340 --enddatetime 2017-05-03T12:35:18 --enforcementcount 0 &gt;&gt;C:\Users\stu\Documents\GitHub\eaglep3-reporting\EC\2017-05-03-refined-times.txt</v>
      </c>
      <c r="AI81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{"issue":{"subject":"","project_id":79,"tracker_id":40,"status_id":1,"priority_id":2,"assigned_to_id":23,"start_date":"2017-05-03","description":"","custom_fields":[{"id":1,"name":"Subdivision","value":"EC"},{"id":4,"name":"Milepost","value":"23.334"},{"id":17,"name":"Train ID","value":"167-03"},{"id":16,"name":"Locomotive ID","value":"4028"},{"id":130,"name":"Impact","value":""},{"id":150,"name":"Time of Event (Mountain Time)","value":"12:35:18"},{"id":151,"name":"Denver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11"/>
        <v>start /low /b %USERPROFILE%\Documents\GitHub\eaglep3\Utilities\DownloadLogsFromS3.py --loco 4028 --day 2017-05-03</v>
      </c>
      <c r="AN81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18:35:18"},{"id":29,"name":"Sharepoint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729</v>
      </c>
      <c r="B82" s="7">
        <v>4027</v>
      </c>
      <c r="C82" s="21" t="s">
        <v>210</v>
      </c>
      <c r="D82" s="21" t="s">
        <v>875</v>
      </c>
      <c r="E82" s="13">
        <v>42858.527361111112</v>
      </c>
      <c r="F82" s="13">
        <v>42858.539074074077</v>
      </c>
      <c r="G82" s="7">
        <v>1</v>
      </c>
      <c r="H82" s="21" t="s">
        <v>203</v>
      </c>
      <c r="I82" s="13">
        <v>42858.566053240742</v>
      </c>
      <c r="J82" s="7">
        <v>0</v>
      </c>
      <c r="K82" s="92" t="str">
        <f>IF(ISEVEN(B82),(B82-1)&amp;"/"&amp;B82,B82&amp;"/"&amp;(B82+1))</f>
        <v>4027/4028</v>
      </c>
      <c r="L82" s="21" t="str">
        <f>VLOOKUP(A82,'Trips&amp;Operators'!$C$1:$G$99999,5,FALSE)</f>
        <v>LALONDE GREGORY</v>
      </c>
      <c r="M82" s="6">
        <f>I82-F82</f>
        <v>2.6979166665114462E-2</v>
      </c>
      <c r="N82" s="7">
        <f>24*60*SUM($M82:$M82)</f>
        <v>38.849999997764826</v>
      </c>
      <c r="O82" s="7"/>
      <c r="P82" s="7"/>
      <c r="Q82" s="22"/>
      <c r="R82" s="190"/>
      <c r="S82" s="196">
        <f>SUM(U82:U82)/IF(AG82="EC",12,1)</f>
        <v>1</v>
      </c>
      <c r="T82" s="190" t="str">
        <f>IF(ISEVEN(LEFT(AD82,4)),"Southbound","NorthBound")</f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-05-03T11:39:24-0600',mode:absolute,to:'2017-05-03T14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82" s="192" t="str">
        <f>IF(AA82&lt;IF(AG82="EC",23,5.65),"Y","N")</f>
        <v>N</v>
      </c>
      <c r="X82" s="192">
        <f>VALUE(LEFT(AD82,4))-VALUE(LEFT(AD81,4))</f>
        <v>1</v>
      </c>
      <c r="Y82" s="192">
        <f>RIGHT(D82,LEN(D82)-4)/10000</f>
        <v>23.301300000000001</v>
      </c>
      <c r="Z82" s="192">
        <f>RIGHT(H82,LEN(H82)-4)/10000</f>
        <v>1.54E-2</v>
      </c>
      <c r="AA82" s="192">
        <f>ABS(Z82-Y82)</f>
        <v>23.285900000000002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>IF(LEN(A82)=6,"0"&amp;A82,A82)</f>
        <v>0168-03</v>
      </c>
      <c r="AE82" s="80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82" s="77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/stypes="app*4027*20170503*" /stext=" 19:.+((SYSTEM_STATE.+slice.+state.+changed )|(ment ac)|(multiple cpu faults)|(system.+state.+changed )|(\[timeout)|(PRM\|1\|D)|(kpr)|(kdp)|(train st.+moving)|(\|lc)|(penalty))"</v>
      </c>
      <c r="AG82" s="1" t="str">
        <f>IFERROR(IF(VALUE(LEFT(AD82,2))&lt;=2,"EC",IF(OR(VALUE(LEFT(AD82,2))=8,VALUE(LEFT(AD82,2))=18),"NW","Other")),"Other")</f>
        <v>EC</v>
      </c>
      <c r="AH82" s="81" t="str">
        <f t="shared" si="9"/>
        <v>"%USERPROFILE%\Documents\GitHub\eaglep3\Utilities\RefineRTDCRunTimes.py" --tripid 168-03 --locoid 4027 --swversion DE.1.0.9.0 --startMP 204:233013 --initTime 2017-05-03T12:39:24 --startdatetime 2017-05-03T12:56:16 --delay 1 --endMP 204:154 --enddatetime 2017-05-03T13:35:07 --enforcementcount 0 &gt;&gt;C:\Users\stu\Documents\GitHub\eaglep3-reporting\EC\2017-05-03-refined-times.txt</v>
      </c>
      <c r="AI82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{"issue":{"subject":"","project_id":79,"tracker_id":40,"status_id":1,"priority_id":2,"assigned_to_id":23,"start_date":"2017-05-03","description":"","custom_fields":[{"id":1,"name":"Subdivision","value":"EC"},{"id":4,"name":"Milepost","value":"0.0154"},{"id":17,"name":"Train ID","value":"168-03"},{"id":16,"name":"Locomotive ID","value":"4027"},{"id":130,"name":"Impact","value":""},{"id":150,"name":"Time of Event (Mountain Time)","value":"13:35:07"},{"id":151,"name":"Denver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11"/>
        <v>start /low /b %USERPROFILE%\Documents\GitHub\eaglep3\Utilities\DownloadLogsFromS3.py --loco 4027 --day 2017-05-03</v>
      </c>
      <c r="AN82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722</v>
      </c>
      <c r="B83" s="7">
        <v>4040</v>
      </c>
      <c r="C83" s="21" t="s">
        <v>210</v>
      </c>
      <c r="D83" s="21" t="s">
        <v>381</v>
      </c>
      <c r="E83" s="13">
        <v>42858.507245370369</v>
      </c>
      <c r="F83" s="13">
        <v>42858.51059027778</v>
      </c>
      <c r="G83" s="7">
        <v>1</v>
      </c>
      <c r="H83" s="21" t="s">
        <v>876</v>
      </c>
      <c r="I83" s="13">
        <v>42858.535231481481</v>
      </c>
      <c r="J83" s="7">
        <v>0</v>
      </c>
      <c r="K83" s="92" t="str">
        <f>IF(ISEVEN(B83),(B83-1)&amp;"/"&amp;B83,B83&amp;"/"&amp;(B83+1))</f>
        <v>4039/4040</v>
      </c>
      <c r="L83" s="21" t="str">
        <f>VLOOKUP(A83,'Trips&amp;Operators'!$C$1:$G$99999,5,FALSE)</f>
        <v>LEVIN SCOTT</v>
      </c>
      <c r="M83" s="6">
        <f>I83-F83</f>
        <v>2.4641203701321501E-2</v>
      </c>
      <c r="N83" s="7">
        <f>24*60*SUM($M83:$M83)</f>
        <v>35.483333329902962</v>
      </c>
      <c r="O83" s="7"/>
      <c r="P83" s="7"/>
      <c r="Q83" s="22"/>
      <c r="R83" s="190"/>
      <c r="S83" s="196">
        <f>SUM(U83:U83)/IF(AG83="EC",12,1)</f>
        <v>1</v>
      </c>
      <c r="T83" s="190" t="str">
        <f>IF(ISEVEN(LEFT(AD83,4)),"Southbound","NorthBound")</f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-05-03T11:10:26-0600',mode:absolute,to:'2017-05-03T13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3" s="192" t="str">
        <f>IF(AA83&lt;IF(AG83="EC",23,5.65),"Y","N")</f>
        <v>N</v>
      </c>
      <c r="X83" s="192">
        <f>VALUE(LEFT(AD83,4))-VALUE(LEFT(AD82,4))</f>
        <v>1</v>
      </c>
      <c r="Y83" s="192">
        <f>RIGHT(D83,LEN(D83)-4)/10000</f>
        <v>4.6199999999999998E-2</v>
      </c>
      <c r="Z83" s="192">
        <f>RIGHT(H83,LEN(H83)-4)/10000</f>
        <v>23.336600000000001</v>
      </c>
      <c r="AA83" s="192">
        <f>ABS(Z83-Y83)</f>
        <v>23.290400000000002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>IF(LEN(A83)=6,"0"&amp;A83,A83)</f>
        <v>0169-03</v>
      </c>
      <c r="AE83" s="80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AF83" s="77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/stypes="app*4040*20170503*" /stext=" 18:.+((SYSTEM_STATE.+slice.+state.+changed )|(ment ac)|(multiple cpu faults)|(system.+state.+changed )|(\[timeout)|(PRM\|1\|D)|(kpr)|(kdp)|(train st.+moving)|(\|lc)|(penalty))"</v>
      </c>
      <c r="AG83" s="1" t="str">
        <f>IFERROR(IF(VALUE(LEFT(AD83,2))&lt;=2,"EC",IF(OR(VALUE(LEFT(AD83,2))=8,VALUE(LEFT(AD83,2))=18),"NW","Other")),"Other")</f>
        <v>EC</v>
      </c>
      <c r="AH83" s="81" t="str">
        <f t="shared" si="9"/>
        <v>"%USERPROFILE%\Documents\GitHub\eaglep3\Utilities\RefineRTDCRunTimes.py" --tripid 169-03 --locoid 4040 --swversion DE.1.0.9.0 --startMP 204:462 --initTime 2017-05-03T12:10:26 --startdatetime 2017-05-03T12:15:15 --delay 1 --endMP 204:233366 --enddatetime 2017-05-03T12:50:44 --enforcementcount 0 &gt;&gt;C:\Users\stu\Documents\GitHub\eaglep3-reporting\EC\2017-05-03-refined-times.txt</v>
      </c>
      <c r="AI83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{"issue":{"subject":"","project_id":79,"tracker_id":40,"status_id":1,"priority_id":2,"assigned_to_id":23,"start_date":"2017-05-03","description":"","custom_fields":[{"id":1,"name":"Subdivision","value":"EC"},{"id":4,"name":"Milepost","value":"23.3366"},{"id":17,"name":"Train ID","value":"169-03"},{"id":16,"name":"Locomotive ID","value":"4040"},{"id":130,"name":"Impact","value":""},{"id":150,"name":"Time of Event (Mountain Time)","value":"12:50:44"},{"id":151,"name":"Denver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11"/>
        <v>start /low /b %USERPROFILE%\Documents\GitHub\eaglep3\Utilities\DownloadLogsFromS3.py --loco 4040 --day 2017-05-03</v>
      </c>
      <c r="AN83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735</v>
      </c>
      <c r="B84" s="7">
        <v>4039</v>
      </c>
      <c r="C84" s="21" t="s">
        <v>210</v>
      </c>
      <c r="D84" s="21" t="s">
        <v>877</v>
      </c>
      <c r="E84" s="13">
        <v>42858.547303240739</v>
      </c>
      <c r="F84" s="13">
        <v>42858.549479166664</v>
      </c>
      <c r="G84" s="7">
        <v>1</v>
      </c>
      <c r="H84" s="21" t="s">
        <v>851</v>
      </c>
      <c r="I84" s="13">
        <v>42858.576180555552</v>
      </c>
      <c r="J84" s="7">
        <v>0</v>
      </c>
      <c r="K84" s="92" t="str">
        <f>IF(ISEVEN(B84),(B84-1)&amp;"/"&amp;B84,B84&amp;"/"&amp;(B84+1))</f>
        <v>4039/4040</v>
      </c>
      <c r="L84" s="21" t="str">
        <f>VLOOKUP(A84,'Trips&amp;Operators'!$C$1:$G$99999,5,FALSE)</f>
        <v>LEVIN SCOTT</v>
      </c>
      <c r="M84" s="6">
        <f>I84-F84</f>
        <v>2.6701388887886424E-2</v>
      </c>
      <c r="N84" s="7">
        <f>24*60*SUM($M84:$M84)</f>
        <v>38.44999999855645</v>
      </c>
      <c r="O84" s="7"/>
      <c r="P84" s="7"/>
      <c r="Q84" s="22"/>
      <c r="R84" s="190"/>
      <c r="S84" s="196">
        <f>SUM(U84:U84)/IF(AG84="EC",12,1)</f>
        <v>1</v>
      </c>
      <c r="T84" s="190" t="str">
        <f>IF(ISEVEN(LEFT(AD84,4)),"Southbound","NorthBound")</f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-05-03T12:08:07-0600',mode:absolute,to:'2017-05-03T14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4" s="192" t="str">
        <f>IF(AA84&lt;IF(AG84="EC",23,5.65),"Y","N")</f>
        <v>N</v>
      </c>
      <c r="X84" s="192">
        <f>VALUE(LEFT(AD84,4))-VALUE(LEFT(AD83,4))</f>
        <v>1</v>
      </c>
      <c r="Y84" s="192">
        <f>RIGHT(D84,LEN(D84)-4)/10000</f>
        <v>23.3063</v>
      </c>
      <c r="Z84" s="192">
        <f>RIGHT(H84,LEN(H84)-4)/10000</f>
        <v>1.32E-2</v>
      </c>
      <c r="AA84" s="192">
        <f>ABS(Z84-Y84)</f>
        <v>23.293099999999999</v>
      </c>
      <c r="AB84" s="57" t="e">
        <f>VLOOKUP(A84,Enforcements!$C$7:$K$13,8,0)</f>
        <v>#N/A</v>
      </c>
      <c r="AC84" s="53" t="e">
        <f>VLOOKUP(A84,Enforcements!$C$7:$E$13,3,0)</f>
        <v>#N/A</v>
      </c>
      <c r="AD84" s="54" t="str">
        <f>IF(LEN(A84)=6,"0"&amp;A84,A84)</f>
        <v>0170-03</v>
      </c>
      <c r="AE84" s="80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84" s="77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/stypes="app*4039*20170503*" /stext=" 19:.+((SYSTEM_STATE.+slice.+state.+changed )|(ment ac)|(multiple cpu faults)|(system.+state.+changed )|(\[timeout)|(PRM\|1\|D)|(kpr)|(kdp)|(train st.+moving)|(\|lc)|(penalty))"</v>
      </c>
      <c r="AG84" s="1" t="str">
        <f>IFERROR(IF(VALUE(LEFT(AD84,2))&lt;=2,"EC",IF(OR(VALUE(LEFT(AD84,2))=8,VALUE(LEFT(AD84,2))=18),"NW","Other")),"Other")</f>
        <v>EC</v>
      </c>
      <c r="AH84" s="81" t="str">
        <f t="shared" si="9"/>
        <v>"%USERPROFILE%\Documents\GitHub\eaglep3\Utilities\RefineRTDCRunTimes.py" --tripid 170-03 --locoid 4039 --swversion DE.1.0.9.0 --startMP 204:233063 --initTime 2017-05-03T13:08:07 --startdatetime 2017-05-03T13:11:15 --delay 1 --endMP 204:132 --enddatetime 2017-05-03T13:49:42 --enforcementcount 0 &gt;&gt;C:\Users\stu\Documents\GitHub\eaglep3-reporting\EC\2017-05-03-refined-times.txt</v>
      </c>
      <c r="AI84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{"issue":{"subject":"","project_id":79,"tracker_id":40,"status_id":1,"priority_id":2,"assigned_to_id":23,"start_date":"2017-05-03","description":"","custom_fields":[{"id":1,"name":"Subdivision","value":"EC"},{"id":4,"name":"Milepost","value":"0.0132"},{"id":17,"name":"Train ID","value":"170-03"},{"id":16,"name":"Locomotive ID","value":"4039"},{"id":130,"name":"Impact","value":""},{"id":150,"name":"Time of Event (Mountain Time)","value":"13:49:42"},{"id":151,"name":"Denver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11"/>
        <v>start /low /b %USERPROFILE%\Documents\GitHub\eaglep3\Utilities\DownloadLogsFromS3.py --loco 4039 --day 2017-05-03</v>
      </c>
      <c r="AN84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2" t="s">
        <v>724</v>
      </c>
      <c r="B85" s="7">
        <v>4012</v>
      </c>
      <c r="C85" s="21" t="s">
        <v>210</v>
      </c>
      <c r="D85" s="21" t="s">
        <v>403</v>
      </c>
      <c r="E85" s="13">
        <v>42858.51966435185</v>
      </c>
      <c r="F85" s="13">
        <v>42858.521747685183</v>
      </c>
      <c r="G85" s="7">
        <v>1</v>
      </c>
      <c r="H85" s="21" t="s">
        <v>472</v>
      </c>
      <c r="I85" s="13">
        <v>42858.547476851854</v>
      </c>
      <c r="J85" s="7">
        <v>0</v>
      </c>
      <c r="K85" s="92" t="str">
        <f>IF(ISEVEN(B85),(B85-1)&amp;"/"&amp;B85,B85&amp;"/"&amp;(B85+1))</f>
        <v>4011/4012</v>
      </c>
      <c r="L85" s="21" t="str">
        <f>VLOOKUP(A85,'Trips&amp;Operators'!$C$1:$G$99999,5,FALSE)</f>
        <v>MOSES BRADLEY</v>
      </c>
      <c r="M85" s="6">
        <f>I85-F85</f>
        <v>2.5729166671226267E-2</v>
      </c>
      <c r="N85" s="7">
        <f>24*60*SUM($M85:$M85)</f>
        <v>37.050000006565824</v>
      </c>
      <c r="O85" s="7"/>
      <c r="P85" s="7"/>
      <c r="Q85" s="22"/>
      <c r="R85" s="190"/>
      <c r="S85" s="196">
        <f>SUM(U85:U85)/IF(AG85="EC",12,1)</f>
        <v>1</v>
      </c>
      <c r="T85" s="190" t="str">
        <f>IF(ISEVEN(LEFT(AD85,4)),"Southbound","NorthBound")</f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-05-03T11:28:19-0600',mode:absolute,to:'2017-05-03T14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5" s="192" t="str">
        <f>IF(AA85&lt;IF(AG85="EC",23,5.65),"Y","N")</f>
        <v>N</v>
      </c>
      <c r="X85" s="192">
        <f>VALUE(LEFT(AD85,4))-VALUE(LEFT(AD84,4))</f>
        <v>1</v>
      </c>
      <c r="Y85" s="192">
        <f>RIGHT(D85,LEN(D85)-4)/10000</f>
        <v>4.6699999999999998E-2</v>
      </c>
      <c r="Z85" s="192">
        <f>RIGHT(H85,LEN(H85)-4)/10000</f>
        <v>23.333600000000001</v>
      </c>
      <c r="AA85" s="192">
        <f>ABS(Z85-Y85)</f>
        <v>23.286899999999999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>IF(LEN(A85)=6,"0"&amp;A85,A85)</f>
        <v>0171-03</v>
      </c>
      <c r="AE85" s="80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AF85" s="77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/stypes="app*4012*20170503*" /stext=" 19:.+((SYSTEM_STATE.+slice.+state.+changed )|(ment ac)|(multiple cpu faults)|(system.+state.+changed )|(\[timeout)|(PRM\|1\|D)|(kpr)|(kdp)|(train st.+moving)|(\|lc)|(penalty))"</v>
      </c>
      <c r="AG85" s="1" t="str">
        <f>IFERROR(IF(VALUE(LEFT(AD85,2))&lt;=2,"EC",IF(OR(VALUE(LEFT(AD85,2))=8,VALUE(LEFT(AD85,2))=18),"NW","Other")),"Other")</f>
        <v>EC</v>
      </c>
      <c r="AH85" s="81" t="str">
        <f t="shared" si="9"/>
        <v>"%USERPROFILE%\Documents\GitHub\eaglep3\Utilities\RefineRTDCRunTimes.py" --tripid 171-03 --locoid 4012 --swversion DE.1.0.9.0 --startMP 204:467 --initTime 2017-05-03T12:28:19 --startdatetime 2017-05-03T12:31:19 --delay 1 --endMP 204:233336 --enddatetime 2017-05-03T13:08:22 --enforcementcount 0 &gt;&gt;C:\Users\stu\Documents\GitHub\eaglep3-reporting\EC\2017-05-03-refined-times.txt</v>
      </c>
      <c r="AI85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{"issue":{"subject":"","project_id":79,"tracker_id":40,"status_id":1,"priority_id":2,"assigned_to_id":23,"start_date":"2017-05-03","description":"","custom_fields":[{"id":1,"name":"Subdivision","value":"EC"},{"id":4,"name":"Milepost","value":"23.3336"},{"id":17,"name":"Train ID","value":"171-03"},{"id":16,"name":"Locomotive ID","value":"4012"},{"id":130,"name":"Impact","value":""},{"id":150,"name":"Time of Event (Mountain Time)","value":"13:08:22"},{"id":151,"name":"Denver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5" s="47"/>
      <c r="AL85" s="47"/>
      <c r="AM85" s="145" t="str">
        <f t="shared" si="11"/>
        <v>start /low /b %USERPROFILE%\Documents\GitHub\eaglep3\Utilities\DownloadLogsFromS3.py --loco 4012 --day 2017-05-03</v>
      </c>
      <c r="AN85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736</v>
      </c>
      <c r="B86" s="7">
        <v>4011</v>
      </c>
      <c r="C86" s="21" t="s">
        <v>210</v>
      </c>
      <c r="D86" s="21" t="s">
        <v>559</v>
      </c>
      <c r="E86" s="13">
        <v>42858.55736111111</v>
      </c>
      <c r="F86" s="13">
        <v>42858.559942129628</v>
      </c>
      <c r="G86" s="7">
        <v>1</v>
      </c>
      <c r="H86" s="21" t="s">
        <v>449</v>
      </c>
      <c r="I86" s="13">
        <v>42858.586805555555</v>
      </c>
      <c r="J86" s="7">
        <v>0</v>
      </c>
      <c r="K86" s="92" t="str">
        <f>IF(ISEVEN(B86),(B86-1)&amp;"/"&amp;B86,B86&amp;"/"&amp;(B86+1))</f>
        <v>4011/4012</v>
      </c>
      <c r="L86" s="21" t="str">
        <f>VLOOKUP(A86,'Trips&amp;Operators'!$C$1:$G$99999,5,FALSE)</f>
        <v>MOSES BRADLEY</v>
      </c>
      <c r="M86" s="6">
        <f>I86-F86</f>
        <v>2.6863425926421769E-2</v>
      </c>
      <c r="N86" s="7">
        <f>24*60*SUM($M86:$M86)</f>
        <v>38.683333334047347</v>
      </c>
      <c r="O86" s="7"/>
      <c r="P86" s="7"/>
      <c r="Q86" s="22"/>
      <c r="R86" s="190"/>
      <c r="S86" s="196">
        <f>SUM(U86:U86)/IF(AG86="EC",12,1)</f>
        <v>1</v>
      </c>
      <c r="T86" s="190" t="str">
        <f>IF(ISEVEN(LEFT(AD86,4)),"Southbound","NorthBound")</f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-05-03T12:22:36-0600',mode:absolute,to:'2017-05-03T15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6" s="192" t="str">
        <f>IF(AA86&lt;IF(AG86="EC",23,5.65),"Y","N")</f>
        <v>N</v>
      </c>
      <c r="X86" s="192">
        <f>VALUE(LEFT(AD86,4))-VALUE(LEFT(AD85,4))</f>
        <v>1</v>
      </c>
      <c r="Y86" s="192">
        <f>RIGHT(D86,LEN(D86)-4)/10000</f>
        <v>23.3017</v>
      </c>
      <c r="Z86" s="192">
        <f>RIGHT(H86,LEN(H86)-4)/10000</f>
        <v>1.3899999999999999E-2</v>
      </c>
      <c r="AA86" s="192">
        <f>ABS(Z86-Y86)</f>
        <v>23.287800000000001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>IF(LEN(A86)=6,"0"&amp;A86,A86)</f>
        <v>0172-03</v>
      </c>
      <c r="AE86" s="80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s3://rtdc.mdm.uploadarchive.raw/RTDC4011/ "%USERPROFILE%\AppData\Local\Temp\OnboardLogs"\RTDC4011\2017-05-03 --exclude "*" --recursive --include "*20170503*" &amp; "%USERPROFILE%\Documents\GitHub\mrs-test-scripts\Headless Mode &amp; Sideloading\WalkAndUnGZ.bat" "%USERPROFILE%\AppData\Local\Temp\OnboardLogs"\RTDC4011\2017-05-03 &amp; aws s3 cp s3://rtdc.mdm.uploadarchive.raw/RTDC4011/ "%USERPROFILE%\AppData\Local\Temp\OnboardLogs"\RTDC4011\2017-05-04 --exclude "*" --recursive --include "*20170504*" &amp; "%USERPROFILE%\Documents\GitHub\mrs-test-scripts\Headless Mode &amp; Sideloading\WalkAndUnGZ.bat" "%USERPROFILE%\AppData\Local\Temp\OnboardLogs"\RTDC4011\2017-05-04</v>
      </c>
      <c r="AF86" s="77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/stypes="app*4011*20170503*" /stext=" 20:.+((SYSTEM_STATE.+slice.+state.+changed )|(ment ac)|(multiple cpu faults)|(system.+state.+changed )|(\[timeout)|(PRM\|1\|D)|(kpr)|(kdp)|(train st.+moving)|(\|lc)|(penalty))"</v>
      </c>
      <c r="AG86" s="1" t="str">
        <f>IFERROR(IF(VALUE(LEFT(AD86,2))&lt;=2,"EC",IF(OR(VALUE(LEFT(AD86,2))=8,VALUE(LEFT(AD86,2))=18),"NW","Other")),"Other")</f>
        <v>EC</v>
      </c>
      <c r="AH86" s="81" t="str">
        <f t="shared" si="9"/>
        <v>"%USERPROFILE%\Documents\GitHub\eaglep3\Utilities\RefineRTDCRunTimes.py" --tripid 172-03 --locoid 4011 --swversion DE.1.0.9.0 --startMP 204:233017 --initTime 2017-05-03T13:22:36 --startdatetime 2017-05-03T13:26:19 --delay 1 --endMP 204:139 --enddatetime 2017-05-03T14:05:00 --enforcementcount 0 &gt;&gt;C:\Users\stu\Documents\GitHub\eaglep3-reporting\EC\2017-05-03-refined-times.txt</v>
      </c>
      <c r="AI86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{"issue":{"subject":"","project_id":79,"tracker_id":40,"status_id":1,"priority_id":2,"assigned_to_id":23,"start_date":"2017-05-03","description":"","custom_fields":[{"id":1,"name":"Subdivision","value":"EC"},{"id":4,"name":"Milepost","value":"0.0139"},{"id":17,"name":"Train ID","value":"172-03"},{"id":16,"name":"Locomotive ID","value":"4011"},{"id":130,"name":"Impact","value":""},{"id":150,"name":"Time of Event (Mountain Time)","value":"14:05:00"},{"id":151,"name":"Denver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11"/>
        <v>start /low /b %USERPROFILE%\Documents\GitHub\eaglep3\Utilities\DownloadLogsFromS3.py --loco 4011 --day 2017-05-03</v>
      </c>
      <c r="AN86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x14ac:dyDescent="0.25">
      <c r="A87" s="32" t="s">
        <v>728</v>
      </c>
      <c r="B87" s="7">
        <v>4054</v>
      </c>
      <c r="C87" s="21" t="s">
        <v>210</v>
      </c>
      <c r="D87" s="21" t="s">
        <v>878</v>
      </c>
      <c r="E87" s="13">
        <v>42858.527511574073</v>
      </c>
      <c r="F87" s="13">
        <v>42858.531412037039</v>
      </c>
      <c r="G87" s="7">
        <v>1</v>
      </c>
      <c r="H87" s="21" t="s">
        <v>470</v>
      </c>
      <c r="I87" s="13">
        <v>42858.557997685188</v>
      </c>
      <c r="J87" s="7">
        <v>0</v>
      </c>
      <c r="K87" s="92" t="str">
        <f>IF(ISEVEN(B87),(B87-1)&amp;"/"&amp;B87,B87&amp;"/"&amp;(B87+1))</f>
        <v>4053/4054</v>
      </c>
      <c r="L87" s="21" t="str">
        <f>VLOOKUP(A87,'Trips&amp;Operators'!$C$1:$G$99999,5,FALSE)</f>
        <v>CLARK KATHLEEN</v>
      </c>
      <c r="M87" s="6">
        <f>I87-F87</f>
        <v>2.658564814919373E-2</v>
      </c>
      <c r="N87" s="7">
        <f>24*60*SUM($M87:$M87)</f>
        <v>38.283333334838971</v>
      </c>
      <c r="O87" s="7"/>
      <c r="P87" s="7"/>
      <c r="Q87" s="22"/>
      <c r="R87" s="190"/>
      <c r="S87" s="196">
        <f>SUM(U87:U87)/IF(AG87="EC",12,1)</f>
        <v>1</v>
      </c>
      <c r="T87" s="190" t="str">
        <f>IF(ISEVEN(LEFT(AD87,4)),"Southbound","NorthBound")</f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-05-03T11:39:37-0600',mode:absolute,to:'2017-05-03T14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7" s="192" t="str">
        <f>IF(AA87&lt;IF(AG87="EC",23,5.65),"Y","N")</f>
        <v>N</v>
      </c>
      <c r="X87" s="192">
        <f>VALUE(LEFT(AD87,4))-VALUE(LEFT(AD86,4))</f>
        <v>1</v>
      </c>
      <c r="Y87" s="192">
        <f>RIGHT(D87,LEN(D87)-4)/10000</f>
        <v>4.7500000000000001E-2</v>
      </c>
      <c r="Z87" s="192">
        <f>RIGHT(H87,LEN(H87)-4)/10000</f>
        <v>23.328199999999999</v>
      </c>
      <c r="AA87" s="192">
        <f>ABS(Z87-Y87)</f>
        <v>23.2807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>IF(LEN(A87)=6,"0"&amp;A87,A87)</f>
        <v>0173-03</v>
      </c>
      <c r="AE87" s="80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 &amp; 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</v>
      </c>
      <c r="AF87" s="77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/stypes="app*4054*20170503*" /stext=" 19:.+((SYSTEM_STATE.+slice.+state.+changed )|(ment ac)|(multiple cpu faults)|(system.+state.+changed )|(\[timeout)|(PRM\|1\|D)|(kpr)|(kdp)|(train st.+moving)|(\|lc)|(penalty))"</v>
      </c>
      <c r="AG87" s="1" t="str">
        <f>IFERROR(IF(VALUE(LEFT(AD87,2))&lt;=2,"EC",IF(OR(VALUE(LEFT(AD87,2))=8,VALUE(LEFT(AD87,2))=18),"NW","Other")),"Other")</f>
        <v>EC</v>
      </c>
      <c r="AH87" s="81" t="str">
        <f t="shared" si="9"/>
        <v>"%USERPROFILE%\Documents\GitHub\eaglep3\Utilities\RefineRTDCRunTimes.py" --tripid 173-03 --locoid 4054 --swversion DE.1.0.9.0 --startMP 204:475 --initTime 2017-05-03T12:39:37 --startdatetime 2017-05-03T12:45:14 --delay 1 --endMP 204:233282 --enddatetime 2017-05-03T13:23:31 --enforcementcount 0 &gt;&gt;C:\Users\stu\Documents\GitHub\eaglep3-reporting\EC\2017-05-03-refined-times.txt</v>
      </c>
      <c r="AI87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{"issue":{"subject":"","project_id":79,"tracker_id":40,"status_id":1,"priority_id":2,"assigned_to_id":23,"start_date":"2017-05-03","description":"","custom_fields":[{"id":1,"name":"Subdivision","value":"EC"},{"id":4,"name":"Milepost","value":"23.3282"},{"id":17,"name":"Train ID","value":"173-03"},{"id":16,"name":"Locomotive ID","value":"4054"},{"id":130,"name":"Impact","value":""},{"id":150,"name":"Time of Event (Mountain Time)","value":"13:23:31"},{"id":151,"name":"Denver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5" t="str">
        <f t="shared" si="11"/>
        <v>start /low /b %USERPROFILE%\Documents\GitHub\eaglep3\Utilities\DownloadLogsFromS3.py --loco 4054 --day 2017-05-03</v>
      </c>
      <c r="AN87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8" spans="1:91" s="20" customFormat="1" x14ac:dyDescent="0.25">
      <c r="A88" s="32" t="s">
        <v>738</v>
      </c>
      <c r="B88" s="7">
        <v>4053</v>
      </c>
      <c r="C88" s="21" t="s">
        <v>210</v>
      </c>
      <c r="D88" s="21" t="s">
        <v>879</v>
      </c>
      <c r="E88" s="13">
        <v>42858.564988425926</v>
      </c>
      <c r="F88" s="13">
        <v>42858.5703125</v>
      </c>
      <c r="G88" s="7">
        <v>1</v>
      </c>
      <c r="H88" s="21" t="s">
        <v>880</v>
      </c>
      <c r="I88" s="13">
        <v>42858.598946759259</v>
      </c>
      <c r="J88" s="7">
        <v>0</v>
      </c>
      <c r="K88" s="92" t="str">
        <f>IF(ISEVEN(B88),(B88-1)&amp;"/"&amp;B88,B88&amp;"/"&amp;(B88+1))</f>
        <v>4053/4054</v>
      </c>
      <c r="L88" s="21" t="str">
        <f>VLOOKUP(A88,'Trips&amp;Operators'!$C$1:$G$99999,5,FALSE)</f>
        <v>CLARK KATHLEEN</v>
      </c>
      <c r="M88" s="6">
        <f>I88-F88</f>
        <v>2.8634259258979E-2</v>
      </c>
      <c r="N88" s="7">
        <f>24*60*SUM($M88:$M88)</f>
        <v>41.23333333292976</v>
      </c>
      <c r="O88" s="7"/>
      <c r="P88" s="7"/>
      <c r="Q88" s="22"/>
      <c r="R88" s="190"/>
      <c r="S88" s="196">
        <f>SUM(U88:U88)/IF(AG88="EC",12,1)</f>
        <v>1</v>
      </c>
      <c r="T88" s="190" t="str">
        <f>IF(ISEVEN(LEFT(AD88,4)),"Southbound","NorthBound")</f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-05-03T12:33:35-0600',mode:absolute,to:'2017-05-03T15:22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8" s="192" t="str">
        <f>IF(AA88&lt;IF(AG88="EC",23,5.65),"Y","N")</f>
        <v>N</v>
      </c>
      <c r="X88" s="192">
        <f>VALUE(LEFT(AD88,4))-VALUE(LEFT(AD87,4))</f>
        <v>1</v>
      </c>
      <c r="Y88" s="192">
        <f>RIGHT(D88,LEN(D88)-4)/10000</f>
        <v>23.295000000000002</v>
      </c>
      <c r="Z88" s="192">
        <f>RIGHT(H88,LEN(H88)-4)/10000</f>
        <v>1.72E-2</v>
      </c>
      <c r="AA88" s="192">
        <f>ABS(Z88-Y88)</f>
        <v>23.277800000000003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>IF(LEN(A88)=6,"0"&amp;A88,A88)</f>
        <v>0174-03</v>
      </c>
      <c r="AE88" s="80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88" s="77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/stypes="app*4053*20170503*" /stext=" 20:.+((SYSTEM_STATE.+slice.+state.+changed )|(ment ac)|(multiple cpu faults)|(system.+state.+changed )|(\[timeout)|(PRM\|1\|D)|(kpr)|(kdp)|(train st.+moving)|(\|lc)|(penalty))"</v>
      </c>
      <c r="AG88" s="1" t="str">
        <f>IFERROR(IF(VALUE(LEFT(AD88,2))&lt;=2,"EC",IF(OR(VALUE(LEFT(AD88,2))=8,VALUE(LEFT(AD88,2))=18),"NW","Other")),"Other")</f>
        <v>EC</v>
      </c>
      <c r="AH88" s="81" t="str">
        <f t="shared" si="9"/>
        <v>"%USERPROFILE%\Documents\GitHub\eaglep3\Utilities\RefineRTDCRunTimes.py" --tripid 174-03 --locoid 4053 --swversion DE.1.0.9.0 --startMP 204:232950 --initTime 2017-05-03T13:33:35 --startdatetime 2017-05-03T13:41:15 --delay 1 --endMP 204:172 --enddatetime 2017-05-03T14:22:29 --enforcementcount 0 &gt;&gt;C:\Users\stu\Documents\GitHub\eaglep3-reporting\EC\2017-05-03-refined-times.txt</v>
      </c>
      <c r="AI88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{"issue":{"subject":"","project_id":79,"tracker_id":40,"status_id":1,"priority_id":2,"assigned_to_id":23,"start_date":"2017-05-03","description":"","custom_fields":[{"id":1,"name":"Subdivision","value":"EC"},{"id":4,"name":"Milepost","value":"0.0172"},{"id":17,"name":"Train ID","value":"174-03"},{"id":16,"name":"Locomotive ID","value":"4053"},{"id":130,"name":"Impact","value":""},{"id":150,"name":"Time of Event (Mountain Time)","value":"14:22:29"},{"id":151,"name":"Denver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7"/>
      <c r="AL88" s="47"/>
      <c r="AM88" s="145" t="str">
        <f t="shared" si="11"/>
        <v>start /low /b %USERPROFILE%\Documents\GitHub\eaglep3\Utilities\DownloadLogsFromS3.py --loco 4053 --day 2017-05-03</v>
      </c>
      <c r="AN88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20:22:29"},{"id":29,"name":"Sharepoint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2" t="s">
        <v>730</v>
      </c>
      <c r="B89" s="7">
        <v>4030</v>
      </c>
      <c r="C89" s="21" t="s">
        <v>210</v>
      </c>
      <c r="D89" s="21" t="s">
        <v>448</v>
      </c>
      <c r="E89" s="13">
        <v>42858.538402777776</v>
      </c>
      <c r="F89" s="13">
        <v>42858.541898148149</v>
      </c>
      <c r="G89" s="7">
        <v>1</v>
      </c>
      <c r="H89" s="21" t="s">
        <v>853</v>
      </c>
      <c r="I89" s="13">
        <v>42858.56795138889</v>
      </c>
      <c r="J89" s="7">
        <v>0</v>
      </c>
      <c r="K89" s="92" t="str">
        <f>IF(ISEVEN(B89),(B89-1)&amp;"/"&amp;B89,B89&amp;"/"&amp;(B89+1))</f>
        <v>4029/4030</v>
      </c>
      <c r="L89" s="21" t="str">
        <f>VLOOKUP(A89,'Trips&amp;Operators'!$C$1:$G$99999,5,FALSE)</f>
        <v>DAVIS MICHAEL</v>
      </c>
      <c r="M89" s="6">
        <f>I89-F89</f>
        <v>2.6053240741021E-2</v>
      </c>
      <c r="N89" s="7">
        <f>24*60*SUM($M89:$M89)</f>
        <v>37.51666666707024</v>
      </c>
      <c r="O89" s="7"/>
      <c r="P89" s="7"/>
      <c r="Q89" s="22"/>
      <c r="R89" s="190"/>
      <c r="S89" s="196">
        <f>SUM(U89:U89)/IF(AG89="EC",12,1)</f>
        <v>1</v>
      </c>
      <c r="T89" s="190" t="str">
        <f>IF(ISEVEN(LEFT(AD89,4)),"Southbound","NorthBound")</f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-05-03T11:55:18-0600',mode:absolute,to:'2017-05-03T14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9" s="192" t="str">
        <f>IF(AA89&lt;IF(AG89="EC",23,5.65),"Y","N")</f>
        <v>N</v>
      </c>
      <c r="X89" s="192">
        <f>VALUE(LEFT(AD89,4))-VALUE(LEFT(AD88,4))</f>
        <v>1</v>
      </c>
      <c r="Y89" s="192">
        <f>RIGHT(D89,LEN(D89)-4)/10000</f>
        <v>4.4699999999999997E-2</v>
      </c>
      <c r="Z89" s="192">
        <f>RIGHT(H89,LEN(H89)-4)/10000</f>
        <v>23.329699999999999</v>
      </c>
      <c r="AA89" s="192">
        <f>ABS(Z89-Y89)</f>
        <v>23.285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>IF(LEN(A89)=6,"0"&amp;A89,A89)</f>
        <v>0175-03</v>
      </c>
      <c r="AE89" s="80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89" s="77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/stypes="app*4030*20170503*" /stext=" 19:.+((SYSTEM_STATE.+slice.+state.+changed )|(ment ac)|(multiple cpu faults)|(system.+state.+changed )|(\[timeout)|(PRM\|1\|D)|(kpr)|(kdp)|(train st.+moving)|(\|lc)|(penalty))"</v>
      </c>
      <c r="AG89" s="1" t="str">
        <f>IFERROR(IF(VALUE(LEFT(AD89,2))&lt;=2,"EC",IF(OR(VALUE(LEFT(AD89,2))=8,VALUE(LEFT(AD89,2))=18),"NW","Other")),"Other")</f>
        <v>EC</v>
      </c>
      <c r="AH89" s="81" t="str">
        <f t="shared" si="9"/>
        <v>"%USERPROFILE%\Documents\GitHub\eaglep3\Utilities\RefineRTDCRunTimes.py" --tripid 175-03 --locoid 4030 --swversion DE.1.0.9.0 --startMP 204:447 --initTime 2017-05-03T12:55:18 --startdatetime 2017-05-03T13:00:20 --delay 1 --endMP 204:233297 --enddatetime 2017-05-03T13:37:51 --enforcementcount 0 &gt;&gt;C:\Users\stu\Documents\GitHub\eaglep3-reporting\EC\2017-05-03-refined-times.txt</v>
      </c>
      <c r="AI89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{"issue":{"subject":"","project_id":79,"tracker_id":40,"status_id":1,"priority_id":2,"assigned_to_id":23,"start_date":"2017-05-03","description":"","custom_fields":[{"id":1,"name":"Subdivision","value":"EC"},{"id":4,"name":"Milepost","value":"23.3297"},{"id":17,"name":"Train ID","value":"175-03"},{"id":16,"name":"Locomotive ID","value":"4030"},{"id":130,"name":"Impact","value":""},{"id":150,"name":"Time of Event (Mountain Time)","value":"13:37:51"},{"id":151,"name":"Denver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11"/>
        <v>start /low /b %USERPROFILE%\Documents\GitHub\eaglep3\Utilities\DownloadLogsFromS3.py --loco 4030 --day 2017-05-03</v>
      </c>
      <c r="AN89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741</v>
      </c>
      <c r="B90" s="7">
        <v>4029</v>
      </c>
      <c r="C90" s="21" t="s">
        <v>210</v>
      </c>
      <c r="D90" s="21" t="s">
        <v>437</v>
      </c>
      <c r="E90" s="13">
        <v>42858.577893518515</v>
      </c>
      <c r="F90" s="13">
        <v>42858.58085648148</v>
      </c>
      <c r="G90" s="7">
        <v>1</v>
      </c>
      <c r="H90" s="21" t="s">
        <v>447</v>
      </c>
      <c r="I90" s="13">
        <v>42858.608391203707</v>
      </c>
      <c r="J90" s="7">
        <v>0</v>
      </c>
      <c r="K90" s="92" t="str">
        <f>IF(ISEVEN(B90),(B90-1)&amp;"/"&amp;B90,B90&amp;"/"&amp;(B90+1))</f>
        <v>4029/4030</v>
      </c>
      <c r="L90" s="21" t="str">
        <f>VLOOKUP(A90,'Trips&amp;Operators'!$C$1:$G$99999,5,FALSE)</f>
        <v>DAVIS MICHAEL</v>
      </c>
      <c r="M90" s="6">
        <f>I90-F90</f>
        <v>2.7534722226846498E-2</v>
      </c>
      <c r="N90" s="7">
        <f>24*60*SUM($M90:$M90)</f>
        <v>39.650000006658956</v>
      </c>
      <c r="O90" s="7"/>
      <c r="P90" s="7"/>
      <c r="Q90" s="22"/>
      <c r="R90" s="190"/>
      <c r="S90" s="196">
        <f>SUM(U90:U90)/IF(AG90="EC",12,1)</f>
        <v>1</v>
      </c>
      <c r="T90" s="190" t="str">
        <f>IF(ISEVEN(LEFT(AD90,4)),"Southbound","NorthBound")</f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-05-03T12:52:10-0600',mode:absolute,to:'2017-05-03T15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0" s="192" t="str">
        <f>IF(AA90&lt;IF(AG90="EC",23,5.65),"Y","N")</f>
        <v>N</v>
      </c>
      <c r="X90" s="192">
        <f>VALUE(LEFT(AD90,4))-VALUE(LEFT(AD89,4))</f>
        <v>1</v>
      </c>
      <c r="Y90" s="192">
        <f>RIGHT(D90,LEN(D90)-4)/10000</f>
        <v>23.299299999999999</v>
      </c>
      <c r="Z90" s="192">
        <f>RIGHT(H90,LEN(H90)-4)/10000</f>
        <v>1.61E-2</v>
      </c>
      <c r="AA90" s="192">
        <f>ABS(Z90-Y90)</f>
        <v>23.283199999999997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>IF(LEN(A90)=6,"0"&amp;A90,A90)</f>
        <v>0176-03</v>
      </c>
      <c r="AE90" s="80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90" s="77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/stypes="app*4029*20170503*" /stext=" 20:.+((SYSTEM_STATE.+slice.+state.+changed )|(ment ac)|(multiple cpu faults)|(system.+state.+changed )|(\[timeout)|(PRM\|1\|D)|(kpr)|(kdp)|(train st.+moving)|(\|lc)|(penalty))"</v>
      </c>
      <c r="AG90" s="1" t="str">
        <f>IFERROR(IF(VALUE(LEFT(AD90,2))&lt;=2,"EC",IF(OR(VALUE(LEFT(AD90,2))=8,VALUE(LEFT(AD90,2))=18),"NW","Other")),"Other")</f>
        <v>EC</v>
      </c>
      <c r="AH90" s="81" t="str">
        <f t="shared" si="9"/>
        <v>"%USERPROFILE%\Documents\GitHub\eaglep3\Utilities\RefineRTDCRunTimes.py" --tripid 176-03 --locoid 4029 --swversion DE.1.0.9.0 --startMP 204:232993 --initTime 2017-05-03T13:52:10 --startdatetime 2017-05-03T13:56:26 --delay 1 --endMP 204:161 --enddatetime 2017-05-03T14:36:05 --enforcementcount 0 &gt;&gt;C:\Users\stu\Documents\GitHub\eaglep3-reporting\EC\2017-05-03-refined-times.txt</v>
      </c>
      <c r="AI90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{"issue":{"subject":"","project_id":79,"tracker_id":40,"status_id":1,"priority_id":2,"assigned_to_id":23,"start_date":"2017-05-03","description":"","custom_fields":[{"id":1,"name":"Subdivision","value":"EC"},{"id":4,"name":"Milepost","value":"0.0161"},{"id":17,"name":"Train ID","value":"176-03"},{"id":16,"name":"Locomotive ID","value":"4029"},{"id":130,"name":"Impact","value":""},{"id":150,"name":"Time of Event (Mountain Time)","value":"14:36:05"},{"id":151,"name":"Denver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11"/>
        <v>start /low /b %USERPROFILE%\Documents\GitHub\eaglep3\Utilities\DownloadLogsFromS3.py --loco 4029 --day 2017-05-03</v>
      </c>
      <c r="AN90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731</v>
      </c>
      <c r="B91" s="7">
        <v>4016</v>
      </c>
      <c r="C91" s="21" t="s">
        <v>210</v>
      </c>
      <c r="D91" s="21" t="s">
        <v>204</v>
      </c>
      <c r="E91" s="13">
        <v>42858.546539351853</v>
      </c>
      <c r="F91" s="13">
        <v>42858.552256944444</v>
      </c>
      <c r="G91" s="7">
        <v>1</v>
      </c>
      <c r="H91" s="21" t="s">
        <v>445</v>
      </c>
      <c r="I91" s="13">
        <v>42858.578379629631</v>
      </c>
      <c r="J91" s="7">
        <v>0</v>
      </c>
      <c r="K91" s="92" t="str">
        <f>IF(ISEVEN(B91),(B91-1)&amp;"/"&amp;B91,B91&amp;"/"&amp;(B91+1))</f>
        <v>4015/4016</v>
      </c>
      <c r="L91" s="21" t="str">
        <f>VLOOKUP(A91,'Trips&amp;Operators'!$C$1:$G$99999,5,FALSE)</f>
        <v>ZEWDU DEREJE</v>
      </c>
      <c r="M91" s="6">
        <f>I91-F91</f>
        <v>2.6122685187146999E-2</v>
      </c>
      <c r="N91" s="7">
        <f>24*60*SUM($M91:$M91)</f>
        <v>37.616666669491678</v>
      </c>
      <c r="O91" s="7"/>
      <c r="P91" s="7"/>
      <c r="Q91" s="22"/>
      <c r="R91" s="190"/>
      <c r="S91" s="196">
        <f>SUM(U91:U91)/IF(AG91="EC",12,1)</f>
        <v>1</v>
      </c>
      <c r="T91" s="190" t="str">
        <f>IF(ISEVEN(LEFT(AD91,4)),"Southbound","NorthBound")</f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-05-03T12:07:01-0600',mode:absolute,to:'2017-05-03T14:52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1" s="192" t="str">
        <f>IF(AA91&lt;IF(AG91="EC",23,5.65),"Y","N")</f>
        <v>N</v>
      </c>
      <c r="X91" s="192">
        <f>VALUE(LEFT(AD91,4))-VALUE(LEFT(AD90,4))</f>
        <v>1</v>
      </c>
      <c r="Y91" s="192">
        <f>RIGHT(D91,LEN(D91)-4)/10000</f>
        <v>4.5699999999999998E-2</v>
      </c>
      <c r="Z91" s="192">
        <f>RIGHT(H91,LEN(H91)-4)/10000</f>
        <v>23.3293</v>
      </c>
      <c r="AA91" s="192">
        <f>ABS(Z91-Y91)</f>
        <v>23.2836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>IF(LEN(A91)=6,"0"&amp;A91,A91)</f>
        <v>0177-03</v>
      </c>
      <c r="AE91" s="80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91" s="77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/stypes="app*4016*20170503*" /stext=" 19:.+((SYSTEM_STATE.+slice.+state.+changed )|(ment ac)|(multiple cpu faults)|(system.+state.+changed )|(\[timeout)|(PRM\|1\|D)|(kpr)|(kdp)|(train st.+moving)|(\|lc)|(penalty))"</v>
      </c>
      <c r="AG91" s="1" t="str">
        <f>IFERROR(IF(VALUE(LEFT(AD91,2))&lt;=2,"EC",IF(OR(VALUE(LEFT(AD91,2))=8,VALUE(LEFT(AD91,2))=18),"NW","Other")),"Other")</f>
        <v>EC</v>
      </c>
      <c r="AH91" s="81" t="str">
        <f t="shared" si="9"/>
        <v>"%USERPROFILE%\Documents\GitHub\eaglep3\Utilities\RefineRTDCRunTimes.py" --tripid 177-03 --locoid 4016 --swversion DE.1.0.9.0 --startMP 204:457 --initTime 2017-05-03T13:07:01 --startdatetime 2017-05-03T13:15:15 --delay 1 --endMP 204:233293 --enddatetime 2017-05-03T13:52:52 --enforcementcount 0 &gt;&gt;C:\Users\stu\Documents\GitHub\eaglep3-reporting\EC\2017-05-03-refined-times.txt</v>
      </c>
      <c r="AI91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{"issue":{"subject":"","project_id":79,"tracker_id":40,"status_id":1,"priority_id":2,"assigned_to_id":23,"start_date":"2017-05-03","description":"","custom_fields":[{"id":1,"name":"Subdivision","value":"EC"},{"id":4,"name":"Milepost","value":"23.3293"},{"id":17,"name":"Train ID","value":"177-03"},{"id":16,"name":"Locomotive ID","value":"4016"},{"id":130,"name":"Impact","value":""},{"id":150,"name":"Time of Event (Mountain Time)","value":"13:52:52"},{"id":151,"name":"Denver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11"/>
        <v>start /low /b %USERPROFILE%\Documents\GitHub\eaglep3\Utilities\DownloadLogsFromS3.py --loco 4016 --day 2017-05-03</v>
      </c>
      <c r="AN91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19:52:52"},{"id":29,"name":"Sharepoint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x14ac:dyDescent="0.25">
      <c r="A92" s="32" t="s">
        <v>742</v>
      </c>
      <c r="B92" s="7">
        <v>4015</v>
      </c>
      <c r="C92" s="21" t="s">
        <v>210</v>
      </c>
      <c r="D92" s="21" t="s">
        <v>373</v>
      </c>
      <c r="E92" s="13">
        <v>42858.580057870371</v>
      </c>
      <c r="F92" s="13">
        <v>42858.591435185182</v>
      </c>
      <c r="G92" s="7">
        <v>1</v>
      </c>
      <c r="H92" s="21" t="s">
        <v>386</v>
      </c>
      <c r="I92" s="13">
        <v>42858.619351851848</v>
      </c>
      <c r="J92" s="7">
        <v>0</v>
      </c>
      <c r="K92" s="92" t="str">
        <f>IF(ISEVEN(B92),(B92-1)&amp;"/"&amp;B92,B92&amp;"/"&amp;(B92+1))</f>
        <v>4015/4016</v>
      </c>
      <c r="L92" s="21" t="str">
        <f>VLOOKUP(A92,'Trips&amp;Operators'!$C$1:$G$99999,5,FALSE)</f>
        <v>ZEWDU DEREJE</v>
      </c>
      <c r="M92" s="6">
        <f>I92-F92</f>
        <v>2.7916666665987577E-2</v>
      </c>
      <c r="N92" s="7">
        <f>24*60*SUM($M92:$M92)</f>
        <v>40.199999999022111</v>
      </c>
      <c r="O92" s="7"/>
      <c r="P92" s="7"/>
      <c r="Q92" s="22"/>
      <c r="R92" s="190"/>
      <c r="S92" s="196">
        <f>SUM(U92:U92)/IF(AG92="EC",12,1)</f>
        <v>1</v>
      </c>
      <c r="T92" s="190" t="str">
        <f>IF(ISEVEN(LEFT(AD92,4)),"Southbound","NorthBound")</f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-05-03T12:55:17-0600',mode:absolute,to:'2017-05-03T15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2" s="192" t="str">
        <f>IF(AA92&lt;IF(AG92="EC",23,5.65),"Y","N")</f>
        <v>N</v>
      </c>
      <c r="X92" s="192">
        <f>VALUE(LEFT(AD92,4))-VALUE(LEFT(AD91,4))</f>
        <v>1</v>
      </c>
      <c r="Y92" s="192">
        <f>RIGHT(D92,LEN(D92)-4)/10000</f>
        <v>23.297699999999999</v>
      </c>
      <c r="Z92" s="192">
        <f>RIGHT(H92,LEN(H92)-4)/10000</f>
        <v>1.6E-2</v>
      </c>
      <c r="AA92" s="192">
        <f>ABS(Z92-Y92)</f>
        <v>23.281700000000001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>IF(LEN(A92)=6,"0"&amp;A92,A92)</f>
        <v>0178-03</v>
      </c>
      <c r="AE92" s="80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92" s="77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/stypes="app*4015*20170503*" /stext=" 20:.+((SYSTEM_STATE.+slice.+state.+changed )|(ment ac)|(multiple cpu faults)|(system.+state.+changed )|(\[timeout)|(PRM\|1\|D)|(kpr)|(kdp)|(train st.+moving)|(\|lc)|(penalty))"</v>
      </c>
      <c r="AG92" s="1" t="str">
        <f>IFERROR(IF(VALUE(LEFT(AD92,2))&lt;=2,"EC",IF(OR(VALUE(LEFT(AD92,2))=8,VALUE(LEFT(AD92,2))=18),"NW","Other")),"Other")</f>
        <v>EC</v>
      </c>
      <c r="AH92" s="81" t="str">
        <f t="shared" si="9"/>
        <v>"%USERPROFILE%\Documents\GitHub\eaglep3\Utilities\RefineRTDCRunTimes.py" --tripid 178-03 --locoid 4015 --swversion DE.1.0.9.0 --startMP 204:232977 --initTime 2017-05-03T13:55:17 --startdatetime 2017-05-03T14:11:40 --delay 1 --endMP 204:160 --enddatetime 2017-05-03T14:51:52 --enforcementcount 0 &gt;&gt;C:\Users\stu\Documents\GitHub\eaglep3-reporting\EC\2017-05-03-refined-times.txt</v>
      </c>
      <c r="AI92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{"issue":{"subject":"","project_id":79,"tracker_id":40,"status_id":1,"priority_id":2,"assigned_to_id":23,"start_date":"2017-05-03","description":"","custom_fields":[{"id":1,"name":"Subdivision","value":"EC"},{"id":4,"name":"Milepost","value":"0.016"},{"id":17,"name":"Train ID","value":"178-03"},{"id":16,"name":"Locomotive ID","value":"4015"},{"id":130,"name":"Impact","value":""},{"id":150,"name":"Time of Event (Mountain Time)","value":"14:51:52"},{"id":151,"name":"Denver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5" t="str">
        <f t="shared" si="11"/>
        <v>start /low /b %USERPROFILE%\Documents\GitHub\eaglep3\Utilities\DownloadLogsFromS3.py --loco 4015 --day 2017-05-03</v>
      </c>
      <c r="AN92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3" spans="1:91" s="1" customFormat="1" x14ac:dyDescent="0.25">
      <c r="A93" s="32" t="s">
        <v>737</v>
      </c>
      <c r="B93" s="7">
        <v>4018</v>
      </c>
      <c r="C93" s="21" t="s">
        <v>210</v>
      </c>
      <c r="D93" s="21" t="s">
        <v>446</v>
      </c>
      <c r="E93" s="13">
        <v>42858.557835648149</v>
      </c>
      <c r="F93" s="13">
        <v>42858.5627662037</v>
      </c>
      <c r="G93" s="7">
        <v>1</v>
      </c>
      <c r="H93" s="21" t="s">
        <v>426</v>
      </c>
      <c r="I93" s="13">
        <v>42858.587777777779</v>
      </c>
      <c r="J93" s="7">
        <v>0</v>
      </c>
      <c r="K93" s="92" t="str">
        <f>IF(ISEVEN(B93),(B93-1)&amp;"/"&amp;B93,B93&amp;"/"&amp;(B93+1))</f>
        <v>4017/4018</v>
      </c>
      <c r="L93" s="21" t="str">
        <f>VLOOKUP(A93,'Trips&amp;Operators'!$C$1:$G$99999,5,FALSE)</f>
        <v>BIRENBAUM THOMAS</v>
      </c>
      <c r="M93" s="6">
        <f>I93-F93</f>
        <v>2.5011574078234844E-2</v>
      </c>
      <c r="N93" s="7">
        <f>24*60*SUM($M93:$M93)</f>
        <v>36.016666672658175</v>
      </c>
      <c r="O93" s="7"/>
      <c r="P93" s="7"/>
      <c r="Q93" s="22"/>
      <c r="R93" s="190"/>
      <c r="S93" s="196">
        <f>SUM(U93:U93)/IF(AG93="EC",12,1)</f>
        <v>1</v>
      </c>
      <c r="T93" s="190" t="str">
        <f>IF(ISEVEN(LEFT(AD93,4)),"Southbound","NorthBound")</f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-05-03T12:23:17-0600',mode:absolute,to:'2017-05-03T15:06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3" s="192" t="str">
        <f>IF(AA93&lt;IF(AG93="EC",23,5.65),"Y","N")</f>
        <v>N</v>
      </c>
      <c r="X93" s="192">
        <f>VALUE(LEFT(AD93,4))-VALUE(LEFT(AD92,4))</f>
        <v>1</v>
      </c>
      <c r="Y93" s="192">
        <f>RIGHT(D93,LEN(D93)-4)/10000</f>
        <v>4.4400000000000002E-2</v>
      </c>
      <c r="Z93" s="192">
        <f>RIGHT(H93,LEN(H93)-4)/10000</f>
        <v>23.330400000000001</v>
      </c>
      <c r="AA93" s="192">
        <f>ABS(Z93-Y93)</f>
        <v>23.286000000000001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>IF(LEN(A93)=6,"0"&amp;A93,A93)</f>
        <v>0179-03</v>
      </c>
      <c r="AE93" s="80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 &amp; 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</v>
      </c>
      <c r="AF93" s="77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/stypes="app*4018*20170503*" /stext=" 20:.+((SYSTEM_STATE.+slice.+state.+changed )|(ment ac)|(multiple cpu faults)|(system.+state.+changed )|(\[timeout)|(PRM\|1\|D)|(kpr)|(kdp)|(train st.+moving)|(\|lc)|(penalty))"</v>
      </c>
      <c r="AG93" s="1" t="str">
        <f>IFERROR(IF(VALUE(LEFT(AD93,2))&lt;=2,"EC",IF(OR(VALUE(LEFT(AD93,2))=8,VALUE(LEFT(AD93,2))=18),"NW","Other")),"Other")</f>
        <v>EC</v>
      </c>
      <c r="AH93" s="81" t="str">
        <f t="shared" si="9"/>
        <v>"%USERPROFILE%\Documents\GitHub\eaglep3\Utilities\RefineRTDCRunTimes.py" --tripid 179-03 --locoid 4018 --swversion DE.1.0.9.0 --startMP 204:444 --initTime 2017-05-03T13:23:17 --startdatetime 2017-05-03T13:30:23 --delay 1 --endMP 204:233304 --enddatetime 2017-05-03T14:06:24 --enforcementcount 0 &gt;&gt;C:\Users\stu\Documents\GitHub\eaglep3-reporting\EC\2017-05-03-refined-times.txt</v>
      </c>
      <c r="AI93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{"issue":{"subject":"","project_id":79,"tracker_id":40,"status_id":1,"priority_id":2,"assigned_to_id":23,"start_date":"2017-05-03","description":"","custom_fields":[{"id":1,"name":"Subdivision","value":"EC"},{"id":4,"name":"Milepost","value":"23.3304"},{"id":17,"name":"Train ID","value":"179-03"},{"id":16,"name":"Locomotive ID","value":"4018"},{"id":130,"name":"Impact","value":""},{"id":150,"name":"Time of Event (Mountain Time)","value":"14:06:24"},{"id":151,"name":"Denver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11"/>
        <v>start /low /b %USERPROFILE%\Documents\GitHub\eaglep3\Utilities\DownloadLogsFromS3.py --loco 4018 --day 2017-05-03</v>
      </c>
      <c r="AN93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20:06:24"},{"id":29,"name":"Sharepoint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744</v>
      </c>
      <c r="B94" s="7">
        <v>4017</v>
      </c>
      <c r="C94" s="21" t="s">
        <v>210</v>
      </c>
      <c r="D94" s="21" t="s">
        <v>551</v>
      </c>
      <c r="E94" s="13">
        <v>42858.59574074074</v>
      </c>
      <c r="F94" s="13">
        <v>42858.601574074077</v>
      </c>
      <c r="G94" s="7">
        <v>1</v>
      </c>
      <c r="H94" s="21" t="s">
        <v>386</v>
      </c>
      <c r="I94" s="13">
        <v>42858.627997685187</v>
      </c>
      <c r="J94" s="7">
        <v>0</v>
      </c>
      <c r="K94" s="92" t="str">
        <f>IF(ISEVEN(B94),(B94-1)&amp;"/"&amp;B94,B94&amp;"/"&amp;(B94+1))</f>
        <v>4017/4018</v>
      </c>
      <c r="L94" s="21" t="str">
        <f>VLOOKUP(A94,'Trips&amp;Operators'!$C$1:$G$99999,5,FALSE)</f>
        <v>BIRENBAUM THOMAS</v>
      </c>
      <c r="M94" s="6">
        <f>I94-F94</f>
        <v>2.6423611110658385E-2</v>
      </c>
      <c r="N94" s="7">
        <f>24*60*SUM($M94:$M94)</f>
        <v>38.049999999348074</v>
      </c>
      <c r="O94" s="7"/>
      <c r="P94" s="7"/>
      <c r="Q94" s="22"/>
      <c r="R94" s="190"/>
      <c r="S94" s="196">
        <f>SUM(U94:U94)/IF(AG94="EC",12,1)</f>
        <v>1</v>
      </c>
      <c r="T94" s="190" t="str">
        <f>IF(ISEVEN(LEFT(AD94,4)),"Southbound","NorthBound")</f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-05-03T13:17:52-0600',mode:absolute,to:'2017-05-03T16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94" s="192" t="str">
        <f>IF(AA94&lt;IF(AG94="EC",23,5.65),"Y","N")</f>
        <v>N</v>
      </c>
      <c r="X94" s="192">
        <f>VALUE(LEFT(AD94,4))-VALUE(LEFT(AD93,4))</f>
        <v>1</v>
      </c>
      <c r="Y94" s="192">
        <f>RIGHT(D94,LEN(D94)-4)/10000</f>
        <v>23.298500000000001</v>
      </c>
      <c r="Z94" s="192">
        <f>RIGHT(H94,LEN(H94)-4)/10000</f>
        <v>1.6E-2</v>
      </c>
      <c r="AA94" s="192">
        <f>ABS(Z94-Y94)</f>
        <v>23.282500000000002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>IF(LEN(A94)=6,"0"&amp;A94,A94)</f>
        <v>0180-03</v>
      </c>
      <c r="AE94" s="80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AF94" s="77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/stypes="app*4017*20170503*" /stext=" 21:.+((SYSTEM_STATE.+slice.+state.+changed )|(ment ac)|(multiple cpu faults)|(system.+state.+changed )|(\[timeout)|(PRM\|1\|D)|(kpr)|(kdp)|(train st.+moving)|(\|lc)|(penalty))"</v>
      </c>
      <c r="AG94" s="1" t="str">
        <f>IFERROR(IF(VALUE(LEFT(AD94,2))&lt;=2,"EC",IF(OR(VALUE(LEFT(AD94,2))=8,VALUE(LEFT(AD94,2))=18),"NW","Other")),"Other")</f>
        <v>EC</v>
      </c>
      <c r="AH94" s="81" t="str">
        <f t="shared" si="9"/>
        <v>"%USERPROFILE%\Documents\GitHub\eaglep3\Utilities\RefineRTDCRunTimes.py" --tripid 180-03 --locoid 4017 --swversion DE.1.0.9.0 --startMP 204:232985 --initTime 2017-05-03T14:17:52 --startdatetime 2017-05-03T14:26:16 --delay 1 --endMP 204:160 --enddatetime 2017-05-03T15:04:19 --enforcementcount 0 &gt;&gt;C:\Users\stu\Documents\GitHub\eaglep3-reporting\EC\2017-05-03-refined-times.txt</v>
      </c>
      <c r="AI94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{"issue":{"subject":"","project_id":79,"tracker_id":40,"status_id":1,"priority_id":2,"assigned_to_id":23,"start_date":"2017-05-03","description":"","custom_fields":[{"id":1,"name":"Subdivision","value":"EC"},{"id":4,"name":"Milepost","value":"0.016"},{"id":17,"name":"Train ID","value":"180-03"},{"id":16,"name":"Locomotive ID","value":"4017"},{"id":130,"name":"Impact","value":""},{"id":150,"name":"Time of Event (Mountain Time)","value":"15:04:19"},{"id":151,"name":"Denver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5" t="str">
        <f t="shared" si="11"/>
        <v>start /low /b %USERPROFILE%\Documents\GitHub\eaglep3\Utilities\DownloadLogsFromS3.py --loco 4017 --day 2017-05-03</v>
      </c>
      <c r="AN94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740</v>
      </c>
      <c r="B95" s="7">
        <v>4028</v>
      </c>
      <c r="C95" s="21" t="s">
        <v>210</v>
      </c>
      <c r="D95" s="21" t="s">
        <v>381</v>
      </c>
      <c r="E95" s="13">
        <v>42858.569293981483</v>
      </c>
      <c r="F95" s="13">
        <v>42858.573206018518</v>
      </c>
      <c r="G95" s="7">
        <v>1</v>
      </c>
      <c r="H95" s="21" t="s">
        <v>514</v>
      </c>
      <c r="I95" s="13">
        <v>42858.598287037035</v>
      </c>
      <c r="J95" s="7">
        <v>0</v>
      </c>
      <c r="K95" s="92" t="str">
        <f>IF(ISEVEN(B95),(B95-1)&amp;"/"&amp;B95,B95&amp;"/"&amp;(B95+1))</f>
        <v>4027/4028</v>
      </c>
      <c r="L95" s="21" t="str">
        <f>VLOOKUP(A95,'Trips&amp;Operators'!$C$1:$G$99999,5,FALSE)</f>
        <v>LALONDE GREGORY</v>
      </c>
      <c r="M95" s="6">
        <f>I95-F95</f>
        <v>2.5081018517084885E-2</v>
      </c>
      <c r="N95" s="7">
        <f>24*60*SUM($M95:$M95)</f>
        <v>36.116666664602235</v>
      </c>
      <c r="O95" s="7"/>
      <c r="P95" s="7"/>
      <c r="Q95" s="22"/>
      <c r="R95" s="190"/>
      <c r="S95" s="196">
        <f>SUM(U95:U95)/IF(AG95="EC",12,1)</f>
        <v>1</v>
      </c>
      <c r="T95" s="190" t="str">
        <f>IF(ISEVEN(LEFT(AD95,4)),"Southbound","NorthBound")</f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-05-03T12:39:47-0600',mode:absolute,to:'2017-05-03T15:21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5" s="192" t="str">
        <f>IF(AA95&lt;IF(AG95="EC",23,5.65),"Y","N")</f>
        <v>N</v>
      </c>
      <c r="X95" s="192">
        <f>VALUE(LEFT(AD95,4))-VALUE(LEFT(AD94,4))</f>
        <v>1</v>
      </c>
      <c r="Y95" s="192">
        <f>RIGHT(D95,LEN(D95)-4)/10000</f>
        <v>4.6199999999999998E-2</v>
      </c>
      <c r="Z95" s="192">
        <f>RIGHT(H95,LEN(H95)-4)/10000</f>
        <v>23.333200000000001</v>
      </c>
      <c r="AA95" s="192">
        <f>ABS(Z95-Y95)</f>
        <v>23.287000000000003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>IF(LEN(A95)=6,"0"&amp;A95,A95)</f>
        <v>0181-03</v>
      </c>
      <c r="AE95" s="80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95" s="77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/stypes="app*4028*20170503*" /stext=" 20:.+((SYSTEM_STATE.+slice.+state.+changed )|(ment ac)|(multiple cpu faults)|(system.+state.+changed )|(\[timeout)|(PRM\|1\|D)|(kpr)|(kdp)|(train st.+moving)|(\|lc)|(penalty))"</v>
      </c>
      <c r="AG95" s="1" t="str">
        <f>IFERROR(IF(VALUE(LEFT(AD95,2))&lt;=2,"EC",IF(OR(VALUE(LEFT(AD95,2))=8,VALUE(LEFT(AD95,2))=18),"NW","Other")),"Other")</f>
        <v>EC</v>
      </c>
      <c r="AH95" s="81" t="str">
        <f t="shared" si="9"/>
        <v>"%USERPROFILE%\Documents\GitHub\eaglep3\Utilities\RefineRTDCRunTimes.py" --tripid 181-03 --locoid 4028 --swversion DE.1.0.9.0 --startMP 204:462 --initTime 2017-05-03T13:39:47 --startdatetime 2017-05-03T13:45:25 --delay 1 --endMP 204:233332 --enddatetime 2017-05-03T14:21:32 --enforcementcount 0 &gt;&gt;C:\Users\stu\Documents\GitHub\eaglep3-reporting\EC\2017-05-03-refined-times.txt</v>
      </c>
      <c r="AI95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{"issue":{"subject":"","project_id":79,"tracker_id":40,"status_id":1,"priority_id":2,"assigned_to_id":23,"start_date":"2017-05-03","description":"","custom_fields":[{"id":1,"name":"Subdivision","value":"EC"},{"id":4,"name":"Milepost","value":"23.3332"},{"id":17,"name":"Train ID","value":"181-03"},{"id":16,"name":"Locomotive ID","value":"4028"},{"id":130,"name":"Impact","value":""},{"id":150,"name":"Time of Event (Mountain Time)","value":"14:21:32"},{"id":151,"name":"Denver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11"/>
        <v>start /low /b %USERPROFILE%\Documents\GitHub\eaglep3\Utilities\DownloadLogsFromS3.py --loco 4028 --day 2017-05-03</v>
      </c>
      <c r="AN95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20:21:32"},{"id":29,"name":"Sharepoint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746</v>
      </c>
      <c r="B96" s="7">
        <v>4027</v>
      </c>
      <c r="C96" s="21" t="s">
        <v>210</v>
      </c>
      <c r="D96" s="21" t="s">
        <v>881</v>
      </c>
      <c r="E96" s="13">
        <v>42858.600393518522</v>
      </c>
      <c r="F96" s="13">
        <v>42858.611956018518</v>
      </c>
      <c r="G96" s="7">
        <v>0</v>
      </c>
      <c r="H96" s="21" t="s">
        <v>405</v>
      </c>
      <c r="I96" s="13">
        <v>42858.63753472222</v>
      </c>
      <c r="J96" s="7">
        <v>0</v>
      </c>
      <c r="K96" s="92" t="str">
        <f>IF(ISEVEN(B96),(B96-1)&amp;"/"&amp;B96,B96&amp;"/"&amp;(B96+1))</f>
        <v>4027/4028</v>
      </c>
      <c r="L96" s="21" t="str">
        <f>VLOOKUP(A96,'Trips&amp;Operators'!$C$1:$G$99999,5,FALSE)</f>
        <v>LALONDE GREGORY</v>
      </c>
      <c r="M96" s="6">
        <f>I96-F96</f>
        <v>2.5578703702194616E-2</v>
      </c>
      <c r="N96" s="7">
        <f>24*60*SUM($M96:$M96)</f>
        <v>36.833333331160247</v>
      </c>
      <c r="O96" s="7"/>
      <c r="P96" s="7"/>
      <c r="Q96" s="22"/>
      <c r="R96" s="190"/>
      <c r="S96" s="196">
        <f>SUM(U96:U96)/IF(AG96="EC",12,1)</f>
        <v>1</v>
      </c>
      <c r="T96" s="190" t="str">
        <f>IF(ISEVEN(LEFT(AD96,4)),"Southbound","NorthBound")</f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-05-03T13:24:34-0600',mode:absolute,to:'2017-05-03T16:18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6" s="192" t="str">
        <f>IF(AA96&lt;IF(AG96="EC",23,5.65),"Y","N")</f>
        <v>N</v>
      </c>
      <c r="X96" s="192">
        <f>VALUE(LEFT(AD96,4))-VALUE(LEFT(AD95,4))</f>
        <v>1</v>
      </c>
      <c r="Y96" s="192">
        <f>RIGHT(D96,LEN(D96)-4)/10000</f>
        <v>23.303000000000001</v>
      </c>
      <c r="Z96" s="192">
        <f>RIGHT(H96,LEN(H96)-4)/10000</f>
        <v>1.4999999999999999E-2</v>
      </c>
      <c r="AA96" s="192">
        <f>ABS(Z96-Y96)</f>
        <v>23.288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>IF(LEN(A96)=6,"0"&amp;A96,A96)</f>
        <v>0182-03</v>
      </c>
      <c r="AE96" s="80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96" s="77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/stypes="app*4027*20170503*" /stext=" 21:.+((SYSTEM_STATE.+slice.+state.+changed )|(ment ac)|(multiple cpu faults)|(system.+state.+changed )|(\[timeout)|(PRM\|1\|D)|(kpr)|(kdp)|(train st.+moving)|(\|lc)|(penalty))"</v>
      </c>
      <c r="AG96" s="1" t="str">
        <f>IFERROR(IF(VALUE(LEFT(AD96,2))&lt;=2,"EC",IF(OR(VALUE(LEFT(AD96,2))=8,VALUE(LEFT(AD96,2))=18),"NW","Other")),"Other")</f>
        <v>EC</v>
      </c>
      <c r="AH96" s="81" t="str">
        <f t="shared" si="9"/>
        <v>"%USERPROFILE%\Documents\GitHub\eaglep3\Utilities\RefineRTDCRunTimes.py" --tripid 182-03 --locoid 4027 --swversion DE.1.0.9.0 --startMP 204:233030 --initTime 2017-05-03T14:24:34 --startdatetime 2017-05-03T14:41:13 --delay 0 --endMP 204:150 --enddatetime 2017-05-03T15:18:03 --enforcementcount 0 &gt;&gt;C:\Users\stu\Documents\GitHub\eaglep3-reporting\EC\2017-05-03-refined-times.txt</v>
      </c>
      <c r="AI96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{"issue":{"subject":"","project_id":79,"tracker_id":40,"status_id":1,"priority_id":2,"assigned_to_id":23,"start_date":"2017-05-03","description":"","custom_fields":[{"id":1,"name":"Subdivision","value":"EC"},{"id":4,"name":"Milepost","value":"0.015"},{"id":17,"name":"Train ID","value":"182-03"},{"id":16,"name":"Locomotive ID","value":"4027"},{"id":130,"name":"Impact","value":""},{"id":150,"name":"Time of Event (Mountain Time)","value":"15:18:03"},{"id":151,"name":"Denver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11"/>
        <v>start /low /b %USERPROFILE%\Documents\GitHub\eaglep3\Utilities\DownloadLogsFromS3.py --loco 4027 --day 2017-05-03</v>
      </c>
      <c r="AN96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21:18:03"},{"id":29,"name":"Sharepoint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743</v>
      </c>
      <c r="B97" s="7">
        <v>4040</v>
      </c>
      <c r="C97" s="21" t="s">
        <v>210</v>
      </c>
      <c r="D97" s="21" t="s">
        <v>427</v>
      </c>
      <c r="E97" s="13">
        <v>42858.580972222226</v>
      </c>
      <c r="F97" s="13">
        <v>42858.583483796298</v>
      </c>
      <c r="G97" s="7">
        <v>1</v>
      </c>
      <c r="H97" s="21" t="s">
        <v>882</v>
      </c>
      <c r="I97" s="13">
        <v>42858.608194444445</v>
      </c>
      <c r="J97" s="7">
        <v>0</v>
      </c>
      <c r="K97" s="92" t="str">
        <f>IF(ISEVEN(B97),(B97-1)&amp;"/"&amp;B97,B97&amp;"/"&amp;(B97+1))</f>
        <v>4039/4040</v>
      </c>
      <c r="L97" s="21" t="str">
        <f>VLOOKUP(A97,'Trips&amp;Operators'!$C$1:$G$99999,5,FALSE)</f>
        <v>LEVIN SCOTT</v>
      </c>
      <c r="M97" s="6">
        <f>I97-F97</f>
        <v>2.47106481474475E-2</v>
      </c>
      <c r="N97" s="7">
        <f>24*60*SUM($M97:$M97)</f>
        <v>35.583333332324401</v>
      </c>
      <c r="O97" s="7"/>
      <c r="P97" s="7"/>
      <c r="Q97" s="22"/>
      <c r="R97" s="190"/>
      <c r="S97" s="196">
        <f>SUM(U97:U97)/IF(AG97="EC",12,1)</f>
        <v>1</v>
      </c>
      <c r="T97" s="190" t="str">
        <f>IF(ISEVEN(LEFT(AD97,4)),"Southbound","NorthBound")</f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-05-03T12:56:36-0600',mode:absolute,to:'2017-05-03T15:35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7" s="192" t="str">
        <f>IF(AA97&lt;IF(AG97="EC",23,5.65),"Y","N")</f>
        <v>N</v>
      </c>
      <c r="X97" s="192">
        <f>VALUE(LEFT(AD97,4))-VALUE(LEFT(AD96,4))</f>
        <v>1</v>
      </c>
      <c r="Y97" s="192">
        <f>RIGHT(D97,LEN(D97)-4)/10000</f>
        <v>4.53E-2</v>
      </c>
      <c r="Z97" s="192">
        <f>RIGHT(H97,LEN(H97)-4)/10000</f>
        <v>23.3383</v>
      </c>
      <c r="AA97" s="192">
        <f>ABS(Z97-Y97)</f>
        <v>23.292999999999999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>IF(LEN(A97)=6,"0"&amp;A97,A97)</f>
        <v>0183-03</v>
      </c>
      <c r="AE97" s="80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AF97" s="77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/stypes="app*4040*20170503*" /stext=" 20:.+((SYSTEM_STATE.+slice.+state.+changed )|(ment ac)|(multiple cpu faults)|(system.+state.+changed )|(\[timeout)|(PRM\|1\|D)|(kpr)|(kdp)|(train st.+moving)|(\|lc)|(penalty))"</v>
      </c>
      <c r="AG97" s="1" t="str">
        <f>IFERROR(IF(VALUE(LEFT(AD97,2))&lt;=2,"EC",IF(OR(VALUE(LEFT(AD97,2))=8,VALUE(LEFT(AD97,2))=18),"NW","Other")),"Other")</f>
        <v>EC</v>
      </c>
      <c r="AH97" s="81" t="str">
        <f t="shared" si="9"/>
        <v>"%USERPROFILE%\Documents\GitHub\eaglep3\Utilities\RefineRTDCRunTimes.py" --tripid 183-03 --locoid 4040 --swversion DE.1.0.9.0 --startMP 204:453 --initTime 2017-05-03T13:56:36 --startdatetime 2017-05-03T14:00:13 --delay 1 --endMP 204:233383 --enddatetime 2017-05-03T14:35:48 --enforcementcount 0 &gt;&gt;C:\Users\stu\Documents\GitHub\eaglep3-reporting\EC\2017-05-03-refined-times.txt</v>
      </c>
      <c r="AI97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{"issue":{"subject":"","project_id":79,"tracker_id":40,"status_id":1,"priority_id":2,"assigned_to_id":23,"start_date":"2017-05-03","description":"","custom_fields":[{"id":1,"name":"Subdivision","value":"EC"},{"id":4,"name":"Milepost","value":"23.3383"},{"id":17,"name":"Train ID","value":"183-03"},{"id":16,"name":"Locomotive ID","value":"4040"},{"id":130,"name":"Impact","value":""},{"id":150,"name":"Time of Event (Mountain Time)","value":"14:35:48"},{"id":151,"name":"Denver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11"/>
        <v>start /low /b %USERPROFILE%\Documents\GitHub\eaglep3\Utilities\DownloadLogsFromS3.py --loco 4040 --day 2017-05-03</v>
      </c>
      <c r="AN97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603</v>
      </c>
      <c r="B98" s="7">
        <v>4039</v>
      </c>
      <c r="C98" s="21" t="s">
        <v>210</v>
      </c>
      <c r="D98" s="21" t="s">
        <v>883</v>
      </c>
      <c r="E98" s="13">
        <v>42858.619398148148</v>
      </c>
      <c r="F98" s="13">
        <v>42858.622395833336</v>
      </c>
      <c r="G98" s="7">
        <v>1</v>
      </c>
      <c r="H98" s="21" t="s">
        <v>884</v>
      </c>
      <c r="I98" s="13">
        <v>42858.64980324074</v>
      </c>
      <c r="J98" s="7">
        <v>0</v>
      </c>
      <c r="K98" s="92" t="str">
        <f>IF(ISEVEN(B98),(B98-1)&amp;"/"&amp;B98,B98&amp;"/"&amp;(B98+1))</f>
        <v>4039/4040</v>
      </c>
      <c r="L98" s="21" t="str">
        <f>VLOOKUP(A98,'Trips&amp;Operators'!$C$1:$G$99999,5,FALSE)</f>
        <v>LEVIN SCOTT</v>
      </c>
      <c r="M98" s="6">
        <f>I98-F98</f>
        <v>2.7407407404098194E-2</v>
      </c>
      <c r="N98" s="7">
        <f>24*60*SUM($M98:$M98)</f>
        <v>39.466666661901399</v>
      </c>
      <c r="O98" s="7"/>
      <c r="P98" s="7"/>
      <c r="Q98" s="22"/>
      <c r="R98" s="190"/>
      <c r="S98" s="196">
        <f>SUM(U98:U98)/IF(AG98="EC",12,1)</f>
        <v>1</v>
      </c>
      <c r="T98" s="190" t="str">
        <f>IF(ISEVEN(LEFT(AD98,4)),"Southbound","NorthBound")</f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-05-03T13:51:56-0600',mode:absolute,to:'2017-05-03T16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8" s="192" t="str">
        <f>IF(AA98&lt;IF(AG98="EC",23,5.65),"Y","N")</f>
        <v>N</v>
      </c>
      <c r="X98" s="192">
        <f>VALUE(LEFT(AD98,4))-VALUE(LEFT(AD97,4))</f>
        <v>1</v>
      </c>
      <c r="Y98" s="192">
        <f>RIGHT(D98,LEN(D98)-4)/10000</f>
        <v>23.308299999999999</v>
      </c>
      <c r="Z98" s="192">
        <f>RIGHT(H98,LEN(H98)-4)/10000</f>
        <v>1.9599999999999999E-2</v>
      </c>
      <c r="AA98" s="192">
        <f>ABS(Z98-Y98)</f>
        <v>23.288699999999999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>IF(LEN(A98)=6,"0"&amp;A98,A98)</f>
        <v>0184-03</v>
      </c>
      <c r="AE98" s="80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98" s="77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/stypes="app*4039*20170503*" /stext=" 21:.+((SYSTEM_STATE.+slice.+state.+changed )|(ment ac)|(multiple cpu faults)|(system.+state.+changed )|(\[timeout)|(PRM\|1\|D)|(kpr)|(kdp)|(train st.+moving)|(\|lc)|(penalty))"</v>
      </c>
      <c r="AG98" s="1" t="str">
        <f>IFERROR(IF(VALUE(LEFT(AD98,2))&lt;=2,"EC",IF(OR(VALUE(LEFT(AD98,2))=8,VALUE(LEFT(AD98,2))=18),"NW","Other")),"Other")</f>
        <v>EC</v>
      </c>
      <c r="AH98" s="81" t="str">
        <f t="shared" si="9"/>
        <v>"%USERPROFILE%\Documents\GitHub\eaglep3\Utilities\RefineRTDCRunTimes.py" --tripid 184-03 --locoid 4039 --swversion DE.1.0.9.0 --startMP 204:233083 --initTime 2017-05-03T14:51:56 --startdatetime 2017-05-03T14:56:15 --delay 1 --endMP 204:196 --enddatetime 2017-05-03T15:35:43 --enforcementcount 0 &gt;&gt;C:\Users\stu\Documents\GitHub\eaglep3-reporting\EC\2017-05-03-refined-times.txt</v>
      </c>
      <c r="AI98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{"issue":{"subject":"","project_id":79,"tracker_id":40,"status_id":1,"priority_id":2,"assigned_to_id":23,"start_date":"2017-05-03","description":"","custom_fields":[{"id":1,"name":"Subdivision","value":"EC"},{"id":4,"name":"Milepost","value":"0.0196"},{"id":17,"name":"Train ID","value":"184-03"},{"id":16,"name":"Locomotive ID","value":"4039"},{"id":130,"name":"Impact","value":""},{"id":150,"name":"Time of Event (Mountain Time)","value":"15:35:43"},{"id":151,"name":"Denver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11"/>
        <v>start /low /b %USERPROFILE%\Documents\GitHub\eaglep3\Utilities\DownloadLogsFromS3.py --loco 4039 --day 2017-05-03</v>
      </c>
      <c r="AN98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x14ac:dyDescent="0.25">
      <c r="A99" s="32" t="s">
        <v>599</v>
      </c>
      <c r="B99" s="7">
        <v>4012</v>
      </c>
      <c r="C99" s="21" t="s">
        <v>210</v>
      </c>
      <c r="D99" s="21" t="s">
        <v>446</v>
      </c>
      <c r="E99" s="13">
        <v>42858.591400462959</v>
      </c>
      <c r="F99" s="13">
        <v>42858.593981481485</v>
      </c>
      <c r="G99" s="7">
        <v>1</v>
      </c>
      <c r="H99" s="21" t="s">
        <v>558</v>
      </c>
      <c r="I99" s="13">
        <v>42858.619849537034</v>
      </c>
      <c r="J99" s="7">
        <v>0</v>
      </c>
      <c r="K99" s="92" t="str">
        <f>IF(ISEVEN(B99),(B99-1)&amp;"/"&amp;B99,B99&amp;"/"&amp;(B99+1))</f>
        <v>4011/4012</v>
      </c>
      <c r="L99" s="21" t="str">
        <f>VLOOKUP(A99,'Trips&amp;Operators'!$C$1:$G$99999,5,FALSE)</f>
        <v>MOSES BRADLEY</v>
      </c>
      <c r="M99" s="6">
        <f>I99-F99</f>
        <v>2.586805554892635E-2</v>
      </c>
      <c r="N99" s="7">
        <f>24*60*SUM($M99:$M99)</f>
        <v>37.249999990453944</v>
      </c>
      <c r="O99" s="7"/>
      <c r="P99" s="7"/>
      <c r="Q99" s="22"/>
      <c r="R99" s="190"/>
      <c r="S99" s="196">
        <f>SUM(U99:U99)/IF(AG99="EC",12,1)</f>
        <v>1</v>
      </c>
      <c r="T99" s="190" t="str">
        <f>IF(ISEVEN(LEFT(AD99,4)),"Southbound","NorthBound")</f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-05-03T13:11:37-0600',mode:absolute,to:'2017-05-03T15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9" s="192" t="str">
        <f>IF(AA99&lt;IF(AG99="EC",23,5.65),"Y","N")</f>
        <v>N</v>
      </c>
      <c r="X99" s="192">
        <f>VALUE(LEFT(AD99,4))-VALUE(LEFT(AD98,4))</f>
        <v>1</v>
      </c>
      <c r="Y99" s="192">
        <f>RIGHT(D99,LEN(D99)-4)/10000</f>
        <v>4.4400000000000002E-2</v>
      </c>
      <c r="Z99" s="192">
        <f>RIGHT(H99,LEN(H99)-4)/10000</f>
        <v>23.334299999999999</v>
      </c>
      <c r="AA99" s="192">
        <f>ABS(Z99-Y99)</f>
        <v>23.289899999999999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>IF(LEN(A99)=6,"0"&amp;A99,A99)</f>
        <v>0185-03</v>
      </c>
      <c r="AE99" s="80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AF99" s="77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/stypes="app*4012*20170503*" /stext=" 20:.+((SYSTEM_STATE.+slice.+state.+changed )|(ment ac)|(multiple cpu faults)|(system.+state.+changed )|(\[timeout)|(PRM\|1\|D)|(kpr)|(kdp)|(train st.+moving)|(\|lc)|(penalty))"</v>
      </c>
      <c r="AG99" s="1" t="str">
        <f>IFERROR(IF(VALUE(LEFT(AD99,2))&lt;=2,"EC",IF(OR(VALUE(LEFT(AD99,2))=8,VALUE(LEFT(AD99,2))=18),"NW","Other")),"Other")</f>
        <v>EC</v>
      </c>
      <c r="AH99" s="81" t="str">
        <f t="shared" si="9"/>
        <v>"%USERPROFILE%\Documents\GitHub\eaglep3\Utilities\RefineRTDCRunTimes.py" --tripid 185-03 --locoid 4012 --swversion DE.1.0.9.0 --startMP 204:444 --initTime 2017-05-03T14:11:37 --startdatetime 2017-05-03T14:15:20 --delay 1 --endMP 204:233343 --enddatetime 2017-05-03T14:52:35 --enforcementcount 0 &gt;&gt;C:\Users\stu\Documents\GitHub\eaglep3-reporting\EC\2017-05-03-refined-times.txt</v>
      </c>
      <c r="AI99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{"issue":{"subject":"","project_id":79,"tracker_id":40,"status_id":1,"priority_id":2,"assigned_to_id":23,"start_date":"2017-05-03","description":"","custom_fields":[{"id":1,"name":"Subdivision","value":"EC"},{"id":4,"name":"Milepost","value":"23.3343"},{"id":17,"name":"Train ID","value":"185-03"},{"id":16,"name":"Locomotive ID","value":"4012"},{"id":130,"name":"Impact","value":""},{"id":150,"name":"Time of Event (Mountain Time)","value":"14:52:35"},{"id":151,"name":"Denver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5" t="str">
        <f t="shared" si="11"/>
        <v>start /low /b %USERPROFILE%\Documents\GitHub\eaglep3\Utilities\DownloadLogsFromS3.py --loco 4012 --day 2017-05-03</v>
      </c>
      <c r="AN99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20:52:35"},{"id":29,"name":"Sharepoint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0" spans="1:91" s="20" customFormat="1" x14ac:dyDescent="0.25">
      <c r="A100" s="32" t="s">
        <v>602</v>
      </c>
      <c r="B100" s="7">
        <v>4011</v>
      </c>
      <c r="C100" s="21" t="s">
        <v>210</v>
      </c>
      <c r="D100" s="21" t="s">
        <v>885</v>
      </c>
      <c r="E100" s="13">
        <v>42858.646365740744</v>
      </c>
      <c r="F100" s="13">
        <v>42858.647060185183</v>
      </c>
      <c r="G100" s="7">
        <v>0</v>
      </c>
      <c r="H100" s="21" t="s">
        <v>886</v>
      </c>
      <c r="I100" s="13">
        <v>42858.65347222222</v>
      </c>
      <c r="J100" s="7">
        <v>1</v>
      </c>
      <c r="K100" s="92" t="str">
        <f>IF(ISEVEN(B100),(B100-1)&amp;"/"&amp;B100,B100&amp;"/"&amp;(B100+1))</f>
        <v>4011/4012</v>
      </c>
      <c r="L100" s="21" t="str">
        <f>VLOOKUP(A100,'Trips&amp;Operators'!$C$1:$G$99999,5,FALSE)</f>
        <v>MOSES BRADLEY</v>
      </c>
      <c r="M100" s="6">
        <f>I100-F100</f>
        <v>6.4120370370801538E-3</v>
      </c>
      <c r="N100" s="7"/>
      <c r="O100" s="7"/>
      <c r="P100" s="7">
        <f>24*60*SUM($M100:$M101)</f>
        <v>28.483333338517696</v>
      </c>
      <c r="Q100" s="22"/>
      <c r="R100" s="190" t="s">
        <v>1026</v>
      </c>
      <c r="S100" s="196">
        <f>SUM(U100:U101)/IF(AG100="EC",12,1)</f>
        <v>0.16666666666666666</v>
      </c>
      <c r="T100" s="190" t="str">
        <f>IF(ISEVEN(LEFT(AD100,4)),"Southbound","NorthBound")</f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2</v>
      </c>
      <c r="V100" s="191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-05-03T14:30:46-0600',mode:absolute,to:'2017-05-03T16:41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0" s="192" t="str">
        <f>IF(AA100&lt;IF(AG100="EC",23,5.65),"Y","N")</f>
        <v>Y</v>
      </c>
      <c r="X100" s="192">
        <f>VALUE(LEFT(AD100,4))-VALUE(LEFT(AD99,4))</f>
        <v>1</v>
      </c>
      <c r="Y100" s="192">
        <f>RIGHT(D100,LEN(D100)-4)/10000</f>
        <v>12.784800000000001</v>
      </c>
      <c r="Z100" s="192">
        <f>RIGHT(H100,LEN(H100)-4)/10000</f>
        <v>8.1327999999999996</v>
      </c>
      <c r="AA100" s="192">
        <f>ABS(Z100-Y100)</f>
        <v>4.652000000000001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>IF(LEN(A100)=6,"0"&amp;A100,A100)</f>
        <v>0186-03</v>
      </c>
      <c r="AE100" s="80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s3://rtdc.mdm.uploadarchive.raw/RTDC4011/ "%USERPROFILE%\AppData\Local\Temp\OnboardLogs"\RTDC4011\2017-05-03 --exclude "*" --recursive --include "*20170503*" &amp; "%USERPROFILE%\Documents\GitHub\mrs-test-scripts\Headless Mode &amp; Sideloading\WalkAndUnGZ.bat" "%USERPROFILE%\AppData\Local\Temp\OnboardLogs"\RTDC4011\2017-05-03 &amp; aws s3 cp s3://rtdc.mdm.uploadarchive.raw/RTDC4011/ "%USERPROFILE%\AppData\Local\Temp\OnboardLogs"\RTDC4011\2017-05-04 --exclude "*" --recursive --include "*20170504*" &amp; "%USERPROFILE%\Documents\GitHub\mrs-test-scripts\Headless Mode &amp; Sideloading\WalkAndUnGZ.bat" "%USERPROFILE%\AppData\Local\Temp\OnboardLogs"\RTDC4011\2017-05-04</v>
      </c>
      <c r="AF100" s="77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/stypes="app*4011*20170503*" /stext=" 21:.+((SYSTEM_STATE.+slice.+state.+changed )|(ment ac)|(multiple cpu faults)|(system.+state.+changed )|(\[timeout)|(PRM\|1\|D)|(kpr)|(kdp)|(train st.+moving)|(\|lc)|(penalty))"</v>
      </c>
      <c r="AG100" s="1" t="str">
        <f>IFERROR(IF(VALUE(LEFT(AD100,2))&lt;=2,"EC",IF(OR(VALUE(LEFT(AD100,2))=8,VALUE(LEFT(AD100,2))=18),"NW","Other")),"Other")</f>
        <v>EC</v>
      </c>
      <c r="AH100" s="81" t="str">
        <f t="shared" si="9"/>
        <v>"%USERPROFILE%\Documents\GitHub\eaglep3\Utilities\RefineRTDCRunTimes.py" --tripid 186-03 --locoid 4011 --swversion DE.1.0.9.0 --startMP 204:127848 --initTime 2017-05-03T15:30:46 --startdatetime 2017-05-03T15:31:46 --delay 0 --endMP 204:81328 --enddatetime 2017-05-03T15:41:00 --enforcementcount 1 &gt;&gt;C:\Users\stu\Documents\GitHub\eaglep3-reporting\EC\2017-05-03-refined-times.txt</v>
      </c>
      <c r="AI100" s="99" t="str">
        <f t="shared" si="10"/>
        <v>echo {"issue":{"subject":"Wi-MAX data drop","project_id":79,"tracker_id":40,"status_id":1,"priority_id":2,"assigned_to_id":23,"start_date":"2017-05-03","description":"","custom_fields":[{"id":1,"name":"Subdivision","value":"EC"},{"id":4,"name":"Milepost","value":"8.1328"},{"id":17,"name":"Train ID","value":"186-03"},{"id":16,"name":"Locomotive ID","value":"4011"},{"id":130,"name":"Impact","value":""},{"id":150,"name":"Time of Event (Mountain Time)","value":"15:41:00"},{"id":151,"name":"Denver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5" t="str">
        <f t="shared" si="11"/>
        <v>start /low /b %USERPROFILE%\Documents\GitHub\eaglep3\Utilities\DownloadLogsFromS3.py --loco 4011 --day 2017-05-03</v>
      </c>
      <c r="AN100" s="154" t="str">
        <f t="shared" si="12"/>
        <v>echo {"issue":{"subject":"Wi-MAX data drop","project_id":30,"tracker_id":4,"status_id":1,"priority_id":1,"assigned_to_id":10,"start_date":"2017-05-03","description":"","custom_fields":[{"id":30,"name":"Category","value":"Issue"},{"id":3,"name":"Functional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21:41:00"},{"id":29,"name":"Sharepoint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602</v>
      </c>
      <c r="B101" s="7">
        <v>4011</v>
      </c>
      <c r="C101" s="21" t="s">
        <v>210</v>
      </c>
      <c r="D101" s="21" t="s">
        <v>887</v>
      </c>
      <c r="E101" s="13">
        <v>42858.627951388888</v>
      </c>
      <c r="F101" s="13">
        <v>42858.628819444442</v>
      </c>
      <c r="G101" s="7">
        <v>1</v>
      </c>
      <c r="H101" s="21" t="s">
        <v>888</v>
      </c>
      <c r="I101" s="13">
        <v>42858.642187500001</v>
      </c>
      <c r="J101" s="7">
        <v>2</v>
      </c>
      <c r="K101" s="92" t="str">
        <f>IF(ISEVEN(B101),(B101-1)&amp;"/"&amp;B101,B101&amp;"/"&amp;(B101+1))</f>
        <v>4011/4012</v>
      </c>
      <c r="L101" s="21" t="str">
        <f>VLOOKUP(A101,'Trips&amp;Operators'!$C$1:$G$99999,5,FALSE)</f>
        <v>MOSES BRADLEY</v>
      </c>
      <c r="M101" s="6">
        <f>I101-F101</f>
        <v>1.336805555911269E-2</v>
      </c>
      <c r="N101" s="7"/>
      <c r="O101" s="7"/>
      <c r="P101" s="7"/>
      <c r="Q101" s="22"/>
      <c r="R101" s="190"/>
      <c r="S101" s="196"/>
      <c r="T101" s="190" t="str">
        <f>IF(ISEVEN(LEFT(AD101,4)),"Southbound","NorthBound")</f>
        <v>Southbound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0</v>
      </c>
      <c r="V101" s="191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-05-03T14:04:15-0600',mode:absolute,to:'2017-05-03T16:24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1" s="192" t="str">
        <f>IF(AA101&lt;IF(AG101="EC",23,5.65),"Y","N")</f>
        <v>Y</v>
      </c>
      <c r="X101" s="192">
        <f>VALUE(LEFT(AD101,4))-VALUE(LEFT(AD100,4))</f>
        <v>0</v>
      </c>
      <c r="Y101" s="192">
        <f>RIGHT(D101,LEN(D101)-4)/10000</f>
        <v>23.3001</v>
      </c>
      <c r="Z101" s="192">
        <f>RIGHT(H101,LEN(H101)-4)/10000</f>
        <v>15.6707</v>
      </c>
      <c r="AA101" s="192">
        <f>ABS(Z101-Y101)</f>
        <v>7.6294000000000004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>IF(LEN(A101)=6,"0"&amp;A101,A101)</f>
        <v>0186-03</v>
      </c>
      <c r="AE101" s="80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s3://rtdc.mdm.uploadarchive.raw/RTDC4011/ "%USERPROFILE%\AppData\Local\Temp\OnboardLogs"\RTDC4011\2017-05-03 --exclude "*" --recursive --include "*20170503*" &amp; "%USERPROFILE%\Documents\GitHub\mrs-test-scripts\Headless Mode &amp; Sideloading\WalkAndUnGZ.bat" "%USERPROFILE%\AppData\Local\Temp\OnboardLogs"\RTDC4011\2017-05-03 &amp; aws s3 cp s3://rtdc.mdm.uploadarchive.raw/RTDC4011/ "%USERPROFILE%\AppData\Local\Temp\OnboardLogs"\RTDC4011\2017-05-04 --exclude "*" --recursive --include "*20170504*" &amp; "%USERPROFILE%\Documents\GitHub\mrs-test-scripts\Headless Mode &amp; Sideloading\WalkAndUnGZ.bat" "%USERPROFILE%\AppData\Local\Temp\OnboardLogs"\RTDC4011\2017-05-04</v>
      </c>
      <c r="AF101" s="77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/stypes="app*4011*20170503*" /stext=" 21:.+((SYSTEM_STATE.+slice.+state.+changed )|(ment ac)|(multiple cpu faults)|(system.+state.+changed )|(\[timeout)|(PRM\|1\|D)|(kpr)|(kdp)|(train st.+moving)|(\|lc)|(penalty))"</v>
      </c>
      <c r="AG101" s="1" t="str">
        <f>IFERROR(IF(VALUE(LEFT(AD101,2))&lt;=2,"EC",IF(OR(VALUE(LEFT(AD101,2))=8,VALUE(LEFT(AD101,2))=18),"NW","Other")),"Other")</f>
        <v>EC</v>
      </c>
      <c r="AH101" s="81" t="str">
        <f t="shared" si="9"/>
        <v>"%USERPROFILE%\Documents\GitHub\eaglep3\Utilities\RefineRTDCRunTimes.py" --tripid 186-03 --locoid 4011 --swversion DE.1.0.9.0 --startMP 204:233001 --initTime 2017-05-03T15:04:15 --startdatetime 2017-05-03T15:05:30 --delay 1 --endMP 204:156707 --enddatetime 2017-05-03T15:24:45 --enforcementcount 2 &gt;&gt;C:\Users\stu\Documents\GitHub\eaglep3-reporting\EC\2017-05-03-refined-times.txt</v>
      </c>
      <c r="AI101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{"issue":{"subject":"","project_id":79,"tracker_id":40,"status_id":1,"priority_id":2,"assigned_to_id":23,"start_date":"2017-05-03","description":"","custom_fields":[{"id":1,"name":"Subdivision","value":"EC"},{"id":4,"name":"Milepost","value":"15.6707"},{"id":17,"name":"Train ID","value":"186-03"},{"id":16,"name":"Locomotive ID","value":"4011"},{"id":130,"name":"Impact","value":""},{"id":150,"name":"Time of Event (Mountain Time)","value":"15:24:45"},{"id":151,"name":"Denver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11"/>
        <v>start /low /b %USERPROFILE%\Documents\GitHub\eaglep3\Utilities\DownloadLogsFromS3.py --loco 4011 --day 2017-05-03</v>
      </c>
      <c r="AN101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21:24:45"},{"id":29,"name":"Sharepoint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745</v>
      </c>
      <c r="B102" s="7">
        <v>4054</v>
      </c>
      <c r="C102" s="21" t="s">
        <v>210</v>
      </c>
      <c r="D102" s="21" t="s">
        <v>546</v>
      </c>
      <c r="E102" s="13">
        <v>42858.600347222222</v>
      </c>
      <c r="F102" s="13">
        <v>42858.604328703703</v>
      </c>
      <c r="G102" s="7">
        <v>1</v>
      </c>
      <c r="H102" s="21" t="s">
        <v>541</v>
      </c>
      <c r="I102" s="13">
        <v>42858.630381944444</v>
      </c>
      <c r="J102" s="7">
        <v>0</v>
      </c>
      <c r="K102" s="92" t="str">
        <f>IF(ISEVEN(B102),(B102-1)&amp;"/"&amp;B102,B102&amp;"/"&amp;(B102+1))</f>
        <v>4053/4054</v>
      </c>
      <c r="L102" s="21" t="str">
        <f>VLOOKUP(A102,'Trips&amp;Operators'!$C$1:$G$99999,5,FALSE)</f>
        <v>CLARK KATHLEEN</v>
      </c>
      <c r="M102" s="6">
        <f>I102-F102</f>
        <v>2.6053240741021E-2</v>
      </c>
      <c r="N102" s="7">
        <f>24*60*SUM($M102:$M102)</f>
        <v>37.51666666707024</v>
      </c>
      <c r="O102" s="7"/>
      <c r="P102" s="7"/>
      <c r="Q102" s="22"/>
      <c r="R102" s="190"/>
      <c r="S102" s="196">
        <f>SUM(U102:U102)/IF(AG102="EC",12,1)</f>
        <v>1</v>
      </c>
      <c r="T102" s="190" t="str">
        <f>IF(ISEVEN(LEFT(AD102,4)),"Southbound","NorthBound")</f>
        <v>NorthBound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-05-03T13:24:30-0600',mode:absolute,to:'2017-05-03T16:07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02" s="192" t="str">
        <f>IF(AA102&lt;IF(AG102="EC",23,5.65),"Y","N")</f>
        <v>N</v>
      </c>
      <c r="X102" s="192">
        <f>VALUE(LEFT(AD102,4))-VALUE(LEFT(AD101,4))</f>
        <v>1</v>
      </c>
      <c r="Y102" s="192">
        <f>RIGHT(D102,LEN(D102)-4)/10000</f>
        <v>4.7100000000000003E-2</v>
      </c>
      <c r="Z102" s="192">
        <f>RIGHT(H102,LEN(H102)-4)/10000</f>
        <v>23.328900000000001</v>
      </c>
      <c r="AA102" s="192">
        <f>ABS(Z102-Y102)</f>
        <v>23.2818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>IF(LEN(A102)=6,"0"&amp;A102,A102)</f>
        <v>0187-03</v>
      </c>
      <c r="AE102" s="80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 &amp; 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</v>
      </c>
      <c r="AF102" s="77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/stypes="app*4054*20170503*" /stext=" 21:.+((SYSTEM_STATE.+slice.+state.+changed )|(ment ac)|(multiple cpu faults)|(system.+state.+changed )|(\[timeout)|(PRM\|1\|D)|(kpr)|(kdp)|(train st.+moving)|(\|lc)|(penalty))"</v>
      </c>
      <c r="AG102" s="1" t="str">
        <f>IFERROR(IF(VALUE(LEFT(AD102,2))&lt;=2,"EC",IF(OR(VALUE(LEFT(AD102,2))=8,VALUE(LEFT(AD102,2))=18),"NW","Other")),"Other")</f>
        <v>EC</v>
      </c>
      <c r="AH102" s="81" t="str">
        <f t="shared" si="9"/>
        <v>"%USERPROFILE%\Documents\GitHub\eaglep3\Utilities\RefineRTDCRunTimes.py" --tripid 187-03 --locoid 4054 --swversion DE.1.0.9.0 --startMP 204:471 --initTime 2017-05-03T14:24:30 --startdatetime 2017-05-03T14:30:14 --delay 1 --endMP 204:233289 --enddatetime 2017-05-03T15:07:45 --enforcementcount 0 &gt;&gt;C:\Users\stu\Documents\GitHub\eaglep3-reporting\EC\2017-05-03-refined-times.txt</v>
      </c>
      <c r="AI102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{"issue":{"subject":"","project_id":79,"tracker_id":40,"status_id":1,"priority_id":2,"assigned_to_id":23,"start_date":"2017-05-03","description":"","custom_fields":[{"id":1,"name":"Subdivision","value":"EC"},{"id":4,"name":"Milepost","value":"23.3289"},{"id":17,"name":"Train ID","value":"187-03"},{"id":16,"name":"Locomotive ID","value":"4054"},{"id":130,"name":"Impact","value":""},{"id":150,"name":"Time of Event (Mountain Time)","value":"15:07:45"},{"id":151,"name":"Denver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11"/>
        <v>start /low /b %USERPROFILE%\Documents\GitHub\eaglep3\Utilities\DownloadLogsFromS3.py --loco 4054 --day 2017-05-03</v>
      </c>
      <c r="AN102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21:07:45"},{"id":29,"name":"Sharepoint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752</v>
      </c>
      <c r="B103" s="7">
        <v>4053</v>
      </c>
      <c r="C103" s="21" t="s">
        <v>210</v>
      </c>
      <c r="D103" s="21" t="s">
        <v>517</v>
      </c>
      <c r="E103" s="13">
        <v>42858.639004629629</v>
      </c>
      <c r="F103" s="13">
        <v>42858.643229166664</v>
      </c>
      <c r="G103" s="7">
        <v>1</v>
      </c>
      <c r="H103" s="21" t="s">
        <v>889</v>
      </c>
      <c r="I103" s="13">
        <v>42858.671944444446</v>
      </c>
      <c r="J103" s="7">
        <v>0</v>
      </c>
      <c r="K103" s="92" t="str">
        <f>IF(ISEVEN(B103),(B103-1)&amp;"/"&amp;B103,B103&amp;"/"&amp;(B103+1))</f>
        <v>4053/4054</v>
      </c>
      <c r="L103" s="21" t="str">
        <f>VLOOKUP(A103,'Trips&amp;Operators'!$C$1:$G$99999,5,FALSE)</f>
        <v>CLARK KATHLEEN</v>
      </c>
      <c r="M103" s="6">
        <f>I103-F103</f>
        <v>2.8715277781884652E-2</v>
      </c>
      <c r="N103" s="7">
        <f>24*60*SUM($M103:$M103)</f>
        <v>41.350000005913898</v>
      </c>
      <c r="O103" s="7"/>
      <c r="P103" s="7"/>
      <c r="Q103" s="22"/>
      <c r="R103" s="190"/>
      <c r="S103" s="196">
        <f>SUM(U103:U103)/IF(AG103="EC",12,1)</f>
        <v>1</v>
      </c>
      <c r="T103" s="190" t="str">
        <f>IF(ISEVEN(LEFT(AD103,4)),"Southbound","NorthBound")</f>
        <v>Southbound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-05-03T14:20:10-0600',mode:absolute,to:'2017-05-03T17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03" s="192" t="str">
        <f>IF(AA103&lt;IF(AG103="EC",23,5.65),"Y","N")</f>
        <v>N</v>
      </c>
      <c r="X103" s="192">
        <f>VALUE(LEFT(AD103,4))-VALUE(LEFT(AD102,4))</f>
        <v>1</v>
      </c>
      <c r="Y103" s="192">
        <f>RIGHT(D103,LEN(D103)-4)/10000</f>
        <v>23.297599999999999</v>
      </c>
      <c r="Z103" s="192">
        <f>RIGHT(H103,LEN(H103)-4)/10000</f>
        <v>0.02</v>
      </c>
      <c r="AA103" s="192">
        <f>ABS(Z103-Y103)</f>
        <v>23.2776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>IF(LEN(A103)=6,"0"&amp;A103,A103)</f>
        <v>0188-03</v>
      </c>
      <c r="AE103" s="80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103" s="77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/stypes="app*4053*20170503*" /stext=" 22:.+((SYSTEM_STATE.+slice.+state.+changed )|(ment ac)|(multiple cpu faults)|(system.+state.+changed )|(\[timeout)|(PRM\|1\|D)|(kpr)|(kdp)|(train st.+moving)|(\|lc)|(penalty))"</v>
      </c>
      <c r="AG103" s="1" t="str">
        <f>IFERROR(IF(VALUE(LEFT(AD103,2))&lt;=2,"EC",IF(OR(VALUE(LEFT(AD103,2))=8,VALUE(LEFT(AD103,2))=18),"NW","Other")),"Other")</f>
        <v>EC</v>
      </c>
      <c r="AH103" s="81" t="str">
        <f t="shared" si="9"/>
        <v>"%USERPROFILE%\Documents\GitHub\eaglep3\Utilities\RefineRTDCRunTimes.py" --tripid 188-03 --locoid 4053 --swversion DE.1.0.9.0 --startMP 204:232976 --initTime 2017-05-03T15:20:10 --startdatetime 2017-05-03T15:26:15 --delay 1 --endMP 204:200 --enddatetime 2017-05-03T16:07:36 --enforcementcount 0 &gt;&gt;C:\Users\stu\Documents\GitHub\eaglep3-reporting\EC\2017-05-03-refined-times.txt</v>
      </c>
      <c r="AI103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{"issue":{"subject":"","project_id":79,"tracker_id":40,"status_id":1,"priority_id":2,"assigned_to_id":23,"start_date":"2017-05-03","description":"","custom_fields":[{"id":1,"name":"Subdivision","value":"EC"},{"id":4,"name":"Milepost","value":"0.02"},{"id":17,"name":"Train ID","value":"188-03"},{"id":16,"name":"Locomotive ID","value":"4053"},{"id":130,"name":"Impact","value":""},{"id":150,"name":"Time of Event (Mountain Time)","value":"16:07:36"},{"id":151,"name":"Denver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11"/>
        <v>start /low /b %USERPROFILE%\Documents\GitHub\eaglep3\Utilities\DownloadLogsFromS3.py --loco 4053 --day 2017-05-03</v>
      </c>
      <c r="AN103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748</v>
      </c>
      <c r="B104" s="7">
        <v>4030</v>
      </c>
      <c r="C104" s="21" t="s">
        <v>210</v>
      </c>
      <c r="D104" s="21" t="s">
        <v>413</v>
      </c>
      <c r="E104" s="13">
        <v>42858.61273148148</v>
      </c>
      <c r="F104" s="13">
        <v>42858.614988425928</v>
      </c>
      <c r="G104" s="7">
        <v>1</v>
      </c>
      <c r="H104" s="21" t="s">
        <v>890</v>
      </c>
      <c r="I104" s="13">
        <v>42858.641655092593</v>
      </c>
      <c r="J104" s="7">
        <v>0</v>
      </c>
      <c r="K104" s="92" t="str">
        <f>IF(ISEVEN(B104),(B104-1)&amp;"/"&amp;B104,B104&amp;"/"&amp;(B104+1))</f>
        <v>4029/4030</v>
      </c>
      <c r="L104" s="21" t="str">
        <f>VLOOKUP(A104,'Trips&amp;Operators'!$C$1:$G$99999,5,FALSE)</f>
        <v>DAVIS MICHAEL</v>
      </c>
      <c r="M104" s="6">
        <f>I104-F104</f>
        <v>2.6666666664823424E-2</v>
      </c>
      <c r="N104" s="7">
        <f>24*60*SUM($M104:$M104)</f>
        <v>38.399999997345731</v>
      </c>
      <c r="O104" s="7"/>
      <c r="P104" s="7"/>
      <c r="Q104" s="22"/>
      <c r="R104" s="190"/>
      <c r="S104" s="196">
        <f>SUM(U104:U104)/IF(AG104="EC",12,1)</f>
        <v>1</v>
      </c>
      <c r="T104" s="190" t="str">
        <f>IF(ISEVEN(LEFT(AD104,4)),"Southbound","NorthBound")</f>
        <v>NorthBound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-05-03T13:42:20-0600',mode:absolute,to:'2017-05-03T16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4" s="192" t="str">
        <f>IF(AA104&lt;IF(AG104="EC",23,5.65),"Y","N")</f>
        <v>N</v>
      </c>
      <c r="X104" s="192">
        <f>VALUE(LEFT(AD104,4))-VALUE(LEFT(AD103,4))</f>
        <v>1</v>
      </c>
      <c r="Y104" s="192">
        <f>RIGHT(D104,LEN(D104)-4)/10000</f>
        <v>4.5100000000000001E-2</v>
      </c>
      <c r="Z104" s="192">
        <f>RIGHT(H104,LEN(H104)-4)/10000</f>
        <v>23.331099999999999</v>
      </c>
      <c r="AA104" s="192">
        <f>ABS(Z104-Y104)</f>
        <v>23.285999999999998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>IF(LEN(A104)=6,"0"&amp;A104,A104)</f>
        <v>0189-03</v>
      </c>
      <c r="AE104" s="80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104" s="77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/stypes="app*4030*20170503*" /stext=" 21:.+((SYSTEM_STATE.+slice.+state.+changed )|(ment ac)|(multiple cpu faults)|(system.+state.+changed )|(\[timeout)|(PRM\|1\|D)|(kpr)|(kdp)|(train st.+moving)|(\|lc)|(penalty))"</v>
      </c>
      <c r="AG104" s="1" t="str">
        <f>IFERROR(IF(VALUE(LEFT(AD104,2))&lt;=2,"EC",IF(OR(VALUE(LEFT(AD104,2))=8,VALUE(LEFT(AD104,2))=18),"NW","Other")),"Other")</f>
        <v>EC</v>
      </c>
      <c r="AH104" s="81" t="str">
        <f t="shared" si="9"/>
        <v>"%USERPROFILE%\Documents\GitHub\eaglep3\Utilities\RefineRTDCRunTimes.py" --tripid 189-03 --locoid 4030 --swversion DE.1.0.9.0 --startMP 204:451 --initTime 2017-05-03T14:42:20 --startdatetime 2017-05-03T14:45:35 --delay 1 --endMP 204:233311 --enddatetime 2017-05-03T15:23:59 --enforcementcount 0 &gt;&gt;C:\Users\stu\Documents\GitHub\eaglep3-reporting\EC\2017-05-03-refined-times.txt</v>
      </c>
      <c r="AI104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{"issue":{"subject":"","project_id":79,"tracker_id":40,"status_id":1,"priority_id":2,"assigned_to_id":23,"start_date":"2017-05-03","description":"","custom_fields":[{"id":1,"name":"Subdivision","value":"EC"},{"id":4,"name":"Milepost","value":"23.3311"},{"id":17,"name":"Train ID","value":"189-03"},{"id":16,"name":"Locomotive ID","value":"4030"},{"id":130,"name":"Impact","value":""},{"id":150,"name":"Time of Event (Mountain Time)","value":"15:23:59"},{"id":151,"name":"Denver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11"/>
        <v>start /low /b %USERPROFILE%\Documents\GitHub\eaglep3\Utilities\DownloadLogsFromS3.py --loco 4030 --day 2017-05-03</v>
      </c>
      <c r="AN104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755</v>
      </c>
      <c r="B105" s="7">
        <v>4029</v>
      </c>
      <c r="C105" s="21" t="s">
        <v>210</v>
      </c>
      <c r="D105" s="21" t="s">
        <v>435</v>
      </c>
      <c r="E105" s="13">
        <v>42858.650729166664</v>
      </c>
      <c r="F105" s="13">
        <v>42858.653761574074</v>
      </c>
      <c r="G105" s="7">
        <v>1</v>
      </c>
      <c r="H105" s="21" t="s">
        <v>508</v>
      </c>
      <c r="I105" s="13">
        <v>42858.682870370372</v>
      </c>
      <c r="J105" s="7">
        <v>0</v>
      </c>
      <c r="K105" s="92" t="str">
        <f>IF(ISEVEN(B105),(B105-1)&amp;"/"&amp;B105,B105&amp;"/"&amp;(B105+1))</f>
        <v>4029/4030</v>
      </c>
      <c r="L105" s="21" t="str">
        <f>VLOOKUP(A105,'Trips&amp;Operators'!$C$1:$G$99999,5,FALSE)</f>
        <v>DAVIS MICHAEL</v>
      </c>
      <c r="M105" s="6">
        <f>I105-F105</f>
        <v>2.9108796297805384E-2</v>
      </c>
      <c r="N105" s="7">
        <f>24*60*SUM($M105:$M105)</f>
        <v>41.916666668839753</v>
      </c>
      <c r="O105" s="7"/>
      <c r="P105" s="7"/>
      <c r="Q105" s="22"/>
      <c r="R105" s="190"/>
      <c r="S105" s="196">
        <f>SUM(U105:U105)/IF(AG105="EC",12,1)</f>
        <v>1</v>
      </c>
      <c r="T105" s="190" t="str">
        <f>IF(ISEVEN(LEFT(AD105,4)),"Southbound","NorthBound")</f>
        <v>Southbound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-05-03T14:37:03-0600',mode:absolute,to:'2017-05-03T17:23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5" s="192" t="str">
        <f>IF(AA105&lt;IF(AG105="EC",23,5.65),"Y","N")</f>
        <v>N</v>
      </c>
      <c r="X105" s="192">
        <f>VALUE(LEFT(AD105,4))-VALUE(LEFT(AD104,4))</f>
        <v>1</v>
      </c>
      <c r="Y105" s="192">
        <f>RIGHT(D105,LEN(D105)-4)/10000</f>
        <v>23.298200000000001</v>
      </c>
      <c r="Z105" s="192">
        <f>RIGHT(H105,LEN(H105)-4)/10000</f>
        <v>1.47E-2</v>
      </c>
      <c r="AA105" s="192">
        <f>ABS(Z105-Y105)</f>
        <v>23.2835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>IF(LEN(A105)=6,"0"&amp;A105,A105)</f>
        <v>0190-03</v>
      </c>
      <c r="AE105" s="80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105" s="77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/stypes="app*4029*20170503*" /stext=" 22:.+((SYSTEM_STATE.+slice.+state.+changed )|(ment ac)|(multiple cpu faults)|(system.+state.+changed )|(\[timeout)|(PRM\|1\|D)|(kpr)|(kdp)|(train st.+moving)|(\|lc)|(penalty))"</v>
      </c>
      <c r="AG105" s="1" t="str">
        <f>IFERROR(IF(VALUE(LEFT(AD105,2))&lt;=2,"EC",IF(OR(VALUE(LEFT(AD105,2))=8,VALUE(LEFT(AD105,2))=18),"NW","Other")),"Other")</f>
        <v>EC</v>
      </c>
      <c r="AH105" s="81" t="str">
        <f t="shared" si="9"/>
        <v>"%USERPROFILE%\Documents\GitHub\eaglep3\Utilities\RefineRTDCRunTimes.py" --tripid 190-03 --locoid 4029 --swversion DE.1.0.9.0 --startMP 204:232982 --initTime 2017-05-03T15:37:03 --startdatetime 2017-05-03T15:41:25 --delay 1 --endMP 204:147 --enddatetime 2017-05-03T16:23:20 --enforcementcount 0 &gt;&gt;C:\Users\stu\Documents\GitHub\eaglep3-reporting\EC\2017-05-03-refined-times.txt</v>
      </c>
      <c r="AI105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{"issue":{"subject":"","project_id":79,"tracker_id":40,"status_id":1,"priority_id":2,"assigned_to_id":23,"start_date":"2017-05-03","description":"","custom_fields":[{"id":1,"name":"Subdivision","value":"EC"},{"id":4,"name":"Milepost","value":"0.0147"},{"id":17,"name":"Train ID","value":"190-03"},{"id":16,"name":"Locomotive ID","value":"4029"},{"id":130,"name":"Impact","value":""},{"id":150,"name":"Time of Event (Mountain Time)","value":"16:23:20"},{"id":151,"name":"Denver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11"/>
        <v>start /low /b %USERPROFILE%\Documents\GitHub\eaglep3\Utilities\DownloadLogsFromS3.py --loco 4029 --day 2017-05-03</v>
      </c>
      <c r="AN105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749</v>
      </c>
      <c r="B106" s="7">
        <v>4016</v>
      </c>
      <c r="C106" s="21" t="s">
        <v>210</v>
      </c>
      <c r="D106" s="21" t="s">
        <v>382</v>
      </c>
      <c r="E106" s="13">
        <v>42858.620983796296</v>
      </c>
      <c r="F106" s="13">
        <v>42858.625185185185</v>
      </c>
      <c r="G106" s="7">
        <v>1</v>
      </c>
      <c r="H106" s="21" t="s">
        <v>514</v>
      </c>
      <c r="I106" s="13">
        <v>42858.651041666664</v>
      </c>
      <c r="J106" s="7">
        <v>0</v>
      </c>
      <c r="K106" s="92" t="str">
        <f>IF(ISEVEN(B106),(B106-1)&amp;"/"&amp;B106,B106&amp;"/"&amp;(B106+1))</f>
        <v>4015/4016</v>
      </c>
      <c r="L106" s="21" t="str">
        <f>VLOOKUP(A106,'Trips&amp;Operators'!$C$1:$G$99999,5,FALSE)</f>
        <v>ZEWDU DEREJE</v>
      </c>
      <c r="M106" s="6">
        <f>I106-F106</f>
        <v>2.5856481479422655E-2</v>
      </c>
      <c r="N106" s="7">
        <f>24*60*SUM($M106:$M106)</f>
        <v>37.233333330368623</v>
      </c>
      <c r="O106" s="7"/>
      <c r="P106" s="7"/>
      <c r="Q106" s="22"/>
      <c r="R106" s="190"/>
      <c r="S106" s="196">
        <f>SUM(U106:U106)/IF(AG106="EC",12,1)</f>
        <v>1</v>
      </c>
      <c r="T106" s="190" t="str">
        <f>IF(ISEVEN(LEFT(AD106,4)),"Southbound","NorthBound")</f>
        <v>NorthBound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-05-03T13:54:13-0600',mode:absolute,to:'2017-05-03T16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6" s="192" t="str">
        <f>IF(AA106&lt;IF(AG106="EC",23,5.65),"Y","N")</f>
        <v>N</v>
      </c>
      <c r="X106" s="192">
        <f>VALUE(LEFT(AD106,4))-VALUE(LEFT(AD105,4))</f>
        <v>1</v>
      </c>
      <c r="Y106" s="192">
        <f>RIGHT(D106,LEN(D106)-4)/10000</f>
        <v>4.4600000000000001E-2</v>
      </c>
      <c r="Z106" s="192">
        <f>RIGHT(H106,LEN(H106)-4)/10000</f>
        <v>23.333200000000001</v>
      </c>
      <c r="AA106" s="192">
        <f>ABS(Z106-Y106)</f>
        <v>23.288600000000002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>IF(LEN(A106)=6,"0"&amp;A106,A106)</f>
        <v>0191-03</v>
      </c>
      <c r="AE106" s="80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106" s="77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/stypes="app*4016*20170503*" /stext=" 21:.+((SYSTEM_STATE.+slice.+state.+changed )|(ment ac)|(multiple cpu faults)|(system.+state.+changed )|(\[timeout)|(PRM\|1\|D)|(kpr)|(kdp)|(train st.+moving)|(\|lc)|(penalty))"</v>
      </c>
      <c r="AG106" s="1" t="str">
        <f>IFERROR(IF(VALUE(LEFT(AD106,2))&lt;=2,"EC",IF(OR(VALUE(LEFT(AD106,2))=8,VALUE(LEFT(AD106,2))=18),"NW","Other")),"Other")</f>
        <v>EC</v>
      </c>
      <c r="AH106" s="81" t="str">
        <f t="shared" si="9"/>
        <v>"%USERPROFILE%\Documents\GitHub\eaglep3\Utilities\RefineRTDCRunTimes.py" --tripid 191-03 --locoid 4016 --swversion DE.1.0.9.0 --startMP 204:446 --initTime 2017-05-03T14:54:13 --startdatetime 2017-05-03T15:00:16 --delay 1 --endMP 204:233332 --enddatetime 2017-05-03T15:37:30 --enforcementcount 0 &gt;&gt;C:\Users\stu\Documents\GitHub\eaglep3-reporting\EC\2017-05-03-refined-times.txt</v>
      </c>
      <c r="AI106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{"issue":{"subject":"","project_id":79,"tracker_id":40,"status_id":1,"priority_id":2,"assigned_to_id":23,"start_date":"2017-05-03","description":"","custom_fields":[{"id":1,"name":"Subdivision","value":"EC"},{"id":4,"name":"Milepost","value":"23.3332"},{"id":17,"name":"Train ID","value":"191-03"},{"id":16,"name":"Locomotive ID","value":"4016"},{"id":130,"name":"Impact","value":""},{"id":150,"name":"Time of Event (Mountain Time)","value":"15:37:30"},{"id":151,"name":"Denver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11"/>
        <v>start /low /b %USERPROFILE%\Documents\GitHub\eaglep3\Utilities\DownloadLogsFromS3.py --loco 4016 --day 2017-05-03</v>
      </c>
      <c r="AN106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758</v>
      </c>
      <c r="B107" s="7">
        <v>4015</v>
      </c>
      <c r="C107" s="21" t="s">
        <v>210</v>
      </c>
      <c r="D107" s="21" t="s">
        <v>560</v>
      </c>
      <c r="E107" s="13">
        <v>42858.65483796296</v>
      </c>
      <c r="F107" s="13">
        <v>42858.664097222223</v>
      </c>
      <c r="G107" s="7">
        <v>1</v>
      </c>
      <c r="H107" s="21" t="s">
        <v>197</v>
      </c>
      <c r="I107" s="13">
        <v>42858.692037037035</v>
      </c>
      <c r="J107" s="7">
        <v>0</v>
      </c>
      <c r="K107" s="92" t="str">
        <f>IF(ISEVEN(B107),(B107-1)&amp;"/"&amp;B107,B107&amp;"/"&amp;(B107+1))</f>
        <v>4015/4016</v>
      </c>
      <c r="L107" s="21" t="str">
        <f>VLOOKUP(A107,'Trips&amp;Operators'!$C$1:$G$99999,5,FALSE)</f>
        <v>ZEWDU DEREJE</v>
      </c>
      <c r="M107" s="6">
        <f>I107-F107</f>
        <v>2.7939814812270924E-2</v>
      </c>
      <c r="N107" s="7">
        <f>24*60*SUM($M107:$M107)</f>
        <v>40.233333329670131</v>
      </c>
      <c r="O107" s="7"/>
      <c r="P107" s="7"/>
      <c r="Q107" s="22"/>
      <c r="R107" s="190"/>
      <c r="S107" s="196">
        <f>SUM(U107:U107)/IF(AG107="EC",12,1)</f>
        <v>1</v>
      </c>
      <c r="T107" s="190" t="str">
        <f>IF(ISEVEN(LEFT(AD107,4)),"Southbound","NorthBound")</f>
        <v>Southbound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-05-03T14:42:58-0600',mode:absolute,to:'2017-05-03T17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7" s="192" t="str">
        <f>IF(AA107&lt;IF(AG107="EC",23,5.65),"Y","N")</f>
        <v>N</v>
      </c>
      <c r="X107" s="192">
        <f>VALUE(LEFT(AD107,4))-VALUE(LEFT(AD106,4))</f>
        <v>1</v>
      </c>
      <c r="Y107" s="192">
        <f>RIGHT(D107,LEN(D107)-4)/10000</f>
        <v>23.301100000000002</v>
      </c>
      <c r="Z107" s="192">
        <f>RIGHT(H107,LEN(H107)-4)/10000</f>
        <v>1.52E-2</v>
      </c>
      <c r="AA107" s="192">
        <f>ABS(Z107-Y107)</f>
        <v>23.285900000000002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>IF(LEN(A107)=6,"0"&amp;A107,A107)</f>
        <v>0192-03</v>
      </c>
      <c r="AE107" s="80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107" s="77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/stypes="app*4015*20170503*" /stext=" 22:.+((SYSTEM_STATE.+slice.+state.+changed )|(ment ac)|(multiple cpu faults)|(system.+state.+changed )|(\[timeout)|(PRM\|1\|D)|(kpr)|(kdp)|(train st.+moving)|(\|lc)|(penalty))"</v>
      </c>
      <c r="AG107" s="1" t="str">
        <f>IFERROR(IF(VALUE(LEFT(AD107,2))&lt;=2,"EC",IF(OR(VALUE(LEFT(AD107,2))=8,VALUE(LEFT(AD107,2))=18),"NW","Other")),"Other")</f>
        <v>EC</v>
      </c>
      <c r="AH107" s="81" t="str">
        <f t="shared" si="9"/>
        <v>"%USERPROFILE%\Documents\GitHub\eaglep3\Utilities\RefineRTDCRunTimes.py" --tripid 192-03 --locoid 4015 --swversion DE.1.0.9.0 --startMP 204:233011 --initTime 2017-05-03T15:42:58 --startdatetime 2017-05-03T15:56:18 --delay 1 --endMP 204:152 --enddatetime 2017-05-03T16:36:32 --enforcementcount 0 &gt;&gt;C:\Users\stu\Documents\GitHub\eaglep3-reporting\EC\2017-05-03-refined-times.txt</v>
      </c>
      <c r="AI107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{"issue":{"subject":"","project_id":79,"tracker_id":40,"status_id":1,"priority_id":2,"assigned_to_id":23,"start_date":"2017-05-03","description":"","custom_fields":[{"id":1,"name":"Subdivision","value":"EC"},{"id":4,"name":"Milepost","value":"0.0152"},{"id":17,"name":"Train ID","value":"192-03"},{"id":16,"name":"Locomotive ID","value":"4015"},{"id":130,"name":"Impact","value":""},{"id":150,"name":"Time of Event (Mountain Time)","value":"16:36:32"},{"id":151,"name":"Denver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11"/>
        <v>start /low /b %USERPROFILE%\Documents\GitHub\eaglep3\Utilities\DownloadLogsFromS3.py --loco 4015 --day 2017-05-03</v>
      </c>
      <c r="AN107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750</v>
      </c>
      <c r="B108" s="7">
        <v>4018</v>
      </c>
      <c r="C108" s="21" t="s">
        <v>210</v>
      </c>
      <c r="D108" s="21" t="s">
        <v>409</v>
      </c>
      <c r="E108" s="13">
        <v>42858.629664351851</v>
      </c>
      <c r="F108" s="13">
        <v>42858.635601851849</v>
      </c>
      <c r="G108" s="7">
        <v>1</v>
      </c>
      <c r="H108" s="21" t="s">
        <v>853</v>
      </c>
      <c r="I108" s="13">
        <v>42858.662962962961</v>
      </c>
      <c r="J108" s="7">
        <v>0</v>
      </c>
      <c r="K108" s="92" t="str">
        <f>IF(ISEVEN(B108),(B108-1)&amp;"/"&amp;B108,B108&amp;"/"&amp;(B108+1))</f>
        <v>4017/4018</v>
      </c>
      <c r="L108" s="21" t="str">
        <f>VLOOKUP(A108,'Trips&amp;Operators'!$C$1:$G$99999,5,FALSE)</f>
        <v>BIRENBAUM THOMAS</v>
      </c>
      <c r="M108" s="6">
        <f>I108-F108</f>
        <v>2.73611111115315E-2</v>
      </c>
      <c r="N108" s="7">
        <f>24*60*SUM($M108:$M108)</f>
        <v>39.40000000060536</v>
      </c>
      <c r="O108" s="7"/>
      <c r="P108" s="7"/>
      <c r="Q108" s="22"/>
      <c r="R108" s="190"/>
      <c r="S108" s="196">
        <f>SUM(U108:U108)/IF(AG108="EC",12,1)</f>
        <v>1</v>
      </c>
      <c r="T108" s="190" t="str">
        <f>IF(ISEVEN(LEFT(AD108,4)),"Southbound","NorthBound")</f>
        <v>NorthBound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-05-03T14:06:43-0600',mode:absolute,to:'2017-05-03T16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8" s="192" t="str">
        <f>IF(AA108&lt;IF(AG108="EC",23,5.65),"Y","N")</f>
        <v>N</v>
      </c>
      <c r="X108" s="192">
        <f>VALUE(LEFT(AD108,4))-VALUE(LEFT(AD107,4))</f>
        <v>1</v>
      </c>
      <c r="Y108" s="192">
        <f>RIGHT(D108,LEN(D108)-4)/10000</f>
        <v>4.6600000000000003E-2</v>
      </c>
      <c r="Z108" s="192">
        <f>RIGHT(H108,LEN(H108)-4)/10000</f>
        <v>23.329699999999999</v>
      </c>
      <c r="AA108" s="192">
        <f>ABS(Z108-Y108)</f>
        <v>23.283099999999997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>IF(LEN(A108)=6,"0"&amp;A108,A108)</f>
        <v>0193-03</v>
      </c>
      <c r="AE108" s="80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 &amp; 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</v>
      </c>
      <c r="AF108" s="77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/stypes="app*4018*20170503*" /stext=" 21:.+((SYSTEM_STATE.+slice.+state.+changed )|(ment ac)|(multiple cpu faults)|(system.+state.+changed )|(\[timeout)|(PRM\|1\|D)|(kpr)|(kdp)|(train st.+moving)|(\|lc)|(penalty))"</v>
      </c>
      <c r="AG108" s="1" t="str">
        <f>IFERROR(IF(VALUE(LEFT(AD108,2))&lt;=2,"EC",IF(OR(VALUE(LEFT(AD108,2))=8,VALUE(LEFT(AD108,2))=18),"NW","Other")),"Other")</f>
        <v>EC</v>
      </c>
      <c r="AH108" s="81" t="str">
        <f t="shared" si="9"/>
        <v>"%USERPROFILE%\Documents\GitHub\eaglep3\Utilities\RefineRTDCRunTimes.py" --tripid 193-03 --locoid 4018 --swversion DE.1.0.9.0 --startMP 204:466 --initTime 2017-05-03T15:06:43 --startdatetime 2017-05-03T15:15:16 --delay 1 --endMP 204:233297 --enddatetime 2017-05-03T15:54:40 --enforcementcount 0 &gt;&gt;C:\Users\stu\Documents\GitHub\eaglep3-reporting\EC\2017-05-03-refined-times.txt</v>
      </c>
      <c r="AI108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{"issue":{"subject":"","project_id":79,"tracker_id":40,"status_id":1,"priority_id":2,"assigned_to_id":23,"start_date":"2017-05-03","description":"","custom_fields":[{"id":1,"name":"Subdivision","value":"EC"},{"id":4,"name":"Milepost","value":"23.3297"},{"id":17,"name":"Train ID","value":"193-03"},{"id":16,"name":"Locomotive ID","value":"4018"},{"id":130,"name":"Impact","value":""},{"id":150,"name":"Time of Event (Mountain Time)","value":"15:54:40"},{"id":151,"name":"Denver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11"/>
        <v>start /low /b %USERPROFILE%\Documents\GitHub\eaglep3\Utilities\DownloadLogsFromS3.py --loco 4018 --day 2017-05-03</v>
      </c>
      <c r="AN108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761</v>
      </c>
      <c r="B109" s="7">
        <v>4017</v>
      </c>
      <c r="C109" s="21" t="s">
        <v>210</v>
      </c>
      <c r="D109" s="21" t="s">
        <v>429</v>
      </c>
      <c r="E109" s="13">
        <v>42858.669594907406</v>
      </c>
      <c r="F109" s="13">
        <v>42858.674664351849</v>
      </c>
      <c r="G109" s="7">
        <v>1</v>
      </c>
      <c r="H109" s="21" t="s">
        <v>405</v>
      </c>
      <c r="I109" s="13">
        <v>42858.700624999998</v>
      </c>
      <c r="J109" s="7">
        <v>0</v>
      </c>
      <c r="K109" s="92" t="str">
        <f>IF(ISEVEN(B109),(B109-1)&amp;"/"&amp;B109,B109&amp;"/"&amp;(B109+1))</f>
        <v>4017/4018</v>
      </c>
      <c r="L109" s="21" t="str">
        <f>VLOOKUP(A109,'Trips&amp;Operators'!$C$1:$G$99999,5,FALSE)</f>
        <v>BIRENBAUM THOMAS</v>
      </c>
      <c r="M109" s="6">
        <f>I109-F109</f>
        <v>2.5960648148611654E-2</v>
      </c>
      <c r="N109" s="7">
        <f>24*60*SUM($M109:$M109)</f>
        <v>37.383333334000781</v>
      </c>
      <c r="O109" s="7"/>
      <c r="P109" s="7"/>
      <c r="Q109" s="22"/>
      <c r="R109" s="190"/>
      <c r="S109" s="196">
        <f>SUM(U109:U109)/IF(AG109="EC",12,1)</f>
        <v>1</v>
      </c>
      <c r="T109" s="190" t="str">
        <f>IF(ISEVEN(LEFT(AD109,4)),"Southbound","NorthBound")</f>
        <v>Southbound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-05-03T15:04:13-0600',mode:absolute,to:'2017-05-03T17:48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9" s="192" t="str">
        <f>IF(AA109&lt;IF(AG109="EC",23,5.65),"Y","N")</f>
        <v>N</v>
      </c>
      <c r="X109" s="192">
        <f>VALUE(LEFT(AD109,4))-VALUE(LEFT(AD108,4))</f>
        <v>1</v>
      </c>
      <c r="Y109" s="192">
        <f>RIGHT(D109,LEN(D109)-4)/10000</f>
        <v>23.297799999999999</v>
      </c>
      <c r="Z109" s="192">
        <f>RIGHT(H109,LEN(H109)-4)/10000</f>
        <v>1.4999999999999999E-2</v>
      </c>
      <c r="AA109" s="192">
        <f>ABS(Z109-Y109)</f>
        <v>23.282799999999998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>IF(LEN(A109)=6,"0"&amp;A109,A109)</f>
        <v>0194-03</v>
      </c>
      <c r="AE109" s="80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AF109" s="77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/stypes="app*4017*20170503*" /stext=" 22:.+((SYSTEM_STATE.+slice.+state.+changed )|(ment ac)|(multiple cpu faults)|(system.+state.+changed )|(\[timeout)|(PRM\|1\|D)|(kpr)|(kdp)|(train st.+moving)|(\|lc)|(penalty))"</v>
      </c>
      <c r="AG109" s="1" t="str">
        <f>IFERROR(IF(VALUE(LEFT(AD109,2))&lt;=2,"EC",IF(OR(VALUE(LEFT(AD109,2))=8,VALUE(LEFT(AD109,2))=18),"NW","Other")),"Other")</f>
        <v>EC</v>
      </c>
      <c r="AH109" s="81" t="str">
        <f t="shared" si="9"/>
        <v>"%USERPROFILE%\Documents\GitHub\eaglep3\Utilities\RefineRTDCRunTimes.py" --tripid 194-03 --locoid 4017 --swversion DE.1.0.9.0 --startMP 204:232978 --initTime 2017-05-03T16:04:13 --startdatetime 2017-05-03T16:11:31 --delay 1 --endMP 204:150 --enddatetime 2017-05-03T16:48:54 --enforcementcount 0 &gt;&gt;C:\Users\stu\Documents\GitHub\eaglep3-reporting\EC\2017-05-03-refined-times.txt</v>
      </c>
      <c r="AI109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{"issue":{"subject":"","project_id":79,"tracker_id":40,"status_id":1,"priority_id":2,"assigned_to_id":23,"start_date":"2017-05-03","description":"","custom_fields":[{"id":1,"name":"Subdivision","value":"EC"},{"id":4,"name":"Milepost","value":"0.015"},{"id":17,"name":"Train ID","value":"194-03"},{"id":16,"name":"Locomotive ID","value":"4017"},{"id":130,"name":"Impact","value":""},{"id":150,"name":"Time of Event (Mountain Time)","value":"16:48:54"},{"id":151,"name":"Denver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11"/>
        <v>start /low /b %USERPROFILE%\Documents\GitHub\eaglep3\Utilities\DownloadLogsFromS3.py --loco 4017 --day 2017-05-03</v>
      </c>
      <c r="AN109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22:48:54"},{"id":29,"name":"Sharepoint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753</v>
      </c>
      <c r="B110" s="7">
        <v>4028</v>
      </c>
      <c r="C110" s="21" t="s">
        <v>210</v>
      </c>
      <c r="D110" s="21" t="s">
        <v>413</v>
      </c>
      <c r="E110" s="13">
        <v>42858.640347222223</v>
      </c>
      <c r="F110" s="13">
        <v>42858.646111111113</v>
      </c>
      <c r="G110" s="7">
        <v>1</v>
      </c>
      <c r="H110" s="21" t="s">
        <v>854</v>
      </c>
      <c r="I110" s="13">
        <v>42858.670752314814</v>
      </c>
      <c r="J110" s="7">
        <v>0</v>
      </c>
      <c r="K110" s="92" t="str">
        <f>IF(ISEVEN(B110),(B110-1)&amp;"/"&amp;B110,B110&amp;"/"&amp;(B110+1))</f>
        <v>4027/4028</v>
      </c>
      <c r="L110" s="21" t="str">
        <f>VLOOKUP(A110,'Trips&amp;Operators'!$C$1:$G$99999,5,FALSE)</f>
        <v>LALONDE GREGORY</v>
      </c>
      <c r="M110" s="6">
        <f>I110-F110</f>
        <v>2.4641203701321501E-2</v>
      </c>
      <c r="N110" s="7">
        <f>24*60*SUM($M110:$M110)</f>
        <v>35.483333329902962</v>
      </c>
      <c r="O110" s="7"/>
      <c r="P110" s="7"/>
      <c r="Q110" s="22"/>
      <c r="R110" s="190"/>
      <c r="S110" s="196">
        <f>SUM(U110:U110)/IF(AG110="EC",12,1)</f>
        <v>1</v>
      </c>
      <c r="T110" s="190" t="str">
        <f>IF(ISEVEN(LEFT(AD110,4)),"Southbound","NorthBound")</f>
        <v>NorthBound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-05-03T14:22:06-0600',mode:absolute,to:'2017-05-03T17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0" s="192" t="str">
        <f>IF(AA110&lt;IF(AG110="EC",23,5.65),"Y","N")</f>
        <v>N</v>
      </c>
      <c r="X110" s="192">
        <f>VALUE(LEFT(AD110,4))-VALUE(LEFT(AD109,4))</f>
        <v>1</v>
      </c>
      <c r="Y110" s="192">
        <f>RIGHT(D110,LEN(D110)-4)/10000</f>
        <v>4.5100000000000001E-2</v>
      </c>
      <c r="Z110" s="192">
        <f>RIGHT(H110,LEN(H110)-4)/10000</f>
        <v>23.3325</v>
      </c>
      <c r="AA110" s="192">
        <f>ABS(Z110-Y110)</f>
        <v>23.287399999999998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>IF(LEN(A110)=6,"0"&amp;A110,A110)</f>
        <v>0195-03</v>
      </c>
      <c r="AE110" s="80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110" s="77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/stypes="app*4028*20170503*" /stext=" 22:.+((SYSTEM_STATE.+slice.+state.+changed )|(ment ac)|(multiple cpu faults)|(system.+state.+changed )|(\[timeout)|(PRM\|1\|D)|(kpr)|(kdp)|(train st.+moving)|(\|lc)|(penalty))"</v>
      </c>
      <c r="AG110" s="1" t="str">
        <f>IFERROR(IF(VALUE(LEFT(AD110,2))&lt;=2,"EC",IF(OR(VALUE(LEFT(AD110,2))=8,VALUE(LEFT(AD110,2))=18),"NW","Other")),"Other")</f>
        <v>EC</v>
      </c>
      <c r="AH110" s="81" t="str">
        <f t="shared" si="9"/>
        <v>"%USERPROFILE%\Documents\GitHub\eaglep3\Utilities\RefineRTDCRunTimes.py" --tripid 195-03 --locoid 4028 --swversion DE.1.0.9.0 --startMP 204:451 --initTime 2017-05-03T15:22:06 --startdatetime 2017-05-03T15:30:24 --delay 1 --endMP 204:233325 --enddatetime 2017-05-03T16:05:53 --enforcementcount 0 &gt;&gt;C:\Users\stu\Documents\GitHub\eaglep3-reporting\EC\2017-05-03-refined-times.txt</v>
      </c>
      <c r="AI110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{"issue":{"subject":"","project_id":79,"tracker_id":40,"status_id":1,"priority_id":2,"assigned_to_id":23,"start_date":"2017-05-03","description":"","custom_fields":[{"id":1,"name":"Subdivision","value":"EC"},{"id":4,"name":"Milepost","value":"23.3325"},{"id":17,"name":"Train ID","value":"195-03"},{"id":16,"name":"Locomotive ID","value":"4028"},{"id":130,"name":"Impact","value":""},{"id":150,"name":"Time of Event (Mountain Time)","value":"16:05:53"},{"id":151,"name":"Denver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11"/>
        <v>start /low /b %USERPROFILE%\Documents\GitHub\eaglep3\Utilities\DownloadLogsFromS3.py --loco 4028 --day 2017-05-03</v>
      </c>
      <c r="AN110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762</v>
      </c>
      <c r="B111" s="7">
        <v>4027</v>
      </c>
      <c r="C111" s="21" t="s">
        <v>210</v>
      </c>
      <c r="D111" s="21" t="s">
        <v>560</v>
      </c>
      <c r="E111" s="13">
        <v>42858.6721412037</v>
      </c>
      <c r="F111" s="13">
        <v>42858.684930555559</v>
      </c>
      <c r="G111" s="7">
        <v>1</v>
      </c>
      <c r="H111" s="21" t="s">
        <v>406</v>
      </c>
      <c r="I111" s="13">
        <v>42858.710648148146</v>
      </c>
      <c r="J111" s="7">
        <v>0</v>
      </c>
      <c r="K111" s="92" t="str">
        <f>IF(ISEVEN(B111),(B111-1)&amp;"/"&amp;B111,B111&amp;"/"&amp;(B111+1))</f>
        <v>4027/4028</v>
      </c>
      <c r="L111" s="21" t="str">
        <f>VLOOKUP(A111,'Trips&amp;Operators'!$C$1:$G$99999,5,FALSE)</f>
        <v>LALONDE GREGORY</v>
      </c>
      <c r="M111" s="6">
        <f>I111-F111</f>
        <v>2.5717592587170657E-2</v>
      </c>
      <c r="N111" s="7">
        <f>24*60*SUM($M111:$M111)</f>
        <v>37.033333325525746</v>
      </c>
      <c r="O111" s="7"/>
      <c r="P111" s="7"/>
      <c r="Q111" s="22"/>
      <c r="R111" s="190"/>
      <c r="S111" s="196">
        <f>SUM(U111:U111)/IF(AG111="EC",12,1)</f>
        <v>1</v>
      </c>
      <c r="T111" s="190" t="str">
        <f>IF(ISEVEN(LEFT(AD111,4)),"Southbound","NorthBound")</f>
        <v>Southbound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-05-03T15:07:53-0600',mode:absolute,to:'2017-05-03T18:03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1" s="192" t="str">
        <f>IF(AA111&lt;IF(AG111="EC",23,5.65),"Y","N")</f>
        <v>N</v>
      </c>
      <c r="X111" s="192">
        <f>VALUE(LEFT(AD111,4))-VALUE(LEFT(AD110,4))</f>
        <v>1</v>
      </c>
      <c r="Y111" s="192">
        <f>RIGHT(D111,LEN(D111)-4)/10000</f>
        <v>23.301100000000002</v>
      </c>
      <c r="Z111" s="192">
        <f>RIGHT(H111,LEN(H111)-4)/10000</f>
        <v>1.49E-2</v>
      </c>
      <c r="AA111" s="192">
        <f>ABS(Z111-Y111)</f>
        <v>23.286200000000001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>IF(LEN(A111)=6,"0"&amp;A111,A111)</f>
        <v>0196-03</v>
      </c>
      <c r="AE111" s="80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111" s="77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/stypes="app*4027*20170503*" /stext=" 23:.+((SYSTEM_STATE.+slice.+state.+changed )|(ment ac)|(multiple cpu faults)|(system.+state.+changed )|(\[timeout)|(PRM\|1\|D)|(kpr)|(kdp)|(train st.+moving)|(\|lc)|(penalty))"</v>
      </c>
      <c r="AG111" s="1" t="str">
        <f>IFERROR(IF(VALUE(LEFT(AD111,2))&lt;=2,"EC",IF(OR(VALUE(LEFT(AD111,2))=8,VALUE(LEFT(AD111,2))=18),"NW","Other")),"Other")</f>
        <v>EC</v>
      </c>
      <c r="AH111" s="81" t="str">
        <f t="shared" si="9"/>
        <v>"%USERPROFILE%\Documents\GitHub\eaglep3\Utilities\RefineRTDCRunTimes.py" --tripid 196-03 --locoid 4027 --swversion DE.1.0.9.0 --startMP 204:233011 --initTime 2017-05-03T16:07:53 --startdatetime 2017-05-03T16:26:18 --delay 1 --endMP 204:149 --enddatetime 2017-05-03T17:03:20 --enforcementcount 0 &gt;&gt;C:\Users\stu\Documents\GitHub\eaglep3-reporting\EC\2017-05-03-refined-times.txt</v>
      </c>
      <c r="AI111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{"issue":{"subject":"","project_id":79,"tracker_id":40,"status_id":1,"priority_id":2,"assigned_to_id":23,"start_date":"2017-05-03","description":"","custom_fields":[{"id":1,"name":"Subdivision","value":"EC"},{"id":4,"name":"Milepost","value":"0.0149"},{"id":17,"name":"Train ID","value":"196-03"},{"id":16,"name":"Locomotive ID","value":"4027"},{"id":130,"name":"Impact","value":""},{"id":150,"name":"Time of Event (Mountain Time)","value":"17:03:20"},{"id":151,"name":"Denver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11"/>
        <v>start /low /b %USERPROFILE%\Documents\GitHub\eaglep3\Utilities\DownloadLogsFromS3.py --loco 4027 --day 2017-05-03</v>
      </c>
      <c r="AN111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23:03:20"},{"id":29,"name":"Sharepoint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604</v>
      </c>
      <c r="B112" s="7">
        <v>4040</v>
      </c>
      <c r="C112" s="21" t="s">
        <v>210</v>
      </c>
      <c r="D112" s="21" t="s">
        <v>891</v>
      </c>
      <c r="E112" s="13">
        <v>42858.654282407406</v>
      </c>
      <c r="F112" s="13">
        <v>42858.656493055554</v>
      </c>
      <c r="G112" s="7">
        <v>1</v>
      </c>
      <c r="H112" s="21" t="s">
        <v>892</v>
      </c>
      <c r="I112" s="13">
        <v>42858.681689814817</v>
      </c>
      <c r="J112" s="7">
        <v>0</v>
      </c>
      <c r="K112" s="92" t="str">
        <f>IF(ISEVEN(B112),(B112-1)&amp;"/"&amp;B112,B112&amp;"/"&amp;(B112+1))</f>
        <v>4039/4040</v>
      </c>
      <c r="L112" s="21" t="str">
        <f>VLOOKUP(A112,'Trips&amp;Operators'!$C$1:$G$99999,5,FALSE)</f>
        <v>LEVIN SCOTT</v>
      </c>
      <c r="M112" s="6">
        <f>I112-F112</f>
        <v>2.5196759263053536E-2</v>
      </c>
      <c r="N112" s="7">
        <f>24*60*SUM($M112:$M112)</f>
        <v>36.283333338797092</v>
      </c>
      <c r="O112" s="7"/>
      <c r="P112" s="7"/>
      <c r="Q112" s="22"/>
      <c r="R112" s="190"/>
      <c r="S112" s="196">
        <f>SUM(U112:U112)/IF(AG112="EC",12,1)</f>
        <v>1</v>
      </c>
      <c r="T112" s="190" t="str">
        <f>IF(ISEVEN(LEFT(AD112,4)),"Southbound","NorthBound")</f>
        <v>NorthBound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-05-03T14:42:10-0600',mode:absolute,to:'2017-05-03T17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2" s="192" t="str">
        <f>IF(AA112&lt;IF(AG112="EC",23,5.65),"Y","N")</f>
        <v>N</v>
      </c>
      <c r="X112" s="192">
        <f>VALUE(LEFT(AD112,4))-VALUE(LEFT(AD111,4))</f>
        <v>1</v>
      </c>
      <c r="Y112" s="192">
        <f>RIGHT(D112,LEN(D112)-4)/10000</f>
        <v>5.1700000000000003E-2</v>
      </c>
      <c r="Z112" s="192">
        <f>RIGHT(H112,LEN(H112)-4)/10000</f>
        <v>23.3339</v>
      </c>
      <c r="AA112" s="192">
        <f>ABS(Z112-Y112)</f>
        <v>23.2822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>IF(LEN(A112)=6,"0"&amp;A112,A112)</f>
        <v>0197-03</v>
      </c>
      <c r="AE112" s="80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AF112" s="77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/stypes="app*4040*20170503*" /stext=" 22:.+((SYSTEM_STATE.+slice.+state.+changed )|(ment ac)|(multiple cpu faults)|(system.+state.+changed )|(\[timeout)|(PRM\|1\|D)|(kpr)|(kdp)|(train st.+moving)|(\|lc)|(penalty))"</v>
      </c>
      <c r="AG112" s="1" t="str">
        <f>IFERROR(IF(VALUE(LEFT(AD112,2))&lt;=2,"EC",IF(OR(VALUE(LEFT(AD112,2))=8,VALUE(LEFT(AD112,2))=18),"NW","Other")),"Other")</f>
        <v>EC</v>
      </c>
      <c r="AH112" s="81" t="str">
        <f t="shared" si="9"/>
        <v>"%USERPROFILE%\Documents\GitHub\eaglep3\Utilities\RefineRTDCRunTimes.py" --tripid 197-03 --locoid 4040 --swversion DE.1.0.9.0 --startMP 204:517 --initTime 2017-05-03T15:42:10 --startdatetime 2017-05-03T15:45:21 --delay 1 --endMP 204:233339 --enddatetime 2017-05-03T16:21:38 --enforcementcount 0 &gt;&gt;C:\Users\stu\Documents\GitHub\eaglep3-reporting\EC\2017-05-03-refined-times.txt</v>
      </c>
      <c r="AI112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{"issue":{"subject":"","project_id":79,"tracker_id":40,"status_id":1,"priority_id":2,"assigned_to_id":23,"start_date":"2017-05-03","description":"","custom_fields":[{"id":1,"name":"Subdivision","value":"EC"},{"id":4,"name":"Milepost","value":"23.3339"},{"id":17,"name":"Train ID","value":"197-03"},{"id":16,"name":"Locomotive ID","value":"4040"},{"id":130,"name":"Impact","value":""},{"id":150,"name":"Time of Event (Mountain Time)","value":"16:21:38"},{"id":151,"name":"Denver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11"/>
        <v>start /low /b %USERPROFILE%\Documents\GitHub\eaglep3\Utilities\DownloadLogsFromS3.py --loco 4040 --day 2017-05-03</v>
      </c>
      <c r="AN112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767</v>
      </c>
      <c r="B113" s="7">
        <v>4039</v>
      </c>
      <c r="C113" s="21" t="s">
        <v>210</v>
      </c>
      <c r="D113" s="21" t="s">
        <v>860</v>
      </c>
      <c r="E113" s="13">
        <v>42858.69085648148</v>
      </c>
      <c r="F113" s="13">
        <v>42858.695335648146</v>
      </c>
      <c r="G113" s="7">
        <v>1</v>
      </c>
      <c r="H113" s="21" t="s">
        <v>385</v>
      </c>
      <c r="I113" s="13">
        <v>42858.721736111111</v>
      </c>
      <c r="J113" s="7">
        <v>0</v>
      </c>
      <c r="K113" s="92" t="str">
        <f>IF(ISEVEN(B113),(B113-1)&amp;"/"&amp;B113,B113&amp;"/"&amp;(B113+1))</f>
        <v>4039/4040</v>
      </c>
      <c r="L113" s="21" t="str">
        <f>VLOOKUP(A113,'Trips&amp;Operators'!$C$1:$G$99999,5,FALSE)</f>
        <v>LEVIN SCOTT</v>
      </c>
      <c r="M113" s="6">
        <f>I113-F113</f>
        <v>2.6400462964375038E-2</v>
      </c>
      <c r="N113" s="7">
        <f>24*60*SUM($M113:$M113)</f>
        <v>38.016666668700054</v>
      </c>
      <c r="O113" s="7"/>
      <c r="P113" s="7"/>
      <c r="Q113" s="22"/>
      <c r="R113" s="190"/>
      <c r="S113" s="196">
        <f>SUM(U113:U113)/IF(AG113="EC",12,1)</f>
        <v>1</v>
      </c>
      <c r="T113" s="190" t="str">
        <f>IF(ISEVEN(LEFT(AD113,4)),"Southbound","NorthBound")</f>
        <v>Southbound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-05-03T15:34:50-0600',mode:absolute,to:'2017-05-03T18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3" s="192" t="str">
        <f>IF(AA113&lt;IF(AG113="EC",23,5.65),"Y","N")</f>
        <v>N</v>
      </c>
      <c r="X113" s="192">
        <f>VALUE(LEFT(AD113,4))-VALUE(LEFT(AD112,4))</f>
        <v>1</v>
      </c>
      <c r="Y113" s="192">
        <f>RIGHT(D113,LEN(D113)-4)/10000</f>
        <v>23.301500000000001</v>
      </c>
      <c r="Z113" s="192">
        <f>RIGHT(H113,LEN(H113)-4)/10000</f>
        <v>1.4500000000000001E-2</v>
      </c>
      <c r="AA113" s="192">
        <f>ABS(Z113-Y113)</f>
        <v>23.286999999999999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>IF(LEN(A113)=6,"0"&amp;A113,A113)</f>
        <v>0198-03</v>
      </c>
      <c r="AE113" s="80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113" s="77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/stypes="app*4039*20170503*" /stext=" 23:.+((SYSTEM_STATE.+slice.+state.+changed )|(ment ac)|(multiple cpu faults)|(system.+state.+changed )|(\[timeout)|(PRM\|1\|D)|(kpr)|(kdp)|(train st.+moving)|(\|lc)|(penalty))"</v>
      </c>
      <c r="AG113" s="1" t="str">
        <f>IFERROR(IF(VALUE(LEFT(AD113,2))&lt;=2,"EC",IF(OR(VALUE(LEFT(AD113,2))=8,VALUE(LEFT(AD113,2))=18),"NW","Other")),"Other")</f>
        <v>EC</v>
      </c>
      <c r="AH113" s="81" t="str">
        <f t="shared" si="9"/>
        <v>"%USERPROFILE%\Documents\GitHub\eaglep3\Utilities\RefineRTDCRunTimes.py" --tripid 198-03 --locoid 4039 --swversion DE.1.0.9.0 --startMP 204:233015 --initTime 2017-05-03T16:34:50 --startdatetime 2017-05-03T16:41:17 --delay 1 --endMP 204:145 --enddatetime 2017-05-03T17:19:18 --enforcementcount 0 &gt;&gt;C:\Users\stu\Documents\GitHub\eaglep3-reporting\EC\2017-05-03-refined-times.txt</v>
      </c>
      <c r="AI113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{"issue":{"subject":"","project_id":79,"tracker_id":40,"status_id":1,"priority_id":2,"assigned_to_id":23,"start_date":"2017-05-03","description":"","custom_fields":[{"id":1,"name":"Subdivision","value":"EC"},{"id":4,"name":"Milepost","value":"0.0145"},{"id":17,"name":"Train ID","value":"198-03"},{"id":16,"name":"Locomotive ID","value":"4039"},{"id":130,"name":"Impact","value":""},{"id":150,"name":"Time of Event (Mountain Time)","value":"17:19:18"},{"id":151,"name":"Denver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11"/>
        <v>start /low /b %USERPROFILE%\Documents\GitHub\eaglep3\Utilities\DownloadLogsFromS3.py --loco 4039 --day 2017-05-03</v>
      </c>
      <c r="AN113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760</v>
      </c>
      <c r="B114" s="7">
        <v>4024</v>
      </c>
      <c r="C114" s="21" t="s">
        <v>210</v>
      </c>
      <c r="D114" s="21" t="s">
        <v>382</v>
      </c>
      <c r="E114" s="13">
        <v>42858.663321759261</v>
      </c>
      <c r="F114" s="13">
        <v>42858.666979166665</v>
      </c>
      <c r="G114" s="7">
        <v>1</v>
      </c>
      <c r="H114" s="21" t="s">
        <v>423</v>
      </c>
      <c r="I114" s="13">
        <v>42858.691782407404</v>
      </c>
      <c r="J114" s="7">
        <v>0</v>
      </c>
      <c r="K114" s="92" t="str">
        <f>IF(ISEVEN(B114),(B114-1)&amp;"/"&amp;B114,B114&amp;"/"&amp;(B114+1))</f>
        <v>4023/4024</v>
      </c>
      <c r="L114" s="21" t="str">
        <f>VLOOKUP(A114,'Trips&amp;Operators'!$C$1:$G$99999,5,FALSE)</f>
        <v>DE LA ROSA ALEX</v>
      </c>
      <c r="M114" s="6">
        <f>I114-F114</f>
        <v>2.4803240739856847E-2</v>
      </c>
      <c r="N114" s="7">
        <f>24*60*SUM($M114:$M114)</f>
        <v>35.716666665393859</v>
      </c>
      <c r="O114" s="7"/>
      <c r="P114" s="7"/>
      <c r="Q114" s="22"/>
      <c r="R114" s="190"/>
      <c r="S114" s="196">
        <f>SUM(U114:U114)/IF(AG114="EC",12,1)</f>
        <v>1</v>
      </c>
      <c r="T114" s="190" t="str">
        <f>IF(ISEVEN(LEFT(AD114,4)),"Southbound","NorthBound")</f>
        <v>NorthBound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-05-03T14:55:11-0600',mode:absolute,to:'2017-05-03T17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4" s="192" t="str">
        <f>IF(AA114&lt;IF(AG114="EC",23,5.65),"Y","N")</f>
        <v>N</v>
      </c>
      <c r="X114" s="192">
        <f>VALUE(LEFT(AD114,4))-VALUE(LEFT(AD113,4))</f>
        <v>1</v>
      </c>
      <c r="Y114" s="192">
        <f>RIGHT(D114,LEN(D114)-4)/10000</f>
        <v>4.4600000000000001E-2</v>
      </c>
      <c r="Z114" s="192">
        <f>RIGHT(H114,LEN(H114)-4)/10000</f>
        <v>23.331</v>
      </c>
      <c r="AA114" s="192">
        <f>ABS(Z114-Y114)</f>
        <v>23.2864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>IF(LEN(A114)=6,"0"&amp;A114,A114)</f>
        <v>0199-03</v>
      </c>
      <c r="AE114" s="80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AF114" s="77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/stypes="app*4024*20170503*" /stext=" 22:.+((SYSTEM_STATE.+slice.+state.+changed )|(ment ac)|(multiple cpu faults)|(system.+state.+changed )|(\[timeout)|(PRM\|1\|D)|(kpr)|(kdp)|(train st.+moving)|(\|lc)|(penalty))"</v>
      </c>
      <c r="AG114" s="1" t="str">
        <f>IFERROR(IF(VALUE(LEFT(AD114,2))&lt;=2,"EC",IF(OR(VALUE(LEFT(AD114,2))=8,VALUE(LEFT(AD114,2))=18),"NW","Other")),"Other")</f>
        <v>EC</v>
      </c>
      <c r="AH114" s="81" t="str">
        <f t="shared" si="9"/>
        <v>"%USERPROFILE%\Documents\GitHub\eaglep3\Utilities\RefineRTDCRunTimes.py" --tripid 199-03 --locoid 4024 --swversion DE.1.0.9.0 --startMP 204:446 --initTime 2017-05-03T15:55:11 --startdatetime 2017-05-03T16:00:27 --delay 1 --endMP 204:233310 --enddatetime 2017-05-03T16:36:10 --enforcementcount 0 &gt;&gt;C:\Users\stu\Documents\GitHub\eaglep3-reporting\EC\2017-05-03-refined-times.txt</v>
      </c>
      <c r="AI114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{"issue":{"subject":"","project_id":79,"tracker_id":40,"status_id":1,"priority_id":2,"assigned_to_id":23,"start_date":"2017-05-03","description":"","custom_fields":[{"id":1,"name":"Subdivision","value":"EC"},{"id":4,"name":"Milepost","value":"23.331"},{"id":17,"name":"Train ID","value":"199-03"},{"id":16,"name":"Locomotive ID","value":"4024"},{"id":130,"name":"Impact","value":""},{"id":150,"name":"Time of Event (Mountain Time)","value":"16:36:10"},{"id":151,"name":"Denver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11"/>
        <v>start /low /b %USERPROFILE%\Documents\GitHub\eaglep3\Utilities\DownloadLogsFromS3.py --loco 4024 --day 2017-05-03</v>
      </c>
      <c r="AN114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769</v>
      </c>
      <c r="B115" s="7">
        <v>4023</v>
      </c>
      <c r="C115" s="21" t="s">
        <v>210</v>
      </c>
      <c r="D115" s="21" t="s">
        <v>560</v>
      </c>
      <c r="E115" s="13">
        <v>42858.702476851853</v>
      </c>
      <c r="F115" s="13">
        <v>42858.705787037034</v>
      </c>
      <c r="G115" s="7">
        <v>1</v>
      </c>
      <c r="H115" s="21" t="s">
        <v>197</v>
      </c>
      <c r="I115" s="13">
        <v>42858.733854166669</v>
      </c>
      <c r="J115" s="7">
        <v>0</v>
      </c>
      <c r="K115" s="92" t="str">
        <f>IF(ISEVEN(B115),(B115-1)&amp;"/"&amp;B115,B115&amp;"/"&amp;(B115+1))</f>
        <v>4023/4024</v>
      </c>
      <c r="L115" s="21" t="str">
        <f>VLOOKUP(A115,'Trips&amp;Operators'!$C$1:$G$99999,5,FALSE)</f>
        <v>DE LA ROSA ALEX</v>
      </c>
      <c r="M115" s="6">
        <f>I115-F115</f>
        <v>2.8067129635019228E-2</v>
      </c>
      <c r="N115" s="7">
        <f>24*60*SUM($M115:$M115)</f>
        <v>40.416666674427688</v>
      </c>
      <c r="O115" s="7"/>
      <c r="P115" s="7"/>
      <c r="Q115" s="22"/>
      <c r="R115" s="190"/>
      <c r="S115" s="196">
        <f>SUM(U115:U115)/IF(AG115="EC",12,1)</f>
        <v>1</v>
      </c>
      <c r="T115" s="190" t="str">
        <f>IF(ISEVEN(LEFT(AD115,4)),"Southbound","NorthBound")</f>
        <v>Southbound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-05-03T15:51:34-0600',mode:absolute,to:'2017-05-03T18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5" s="192" t="str">
        <f>IF(AA115&lt;IF(AG115="EC",23,5.65),"Y","N")</f>
        <v>N</v>
      </c>
      <c r="X115" s="192">
        <f>VALUE(LEFT(AD115,4))-VALUE(LEFT(AD114,4))</f>
        <v>1</v>
      </c>
      <c r="Y115" s="192">
        <f>RIGHT(D115,LEN(D115)-4)/10000</f>
        <v>23.301100000000002</v>
      </c>
      <c r="Z115" s="192">
        <f>RIGHT(H115,LEN(H115)-4)/10000</f>
        <v>1.52E-2</v>
      </c>
      <c r="AA115" s="192">
        <f>ABS(Z115-Y115)</f>
        <v>23.285900000000002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>IF(LEN(A115)=6,"0"&amp;A115,A115)</f>
        <v>0200-03</v>
      </c>
      <c r="AE115" s="80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115" s="77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/stypes="app*4023*20170503*" /stext=" 23:.+((SYSTEM_STATE.+slice.+state.+changed )|(ment ac)|(multiple cpu faults)|(system.+state.+changed )|(\[timeout)|(PRM\|1\|D)|(kpr)|(kdp)|(train st.+moving)|(\|lc)|(penalty))"</v>
      </c>
      <c r="AG115" s="1" t="str">
        <f>IFERROR(IF(VALUE(LEFT(AD115,2))&lt;=2,"EC",IF(OR(VALUE(LEFT(AD115,2))=8,VALUE(LEFT(AD115,2))=18),"NW","Other")),"Other")</f>
        <v>EC</v>
      </c>
      <c r="AH115" s="81" t="str">
        <f t="shared" si="9"/>
        <v>"%USERPROFILE%\Documents\GitHub\eaglep3\Utilities\RefineRTDCRunTimes.py" --tripid 200-03 --locoid 4023 --swversion DE.1.0.9.0 --startMP 204:233011 --initTime 2017-05-03T16:51:34 --startdatetime 2017-05-03T16:56:20 --delay 1 --endMP 204:152 --enddatetime 2017-05-03T17:36:45 --enforcementcount 0 &gt;&gt;C:\Users\stu\Documents\GitHub\eaglep3-reporting\EC\2017-05-03-refined-times.txt</v>
      </c>
      <c r="AI115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{"issue":{"subject":"","project_id":79,"tracker_id":40,"status_id":1,"priority_id":2,"assigned_to_id":23,"start_date":"2017-05-03","description":"","custom_fields":[{"id":1,"name":"Subdivision","value":"EC"},{"id":4,"name":"Milepost","value":"0.0152"},{"id":17,"name":"Train ID","value":"200-03"},{"id":16,"name":"Locomotive ID","value":"4023"},{"id":130,"name":"Impact","value":""},{"id":150,"name":"Time of Event (Mountain Time)","value":"17:36:45"},{"id":151,"name":"Denver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11"/>
        <v>start /low /b %USERPROFILE%\Documents\GitHub\eaglep3\Utilities\DownloadLogsFromS3.py --loco 4023 --day 2017-05-03</v>
      </c>
      <c r="AN115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764</v>
      </c>
      <c r="B116" s="7">
        <v>4054</v>
      </c>
      <c r="C116" s="21" t="s">
        <v>210</v>
      </c>
      <c r="D116" s="21" t="s">
        <v>893</v>
      </c>
      <c r="E116" s="13">
        <v>42858.673680555556</v>
      </c>
      <c r="F116" s="13">
        <v>42858.677245370367</v>
      </c>
      <c r="G116" s="7">
        <v>1</v>
      </c>
      <c r="H116" s="21" t="s">
        <v>541</v>
      </c>
      <c r="I116" s="13">
        <v>42858.703842592593</v>
      </c>
      <c r="J116" s="7">
        <v>0</v>
      </c>
      <c r="K116" s="92" t="str">
        <f>IF(ISEVEN(B116),(B116-1)&amp;"/"&amp;B116,B116&amp;"/"&amp;(B116+1))</f>
        <v>4053/4054</v>
      </c>
      <c r="L116" s="21" t="str">
        <f>VLOOKUP(A116,'Trips&amp;Operators'!$C$1:$G$99999,5,FALSE)</f>
        <v>CLARK KATHLEEN</v>
      </c>
      <c r="M116" s="6">
        <f>I116-F116</f>
        <v>2.6597222225973383E-2</v>
      </c>
      <c r="N116" s="7">
        <f>24*60*SUM($M116:$M116)</f>
        <v>38.300000005401671</v>
      </c>
      <c r="O116" s="7"/>
      <c r="P116" s="7"/>
      <c r="Q116" s="22"/>
      <c r="R116" s="190"/>
      <c r="S116" s="196">
        <f>SUM(U116:U116)/IF(AG116="EC",12,1)</f>
        <v>1</v>
      </c>
      <c r="T116" s="190" t="str">
        <f>IF(ISEVEN(LEFT(AD116,4)),"Southbound","NorthBound")</f>
        <v>NorthBound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-05-03T15:10:06-0600',mode:absolute,to:'2017-05-03T17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6" s="192" t="str">
        <f>IF(AA116&lt;IF(AG116="EC",23,5.65),"Y","N")</f>
        <v>N</v>
      </c>
      <c r="X116" s="192">
        <f>VALUE(LEFT(AD116,4))-VALUE(LEFT(AD115,4))</f>
        <v>1</v>
      </c>
      <c r="Y116" s="192">
        <f>RIGHT(D116,LEN(D116)-4)/10000</f>
        <v>4.9700000000000001E-2</v>
      </c>
      <c r="Z116" s="192">
        <f>RIGHT(H116,LEN(H116)-4)/10000</f>
        <v>23.328900000000001</v>
      </c>
      <c r="AA116" s="192">
        <f>ABS(Z116-Y116)</f>
        <v>23.279199999999999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>IF(LEN(A116)=6,"0"&amp;A116,A116)</f>
        <v>0201-03</v>
      </c>
      <c r="AE116" s="80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 &amp; 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</v>
      </c>
      <c r="AF116" s="77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/stypes="app*4054*20170503*" /stext=" 22:.+((SYSTEM_STATE.+slice.+state.+changed )|(ment ac)|(multiple cpu faults)|(system.+state.+changed )|(\[timeout)|(PRM\|1\|D)|(kpr)|(kdp)|(train st.+moving)|(\|lc)|(penalty))"</v>
      </c>
      <c r="AG116" s="1" t="str">
        <f>IFERROR(IF(VALUE(LEFT(AD116,2))&lt;=2,"EC",IF(OR(VALUE(LEFT(AD116,2))=8,VALUE(LEFT(AD116,2))=18),"NW","Other")),"Other")</f>
        <v>EC</v>
      </c>
      <c r="AH116" s="81" t="str">
        <f t="shared" si="9"/>
        <v>"%USERPROFILE%\Documents\GitHub\eaglep3\Utilities\RefineRTDCRunTimes.py" --tripid 201-03 --locoid 4054 --swversion DE.1.0.9.0 --startMP 204:497 --initTime 2017-05-03T16:10:06 --startdatetime 2017-05-03T16:15:14 --delay 1 --endMP 204:233289 --enddatetime 2017-05-03T16:53:32 --enforcementcount 0 &gt;&gt;C:\Users\stu\Documents\GitHub\eaglep3-reporting\EC\2017-05-03-refined-times.txt</v>
      </c>
      <c r="AI116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{"issue":{"subject":"","project_id":79,"tracker_id":40,"status_id":1,"priority_id":2,"assigned_to_id":23,"start_date":"2017-05-03","description":"","custom_fields":[{"id":1,"name":"Subdivision","value":"EC"},{"id":4,"name":"Milepost","value":"23.3289"},{"id":17,"name":"Train ID","value":"201-03"},{"id":16,"name":"Locomotive ID","value":"4054"},{"id":130,"name":"Impact","value":""},{"id":150,"name":"Time of Event (Mountain Time)","value":"16:53:32"},{"id":151,"name":"Denver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11"/>
        <v>start /low /b %USERPROFILE%\Documents\GitHub\eaglep3\Utilities\DownloadLogsFromS3.py --loco 4054 --day 2017-05-03</v>
      </c>
      <c r="AN116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x14ac:dyDescent="0.25">
      <c r="A117" s="32" t="s">
        <v>608</v>
      </c>
      <c r="B117" s="7">
        <v>4053</v>
      </c>
      <c r="C117" s="21" t="s">
        <v>210</v>
      </c>
      <c r="D117" s="21" t="s">
        <v>894</v>
      </c>
      <c r="E117" s="13">
        <v>42858.711921296293</v>
      </c>
      <c r="F117" s="13">
        <v>42858.716145833336</v>
      </c>
      <c r="G117" s="7">
        <v>1</v>
      </c>
      <c r="H117" s="21" t="s">
        <v>889</v>
      </c>
      <c r="I117" s="13">
        <v>42858.744479166664</v>
      </c>
      <c r="J117" s="7">
        <v>0</v>
      </c>
      <c r="K117" s="92" t="str">
        <f>IF(ISEVEN(B117),(B117-1)&amp;"/"&amp;B117,B117&amp;"/"&amp;(B117+1))</f>
        <v>4053/4054</v>
      </c>
      <c r="L117" s="21" t="str">
        <f>VLOOKUP(A117,'Trips&amp;Operators'!$C$1:$G$99999,5,FALSE)</f>
        <v>CLARK KATHLEEN</v>
      </c>
      <c r="M117" s="6">
        <f>I117-F117</f>
        <v>2.8333333328191657E-2</v>
      </c>
      <c r="N117" s="7">
        <f>24*60*SUM($M117:$M117)</f>
        <v>40.799999992595986</v>
      </c>
      <c r="O117" s="7"/>
      <c r="P117" s="7"/>
      <c r="Q117" s="22"/>
      <c r="R117" s="190"/>
      <c r="S117" s="196">
        <f>SUM(U117:U117)/IF(AG117="EC",12,1)</f>
        <v>1</v>
      </c>
      <c r="T117" s="190" t="str">
        <f>IF(ISEVEN(LEFT(AD117,4)),"Southbound","NorthBound")</f>
        <v>Southbound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-05-03T16:05:10-0600',mode:absolute,to:'2017-05-03T18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7" s="192" t="str">
        <f>IF(AA117&lt;IF(AG117="EC",23,5.65),"Y","N")</f>
        <v>N</v>
      </c>
      <c r="X117" s="192">
        <f>VALUE(LEFT(AD117,4))-VALUE(LEFT(AD116,4))</f>
        <v>1</v>
      </c>
      <c r="Y117" s="192">
        <f>RIGHT(D117,LEN(D117)-4)/10000</f>
        <v>23.296099999999999</v>
      </c>
      <c r="Z117" s="192">
        <f>RIGHT(H117,LEN(H117)-4)/10000</f>
        <v>0.02</v>
      </c>
      <c r="AA117" s="192">
        <f>ABS(Z117-Y117)</f>
        <v>23.2761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>IF(LEN(A117)=6,"0"&amp;A117,A117)</f>
        <v>0202-03</v>
      </c>
      <c r="AE117" s="80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117" s="77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/stypes="app*4053*20170503*" /stext=" 23:.+((SYSTEM_STATE.+slice.+state.+changed )|(ment ac)|(multiple cpu faults)|(system.+state.+changed )|(\[timeout)|(PRM\|1\|D)|(kpr)|(kdp)|(train st.+moving)|(\|lc)|(penalty))"</v>
      </c>
      <c r="AG117" s="1" t="str">
        <f>IFERROR(IF(VALUE(LEFT(AD117,2))&lt;=2,"EC",IF(OR(VALUE(LEFT(AD117,2))=8,VALUE(LEFT(AD117,2))=18),"NW","Other")),"Other")</f>
        <v>EC</v>
      </c>
      <c r="AH117" s="81" t="str">
        <f t="shared" si="9"/>
        <v>"%USERPROFILE%\Documents\GitHub\eaglep3\Utilities\RefineRTDCRunTimes.py" --tripid 202-03 --locoid 4053 --swversion DE.1.0.9.0 --startMP 204:232961 --initTime 2017-05-03T17:05:10 --startdatetime 2017-05-03T17:11:15 --delay 1 --endMP 204:200 --enddatetime 2017-05-03T17:52:03 --enforcementcount 0 &gt;&gt;C:\Users\stu\Documents\GitHub\eaglep3-reporting\EC\2017-05-03-refined-times.txt</v>
      </c>
      <c r="AI117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{"issue":{"subject":"","project_id":79,"tracker_id":40,"status_id":1,"priority_id":2,"assigned_to_id":23,"start_date":"2017-05-03","description":"","custom_fields":[{"id":1,"name":"Subdivision","value":"EC"},{"id":4,"name":"Milepost","value":"0.02"},{"id":17,"name":"Train ID","value":"202-03"},{"id":16,"name":"Locomotive ID","value":"4053"},{"id":130,"name":"Impact","value":""},{"id":150,"name":"Time of Event (Mountain Time)","value":"17:52:03"},{"id":151,"name":"Denver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20"/>
      <c r="AK117" s="47"/>
      <c r="AL117" s="47"/>
      <c r="AM117" s="145" t="str">
        <f t="shared" si="11"/>
        <v>start /low /b %USERPROFILE%\Documents\GitHub\eaglep3\Utilities\DownloadLogsFromS3.py --loco 4053 --day 2017-05-03</v>
      </c>
      <c r="AN117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8" spans="1:91" s="20" customFormat="1" x14ac:dyDescent="0.25">
      <c r="A118" s="32" t="s">
        <v>766</v>
      </c>
      <c r="B118" s="7">
        <v>4030</v>
      </c>
      <c r="C118" s="21" t="s">
        <v>210</v>
      </c>
      <c r="D118" s="21" t="s">
        <v>409</v>
      </c>
      <c r="E118" s="13">
        <v>42858.68478009259</v>
      </c>
      <c r="F118" s="13">
        <v>42858.687800925924</v>
      </c>
      <c r="G118" s="7">
        <v>1</v>
      </c>
      <c r="H118" s="21" t="s">
        <v>895</v>
      </c>
      <c r="I118" s="13">
        <v>42858.714178240742</v>
      </c>
      <c r="J118" s="7">
        <v>0</v>
      </c>
      <c r="K118" s="92" t="str">
        <f>IF(ISEVEN(B118),(B118-1)&amp;"/"&amp;B118,B118&amp;"/"&amp;(B118+1))</f>
        <v>4029/4030</v>
      </c>
      <c r="L118" s="21" t="str">
        <f>VLOOKUP(A118,'Trips&amp;Operators'!$C$1:$G$99999,5,FALSE)</f>
        <v>DAVIS MICHAEL</v>
      </c>
      <c r="M118" s="6">
        <f>I118-F118</f>
        <v>2.6377314818091691E-2</v>
      </c>
      <c r="N118" s="7">
        <f>24*60*SUM($M118:$M118)</f>
        <v>37.983333338052034</v>
      </c>
      <c r="O118" s="7"/>
      <c r="P118" s="7"/>
      <c r="Q118" s="22"/>
      <c r="R118" s="190"/>
      <c r="S118" s="196">
        <f>SUM(U118:U118)/IF(AG118="EC",12,1)</f>
        <v>1</v>
      </c>
      <c r="T118" s="190" t="str">
        <f>IF(ISEVEN(LEFT(AD118,4)),"Southbound","NorthBound")</f>
        <v>NorthBound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-05-03T15:26:05-0600',mode:absolute,to:'2017-05-03T18:08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8" s="192" t="str">
        <f>IF(AA118&lt;IF(AG118="EC",23,5.65),"Y","N")</f>
        <v>N</v>
      </c>
      <c r="X118" s="192">
        <f>VALUE(LEFT(AD118,4))-VALUE(LEFT(AD117,4))</f>
        <v>1</v>
      </c>
      <c r="Y118" s="192">
        <f>RIGHT(D118,LEN(D118)-4)/10000</f>
        <v>4.6600000000000003E-2</v>
      </c>
      <c r="Z118" s="192">
        <f>RIGHT(H118,LEN(H118)-4)/10000</f>
        <v>23.332100000000001</v>
      </c>
      <c r="AA118" s="192">
        <f>ABS(Z118-Y118)</f>
        <v>23.285499999999999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>IF(LEN(A118)=6,"0"&amp;A118,A118)</f>
        <v>0203-03</v>
      </c>
      <c r="AE118" s="80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118" s="77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/stypes="app*4030*20170503*" /stext=" 23:.+((SYSTEM_STATE.+slice.+state.+changed )|(ment ac)|(multiple cpu faults)|(system.+state.+changed )|(\[timeout)|(PRM\|1\|D)|(kpr)|(kdp)|(train st.+moving)|(\|lc)|(penalty))"</v>
      </c>
      <c r="AG118" s="1" t="str">
        <f>IFERROR(IF(VALUE(LEFT(AD118,2))&lt;=2,"EC",IF(OR(VALUE(LEFT(AD118,2))=8,VALUE(LEFT(AD118,2))=18),"NW","Other")),"Other")</f>
        <v>EC</v>
      </c>
      <c r="AH118" s="81" t="str">
        <f t="shared" si="9"/>
        <v>"%USERPROFILE%\Documents\GitHub\eaglep3\Utilities\RefineRTDCRunTimes.py" --tripid 203-03 --locoid 4030 --swversion DE.1.0.9.0 --startMP 204:466 --initTime 2017-05-03T16:26:05 --startdatetime 2017-05-03T16:30:26 --delay 1 --endMP 204:233321 --enddatetime 2017-05-03T17:08:25 --enforcementcount 0 &gt;&gt;C:\Users\stu\Documents\GitHub\eaglep3-reporting\EC\2017-05-03-refined-times.txt</v>
      </c>
      <c r="AI118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{"issue":{"subject":"","project_id":79,"tracker_id":40,"status_id":1,"priority_id":2,"assigned_to_id":23,"start_date":"2017-05-03","description":"","custom_fields":[{"id":1,"name":"Subdivision","value":"EC"},{"id":4,"name":"Milepost","value":"23.3321"},{"id":17,"name":"Train ID","value":"203-03"},{"id":16,"name":"Locomotive ID","value":"4030"},{"id":130,"name":"Impact","value":""},{"id":150,"name":"Time of Event (Mountain Time)","value":"17:08:25"},{"id":151,"name":"Denver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5" t="str">
        <f t="shared" si="11"/>
        <v>start /low /b %USERPROFILE%\Documents\GitHub\eaglep3\Utilities\DownloadLogsFromS3.py --loco 4030 --day 2017-05-03</v>
      </c>
      <c r="AN118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23:08:25"},{"id":29,"name":"Sharepoint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779</v>
      </c>
      <c r="B119" s="7">
        <v>4029</v>
      </c>
      <c r="C119" s="21" t="s">
        <v>210</v>
      </c>
      <c r="D119" s="21" t="s">
        <v>858</v>
      </c>
      <c r="E119" s="13">
        <v>42858.723587962966</v>
      </c>
      <c r="F119" s="13">
        <v>42858.726909722223</v>
      </c>
      <c r="G119" s="7">
        <v>1</v>
      </c>
      <c r="H119" s="21" t="s">
        <v>449</v>
      </c>
      <c r="I119" s="13">
        <v>42858.754652777781</v>
      </c>
      <c r="J119" s="7">
        <v>0</v>
      </c>
      <c r="K119" s="92" t="str">
        <f>IF(ISEVEN(B119),(B119-1)&amp;"/"&amp;B119,B119&amp;"/"&amp;(B119+1))</f>
        <v>4029/4030</v>
      </c>
      <c r="L119" s="21" t="str">
        <f>VLOOKUP(A119,'Trips&amp;Operators'!$C$1:$G$99999,5,FALSE)</f>
        <v>DAVIS MICHAEL</v>
      </c>
      <c r="M119" s="6">
        <f>I119-F119</f>
        <v>2.7743055557948537E-2</v>
      </c>
      <c r="N119" s="7">
        <f>24*60*SUM($M119:$M119)</f>
        <v>39.950000003445894</v>
      </c>
      <c r="O119" s="7"/>
      <c r="P119" s="7"/>
      <c r="Q119" s="22"/>
      <c r="R119" s="190"/>
      <c r="S119" s="196">
        <f>SUM(U119:U119)/IF(AG119="EC",12,1)</f>
        <v>1</v>
      </c>
      <c r="T119" s="190" t="str">
        <f>IF(ISEVEN(LEFT(AD119,4)),"Southbound","NorthBound")</f>
        <v>Southbound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-05-03T16:21:58-0600',mode:absolute,to:'2017-05-03T19:06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9" s="192" t="str">
        <f>IF(AA119&lt;IF(AG119="EC",23,5.65),"Y","N")</f>
        <v>N</v>
      </c>
      <c r="X119" s="192">
        <f>VALUE(LEFT(AD119,4))-VALUE(LEFT(AD118,4))</f>
        <v>1</v>
      </c>
      <c r="Y119" s="192">
        <f>RIGHT(D119,LEN(D119)-4)/10000</f>
        <v>23.299399999999999</v>
      </c>
      <c r="Z119" s="192">
        <f>RIGHT(H119,LEN(H119)-4)/10000</f>
        <v>1.3899999999999999E-2</v>
      </c>
      <c r="AA119" s="192">
        <f>ABS(Z119-Y119)</f>
        <v>23.285499999999999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>IF(LEN(A119)=6,"0"&amp;A119,A119)</f>
        <v>0204-03</v>
      </c>
      <c r="AE119" s="80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119" s="77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/stypes="app*4029*20170504*" /stext=" 00:.+((SYSTEM_STATE.+slice.+state.+changed )|(ment ac)|(multiple cpu faults)|(system.+state.+changed )|(\[timeout)|(PRM\|1\|D)|(kpr)|(kdp)|(train st.+moving)|(\|lc)|(penalty))"</v>
      </c>
      <c r="AG119" s="1" t="str">
        <f>IFERROR(IF(VALUE(LEFT(AD119,2))&lt;=2,"EC",IF(OR(VALUE(LEFT(AD119,2))=8,VALUE(LEFT(AD119,2))=18),"NW","Other")),"Other")</f>
        <v>EC</v>
      </c>
      <c r="AH119" s="81" t="str">
        <f t="shared" si="9"/>
        <v>"%USERPROFILE%\Documents\GitHub\eaglep3\Utilities\RefineRTDCRunTimes.py" --tripid 204-03 --locoid 4029 --swversion DE.1.0.9.0 --startMP 204:232994 --initTime 2017-05-03T17:21:58 --startdatetime 2017-05-03T17:26:45 --delay 1 --endMP 204:139 --enddatetime 2017-05-03T18:06:42 --enforcementcount 0 &gt;&gt;C:\Users\stu\Documents\GitHub\eaglep3-reporting\EC\2017-05-03-refined-times.txt</v>
      </c>
      <c r="AI119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{"issue":{"subject":"","project_id":79,"tracker_id":40,"status_id":1,"priority_id":2,"assigned_to_id":23,"start_date":"2017-05-03","description":"","custom_fields":[{"id":1,"name":"Subdivision","value":"EC"},{"id":4,"name":"Milepost","value":"0.0139"},{"id":17,"name":"Train ID","value":"204-03"},{"id":16,"name":"Locomotive ID","value":"4029"},{"id":130,"name":"Impact","value":""},{"id":150,"name":"Time of Event (Mountain Time)","value":"18:06:42"},{"id":151,"name":"Denver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11"/>
        <v>start /low /b %USERPROFILE%\Documents\GitHub\eaglep3\Utilities\DownloadLogsFromS3.py --loco 4029 --day 2017-05-03</v>
      </c>
      <c r="AN119" s="154" t="str">
        <f t="shared" si="1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00:06:42"},{"id":29,"name":"Sharepoint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605</v>
      </c>
      <c r="B120" s="7">
        <v>4016</v>
      </c>
      <c r="C120" s="21" t="s">
        <v>210</v>
      </c>
      <c r="D120" s="21" t="s">
        <v>419</v>
      </c>
      <c r="E120" s="13">
        <v>42858.69363425926</v>
      </c>
      <c r="F120" s="13">
        <v>42858.69809027778</v>
      </c>
      <c r="G120" s="7">
        <v>1</v>
      </c>
      <c r="H120" s="21" t="s">
        <v>445</v>
      </c>
      <c r="I120" s="13">
        <v>42858.725011574075</v>
      </c>
      <c r="J120" s="7">
        <v>0</v>
      </c>
      <c r="K120" s="92" t="str">
        <f>IF(ISEVEN(B120),(B120-1)&amp;"/"&amp;B120,B120&amp;"/"&amp;(B120+1))</f>
        <v>4015/4016</v>
      </c>
      <c r="L120" s="21" t="str">
        <f>VLOOKUP(A120,'Trips&amp;Operators'!$C$1:$G$99999,5,FALSE)</f>
        <v>ZEWDU DEREJE</v>
      </c>
      <c r="M120" s="6">
        <f>I120-F120</f>
        <v>2.6921296295768116E-2</v>
      </c>
      <c r="N120" s="7">
        <f>24*60*SUM($M120:$M120)</f>
        <v>38.766666665906087</v>
      </c>
      <c r="O120" s="7"/>
      <c r="P120" s="7"/>
      <c r="Q120" s="22"/>
      <c r="R120" s="190"/>
      <c r="S120" s="196">
        <f>SUM(U120:U120)/IF(AG120="EC",12,1)</f>
        <v>1</v>
      </c>
      <c r="T120" s="190" t="str">
        <f>IF(ISEVEN(LEFT(AD120,4)),"Southbound","NorthBound")</f>
        <v>NorthBound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-05-03T15:38:50-0600',mode:absolute,to:'2017-05-03T18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20" s="192" t="str">
        <f>IF(AA120&lt;IF(AG120="EC",23,5.65),"Y","N")</f>
        <v>N</v>
      </c>
      <c r="X120" s="192">
        <f>VALUE(LEFT(AD120,4))-VALUE(LEFT(AD119,4))</f>
        <v>1</v>
      </c>
      <c r="Y120" s="192">
        <f>RIGHT(D120,LEN(D120)-4)/10000</f>
        <v>4.6399999999999997E-2</v>
      </c>
      <c r="Z120" s="192">
        <f>RIGHT(H120,LEN(H120)-4)/10000</f>
        <v>23.3293</v>
      </c>
      <c r="AA120" s="192">
        <f>ABS(Z120-Y120)</f>
        <v>23.282900000000001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>IF(LEN(A120)=6,"0"&amp;A120,A120)</f>
        <v>0205-03</v>
      </c>
      <c r="AE120" s="80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120" s="77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/stypes="app*4016*20170503*" /stext=" 23:.+((SYSTEM_STATE.+slice.+state.+changed )|(ment ac)|(multiple cpu faults)|(system.+state.+changed )|(\[timeout)|(PRM\|1\|D)|(kpr)|(kdp)|(train st.+moving)|(\|lc)|(penalty))"</v>
      </c>
      <c r="AG120" s="1" t="str">
        <f>IFERROR(IF(VALUE(LEFT(AD120,2))&lt;=2,"EC",IF(OR(VALUE(LEFT(AD120,2))=8,VALUE(LEFT(AD120,2))=18),"NW","Other")),"Other")</f>
        <v>EC</v>
      </c>
      <c r="AH120" s="81" t="str">
        <f t="shared" si="9"/>
        <v>"%USERPROFILE%\Documents\GitHub\eaglep3\Utilities\RefineRTDCRunTimes.py" --tripid 205-03 --locoid 4016 --swversion DE.1.0.9.0 --startMP 204:464 --initTime 2017-05-03T16:38:50 --startdatetime 2017-05-03T16:45:15 --delay 1 --endMP 204:233293 --enddatetime 2017-05-03T17:24:01 --enforcementcount 0 &gt;&gt;C:\Users\stu\Documents\GitHub\eaglep3-reporting\EC\2017-05-03-refined-times.txt</v>
      </c>
      <c r="AI120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{"issue":{"subject":"","project_id":79,"tracker_id":40,"status_id":1,"priority_id":2,"assigned_to_id":23,"start_date":"2017-05-03","description":"","custom_fields":[{"id":1,"name":"Subdivision","value":"EC"},{"id":4,"name":"Milepost","value":"23.3293"},{"id":17,"name":"Train ID","value":"205-03"},{"id":16,"name":"Locomotive ID","value":"4016"},{"id":130,"name":"Impact","value":""},{"id":150,"name":"Time of Event (Mountain Time)","value":"17:24:01"},{"id":151,"name":"Denver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11"/>
        <v>start /low /b %USERPROFILE%\Documents\GitHub\eaglep3\Utilities\DownloadLogsFromS3.py --loco 4016 --day 2017-05-03</v>
      </c>
      <c r="AN120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23:24:01"},{"id":29,"name":"Sharepoint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781</v>
      </c>
      <c r="B121" s="7">
        <v>4015</v>
      </c>
      <c r="C121" s="21" t="s">
        <v>210</v>
      </c>
      <c r="D121" s="21" t="s">
        <v>549</v>
      </c>
      <c r="E121" s="13">
        <v>42858.726284722223</v>
      </c>
      <c r="F121" s="13">
        <v>42858.73709490741</v>
      </c>
      <c r="G121" s="7">
        <v>1</v>
      </c>
      <c r="H121" s="21" t="s">
        <v>405</v>
      </c>
      <c r="I121" s="13">
        <v>42858.765914351854</v>
      </c>
      <c r="J121" s="7">
        <v>0</v>
      </c>
      <c r="K121" s="92" t="str">
        <f>IF(ISEVEN(B121),(B121-1)&amp;"/"&amp;B121,B121&amp;"/"&amp;(B121+1))</f>
        <v>4015/4016</v>
      </c>
      <c r="L121" s="21" t="str">
        <f>VLOOKUP(A121,'Trips&amp;Operators'!$C$1:$G$99999,5,FALSE)</f>
        <v>ZEWDU DEREJE</v>
      </c>
      <c r="M121" s="6">
        <f>I121-F121</f>
        <v>2.8819444443797693E-2</v>
      </c>
      <c r="N121" s="7">
        <f>24*60*SUM($M121:$M121)</f>
        <v>41.499999999068677</v>
      </c>
      <c r="O121" s="7"/>
      <c r="P121" s="7"/>
      <c r="Q121" s="22"/>
      <c r="R121" s="190"/>
      <c r="S121" s="196">
        <f>SUM(U121:U121)/IF(AG121="EC",12,1)</f>
        <v>1</v>
      </c>
      <c r="T121" s="190" t="str">
        <f>IF(ISEVEN(LEFT(AD121,4)),"Southbound","NorthBound")</f>
        <v>Southbound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-05-03T16:25:51-0600',mode:absolute,to:'2017-05-03T19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1" s="192" t="str">
        <f>IF(AA121&lt;IF(AG121="EC",23,5.65),"Y","N")</f>
        <v>N</v>
      </c>
      <c r="X121" s="192">
        <f>VALUE(LEFT(AD121,4))-VALUE(LEFT(AD120,4))</f>
        <v>1</v>
      </c>
      <c r="Y121" s="192">
        <f>RIGHT(D121,LEN(D121)-4)/10000</f>
        <v>23.297999999999998</v>
      </c>
      <c r="Z121" s="192">
        <f>RIGHT(H121,LEN(H121)-4)/10000</f>
        <v>1.4999999999999999E-2</v>
      </c>
      <c r="AA121" s="192">
        <f>ABS(Z121-Y121)</f>
        <v>23.282999999999998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>IF(LEN(A121)=6,"0"&amp;A121,A121)</f>
        <v>0206-03</v>
      </c>
      <c r="AE121" s="80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121" s="77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/stypes="app*4015*20170504*" /stext=" 00:.+((SYSTEM_STATE.+slice.+state.+changed )|(ment ac)|(multiple cpu faults)|(system.+state.+changed )|(\[timeout)|(PRM\|1\|D)|(kpr)|(kdp)|(train st.+moving)|(\|lc)|(penalty))"</v>
      </c>
      <c r="AG121" s="1" t="str">
        <f>IFERROR(IF(VALUE(LEFT(AD121,2))&lt;=2,"EC",IF(OR(VALUE(LEFT(AD121,2))=8,VALUE(LEFT(AD121,2))=18),"NW","Other")),"Other")</f>
        <v>EC</v>
      </c>
      <c r="AH121" s="81" t="str">
        <f t="shared" si="9"/>
        <v>"%USERPROFILE%\Documents\GitHub\eaglep3\Utilities\RefineRTDCRunTimes.py" --tripid 206-03 --locoid 4015 --swversion DE.1.0.9.0 --startMP 204:232980 --initTime 2017-05-03T17:25:51 --startdatetime 2017-05-03T17:41:25 --delay 1 --endMP 204:150 --enddatetime 2017-05-03T18:22:55 --enforcementcount 0 &gt;&gt;C:\Users\stu\Documents\GitHub\eaglep3-reporting\EC\2017-05-03-refined-times.txt</v>
      </c>
      <c r="AI121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{"issue":{"subject":"","project_id":79,"tracker_id":40,"status_id":1,"priority_id":2,"assigned_to_id":23,"start_date":"2017-05-03","description":"","custom_fields":[{"id":1,"name":"Subdivision","value":"EC"},{"id":4,"name":"Milepost","value":"0.015"},{"id":17,"name":"Train ID","value":"206-03"},{"id":16,"name":"Locomotive ID","value":"4015"},{"id":130,"name":"Impact","value":""},{"id":150,"name":"Time of Event (Mountain Time)","value":"18:22:55"},{"id":151,"name":"Denver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11"/>
        <v>start /low /b %USERPROFILE%\Documents\GitHub\eaglep3\Utilities\DownloadLogsFromS3.py --loco 4015 --day 2017-05-03</v>
      </c>
      <c r="AN121" s="154" t="str">
        <f t="shared" si="1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770</v>
      </c>
      <c r="B122" s="7">
        <v>4018</v>
      </c>
      <c r="C122" s="21" t="s">
        <v>210</v>
      </c>
      <c r="D122" s="21" t="s">
        <v>896</v>
      </c>
      <c r="E122" s="13">
        <v>42858.703773148147</v>
      </c>
      <c r="F122" s="13">
        <v>42858.708634259259</v>
      </c>
      <c r="G122" s="7">
        <v>1</v>
      </c>
      <c r="H122" s="21" t="s">
        <v>433</v>
      </c>
      <c r="I122" s="13">
        <v>42858.733055555553</v>
      </c>
      <c r="J122" s="7">
        <v>0</v>
      </c>
      <c r="K122" s="92" t="str">
        <f>IF(ISEVEN(B122),(B122-1)&amp;"/"&amp;B122,B122&amp;"/"&amp;(B122+1))</f>
        <v>4017/4018</v>
      </c>
      <c r="L122" s="21" t="str">
        <f>VLOOKUP(A122,'Trips&amp;Operators'!$C$1:$G$99999,5,FALSE)</f>
        <v>BIRENBAUM THOMAS</v>
      </c>
      <c r="M122" s="6">
        <f>I122-F122</f>
        <v>2.4421296293439809E-2</v>
      </c>
      <c r="N122" s="7">
        <f>24*60*SUM($M122:$M122)</f>
        <v>35.166666662553325</v>
      </c>
      <c r="O122" s="7"/>
      <c r="P122" s="7"/>
      <c r="Q122" s="22"/>
      <c r="R122" s="190"/>
      <c r="S122" s="196">
        <f>SUM(U122:U122)/IF(AG122="EC",12,1)</f>
        <v>1</v>
      </c>
      <c r="T122" s="190" t="str">
        <f>IF(ISEVEN(LEFT(AD122,4)),"Southbound","NorthBound")</f>
        <v>NorthBound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-05-03T15:53:26-0600',mode:absolute,to:'2017-05-03T18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2" s="192" t="str">
        <f>IF(AA122&lt;IF(AG122="EC",23,5.65),"Y","N")</f>
        <v>N</v>
      </c>
      <c r="X122" s="192">
        <f>VALUE(LEFT(AD122,4))-VALUE(LEFT(AD121,4))</f>
        <v>1</v>
      </c>
      <c r="Y122" s="192">
        <f>RIGHT(D122,LEN(D122)-4)/10000</f>
        <v>4.8800000000000003E-2</v>
      </c>
      <c r="Z122" s="192">
        <f>RIGHT(H122,LEN(H122)-4)/10000</f>
        <v>23.331199999999999</v>
      </c>
      <c r="AA122" s="192">
        <f>ABS(Z122-Y122)</f>
        <v>23.282399999999999</v>
      </c>
      <c r="AB122" s="57" t="e">
        <f>VLOOKUP(A122,Enforcements!$C$7:$K$13,8,0)</f>
        <v>#N/A</v>
      </c>
      <c r="AC122" s="53" t="e">
        <f>VLOOKUP(A122,Enforcements!$C$7:$E$13,3,0)</f>
        <v>#N/A</v>
      </c>
      <c r="AD122" s="54" t="str">
        <f>IF(LEN(A122)=6,"0"&amp;A122,A122)</f>
        <v>0207-03</v>
      </c>
      <c r="AE122" s="80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 &amp; 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</v>
      </c>
      <c r="AF122" s="77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/stypes="app*4018*20170503*" /stext=" 23:.+((SYSTEM_STATE.+slice.+state.+changed )|(ment ac)|(multiple cpu faults)|(system.+state.+changed )|(\[timeout)|(PRM\|1\|D)|(kpr)|(kdp)|(train st.+moving)|(\|lc)|(penalty))"</v>
      </c>
      <c r="AG122" s="1" t="str">
        <f>IFERROR(IF(VALUE(LEFT(AD122,2))&lt;=2,"EC",IF(OR(VALUE(LEFT(AD122,2))=8,VALUE(LEFT(AD122,2))=18),"NW","Other")),"Other")</f>
        <v>EC</v>
      </c>
      <c r="AH122" s="81" t="str">
        <f t="shared" si="9"/>
        <v>"%USERPROFILE%\Documents\GitHub\eaglep3\Utilities\RefineRTDCRunTimes.py" --tripid 207-03 --locoid 4018 --swversion DE.1.0.9.0 --startMP 204:488 --initTime 2017-05-03T16:53:26 --startdatetime 2017-05-03T17:00:26 --delay 1 --endMP 204:233312 --enddatetime 2017-05-03T17:35:36 --enforcementcount 0 &gt;&gt;C:\Users\stu\Documents\GitHub\eaglep3-reporting\EC\2017-05-03-refined-times.txt</v>
      </c>
      <c r="AI122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{"issue":{"subject":"","project_id":79,"tracker_id":40,"status_id":1,"priority_id":2,"assigned_to_id":23,"start_date":"2017-05-03","description":"","custom_fields":[{"id":1,"name":"Subdivision","value":"EC"},{"id":4,"name":"Milepost","value":"23.3312"},{"id":17,"name":"Train ID","value":"207-03"},{"id":16,"name":"Locomotive ID","value":"4018"},{"id":130,"name":"Impact","value":""},{"id":150,"name":"Time of Event (Mountain Time)","value":"17:35:36"},{"id":151,"name":"Denver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11"/>
        <v>start /low /b %USERPROFILE%\Documents\GitHub\eaglep3\Utilities\DownloadLogsFromS3.py --loco 4018 --day 2017-05-03</v>
      </c>
      <c r="AN122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784</v>
      </c>
      <c r="B123" s="7">
        <v>4017</v>
      </c>
      <c r="C123" s="21" t="s">
        <v>210</v>
      </c>
      <c r="D123" s="21" t="s">
        <v>515</v>
      </c>
      <c r="E123" s="13">
        <v>42858.743113425924</v>
      </c>
      <c r="F123" s="13">
        <v>42858.747476851851</v>
      </c>
      <c r="G123" s="7">
        <v>1</v>
      </c>
      <c r="H123" s="21" t="s">
        <v>386</v>
      </c>
      <c r="I123" s="13">
        <v>42858.773414351854</v>
      </c>
      <c r="J123" s="7">
        <v>0</v>
      </c>
      <c r="K123" s="92" t="str">
        <f>IF(ISEVEN(B123),(B123-1)&amp;"/"&amp;B123,B123&amp;"/"&amp;(B123+1))</f>
        <v>4017/4018</v>
      </c>
      <c r="L123" s="21" t="str">
        <f>VLOOKUP(A123,'Trips&amp;Operators'!$C$1:$G$99999,5,FALSE)</f>
        <v>BIRENBAUM THOMAS</v>
      </c>
      <c r="M123" s="6">
        <f>I123-F123</f>
        <v>2.5937500002328306E-2</v>
      </c>
      <c r="N123" s="7">
        <f>24*60*SUM($M123:$M123)</f>
        <v>37.350000003352761</v>
      </c>
      <c r="O123" s="7"/>
      <c r="P123" s="7"/>
      <c r="Q123" s="22"/>
      <c r="R123" s="190"/>
      <c r="S123" s="196">
        <f>SUM(U123:U123)/IF(AG123="EC",12,1)</f>
        <v>1</v>
      </c>
      <c r="T123" s="190" t="str">
        <f>IF(ISEVEN(LEFT(AD123,4)),"Southbound","NorthBound")</f>
        <v>Southbound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-05-03T16:50:05-0600',mode:absolute,to:'2017-05-03T19:33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3" s="192" t="str">
        <f>IF(AA123&lt;IF(AG123="EC",23,5.65),"Y","N")</f>
        <v>N</v>
      </c>
      <c r="X123" s="192">
        <f>VALUE(LEFT(AD123,4))-VALUE(LEFT(AD122,4))</f>
        <v>1</v>
      </c>
      <c r="Y123" s="192">
        <f>RIGHT(D123,LEN(D123)-4)/10000</f>
        <v>23.2972</v>
      </c>
      <c r="Z123" s="192">
        <f>RIGHT(H123,LEN(H123)-4)/10000</f>
        <v>1.6E-2</v>
      </c>
      <c r="AA123" s="192">
        <f>ABS(Z123-Y123)</f>
        <v>23.281200000000002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>IF(LEN(A123)=6,"0"&amp;A123,A123)</f>
        <v>0208-03</v>
      </c>
      <c r="AE123" s="80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AF123" s="77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/stypes="app*4017*20170504*" /stext=" 00:.+((SYSTEM_STATE.+slice.+state.+changed )|(ment ac)|(multiple cpu faults)|(system.+state.+changed )|(\[timeout)|(PRM\|1\|D)|(kpr)|(kdp)|(train st.+moving)|(\|lc)|(penalty))"</v>
      </c>
      <c r="AG123" s="1" t="str">
        <f>IFERROR(IF(VALUE(LEFT(AD123,2))&lt;=2,"EC",IF(OR(VALUE(LEFT(AD123,2))=8,VALUE(LEFT(AD123,2))=18),"NW","Other")),"Other")</f>
        <v>EC</v>
      </c>
      <c r="AH123" s="81" t="str">
        <f t="shared" si="9"/>
        <v>"%USERPROFILE%\Documents\GitHub\eaglep3\Utilities\RefineRTDCRunTimes.py" --tripid 208-03 --locoid 4017 --swversion DE.1.0.9.0 --startMP 204:232972 --initTime 2017-05-03T17:50:05 --startdatetime 2017-05-03T17:56:22 --delay 1 --endMP 204:160 --enddatetime 2017-05-03T18:33:43 --enforcementcount 0 &gt;&gt;C:\Users\stu\Documents\GitHub\eaglep3-reporting\EC\2017-05-03-refined-times.txt</v>
      </c>
      <c r="AI123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{"issue":{"subject":"","project_id":79,"tracker_id":40,"status_id":1,"priority_id":2,"assigned_to_id":23,"start_date":"2017-05-03","description":"","custom_fields":[{"id":1,"name":"Subdivision","value":"EC"},{"id":4,"name":"Milepost","value":"0.016"},{"id":17,"name":"Train ID","value":"208-03"},{"id":16,"name":"Locomotive ID","value":"4017"},{"id":130,"name":"Impact","value":""},{"id":150,"name":"Time of Event (Mountain Time)","value":"18:33:43"},{"id":151,"name":"Denver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11"/>
        <v>start /low /b %USERPROFILE%\Documents\GitHub\eaglep3\Utilities\DownloadLogsFromS3.py --loco 4017 --day 2017-05-03</v>
      </c>
      <c r="AN123" s="154" t="str">
        <f t="shared" si="1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00:33:43"},{"id":29,"name":"Sharepoint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771</v>
      </c>
      <c r="B124" s="7">
        <v>4028</v>
      </c>
      <c r="C124" s="21" t="s">
        <v>210</v>
      </c>
      <c r="D124" s="21" t="s">
        <v>434</v>
      </c>
      <c r="E124" s="13">
        <v>42858.713043981479</v>
      </c>
      <c r="F124" s="13">
        <v>42858.719004629631</v>
      </c>
      <c r="G124" s="7">
        <v>2</v>
      </c>
      <c r="H124" s="21" t="s">
        <v>897</v>
      </c>
      <c r="I124" s="13">
        <v>42858.746111111112</v>
      </c>
      <c r="J124" s="7">
        <v>0</v>
      </c>
      <c r="K124" s="92" t="str">
        <f>IF(ISEVEN(B124),(B124-1)&amp;"/"&amp;B124,B124&amp;"/"&amp;(B124+1))</f>
        <v>4027/4028</v>
      </c>
      <c r="L124" s="21" t="str">
        <f>VLOOKUP(A124,'Trips&amp;Operators'!$C$1:$G$99999,5,FALSE)</f>
        <v>JACKSON WILLIAM</v>
      </c>
      <c r="M124" s="6">
        <f>I124-F124</f>
        <v>2.7106481480586808E-2</v>
      </c>
      <c r="N124" s="7">
        <f>24*60*SUM($M124:$M124)</f>
        <v>39.033333332045004</v>
      </c>
      <c r="O124" s="7"/>
      <c r="P124" s="7"/>
      <c r="Q124" s="22"/>
      <c r="R124" s="190"/>
      <c r="S124" s="196">
        <f>SUM(U124:U124)/IF(AG124="EC",12,1)</f>
        <v>1</v>
      </c>
      <c r="T124" s="190" t="str">
        <f>IF(ISEVEN(LEFT(AD124,4)),"Southbound","NorthBound")</f>
        <v>NorthBound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-05-03T16:06:47-0600',mode:absolute,to:'2017-05-03T18:54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4" s="192" t="str">
        <f>IF(AA124&lt;IF(AG124="EC",23,5.65),"Y","N")</f>
        <v>N</v>
      </c>
      <c r="X124" s="192">
        <f>VALUE(LEFT(AD124,4))-VALUE(LEFT(AD123,4))</f>
        <v>1</v>
      </c>
      <c r="Y124" s="192">
        <f>RIGHT(D124,LEN(D124)-4)/10000</f>
        <v>4.3999999999999997E-2</v>
      </c>
      <c r="Z124" s="192">
        <f>RIGHT(H124,LEN(H124)-4)/10000</f>
        <v>23.338200000000001</v>
      </c>
      <c r="AA124" s="192">
        <f>ABS(Z124-Y124)</f>
        <v>23.2942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>IF(LEN(A124)=6,"0"&amp;A124,A124)</f>
        <v>0209-03</v>
      </c>
      <c r="AE124" s="80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124" s="77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/stypes="app*4028*20170503*" /stext=" 23:.+((SYSTEM_STATE.+slice.+state.+changed )|(ment ac)|(multiple cpu faults)|(system.+state.+changed )|(\[timeout)|(PRM\|1\|D)|(kpr)|(kdp)|(train st.+moving)|(\|lc)|(penalty))"</v>
      </c>
      <c r="AG124" s="1" t="str">
        <f>IFERROR(IF(VALUE(LEFT(AD124,2))&lt;=2,"EC",IF(OR(VALUE(LEFT(AD124,2))=8,VALUE(LEFT(AD124,2))=18),"NW","Other")),"Other")</f>
        <v>EC</v>
      </c>
      <c r="AH124" s="81" t="str">
        <f t="shared" si="9"/>
        <v>"%USERPROFILE%\Documents\GitHub\eaglep3\Utilities\RefineRTDCRunTimes.py" --tripid 209-03 --locoid 4028 --swversion DE.1.0.9.0 --startMP 204:440 --initTime 2017-05-03T17:06:47 --startdatetime 2017-05-03T17:15:22 --delay 2 --endMP 204:233382 --enddatetime 2017-05-03T17:54:24 --enforcementcount 0 &gt;&gt;C:\Users\stu\Documents\GitHub\eaglep3-reporting\EC\2017-05-03-refined-times.txt</v>
      </c>
      <c r="AI124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{"issue":{"subject":"","project_id":79,"tracker_id":40,"status_id":1,"priority_id":2,"assigned_to_id":23,"start_date":"2017-05-03","description":"","custom_fields":[{"id":1,"name":"Subdivision","value":"EC"},{"id":4,"name":"Milepost","value":"23.3382"},{"id":17,"name":"Train ID","value":"209-03"},{"id":16,"name":"Locomotive ID","value":"4028"},{"id":130,"name":"Impact","value":""},{"id":150,"name":"Time of Event (Mountain Time)","value":"17:54:24"},{"id":151,"name":"Denver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11"/>
        <v>start /low /b %USERPROFILE%\Documents\GitHub\eaglep3\Utilities\DownloadLogsFromS3.py --loco 4028 --day 2017-05-03</v>
      </c>
      <c r="AN124" s="154" t="str">
        <f t="shared" si="12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23:54:24"},{"id":29,"name":"Sharepoint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786</v>
      </c>
      <c r="B125" s="7">
        <v>4027</v>
      </c>
      <c r="C125" s="21" t="s">
        <v>210</v>
      </c>
      <c r="D125" s="21" t="s">
        <v>898</v>
      </c>
      <c r="E125" s="13">
        <v>42858.752986111111</v>
      </c>
      <c r="F125" s="13">
        <v>42858.758252314816</v>
      </c>
      <c r="G125" s="7">
        <v>4</v>
      </c>
      <c r="H125" s="21" t="s">
        <v>197</v>
      </c>
      <c r="I125" s="13">
        <v>42858.786157407405</v>
      </c>
      <c r="J125" s="7">
        <v>0</v>
      </c>
      <c r="K125" s="92" t="str">
        <f>IF(ISEVEN(B125),(B125-1)&amp;"/"&amp;B125,B125&amp;"/"&amp;(B125+1))</f>
        <v>4027/4028</v>
      </c>
      <c r="L125" s="21" t="str">
        <f>VLOOKUP(A125,'Trips&amp;Operators'!$C$1:$G$99999,5,FALSE)</f>
        <v>JACKSON WILLIAM</v>
      </c>
      <c r="M125" s="6">
        <f>I125-F125</f>
        <v>2.7905092589207925E-2</v>
      </c>
      <c r="N125" s="7">
        <f>24*60*SUM($M125:$M125)</f>
        <v>40.183333328459412</v>
      </c>
      <c r="O125" s="7"/>
      <c r="P125" s="7"/>
      <c r="Q125" s="22"/>
      <c r="R125" s="190"/>
      <c r="S125" s="196">
        <f>SUM(U125:U125)/IF(AG125="EC",12,1)</f>
        <v>1</v>
      </c>
      <c r="T125" s="190" t="str">
        <f>IF(ISEVEN(LEFT(AD125,4)),"Southbound","NorthBound")</f>
        <v>Southbound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-05-03T17:04:18-0600',mode:absolute,to:'2017-05-03T19:52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5" s="192" t="str">
        <f>IF(AA125&lt;IF(AG125="EC",23,5.65),"Y","N")</f>
        <v>N</v>
      </c>
      <c r="X125" s="192">
        <f>VALUE(LEFT(AD125,4))-VALUE(LEFT(AD124,4))</f>
        <v>1</v>
      </c>
      <c r="Y125" s="192">
        <f>RIGHT(D125,LEN(D125)-4)/10000</f>
        <v>23.3032</v>
      </c>
      <c r="Z125" s="192">
        <f>RIGHT(H125,LEN(H125)-4)/10000</f>
        <v>1.52E-2</v>
      </c>
      <c r="AA125" s="192">
        <f>ABS(Z125-Y125)</f>
        <v>23.288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>IF(LEN(A125)=6,"0"&amp;A125,A125)</f>
        <v>0210-03</v>
      </c>
      <c r="AE125" s="80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125" s="77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/stypes="app*4027*20170504*" /stext=" 00:.+((SYSTEM_STATE.+slice.+state.+changed )|(ment ac)|(multiple cpu faults)|(system.+state.+changed )|(\[timeout)|(PRM\|1\|D)|(kpr)|(kdp)|(train st.+moving)|(\|lc)|(penalty))"</v>
      </c>
      <c r="AG125" s="1" t="str">
        <f>IFERROR(IF(VALUE(LEFT(AD125,2))&lt;=2,"EC",IF(OR(VALUE(LEFT(AD125,2))=8,VALUE(LEFT(AD125,2))=18),"NW","Other")),"Other")</f>
        <v>EC</v>
      </c>
      <c r="AH125" s="81" t="str">
        <f t="shared" si="9"/>
        <v>"%USERPROFILE%\Documents\GitHub\eaglep3\Utilities\RefineRTDCRunTimes.py" --tripid 210-03 --locoid 4027 --swversion DE.1.0.9.0 --startMP 204:233032 --initTime 2017-05-03T18:04:18 --startdatetime 2017-05-03T18:11:53 --delay 4 --endMP 204:152 --enddatetime 2017-05-03T18:52:04 --enforcementcount 0 &gt;&gt;C:\Users\stu\Documents\GitHub\eaglep3-reporting\EC\2017-05-03-refined-times.txt</v>
      </c>
      <c r="AI125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{"issue":{"subject":"","project_id":79,"tracker_id":40,"status_id":1,"priority_id":2,"assigned_to_id":23,"start_date":"2017-05-03","description":"","custom_fields":[{"id":1,"name":"Subdivision","value":"EC"},{"id":4,"name":"Milepost","value":"0.0152"},{"id":17,"name":"Train ID","value":"210-03"},{"id":16,"name":"Locomotive ID","value":"4027"},{"id":130,"name":"Impact","value":""},{"id":150,"name":"Time of Event (Mountain Time)","value":"18:52:04"},{"id":151,"name":"Denver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11"/>
        <v>start /low /b %USERPROFILE%\Documents\GitHub\eaglep3\Utilities\DownloadLogsFromS3.py --loco 4027 --day 2017-05-03</v>
      </c>
      <c r="AN125" s="154" t="str">
        <f t="shared" si="1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00:52:04"},{"id":29,"name":"Sharepoint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780</v>
      </c>
      <c r="B126" s="7">
        <v>4040</v>
      </c>
      <c r="C126" s="21" t="s">
        <v>210</v>
      </c>
      <c r="D126" s="21" t="s">
        <v>367</v>
      </c>
      <c r="E126" s="13">
        <v>42858.724305555559</v>
      </c>
      <c r="F126" s="13">
        <v>42858.729386574072</v>
      </c>
      <c r="G126" s="7">
        <v>1</v>
      </c>
      <c r="H126" s="21" t="s">
        <v>433</v>
      </c>
      <c r="I126" s="13">
        <v>42858.753298611111</v>
      </c>
      <c r="J126" s="7">
        <v>0</v>
      </c>
      <c r="K126" s="92" t="str">
        <f>IF(ISEVEN(B126),(B126-1)&amp;"/"&amp;B126,B126&amp;"/"&amp;(B126+1))</f>
        <v>4039/4040</v>
      </c>
      <c r="L126" s="21" t="str">
        <f>VLOOKUP(A126,'Trips&amp;Operators'!$C$1:$G$99999,5,FALSE)</f>
        <v>LALONDE GREGORY</v>
      </c>
      <c r="M126" s="6">
        <f>I126-F126</f>
        <v>2.3912037038826384E-2</v>
      </c>
      <c r="N126" s="7">
        <f>24*60*SUM($M126:$M126)</f>
        <v>34.433333335909992</v>
      </c>
      <c r="O126" s="7"/>
      <c r="P126" s="7"/>
      <c r="Q126" s="22"/>
      <c r="R126" s="190"/>
      <c r="S126" s="196">
        <f>SUM(U126:U126)/IF(AG126="EC",12,1)</f>
        <v>1</v>
      </c>
      <c r="T126" s="190" t="str">
        <f>IF(ISEVEN(LEFT(AD126,4)),"Southbound","NorthBound")</f>
        <v>NorthBound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-05-03T16:23:00-0600',mode:absolute,to:'2017-05-03T19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6" s="192" t="str">
        <f>IF(AA126&lt;IF(AG126="EC",23,5.65),"Y","N")</f>
        <v>N</v>
      </c>
      <c r="X126" s="192">
        <f>VALUE(LEFT(AD126,4))-VALUE(LEFT(AD125,4))</f>
        <v>1</v>
      </c>
      <c r="Y126" s="192">
        <f>RIGHT(D126,LEN(D126)-4)/10000</f>
        <v>4.4900000000000002E-2</v>
      </c>
      <c r="Z126" s="192">
        <f>RIGHT(H126,LEN(H126)-4)/10000</f>
        <v>23.331199999999999</v>
      </c>
      <c r="AA126" s="192">
        <f>ABS(Z126-Y126)</f>
        <v>23.286300000000001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>IF(LEN(A126)=6,"0"&amp;A126,A126)</f>
        <v>0211-03</v>
      </c>
      <c r="AE126" s="80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AF126" s="77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/stypes="app*4040*20170504*" /stext=" 00:.+((SYSTEM_STATE.+slice.+state.+changed )|(ment ac)|(multiple cpu faults)|(system.+state.+changed )|(\[timeout)|(PRM\|1\|D)|(kpr)|(kdp)|(train st.+moving)|(\|lc)|(penalty))"</v>
      </c>
      <c r="AG126" s="1" t="str">
        <f>IFERROR(IF(VALUE(LEFT(AD126,2))&lt;=2,"EC",IF(OR(VALUE(LEFT(AD126,2))=8,VALUE(LEFT(AD126,2))=18),"NW","Other")),"Other")</f>
        <v>EC</v>
      </c>
      <c r="AH126" s="81" t="str">
        <f t="shared" si="9"/>
        <v>"%USERPROFILE%\Documents\GitHub\eaglep3\Utilities\RefineRTDCRunTimes.py" --tripid 211-03 --locoid 4040 --swversion DE.1.0.9.0 --startMP 204:449 --initTime 2017-05-03T17:23:00 --startdatetime 2017-05-03T17:30:19 --delay 1 --endMP 204:233312 --enddatetime 2017-05-03T18:04:45 --enforcementcount 0 &gt;&gt;C:\Users\stu\Documents\GitHub\eaglep3-reporting\EC\2017-05-03-refined-times.txt</v>
      </c>
      <c r="AI126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{"issue":{"subject":"","project_id":79,"tracker_id":40,"status_id":1,"priority_id":2,"assigned_to_id":23,"start_date":"2017-05-03","description":"","custom_fields":[{"id":1,"name":"Subdivision","value":"EC"},{"id":4,"name":"Milepost","value":"23.3312"},{"id":17,"name":"Train ID","value":"211-03"},{"id":16,"name":"Locomotive ID","value":"4040"},{"id":130,"name":"Impact","value":""},{"id":150,"name":"Time of Event (Mountain Time)","value":"18:04:45"},{"id":151,"name":"Denver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11"/>
        <v>start /low /b %USERPROFILE%\Documents\GitHub\eaglep3\Utilities\DownloadLogsFromS3.py --loco 4040 --day 2017-05-03</v>
      </c>
      <c r="AN126" s="154" t="str">
        <f t="shared" si="1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787</v>
      </c>
      <c r="B127" s="7">
        <v>4039</v>
      </c>
      <c r="C127" s="21" t="s">
        <v>210</v>
      </c>
      <c r="D127" s="21" t="s">
        <v>858</v>
      </c>
      <c r="E127" s="13">
        <v>42858.755416666667</v>
      </c>
      <c r="F127" s="13">
        <v>42858.768321759257</v>
      </c>
      <c r="G127" s="7">
        <v>1</v>
      </c>
      <c r="H127" s="21" t="s">
        <v>447</v>
      </c>
      <c r="I127" s="13">
        <v>42858.793761574074</v>
      </c>
      <c r="J127" s="7">
        <v>0</v>
      </c>
      <c r="K127" s="92" t="str">
        <f>IF(ISEVEN(B127),(B127-1)&amp;"/"&amp;B127,B127&amp;"/"&amp;(B127+1))</f>
        <v>4039/4040</v>
      </c>
      <c r="L127" s="21" t="str">
        <f>VLOOKUP(A127,'Trips&amp;Operators'!$C$1:$G$99999,5,FALSE)</f>
        <v>LALONDE GREGORY</v>
      </c>
      <c r="M127" s="6">
        <f>I127-F127</f>
        <v>2.5439814817218576E-2</v>
      </c>
      <c r="N127" s="7">
        <f>24*60*SUM($M127:$M127)</f>
        <v>36.633333336794749</v>
      </c>
      <c r="O127" s="7"/>
      <c r="P127" s="7"/>
      <c r="Q127" s="22"/>
      <c r="R127" s="190"/>
      <c r="S127" s="196">
        <f>SUM(U127:U127)/IF(AG127="EC",12,1)</f>
        <v>1</v>
      </c>
      <c r="T127" s="190" t="str">
        <f>IF(ISEVEN(LEFT(AD127,4)),"Southbound","NorthBound")</f>
        <v>Southbound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-05-03T17:07:48-0600',mode:absolute,to:'2017-05-03T20:03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7" s="192" t="str">
        <f>IF(AA127&lt;IF(AG127="EC",23,5.65),"Y","N")</f>
        <v>N</v>
      </c>
      <c r="X127" s="192">
        <f>VALUE(LEFT(AD127,4))-VALUE(LEFT(AD126,4))</f>
        <v>1</v>
      </c>
      <c r="Y127" s="192">
        <f>RIGHT(D127,LEN(D127)-4)/10000</f>
        <v>23.299399999999999</v>
      </c>
      <c r="Z127" s="192">
        <f>RIGHT(H127,LEN(H127)-4)/10000</f>
        <v>1.61E-2</v>
      </c>
      <c r="AA127" s="192">
        <f>ABS(Z127-Y127)</f>
        <v>23.283299999999997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>IF(LEN(A127)=6,"0"&amp;A127,A127)</f>
        <v>0212-03</v>
      </c>
      <c r="AE127" s="80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127" s="77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/stypes="app*4039*20170504*" /stext=" 01:.+((SYSTEM_STATE.+slice.+state.+changed )|(ment ac)|(multiple cpu faults)|(system.+state.+changed )|(\[timeout)|(PRM\|1\|D)|(kpr)|(kdp)|(train st.+moving)|(\|lc)|(penalty))"</v>
      </c>
      <c r="AG127" s="1" t="str">
        <f>IFERROR(IF(VALUE(LEFT(AD127,2))&lt;=2,"EC",IF(OR(VALUE(LEFT(AD127,2))=8,VALUE(LEFT(AD127,2))=18),"NW","Other")),"Other")</f>
        <v>EC</v>
      </c>
      <c r="AH127" s="81" t="str">
        <f t="shared" si="9"/>
        <v>"%USERPROFILE%\Documents\GitHub\eaglep3\Utilities\RefineRTDCRunTimes.py" --tripid 212-03 --locoid 4039 --swversion DE.1.0.9.0 --startMP 204:232994 --initTime 2017-05-03T18:07:48 --startdatetime 2017-05-03T18:26:23 --delay 1 --endMP 204:161 --enddatetime 2017-05-03T19:03:01 --enforcementcount 0 &gt;&gt;C:\Users\stu\Documents\GitHub\eaglep3-reporting\EC\2017-05-03-refined-times.txt</v>
      </c>
      <c r="AI127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{"issue":{"subject":"","project_id":79,"tracker_id":40,"status_id":1,"priority_id":2,"assigned_to_id":23,"start_date":"2017-05-03","description":"","custom_fields":[{"id":1,"name":"Subdivision","value":"EC"},{"id":4,"name":"Milepost","value":"0.0161"},{"id":17,"name":"Train ID","value":"212-03"},{"id":16,"name":"Locomotive ID","value":"4039"},{"id":130,"name":"Impact","value":""},{"id":150,"name":"Time of Event (Mountain Time)","value":"19:03:01"},{"id":151,"name":"Denver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11"/>
        <v>start /low /b %USERPROFILE%\Documents\GitHub\eaglep3\Utilities\DownloadLogsFromS3.py --loco 4039 --day 2017-05-03</v>
      </c>
      <c r="AN127" s="154" t="str">
        <f t="shared" si="1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01:03:01"},{"id":29,"name":"Sharepoint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783</v>
      </c>
      <c r="B128" s="7">
        <v>4024</v>
      </c>
      <c r="C128" s="21" t="s">
        <v>210</v>
      </c>
      <c r="D128" s="21" t="s">
        <v>899</v>
      </c>
      <c r="E128" s="13">
        <v>42858.735960648148</v>
      </c>
      <c r="F128" s="13">
        <v>42858.739872685182</v>
      </c>
      <c r="G128" s="7">
        <v>3</v>
      </c>
      <c r="H128" s="21" t="s">
        <v>900</v>
      </c>
      <c r="I128" s="13">
        <v>42858.765069444446</v>
      </c>
      <c r="J128" s="7">
        <v>0</v>
      </c>
      <c r="K128" s="92" t="str">
        <f>IF(ISEVEN(B128),(B128-1)&amp;"/"&amp;B128,B128&amp;"/"&amp;(B128+1))</f>
        <v>4023/4024</v>
      </c>
      <c r="L128" s="21" t="str">
        <f>VLOOKUP(A128,'Trips&amp;Operators'!$C$1:$G$99999,5,FALSE)</f>
        <v>STORY SAMANTHA</v>
      </c>
      <c r="M128" s="6">
        <f>I128-F128</f>
        <v>2.5196759263053536E-2</v>
      </c>
      <c r="N128" s="7">
        <f>24*60*SUM($M128:$M128)</f>
        <v>36.283333338797092</v>
      </c>
      <c r="O128" s="7"/>
      <c r="P128" s="7"/>
      <c r="Q128" s="22"/>
      <c r="R128" s="190"/>
      <c r="S128" s="196">
        <f>SUM(U128:U128)/IF(AG128="EC",12,1)</f>
        <v>1</v>
      </c>
      <c r="T128" s="190" t="str">
        <f>IF(ISEVEN(LEFT(AD128,4)),"Southbound","NorthBound")</f>
        <v>NorthBound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-05-03T16:39:47-0600',mode:absolute,to:'2017-05-03T19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8" s="192" t="str">
        <f>IF(AA128&lt;IF(AG128="EC",23,5.65),"Y","N")</f>
        <v>N</v>
      </c>
      <c r="X128" s="192">
        <f>VALUE(LEFT(AD128,4))-VALUE(LEFT(AD127,4))</f>
        <v>1</v>
      </c>
      <c r="Y128" s="192">
        <f>RIGHT(D128,LEN(D128)-4)/10000</f>
        <v>4.7800000000000002E-2</v>
      </c>
      <c r="Z128" s="192">
        <f>RIGHT(H128,LEN(H128)-4)/10000</f>
        <v>23.323799999999999</v>
      </c>
      <c r="AA128" s="192">
        <f>ABS(Z128-Y128)</f>
        <v>23.276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>IF(LEN(A128)=6,"0"&amp;A128,A128)</f>
        <v>0213-03</v>
      </c>
      <c r="AE128" s="80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AF128" s="77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/stypes="app*4024*20170504*" /stext=" 00:.+((SYSTEM_STATE.+slice.+state.+changed )|(ment ac)|(multiple cpu faults)|(system.+state.+changed )|(\[timeout)|(PRM\|1\|D)|(kpr)|(kdp)|(train st.+moving)|(\|lc)|(penalty))"</v>
      </c>
      <c r="AG128" s="1" t="str">
        <f>IFERROR(IF(VALUE(LEFT(AD128,2))&lt;=2,"EC",IF(OR(VALUE(LEFT(AD128,2))=8,VALUE(LEFT(AD128,2))=18),"NW","Other")),"Other")</f>
        <v>EC</v>
      </c>
      <c r="AH128" s="81" t="str">
        <f t="shared" si="9"/>
        <v>"%USERPROFILE%\Documents\GitHub\eaglep3\Utilities\RefineRTDCRunTimes.py" --tripid 213-03 --locoid 4024 --swversion DE.1.0.9.0 --startMP 204:478 --initTime 2017-05-03T17:39:47 --startdatetime 2017-05-03T17:45:25 --delay 3 --endMP 204:233238 --enddatetime 2017-05-03T18:21:42 --enforcementcount 0 &gt;&gt;C:\Users\stu\Documents\GitHub\eaglep3-reporting\EC\2017-05-03-refined-times.txt</v>
      </c>
      <c r="AI128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{"issue":{"subject":"","project_id":79,"tracker_id":40,"status_id":1,"priority_id":2,"assigned_to_id":23,"start_date":"2017-05-03","description":"","custom_fields":[{"id":1,"name":"Subdivision","value":"EC"},{"id":4,"name":"Milepost","value":"23.3238"},{"id":17,"name":"Train ID","value":"213-03"},{"id":16,"name":"Locomotive ID","value":"4024"},{"id":130,"name":"Impact","value":""},{"id":150,"name":"Time of Event (Mountain Time)","value":"18:21:42"},{"id":151,"name":"Denver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11"/>
        <v>start /low /b %USERPROFILE%\Documents\GitHub\eaglep3\Utilities\DownloadLogsFromS3.py --loco 4024 --day 2017-05-03</v>
      </c>
      <c r="AN128" s="154" t="str">
        <f t="shared" si="1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611</v>
      </c>
      <c r="B129" s="7">
        <v>4023</v>
      </c>
      <c r="C129" s="21" t="s">
        <v>210</v>
      </c>
      <c r="D129" s="21" t="s">
        <v>432</v>
      </c>
      <c r="E129" s="13">
        <v>42858.771620370368</v>
      </c>
      <c r="F129" s="13">
        <v>42858.778692129628</v>
      </c>
      <c r="G129" s="7">
        <v>1</v>
      </c>
      <c r="H129" s="21" t="s">
        <v>376</v>
      </c>
      <c r="I129" s="13">
        <v>42858.80605324074</v>
      </c>
      <c r="J129" s="7">
        <v>0</v>
      </c>
      <c r="K129" s="92" t="str">
        <f>IF(ISEVEN(B129),(B129-1)&amp;"/"&amp;B129,B129&amp;"/"&amp;(B129+1))</f>
        <v>4023/4024</v>
      </c>
      <c r="L129" s="21" t="str">
        <f>VLOOKUP(A129,'Trips&amp;Operators'!$C$1:$G$99999,5,FALSE)</f>
        <v>STORY SAMANTHA</v>
      </c>
      <c r="M129" s="6">
        <f>I129-F129</f>
        <v>2.73611111115315E-2</v>
      </c>
      <c r="N129" s="7">
        <f>24*60*SUM($M129:$M129)</f>
        <v>39.40000000060536</v>
      </c>
      <c r="O129" s="7"/>
      <c r="P129" s="7"/>
      <c r="Q129" s="22"/>
      <c r="R129" s="190"/>
      <c r="S129" s="196">
        <f>SUM(U129:U129)/IF(AG129="EC",12,1)</f>
        <v>1</v>
      </c>
      <c r="T129" s="190" t="str">
        <f>IF(ISEVEN(LEFT(AD129,4)),"Southbound","NorthBound")</f>
        <v>Southbound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-05-03T17:31:08-0600',mode:absolute,to:'2017-05-03T20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9" s="192" t="str">
        <f>IF(AA129&lt;IF(AG129="EC",23,5.65),"Y","N")</f>
        <v>N</v>
      </c>
      <c r="X129" s="192">
        <f>VALUE(LEFT(AD129,4))-VALUE(LEFT(AD128,4))</f>
        <v>1</v>
      </c>
      <c r="Y129" s="192">
        <f>RIGHT(D129,LEN(D129)-4)/10000</f>
        <v>23.296900000000001</v>
      </c>
      <c r="Z129" s="192">
        <f>RIGHT(H129,LEN(H129)-4)/10000</f>
        <v>1.38E-2</v>
      </c>
      <c r="AA129" s="192">
        <f>ABS(Z129-Y129)</f>
        <v>23.283100000000001</v>
      </c>
      <c r="AB129" s="57" t="str">
        <f>VLOOKUP(A129,Enforcements!$C$7:$K$13,8,0)</f>
        <v>Bulletin (2)</v>
      </c>
      <c r="AC129" s="53" t="str">
        <f>VLOOKUP(A129,Enforcements!$C$7:$E$13,3,0)</f>
        <v>GRADE CROSSING</v>
      </c>
      <c r="AD129" s="54" t="str">
        <f>IF(LEN(A129)=6,"0"&amp;A129,A129)</f>
        <v>0214-03</v>
      </c>
      <c r="AE129" s="80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129" s="77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/stypes="app*4023*20170504*" /stext=" 01:.+((SYSTEM_STATE.+slice.+state.+changed )|(ment ac)|(multiple cpu faults)|(system.+state.+changed )|(\[timeout)|(PRM\|1\|D)|(kpr)|(kdp)|(train st.+moving)|(\|lc)|(penalty))"</v>
      </c>
      <c r="AG129" s="1" t="str">
        <f>IFERROR(IF(VALUE(LEFT(AD129,2))&lt;=2,"EC",IF(OR(VALUE(LEFT(AD129,2))=8,VALUE(LEFT(AD129,2))=18),"NW","Other")),"Other")</f>
        <v>EC</v>
      </c>
      <c r="AH129" s="81" t="str">
        <f t="shared" si="9"/>
        <v>"%USERPROFILE%\Documents\GitHub\eaglep3\Utilities\RefineRTDCRunTimes.py" --tripid 214-03 --locoid 4023 --swversion DE.1.0.9.0 --startMP 204:232969 --initTime 2017-05-03T18:31:08 --startdatetime 2017-05-03T18:41:19 --delay 1 --endMP 204:138 --enddatetime 2017-05-03T19:20:43 --enforcementcount 0 &gt;&gt;C:\Users\stu\Documents\GitHub\eaglep3-reporting\EC\2017-05-03-refined-times.txt</v>
      </c>
      <c r="AI129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{"issue":{"subject":"","project_id":79,"tracker_id":40,"status_id":1,"priority_id":2,"assigned_to_id":23,"start_date":"2017-05-03","description":"","custom_fields":[{"id":1,"name":"Subdivision","value":"EC"},{"id":4,"name":"Milepost","value":"0.0138"},{"id":17,"name":"Train ID","value":"214-03"},{"id":16,"name":"Locomotive ID","value":"4023"},{"id":130,"name":"Impact","value":""},{"id":150,"name":"Time of Event (Mountain Time)","value":"19:20:43"},{"id":151,"name":"Denver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11"/>
        <v>start /low /b %USERPROFILE%\Documents\GitHub\eaglep3\Utilities\DownloadLogsFromS3.py --loco 4023 --day 2017-05-03</v>
      </c>
      <c r="AN129" s="154" t="str">
        <f t="shared" si="1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785</v>
      </c>
      <c r="B130" s="7">
        <v>4054</v>
      </c>
      <c r="C130" s="21" t="s">
        <v>210</v>
      </c>
      <c r="D130" s="21" t="s">
        <v>901</v>
      </c>
      <c r="E130" s="13">
        <v>42858.74627314815</v>
      </c>
      <c r="F130" s="13">
        <v>42858.750277777777</v>
      </c>
      <c r="G130" s="7">
        <v>2</v>
      </c>
      <c r="H130" s="21" t="s">
        <v>895</v>
      </c>
      <c r="I130" s="13">
        <v>42858.775057870371</v>
      </c>
      <c r="J130" s="7">
        <v>0</v>
      </c>
      <c r="K130" s="92" t="str">
        <f>IF(ISEVEN(B130),(B130-1)&amp;"/"&amp;B130,B130&amp;"/"&amp;(B130+1))</f>
        <v>4053/4054</v>
      </c>
      <c r="L130" s="21" t="str">
        <f>VLOOKUP(A130,'Trips&amp;Operators'!$C$1:$G$99999,5,FALSE)</f>
        <v>MOSES BRADLEY</v>
      </c>
      <c r="M130" s="6">
        <f>I130-F130</f>
        <v>2.4780092593573499E-2</v>
      </c>
      <c r="N130" s="7">
        <f>24*60*SUM($M130:$M130)</f>
        <v>35.683333334745839</v>
      </c>
      <c r="O130" s="7"/>
      <c r="P130" s="7"/>
      <c r="Q130" s="22"/>
      <c r="R130" s="190"/>
      <c r="S130" s="196">
        <f>SUM(U130:U130)/IF(AG130="EC",12,1)</f>
        <v>1</v>
      </c>
      <c r="T130" s="190" t="str">
        <f>IF(ISEVEN(LEFT(AD130,4)),"Southbound","NorthBound")</f>
        <v>NorthBound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-05-03T16:54:38-0600',mode:absolute,to:'2017-05-03T19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0" s="192" t="str">
        <f>IF(AA130&lt;IF(AG130="EC",23,5.65),"Y","N")</f>
        <v>N</v>
      </c>
      <c r="X130" s="192">
        <f>VALUE(LEFT(AD130,4))-VALUE(LEFT(AD129,4))</f>
        <v>1</v>
      </c>
      <c r="Y130" s="192">
        <f>RIGHT(D130,LEN(D130)-4)/10000</f>
        <v>5.1900000000000002E-2</v>
      </c>
      <c r="Z130" s="192">
        <f>RIGHT(H130,LEN(H130)-4)/10000</f>
        <v>23.332100000000001</v>
      </c>
      <c r="AA130" s="192">
        <f>ABS(Z130-Y130)</f>
        <v>23.280200000000001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>IF(LEN(A130)=6,"0"&amp;A130,A130)</f>
        <v>0215-03</v>
      </c>
      <c r="AE130" s="80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 &amp; 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</v>
      </c>
      <c r="AF130" s="77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/stypes="app*4054*20170504*" /stext=" 00:.+((SYSTEM_STATE.+slice.+state.+changed )|(ment ac)|(multiple cpu faults)|(system.+state.+changed )|(\[timeout)|(PRM\|1\|D)|(kpr)|(kdp)|(train st.+moving)|(\|lc)|(penalty))"</v>
      </c>
      <c r="AG130" s="1" t="str">
        <f>IFERROR(IF(VALUE(LEFT(AD130,2))&lt;=2,"EC",IF(OR(VALUE(LEFT(AD130,2))=8,VALUE(LEFT(AD130,2))=18),"NW","Other")),"Other")</f>
        <v>EC</v>
      </c>
      <c r="AH130" s="81" t="str">
        <f t="shared" si="9"/>
        <v>"%USERPROFILE%\Documents\GitHub\eaglep3\Utilities\RefineRTDCRunTimes.py" --tripid 215-03 --locoid 4054 --swversion DE.1.0.9.0 --startMP 204:519 --initTime 2017-05-03T17:54:38 --startdatetime 2017-05-03T18:00:24 --delay 2 --endMP 204:233321 --enddatetime 2017-05-03T18:36:05 --enforcementcount 0 &gt;&gt;C:\Users\stu\Documents\GitHub\eaglep3-reporting\EC\2017-05-03-refined-times.txt</v>
      </c>
      <c r="AI130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{"issue":{"subject":"","project_id":79,"tracker_id":40,"status_id":1,"priority_id":2,"assigned_to_id":23,"start_date":"2017-05-03","description":"","custom_fields":[{"id":1,"name":"Subdivision","value":"EC"},{"id":4,"name":"Milepost","value":"23.3321"},{"id":17,"name":"Train ID","value":"215-03"},{"id":16,"name":"Locomotive ID","value":"4054"},{"id":130,"name":"Impact","value":""},{"id":150,"name":"Time of Event (Mountain Time)","value":"18:36:05"},{"id":151,"name":"Denver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11"/>
        <v>start /low /b %USERPROFILE%\Documents\GitHub\eaglep3\Utilities\DownloadLogsFromS3.py --loco 4054 --day 2017-05-03</v>
      </c>
      <c r="AN130" s="154" t="str">
        <f t="shared" si="1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798</v>
      </c>
      <c r="B131" s="7">
        <v>4053</v>
      </c>
      <c r="C131" s="21" t="s">
        <v>210</v>
      </c>
      <c r="D131" s="21" t="s">
        <v>902</v>
      </c>
      <c r="E131" s="13">
        <v>42858.785543981481</v>
      </c>
      <c r="F131" s="13">
        <v>42858.789178240739</v>
      </c>
      <c r="G131" s="7">
        <v>1</v>
      </c>
      <c r="H131" s="21" t="s">
        <v>859</v>
      </c>
      <c r="I131" s="13">
        <v>42858.81726851852</v>
      </c>
      <c r="J131" s="7">
        <v>0</v>
      </c>
      <c r="K131" s="92" t="str">
        <f>IF(ISEVEN(B131),(B131-1)&amp;"/"&amp;B131,B131&amp;"/"&amp;(B131+1))</f>
        <v>4053/4054</v>
      </c>
      <c r="L131" s="21" t="str">
        <f>VLOOKUP(A131,'Trips&amp;Operators'!$C$1:$G$99999,5,FALSE)</f>
        <v>MOSES BRADLEY</v>
      </c>
      <c r="M131" s="6">
        <f>I131-F131</f>
        <v>2.8090277781302575E-2</v>
      </c>
      <c r="N131" s="7">
        <f>24*60*SUM($M131:$M131)</f>
        <v>40.450000005075708</v>
      </c>
      <c r="O131" s="7"/>
      <c r="P131" s="7"/>
      <c r="Q131" s="22"/>
      <c r="R131" s="190"/>
      <c r="S131" s="196">
        <f>SUM(U131:U131)/IF(AG131="EC",12,1)</f>
        <v>1</v>
      </c>
      <c r="T131" s="190" t="str">
        <f>IF(ISEVEN(LEFT(AD131,4)),"Southbound","NorthBound")</f>
        <v>Southbound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-05-03T17:51:11-0600',mode:absolute,to:'2017-05-03T20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1" s="192" t="str">
        <f>IF(AA131&lt;IF(AG131="EC",23,5.65),"Y","N")</f>
        <v>N</v>
      </c>
      <c r="X131" s="192">
        <f>VALUE(LEFT(AD131,4))-VALUE(LEFT(AD130,4))</f>
        <v>1</v>
      </c>
      <c r="Y131" s="192">
        <f>RIGHT(D131,LEN(D131)-4)/10000</f>
        <v>23.3019</v>
      </c>
      <c r="Z131" s="192">
        <f>RIGHT(H131,LEN(H131)-4)/10000</f>
        <v>1.7000000000000001E-2</v>
      </c>
      <c r="AA131" s="192">
        <f>ABS(Z131-Y131)</f>
        <v>23.2849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>IF(LEN(A131)=6,"0"&amp;A131,A131)</f>
        <v>0216-03</v>
      </c>
      <c r="AE131" s="80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131" s="77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/stypes="app*4053*20170504*" /stext=" 01:.+((SYSTEM_STATE.+slice.+state.+changed )|(ment ac)|(multiple cpu faults)|(system.+state.+changed )|(\[timeout)|(PRM\|1\|D)|(kpr)|(kdp)|(train st.+moving)|(\|lc)|(penalty))"</v>
      </c>
      <c r="AG131" s="1" t="str">
        <f>IFERROR(IF(VALUE(LEFT(AD131,2))&lt;=2,"EC",IF(OR(VALUE(LEFT(AD131,2))=8,VALUE(LEFT(AD131,2))=18),"NW","Other")),"Other")</f>
        <v>EC</v>
      </c>
      <c r="AH131" s="81" t="str">
        <f t="shared" si="9"/>
        <v>"%USERPROFILE%\Documents\GitHub\eaglep3\Utilities\RefineRTDCRunTimes.py" --tripid 216-03 --locoid 4053 --swversion DE.1.0.9.0 --startMP 204:233019 --initTime 2017-05-03T18:51:11 --startdatetime 2017-05-03T18:56:25 --delay 1 --endMP 204:170 --enddatetime 2017-05-03T19:36:52 --enforcementcount 0 &gt;&gt;C:\Users\stu\Documents\GitHub\eaglep3-reporting\EC\2017-05-03-refined-times.txt</v>
      </c>
      <c r="AI131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{"issue":{"subject":"","project_id":79,"tracker_id":40,"status_id":1,"priority_id":2,"assigned_to_id":23,"start_date":"2017-05-03","description":"","custom_fields":[{"id":1,"name":"Subdivision","value":"EC"},{"id":4,"name":"Milepost","value":"0.017"},{"id":17,"name":"Train ID","value":"216-03"},{"id":16,"name":"Locomotive ID","value":"4053"},{"id":130,"name":"Impact","value":""},{"id":150,"name":"Time of Event (Mountain Time)","value":"19:36:52"},{"id":151,"name":"Denver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11"/>
        <v>start /low /b %USERPROFILE%\Documents\GitHub\eaglep3\Utilities\DownloadLogsFromS3.py --loco 4053 --day 2017-05-03</v>
      </c>
      <c r="AN131" s="154" t="str">
        <f t="shared" si="1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789</v>
      </c>
      <c r="B132" s="7">
        <v>4030</v>
      </c>
      <c r="C132" s="21" t="s">
        <v>210</v>
      </c>
      <c r="D132" s="21" t="s">
        <v>446</v>
      </c>
      <c r="E132" s="13">
        <v>42858.756979166668</v>
      </c>
      <c r="F132" s="13">
        <v>42858.760729166665</v>
      </c>
      <c r="G132" s="7">
        <v>1</v>
      </c>
      <c r="H132" s="21" t="s">
        <v>544</v>
      </c>
      <c r="I132" s="13">
        <v>42858.786736111113</v>
      </c>
      <c r="J132" s="7">
        <v>0</v>
      </c>
      <c r="K132" s="92" t="str">
        <f>IF(ISEVEN(B132),(B132-1)&amp;"/"&amp;B132,B132&amp;"/"&amp;(B132+1))</f>
        <v>4029/4030</v>
      </c>
      <c r="L132" s="21" t="str">
        <f>VLOOKUP(A132,'Trips&amp;Operators'!$C$1:$G$99999,5,FALSE)</f>
        <v>BROWN JACOB</v>
      </c>
      <c r="M132" s="6">
        <f>I132-F132</f>
        <v>2.6006944448454306E-2</v>
      </c>
      <c r="N132" s="7">
        <f>24*60*SUM($M132:$M132)</f>
        <v>37.4500000057742</v>
      </c>
      <c r="O132" s="7"/>
      <c r="P132" s="7"/>
      <c r="Q132" s="22"/>
      <c r="R132" s="190"/>
      <c r="S132" s="196">
        <f>SUM(U132:U132)/IF(AG132="EC",12,1)</f>
        <v>1</v>
      </c>
      <c r="T132" s="190" t="str">
        <f>IF(ISEVEN(LEFT(AD132,4)),"Southbound","NorthBound")</f>
        <v>NorthBound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-05-03T17:10:03-0600',mode:absolute,to:'2017-05-03T19:52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2" s="192" t="str">
        <f>IF(AA132&lt;IF(AG132="EC",23,5.65),"Y","N")</f>
        <v>N</v>
      </c>
      <c r="X132" s="192">
        <f>VALUE(LEFT(AD132,4))-VALUE(LEFT(AD131,4))</f>
        <v>1</v>
      </c>
      <c r="Y132" s="192">
        <f>RIGHT(D132,LEN(D132)-4)/10000</f>
        <v>4.4400000000000002E-2</v>
      </c>
      <c r="Z132" s="192">
        <f>RIGHT(H132,LEN(H132)-4)/10000</f>
        <v>23.331600000000002</v>
      </c>
      <c r="AA132" s="192">
        <f>ABS(Z132-Y132)</f>
        <v>23.287200000000002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>IF(LEN(A132)=6,"0"&amp;A132,A132)</f>
        <v>0217-03</v>
      </c>
      <c r="AE132" s="80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132" s="77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/stypes="app*4030*20170504*" /stext=" 00:.+((SYSTEM_STATE.+slice.+state.+changed )|(ment ac)|(multiple cpu faults)|(system.+state.+changed )|(\[timeout)|(PRM\|1\|D)|(kpr)|(kdp)|(train st.+moving)|(\|lc)|(penalty))"</v>
      </c>
      <c r="AG132" s="1" t="str">
        <f>IFERROR(IF(VALUE(LEFT(AD132,2))&lt;=2,"EC",IF(OR(VALUE(LEFT(AD132,2))=8,VALUE(LEFT(AD132,2))=18),"NW","Other")),"Other")</f>
        <v>EC</v>
      </c>
      <c r="AH132" s="81" t="str">
        <f t="shared" si="9"/>
        <v>"%USERPROFILE%\Documents\GitHub\eaglep3\Utilities\RefineRTDCRunTimes.py" --tripid 217-03 --locoid 4030 --swversion DE.1.0.9.0 --startMP 204:444 --initTime 2017-05-03T18:10:03 --startdatetime 2017-05-03T18:15:27 --delay 1 --endMP 204:233316 --enddatetime 2017-05-03T18:52:54 --enforcementcount 0 &gt;&gt;C:\Users\stu\Documents\GitHub\eaglep3-reporting\EC\2017-05-03-refined-times.txt</v>
      </c>
      <c r="AI132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{"issue":{"subject":"","project_id":79,"tracker_id":40,"status_id":1,"priority_id":2,"assigned_to_id":23,"start_date":"2017-05-03","description":"","custom_fields":[{"id":1,"name":"Subdivision","value":"EC"},{"id":4,"name":"Milepost","value":"23.3316"},{"id":17,"name":"Train ID","value":"217-03"},{"id":16,"name":"Locomotive ID","value":"4030"},{"id":130,"name":"Impact","value":""},{"id":150,"name":"Time of Event (Mountain Time)","value":"18:52:54"},{"id":151,"name":"Denver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11"/>
        <v>start /low /b %USERPROFILE%\Documents\GitHub\eaglep3\Utilities\DownloadLogsFromS3.py --loco 4030 --day 2017-05-03</v>
      </c>
      <c r="AN132" s="154" t="str">
        <f t="shared" si="1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00:52:54"},{"id":29,"name":"Sharepoint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800</v>
      </c>
      <c r="B133" s="7">
        <v>4029</v>
      </c>
      <c r="C133" s="21" t="s">
        <v>210</v>
      </c>
      <c r="D133" s="21" t="s">
        <v>463</v>
      </c>
      <c r="E133" s="13">
        <v>42858.794131944444</v>
      </c>
      <c r="F133" s="13">
        <v>42858.799502314818</v>
      </c>
      <c r="G133" s="7">
        <v>1</v>
      </c>
      <c r="H133" s="21" t="s">
        <v>508</v>
      </c>
      <c r="I133" s="13">
        <v>42858.829710648148</v>
      </c>
      <c r="J133" s="7">
        <v>0</v>
      </c>
      <c r="K133" s="92" t="str">
        <f>IF(ISEVEN(B133),(B133-1)&amp;"/"&amp;B133,B133&amp;"/"&amp;(B133+1))</f>
        <v>4029/4030</v>
      </c>
      <c r="L133" s="21" t="str">
        <f>VLOOKUP(A133,'Trips&amp;Operators'!$C$1:$G$99999,5,FALSE)</f>
        <v>BROWN JACOB</v>
      </c>
      <c r="M133" s="6">
        <f>I133-F133</f>
        <v>3.0208333329937886E-2</v>
      </c>
      <c r="N133" s="7">
        <f>24*60*SUM($M133:$M133)</f>
        <v>43.499999995110556</v>
      </c>
      <c r="O133" s="7"/>
      <c r="P133" s="7"/>
      <c r="Q133" s="22"/>
      <c r="R133" s="190"/>
      <c r="S133" s="196">
        <f>SUM(U133:U133)/IF(AG133="EC",12,1)</f>
        <v>1</v>
      </c>
      <c r="T133" s="190" t="str">
        <f>IF(ISEVEN(LEFT(AD133,4)),"Southbound","NorthBound")</f>
        <v>Southbound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-05-03T18:03:33-0600',mode:absolute,to:'2017-05-03T20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3" s="192" t="str">
        <f>IF(AA133&lt;IF(AG133="EC",23,5.65),"Y","N")</f>
        <v>N</v>
      </c>
      <c r="X133" s="192">
        <f>VALUE(LEFT(AD133,4))-VALUE(LEFT(AD132,4))</f>
        <v>1</v>
      </c>
      <c r="Y133" s="192">
        <f>RIGHT(D133,LEN(D133)-4)/10000</f>
        <v>23.2986</v>
      </c>
      <c r="Z133" s="192">
        <f>RIGHT(H133,LEN(H133)-4)/10000</f>
        <v>1.47E-2</v>
      </c>
      <c r="AA133" s="192">
        <f>ABS(Z133-Y133)</f>
        <v>23.283899999999999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>IF(LEN(A133)=6,"0"&amp;A133,A133)</f>
        <v>0218-03</v>
      </c>
      <c r="AE133" s="80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133" s="77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/stypes="app*4029*20170504*" /stext=" 01:.+((SYSTEM_STATE.+slice.+state.+changed )|(ment ac)|(multiple cpu faults)|(system.+state.+changed )|(\[timeout)|(PRM\|1\|D)|(kpr)|(kdp)|(train st.+moving)|(\|lc)|(penalty))"</v>
      </c>
      <c r="AG133" s="1" t="str">
        <f>IFERROR(IF(VALUE(LEFT(AD133,2))&lt;=2,"EC",IF(OR(VALUE(LEFT(AD133,2))=8,VALUE(LEFT(AD133,2))=18),"NW","Other")),"Other")</f>
        <v>EC</v>
      </c>
      <c r="AH133" s="81" t="str">
        <f t="shared" si="9"/>
        <v>"%USERPROFILE%\Documents\GitHub\eaglep3\Utilities\RefineRTDCRunTimes.py" --tripid 218-03 --locoid 4029 --swversion DE.1.0.9.0 --startMP 204:232986 --initTime 2017-05-03T19:03:33 --startdatetime 2017-05-03T19:11:17 --delay 1 --endMP 204:147 --enddatetime 2017-05-03T19:54:47 --enforcementcount 0 &gt;&gt;C:\Users\stu\Documents\GitHub\eaglep3-reporting\EC\2017-05-03-refined-times.txt</v>
      </c>
      <c r="AI133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{"issue":{"subject":"","project_id":79,"tracker_id":40,"status_id":1,"priority_id":2,"assigned_to_id":23,"start_date":"2017-05-03","description":"","custom_fields":[{"id":1,"name":"Subdivision","value":"EC"},{"id":4,"name":"Milepost","value":"0.0147"},{"id":17,"name":"Train ID","value":"218-03"},{"id":16,"name":"Locomotive ID","value":"4029"},{"id":130,"name":"Impact","value":""},{"id":150,"name":"Time of Event (Mountain Time)","value":"19:54:47"},{"id":151,"name":"Denver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11"/>
        <v>start /low /b %USERPROFILE%\Documents\GitHub\eaglep3\Utilities\DownloadLogsFromS3.py --loco 4029 --day 2017-05-03</v>
      </c>
      <c r="AN133" s="154" t="str">
        <f t="shared" si="1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791</v>
      </c>
      <c r="B134" s="7">
        <v>4016</v>
      </c>
      <c r="C134" s="21" t="s">
        <v>210</v>
      </c>
      <c r="D134" s="21" t="s">
        <v>427</v>
      </c>
      <c r="E134" s="13">
        <v>42858.767766203702</v>
      </c>
      <c r="F134" s="13">
        <v>42858.770983796298</v>
      </c>
      <c r="G134" s="7">
        <v>1</v>
      </c>
      <c r="H134" s="21" t="s">
        <v>511</v>
      </c>
      <c r="I134" s="13">
        <v>42858.795335648145</v>
      </c>
      <c r="J134" s="7">
        <v>0</v>
      </c>
      <c r="K134" s="92" t="str">
        <f>IF(ISEVEN(B134),(B134-1)&amp;"/"&amp;B134,B134&amp;"/"&amp;(B134+1))</f>
        <v>4015/4016</v>
      </c>
      <c r="L134" s="21" t="str">
        <f>VLOOKUP(A134,'Trips&amp;Operators'!$C$1:$G$99999,5,FALSE)</f>
        <v>NEWELL JAMES</v>
      </c>
      <c r="M134" s="6">
        <f>I134-F134</f>
        <v>2.435185184731381E-2</v>
      </c>
      <c r="N134" s="7">
        <f>24*60*SUM($M134:$M134)</f>
        <v>35.066666660131887</v>
      </c>
      <c r="O134" s="7"/>
      <c r="P134" s="7"/>
      <c r="Q134" s="22"/>
      <c r="R134" s="190"/>
      <c r="S134" s="196">
        <f>SUM(U134:U134)/IF(AG134="EC",12,1)</f>
        <v>1</v>
      </c>
      <c r="T134" s="190" t="str">
        <f>IF(ISEVEN(LEFT(AD134,4)),"Southbound","NorthBound")</f>
        <v>NorthBound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-05-03T17:25:35-0600',mode:absolute,to:'2017-05-03T20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4" s="192" t="str">
        <f>IF(AA134&lt;IF(AG134="EC",23,5.65),"Y","N")</f>
        <v>N</v>
      </c>
      <c r="X134" s="192">
        <f>VALUE(LEFT(AD134,4))-VALUE(LEFT(AD133,4))</f>
        <v>1</v>
      </c>
      <c r="Y134" s="192">
        <f>RIGHT(D134,LEN(D134)-4)/10000</f>
        <v>4.53E-2</v>
      </c>
      <c r="Z134" s="192">
        <f>RIGHT(H134,LEN(H134)-4)/10000</f>
        <v>23.3291</v>
      </c>
      <c r="AA134" s="192">
        <f>ABS(Z134-Y134)</f>
        <v>23.283799999999999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>IF(LEN(A134)=6,"0"&amp;A134,A134)</f>
        <v>0219-03</v>
      </c>
      <c r="AE134" s="80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134" s="77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/stypes="app*4016*20170504*" /stext=" 01:.+((SYSTEM_STATE.+slice.+state.+changed )|(ment ac)|(multiple cpu faults)|(system.+state.+changed )|(\[timeout)|(PRM\|1\|D)|(kpr)|(kdp)|(train st.+moving)|(\|lc)|(penalty))"</v>
      </c>
      <c r="AG134" s="1" t="str">
        <f>IFERROR(IF(VALUE(LEFT(AD134,2))&lt;=2,"EC",IF(OR(VALUE(LEFT(AD134,2))=8,VALUE(LEFT(AD134,2))=18),"NW","Other")),"Other")</f>
        <v>EC</v>
      </c>
      <c r="AH134" s="81" t="str">
        <f t="shared" si="9"/>
        <v>"%USERPROFILE%\Documents\GitHub\eaglep3\Utilities\RefineRTDCRunTimes.py" --tripid 219-03 --locoid 4016 --swversion DE.1.0.9.0 --startMP 204:453 --initTime 2017-05-03T18:25:35 --startdatetime 2017-05-03T18:30:13 --delay 1 --endMP 204:233291 --enddatetime 2017-05-03T19:05:17 --enforcementcount 0 &gt;&gt;C:\Users\stu\Documents\GitHub\eaglep3-reporting\EC\2017-05-03-refined-times.txt</v>
      </c>
      <c r="AI134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{"issue":{"subject":"","project_id":79,"tracker_id":40,"status_id":1,"priority_id":2,"assigned_to_id":23,"start_date":"2017-05-03","description":"","custom_fields":[{"id":1,"name":"Subdivision","value":"EC"},{"id":4,"name":"Milepost","value":"23.3291"},{"id":17,"name":"Train ID","value":"219-03"},{"id":16,"name":"Locomotive ID","value":"4016"},{"id":130,"name":"Impact","value":""},{"id":150,"name":"Time of Event (Mountain Time)","value":"19:05:17"},{"id":151,"name":"Denver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11"/>
        <v>start /low /b %USERPROFILE%\Documents\GitHub\eaglep3\Utilities\DownloadLogsFromS3.py --loco 4016 --day 2017-05-03</v>
      </c>
      <c r="AN134" s="154" t="str">
        <f t="shared" si="1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612</v>
      </c>
      <c r="B135" s="7">
        <v>4015</v>
      </c>
      <c r="C135" s="21" t="s">
        <v>210</v>
      </c>
      <c r="D135" s="21" t="s">
        <v>510</v>
      </c>
      <c r="E135" s="13">
        <v>42858.800358796296</v>
      </c>
      <c r="F135" s="13">
        <v>42858.809861111113</v>
      </c>
      <c r="G135" s="7">
        <v>1</v>
      </c>
      <c r="H135" s="21" t="s">
        <v>203</v>
      </c>
      <c r="I135" s="13">
        <v>42858.838796296295</v>
      </c>
      <c r="J135" s="7">
        <v>0</v>
      </c>
      <c r="K135" s="92" t="str">
        <f>IF(ISEVEN(B135),(B135-1)&amp;"/"&amp;B135,B135&amp;"/"&amp;(B135+1))</f>
        <v>4015/4016</v>
      </c>
      <c r="L135" s="21" t="str">
        <f>VLOOKUP(A135,'Trips&amp;Operators'!$C$1:$G$99999,5,FALSE)</f>
        <v>NEWELL JAMES</v>
      </c>
      <c r="M135" s="6">
        <f>I135-F135</f>
        <v>2.8935185182490386E-2</v>
      </c>
      <c r="N135" s="7">
        <f>24*60*SUM($M135:$M135)</f>
        <v>41.666666662786156</v>
      </c>
      <c r="O135" s="7"/>
      <c r="P135" s="7"/>
      <c r="Q135" s="22"/>
      <c r="R135" s="190"/>
      <c r="S135" s="196">
        <f>SUM(U135:U135)/IF(AG135="EC",12,1)</f>
        <v>1</v>
      </c>
      <c r="T135" s="190" t="str">
        <f>IF(ISEVEN(LEFT(AD135,4)),"Southbound","NorthBound")</f>
        <v>Southbound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-05-03T18:12:31-0600',mode:absolute,to:'2017-05-03T21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5" s="192" t="str">
        <f>IF(AA135&lt;IF(AG135="EC",23,5.65),"Y","N")</f>
        <v>N</v>
      </c>
      <c r="X135" s="192">
        <f>VALUE(LEFT(AD135,4))-VALUE(LEFT(AD134,4))</f>
        <v>1</v>
      </c>
      <c r="Y135" s="192">
        <f>RIGHT(D135,LEN(D135)-4)/10000</f>
        <v>23.298100000000002</v>
      </c>
      <c r="Z135" s="192">
        <f>RIGHT(H135,LEN(H135)-4)/10000</f>
        <v>1.54E-2</v>
      </c>
      <c r="AA135" s="192">
        <f>ABS(Z135-Y135)</f>
        <v>23.282700000000002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>IF(LEN(A135)=6,"0"&amp;A135,A135)</f>
        <v>0220-03</v>
      </c>
      <c r="AE135" s="80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135" s="77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/stypes="app*4015*20170504*" /stext=" 02:.+((SYSTEM_STATE.+slice.+state.+changed )|(ment ac)|(multiple cpu faults)|(system.+state.+changed )|(\[timeout)|(PRM\|1\|D)|(kpr)|(kdp)|(train st.+moving)|(\|lc)|(penalty))"</v>
      </c>
      <c r="AG135" s="1" t="str">
        <f>IFERROR(IF(VALUE(LEFT(AD135,2))&lt;=2,"EC",IF(OR(VALUE(LEFT(AD135,2))=8,VALUE(LEFT(AD135,2))=18),"NW","Other")),"Other")</f>
        <v>EC</v>
      </c>
      <c r="AH135" s="81" t="str">
        <f t="shared" si="9"/>
        <v>"%USERPROFILE%\Documents\GitHub\eaglep3\Utilities\RefineRTDCRunTimes.py" --tripid 220-03 --locoid 4015 --swversion DE.1.0.9.0 --startMP 204:232981 --initTime 2017-05-03T19:12:31 --startdatetime 2017-05-03T19:26:12 --delay 1 --endMP 204:154 --enddatetime 2017-05-03T20:07:52 --enforcementcount 0 &gt;&gt;C:\Users\stu\Documents\GitHub\eaglep3-reporting\EC\2017-05-03-refined-times.txt</v>
      </c>
      <c r="AI135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{"issue":{"subject":"","project_id":79,"tracker_id":40,"status_id":1,"priority_id":2,"assigned_to_id":23,"start_date":"2017-05-03","description":"","custom_fields":[{"id":1,"name":"Subdivision","value":"EC"},{"id":4,"name":"Milepost","value":"0.0154"},{"id":17,"name":"Train ID","value":"220-03"},{"id":16,"name":"Locomotive ID","value":"4015"},{"id":130,"name":"Impact","value":""},{"id":150,"name":"Time of Event (Mountain Time)","value":"20:07:52"},{"id":151,"name":"Denver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11"/>
        <v>start /low /b %USERPROFILE%\Documents\GitHub\eaglep3\Utilities\DownloadLogsFromS3.py --loco 4015 --day 2017-05-03</v>
      </c>
      <c r="AN135" s="154" t="str">
        <f t="shared" si="1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02:07:52"},{"id":29,"name":"Sharepoint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799</v>
      </c>
      <c r="B136" s="7">
        <v>4028</v>
      </c>
      <c r="C136" s="21" t="s">
        <v>210</v>
      </c>
      <c r="D136" s="21" t="s">
        <v>204</v>
      </c>
      <c r="E136" s="13">
        <v>42858.788738425923</v>
      </c>
      <c r="F136" s="13">
        <v>42858.792060185187</v>
      </c>
      <c r="G136" s="7">
        <v>1</v>
      </c>
      <c r="H136" s="21" t="s">
        <v>903</v>
      </c>
      <c r="I136" s="13">
        <v>42858.818773148145</v>
      </c>
      <c r="J136" s="7">
        <v>0</v>
      </c>
      <c r="K136" s="92" t="str">
        <f>IF(ISEVEN(B136),(B136-1)&amp;"/"&amp;B136,B136&amp;"/"&amp;(B136+1))</f>
        <v>4027/4028</v>
      </c>
      <c r="L136" s="21" t="str">
        <f>VLOOKUP(A136,'Trips&amp;Operators'!$C$1:$G$99999,5,FALSE)</f>
        <v>JACKSON WILLIAM</v>
      </c>
      <c r="M136" s="6">
        <f>I136-F136</f>
        <v>2.6712962957390118E-2</v>
      </c>
      <c r="N136" s="7">
        <f>24*60*SUM($M136:$M136)</f>
        <v>38.46666665864177</v>
      </c>
      <c r="O136" s="7"/>
      <c r="P136" s="7"/>
      <c r="Q136" s="22"/>
      <c r="R136" s="190"/>
      <c r="S136" s="196">
        <f>SUM(U136:U136)/IF(AG136="EC",12,1)</f>
        <v>1</v>
      </c>
      <c r="T136" s="190" t="str">
        <f>IF(ISEVEN(LEFT(AD136,4)),"Southbound","NorthBound")</f>
        <v>NorthBound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-05-03T17:55:47-0600',mode:absolute,to:'2017-05-03T20:39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6" s="192" t="str">
        <f>IF(AA136&lt;IF(AG136="EC",23,5.65),"Y","N")</f>
        <v>N</v>
      </c>
      <c r="X136" s="192">
        <f>VALUE(LEFT(AD136,4))-VALUE(LEFT(AD135,4))</f>
        <v>1</v>
      </c>
      <c r="Y136" s="192">
        <f>RIGHT(D136,LEN(D136)-4)/10000</f>
        <v>4.5699999999999998E-2</v>
      </c>
      <c r="Z136" s="192">
        <f>RIGHT(H136,LEN(H136)-4)/10000</f>
        <v>23.344000000000001</v>
      </c>
      <c r="AA136" s="192">
        <f>ABS(Z136-Y136)</f>
        <v>23.298300000000001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>IF(LEN(A136)=6,"0"&amp;A136,A136)</f>
        <v>0221-03</v>
      </c>
      <c r="AE136" s="80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136" s="77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/stypes="app*4028*20170504*" /stext=" 01:.+((SYSTEM_STATE.+slice.+state.+changed )|(ment ac)|(multiple cpu faults)|(system.+state.+changed )|(\[timeout)|(PRM\|1\|D)|(kpr)|(kdp)|(train st.+moving)|(\|lc)|(penalty))"</v>
      </c>
      <c r="AG136" s="1" t="str">
        <f>IFERROR(IF(VALUE(LEFT(AD136,2))&lt;=2,"EC",IF(OR(VALUE(LEFT(AD136,2))=8,VALUE(LEFT(AD136,2))=18),"NW","Other")),"Other")</f>
        <v>EC</v>
      </c>
      <c r="AH136" s="81" t="str">
        <f t="shared" si="9"/>
        <v>"%USERPROFILE%\Documents\GitHub\eaglep3\Utilities\RefineRTDCRunTimes.py" --tripid 221-03 --locoid 4028 --swversion DE.1.0.9.0 --startMP 204:457 --initTime 2017-05-03T18:55:47 --startdatetime 2017-05-03T19:00:34 --delay 1 --endMP 204:233440 --enddatetime 2017-05-03T19:39:02 --enforcementcount 0 &gt;&gt;C:\Users\stu\Documents\GitHub\eaglep3-reporting\EC\2017-05-03-refined-times.txt</v>
      </c>
      <c r="AI136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{"issue":{"subject":"","project_id":79,"tracker_id":40,"status_id":1,"priority_id":2,"assigned_to_id":23,"start_date":"2017-05-03","description":"","custom_fields":[{"id":1,"name":"Subdivision","value":"EC"},{"id":4,"name":"Milepost","value":"23.344"},{"id":17,"name":"Train ID","value":"221-03"},{"id":16,"name":"Locomotive ID","value":"4028"},{"id":130,"name":"Impact","value":""},{"id":150,"name":"Time of Event (Mountain Time)","value":"19:39:02"},{"id":151,"name":"Denver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11"/>
        <v>start /low /b %USERPROFILE%\Documents\GitHub\eaglep3\Utilities\DownloadLogsFromS3.py --loco 4028 --day 2017-05-03</v>
      </c>
      <c r="AN136" s="154" t="str">
        <f t="shared" si="1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01:39:02"},{"id":29,"name":"Sharepoint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806</v>
      </c>
      <c r="B137" s="7">
        <v>4027</v>
      </c>
      <c r="C137" s="21" t="s">
        <v>210</v>
      </c>
      <c r="D137" s="21" t="s">
        <v>904</v>
      </c>
      <c r="E137" s="13">
        <v>42858.825162037036</v>
      </c>
      <c r="F137" s="13">
        <v>42858.831203703703</v>
      </c>
      <c r="G137" s="7">
        <v>1</v>
      </c>
      <c r="H137" s="21" t="s">
        <v>422</v>
      </c>
      <c r="I137" s="13">
        <v>42858.861863425926</v>
      </c>
      <c r="J137" s="7">
        <v>0</v>
      </c>
      <c r="K137" s="92" t="str">
        <f>IF(ISEVEN(B137),(B137-1)&amp;"/"&amp;B137,B137&amp;"/"&amp;(B137+1))</f>
        <v>4027/4028</v>
      </c>
      <c r="L137" s="21" t="str">
        <f>VLOOKUP(A137,'Trips&amp;Operators'!$C$1:$G$99999,5,FALSE)</f>
        <v>JACKSON WILLIAM</v>
      </c>
      <c r="M137" s="6">
        <f>I137-F137</f>
        <v>3.0659722222480923E-2</v>
      </c>
      <c r="N137" s="7">
        <f>24*60*SUM($M137:$M137)</f>
        <v>44.150000000372529</v>
      </c>
      <c r="O137" s="7"/>
      <c r="P137" s="7"/>
      <c r="Q137" s="22"/>
      <c r="R137" s="190"/>
      <c r="S137" s="196">
        <f>SUM(U137:U137)/IF(AG137="EC",12,1)</f>
        <v>1</v>
      </c>
      <c r="T137" s="190" t="str">
        <f>IF(ISEVEN(LEFT(AD137,4)),"Southbound","NorthBound")</f>
        <v>Southbound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-05-03T18:48:14-0600',mode:absolute,to:'2017-05-03T21:41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7" s="192" t="str">
        <f>IF(AA137&lt;IF(AG137="EC",23,5.65),"Y","N")</f>
        <v>N</v>
      </c>
      <c r="X137" s="192">
        <f>VALUE(LEFT(AD137,4))-VALUE(LEFT(AD136,4))</f>
        <v>1</v>
      </c>
      <c r="Y137" s="192">
        <f>RIGHT(D137,LEN(D137)-4)/10000</f>
        <v>23.307700000000001</v>
      </c>
      <c r="Z137" s="192">
        <f>RIGHT(H137,LEN(H137)-4)/10000</f>
        <v>1.5599999999999999E-2</v>
      </c>
      <c r="AA137" s="192">
        <f>ABS(Z137-Y137)</f>
        <v>23.292100000000001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>IF(LEN(A137)=6,"0"&amp;A137,A137)</f>
        <v>0222-03</v>
      </c>
      <c r="AE137" s="80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137" s="77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/stypes="app*4027*20170504*" /stext=" 02:.+((SYSTEM_STATE.+slice.+state.+changed )|(ment ac)|(multiple cpu faults)|(system.+state.+changed )|(\[timeout)|(PRM\|1\|D)|(kpr)|(kdp)|(train st.+moving)|(\|lc)|(penalty))"</v>
      </c>
      <c r="AG137" s="1" t="str">
        <f>IFERROR(IF(VALUE(LEFT(AD137,2))&lt;=2,"EC",IF(OR(VALUE(LEFT(AD137,2))=8,VALUE(LEFT(AD137,2))=18),"NW","Other")),"Other")</f>
        <v>EC</v>
      </c>
      <c r="AH137" s="81" t="str">
        <f t="shared" si="9"/>
        <v>"%USERPROFILE%\Documents\GitHub\eaglep3\Utilities\RefineRTDCRunTimes.py" --tripid 222-03 --locoid 4027 --swversion DE.1.0.9.0 --startMP 204:233077 --initTime 2017-05-03T19:48:14 --startdatetime 2017-05-03T19:56:56 --delay 1 --endMP 204:156 --enddatetime 2017-05-03T20:41:05 --enforcementcount 0 &gt;&gt;C:\Users\stu\Documents\GitHub\eaglep3-reporting\EC\2017-05-03-refined-times.txt</v>
      </c>
      <c r="AI137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{"issue":{"subject":"","project_id":79,"tracker_id":40,"status_id":1,"priority_id":2,"assigned_to_id":23,"start_date":"2017-05-03","description":"","custom_fields":[{"id":1,"name":"Subdivision","value":"EC"},{"id":4,"name":"Milepost","value":"0.0156"},{"id":17,"name":"Train ID","value":"222-03"},{"id":16,"name":"Locomotive ID","value":"4027"},{"id":130,"name":"Impact","value":""},{"id":150,"name":"Time of Event (Mountain Time)","value":"20:41:05"},{"id":151,"name":"Denver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11"/>
        <v>start /low /b %USERPROFILE%\Documents\GitHub\eaglep3\Utilities\DownloadLogsFromS3.py --loco 4027 --day 2017-05-03</v>
      </c>
      <c r="AN137" s="154" t="str">
        <f t="shared" si="1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02:41:05"},{"id":29,"name":"Sharepoint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614</v>
      </c>
      <c r="B138" s="7">
        <v>4024</v>
      </c>
      <c r="C138" s="21" t="s">
        <v>210</v>
      </c>
      <c r="D138" s="21" t="s">
        <v>554</v>
      </c>
      <c r="E138" s="13">
        <v>42858.807199074072</v>
      </c>
      <c r="F138" s="13">
        <v>42858.813043981485</v>
      </c>
      <c r="G138" s="7">
        <v>2</v>
      </c>
      <c r="H138" s="21" t="s">
        <v>514</v>
      </c>
      <c r="I138" s="13">
        <v>42858.838541666664</v>
      </c>
      <c r="J138" s="7">
        <v>0</v>
      </c>
      <c r="K138" s="92" t="str">
        <f>IF(ISEVEN(B138),(B138-1)&amp;"/"&amp;B138,B138&amp;"/"&amp;(B138+1))</f>
        <v>4023/4024</v>
      </c>
      <c r="L138" s="21" t="str">
        <f>VLOOKUP(A138,'Trips&amp;Operators'!$C$1:$G$99999,5,FALSE)</f>
        <v>STORY SAMANTHA</v>
      </c>
      <c r="M138" s="6">
        <f>I138-F138</f>
        <v>2.5497685179288965E-2</v>
      </c>
      <c r="N138" s="7">
        <f>24*60*SUM($M138:$M138)</f>
        <v>36.716666658176109</v>
      </c>
      <c r="O138" s="7"/>
      <c r="P138" s="7"/>
      <c r="Q138" s="22"/>
      <c r="R138" s="190"/>
      <c r="S138" s="196">
        <f>SUM(U138:U138)/IF(AG138="EC",12,1)</f>
        <v>1</v>
      </c>
      <c r="T138" s="190" t="str">
        <f>IF(ISEVEN(LEFT(AD138,4)),"Southbound","NorthBound")</f>
        <v>NorthBound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-05-03T18:22:22-0600',mode:absolute,to:'2017-05-03T21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8" s="192" t="str">
        <f>IF(AA138&lt;IF(AG138="EC",23,5.65),"Y","N")</f>
        <v>N</v>
      </c>
      <c r="X138" s="192">
        <f>VALUE(LEFT(AD138,4))-VALUE(LEFT(AD137,4))</f>
        <v>1</v>
      </c>
      <c r="Y138" s="192">
        <f>RIGHT(D138,LEN(D138)-4)/10000</f>
        <v>4.2700000000000002E-2</v>
      </c>
      <c r="Z138" s="192">
        <f>RIGHT(H138,LEN(H138)-4)/10000</f>
        <v>23.333200000000001</v>
      </c>
      <c r="AA138" s="192">
        <f>ABS(Z138-Y138)</f>
        <v>23.290500000000002</v>
      </c>
      <c r="AB138" s="57" t="str">
        <f>VLOOKUP(A138,Enforcements!$C$7:$K$13,8,0)</f>
        <v>Bulletin (2)</v>
      </c>
      <c r="AC138" s="53" t="str">
        <f>VLOOKUP(A138,Enforcements!$C$7:$E$13,3,0)</f>
        <v>GRADE CROSSING</v>
      </c>
      <c r="AD138" s="54" t="str">
        <f>IF(LEN(A138)=6,"0"&amp;A138,A138)</f>
        <v>0223-03</v>
      </c>
      <c r="AE138" s="80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AF138" s="77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/stypes="app*4024*20170504*" /stext=" 02:.+((SYSTEM_STATE.+slice.+state.+changed )|(ment ac)|(multiple cpu faults)|(system.+state.+changed )|(\[timeout)|(PRM\|1\|D)|(kpr)|(kdp)|(train st.+moving)|(\|lc)|(penalty))"</v>
      </c>
      <c r="AG138" s="1" t="str">
        <f>IFERROR(IF(VALUE(LEFT(AD138,2))&lt;=2,"EC",IF(OR(VALUE(LEFT(AD138,2))=8,VALUE(LEFT(AD138,2))=18),"NW","Other")),"Other")</f>
        <v>EC</v>
      </c>
      <c r="AH138" s="81" t="str">
        <f t="shared" si="9"/>
        <v>"%USERPROFILE%\Documents\GitHub\eaglep3\Utilities\RefineRTDCRunTimes.py" --tripid 223-03 --locoid 4024 --swversion DE.1.0.9.0 --startMP 204:427 --initTime 2017-05-03T19:22:22 --startdatetime 2017-05-03T19:30:47 --delay 2 --endMP 204:233332 --enddatetime 2017-05-03T20:07:30 --enforcementcount 0 &gt;&gt;C:\Users\stu\Documents\GitHub\eaglep3-reporting\EC\2017-05-03-refined-times.txt</v>
      </c>
      <c r="AI138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{"issue":{"subject":"","project_id":79,"tracker_id":40,"status_id":1,"priority_id":2,"assigned_to_id":23,"start_date":"2017-05-03","description":"","custom_fields":[{"id":1,"name":"Subdivision","value":"EC"},{"id":4,"name":"Milepost","value":"23.3332"},{"id":17,"name":"Train ID","value":"223-03"},{"id":16,"name":"Locomotive ID","value":"4024"},{"id":130,"name":"Impact","value":""},{"id":150,"name":"Time of Event (Mountain Time)","value":"20:07:30"},{"id":151,"name":"Denver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11"/>
        <v>start /low /b %USERPROFILE%\Documents\GitHub\eaglep3\Utilities\DownloadLogsFromS3.py --loco 4024 --day 2017-05-03</v>
      </c>
      <c r="AN138" s="154" t="str">
        <f t="shared" si="1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02:07:30"},{"id":29,"name":"Sharepoint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809</v>
      </c>
      <c r="B139" s="7">
        <v>4023</v>
      </c>
      <c r="C139" s="21" t="s">
        <v>210</v>
      </c>
      <c r="D139" s="21" t="s">
        <v>905</v>
      </c>
      <c r="E139" s="13">
        <v>42858.843136574076</v>
      </c>
      <c r="F139" s="13">
        <v>42858.852060185185</v>
      </c>
      <c r="G139" s="7">
        <v>1</v>
      </c>
      <c r="H139" s="21" t="s">
        <v>405</v>
      </c>
      <c r="I139" s="13">
        <v>42858.880474537036</v>
      </c>
      <c r="J139" s="7">
        <v>0</v>
      </c>
      <c r="K139" s="92" t="str">
        <f>IF(ISEVEN(B139),(B139-1)&amp;"/"&amp;B139,B139&amp;"/"&amp;(B139+1))</f>
        <v>4023/4024</v>
      </c>
      <c r="L139" s="21" t="str">
        <f>VLOOKUP(A139,'Trips&amp;Operators'!$C$1:$G$99999,5,FALSE)</f>
        <v>STORY SAMANTHA</v>
      </c>
      <c r="M139" s="6">
        <f>I139-F139</f>
        <v>2.8414351851097308E-2</v>
      </c>
      <c r="N139" s="7">
        <f>24*60*SUM($M139:$M139)</f>
        <v>40.916666665580124</v>
      </c>
      <c r="O139" s="7"/>
      <c r="P139" s="7"/>
      <c r="Q139" s="22"/>
      <c r="R139" s="190"/>
      <c r="S139" s="196">
        <f>SUM(U139:U139)/IF(AG139="EC",12,1)</f>
        <v>1</v>
      </c>
      <c r="T139" s="190" t="str">
        <f>IF(ISEVEN(LEFT(AD139,4)),"Southbound","NorthBound")</f>
        <v>Southbound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-05-03T19:14:07-0600',mode:absolute,to:'2017-05-03T22:07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9" s="192" t="str">
        <f>IF(AA139&lt;IF(AG139="EC",23,5.65),"Y","N")</f>
        <v>N</v>
      </c>
      <c r="X139" s="192">
        <f>VALUE(LEFT(AD139,4))-VALUE(LEFT(AD138,4))</f>
        <v>1</v>
      </c>
      <c r="Y139" s="192">
        <f>RIGHT(D139,LEN(D139)-4)/10000</f>
        <v>23.303599999999999</v>
      </c>
      <c r="Z139" s="192">
        <f>RIGHT(H139,LEN(H139)-4)/10000</f>
        <v>1.4999999999999999E-2</v>
      </c>
      <c r="AA139" s="192">
        <f>ABS(Z139-Y139)</f>
        <v>23.288599999999999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>IF(LEN(A139)=6,"0"&amp;A139,A139)</f>
        <v>0224-03</v>
      </c>
      <c r="AE139" s="80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139" s="77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/stypes="app*4023*20170504*" /stext=" 03:.+((SYSTEM_STATE.+slice.+state.+changed )|(ment ac)|(multiple cpu faults)|(system.+state.+changed )|(\[timeout)|(PRM\|1\|D)|(kpr)|(kdp)|(train st.+moving)|(\|lc)|(penalty))"</v>
      </c>
      <c r="AG139" s="1" t="str">
        <f>IFERROR(IF(VALUE(LEFT(AD139,2))&lt;=2,"EC",IF(OR(VALUE(LEFT(AD139,2))=8,VALUE(LEFT(AD139,2))=18),"NW","Other")),"Other")</f>
        <v>EC</v>
      </c>
      <c r="AH139" s="81" t="str">
        <f t="shared" si="9"/>
        <v>"%USERPROFILE%\Documents\GitHub\eaglep3\Utilities\RefineRTDCRunTimes.py" --tripid 224-03 --locoid 4023 --swversion DE.1.0.9.0 --startMP 204:233036 --initTime 2017-05-03T20:14:07 --startdatetime 2017-05-03T20:26:58 --delay 1 --endMP 204:150 --enddatetime 2017-05-03T21:07:53 --enforcementcount 0 &gt;&gt;C:\Users\stu\Documents\GitHub\eaglep3-reporting\EC\2017-05-03-refined-times.txt</v>
      </c>
      <c r="AI139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{"issue":{"subject":"","project_id":79,"tracker_id":40,"status_id":1,"priority_id":2,"assigned_to_id":23,"start_date":"2017-05-03","description":"","custom_fields":[{"id":1,"name":"Subdivision","value":"EC"},{"id":4,"name":"Milepost","value":"0.015"},{"id":17,"name":"Train ID","value":"224-03"},{"id":16,"name":"Locomotive ID","value":"4023"},{"id":130,"name":"Impact","value":""},{"id":150,"name":"Time of Event (Mountain Time)","value":"21:07:53"},{"id":151,"name":"Denver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11"/>
        <v>start /low /b %USERPROFILE%\Documents\GitHub\eaglep3\Utilities\DownloadLogsFromS3.py --loco 4023 --day 2017-05-03</v>
      </c>
      <c r="AN139" s="154" t="str">
        <f t="shared" si="1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03:07:53"},{"id":29,"name":"Sharepoint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807</v>
      </c>
      <c r="B140" s="7">
        <v>4030</v>
      </c>
      <c r="C140" s="21" t="s">
        <v>210</v>
      </c>
      <c r="D140" s="21" t="s">
        <v>419</v>
      </c>
      <c r="E140" s="13">
        <v>42858.831145833334</v>
      </c>
      <c r="F140" s="13">
        <v>42858.833495370367</v>
      </c>
      <c r="G140" s="7">
        <v>1</v>
      </c>
      <c r="H140" s="21" t="s">
        <v>423</v>
      </c>
      <c r="I140" s="13">
        <v>42858.859409722223</v>
      </c>
      <c r="J140" s="7">
        <v>0</v>
      </c>
      <c r="K140" s="92" t="str">
        <f>IF(ISEVEN(B140),(B140-1)&amp;"/"&amp;B140,B140&amp;"/"&amp;(B140+1))</f>
        <v>4029/4030</v>
      </c>
      <c r="L140" s="21" t="str">
        <f>VLOOKUP(A140,'Trips&amp;Operators'!$C$1:$G$99999,5,FALSE)</f>
        <v>BROWN JACOB</v>
      </c>
      <c r="M140" s="6">
        <f>I140-F140</f>
        <v>2.5914351856044959E-2</v>
      </c>
      <c r="N140" s="7">
        <f>24*60*SUM($M140:$M140)</f>
        <v>37.316666672704741</v>
      </c>
      <c r="O140" s="7"/>
      <c r="P140" s="7"/>
      <c r="Q140" s="22"/>
      <c r="R140" s="190"/>
      <c r="S140" s="196">
        <f>SUM(U140:U140)/IF(AG140="EC",12,1)</f>
        <v>1</v>
      </c>
      <c r="T140" s="190" t="str">
        <f>IF(ISEVEN(LEFT(AD140,4)),"Southbound","NorthBound")</f>
        <v>NorthBound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-05-03T18:56:51-0600',mode:absolute,to:'2017-05-03T21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0" s="192" t="str">
        <f>IF(AA140&lt;IF(AG140="EC",23,5.65),"Y","N")</f>
        <v>N</v>
      </c>
      <c r="X140" s="192">
        <f t="shared" ref="X140:X148" si="13">VALUE(LEFT(AD140,4))-VALUE(LEFT(AD139,4))</f>
        <v>1</v>
      </c>
      <c r="Y140" s="192">
        <f>RIGHT(D140,LEN(D140)-4)/10000</f>
        <v>4.6399999999999997E-2</v>
      </c>
      <c r="Z140" s="192">
        <f>RIGHT(H140,LEN(H140)-4)/10000</f>
        <v>23.331</v>
      </c>
      <c r="AA140" s="192">
        <f>ABS(Z140-Y140)</f>
        <v>23.284600000000001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>IF(LEN(A140)=6,"0"&amp;A140,A140)</f>
        <v>0225-03</v>
      </c>
      <c r="AE140" s="80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140" s="77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/stypes="app*4030*20170504*" /stext=" 02:.+((SYSTEM_STATE.+slice.+state.+changed )|(ment ac)|(multiple cpu faults)|(system.+state.+changed )|(\[timeout)|(PRM\|1\|D)|(kpr)|(kdp)|(train st.+moving)|(\|lc)|(penalty))"</v>
      </c>
      <c r="AG140" s="1" t="str">
        <f>IFERROR(IF(VALUE(LEFT(AD140,2))&lt;=2,"EC",IF(OR(VALUE(LEFT(AD140,2))=8,VALUE(LEFT(AD140,2))=18),"NW","Other")),"Other")</f>
        <v>EC</v>
      </c>
      <c r="AH140" s="81" t="str">
        <f t="shared" si="9"/>
        <v>"%USERPROFILE%\Documents\GitHub\eaglep3\Utilities\RefineRTDCRunTimes.py" --tripid 225-03 --locoid 4030 --swversion DE.1.0.9.0 --startMP 204:464 --initTime 2017-05-03T19:56:51 --startdatetime 2017-05-03T20:00:14 --delay 1 --endMP 204:233310 --enddatetime 2017-05-03T20:37:33 --enforcementcount 0 &gt;&gt;C:\Users\stu\Documents\GitHub\eaglep3-reporting\EC\2017-05-03-refined-times.txt</v>
      </c>
      <c r="AI140" s="99" t="str">
        <f t="shared" si="10"/>
        <v>echo {"issue":{"subject":"","project_id":79,"tracker_id":40,"status_id":1,"priority_id":2,"assigned_to_id":23,"start_date":"2017-05-03","description":"","custom_fields":[{"id":1,"name":"Subdivision","value":"EC"},{"id":4,"name":"Milepost","value":"23.331"},{"id":17,"name":"Train ID","value":"225-03"},{"id":16,"name":"Locomotive ID","value":"4030"},{"id":130,"name":"Impact","value":""},{"id":150,"name":"Time of Event (Mountain Time)","value":"20:37:33"},{"id":151,"name":"Denver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11"/>
        <v>start /low /b %USERPROFILE%\Documents\GitHub\eaglep3\Utilities\DownloadLogsFromS3.py --loco 4030 --day 2017-05-03</v>
      </c>
      <c r="AN140" s="154" t="str">
        <f t="shared" si="12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02:37:33"},{"id":29,"name":"Sharepoint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615</v>
      </c>
      <c r="B141" s="7">
        <v>4029</v>
      </c>
      <c r="C141" s="21" t="s">
        <v>210</v>
      </c>
      <c r="D141" s="21" t="s">
        <v>906</v>
      </c>
      <c r="E141" s="13">
        <v>42858.868090277778</v>
      </c>
      <c r="F141" s="13">
        <v>42858.872534722221</v>
      </c>
      <c r="G141" s="7">
        <v>1</v>
      </c>
      <c r="H141" s="21" t="s">
        <v>464</v>
      </c>
      <c r="I141" s="13">
        <v>42858.902060185188</v>
      </c>
      <c r="J141" s="7">
        <v>0</v>
      </c>
      <c r="K141" s="92" t="str">
        <f>IF(ISEVEN(B141),(B141-1)&amp;"/"&amp;B141,B141&amp;"/"&amp;(B141+1))</f>
        <v>4029/4030</v>
      </c>
      <c r="L141" s="21" t="str">
        <f>VLOOKUP(A141,'Trips&amp;Operators'!$C$1:$G$99999,5,FALSE)</f>
        <v>BROWN JACOB</v>
      </c>
      <c r="M141" s="6">
        <f>I141-F141</f>
        <v>2.9525462967285421E-2</v>
      </c>
      <c r="N141" s="7">
        <f>24*60*SUM($M141:$M141)</f>
        <v>42.516666672891006</v>
      </c>
      <c r="O141" s="7"/>
      <c r="P141" s="7"/>
      <c r="Q141" s="22"/>
      <c r="R141" s="190"/>
      <c r="S141" s="196">
        <f>SUM(U141:U141)/IF(AG141="EC",12,1)</f>
        <v>1</v>
      </c>
      <c r="T141" s="190" t="str">
        <f>IF(ISEVEN(LEFT(AD141,4)),"Southbound","NorthBound")</f>
        <v>Southbound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-05-03T19:50:03-0600',mode:absolute,to:'2017-05-03T22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1" s="192" t="str">
        <f>IF(AA141&lt;IF(AG141="EC",23,5.65),"Y","N")</f>
        <v>N</v>
      </c>
      <c r="X141" s="192">
        <f t="shared" si="13"/>
        <v>1</v>
      </c>
      <c r="Y141" s="192">
        <f>RIGHT(D141,LEN(D141)-4)/10000</f>
        <v>23.2987</v>
      </c>
      <c r="Z141" s="192">
        <f>RIGHT(H141,LEN(H141)-4)/10000</f>
        <v>1.41E-2</v>
      </c>
      <c r="AA141" s="192">
        <f>ABS(Z141-Y141)</f>
        <v>23.284600000000001</v>
      </c>
      <c r="AB141" s="57" t="str">
        <f>VLOOKUP(A141,Enforcements!$C$7:$K$13,8,0)</f>
        <v>Bulletin (2)</v>
      </c>
      <c r="AC141" s="53" t="str">
        <f>VLOOKUP(A141,Enforcements!$C$7:$E$13,3,0)</f>
        <v>GRADE CROSSING</v>
      </c>
      <c r="AD141" s="54" t="str">
        <f>IF(LEN(A141)=6,"0"&amp;A141,A141)</f>
        <v>0226-03</v>
      </c>
      <c r="AE141" s="80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141" s="77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/stypes="app*4029*20170504*" /stext=" 03:.+((SYSTEM_STATE.+slice.+state.+changed )|(ment ac)|(multiple cpu faults)|(system.+state.+changed )|(\[timeout)|(PRM\|1\|D)|(kpr)|(kdp)|(train st.+moving)|(\|lc)|(penalty))"</v>
      </c>
      <c r="AG141" s="1" t="str">
        <f>IFERROR(IF(VALUE(LEFT(AD141,2))&lt;=2,"EC",IF(OR(VALUE(LEFT(AD141,2))=8,VALUE(LEFT(AD141,2))=18),"NW","Other")),"Other")</f>
        <v>EC</v>
      </c>
      <c r="AH141" s="81" t="str">
        <f t="shared" ref="AH141:AH204" si="14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226-03 --locoid 4029 --swversion DE.1.0.9.0 --startMP 204:232987 --initTime 2017-05-03T20:50:03 --startdatetime 2017-05-03T20:56:27 --delay 1 --endMP 204:141 --enddatetime 2017-05-03T21:38:58 --enforcementcount 0 &gt;&gt;C:\Users\stu\Documents\GitHub\eaglep3-reporting\EC\2017-05-03-refined-times.txt</v>
      </c>
      <c r="AI141" s="99" t="str">
        <f t="shared" ref="AI141:AI204" si="15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{"issue":{"subject":"","project_id":79,"tracker_id":40,"status_id":1,"priority_id":2,"assigned_to_id":23,"start_date":"2017-05-03","description":"","custom_fields":[{"id":1,"name":"Subdivision","value":"EC"},{"id":4,"name":"Milepost","value":"0.0141"},{"id":17,"name":"Train ID","value":"226-03"},{"id":16,"name":"Locomotive ID","value":"4029"},{"id":130,"name":"Impact","value":""},{"id":150,"name":"Time of Event (Mountain Time)","value":"21:38:58"},{"id":151,"name":"Denver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ref="AM141:AM204" si="16">"start /low /b "&amp;dls3logs&amp;" --loco "&amp;B141&amp;" --day "&amp;TEXT(F141,"YYYY-MM-DD")</f>
        <v>start /low /b %USERPROFILE%\Documents\GitHub\eaglep3\Utilities\DownloadLogsFromS3.py --loco 4029 --day 2017-05-03</v>
      </c>
      <c r="AN141" s="154" t="str">
        <f t="shared" ref="AN141:AN204" si="17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03:38:58"},{"id":29,"name":"Sharepoint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808</v>
      </c>
      <c r="B142" s="7">
        <v>4016</v>
      </c>
      <c r="C142" s="21" t="s">
        <v>210</v>
      </c>
      <c r="D142" s="21" t="s">
        <v>868</v>
      </c>
      <c r="E142" s="13">
        <v>42858.850972222222</v>
      </c>
      <c r="F142" s="13">
        <v>42858.854305555556</v>
      </c>
      <c r="G142" s="7">
        <v>1</v>
      </c>
      <c r="H142" s="21" t="s">
        <v>907</v>
      </c>
      <c r="I142" s="13">
        <v>42858.881990740738</v>
      </c>
      <c r="J142" s="7">
        <v>0</v>
      </c>
      <c r="K142" s="92" t="str">
        <f>IF(ISEVEN(B142),(B142-1)&amp;"/"&amp;B142,B142&amp;"/"&amp;(B142+1))</f>
        <v>4015/4016</v>
      </c>
      <c r="L142" s="21" t="str">
        <f>VLOOKUP(A142,'Trips&amp;Operators'!$C$1:$G$99999,5,FALSE)</f>
        <v>NEWELL JAMES</v>
      </c>
      <c r="M142" s="6">
        <f>I142-F142</f>
        <v>2.7685185181326233E-2</v>
      </c>
      <c r="N142" s="7">
        <f>24*60*SUM($M142:$M142)</f>
        <v>39.866666661109775</v>
      </c>
      <c r="O142" s="7"/>
      <c r="P142" s="7"/>
      <c r="Q142" s="22"/>
      <c r="R142" s="190"/>
      <c r="S142" s="196">
        <f>SUM(U142:U142)/IF(AG142="EC",12,1)</f>
        <v>1</v>
      </c>
      <c r="T142" s="190" t="str">
        <f>IF(ISEVEN(LEFT(AD142,4)),"Southbound","NorthBound")</f>
        <v>NorthBound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-05-03T19:25:24-0600',mode:absolute,to:'2017-05-03T22:10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2" s="192" t="str">
        <f>IF(AA142&lt;IF(AG142="EC",23,5.65),"Y","N")</f>
        <v>N</v>
      </c>
      <c r="X142" s="192">
        <f t="shared" si="13"/>
        <v>1</v>
      </c>
      <c r="Y142" s="192">
        <f>RIGHT(D142,LEN(D142)-4)/10000</f>
        <v>4.8899999999999999E-2</v>
      </c>
      <c r="Z142" s="192">
        <f>RIGHT(H142,LEN(H142)-4)/10000</f>
        <v>23.329799999999999</v>
      </c>
      <c r="AA142" s="192">
        <f>ABS(Z142-Y142)</f>
        <v>23.280899999999999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>IF(LEN(A142)=6,"0"&amp;A142,A142)</f>
        <v>0227-03</v>
      </c>
      <c r="AE142" s="80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142" s="77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/stypes="app*4016*20170504*" /stext=" 03:.+((SYSTEM_STATE.+slice.+state.+changed )|(ment ac)|(multiple cpu faults)|(system.+state.+changed )|(\[timeout)|(PRM\|1\|D)|(kpr)|(kdp)|(train st.+moving)|(\|lc)|(penalty))"</v>
      </c>
      <c r="AG142" s="1" t="str">
        <f>IFERROR(IF(VALUE(LEFT(AD142,2))&lt;=2,"EC",IF(OR(VALUE(LEFT(AD142,2))=8,VALUE(LEFT(AD142,2))=18),"NW","Other")),"Other")</f>
        <v>EC</v>
      </c>
      <c r="AH142" s="81" t="str">
        <f t="shared" si="14"/>
        <v>"%USERPROFILE%\Documents\GitHub\eaglep3\Utilities\RefineRTDCRunTimes.py" --tripid 227-03 --locoid 4016 --swversion DE.1.0.9.0 --startMP 204:489 --initTime 2017-05-03T20:25:24 --startdatetime 2017-05-03T20:30:12 --delay 1 --endMP 204:233298 --enddatetime 2017-05-03T21:10:04 --enforcementcount 0 &gt;&gt;C:\Users\stu\Documents\GitHub\eaglep3-reporting\EC\2017-05-03-refined-times.txt</v>
      </c>
      <c r="AI142" s="99" t="str">
        <f t="shared" si="15"/>
        <v>echo {"issue":{"subject":"","project_id":79,"tracker_id":40,"status_id":1,"priority_id":2,"assigned_to_id":23,"start_date":"2017-05-03","description":"","custom_fields":[{"id":1,"name":"Subdivision","value":"EC"},{"id":4,"name":"Milepost","value":"23.3298"},{"id":17,"name":"Train ID","value":"227-03"},{"id":16,"name":"Locomotive ID","value":"4016"},{"id":130,"name":"Impact","value":""},{"id":150,"name":"Time of Event (Mountain Time)","value":"21:10:04"},{"id":151,"name":"Denver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si="16"/>
        <v>start /low /b %USERPROFILE%\Documents\GitHub\eaglep3\Utilities\DownloadLogsFromS3.py --loco 4016 --day 2017-05-03</v>
      </c>
      <c r="AN142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03:10:04"},{"id":29,"name":"Sharepoint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815</v>
      </c>
      <c r="B143" s="7">
        <v>4015</v>
      </c>
      <c r="C143" s="21" t="s">
        <v>210</v>
      </c>
      <c r="D143" s="21" t="s">
        <v>908</v>
      </c>
      <c r="E143" s="13">
        <v>42858.888657407406</v>
      </c>
      <c r="F143" s="13">
        <v>42858.893437500003</v>
      </c>
      <c r="G143" s="7">
        <v>1</v>
      </c>
      <c r="H143" s="21" t="s">
        <v>385</v>
      </c>
      <c r="I143" s="13">
        <v>42858.924375000002</v>
      </c>
      <c r="J143" s="7">
        <v>0</v>
      </c>
      <c r="K143" s="92" t="str">
        <f>IF(ISEVEN(B143),(B143-1)&amp;"/"&amp;B143,B143&amp;"/"&amp;(B143+1))</f>
        <v>4015/4016</v>
      </c>
      <c r="L143" s="21" t="str">
        <f>VLOOKUP(A143,'Trips&amp;Operators'!$C$1:$G$99999,5,FALSE)</f>
        <v>FORTUNATO FRANK</v>
      </c>
      <c r="M143" s="6">
        <f>I143-F143</f>
        <v>3.0937499999708962E-2</v>
      </c>
      <c r="N143" s="7">
        <f>24*60*SUM($M143:$M143)</f>
        <v>44.549999999580905</v>
      </c>
      <c r="O143" s="7"/>
      <c r="P143" s="7"/>
      <c r="Q143" s="22"/>
      <c r="R143" s="190"/>
      <c r="S143" s="196">
        <f>SUM(U143:U143)/IF(AG143="EC",12,1)</f>
        <v>1</v>
      </c>
      <c r="T143" s="190" t="str">
        <f>IF(ISEVEN(LEFT(AD143,4)),"Southbound","NorthBound")</f>
        <v>Southbound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-05-03T20:19:40-0600',mode:absolute,to:'2017-05-03T23:11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3" s="192" t="str">
        <f>IF(AA143&lt;IF(AG143="EC",23,5.65),"Y","N")</f>
        <v>N</v>
      </c>
      <c r="X143" s="192">
        <f t="shared" si="13"/>
        <v>1</v>
      </c>
      <c r="Y143" s="192">
        <f>RIGHT(D143,LEN(D143)-4)/10000</f>
        <v>23.298300000000001</v>
      </c>
      <c r="Z143" s="192">
        <f>RIGHT(H143,LEN(H143)-4)/10000</f>
        <v>1.4500000000000001E-2</v>
      </c>
      <c r="AA143" s="192">
        <f>ABS(Z143-Y143)</f>
        <v>23.283799999999999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>IF(LEN(A143)=6,"0"&amp;A143,A143)</f>
        <v>0228-03</v>
      </c>
      <c r="AE143" s="80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143" s="77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/stypes="app*4015*20170504*" /stext=" 04:.+((SYSTEM_STATE.+slice.+state.+changed )|(ment ac)|(multiple cpu faults)|(system.+state.+changed )|(\[timeout)|(PRM\|1\|D)|(kpr)|(kdp)|(train st.+moving)|(\|lc)|(penalty))"</v>
      </c>
      <c r="AG143" s="1" t="str">
        <f>IFERROR(IF(VALUE(LEFT(AD143,2))&lt;=2,"EC",IF(OR(VALUE(LEFT(AD143,2))=8,VALUE(LEFT(AD143,2))=18),"NW","Other")),"Other")</f>
        <v>EC</v>
      </c>
      <c r="AH143" s="81" t="str">
        <f t="shared" si="14"/>
        <v>"%USERPROFILE%\Documents\GitHub\eaglep3\Utilities\RefineRTDCRunTimes.py" --tripid 228-03 --locoid 4015 --swversion DE.1.0.9.0 --startMP 204:232983 --initTime 2017-05-03T21:19:40 --startdatetime 2017-05-03T21:26:33 --delay 1 --endMP 204:145 --enddatetime 2017-05-03T22:11:06 --enforcementcount 0 &gt;&gt;C:\Users\stu\Documents\GitHub\eaglep3-reporting\EC\2017-05-03-refined-times.txt</v>
      </c>
      <c r="AI143" s="99" t="str">
        <f t="shared" si="15"/>
        <v>echo {"issue":{"subject":"","project_id":79,"tracker_id":40,"status_id":1,"priority_id":2,"assigned_to_id":23,"start_date":"2017-05-03","description":"","custom_fields":[{"id":1,"name":"Subdivision","value":"EC"},{"id":4,"name":"Milepost","value":"0.0145"},{"id":17,"name":"Train ID","value":"228-03"},{"id":16,"name":"Locomotive ID","value":"4015"},{"id":130,"name":"Impact","value":""},{"id":150,"name":"Time of Event (Mountain Time)","value":"22:11:06"},{"id":151,"name":"Denver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16"/>
        <v>start /low /b %USERPROFILE%\Documents\GitHub\eaglep3\Utilities\DownloadLogsFromS3.py --loco 4015 --day 2017-05-03</v>
      </c>
      <c r="AN143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04:11:06"},{"id":29,"name":"Sharepoint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813</v>
      </c>
      <c r="B144" s="7">
        <v>4028</v>
      </c>
      <c r="C144" s="21" t="s">
        <v>210</v>
      </c>
      <c r="D144" s="21" t="s">
        <v>389</v>
      </c>
      <c r="E144" s="13">
        <v>42858.864733796298</v>
      </c>
      <c r="F144" s="13">
        <v>42858.875532407408</v>
      </c>
      <c r="G144" s="7">
        <v>3</v>
      </c>
      <c r="H144" s="21" t="s">
        <v>555</v>
      </c>
      <c r="I144" s="13">
        <v>42858.901388888888</v>
      </c>
      <c r="J144" s="7">
        <v>0</v>
      </c>
      <c r="K144" s="92" t="str">
        <f>IF(ISEVEN(B144),(B144-1)&amp;"/"&amp;B144,B144&amp;"/"&amp;(B144+1))</f>
        <v>4027/4028</v>
      </c>
      <c r="L144" s="21" t="str">
        <f>VLOOKUP(A144,'Trips&amp;Operators'!$C$1:$G$99999,5,FALSE)</f>
        <v>SWANSON BRYCE</v>
      </c>
      <c r="M144" s="6">
        <f>I144-F144</f>
        <v>2.5856481479422655E-2</v>
      </c>
      <c r="N144" s="7">
        <f>24*60*SUM($M144:$M144)</f>
        <v>37.233333330368623</v>
      </c>
      <c r="O144" s="7"/>
      <c r="P144" s="7"/>
      <c r="Q144" s="22"/>
      <c r="R144" s="190"/>
      <c r="S144" s="196">
        <f>SUM(U144:U144)/IF(AG144="EC",12,1)</f>
        <v>1</v>
      </c>
      <c r="T144" s="190" t="str">
        <f>IF(ISEVEN(LEFT(AD144,4)),"Southbound","NorthBound")</f>
        <v>NorthBound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-05-03T19:45:13-0600',mode:absolute,to:'2017-05-03T22:38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4" s="192" t="str">
        <f>IF(AA144&lt;IF(AG144="EC",23,5.65),"Y","N")</f>
        <v>N</v>
      </c>
      <c r="X144" s="192">
        <f t="shared" si="13"/>
        <v>1</v>
      </c>
      <c r="Y144" s="192">
        <f>RIGHT(D144,LEN(D144)-4)/10000</f>
        <v>4.58E-2</v>
      </c>
      <c r="Z144" s="192">
        <f>RIGHT(H144,LEN(H144)-4)/10000</f>
        <v>23.336099999999998</v>
      </c>
      <c r="AA144" s="192">
        <f>ABS(Z144-Y144)</f>
        <v>23.290299999999998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>IF(LEN(A144)=6,"0"&amp;A144,A144)</f>
        <v>0229-03</v>
      </c>
      <c r="AE144" s="80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144" s="77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/stypes="app*4028*20170504*" /stext=" 03:.+((SYSTEM_STATE.+slice.+state.+changed )|(ment ac)|(multiple cpu faults)|(system.+state.+changed )|(\[timeout)|(PRM\|1\|D)|(kpr)|(kdp)|(train st.+moving)|(\|lc)|(penalty))"</v>
      </c>
      <c r="AG144" s="1" t="str">
        <f>IFERROR(IF(VALUE(LEFT(AD144,2))&lt;=2,"EC",IF(OR(VALUE(LEFT(AD144,2))=8,VALUE(LEFT(AD144,2))=18),"NW","Other")),"Other")</f>
        <v>EC</v>
      </c>
      <c r="AH144" s="81" t="str">
        <f t="shared" si="14"/>
        <v>"%USERPROFILE%\Documents\GitHub\eaglep3\Utilities\RefineRTDCRunTimes.py" --tripid 229-03 --locoid 4028 --swversion DE.1.0.9.0 --startMP 204:458 --initTime 2017-05-03T20:45:13 --startdatetime 2017-05-03T21:00:46 --delay 3 --endMP 204:233361 --enddatetime 2017-05-03T21:38:00 --enforcementcount 0 &gt;&gt;C:\Users\stu\Documents\GitHub\eaglep3-reporting\EC\2017-05-03-refined-times.txt</v>
      </c>
      <c r="AI144" s="99" t="str">
        <f t="shared" si="15"/>
        <v>echo {"issue":{"subject":"","project_id":79,"tracker_id":40,"status_id":1,"priority_id":2,"assigned_to_id":23,"start_date":"2017-05-03","description":"","custom_fields":[{"id":1,"name":"Subdivision","value":"EC"},{"id":4,"name":"Milepost","value":"23.3361"},{"id":17,"name":"Train ID","value":"229-03"},{"id":16,"name":"Locomotive ID","value":"4028"},{"id":130,"name":"Impact","value":""},{"id":150,"name":"Time of Event (Mountain Time)","value":"21:38:00"},{"id":151,"name":"Denver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16"/>
        <v>start /low /b %USERPROFILE%\Documents\GitHub\eaglep3\Utilities\DownloadLogsFromS3.py --loco 4028 --day 2017-05-03</v>
      </c>
      <c r="AN144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03:38:00"},{"id":29,"name":"Sharepoint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818</v>
      </c>
      <c r="B145" s="7">
        <v>4027</v>
      </c>
      <c r="C145" s="21" t="s">
        <v>210</v>
      </c>
      <c r="D145" s="21" t="s">
        <v>909</v>
      </c>
      <c r="E145" s="13">
        <v>42858.907037037039</v>
      </c>
      <c r="F145" s="13">
        <v>42858.914097222223</v>
      </c>
      <c r="G145" s="7">
        <v>1</v>
      </c>
      <c r="H145" s="21" t="s">
        <v>203</v>
      </c>
      <c r="I145" s="13">
        <v>42858.943078703705</v>
      </c>
      <c r="J145" s="7">
        <v>0</v>
      </c>
      <c r="K145" s="92" t="str">
        <f>IF(ISEVEN(B145),(B145-1)&amp;"/"&amp;B145,B145&amp;"/"&amp;(B145+1))</f>
        <v>4027/4028</v>
      </c>
      <c r="L145" s="21" t="str">
        <f>VLOOKUP(A145,'Trips&amp;Operators'!$C$1:$G$99999,5,FALSE)</f>
        <v>SWANSON BRYCE</v>
      </c>
      <c r="M145" s="6">
        <f>I145-F145</f>
        <v>2.8981481482333038E-2</v>
      </c>
      <c r="N145" s="7">
        <f>24*60*SUM($M145:$M145)</f>
        <v>41.733333334559575</v>
      </c>
      <c r="O145" s="7"/>
      <c r="P145" s="7"/>
      <c r="Q145" s="22"/>
      <c r="R145" s="190"/>
      <c r="S145" s="196">
        <f>SUM(U145:U145)/IF(AG145="EC",12,1)</f>
        <v>1</v>
      </c>
      <c r="T145" s="190" t="str">
        <f>IF(ISEVEN(LEFT(AD145,4)),"Southbound","NorthBound")</f>
        <v>Southbound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-05-03T20:46:08-0600',mode:absolute,to:'2017-05-03T23:38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5" s="192" t="str">
        <f>IF(AA145&lt;IF(AG145="EC",23,5.65),"Y","N")</f>
        <v>N</v>
      </c>
      <c r="X145" s="192">
        <f t="shared" si="13"/>
        <v>1</v>
      </c>
      <c r="Y145" s="192">
        <f>RIGHT(D145,LEN(D145)-4)/10000</f>
        <v>23.306999999999999</v>
      </c>
      <c r="Z145" s="192">
        <f>RIGHT(H145,LEN(H145)-4)/10000</f>
        <v>1.54E-2</v>
      </c>
      <c r="AA145" s="192">
        <f>ABS(Z145-Y145)</f>
        <v>23.291599999999999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>IF(LEN(A145)=6,"0"&amp;A145,A145)</f>
        <v>0230-03</v>
      </c>
      <c r="AE145" s="80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145" s="77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/stypes="app*4027*20170504*" /stext=" 04:.+((SYSTEM_STATE.+slice.+state.+changed )|(ment ac)|(multiple cpu faults)|(system.+state.+changed )|(\[timeout)|(PRM\|1\|D)|(kpr)|(kdp)|(train st.+moving)|(\|lc)|(penalty))"</v>
      </c>
      <c r="AG145" s="1" t="str">
        <f>IFERROR(IF(VALUE(LEFT(AD145,2))&lt;=2,"EC",IF(OR(VALUE(LEFT(AD145,2))=8,VALUE(LEFT(AD145,2))=18),"NW","Other")),"Other")</f>
        <v>EC</v>
      </c>
      <c r="AH145" s="81" t="str">
        <f t="shared" si="14"/>
        <v>"%USERPROFILE%\Documents\GitHub\eaglep3\Utilities\RefineRTDCRunTimes.py" --tripid 230-03 --locoid 4027 --swversion DE.1.0.9.0 --startMP 204:233070 --initTime 2017-05-03T21:46:08 --startdatetime 2017-05-03T21:56:18 --delay 1 --endMP 204:154 --enddatetime 2017-05-03T22:38:02 --enforcementcount 0 &gt;&gt;C:\Users\stu\Documents\GitHub\eaglep3-reporting\EC\2017-05-03-refined-times.txt</v>
      </c>
      <c r="AI145" s="99" t="str">
        <f t="shared" si="15"/>
        <v>echo {"issue":{"subject":"","project_id":79,"tracker_id":40,"status_id":1,"priority_id":2,"assigned_to_id":23,"start_date":"2017-05-03","description":"","custom_fields":[{"id":1,"name":"Subdivision","value":"EC"},{"id":4,"name":"Milepost","value":"0.0154"},{"id":17,"name":"Train ID","value":"230-03"},{"id":16,"name":"Locomotive ID","value":"4027"},{"id":130,"name":"Impact","value":""},{"id":150,"name":"Time of Event (Mountain Time)","value":"22:38:02"},{"id":151,"name":"Denver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16"/>
        <v>start /low /b %USERPROFILE%\Documents\GitHub\eaglep3\Utilities\DownloadLogsFromS3.py --loco 4027 --day 2017-05-03</v>
      </c>
      <c r="AN145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04:38:02"},{"id":29,"name":"Sharepoint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816</v>
      </c>
      <c r="B146" s="7">
        <v>4024</v>
      </c>
      <c r="C146" s="21" t="s">
        <v>210</v>
      </c>
      <c r="D146" s="21" t="s">
        <v>409</v>
      </c>
      <c r="E146" s="13">
        <v>42858.893541666665</v>
      </c>
      <c r="F146" s="13">
        <v>42858.896157407406</v>
      </c>
      <c r="G146" s="7">
        <v>3</v>
      </c>
      <c r="H146" s="21" t="s">
        <v>910</v>
      </c>
      <c r="I146" s="13">
        <v>42858.9216087963</v>
      </c>
      <c r="J146" s="7">
        <v>0</v>
      </c>
      <c r="K146" s="92" t="str">
        <f>IF(ISEVEN(B146),(B146-1)&amp;"/"&amp;B146,B146&amp;"/"&amp;(B146+1))</f>
        <v>4023/4024</v>
      </c>
      <c r="L146" s="21" t="str">
        <f>VLOOKUP(A146,'Trips&amp;Operators'!$C$1:$G$99999,5,FALSE)</f>
        <v>STORY SAMANTHA</v>
      </c>
      <c r="M146" s="6">
        <f>I146-F146</f>
        <v>2.5451388893998228E-2</v>
      </c>
      <c r="N146" s="7">
        <f>24*60*SUM($M146:$M146)</f>
        <v>36.650000007357448</v>
      </c>
      <c r="O146" s="7"/>
      <c r="P146" s="7"/>
      <c r="Q146" s="22"/>
      <c r="R146" s="190"/>
      <c r="S146" s="196">
        <f>SUM(U146:U146)/IF(AG146="EC",12,1)</f>
        <v>1</v>
      </c>
      <c r="T146" s="190" t="str">
        <f>IF(ISEVEN(LEFT(AD146,4)),"Southbound","NorthBound")</f>
        <v>NorthBound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-05-03T20:26:42-0600',mode:absolute,to:'2017-05-03T23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6" s="192" t="str">
        <f>IF(AA146&lt;IF(AG146="EC",23,5.65),"Y","N")</f>
        <v>N</v>
      </c>
      <c r="X146" s="192">
        <f t="shared" si="13"/>
        <v>1</v>
      </c>
      <c r="Y146" s="192">
        <f>RIGHT(D146,LEN(D146)-4)/10000</f>
        <v>4.6600000000000003E-2</v>
      </c>
      <c r="Z146" s="192">
        <f>RIGHT(H146,LEN(H146)-4)/10000</f>
        <v>23.334199999999999</v>
      </c>
      <c r="AA146" s="192">
        <f>ABS(Z146-Y146)</f>
        <v>23.287599999999998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>IF(LEN(A146)=6,"0"&amp;A146,A146)</f>
        <v>0231-03</v>
      </c>
      <c r="AE146" s="80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AF146" s="77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/stypes="app*4024*20170504*" /stext=" 04:.+((SYSTEM_STATE.+slice.+state.+changed )|(ment ac)|(multiple cpu faults)|(system.+state.+changed )|(\[timeout)|(PRM\|1\|D)|(kpr)|(kdp)|(train st.+moving)|(\|lc)|(penalty))"</v>
      </c>
      <c r="AG146" s="1" t="str">
        <f>IFERROR(IF(VALUE(LEFT(AD146,2))&lt;=2,"EC",IF(OR(VALUE(LEFT(AD146,2))=8,VALUE(LEFT(AD146,2))=18),"NW","Other")),"Other")</f>
        <v>EC</v>
      </c>
      <c r="AH146" s="81" t="str">
        <f t="shared" si="14"/>
        <v>"%USERPROFILE%\Documents\GitHub\eaglep3\Utilities\RefineRTDCRunTimes.py" --tripid 231-03 --locoid 4024 --swversion DE.1.0.9.0 --startMP 204:466 --initTime 2017-05-03T21:26:42 --startdatetime 2017-05-03T21:30:28 --delay 3 --endMP 204:233342 --enddatetime 2017-05-03T22:07:07 --enforcementcount 0 &gt;&gt;C:\Users\stu\Documents\GitHub\eaglep3-reporting\EC\2017-05-03-refined-times.txt</v>
      </c>
      <c r="AI146" s="99" t="str">
        <f t="shared" si="15"/>
        <v>echo {"issue":{"subject":"","project_id":79,"tracker_id":40,"status_id":1,"priority_id":2,"assigned_to_id":23,"start_date":"2017-05-03","description":"","custom_fields":[{"id":1,"name":"Subdivision","value":"EC"},{"id":4,"name":"Milepost","value":"23.3342"},{"id":17,"name":"Train ID","value":"231-03"},{"id":16,"name":"Locomotive ID","value":"4024"},{"id":130,"name":"Impact","value":""},{"id":150,"name":"Time of Event (Mountain Time)","value":"22:07:07"},{"id":151,"name":"Denver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16"/>
        <v>start /low /b %USERPROFILE%\Documents\GitHub\eaglep3\Utilities\DownloadLogsFromS3.py --loco 4024 --day 2017-05-03</v>
      </c>
      <c r="AN146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04:07:07"},{"id":29,"name":"Sharepoint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820</v>
      </c>
      <c r="B147" s="7">
        <v>4023</v>
      </c>
      <c r="C147" s="21" t="s">
        <v>210</v>
      </c>
      <c r="D147" s="21" t="s">
        <v>559</v>
      </c>
      <c r="E147" s="13">
        <v>42858.928171296298</v>
      </c>
      <c r="F147" s="13">
        <v>42858.935173611113</v>
      </c>
      <c r="G147" s="7">
        <v>1</v>
      </c>
      <c r="H147" s="21" t="s">
        <v>462</v>
      </c>
      <c r="I147" s="13">
        <v>42858.963518518518</v>
      </c>
      <c r="J147" s="7">
        <v>0</v>
      </c>
      <c r="K147" s="92" t="str">
        <f>IF(ISEVEN(B147),(B147-1)&amp;"/"&amp;B147,B147&amp;"/"&amp;(B147+1))</f>
        <v>4023/4024</v>
      </c>
      <c r="L147" s="21" t="str">
        <f>VLOOKUP(A147,'Trips&amp;Operators'!$C$1:$G$99999,5,FALSE)</f>
        <v>STORY SAMANTHA</v>
      </c>
      <c r="M147" s="6">
        <f>I147-F147</f>
        <v>2.8344907404971309E-2</v>
      </c>
      <c r="N147" s="7">
        <f>24*60*SUM($M147:$M147)</f>
        <v>40.816666663158685</v>
      </c>
      <c r="O147" s="7"/>
      <c r="P147" s="7"/>
      <c r="Q147" s="22"/>
      <c r="R147" s="190"/>
      <c r="S147" s="196">
        <f>SUM(U147:U147)/IF(AG147="EC",12,1)</f>
        <v>1</v>
      </c>
      <c r="T147" s="190" t="str">
        <f>IF(ISEVEN(LEFT(AD147,4)),"Southbound","NorthBound")</f>
        <v>Southbound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-05-03T21:16:34-0600',mode:absolute,to:'2017-05-04T00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7" s="192" t="str">
        <f>IF(AA147&lt;IF(AG147="EC",23,5.65),"Y","N")</f>
        <v>N</v>
      </c>
      <c r="X147" s="192">
        <f t="shared" si="13"/>
        <v>1</v>
      </c>
      <c r="Y147" s="192">
        <f>RIGHT(D147,LEN(D147)-4)/10000</f>
        <v>23.3017</v>
      </c>
      <c r="Z147" s="192">
        <f>RIGHT(H147,LEN(H147)-4)/10000</f>
        <v>1.6500000000000001E-2</v>
      </c>
      <c r="AA147" s="192">
        <f>ABS(Z147-Y147)</f>
        <v>23.2852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>IF(LEN(A147)=6,"0"&amp;A147,A147)</f>
        <v>0232-03</v>
      </c>
      <c r="AE147" s="80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147" s="77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/stypes="app*4023*20170504*" /stext=" 05:.+((SYSTEM_STATE.+slice.+state.+changed )|(ment ac)|(multiple cpu faults)|(system.+state.+changed )|(\[timeout)|(PRM\|1\|D)|(kpr)|(kdp)|(train st.+moving)|(\|lc)|(penalty))"</v>
      </c>
      <c r="AG147" s="1" t="str">
        <f>IFERROR(IF(VALUE(LEFT(AD147,2))&lt;=2,"EC",IF(OR(VALUE(LEFT(AD147,2))=8,VALUE(LEFT(AD147,2))=18),"NW","Other")),"Other")</f>
        <v>EC</v>
      </c>
      <c r="AH147" s="81" t="str">
        <f t="shared" si="14"/>
        <v>"%USERPROFILE%\Documents\GitHub\eaglep3\Utilities\RefineRTDCRunTimes.py" --tripid 232-03 --locoid 4023 --swversion DE.1.0.9.0 --startMP 204:233017 --initTime 2017-05-03T22:16:34 --startdatetime 2017-05-03T22:26:39 --delay 1 --endMP 204:165 --enddatetime 2017-05-03T23:07:28 --enforcementcount 0 &gt;&gt;C:\Users\stu\Documents\GitHub\eaglep3-reporting\EC\2017-05-03-refined-times.txt</v>
      </c>
      <c r="AI147" s="99" t="str">
        <f t="shared" si="15"/>
        <v>echo {"issue":{"subject":"","project_id":79,"tracker_id":40,"status_id":1,"priority_id":2,"assigned_to_id":23,"start_date":"2017-05-03","description":"","custom_fields":[{"id":1,"name":"Subdivision","value":"EC"},{"id":4,"name":"Milepost","value":"0.0165"},{"id":17,"name":"Train ID","value":"232-03"},{"id":16,"name":"Locomotive ID","value":"4023"},{"id":130,"name":"Impact","value":""},{"id":150,"name":"Time of Event (Mountain Time)","value":"23:07:28"},{"id":151,"name":"Denver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16"/>
        <v>start /low /b %USERPROFILE%\Documents\GitHub\eaglep3\Utilities\DownloadLogsFromS3.py --loco 4023 --day 2017-05-03</v>
      </c>
      <c r="AN147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05:07:28"},{"id":29,"name":"Sharepoint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2" t="s">
        <v>819</v>
      </c>
      <c r="B148" s="7">
        <v>4030</v>
      </c>
      <c r="C148" s="21" t="s">
        <v>210</v>
      </c>
      <c r="D148" s="21" t="s">
        <v>403</v>
      </c>
      <c r="E148" s="13">
        <v>42858.911516203705</v>
      </c>
      <c r="F148" s="13">
        <v>42858.916817129626</v>
      </c>
      <c r="G148" s="7">
        <v>1</v>
      </c>
      <c r="H148" s="21" t="s">
        <v>509</v>
      </c>
      <c r="I148" s="13">
        <v>42858.942430555559</v>
      </c>
      <c r="J148" s="7">
        <v>0</v>
      </c>
      <c r="K148" s="92" t="str">
        <f>IF(ISEVEN(B148),(B148-1)&amp;"/"&amp;B148,B148&amp;"/"&amp;(B148+1))</f>
        <v>4029/4030</v>
      </c>
      <c r="L148" s="21" t="str">
        <f>VLOOKUP(A148,'Trips&amp;Operators'!$C$1:$G$99999,5,FALSE)</f>
        <v>BROWN JACOB</v>
      </c>
      <c r="M148" s="6">
        <f>I148-F148</f>
        <v>2.5613425932533573E-2</v>
      </c>
      <c r="N148" s="7">
        <f>24*60*SUM($M148:$M148)</f>
        <v>36.883333342848346</v>
      </c>
      <c r="O148" s="7"/>
      <c r="P148" s="7"/>
      <c r="Q148" s="22"/>
      <c r="R148" s="190"/>
      <c r="S148" s="196">
        <f>SUM(U148:U148)/IF(AG148="EC",12,1)</f>
        <v>1</v>
      </c>
      <c r="T148" s="190" t="str">
        <f>IF(ISEVEN(LEFT(AD148,4)),"Southbound","NorthBound")</f>
        <v>NorthBound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-05-03T20:52:35-0600',mode:absolute,to:'2017-05-03T23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8" s="192" t="str">
        <f>IF(AA148&lt;IF(AG148="EC",23,5.65),"Y","N")</f>
        <v>N</v>
      </c>
      <c r="X148" s="192">
        <f t="shared" si="13"/>
        <v>1</v>
      </c>
      <c r="Y148" s="192">
        <f>RIGHT(D148,LEN(D148)-4)/10000</f>
        <v>4.6699999999999998E-2</v>
      </c>
      <c r="Z148" s="192">
        <f>RIGHT(H148,LEN(H148)-4)/10000</f>
        <v>23.3323</v>
      </c>
      <c r="AA148" s="192">
        <f>ABS(Z148-Y148)</f>
        <v>23.285599999999999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>IF(LEN(A148)=6,"0"&amp;A148,A148)</f>
        <v>0233-03</v>
      </c>
      <c r="AE148" s="80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AF148" s="77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/stypes="app*4030*20170504*" /stext=" 04:.+((SYSTEM_STATE.+slice.+state.+changed )|(ment ac)|(multiple cpu faults)|(system.+state.+changed )|(\[timeout)|(PRM\|1\|D)|(kpr)|(kdp)|(train st.+moving)|(\|lc)|(penalty))"</v>
      </c>
      <c r="AG148" s="1" t="str">
        <f>IFERROR(IF(VALUE(LEFT(AD148,2))&lt;=2,"EC",IF(OR(VALUE(LEFT(AD148,2))=8,VALUE(LEFT(AD148,2))=18),"NW","Other")),"Other")</f>
        <v>EC</v>
      </c>
      <c r="AH148" s="81" t="str">
        <f t="shared" si="14"/>
        <v>"%USERPROFILE%\Documents\GitHub\eaglep3\Utilities\RefineRTDCRunTimes.py" --tripid 233-03 --locoid 4030 --swversion DE.1.0.9.0 --startMP 204:467 --initTime 2017-05-03T21:52:35 --startdatetime 2017-05-03T22:00:13 --delay 1 --endMP 204:233323 --enddatetime 2017-05-03T22:37:06 --enforcementcount 0 &gt;&gt;C:\Users\stu\Documents\GitHub\eaglep3-reporting\EC\2017-05-03-refined-times.txt</v>
      </c>
      <c r="AI148" s="99" t="str">
        <f t="shared" si="15"/>
        <v>echo {"issue":{"subject":"","project_id":79,"tracker_id":40,"status_id":1,"priority_id":2,"assigned_to_id":23,"start_date":"2017-05-03","description":"","custom_fields":[{"id":1,"name":"Subdivision","value":"EC"},{"id":4,"name":"Milepost","value":"23.3323"},{"id":17,"name":"Train ID","value":"233-03"},{"id":16,"name":"Locomotive ID","value":"4030"},{"id":130,"name":"Impact","value":""},{"id":150,"name":"Time of Event (Mountain Time)","value":"22:37:06"},{"id":151,"name":"Denver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20"/>
      <c r="AK148" s="47"/>
      <c r="AL148" s="47"/>
      <c r="AM148" s="145" t="str">
        <f t="shared" si="16"/>
        <v>start /low /b %USERPROFILE%\Documents\GitHub\eaglep3\Utilities\DownloadLogsFromS3.py --loco 4030 --day 2017-05-03</v>
      </c>
      <c r="AN148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04:37:06"},{"id":29,"name":"Sharepoint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9" spans="1:91" s="20" customFormat="1" x14ac:dyDescent="0.25">
      <c r="A149" s="32" t="s">
        <v>822</v>
      </c>
      <c r="B149" s="7">
        <v>4029</v>
      </c>
      <c r="C149" s="21" t="s">
        <v>210</v>
      </c>
      <c r="D149" s="21" t="s">
        <v>860</v>
      </c>
      <c r="E149" s="13">
        <v>42858.951215277775</v>
      </c>
      <c r="F149" s="13">
        <v>42858.955787037034</v>
      </c>
      <c r="G149" s="7">
        <v>2</v>
      </c>
      <c r="H149" s="21" t="s">
        <v>197</v>
      </c>
      <c r="I149" s="13">
        <v>42858.983726851853</v>
      </c>
      <c r="J149" s="7">
        <v>0</v>
      </c>
      <c r="K149" s="92" t="str">
        <f>IF(ISEVEN(B149),(B149-1)&amp;"/"&amp;B149,B149&amp;"/"&amp;(B149+1))</f>
        <v>4029/4030</v>
      </c>
      <c r="L149" s="21" t="str">
        <f>VLOOKUP(A149,'Trips&amp;Operators'!$C$1:$G$99999,5,FALSE)</f>
        <v>BROWN JACOB</v>
      </c>
      <c r="M149" s="6">
        <f>I149-F149</f>
        <v>2.7939814819546882E-2</v>
      </c>
      <c r="N149" s="7">
        <f>24*60*SUM($M149:$M149)</f>
        <v>40.23333334014751</v>
      </c>
      <c r="O149" s="7"/>
      <c r="P149" s="7"/>
      <c r="Q149" s="22"/>
      <c r="R149" s="190"/>
      <c r="S149" s="196">
        <f>SUM(U149:U149)/IF(AG149="EC",12,1)</f>
        <v>1</v>
      </c>
      <c r="T149" s="190" t="str">
        <f>IF(ISEVEN(LEFT(AD149,4)),"Southbound","NorthBound")</f>
        <v>Southbound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-05-03T21:49:45-0600',mode:absolute,to:'2017-05-04T00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9" s="192" t="str">
        <f>IF(AA149&lt;IF(AG149="EC",23,5.65),"Y","N")</f>
        <v>N</v>
      </c>
      <c r="X149" s="192">
        <f>VALUE(LEFT(AD149,4))-VALUE(LEFT(AD148,4))</f>
        <v>1</v>
      </c>
      <c r="Y149" s="192">
        <f>RIGHT(D149,LEN(D149)-4)/10000</f>
        <v>23.301500000000001</v>
      </c>
      <c r="Z149" s="192">
        <f>RIGHT(H149,LEN(H149)-4)/10000</f>
        <v>1.52E-2</v>
      </c>
      <c r="AA149" s="192">
        <f>ABS(Z149-Y149)</f>
        <v>23.286300000000001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>IF(LEN(A149)=6,"0"&amp;A149,A149)</f>
        <v>0234-03</v>
      </c>
      <c r="AE149" s="80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AF149" s="77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/stypes="app*4029*20170504*" /stext=" 05:.+((SYSTEM_STATE.+slice.+state.+changed )|(ment ac)|(multiple cpu faults)|(system.+state.+changed )|(\[timeout)|(PRM\|1\|D)|(kpr)|(kdp)|(train st.+moving)|(\|lc)|(penalty))"</v>
      </c>
      <c r="AG149" s="1" t="str">
        <f>IFERROR(IF(VALUE(LEFT(AD149,2))&lt;=2,"EC",IF(OR(VALUE(LEFT(AD149,2))=8,VALUE(LEFT(AD149,2))=18),"NW","Other")),"Other")</f>
        <v>EC</v>
      </c>
      <c r="AH149" s="81" t="str">
        <f t="shared" si="14"/>
        <v>"%USERPROFILE%\Documents\GitHub\eaglep3\Utilities\RefineRTDCRunTimes.py" --tripid 234-03 --locoid 4029 --swversion DE.1.0.9.0 --startMP 204:233015 --initTime 2017-05-03T22:49:45 --startdatetime 2017-05-03T22:56:20 --delay 2 --endMP 204:152 --enddatetime 2017-05-03T23:36:34 --enforcementcount 0 &gt;&gt;C:\Users\stu\Documents\GitHub\eaglep3-reporting\EC\2017-05-03-refined-times.txt</v>
      </c>
      <c r="AI149" s="99" t="str">
        <f t="shared" si="15"/>
        <v>echo {"issue":{"subject":"","project_id":79,"tracker_id":40,"status_id":1,"priority_id":2,"assigned_to_id":23,"start_date":"2017-05-03","description":"","custom_fields":[{"id":1,"name":"Subdivision","value":"EC"},{"id":4,"name":"Milepost","value":"0.0152"},{"id":17,"name":"Train ID","value":"234-03"},{"id":16,"name":"Locomotive ID","value":"4029"},{"id":130,"name":"Impact","value":""},{"id":150,"name":"Time of Event (Mountain Time)","value":"23:36:34"},{"id":151,"name":"Denver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16"/>
        <v>start /low /b %USERPROFILE%\Documents\GitHub\eaglep3\Utilities\DownloadLogsFromS3.py --loco 4029 --day 2017-05-03</v>
      </c>
      <c r="AN149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05:36:34"},{"id":29,"name":"Sharepoint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617</v>
      </c>
      <c r="B150" s="7">
        <v>4016</v>
      </c>
      <c r="C150" s="21" t="s">
        <v>210</v>
      </c>
      <c r="D150" s="21" t="s">
        <v>448</v>
      </c>
      <c r="E150" s="13">
        <v>42858.925162037034</v>
      </c>
      <c r="F150" s="13">
        <v>42858.937650462962</v>
      </c>
      <c r="G150" s="7">
        <v>1</v>
      </c>
      <c r="H150" s="21" t="s">
        <v>845</v>
      </c>
      <c r="I150" s="13">
        <v>42858.962164351855</v>
      </c>
      <c r="J150" s="7">
        <v>0</v>
      </c>
      <c r="K150" s="92" t="str">
        <f>IF(ISEVEN(B150),(B150-1)&amp;"/"&amp;B150,B150&amp;"/"&amp;(B150+1))</f>
        <v>4015/4016</v>
      </c>
      <c r="L150" s="21" t="str">
        <f>VLOOKUP(A150,'Trips&amp;Operators'!$C$1:$G$99999,5,FALSE)</f>
        <v>NEWELL JAMES</v>
      </c>
      <c r="M150" s="6">
        <f>I150-F150</f>
        <v>2.4513888893125113E-2</v>
      </c>
      <c r="N150" s="7">
        <f>24*60*SUM($M150:$M150)</f>
        <v>35.300000006100163</v>
      </c>
      <c r="O150" s="7"/>
      <c r="P150" s="7"/>
      <c r="Q150" s="22"/>
      <c r="R150" s="190"/>
      <c r="S150" s="196">
        <f>SUM(U150:U150)/IF(AG150="EC",12,1)</f>
        <v>1</v>
      </c>
      <c r="T150" s="190" t="str">
        <f>IF(ISEVEN(LEFT(AD150,4)),"Southbound","NorthBound")</f>
        <v>NorthBound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-05-03T21:12:14-0600',mode:absolute,to:'2017-05-04T00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0" s="192" t="str">
        <f>IF(AA150&lt;IF(AG150="EC",23,5.65),"Y","N")</f>
        <v>N</v>
      </c>
      <c r="X150" s="192">
        <f>VALUE(LEFT(AD150,4))-VALUE(LEFT(AD149,4))</f>
        <v>1</v>
      </c>
      <c r="Y150" s="192">
        <f>RIGHT(D150,LEN(D150)-4)/10000</f>
        <v>4.4699999999999997E-2</v>
      </c>
      <c r="Z150" s="192">
        <f>RIGHT(H150,LEN(H150)-4)/10000</f>
        <v>23.3306</v>
      </c>
      <c r="AA150" s="192">
        <f>ABS(Z150-Y150)</f>
        <v>23.285900000000002</v>
      </c>
      <c r="AB150" s="57" t="str">
        <f>VLOOKUP(A150,Enforcements!$C$7:$K$13,8,0)</f>
        <v>Bulletin (2)</v>
      </c>
      <c r="AC150" s="53" t="str">
        <f>VLOOKUP(A150,Enforcements!$C$7:$E$13,3,0)</f>
        <v>GRADE CROSSING</v>
      </c>
      <c r="AD150" s="54" t="str">
        <f>IF(LEN(A150)=6,"0"&amp;A150,A150)</f>
        <v>0235-03</v>
      </c>
      <c r="AE150" s="80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AF150" s="77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/stypes="app*4016*20170504*" /stext=" 05:.+((SYSTEM_STATE.+slice.+state.+changed )|(ment ac)|(multiple cpu faults)|(system.+state.+changed )|(\[timeout)|(PRM\|1\|D)|(kpr)|(kdp)|(train st.+moving)|(\|lc)|(penalty))"</v>
      </c>
      <c r="AG150" s="1" t="str">
        <f>IFERROR(IF(VALUE(LEFT(AD150,2))&lt;=2,"EC",IF(OR(VALUE(LEFT(AD150,2))=8,VALUE(LEFT(AD150,2))=18),"NW","Other")),"Other")</f>
        <v>EC</v>
      </c>
      <c r="AH150" s="81" t="str">
        <f t="shared" si="14"/>
        <v>"%USERPROFILE%\Documents\GitHub\eaglep3\Utilities\RefineRTDCRunTimes.py" --tripid 235-03 --locoid 4016 --swversion DE.1.0.9.0 --startMP 204:447 --initTime 2017-05-03T22:12:14 --startdatetime 2017-05-03T22:30:13 --delay 1 --endMP 204:233306 --enddatetime 2017-05-03T23:05:31 --enforcementcount 0 &gt;&gt;C:\Users\stu\Documents\GitHub\eaglep3-reporting\EC\2017-05-03-refined-times.txt</v>
      </c>
      <c r="AI150" s="99" t="str">
        <f t="shared" si="15"/>
        <v>echo {"issue":{"subject":"","project_id":79,"tracker_id":40,"status_id":1,"priority_id":2,"assigned_to_id":23,"start_date":"2017-05-03","description":"","custom_fields":[{"id":1,"name":"Subdivision","value":"EC"},{"id":4,"name":"Milepost","value":"23.3306"},{"id":17,"name":"Train ID","value":"235-03"},{"id":16,"name":"Locomotive ID","value":"4016"},{"id":130,"name":"Impact","value":""},{"id":150,"name":"Time of Event (Mountain Time)","value":"23:05:31"},{"id":151,"name":"Denver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5" t="str">
        <f t="shared" si="16"/>
        <v>start /low /b %USERPROFILE%\Documents\GitHub\eaglep3\Utilities\DownloadLogsFromS3.py --loco 4016 --day 2017-05-03</v>
      </c>
      <c r="AN150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05:05:31"},{"id":29,"name":"Sharepoint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825</v>
      </c>
      <c r="B151" s="7">
        <v>4015</v>
      </c>
      <c r="C151" s="21" t="s">
        <v>210</v>
      </c>
      <c r="D151" s="21" t="s">
        <v>436</v>
      </c>
      <c r="E151" s="13">
        <v>42858.972696759258</v>
      </c>
      <c r="F151" s="13">
        <v>42858.976539351854</v>
      </c>
      <c r="G151" s="7">
        <v>1</v>
      </c>
      <c r="H151" s="21" t="s">
        <v>197</v>
      </c>
      <c r="I151" s="13">
        <v>42859.004999999997</v>
      </c>
      <c r="J151" s="7">
        <v>0</v>
      </c>
      <c r="K151" s="92" t="str">
        <f>IF(ISEVEN(B151),(B151-1)&amp;"/"&amp;B151,B151&amp;"/"&amp;(B151+1))</f>
        <v>4015/4016</v>
      </c>
      <c r="L151" s="21" t="str">
        <f>VLOOKUP(A151,'Trips&amp;Operators'!$C$1:$G$99999,5,FALSE)</f>
        <v>NEWELL JAMES</v>
      </c>
      <c r="M151" s="6">
        <f>I151-F151</f>
        <v>2.8460648143664002E-2</v>
      </c>
      <c r="N151" s="7">
        <f>24*60*SUM($M151:$M151)</f>
        <v>40.983333326876163</v>
      </c>
      <c r="O151" s="7"/>
      <c r="P151" s="7"/>
      <c r="Q151" s="22"/>
      <c r="R151" s="190"/>
      <c r="S151" s="196">
        <f>SUM(U151:U151)/IF(AG151="EC",12,1)</f>
        <v>1</v>
      </c>
      <c r="T151" s="190" t="str">
        <f>IF(ISEVEN(LEFT(AD151,4)),"Southbound","NorthBound")</f>
        <v>Southbound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-05-03T22:20:41-0600',mode:absolute,to:'2017-05-04T01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1" s="192" t="str">
        <f>IF(AA151&lt;IF(AG151="EC",23,5.65),"Y","N")</f>
        <v>N</v>
      </c>
      <c r="X151" s="192">
        <f>VALUE(LEFT(AD151,4))-VALUE(LEFT(AD150,4))</f>
        <v>1</v>
      </c>
      <c r="Y151" s="192">
        <f>RIGHT(D151,LEN(D151)-4)/10000</f>
        <v>23.299600000000002</v>
      </c>
      <c r="Z151" s="192">
        <f>RIGHT(H151,LEN(H151)-4)/10000</f>
        <v>1.52E-2</v>
      </c>
      <c r="AA151" s="192">
        <f>ABS(Z151-Y151)</f>
        <v>23.284400000000002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>IF(LEN(A151)=6,"0"&amp;A151,A151)</f>
        <v>0236-03</v>
      </c>
      <c r="AE151" s="80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151" s="77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/stypes="app*4015*20170504*" /stext=" 06:.+((SYSTEM_STATE.+slice.+state.+changed )|(ment ac)|(multiple cpu faults)|(system.+state.+changed )|(\[timeout)|(PRM\|1\|D)|(kpr)|(kdp)|(train st.+moving)|(\|lc)|(penalty))"</v>
      </c>
      <c r="AG151" s="1" t="str">
        <f>IFERROR(IF(VALUE(LEFT(AD151,2))&lt;=2,"EC",IF(OR(VALUE(LEFT(AD151,2))=8,VALUE(LEFT(AD151,2))=18),"NW","Other")),"Other")</f>
        <v>EC</v>
      </c>
      <c r="AH151" s="81" t="str">
        <f t="shared" si="14"/>
        <v>"%USERPROFILE%\Documents\GitHub\eaglep3\Utilities\RefineRTDCRunTimes.py" --tripid 236-03 --locoid 4015 --swversion DE.1.0.9.0 --startMP 204:232996 --initTime 2017-05-03T23:20:41 --startdatetime 2017-05-03T23:26:13 --delay 1 --endMP 204:152 --enddatetime 2017-05-04T00:07:12 --enforcementcount 0 &gt;&gt;C:\Users\stu\Documents\GitHub\eaglep3-reporting\EC\2017-05-03-refined-times.txt</v>
      </c>
      <c r="AI151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{"issue":{"subject":"","project_id":79,"tracker_id":40,"status_id":1,"priority_id":2,"assigned_to_id":23,"start_date":"2017-05-04","description":"","custom_fields":[{"id":1,"name":"Subdivision","value":"EC"},{"id":4,"name":"Milepost","value":"0.0152"},{"id":17,"name":"Train ID","value":"236-03"},{"id":16,"name":"Locomotive ID","value":"4015"},{"id":130,"name":"Impact","value":""},{"id":150,"name":"Time of Event (Mountain Time)","value":"00:07:12"},{"id":151,"name":"Denver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16"/>
        <v>start /low /b %USERPROFILE%\Documents\GitHub\eaglep3\Utilities\DownloadLogsFromS3.py --loco 4015 --day 2017-05-03</v>
      </c>
      <c r="AN151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06:07:12"},{"id":29,"name":"Sharepoint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823</v>
      </c>
      <c r="B152" s="7">
        <v>4028</v>
      </c>
      <c r="C152" s="21" t="s">
        <v>210</v>
      </c>
      <c r="D152" s="21" t="s">
        <v>381</v>
      </c>
      <c r="E152" s="13">
        <v>42858.951226851852</v>
      </c>
      <c r="F152" s="13">
        <v>42858.958680555559</v>
      </c>
      <c r="G152" s="7">
        <v>1</v>
      </c>
      <c r="H152" s="21" t="s">
        <v>882</v>
      </c>
      <c r="I152" s="13">
        <v>42858.985300925924</v>
      </c>
      <c r="J152" s="7">
        <v>0</v>
      </c>
      <c r="K152" s="92" t="str">
        <f>IF(ISEVEN(B152),(B152-1)&amp;"/"&amp;B152,B152&amp;"/"&amp;(B152+1))</f>
        <v>4027/4028</v>
      </c>
      <c r="L152" s="21" t="str">
        <f>VLOOKUP(A152,'Trips&amp;Operators'!$C$1:$G$99999,5,FALSE)</f>
        <v>SWANSON BRYCE</v>
      </c>
      <c r="M152" s="6">
        <f>I152-F152</f>
        <v>2.6620370364980772E-2</v>
      </c>
      <c r="N152" s="7">
        <f>24*60*SUM($M152:$M152)</f>
        <v>38.333333325572312</v>
      </c>
      <c r="O152" s="7"/>
      <c r="P152" s="7"/>
      <c r="Q152" s="22"/>
      <c r="R152" s="190"/>
      <c r="S152" s="196">
        <f>SUM(U152:U152)/IF(AG152="EC",12,1)</f>
        <v>1</v>
      </c>
      <c r="T152" s="190" t="str">
        <f>IF(ISEVEN(LEFT(AD152,4)),"Southbound","NorthBound")</f>
        <v>NorthBound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-05-03T21:49:46-0600',mode:absolute,to:'2017-05-04T00:38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2" s="192" t="str">
        <f>IF(AA152&lt;IF(AG152="EC",23,5.65),"Y","N")</f>
        <v>N</v>
      </c>
      <c r="X152" s="192">
        <f>VALUE(LEFT(AD152,4))-VALUE(LEFT(AD151,4))</f>
        <v>1</v>
      </c>
      <c r="Y152" s="192">
        <f>RIGHT(D152,LEN(D152)-4)/10000</f>
        <v>4.6199999999999998E-2</v>
      </c>
      <c r="Z152" s="192">
        <f>RIGHT(H152,LEN(H152)-4)/10000</f>
        <v>23.3383</v>
      </c>
      <c r="AA152" s="192">
        <f>ABS(Z152-Y152)</f>
        <v>23.292100000000001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>IF(LEN(A152)=6,"0"&amp;A152,A152)</f>
        <v>0237-03</v>
      </c>
      <c r="AE152" s="80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s3://rtdc.mdm.uploadarchive.raw/RTDC4028/ "%USERPROFILE%\AppData\Local\Temp\OnboardLogs"\RTDC4028\2017-05-03 --exclude "*" --recursive --include "*20170503*" &amp; "%USERPROFILE%\Documents\GitHub\mrs-test-scripts\Headless Mode &amp; Sideloading\WalkAndUnGZ.bat" "%USERPROFILE%\AppData\Local\Temp\OnboardLogs"\RTDC4028\2017-05-03 &amp; 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</v>
      </c>
      <c r="AF152" s="77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/stypes="app*4028*20170504*" /stext=" 05:.+((SYSTEM_STATE.+slice.+state.+changed )|(ment ac)|(multiple cpu faults)|(system.+state.+changed )|(\[timeout)|(PRM\|1\|D)|(kpr)|(kdp)|(train st.+moving)|(\|lc)|(penalty))"</v>
      </c>
      <c r="AG152" s="1" t="str">
        <f>IFERROR(IF(VALUE(LEFT(AD152,2))&lt;=2,"EC",IF(OR(VALUE(LEFT(AD152,2))=8,VALUE(LEFT(AD152,2))=18),"NW","Other")),"Other")</f>
        <v>EC</v>
      </c>
      <c r="AH152" s="81" t="str">
        <f t="shared" si="14"/>
        <v>"%USERPROFILE%\Documents\GitHub\eaglep3\Utilities\RefineRTDCRunTimes.py" --tripid 237-03 --locoid 4028 --swversion DE.1.0.9.0 --startMP 204:462 --initTime 2017-05-03T22:49:46 --startdatetime 2017-05-03T23:00:30 --delay 1 --endMP 204:233383 --enddatetime 2017-05-03T23:38:50 --enforcementcount 0 &gt;&gt;C:\Users\stu\Documents\GitHub\eaglep3-reporting\EC\2017-05-03-refined-times.txt</v>
      </c>
      <c r="AI152" s="99" t="str">
        <f t="shared" si="15"/>
        <v>echo {"issue":{"subject":"","project_id":79,"tracker_id":40,"status_id":1,"priority_id":2,"assigned_to_id":23,"start_date":"2017-05-03","description":"","custom_fields":[{"id":1,"name":"Subdivision","value":"EC"},{"id":4,"name":"Milepost","value":"23.3383"},{"id":17,"name":"Train ID","value":"237-03"},{"id":16,"name":"Locomotive ID","value":"4028"},{"id":130,"name":"Impact","value":""},{"id":150,"name":"Time of Event (Mountain Time)","value":"23:38:50"},{"id":151,"name":"Denver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16"/>
        <v>start /low /b %USERPROFILE%\Documents\GitHub\eaglep3\Utilities\DownloadLogsFromS3.py --loco 4028 --day 2017-05-03</v>
      </c>
      <c r="AN152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05:38:50"},{"id":29,"name":"Sharepoint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827</v>
      </c>
      <c r="B153" s="7">
        <v>4027</v>
      </c>
      <c r="C153" s="21" t="s">
        <v>210</v>
      </c>
      <c r="D153" s="21" t="s">
        <v>911</v>
      </c>
      <c r="E153" s="13">
        <v>42858.991956018515</v>
      </c>
      <c r="F153" s="13">
        <v>42858.997673611113</v>
      </c>
      <c r="G153" s="7">
        <v>1</v>
      </c>
      <c r="H153" s="21" t="s">
        <v>880</v>
      </c>
      <c r="I153" s="13">
        <v>42859.027106481481</v>
      </c>
      <c r="J153" s="7">
        <v>0</v>
      </c>
      <c r="K153" s="92" t="str">
        <f>IF(ISEVEN(B153),(B153-1)&amp;"/"&amp;B153,B153&amp;"/"&amp;(B153+1))</f>
        <v>4027/4028</v>
      </c>
      <c r="L153" s="21" t="str">
        <f>VLOOKUP(A153,'Trips&amp;Operators'!$C$1:$G$99999,5,FALSE)</f>
        <v>SWANSON BRYCE</v>
      </c>
      <c r="M153" s="6">
        <f>I153-F153</f>
        <v>2.9432870367600117E-2</v>
      </c>
      <c r="N153" s="7">
        <f>24*60*SUM($M153:$M153)</f>
        <v>42.383333329344168</v>
      </c>
      <c r="O153" s="7"/>
      <c r="P153" s="7"/>
      <c r="Q153" s="22"/>
      <c r="R153" s="190"/>
      <c r="S153" s="196">
        <f>SUM(U153:U153)/IF(AG153="EC",12,1)</f>
        <v>1</v>
      </c>
      <c r="T153" s="190" t="str">
        <f>IF(ISEVEN(LEFT(AD153,4)),"Southbound","NorthBound")</f>
        <v>Southbound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-05-03T22:48:25-0600',mode:absolute,to:'2017-05-04T01:39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3" s="192" t="str">
        <f>IF(AA153&lt;IF(AG153="EC",23,5.65),"Y","N")</f>
        <v>N</v>
      </c>
      <c r="X153" s="192">
        <f>VALUE(LEFT(AD153,4))-VALUE(LEFT(AD152,4))</f>
        <v>1</v>
      </c>
      <c r="Y153" s="192">
        <f>RIGHT(D153,LEN(D153)-4)/10000</f>
        <v>23.3081</v>
      </c>
      <c r="Z153" s="192">
        <f>RIGHT(H153,LEN(H153)-4)/10000</f>
        <v>1.72E-2</v>
      </c>
      <c r="AA153" s="192">
        <f>ABS(Z153-Y153)</f>
        <v>23.290900000000001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>IF(LEN(A153)=6,"0"&amp;A153,A153)</f>
        <v>0238-03</v>
      </c>
      <c r="AE153" s="80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AF153" s="77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/stypes="app*4027*20170504*" /stext=" 06:.+((SYSTEM_STATE.+slice.+state.+changed )|(ment ac)|(multiple cpu faults)|(system.+state.+changed )|(\[timeout)|(PRM\|1\|D)|(kpr)|(kdp)|(train st.+moving)|(\|lc)|(penalty))"</v>
      </c>
      <c r="AG153" s="1" t="str">
        <f>IFERROR(IF(VALUE(LEFT(AD153,2))&lt;=2,"EC",IF(OR(VALUE(LEFT(AD153,2))=8,VALUE(LEFT(AD153,2))=18),"NW","Other")),"Other")</f>
        <v>EC</v>
      </c>
      <c r="AH153" s="81" t="str">
        <f t="shared" si="14"/>
        <v>"%USERPROFILE%\Documents\GitHub\eaglep3\Utilities\RefineRTDCRunTimes.py" --tripid 238-03 --locoid 4027 --swversion DE.1.0.9.0 --startMP 204:233081 --initTime 2017-05-03T23:48:25 --startdatetime 2017-05-03T23:56:39 --delay 1 --endMP 204:172 --enddatetime 2017-05-04T00:39:02 --enforcementcount 0 &gt;&gt;C:\Users\stu\Documents\GitHub\eaglep3-reporting\EC\2017-05-03-refined-times.txt</v>
      </c>
      <c r="AI153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{"issue":{"subject":"","project_id":79,"tracker_id":40,"status_id":1,"priority_id":2,"assigned_to_id":23,"start_date":"2017-05-04","description":"","custom_fields":[{"id":1,"name":"Subdivision","value":"EC"},{"id":4,"name":"Milepost","value":"0.0172"},{"id":17,"name":"Train ID","value":"238-03"},{"id":16,"name":"Locomotive ID","value":"4027"},{"id":130,"name":"Impact","value":""},{"id":150,"name":"Time of Event (Mountain Time)","value":"00:39:02"},{"id":151,"name":"Denver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16"/>
        <v>start /low /b %USERPROFILE%\Documents\GitHub\eaglep3\Utilities\DownloadLogsFromS3.py --loco 4027 --day 2017-05-03</v>
      </c>
      <c r="AN153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06:39:02"},{"id":29,"name":"Sharepoint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824</v>
      </c>
      <c r="B154" s="7">
        <v>4024</v>
      </c>
      <c r="C154" s="21" t="s">
        <v>210</v>
      </c>
      <c r="D154" s="21" t="s">
        <v>205</v>
      </c>
      <c r="E154" s="13">
        <v>42858.97152777778</v>
      </c>
      <c r="F154" s="13">
        <v>42858.97934027778</v>
      </c>
      <c r="G154" s="7">
        <v>1</v>
      </c>
      <c r="H154" s="21" t="s">
        <v>912</v>
      </c>
      <c r="I154" s="13">
        <v>42859.005810185183</v>
      </c>
      <c r="J154" s="7">
        <v>0</v>
      </c>
      <c r="K154" s="92" t="str">
        <f>IF(ISEVEN(B154),(B154-1)&amp;"/"&amp;B154,B154&amp;"/"&amp;(B154+1))</f>
        <v>4023/4024</v>
      </c>
      <c r="L154" s="21" t="str">
        <f>VLOOKUP(A154,'Trips&amp;Operators'!$C$1:$G$99999,5,FALSE)</f>
        <v>GUZMAN DANNY</v>
      </c>
      <c r="M154" s="6">
        <f>I154-F154</f>
        <v>2.6469907403225079E-2</v>
      </c>
      <c r="N154" s="7">
        <f>24*60*SUM($M154:$M154)</f>
        <v>38.116666660644114</v>
      </c>
      <c r="O154" s="7"/>
      <c r="P154" s="7"/>
      <c r="Q154" s="22"/>
      <c r="R154" s="190"/>
      <c r="S154" s="196">
        <f>SUM(U154:U154)/IF(AG154="EC",12,1)</f>
        <v>1</v>
      </c>
      <c r="T154" s="190" t="str">
        <f>IF(ISEVEN(LEFT(AD154,4)),"Southbound","NorthBound")</f>
        <v>NorthBound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-05-03T22:19:00-0600',mode:absolute,to:'2017-05-04T01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4" s="192" t="str">
        <f>IF(AA154&lt;IF(AG154="EC",23,5.65),"Y","N")</f>
        <v>N</v>
      </c>
      <c r="X154" s="192">
        <f>VALUE(LEFT(AD154,4))-VALUE(LEFT(AD153,4))</f>
        <v>1</v>
      </c>
      <c r="Y154" s="192">
        <f>RIGHT(D154,LEN(D154)-4)/10000</f>
        <v>4.5999999999999999E-2</v>
      </c>
      <c r="Z154" s="192">
        <f>RIGHT(H154,LEN(H154)-4)/10000</f>
        <v>23.333100000000002</v>
      </c>
      <c r="AA154" s="192">
        <f>ABS(Z154-Y154)</f>
        <v>23.287100000000002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>IF(LEN(A154)=6,"0"&amp;A154,A154)</f>
        <v>0239-03</v>
      </c>
      <c r="AE154" s="80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AF154" s="77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/stypes="app*4024*20170504*" /stext=" 06:.+((SYSTEM_STATE.+slice.+state.+changed )|(ment ac)|(multiple cpu faults)|(system.+state.+changed )|(\[timeout)|(PRM\|1\|D)|(kpr)|(kdp)|(train st.+moving)|(\|lc)|(penalty))"</v>
      </c>
      <c r="AG154" s="1" t="str">
        <f>IFERROR(IF(VALUE(LEFT(AD154,2))&lt;=2,"EC",IF(OR(VALUE(LEFT(AD154,2))=8,VALUE(LEFT(AD154,2))=18),"NW","Other")),"Other")</f>
        <v>EC</v>
      </c>
      <c r="AH154" s="81" t="str">
        <f t="shared" si="14"/>
        <v>"%USERPROFILE%\Documents\GitHub\eaglep3\Utilities\RefineRTDCRunTimes.py" --tripid 239-03 --locoid 4024 --swversion DE.1.0.9.0 --startMP 204:460 --initTime 2017-05-03T23:19:00 --startdatetime 2017-05-03T23:30:15 --delay 1 --endMP 204:233331 --enddatetime 2017-05-04T00:08:22 --enforcementcount 0 &gt;&gt;C:\Users\stu\Documents\GitHub\eaglep3-reporting\EC\2017-05-03-refined-times.txt</v>
      </c>
      <c r="AI154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{"issue":{"subject":"","project_id":79,"tracker_id":40,"status_id":1,"priority_id":2,"assigned_to_id":23,"start_date":"2017-05-04","description":"","custom_fields":[{"id":1,"name":"Subdivision","value":"EC"},{"id":4,"name":"Milepost","value":"23.3331"},{"id":17,"name":"Train ID","value":"239-03"},{"id":16,"name":"Locomotive ID","value":"4024"},{"id":130,"name":"Impact","value":""},{"id":150,"name":"Time of Event (Mountain Time)","value":"00:08:22"},{"id":151,"name":"Denver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16"/>
        <v>start /low /b %USERPROFILE%\Documents\GitHub\eaglep3\Utilities\DownloadLogsFromS3.py --loco 4024 --day 2017-05-03</v>
      </c>
      <c r="AN154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06:08:22"},{"id":29,"name":"Sharepoint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x14ac:dyDescent="0.25">
      <c r="A155" s="32" t="s">
        <v>829</v>
      </c>
      <c r="B155" s="7">
        <v>4023</v>
      </c>
      <c r="C155" s="21" t="s">
        <v>210</v>
      </c>
      <c r="D155" s="21" t="s">
        <v>913</v>
      </c>
      <c r="E155" s="13">
        <v>42859.010821759257</v>
      </c>
      <c r="F155" s="13">
        <v>42859.018229166664</v>
      </c>
      <c r="G155" s="7">
        <v>1</v>
      </c>
      <c r="H155" s="21" t="s">
        <v>203</v>
      </c>
      <c r="I155" s="13">
        <v>42859.0468287037</v>
      </c>
      <c r="J155" s="7">
        <v>0</v>
      </c>
      <c r="K155" s="92" t="str">
        <f>IF(ISEVEN(B155),(B155-1)&amp;"/"&amp;B155,B155&amp;"/"&amp;(B155+1))</f>
        <v>4023/4024</v>
      </c>
      <c r="L155" s="21" t="str">
        <f>VLOOKUP(A155,'Trips&amp;Operators'!$C$1:$G$99999,5,FALSE)</f>
        <v>GUZMAN DANNY</v>
      </c>
      <c r="M155" s="6">
        <f>I155-F155</f>
        <v>2.8599537035916001E-2</v>
      </c>
      <c r="N155" s="7">
        <f>24*60*SUM($M155:$M155)</f>
        <v>41.183333331719041</v>
      </c>
      <c r="O155" s="7"/>
      <c r="P155" s="7"/>
      <c r="Q155" s="22"/>
      <c r="R155" s="190"/>
      <c r="S155" s="196">
        <f>SUM(U155:U155)/IF(AG155="EC",12,1)</f>
        <v>1</v>
      </c>
      <c r="T155" s="190" t="str">
        <f>IF(ISEVEN(LEFT(AD155,4)),"Southbound","NorthBound")</f>
        <v>Southbound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-05-03T23:15:35-0600',mode:absolute,to:'2017-05-04T02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5" s="192" t="str">
        <f>IF(AA155&lt;IF(AG155="EC",23,5.65),"Y","N")</f>
        <v>N</v>
      </c>
      <c r="X155" s="192">
        <f>VALUE(LEFT(AD155,4))-VALUE(LEFT(AD154,4))</f>
        <v>1</v>
      </c>
      <c r="Y155" s="192">
        <f>RIGHT(D155,LEN(D155)-4)/10000</f>
        <v>23.299099999999999</v>
      </c>
      <c r="Z155" s="192">
        <f>RIGHT(H155,LEN(H155)-4)/10000</f>
        <v>1.54E-2</v>
      </c>
      <c r="AA155" s="192">
        <f>ABS(Z155-Y155)</f>
        <v>23.2837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>IF(LEN(A155)=6,"0"&amp;A155,A155)</f>
        <v>0240-03</v>
      </c>
      <c r="AE155" s="80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 &amp; aws s3 cp s3://rtdc.mdm.uploadarchive.raw/RTDC4023/ "%USERPROFILE%\AppData\Local\Temp\OnboardLogs"\RTDC4023\2017-05-05 --exclude "*" --recursive --include "*20170505*" &amp; "%USERPROFILE%\Documents\GitHub\mrs-test-scripts\Headless Mode &amp; Sideloading\WalkAndUnGZ.bat" "%USERPROFILE%\AppData\Local\Temp\OnboardLogs"\RTDC4023\2017-05-05</v>
      </c>
      <c r="AF155" s="77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/stypes="app*4023*20170504*" /stext=" 07:.+((SYSTEM_STATE.+slice.+state.+changed )|(ment ac)|(multiple cpu faults)|(system.+state.+changed )|(\[timeout)|(PRM\|1\|D)|(kpr)|(kdp)|(train st.+moving)|(\|lc)|(penalty))"</v>
      </c>
      <c r="AG155" s="1" t="str">
        <f>IFERROR(IF(VALUE(LEFT(AD155,2))&lt;=2,"EC",IF(OR(VALUE(LEFT(AD155,2))=8,VALUE(LEFT(AD155,2))=18),"NW","Other")),"Other")</f>
        <v>EC</v>
      </c>
      <c r="AH155" s="81" t="str">
        <f t="shared" si="14"/>
        <v>"%USERPROFILE%\Documents\GitHub\eaglep3\Utilities\RefineRTDCRunTimes.py" --tripid 240-03 --locoid 4023 --swversion DE.1.0.9.0 --startMP 204:232991 --initTime 2017-05-04T00:15:35 --startdatetime 2017-05-04T00:26:15 --delay 1 --endMP 204:154 --enddatetime 2017-05-04T01:07:26 --enforcementcount 0 &gt;&gt;C:\Users\stu\Documents\GitHub\eaglep3-reporting\EC\2017-05-03-refined-times.txt</v>
      </c>
      <c r="AI155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{"issue":{"subject":"","project_id":79,"tracker_id":40,"status_id":1,"priority_id":2,"assigned_to_id":23,"start_date":"2017-05-04","description":"","custom_fields":[{"id":1,"name":"Subdivision","value":"EC"},{"id":4,"name":"Milepost","value":"0.0154"},{"id":17,"name":"Train ID","value":"240-03"},{"id":16,"name":"Locomotive ID","value":"4023"},{"id":130,"name":"Impact","value":""},{"id":150,"name":"Time of Event (Mountain Time)","value":"01:07:26"},{"id":151,"name":"Denver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20"/>
      <c r="AK155" s="47"/>
      <c r="AL155" s="47"/>
      <c r="AM155" s="145" t="str">
        <f t="shared" si="16"/>
        <v>start /low /b %USERPROFILE%\Documents\GitHub\eaglep3\Utilities\DownloadLogsFromS3.py --loco 4023 --day 2017-05-04</v>
      </c>
      <c r="AN155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07:07:26"},{"id":29,"name":"Sharepoint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6" spans="1:91" s="20" customFormat="1" x14ac:dyDescent="0.25">
      <c r="A156" s="32" t="s">
        <v>826</v>
      </c>
      <c r="B156" s="7">
        <v>4030</v>
      </c>
      <c r="C156" s="21" t="s">
        <v>210</v>
      </c>
      <c r="D156" s="21" t="s">
        <v>381</v>
      </c>
      <c r="E156" s="13">
        <v>42858.990497685183</v>
      </c>
      <c r="F156" s="13">
        <v>42859.000150462962</v>
      </c>
      <c r="G156" s="7">
        <v>2</v>
      </c>
      <c r="H156" s="21" t="s">
        <v>518</v>
      </c>
      <c r="I156" s="13">
        <v>42859.02684027778</v>
      </c>
      <c r="J156" s="7">
        <v>0</v>
      </c>
      <c r="K156" s="92" t="str">
        <f>IF(ISEVEN(B156),(B156-1)&amp;"/"&amp;B156,B156&amp;"/"&amp;(B156+1))</f>
        <v>4029/4030</v>
      </c>
      <c r="L156" s="21" t="str">
        <f>VLOOKUP(A156,'Trips&amp;Operators'!$C$1:$G$99999,5,FALSE)</f>
        <v>BROWN JACOB</v>
      </c>
      <c r="M156" s="6">
        <f>I156-F156</f>
        <v>2.6689814818382729E-2</v>
      </c>
      <c r="N156" s="7">
        <f>24*60*SUM($M156:$M156)</f>
        <v>38.43333333847113</v>
      </c>
      <c r="O156" s="7"/>
      <c r="P156" s="7"/>
      <c r="Q156" s="22"/>
      <c r="R156" s="190"/>
      <c r="S156" s="196">
        <f>SUM(U156:U156)/IF(AG156="EC",12,1)</f>
        <v>1</v>
      </c>
      <c r="T156" s="190" t="str">
        <f>IF(ISEVEN(LEFT(AD156,4)),"Southbound","NorthBound")</f>
        <v>NorthBound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-05-03T22:46:19-0600',mode:absolute,to:'2017-05-04T01:38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6" s="192" t="str">
        <f>IF(AA156&lt;IF(AG156="EC",23,5.65),"Y","N")</f>
        <v>N</v>
      </c>
      <c r="X156" s="192">
        <f>VALUE(LEFT(AD156,4))-VALUE(LEFT(AD155,4))</f>
        <v>1</v>
      </c>
      <c r="Y156" s="192">
        <f>RIGHT(D156,LEN(D156)-4)/10000</f>
        <v>4.6199999999999998E-2</v>
      </c>
      <c r="Z156" s="192">
        <f>RIGHT(H156,LEN(H156)-4)/10000</f>
        <v>23.330200000000001</v>
      </c>
      <c r="AA156" s="192">
        <f>ABS(Z156-Y156)</f>
        <v>23.284000000000002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>IF(LEN(A156)=6,"0"&amp;A156,A156)</f>
        <v>0241-03</v>
      </c>
      <c r="AE156" s="80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 &amp; 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</v>
      </c>
      <c r="AF156" s="77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/stypes="app*4030*20170504*" /stext=" 06:.+((SYSTEM_STATE.+slice.+state.+changed )|(ment ac)|(multiple cpu faults)|(system.+state.+changed )|(\[timeout)|(PRM\|1\|D)|(kpr)|(kdp)|(train st.+moving)|(\|lc)|(penalty))"</v>
      </c>
      <c r="AG156" s="1" t="str">
        <f>IFERROR(IF(VALUE(LEFT(AD156,2))&lt;=2,"EC",IF(OR(VALUE(LEFT(AD156,2))=8,VALUE(LEFT(AD156,2))=18),"NW","Other")),"Other")</f>
        <v>EC</v>
      </c>
      <c r="AH156" s="81" t="str">
        <f t="shared" si="14"/>
        <v>"%USERPROFILE%\Documents\GitHub\eaglep3\Utilities\RefineRTDCRunTimes.py" --tripid 241-03 --locoid 4030 --swversion DE.1.0.9.0 --startMP 204:462 --initTime 2017-05-03T23:46:19 --startdatetime 2017-05-04T00:00:13 --delay 2 --endMP 204:233302 --enddatetime 2017-05-04T00:38:39 --enforcementcount 0 &gt;&gt;C:\Users\stu\Documents\GitHub\eaglep3-reporting\EC\2017-05-03-refined-times.txt</v>
      </c>
      <c r="AI156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{"issue":{"subject":"","project_id":79,"tracker_id":40,"status_id":1,"priority_id":2,"assigned_to_id":23,"start_date":"2017-05-04","description":"","custom_fields":[{"id":1,"name":"Subdivision","value":"EC"},{"id":4,"name":"Milepost","value":"23.3302"},{"id":17,"name":"Train ID","value":"241-03"},{"id":16,"name":"Locomotive ID","value":"4030"},{"id":130,"name":"Impact","value":""},{"id":150,"name":"Time of Event (Mountain Time)","value":"00:38:39"},{"id":151,"name":"Denver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5" t="str">
        <f t="shared" si="16"/>
        <v>start /low /b %USERPROFILE%\Documents\GitHub\eaglep3\Utilities\DownloadLogsFromS3.py --loco 4030 --day 2017-05-04</v>
      </c>
      <c r="AN156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06:38:39"},{"id":29,"name":"Sharepoint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2" t="s">
        <v>831</v>
      </c>
      <c r="B157" s="7">
        <v>4029</v>
      </c>
      <c r="C157" s="21" t="s">
        <v>210</v>
      </c>
      <c r="D157" s="21" t="s">
        <v>906</v>
      </c>
      <c r="E157" s="13">
        <v>42859.033020833333</v>
      </c>
      <c r="F157" s="13">
        <v>42859.039166666669</v>
      </c>
      <c r="G157" s="7">
        <v>1</v>
      </c>
      <c r="H157" s="21" t="s">
        <v>386</v>
      </c>
      <c r="I157" s="13">
        <v>42859.067199074074</v>
      </c>
      <c r="J157" s="7">
        <v>0</v>
      </c>
      <c r="K157" s="92" t="str">
        <f>IF(ISEVEN(B157),(B157-1)&amp;"/"&amp;B157,B157&amp;"/"&amp;(B157+1))</f>
        <v>4029/4030</v>
      </c>
      <c r="L157" s="21" t="str">
        <f>VLOOKUP(A157,'Trips&amp;Operators'!$C$1:$G$99999,5,FALSE)</f>
        <v>BROWN JACOB</v>
      </c>
      <c r="M157" s="6">
        <f>I157-F157</f>
        <v>2.8032407404680271E-2</v>
      </c>
      <c r="N157" s="7">
        <f>24*60*SUM($M157:$M157)</f>
        <v>40.36666666273959</v>
      </c>
      <c r="O157" s="7"/>
      <c r="P157" s="7"/>
      <c r="Q157" s="22"/>
      <c r="R157" s="190"/>
      <c r="S157" s="196">
        <f>SUM(U157:U157)/IF(AG157="EC",12,1)</f>
        <v>1</v>
      </c>
      <c r="T157" s="190" t="str">
        <f>IF(ISEVEN(LEFT(AD157,4)),"Southbound","NorthBound")</f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-05-03T23:47:33-0600',mode:absolute,to:'2017-05-04T02:36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7" s="192" t="str">
        <f>IF(AA157&lt;IF(AG157="EC",23,5.65),"Y","N")</f>
        <v>N</v>
      </c>
      <c r="X157" s="192">
        <f>VALUE(LEFT(AD157,4))-VALUE(LEFT(AD156,4))</f>
        <v>1</v>
      </c>
      <c r="Y157" s="192">
        <f>RIGHT(D157,LEN(D157)-4)/10000</f>
        <v>23.2987</v>
      </c>
      <c r="Z157" s="192">
        <f>RIGHT(H157,LEN(H157)-4)/10000</f>
        <v>1.6E-2</v>
      </c>
      <c r="AA157" s="192">
        <f>ABS(Z157-Y157)</f>
        <v>23.282700000000002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>IF(LEN(A157)=6,"0"&amp;A157,A157)</f>
        <v>0242-03</v>
      </c>
      <c r="AE157" s="80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 &amp; aws s3 cp s3://rtdc.mdm.uploadarchive.raw/RTDC4029/ "%USERPROFILE%\AppData\Local\Temp\OnboardLogs"\RTDC4029\2017-05-05 --exclude "*" --recursive --include "*20170505*" &amp; "%USERPROFILE%\Documents\GitHub\mrs-test-scripts\Headless Mode &amp; Sideloading\WalkAndUnGZ.bat" "%USERPROFILE%\AppData\Local\Temp\OnboardLogs"\RTDC4029\2017-05-05</v>
      </c>
      <c r="AF157" s="77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/stypes="app*4029*20170504*" /stext=" 07:.+((SYSTEM_STATE.+slice.+state.+changed )|(ment ac)|(multiple cpu faults)|(system.+state.+changed )|(\[timeout)|(PRM\|1\|D)|(kpr)|(kdp)|(train st.+moving)|(\|lc)|(penalty))"</v>
      </c>
      <c r="AG157" s="1" t="str">
        <f>IFERROR(IF(VALUE(LEFT(AD157,2))&lt;=2,"EC",IF(OR(VALUE(LEFT(AD157,2))=8,VALUE(LEFT(AD157,2))=18),"NW","Other")),"Other")</f>
        <v>EC</v>
      </c>
      <c r="AH157" s="81" t="str">
        <f t="shared" si="14"/>
        <v>"%USERPROFILE%\Documents\GitHub\eaglep3\Utilities\RefineRTDCRunTimes.py" --tripid 242-03 --locoid 4029 --swversion DE.1.0.9.0 --startMP 204:232987 --initTime 2017-05-04T00:47:33 --startdatetime 2017-05-04T00:56:24 --delay 1 --endMP 204:160 --enddatetime 2017-05-04T01:36:46 --enforcementcount 0 &gt;&gt;C:\Users\stu\Documents\GitHub\eaglep3-reporting\EC\2017-05-03-refined-times.txt</v>
      </c>
      <c r="AI157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{"issue":{"subject":"","project_id":79,"tracker_id":40,"status_id":1,"priority_id":2,"assigned_to_id":23,"start_date":"2017-05-04","description":"","custom_fields":[{"id":1,"name":"Subdivision","value":"EC"},{"id":4,"name":"Milepost","value":"0.016"},{"id":17,"name":"Train ID","value":"242-03"},{"id":16,"name":"Locomotive ID","value":"4029"},{"id":130,"name":"Impact","value":""},{"id":150,"name":"Time of Event (Mountain Time)","value":"01:36:46"},{"id":151,"name":"Denver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7"/>
      <c r="AL157" s="47"/>
      <c r="AM157" s="145" t="str">
        <f t="shared" si="16"/>
        <v>start /low /b %USERPROFILE%\Documents\GitHub\eaglep3\Utilities\DownloadLogsFromS3.py --loco 4029 --day 2017-05-04</v>
      </c>
      <c r="AN157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07:36:46"},{"id":29,"name":"Sharepoint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2" t="s">
        <v>828</v>
      </c>
      <c r="B158" s="7">
        <v>4016</v>
      </c>
      <c r="C158" s="21" t="s">
        <v>210</v>
      </c>
      <c r="D158" s="21" t="s">
        <v>419</v>
      </c>
      <c r="E158" s="13">
        <v>42859.006909722222</v>
      </c>
      <c r="F158" s="13">
        <v>42859.020983796298</v>
      </c>
      <c r="G158" s="7">
        <v>1</v>
      </c>
      <c r="H158" s="21" t="s">
        <v>511</v>
      </c>
      <c r="I158" s="13">
        <v>42859.045081018521</v>
      </c>
      <c r="J158" s="7">
        <v>0</v>
      </c>
      <c r="K158" s="92" t="str">
        <f>IF(ISEVEN(B158),(B158-1)&amp;"/"&amp;B158,B158&amp;"/"&amp;(B158+1))</f>
        <v>4015/4016</v>
      </c>
      <c r="L158" s="21" t="str">
        <f>VLOOKUP(A158,'Trips&amp;Operators'!$C$1:$G$99999,5,FALSE)</f>
        <v>NEWELL JAMES</v>
      </c>
      <c r="M158" s="6">
        <f>I158-F158</f>
        <v>2.4097222223645076E-2</v>
      </c>
      <c r="N158" s="7">
        <f>24*60*SUM($M158:$M158)</f>
        <v>34.70000000204891</v>
      </c>
      <c r="O158" s="7"/>
      <c r="P158" s="7"/>
      <c r="Q158" s="22"/>
      <c r="R158" s="190"/>
      <c r="S158" s="196">
        <f>SUM(U158:U158)/IF(AG158="EC",12,1)</f>
        <v>1</v>
      </c>
      <c r="T158" s="190" t="str">
        <f>IF(ISEVEN(LEFT(AD158,4)),"Southbound","NorthBound")</f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-05-03T23:09:57-0600',mode:absolute,to:'2017-05-04T02:04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8" s="192" t="str">
        <f>IF(AA158&lt;IF(AG158="EC",23,5.65),"Y","N")</f>
        <v>N</v>
      </c>
      <c r="X158" s="192">
        <f>VALUE(LEFT(AD158,4))-VALUE(LEFT(AD157,4))</f>
        <v>1</v>
      </c>
      <c r="Y158" s="192">
        <f>RIGHT(D158,LEN(D158)-4)/10000</f>
        <v>4.6399999999999997E-2</v>
      </c>
      <c r="Z158" s="192">
        <f>RIGHT(H158,LEN(H158)-4)/10000</f>
        <v>23.3291</v>
      </c>
      <c r="AA158" s="192">
        <f>ABS(Z158-Y158)</f>
        <v>23.282700000000002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>IF(LEN(A158)=6,"0"&amp;A158,A158)</f>
        <v>0243-03</v>
      </c>
      <c r="AE158" s="80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 &amp; 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</v>
      </c>
      <c r="AF158" s="77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/stypes="app*4016*20170504*" /stext=" 07:.+((SYSTEM_STATE.+slice.+state.+changed )|(ment ac)|(multiple cpu faults)|(system.+state.+changed )|(\[timeout)|(PRM\|1\|D)|(kpr)|(kdp)|(train st.+moving)|(\|lc)|(penalty))"</v>
      </c>
      <c r="AG158" s="1" t="str">
        <f>IFERROR(IF(VALUE(LEFT(AD158,2))&lt;=2,"EC",IF(OR(VALUE(LEFT(AD158,2))=8,VALUE(LEFT(AD158,2))=18),"NW","Other")),"Other")</f>
        <v>EC</v>
      </c>
      <c r="AH158" s="81" t="str">
        <f t="shared" si="14"/>
        <v>"%USERPROFILE%\Documents\GitHub\eaglep3\Utilities\RefineRTDCRunTimes.py" --tripid 243-03 --locoid 4016 --swversion DE.1.0.9.0 --startMP 204:464 --initTime 2017-05-04T00:09:57 --startdatetime 2017-05-04T00:30:13 --delay 1 --endMP 204:233291 --enddatetime 2017-05-04T01:04:55 --enforcementcount 0 &gt;&gt;C:\Users\stu\Documents\GitHub\eaglep3-reporting\EC\2017-05-03-refined-times.txt</v>
      </c>
      <c r="AI158" s="99" t="str">
        <f t="shared" si="15"/>
        <v>echo {"issue":{"subject":"","project_id":79,"tracker_id":40,"status_id":1,"priority_id":2,"assigned_to_id":23,"start_date":"2017-05-04","description":"","custom_fields":[{"id":1,"name":"Subdivision","value":"EC"},{"id":4,"name":"Milepost","value":"23.3291"},{"id":17,"name":"Train ID","value":"243-03"},{"id":16,"name":"Locomotive ID","value":"4016"},{"id":130,"name":"Impact","value":""},{"id":150,"name":"Time of Event (Mountain Time)","value":"01:04:55"},{"id":151,"name":"Denver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7"/>
      <c r="AL158" s="47"/>
      <c r="AM158" s="145" t="str">
        <f t="shared" si="16"/>
        <v>start /low /b %USERPROFILE%\Documents\GitHub\eaglep3\Utilities\DownloadLogsFromS3.py --loco 4016 --day 2017-05-04</v>
      </c>
      <c r="AN158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07:04:55"},{"id":29,"name":"Sharepoint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s="20" customFormat="1" x14ac:dyDescent="0.25">
      <c r="A159" s="32" t="s">
        <v>832</v>
      </c>
      <c r="B159" s="7">
        <v>4015</v>
      </c>
      <c r="C159" s="21" t="s">
        <v>210</v>
      </c>
      <c r="D159" s="21" t="s">
        <v>419</v>
      </c>
      <c r="E159" s="13">
        <v>42859.006909722222</v>
      </c>
      <c r="F159" s="13">
        <v>42859.059861111113</v>
      </c>
      <c r="G159" s="7">
        <v>1</v>
      </c>
      <c r="H159" s="21" t="s">
        <v>511</v>
      </c>
      <c r="I159" s="13">
        <v>42859.080601851849</v>
      </c>
      <c r="J159" s="7">
        <v>0</v>
      </c>
      <c r="K159" s="92" t="str">
        <f>IF(ISEVEN(B159),(B159-1)&amp;"/"&amp;B159,B159&amp;"/"&amp;(B159+1))</f>
        <v>4015/4016</v>
      </c>
      <c r="L159" s="21" t="str">
        <f>VLOOKUP(A159,'Trips&amp;Operators'!$C$1:$G$99999,5,FALSE)</f>
        <v>NEWELL JAMES</v>
      </c>
      <c r="M159" s="6">
        <f>I159-F159</f>
        <v>2.0740740736073349E-2</v>
      </c>
      <c r="N159" s="7"/>
      <c r="O159" s="7"/>
      <c r="P159" s="7">
        <f>24*60*SUM($M159:$M159)</f>
        <v>29.866666659945622</v>
      </c>
      <c r="Q159" s="22"/>
      <c r="R159" s="190" t="s">
        <v>523</v>
      </c>
      <c r="S159" s="196">
        <f>SUM(U159:U159)/IF(AG159="EC",12,1)</f>
        <v>1</v>
      </c>
      <c r="T159" s="190" t="str">
        <f>IF(ISEVEN(LEFT(AD159,4)),"Southbound","NorthBound")</f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1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-05-03T23:09:57-0600',mode:absolute,to:'2017-05-04T02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9" s="192" t="str">
        <f>IF(AA159&lt;IF(AG159="EC",23,5.65),"Y","N")</f>
        <v>Y</v>
      </c>
      <c r="X159" s="192">
        <f>VALUE(LEFT(AD159,4))-VALUE(LEFT(AD158,4))</f>
        <v>1</v>
      </c>
      <c r="Y159" s="192">
        <v>23.3</v>
      </c>
      <c r="Z159" s="192">
        <v>2.7</v>
      </c>
      <c r="AA159" s="192">
        <f>ABS(Z159-Y159)</f>
        <v>20.6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>IF(LEN(A159)=6,"0"&amp;A159,A159)</f>
        <v>0244-03</v>
      </c>
      <c r="AE159" s="80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 &amp; aws s3 cp s3://rtdc.mdm.uploadarchive.raw/RTDC4015/ "%USERPROFILE%\AppData\Local\Temp\OnboardLogs"\RTDC4015\2017-05-05 --exclude "*" --recursive --include "*20170505*" &amp; "%USERPROFILE%\Documents\GitHub\mrs-test-scripts\Headless Mode &amp; Sideloading\WalkAndUnGZ.bat" "%USERPROFILE%\AppData\Local\Temp\OnboardLogs"\RTDC4015\2017-05-05</v>
      </c>
      <c r="AF159" s="77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/stypes="app*4015*20170504*" /stext=" 07:.+((SYSTEM_STATE.+slice.+state.+changed )|(ment ac)|(multiple cpu faults)|(system.+state.+changed )|(\[timeout)|(PRM\|1\|D)|(kpr)|(kdp)|(train st.+moving)|(\|lc)|(penalty))"</v>
      </c>
      <c r="AG159" s="1" t="str">
        <f>IFERROR(IF(VALUE(LEFT(AD159,2))&lt;=2,"EC",IF(OR(VALUE(LEFT(AD159,2))=8,VALUE(LEFT(AD159,2))=18),"NW","Other")),"Other")</f>
        <v>EC</v>
      </c>
      <c r="AH159" s="81" t="str">
        <f t="shared" ref="AH159" si="18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244-03 --locoid 4015 --swversion DE.1.0.9.0 --startMP 204:464 --initTime 2017-05-04T00:09:57 --startdatetime 2017-05-04T01:26:12 --delay 1 --endMP 204:233291 --enddatetime 2017-05-04T01:56:04 --enforcementcount 0 &gt;&gt;C:\Users\stu\Documents\GitHub\eaglep3-reporting\EC\2017-05-03-refined-times.txt</v>
      </c>
      <c r="AI159" s="99" t="str">
        <f t="shared" ref="AI159" si="19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failure","project_id":79,"tracker_id":40,"status_id":1,"priority_id":2,"assigned_to_id":23,"start_date":"2017-05-04","description":"","custom_fields":[{"id":1,"name":"Subdivision","value":"EC"},{"id":4,"name":"Milepost","value":"2.7"},{"id":17,"name":"Train ID","value":"244-03"},{"id":16,"name":"Locomotive ID","value":"4015"},{"id":130,"name":"Impact","value":""},{"id":150,"name":"Time of Event (Mountain Time)","value":"01:56:04"},{"id":151,"name":"Denver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9" s="47"/>
      <c r="AL159" s="47"/>
      <c r="AM159" s="145" t="str">
        <f t="shared" ref="AM159" si="20">"start /low /b "&amp;dls3logs&amp;" --loco "&amp;B159&amp;" --day "&amp;TEXT(F159,"YYYY-MM-DD")</f>
        <v>start /low /b %USERPROFILE%\Documents\GitHub\eaglep3\Utilities\DownloadLogsFromS3.py --loco 4015 --day 2017-05-04</v>
      </c>
      <c r="AN159" s="154" t="str">
        <f t="shared" ref="AN159" si="21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{"issue":{"subject":"Onboard in-route failure","project_id":30,"tracker_id":4,"status_id":1,"priority_id":1,"assigned_to_id":10,"start_date":"2017-05-04","description":"","custom_fields":[{"id":30,"name":"Category","value":"Issue"},{"id":3,"name":"Functional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07:56:04"},{"id":29,"name":"Sharepoint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642</v>
      </c>
      <c r="B160" s="7">
        <v>4031</v>
      </c>
      <c r="C160" s="21" t="s">
        <v>210</v>
      </c>
      <c r="D160" s="21" t="s">
        <v>949</v>
      </c>
      <c r="E160" s="13">
        <v>42858.215428240743</v>
      </c>
      <c r="F160" s="13">
        <v>42858.216921296298</v>
      </c>
      <c r="G160" s="7">
        <v>1</v>
      </c>
      <c r="H160" s="21" t="s">
        <v>950</v>
      </c>
      <c r="I160" s="13">
        <v>42858.225046296298</v>
      </c>
      <c r="J160" s="7">
        <v>0</v>
      </c>
      <c r="K160" s="92" t="str">
        <f>IF(ISEVEN(B160),(B160-1)&amp;"/"&amp;B160,B160&amp;"/"&amp;(B160+1))</f>
        <v>4031/4032</v>
      </c>
      <c r="L160" s="21" t="str">
        <f>VLOOKUP(A160,'Trips&amp;Operators'!$C$1:$G$99999,5,FALSE)</f>
        <v>YORK EDGAR</v>
      </c>
      <c r="M160" s="6">
        <f>I160-F160</f>
        <v>8.1250000002910383E-3</v>
      </c>
      <c r="N160" s="7">
        <f>24*60*SUM($M160:$M160)</f>
        <v>11.700000000419095</v>
      </c>
      <c r="O160" s="7"/>
      <c r="P160" s="7"/>
      <c r="Q160" s="22"/>
      <c r="R160" s="190"/>
      <c r="S160" s="196">
        <f>SUM(U160:U160)/IF(AG160="EC",12,1)</f>
        <v>1</v>
      </c>
      <c r="T160" s="190" t="str">
        <f>IF(ISEVEN(LEFT(AD160,4)),"Southbound","NorthBound")</f>
        <v>Southbound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-05-03T04:10:13-0600',mode:absolute,to:'2017-05-03T06:24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0" s="192" t="str">
        <f>IF(AA160&lt;IF(AG160="EC",23,5.65),"Y","N")</f>
        <v>N</v>
      </c>
      <c r="X160" s="192">
        <f>VALUE(LEFT(AD160,4))-VALUE(LEFT(AD159,4))</f>
        <v>556</v>
      </c>
      <c r="Y160" s="192">
        <f>RIGHT(D160,LEN(D160)-4)/10000</f>
        <v>5.8616999999999999</v>
      </c>
      <c r="Z160" s="192">
        <f>RIGHT(H160,LEN(H160)-4)/10000</f>
        <v>7.4499999999999997E-2</v>
      </c>
      <c r="AA160" s="192">
        <f>ABS(Z160-Y160)</f>
        <v>5.7872000000000003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>IF(LEN(A160)=6,"0"&amp;A160,A160)</f>
        <v>0800-03</v>
      </c>
      <c r="AE160" s="80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s3://rtdc.mdm.uploadarchive.raw/RTDC4031/ "%USERPROFILE%\AppData\Local\Temp\OnboardLogs"\RTDC4031\2017-05-03 --exclude "*" --recursive --include "*20170503*" &amp; "%USERPROFILE%\Documents\GitHub\mrs-test-scripts\Headless Mode &amp; Sideloading\WalkAndUnGZ.bat" "%USERPROFILE%\AppData\Local\Temp\OnboardLogs"\RTDC4031\2017-05-03 &amp; aws s3 cp s3://rtdc.mdm.uploadarchive.raw/RTDC4031/ "%USERPROFILE%\AppData\Local\Temp\OnboardLogs"\RTDC4031\2017-05-04 --exclude "*" --recursive --include "*20170504*" &amp; "%USERPROFILE%\Documents\GitHub\mrs-test-scripts\Headless Mode &amp; Sideloading\WalkAndUnGZ.bat" "%USERPROFILE%\AppData\Local\Temp\OnboardLogs"\RTDC4031\2017-05-04</v>
      </c>
      <c r="AF160" s="77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/stypes="app*4031*20170503*" /stext=" 11:.+((SYSTEM_STATE.+slice.+state.+changed )|(ment ac)|(multiple cpu faults)|(system.+state.+changed )|(\[timeout)|(PRM\|1\|D)|(kpr)|(kdp)|(train st.+moving)|(\|lc)|(penalty))"</v>
      </c>
      <c r="AG160" s="1" t="str">
        <f>IFERROR(IF(VALUE(LEFT(AD160,2))&lt;=2,"EC",IF(OR(VALUE(LEFT(AD160,2))=8,VALUE(LEFT(AD160,2))=18),"NW","Other")),"Other")</f>
        <v>NW</v>
      </c>
      <c r="AH160" s="81" t="str">
        <f t="shared" si="14"/>
        <v>"%USERPROFILE%\Documents\GitHub\eaglep3\Utilities\RefineRTDCRunTimes.py" --tripid 800-03 --locoid 4031 --swversion DE.1.0.9.0 --startMP 300:58617 --initTime 2017-05-03T05:10:13 --startdatetime 2017-05-03T05:12:22 --delay 1 --endMP 204:745 --enddatetime 2017-05-03T05:24:04 --enforcementcount 0 &gt;&gt;C:\Users\stu\Documents\GitHub\eaglep3-reporting\EC\2017-05-03-refined-times.txt</v>
      </c>
      <c r="AI160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{"issue":{"subject":"","project_id":79,"tracker_id":40,"status_id":1,"priority_id":2,"assigned_to_id":23,"start_date":"2017-05-03","description":"","custom_fields":[{"id":1,"name":"Subdivision","value":"NW"},{"id":4,"name":"Milepost","value":"0.0745"},{"id":17,"name":"Train ID","value":"800-03"},{"id":16,"name":"Locomotive ID","value":"4031"},{"id":130,"name":"Impact","value":""},{"id":150,"name":"Time of Event (Mountain Time)","value":"05:24:04"},{"id":151,"name":"Denver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16"/>
        <v>start /low /b %USERPROFILE%\Documents\GitHub\eaglep3\Utilities\DownloadLogsFromS3.py --loco 4031 --day 2017-05-03</v>
      </c>
      <c r="AN160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11:24:04"},{"id":29,"name":"Sharepoint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2" t="s">
        <v>646</v>
      </c>
      <c r="B161" s="7">
        <v>4032</v>
      </c>
      <c r="C161" s="21" t="s">
        <v>210</v>
      </c>
      <c r="D161" s="21" t="s">
        <v>569</v>
      </c>
      <c r="E161" s="13">
        <v>42858.225937499999</v>
      </c>
      <c r="F161" s="13">
        <v>42858.244201388887</v>
      </c>
      <c r="G161" s="7">
        <v>1</v>
      </c>
      <c r="H161" s="21" t="s">
        <v>951</v>
      </c>
      <c r="I161" s="13">
        <v>42858.253182870372</v>
      </c>
      <c r="J161" s="7">
        <v>0</v>
      </c>
      <c r="K161" s="92" t="str">
        <f>IF(ISEVEN(B161),(B161-1)&amp;"/"&amp;B161,B161&amp;"/"&amp;(B161+1))</f>
        <v>4031/4032</v>
      </c>
      <c r="L161" s="21" t="str">
        <f>VLOOKUP(A161,'Trips&amp;Operators'!$C$1:$G$99999,5,FALSE)</f>
        <v>YORK EDGAR</v>
      </c>
      <c r="M161" s="6">
        <f>I161-F161</f>
        <v>8.9814814855344594E-3</v>
      </c>
      <c r="N161" s="7">
        <f>24*60*SUM($M161:$M161)</f>
        <v>12.933333339169621</v>
      </c>
      <c r="O161" s="7"/>
      <c r="P161" s="7"/>
      <c r="Q161" s="22"/>
      <c r="R161" s="190"/>
      <c r="S161" s="196">
        <f>SUM(U161:U161)/IF(AG161="EC",12,1)</f>
        <v>1</v>
      </c>
      <c r="T161" s="190" t="str">
        <f>IF(ISEVEN(LEFT(AD161,4)),"Southbound","NorthBound")</f>
        <v>NorthBound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-05-03T04:25:21-0600',mode:absolute,to:'2017-05-03T07:04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1" s="192" t="str">
        <f>IF(AA161&lt;IF(AG161="EC",23,5.65),"Y","N")</f>
        <v>N</v>
      </c>
      <c r="X161" s="192">
        <f>VALUE(LEFT(AD161,4))-VALUE(LEFT(AD160,4))</f>
        <v>1</v>
      </c>
      <c r="Y161" s="192">
        <f>RIGHT(D161,LEN(D161)-4)/10000</f>
        <v>0.1009</v>
      </c>
      <c r="Z161" s="192">
        <f>RIGHT(H161,LEN(H161)-4)/10000</f>
        <v>5.8930999999999996</v>
      </c>
      <c r="AA161" s="192">
        <f>ABS(Z161-Y161)</f>
        <v>5.7921999999999993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>IF(LEN(A161)=6,"0"&amp;A161,A161)</f>
        <v>0801-03</v>
      </c>
      <c r="AE161" s="80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AF161" s="77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/stypes="app*4032*20170503*" /stext=" 12:.+((SYSTEM_STATE.+slice.+state.+changed )|(ment ac)|(multiple cpu faults)|(system.+state.+changed )|(\[timeout)|(PRM\|1\|D)|(kpr)|(kdp)|(train st.+moving)|(\|lc)|(penalty))"</v>
      </c>
      <c r="AG161" s="1" t="str">
        <f>IFERROR(IF(VALUE(LEFT(AD161,2))&lt;=2,"EC",IF(OR(VALUE(LEFT(AD161,2))=8,VALUE(LEFT(AD161,2))=18),"NW","Other")),"Other")</f>
        <v>NW</v>
      </c>
      <c r="AH161" s="81" t="str">
        <f t="shared" si="14"/>
        <v>"%USERPROFILE%\Documents\GitHub\eaglep3\Utilities\RefineRTDCRunTimes.py" --tripid 801-03 --locoid 4032 --swversion DE.1.0.9.0 --startMP 204:1009 --initTime 2017-05-03T05:25:21 --startdatetime 2017-05-03T05:51:39 --delay 1 --endMP 300:58931 --enddatetime 2017-05-03T06:04:35 --enforcementcount 0 &gt;&gt;C:\Users\stu\Documents\GitHub\eaglep3-reporting\EC\2017-05-03-refined-times.txt</v>
      </c>
      <c r="AI161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{"issue":{"subject":"","project_id":79,"tracker_id":40,"status_id":1,"priority_id":2,"assigned_to_id":23,"start_date":"2017-05-03","description":"","custom_fields":[{"id":1,"name":"Subdivision","value":"NW"},{"id":4,"name":"Milepost","value":"5.8931"},{"id":17,"name":"Train ID","value":"801-03"},{"id":16,"name":"Locomotive ID","value":"4032"},{"id":130,"name":"Impact","value":""},{"id":150,"name":"Time of Event (Mountain Time)","value":"06:04:35"},{"id":151,"name":"Denver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16"/>
        <v>start /low /b %USERPROFILE%\Documents\GitHub\eaglep3\Utilities\DownloadLogsFromS3.py --loco 4032 --day 2017-05-03</v>
      </c>
      <c r="AN161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12:04:35"},{"id":29,"name":"Sharepoint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s="20" customFormat="1" x14ac:dyDescent="0.25">
      <c r="A162" s="32" t="s">
        <v>651</v>
      </c>
      <c r="B162" s="7">
        <v>4031</v>
      </c>
      <c r="C162" s="21" t="s">
        <v>210</v>
      </c>
      <c r="D162" s="21" t="s">
        <v>949</v>
      </c>
      <c r="E162" s="13">
        <v>42858.254386574074</v>
      </c>
      <c r="F162" s="13">
        <v>42858.258506944447</v>
      </c>
      <c r="G162" s="7">
        <v>1</v>
      </c>
      <c r="H162" s="21" t="s">
        <v>952</v>
      </c>
      <c r="I162" s="13">
        <v>42858.267106481479</v>
      </c>
      <c r="J162" s="7">
        <v>0</v>
      </c>
      <c r="K162" s="92" t="str">
        <f>IF(ISEVEN(B162),(B162-1)&amp;"/"&amp;B162,B162&amp;"/"&amp;(B162+1))</f>
        <v>4031/4032</v>
      </c>
      <c r="L162" s="21" t="str">
        <f>VLOOKUP(A162,'Trips&amp;Operators'!$C$1:$G$99999,5,FALSE)</f>
        <v>YORK EDGAR</v>
      </c>
      <c r="M162" s="6">
        <f>I162-F162</f>
        <v>8.5995370318414643E-3</v>
      </c>
      <c r="N162" s="7">
        <f>24*60*SUM($M162:$M162)</f>
        <v>12.383333325851709</v>
      </c>
      <c r="O162" s="7"/>
      <c r="P162" s="7"/>
      <c r="Q162" s="22"/>
      <c r="R162" s="190"/>
      <c r="S162" s="196">
        <f>SUM(U162:U162)/IF(AG162="EC",12,1)</f>
        <v>1</v>
      </c>
      <c r="T162" s="190" t="str">
        <f>IF(ISEVEN(LEFT(AD162,4)),"Southbound","NorthBound")</f>
        <v>Southbound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-05-03T05:06:19-0600',mode:absolute,to:'2017-05-03T07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2" s="192" t="str">
        <f>IF(AA162&lt;IF(AG162="EC",23,5.65),"Y","N")</f>
        <v>N</v>
      </c>
      <c r="X162" s="192">
        <f>VALUE(LEFT(AD162,4))-VALUE(LEFT(AD161,4))</f>
        <v>1</v>
      </c>
      <c r="Y162" s="192">
        <f>RIGHT(D162,LEN(D162)-4)/10000</f>
        <v>5.8616999999999999</v>
      </c>
      <c r="Z162" s="192">
        <f>RIGHT(H162,LEN(H162)-4)/10000</f>
        <v>7.3300000000000004E-2</v>
      </c>
      <c r="AA162" s="192">
        <f>ABS(Z162-Y162)</f>
        <v>5.7884000000000002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>IF(LEN(A162)=6,"0"&amp;A162,A162)</f>
        <v>0802-03</v>
      </c>
      <c r="AE162" s="80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s3://rtdc.mdm.uploadarchive.raw/RTDC4031/ "%USERPROFILE%\AppData\Local\Temp\OnboardLogs"\RTDC4031\2017-05-03 --exclude "*" --recursive --include "*20170503*" &amp; "%USERPROFILE%\Documents\GitHub\mrs-test-scripts\Headless Mode &amp; Sideloading\WalkAndUnGZ.bat" "%USERPROFILE%\AppData\Local\Temp\OnboardLogs"\RTDC4031\2017-05-03 &amp; aws s3 cp s3://rtdc.mdm.uploadarchive.raw/RTDC4031/ "%USERPROFILE%\AppData\Local\Temp\OnboardLogs"\RTDC4031\2017-05-04 --exclude "*" --recursive --include "*20170504*" &amp; "%USERPROFILE%\Documents\GitHub\mrs-test-scripts\Headless Mode &amp; Sideloading\WalkAndUnGZ.bat" "%USERPROFILE%\AppData\Local\Temp\OnboardLogs"\RTDC4031\2017-05-04</v>
      </c>
      <c r="AF162" s="77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/stypes="app*4031*20170503*" /stext=" 12:.+((SYSTEM_STATE.+slice.+state.+changed )|(ment ac)|(multiple cpu faults)|(system.+state.+changed )|(\[timeout)|(PRM\|1\|D)|(kpr)|(kdp)|(train st.+moving)|(\|lc)|(penalty))"</v>
      </c>
      <c r="AG162" s="1" t="str">
        <f>IFERROR(IF(VALUE(LEFT(AD162,2))&lt;=2,"EC",IF(OR(VALUE(LEFT(AD162,2))=8,VALUE(LEFT(AD162,2))=18),"NW","Other")),"Other")</f>
        <v>NW</v>
      </c>
      <c r="AH162" s="81" t="str">
        <f t="shared" si="14"/>
        <v>"%USERPROFILE%\Documents\GitHub\eaglep3\Utilities\RefineRTDCRunTimes.py" --tripid 802-03 --locoid 4031 --swversion DE.1.0.9.0 --startMP 300:58617 --initTime 2017-05-03T06:06:19 --startdatetime 2017-05-03T06:12:15 --delay 1 --endMP 204:733 --enddatetime 2017-05-03T06:24:38 --enforcementcount 0 &gt;&gt;C:\Users\stu\Documents\GitHub\eaglep3-reporting\EC\2017-05-03-refined-times.txt</v>
      </c>
      <c r="AI162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{"issue":{"subject":"","project_id":79,"tracker_id":40,"status_id":1,"priority_id":2,"assigned_to_id":23,"start_date":"2017-05-03","description":"","custom_fields":[{"id":1,"name":"Subdivision","value":"NW"},{"id":4,"name":"Milepost","value":"0.0733"},{"id":17,"name":"Train ID","value":"802-03"},{"id":16,"name":"Locomotive ID","value":"4031"},{"id":130,"name":"Impact","value":""},{"id":150,"name":"Time of Event (Mountain Time)","value":"06:24:38"},{"id":151,"name":"Denver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2" s="47"/>
      <c r="AL162" s="47"/>
      <c r="AM162" s="145" t="str">
        <f t="shared" si="16"/>
        <v>start /low /b %USERPROFILE%\Documents\GitHub\eaglep3\Utilities\DownloadLogsFromS3.py --loco 4031 --day 2017-05-03</v>
      </c>
      <c r="AN162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2" t="s">
        <v>655</v>
      </c>
      <c r="B163" s="7">
        <v>4006</v>
      </c>
      <c r="C163" s="21" t="s">
        <v>210</v>
      </c>
      <c r="D163" s="21" t="s">
        <v>953</v>
      </c>
      <c r="E163" s="13">
        <v>42858.262546296297</v>
      </c>
      <c r="F163" s="13">
        <v>42858.264745370368</v>
      </c>
      <c r="G163" s="7">
        <v>1</v>
      </c>
      <c r="H163" s="21" t="s">
        <v>954</v>
      </c>
      <c r="I163" s="13">
        <v>42858.273657407408</v>
      </c>
      <c r="J163" s="7">
        <v>0</v>
      </c>
      <c r="K163" s="92" t="str">
        <f>IF(ISEVEN(B163),(B163-1)&amp;"/"&amp;B163,B163&amp;"/"&amp;(B163+1))</f>
        <v>4005/4006</v>
      </c>
      <c r="L163" s="21" t="str">
        <f>VLOOKUP(A163,'Trips&amp;Operators'!$C$1:$G$99999,5,FALSE)</f>
        <v>LOZA FIDEL</v>
      </c>
      <c r="M163" s="6">
        <f>I163-F163</f>
        <v>8.9120370394084603E-3</v>
      </c>
      <c r="N163" s="7">
        <f>24*60*SUM($M163:$M163)</f>
        <v>12.833333336748183</v>
      </c>
      <c r="O163" s="7"/>
      <c r="P163" s="7"/>
      <c r="Q163" s="22"/>
      <c r="R163" s="190"/>
      <c r="S163" s="196">
        <f>SUM(U163:U163)/IF(AG163="EC",12,1)</f>
        <v>1</v>
      </c>
      <c r="T163" s="190" t="str">
        <f>IF(ISEVEN(LEFT(AD163,4)),"Southbound","NorthBound")</f>
        <v>NorthBound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-05-03T05:18:04-0600',mode:absolute,to:'2017-05-03T07:34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3" s="192" t="str">
        <f>IF(AA163&lt;IF(AG163="EC",23,5.65),"Y","N")</f>
        <v>N</v>
      </c>
      <c r="X163" s="192">
        <f>VALUE(LEFT(AD163,4))-VALUE(LEFT(AD162,4))</f>
        <v>1</v>
      </c>
      <c r="Y163" s="192">
        <f>RIGHT(D163,LEN(D163)-4)/10000</f>
        <v>9.6000000000000002E-2</v>
      </c>
      <c r="Z163" s="192">
        <f>RIGHT(H163,LEN(H163)-4)/10000</f>
        <v>5.8945999999999996</v>
      </c>
      <c r="AA163" s="192">
        <f>ABS(Z163-Y163)</f>
        <v>5.7985999999999995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>IF(LEN(A163)=6,"0"&amp;A163,A163)</f>
        <v>0803-03</v>
      </c>
      <c r="AE163" s="80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63" s="77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/stypes="app*4006*20170503*" /stext=" 12:.+((SYSTEM_STATE.+slice.+state.+changed )|(ment ac)|(multiple cpu faults)|(system.+state.+changed )|(\[timeout)|(PRM\|1\|D)|(kpr)|(kdp)|(train st.+moving)|(\|lc)|(penalty))"</v>
      </c>
      <c r="AG163" s="1" t="str">
        <f>IFERROR(IF(VALUE(LEFT(AD163,2))&lt;=2,"EC",IF(OR(VALUE(LEFT(AD163,2))=8,VALUE(LEFT(AD163,2))=18),"NW","Other")),"Other")</f>
        <v>NW</v>
      </c>
      <c r="AH163" s="81" t="str">
        <f t="shared" si="14"/>
        <v>"%USERPROFILE%\Documents\GitHub\eaglep3\Utilities\RefineRTDCRunTimes.py" --tripid 803-03 --locoid 4006 --swversion DE.1.0.9.0 --startMP 204:960 --initTime 2017-05-03T06:18:04 --startdatetime 2017-05-03T06:21:14 --delay 1 --endMP 300:58946 --enddatetime 2017-05-03T06:34:04 --enforcementcount 0 &gt;&gt;C:\Users\stu\Documents\GitHub\eaglep3-reporting\EC\2017-05-03-refined-times.txt</v>
      </c>
      <c r="AI163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{"issue":{"subject":"","project_id":79,"tracker_id":40,"status_id":1,"priority_id":2,"assigned_to_id":23,"start_date":"2017-05-03","description":"","custom_fields":[{"id":1,"name":"Subdivision","value":"NW"},{"id":4,"name":"Milepost","value":"5.8946"},{"id":17,"name":"Train ID","value":"803-03"},{"id":16,"name":"Locomotive ID","value":"4006"},{"id":130,"name":"Impact","value":""},{"id":150,"name":"Time of Event (Mountain Time)","value":"06:34:04"},{"id":151,"name":"Denver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5" t="str">
        <f t="shared" si="16"/>
        <v>start /low /b %USERPROFILE%\Documents\GitHub\eaglep3\Utilities\DownloadLogsFromS3.py --loco 4006 --day 2017-05-03</v>
      </c>
      <c r="AN163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12:34:04"},{"id":29,"name":"Sharepoint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2" t="s">
        <v>659</v>
      </c>
      <c r="B164" s="7">
        <v>4005</v>
      </c>
      <c r="C164" s="21" t="s">
        <v>210</v>
      </c>
      <c r="D164" s="21" t="s">
        <v>955</v>
      </c>
      <c r="E164" s="13">
        <v>42858.275682870371</v>
      </c>
      <c r="F164" s="13">
        <v>42858.277280092596</v>
      </c>
      <c r="G164" s="7">
        <v>1</v>
      </c>
      <c r="H164" s="21" t="s">
        <v>563</v>
      </c>
      <c r="I164" s="13">
        <v>42858.288298611114</v>
      </c>
      <c r="J164" s="7">
        <v>0</v>
      </c>
      <c r="K164" s="92" t="str">
        <f>IF(ISEVEN(B164),(B164-1)&amp;"/"&amp;B164,B164&amp;"/"&amp;(B164+1))</f>
        <v>4005/4006</v>
      </c>
      <c r="L164" s="21" t="str">
        <f>VLOOKUP(A164,'Trips&amp;Operators'!$C$1:$G$99999,5,FALSE)</f>
        <v>LOZA FIDEL</v>
      </c>
      <c r="M164" s="6">
        <f>I164-F164</f>
        <v>1.1018518518540077E-2</v>
      </c>
      <c r="N164" s="7">
        <f>24*60*SUM($M164:$M164)</f>
        <v>15.866666666697711</v>
      </c>
      <c r="O164" s="7"/>
      <c r="P164" s="7"/>
      <c r="Q164" s="22"/>
      <c r="R164" s="190"/>
      <c r="S164" s="196">
        <f>SUM(U164:U164)/IF(AG164="EC",12,1)</f>
        <v>1</v>
      </c>
      <c r="T164" s="190" t="str">
        <f>IF(ISEVEN(LEFT(AD164,4)),"Southbound","NorthBound")</f>
        <v>Southbound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-05-03T05:36:59-0600',mode:absolute,to:'2017-05-03T07:55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4" s="192" t="str">
        <f>IF(AA164&lt;IF(AG164="EC",23,5.65),"Y","N")</f>
        <v>N</v>
      </c>
      <c r="X164" s="192">
        <f>VALUE(LEFT(AD164,4))-VALUE(LEFT(AD163,4))</f>
        <v>1</v>
      </c>
      <c r="Y164" s="192">
        <f>RIGHT(D164,LEN(D164)-4)/10000</f>
        <v>5.8634000000000004</v>
      </c>
      <c r="Z164" s="192">
        <f>RIGHT(H164,LEN(H164)-4)/10000</f>
        <v>7.0099999999999996E-2</v>
      </c>
      <c r="AA164" s="192">
        <f>ABS(Z164-Y164)</f>
        <v>5.7933000000000003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>IF(LEN(A164)=6,"0"&amp;A164,A164)</f>
        <v>0804-03</v>
      </c>
      <c r="AE164" s="80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64" s="77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/stypes="app*4005*20170503*" /stext=" 12:.+((SYSTEM_STATE.+slice.+state.+changed )|(ment ac)|(multiple cpu faults)|(system.+state.+changed )|(\[timeout)|(PRM\|1\|D)|(kpr)|(kdp)|(train st.+moving)|(\|lc)|(penalty))"</v>
      </c>
      <c r="AG164" s="1" t="str">
        <f>IFERROR(IF(VALUE(LEFT(AD164,2))&lt;=2,"EC",IF(OR(VALUE(LEFT(AD164,2))=8,VALUE(LEFT(AD164,2))=18),"NW","Other")),"Other")</f>
        <v>NW</v>
      </c>
      <c r="AH164" s="81" t="str">
        <f t="shared" si="14"/>
        <v>"%USERPROFILE%\Documents\GitHub\eaglep3\Utilities\RefineRTDCRunTimes.py" --tripid 804-03 --locoid 4005 --swversion DE.1.0.9.0 --startMP 300:58634 --initTime 2017-05-03T06:36:59 --startdatetime 2017-05-03T06:39:17 --delay 1 --endMP 204:701 --enddatetime 2017-05-03T06:55:09 --enforcementcount 0 &gt;&gt;C:\Users\stu\Documents\GitHub\eaglep3-reporting\EC\2017-05-03-refined-times.txt</v>
      </c>
      <c r="AI164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{"issue":{"subject":"","project_id":79,"tracker_id":40,"status_id":1,"priority_id":2,"assigned_to_id":23,"start_date":"2017-05-03","description":"","custom_fields":[{"id":1,"name":"Subdivision","value":"NW"},{"id":4,"name":"Milepost","value":"0.0701"},{"id":17,"name":"Train ID","value":"804-03"},{"id":16,"name":"Locomotive ID","value":"4005"},{"id":130,"name":"Impact","value":""},{"id":150,"name":"Time of Event (Mountain Time)","value":"06:55:09"},{"id":151,"name":"Denver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16"/>
        <v>start /low /b %USERPROFILE%\Documents\GitHub\eaglep3\Utilities\DownloadLogsFromS3.py --loco 4005 --day 2017-05-03</v>
      </c>
      <c r="AN164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12:55:09"},{"id":29,"name":"Sharepoint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584</v>
      </c>
      <c r="B165" s="7">
        <v>4032</v>
      </c>
      <c r="C165" s="21" t="s">
        <v>210</v>
      </c>
      <c r="D165" s="21" t="s">
        <v>956</v>
      </c>
      <c r="E165" s="13">
        <v>42858.26798611111</v>
      </c>
      <c r="F165" s="13">
        <v>42858.285717592589</v>
      </c>
      <c r="G165" s="7">
        <v>0</v>
      </c>
      <c r="H165" s="21" t="s">
        <v>562</v>
      </c>
      <c r="I165" s="13">
        <v>42858.294398148151</v>
      </c>
      <c r="J165" s="7">
        <v>0</v>
      </c>
      <c r="K165" s="92" t="str">
        <f>IF(ISEVEN(B165),(B165-1)&amp;"/"&amp;B165,B165&amp;"/"&amp;(B165+1))</f>
        <v>4031/4032</v>
      </c>
      <c r="L165" s="21" t="str">
        <f>VLOOKUP(A165,'Trips&amp;Operators'!$C$1:$G$99999,5,FALSE)</f>
        <v>YORK EDGAR</v>
      </c>
      <c r="M165" s="6">
        <f>I165-F165</f>
        <v>8.6805555620230734E-3</v>
      </c>
      <c r="N165" s="7">
        <f>24*60*SUM($M165:$M165)</f>
        <v>12.500000009313226</v>
      </c>
      <c r="O165" s="7"/>
      <c r="P165" s="7"/>
      <c r="Q165" s="22"/>
      <c r="R165" s="190"/>
      <c r="S165" s="196">
        <f>SUM(U165:U165)/IF(AG165="EC",12,1)</f>
        <v>1</v>
      </c>
      <c r="T165" s="190" t="str">
        <f>IF(ISEVEN(LEFT(AD165,4)),"Southbound","NorthBound")</f>
        <v>NorthBound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-05-03T05:25:54-0600',mode:absolute,to:'2017-05-03T08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5" s="192" t="str">
        <f>IF(AA165&lt;IF(AG165="EC",23,5.65),"Y","N")</f>
        <v>N</v>
      </c>
      <c r="X165" s="192">
        <f>VALUE(LEFT(AD165,4))-VALUE(LEFT(AD164,4))</f>
        <v>1</v>
      </c>
      <c r="Y165" s="192">
        <f>RIGHT(D165,LEN(D165)-4)/10000</f>
        <v>0.1013</v>
      </c>
      <c r="Z165" s="192">
        <f>RIGHT(H165,LEN(H165)-4)/10000</f>
        <v>5.8928000000000003</v>
      </c>
      <c r="AA165" s="192">
        <f>ABS(Z165-Y165)</f>
        <v>5.7915000000000001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>IF(LEN(A165)=6,"0"&amp;A165,A165)</f>
        <v>0805-03</v>
      </c>
      <c r="AE165" s="80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AF165" s="77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/stypes="app*4032*20170503*" /stext=" 13:.+((SYSTEM_STATE.+slice.+state.+changed )|(ment ac)|(multiple cpu faults)|(system.+state.+changed )|(\[timeout)|(PRM\|1\|D)|(kpr)|(kdp)|(train st.+moving)|(\|lc)|(penalty))"</v>
      </c>
      <c r="AG165" s="1" t="str">
        <f>IFERROR(IF(VALUE(LEFT(AD165,2))&lt;=2,"EC",IF(OR(VALUE(LEFT(AD165,2))=8,VALUE(LEFT(AD165,2))=18),"NW","Other")),"Other")</f>
        <v>NW</v>
      </c>
      <c r="AH165" s="81" t="str">
        <f t="shared" si="14"/>
        <v>"%USERPROFILE%\Documents\GitHub\eaglep3\Utilities\RefineRTDCRunTimes.py" --tripid 805-03 --locoid 4032 --swversion DE.1.0.9.0 --startMP 204:1013 --initTime 2017-05-03T06:25:54 --startdatetime 2017-05-03T06:51:26 --delay 0 --endMP 300:58928 --enddatetime 2017-05-03T07:03:56 --enforcementcount 0 &gt;&gt;C:\Users\stu\Documents\GitHub\eaglep3-reporting\EC\2017-05-03-refined-times.txt</v>
      </c>
      <c r="AI165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{"issue":{"subject":"","project_id":79,"tracker_id":40,"status_id":1,"priority_id":2,"assigned_to_id":23,"start_date":"2017-05-03","description":"","custom_fields":[{"id":1,"name":"Subdivision","value":"NW"},{"id":4,"name":"Milepost","value":"5.8928"},{"id":17,"name":"Train ID","value":"805-03"},{"id":16,"name":"Locomotive ID","value":"4032"},{"id":130,"name":"Impact","value":""},{"id":150,"name":"Time of Event (Mountain Time)","value":"07:03:56"},{"id":151,"name":"Denver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5" t="str">
        <f t="shared" si="16"/>
        <v>start /low /b %USERPROFILE%\Documents\GitHub\eaglep3\Utilities\DownloadLogsFromS3.py --loco 4032 --day 2017-05-03</v>
      </c>
      <c r="AN165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13:03:56"},{"id":29,"name":"Sharepoint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x14ac:dyDescent="0.25">
      <c r="A166" s="32" t="s">
        <v>663</v>
      </c>
      <c r="B166" s="7">
        <v>4031</v>
      </c>
      <c r="C166" s="21" t="s">
        <v>210</v>
      </c>
      <c r="D166" s="21" t="s">
        <v>957</v>
      </c>
      <c r="E166" s="13">
        <v>42858.29515046296</v>
      </c>
      <c r="F166" s="13">
        <v>42858.300150462965</v>
      </c>
      <c r="G166" s="7">
        <v>0</v>
      </c>
      <c r="H166" s="21" t="s">
        <v>958</v>
      </c>
      <c r="I166" s="13">
        <v>42858.308842592596</v>
      </c>
      <c r="J166" s="7">
        <v>0</v>
      </c>
      <c r="K166" s="92" t="str">
        <f>IF(ISEVEN(B166),(B166-1)&amp;"/"&amp;B166,B166&amp;"/"&amp;(B166+1))</f>
        <v>4031/4032</v>
      </c>
      <c r="L166" s="21" t="str">
        <f>VLOOKUP(A166,'Trips&amp;Operators'!$C$1:$G$99999,5,FALSE)</f>
        <v>YORK EDGAR</v>
      </c>
      <c r="M166" s="6">
        <f>I166-F166</f>
        <v>8.6921296315267682E-3</v>
      </c>
      <c r="N166" s="7">
        <f>24*60*SUM($M166:$M166)</f>
        <v>12.516666669398546</v>
      </c>
      <c r="O166" s="7"/>
      <c r="P166" s="7"/>
      <c r="Q166" s="22"/>
      <c r="R166" s="190"/>
      <c r="S166" s="196">
        <f>SUM(U166:U166)/IF(AG166="EC",12,1)</f>
        <v>1</v>
      </c>
      <c r="T166" s="190" t="str">
        <f>IF(ISEVEN(LEFT(AD166,4)),"Southbound","NorthBound")</f>
        <v>Southbound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-05-03T06:05:01-0600',mode:absolute,to:'2017-05-03T08:24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6" s="192" t="str">
        <f>IF(AA166&lt;IF(AG166="EC",23,5.65),"Y","N")</f>
        <v>N</v>
      </c>
      <c r="X166" s="192">
        <f>VALUE(LEFT(AD166,4))-VALUE(LEFT(AD165,4))</f>
        <v>1</v>
      </c>
      <c r="Y166" s="192">
        <f>RIGHT(D166,LEN(D166)-4)/10000</f>
        <v>5.8605999999999998</v>
      </c>
      <c r="Z166" s="192">
        <f>RIGHT(H166,LEN(H166)-4)/10000</f>
        <v>7.22E-2</v>
      </c>
      <c r="AA166" s="192">
        <f>ABS(Z166-Y166)</f>
        <v>5.7884000000000002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>IF(LEN(A166)=6,"0"&amp;A166,A166)</f>
        <v>0806-03</v>
      </c>
      <c r="AE166" s="80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s3://rtdc.mdm.uploadarchive.raw/RTDC4031/ "%USERPROFILE%\AppData\Local\Temp\OnboardLogs"\RTDC4031\2017-05-03 --exclude "*" --recursive --include "*20170503*" &amp; "%USERPROFILE%\Documents\GitHub\mrs-test-scripts\Headless Mode &amp; Sideloading\WalkAndUnGZ.bat" "%USERPROFILE%\AppData\Local\Temp\OnboardLogs"\RTDC4031\2017-05-03 &amp; aws s3 cp s3://rtdc.mdm.uploadarchive.raw/RTDC4031/ "%USERPROFILE%\AppData\Local\Temp\OnboardLogs"\RTDC4031\2017-05-04 --exclude "*" --recursive --include "*20170504*" &amp; "%USERPROFILE%\Documents\GitHub\mrs-test-scripts\Headless Mode &amp; Sideloading\WalkAndUnGZ.bat" "%USERPROFILE%\AppData\Local\Temp\OnboardLogs"\RTDC4031\2017-05-04</v>
      </c>
      <c r="AF166" s="77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/stypes="app*4031*20170503*" /stext=" 13:.+((SYSTEM_STATE.+slice.+state.+changed )|(ment ac)|(multiple cpu faults)|(system.+state.+changed )|(\[timeout)|(PRM\|1\|D)|(kpr)|(kdp)|(train st.+moving)|(\|lc)|(penalty))"</v>
      </c>
      <c r="AG166" s="1" t="str">
        <f>IFERROR(IF(VALUE(LEFT(AD166,2))&lt;=2,"EC",IF(OR(VALUE(LEFT(AD166,2))=8,VALUE(LEFT(AD166,2))=18),"NW","Other")),"Other")</f>
        <v>NW</v>
      </c>
      <c r="AH166" s="81" t="str">
        <f t="shared" si="14"/>
        <v>"%USERPROFILE%\Documents\GitHub\eaglep3\Utilities\RefineRTDCRunTimes.py" --tripid 806-03 --locoid 4031 --swversion DE.1.0.9.0 --startMP 300:58606 --initTime 2017-05-03T07:05:01 --startdatetime 2017-05-03T07:12:13 --delay 0 --endMP 204:722 --enddatetime 2017-05-03T07:24:44 --enforcementcount 0 &gt;&gt;C:\Users\stu\Documents\GitHub\eaglep3-reporting\EC\2017-05-03-refined-times.txt</v>
      </c>
      <c r="AI166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{"issue":{"subject":"","project_id":79,"tracker_id":40,"status_id":1,"priority_id":2,"assigned_to_id":23,"start_date":"2017-05-03","description":"","custom_fields":[{"id":1,"name":"Subdivision","value":"NW"},{"id":4,"name":"Milepost","value":"0.0722"},{"id":17,"name":"Train ID","value":"806-03"},{"id":16,"name":"Locomotive ID","value":"4031"},{"id":130,"name":"Impact","value":""},{"id":150,"name":"Time of Event (Mountain Time)","value":"07:24:44"},{"id":151,"name":"Denver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7"/>
      <c r="AL166" s="47"/>
      <c r="AM166" s="145" t="str">
        <f t="shared" si="16"/>
        <v>start /low /b %USERPROFILE%\Documents\GitHub\eaglep3\Utilities\DownloadLogsFromS3.py --loco 4031 --day 2017-05-03</v>
      </c>
      <c r="AN166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13:24:44"},{"id":29,"name":"Sharepoint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2" t="s">
        <v>667</v>
      </c>
      <c r="B167" s="7">
        <v>4006</v>
      </c>
      <c r="C167" s="21" t="s">
        <v>210</v>
      </c>
      <c r="D167" s="21" t="s">
        <v>959</v>
      </c>
      <c r="E167" s="13">
        <v>42858.302939814814</v>
      </c>
      <c r="F167" s="13">
        <v>42858.30641203704</v>
      </c>
      <c r="G167" s="7">
        <v>1</v>
      </c>
      <c r="H167" s="21" t="s">
        <v>960</v>
      </c>
      <c r="I167" s="13">
        <v>42858.315381944441</v>
      </c>
      <c r="J167" s="7">
        <v>0</v>
      </c>
      <c r="K167" s="92" t="str">
        <f>IF(ISEVEN(B167),(B167-1)&amp;"/"&amp;B167,B167&amp;"/"&amp;(B167+1))</f>
        <v>4005/4006</v>
      </c>
      <c r="L167" s="21" t="str">
        <f>VLOOKUP(A167,'Trips&amp;Operators'!$C$1:$G$99999,5,FALSE)</f>
        <v>LOZA FIDEL</v>
      </c>
      <c r="M167" s="6">
        <f>I167-F167</f>
        <v>8.9699074014788494E-3</v>
      </c>
      <c r="N167" s="7">
        <f>24*60*SUM($M167:$M167)</f>
        <v>12.916666658129543</v>
      </c>
      <c r="O167" s="7"/>
      <c r="P167" s="7"/>
      <c r="Q167" s="22"/>
      <c r="R167" s="190"/>
      <c r="S167" s="196">
        <f>SUM(U167:U167)/IF(AG167="EC",12,1)</f>
        <v>1</v>
      </c>
      <c r="T167" s="190" t="str">
        <f>IF(ISEVEN(LEFT(AD167,4)),"Southbound","NorthBound")</f>
        <v>NorthBound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-05-03T06:16:14-0600',mode:absolute,to:'2017-05-03T08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7" s="192" t="str">
        <f>IF(AA167&lt;IF(AG167="EC",23,5.65),"Y","N")</f>
        <v>N</v>
      </c>
      <c r="X167" s="192">
        <f>VALUE(LEFT(AD167,4))-VALUE(LEFT(AD166,4))</f>
        <v>1</v>
      </c>
      <c r="Y167" s="192">
        <f>RIGHT(D167,LEN(D167)-4)/10000</f>
        <v>9.7600000000000006E-2</v>
      </c>
      <c r="Z167" s="192">
        <f>RIGHT(H167,LEN(H167)-4)/10000</f>
        <v>5.8954000000000004</v>
      </c>
      <c r="AA167" s="192">
        <f>ABS(Z167-Y167)</f>
        <v>5.7978000000000005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>IF(LEN(A167)=6,"0"&amp;A167,A167)</f>
        <v>0807-03</v>
      </c>
      <c r="AE167" s="80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67" s="77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/stypes="app*4006*20170503*" /stext=" 13:.+((SYSTEM_STATE.+slice.+state.+changed )|(ment ac)|(multiple cpu faults)|(system.+state.+changed )|(\[timeout)|(PRM\|1\|D)|(kpr)|(kdp)|(train st.+moving)|(\|lc)|(penalty))"</v>
      </c>
      <c r="AG167" s="1" t="str">
        <f>IFERROR(IF(VALUE(LEFT(AD167,2))&lt;=2,"EC",IF(OR(VALUE(LEFT(AD167,2))=8,VALUE(LEFT(AD167,2))=18),"NW","Other")),"Other")</f>
        <v>NW</v>
      </c>
      <c r="AH167" s="81" t="str">
        <f t="shared" si="14"/>
        <v>"%USERPROFILE%\Documents\GitHub\eaglep3\Utilities\RefineRTDCRunTimes.py" --tripid 807-03 --locoid 4006 --swversion DE.1.0.9.0 --startMP 204:976 --initTime 2017-05-03T07:16:14 --startdatetime 2017-05-03T07:21:14 --delay 1 --endMP 300:58954 --enddatetime 2017-05-03T07:34:09 --enforcementcount 0 &gt;&gt;C:\Users\stu\Documents\GitHub\eaglep3-reporting\EC\2017-05-03-refined-times.txt</v>
      </c>
      <c r="AI167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{"issue":{"subject":"","project_id":79,"tracker_id":40,"status_id":1,"priority_id":2,"assigned_to_id":23,"start_date":"2017-05-03","description":"","custom_fields":[{"id":1,"name":"Subdivision","value":"NW"},{"id":4,"name":"Milepost","value":"5.8954"},{"id":17,"name":"Train ID","value":"807-03"},{"id":16,"name":"Locomotive ID","value":"4006"},{"id":130,"name":"Impact","value":""},{"id":150,"name":"Time of Event (Mountain Time)","value":"07:34:09"},{"id":151,"name":"Denver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16"/>
        <v>start /low /b %USERPROFILE%\Documents\GitHub\eaglep3\Utilities\DownloadLogsFromS3.py --loco 4006 --day 2017-05-03</v>
      </c>
      <c r="AN167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670</v>
      </c>
      <c r="B168" s="7">
        <v>4005</v>
      </c>
      <c r="C168" s="21" t="s">
        <v>210</v>
      </c>
      <c r="D168" s="21" t="s">
        <v>955</v>
      </c>
      <c r="E168" s="13">
        <v>42858.316736111112</v>
      </c>
      <c r="F168" s="13">
        <v>42858.318356481483</v>
      </c>
      <c r="G168" s="7">
        <v>1</v>
      </c>
      <c r="H168" s="21" t="s">
        <v>961</v>
      </c>
      <c r="I168" s="13">
        <v>42858.330578703702</v>
      </c>
      <c r="J168" s="7">
        <v>0</v>
      </c>
      <c r="K168" s="92" t="str">
        <f>IF(ISEVEN(B168),(B168-1)&amp;"/"&amp;B168,B168&amp;"/"&amp;(B168+1))</f>
        <v>4005/4006</v>
      </c>
      <c r="L168" s="21" t="str">
        <f>VLOOKUP(A168,'Trips&amp;Operators'!$C$1:$G$99999,5,FALSE)</f>
        <v>LOZA FIDEL</v>
      </c>
      <c r="M168" s="6">
        <f>I168-F168</f>
        <v>1.2222222219861578E-2</v>
      </c>
      <c r="N168" s="7">
        <f>24*60*SUM($M168:$M168)</f>
        <v>17.599999996600673</v>
      </c>
      <c r="O168" s="7"/>
      <c r="P168" s="7"/>
      <c r="Q168" s="22"/>
      <c r="R168" s="190"/>
      <c r="S168" s="196">
        <f>SUM(U168:U168)/IF(AG168="EC",12,1)</f>
        <v>1</v>
      </c>
      <c r="T168" s="190" t="str">
        <f>IF(ISEVEN(LEFT(AD168,4)),"Southbound","NorthBound")</f>
        <v>Southbound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-05-03T06:36:06-0600',mode:absolute,to:'2017-05-03T08:56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8" s="192" t="str">
        <f>IF(AA168&lt;IF(AG168="EC",23,5.65),"Y","N")</f>
        <v>N</v>
      </c>
      <c r="X168" s="192">
        <f>VALUE(LEFT(AD168,4))-VALUE(LEFT(AD167,4))</f>
        <v>1</v>
      </c>
      <c r="Y168" s="192">
        <f>RIGHT(D168,LEN(D168)-4)/10000</f>
        <v>5.8634000000000004</v>
      </c>
      <c r="Z168" s="192">
        <f>RIGHT(H168,LEN(H168)-4)/10000</f>
        <v>6.8500000000000005E-2</v>
      </c>
      <c r="AA168" s="192">
        <f>ABS(Z168-Y168)</f>
        <v>5.7949000000000002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>IF(LEN(A168)=6,"0"&amp;A168,A168)</f>
        <v>0808-03</v>
      </c>
      <c r="AE168" s="80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68" s="77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/stypes="app*4005*20170503*" /stext=" 13:.+((SYSTEM_STATE.+slice.+state.+changed )|(ment ac)|(multiple cpu faults)|(system.+state.+changed )|(\[timeout)|(PRM\|1\|D)|(kpr)|(kdp)|(train st.+moving)|(\|lc)|(penalty))"</v>
      </c>
      <c r="AG168" s="1" t="str">
        <f>IFERROR(IF(VALUE(LEFT(AD168,2))&lt;=2,"EC",IF(OR(VALUE(LEFT(AD168,2))=8,VALUE(LEFT(AD168,2))=18),"NW","Other")),"Other")</f>
        <v>NW</v>
      </c>
      <c r="AH168" s="81" t="str">
        <f t="shared" si="14"/>
        <v>"%USERPROFILE%\Documents\GitHub\eaglep3\Utilities\RefineRTDCRunTimes.py" --tripid 808-03 --locoid 4005 --swversion DE.1.0.9.0 --startMP 300:58634 --initTime 2017-05-03T07:36:06 --startdatetime 2017-05-03T07:38:26 --delay 1 --endMP 204:685 --enddatetime 2017-05-03T07:56:02 --enforcementcount 0 &gt;&gt;C:\Users\stu\Documents\GitHub\eaglep3-reporting\EC\2017-05-03-refined-times.txt</v>
      </c>
      <c r="AI168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{"issue":{"subject":"","project_id":79,"tracker_id":40,"status_id":1,"priority_id":2,"assigned_to_id":23,"start_date":"2017-05-03","description":"","custom_fields":[{"id":1,"name":"Subdivision","value":"NW"},{"id":4,"name":"Milepost","value":"0.0685"},{"id":17,"name":"Train ID","value":"808-03"},{"id":16,"name":"Locomotive ID","value":"4005"},{"id":130,"name":"Impact","value":""},{"id":150,"name":"Time of Event (Mountain Time)","value":"07:56:02"},{"id":151,"name":"Denver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16"/>
        <v>start /low /b %USERPROFILE%\Documents\GitHub\eaglep3\Utilities\DownloadLogsFromS3.py --loco 4005 --day 2017-05-03</v>
      </c>
      <c r="AN168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13:56:02"},{"id":29,"name":"Sharepoint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x14ac:dyDescent="0.25">
      <c r="A169" s="32" t="s">
        <v>673</v>
      </c>
      <c r="B169" s="7">
        <v>4032</v>
      </c>
      <c r="C169" s="21" t="s">
        <v>210</v>
      </c>
      <c r="D169" s="21" t="s">
        <v>962</v>
      </c>
      <c r="E169" s="13">
        <v>42858.32675925926</v>
      </c>
      <c r="F169" s="13">
        <v>42858.327881944446</v>
      </c>
      <c r="G169" s="7">
        <v>0</v>
      </c>
      <c r="H169" s="21" t="s">
        <v>564</v>
      </c>
      <c r="I169" s="13">
        <v>42858.336006944446</v>
      </c>
      <c r="J169" s="7">
        <v>0</v>
      </c>
      <c r="K169" s="92" t="str">
        <f>IF(ISEVEN(B169),(B169-1)&amp;"/"&amp;B169,B169&amp;"/"&amp;(B169+1))</f>
        <v>4031/4032</v>
      </c>
      <c r="L169" s="21" t="str">
        <f>VLOOKUP(A169,'Trips&amp;Operators'!$C$1:$G$99999,5,FALSE)</f>
        <v>YORK EDGAR</v>
      </c>
      <c r="M169" s="6">
        <f>I169-F169</f>
        <v>8.1250000002910383E-3</v>
      </c>
      <c r="N169" s="7">
        <f>24*60*SUM($M169:$M169)</f>
        <v>11.700000000419095</v>
      </c>
      <c r="O169" s="7"/>
      <c r="P169" s="7"/>
      <c r="Q169" s="22"/>
      <c r="R169" s="190"/>
      <c r="S169" s="196">
        <f>SUM(U169:U169)/IF(AG169="EC",12,1)</f>
        <v>1</v>
      </c>
      <c r="T169" s="190" t="str">
        <f>IF(ISEVEN(LEFT(AD169,4)),"Southbound","NorthBound")</f>
        <v>NorthBound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-05-03T06:50:32-0600',mode:absolute,to:'2017-05-03T09:03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69" s="192" t="str">
        <f>IF(AA169&lt;IF(AG169="EC",23,5.65),"Y","N")</f>
        <v>N</v>
      </c>
      <c r="X169" s="192">
        <f>VALUE(LEFT(AD169,4))-VALUE(LEFT(AD168,4))</f>
        <v>1</v>
      </c>
      <c r="Y169" s="192">
        <f>RIGHT(D169,LEN(D169)-4)/10000</f>
        <v>0.1007</v>
      </c>
      <c r="Z169" s="192">
        <f>RIGHT(H169,LEN(H169)-4)/10000</f>
        <v>5.8935000000000004</v>
      </c>
      <c r="AA169" s="192">
        <f>ABS(Z169-Y169)</f>
        <v>5.7928000000000006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>IF(LEN(A169)=6,"0"&amp;A169,A169)</f>
        <v>0809-03</v>
      </c>
      <c r="AE169" s="80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AF169" s="77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/stypes="app*4032*20170503*" /stext=" 14:.+((SYSTEM_STATE.+slice.+state.+changed )|(ment ac)|(multiple cpu faults)|(system.+state.+changed )|(\[timeout)|(PRM\|1\|D)|(kpr)|(kdp)|(train st.+moving)|(\|lc)|(penalty))"</v>
      </c>
      <c r="AG169" s="1" t="str">
        <f>IFERROR(IF(VALUE(LEFT(AD169,2))&lt;=2,"EC",IF(OR(VALUE(LEFT(AD169,2))=8,VALUE(LEFT(AD169,2))=18),"NW","Other")),"Other")</f>
        <v>NW</v>
      </c>
      <c r="AH169" s="81" t="str">
        <f t="shared" si="14"/>
        <v>"%USERPROFILE%\Documents\GitHub\eaglep3\Utilities\RefineRTDCRunTimes.py" --tripid 809-03 --locoid 4032 --swversion DE.1.0.9.0 --startMP 204:1007 --initTime 2017-05-03T07:50:32 --startdatetime 2017-05-03T07:52:09 --delay 0 --endMP 300:58935 --enddatetime 2017-05-03T08:03:51 --enforcementcount 0 &gt;&gt;C:\Users\stu\Documents\GitHub\eaglep3-reporting\EC\2017-05-03-refined-times.txt</v>
      </c>
      <c r="AI169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{"issue":{"subject":"","project_id":79,"tracker_id":40,"status_id":1,"priority_id":2,"assigned_to_id":23,"start_date":"2017-05-03","description":"","custom_fields":[{"id":1,"name":"Subdivision","value":"NW"},{"id":4,"name":"Milepost","value":"5.8935"},{"id":17,"name":"Train ID","value":"809-03"},{"id":16,"name":"Locomotive ID","value":"4032"},{"id":130,"name":"Impact","value":""},{"id":150,"name":"Time of Event (Mountain Time)","value":"08:03:51"},{"id":151,"name":"Denver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20"/>
      <c r="AK169" s="47"/>
      <c r="AL169" s="47"/>
      <c r="AM169" s="145" t="str">
        <f t="shared" si="16"/>
        <v>start /low /b %USERPROFILE%\Documents\GitHub\eaglep3\Utilities\DownloadLogsFromS3.py --loco 4032 --day 2017-05-03</v>
      </c>
      <c r="AN169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14:03:51"},{"id":29,"name":"Sharepoint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0" spans="1:91" x14ac:dyDescent="0.25">
      <c r="A170" s="32" t="s">
        <v>675</v>
      </c>
      <c r="B170" s="7">
        <v>4031</v>
      </c>
      <c r="C170" s="21" t="s">
        <v>210</v>
      </c>
      <c r="D170" s="21" t="s">
        <v>949</v>
      </c>
      <c r="E170" s="13">
        <v>42858.336886574078</v>
      </c>
      <c r="F170" s="13">
        <v>42858.341354166667</v>
      </c>
      <c r="G170" s="7">
        <v>1</v>
      </c>
      <c r="H170" s="21" t="s">
        <v>963</v>
      </c>
      <c r="I170" s="13">
        <v>42858.350497685184</v>
      </c>
      <c r="J170" s="7">
        <v>0</v>
      </c>
      <c r="K170" s="92" t="str">
        <f>IF(ISEVEN(B170),(B170-1)&amp;"/"&amp;B170,B170&amp;"/"&amp;(B170+1))</f>
        <v>4031/4032</v>
      </c>
      <c r="L170" s="21" t="str">
        <f>VLOOKUP(A170,'Trips&amp;Operators'!$C$1:$G$99999,5,FALSE)</f>
        <v>YORK EDGAR</v>
      </c>
      <c r="M170" s="6">
        <f>I170-F170</f>
        <v>9.1435185167938471E-3</v>
      </c>
      <c r="N170" s="7">
        <f>24*60*SUM($M170:$M170)</f>
        <v>13.16666666418314</v>
      </c>
      <c r="O170" s="7"/>
      <c r="P170" s="7"/>
      <c r="Q170" s="22"/>
      <c r="R170" s="190"/>
      <c r="S170" s="196">
        <f>SUM(U170:U170)/IF(AG170="EC",12,1)</f>
        <v>1</v>
      </c>
      <c r="T170" s="190" t="str">
        <f>IF(ISEVEN(LEFT(AD170,4)),"Southbound","NorthBound")</f>
        <v>Southbound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-05-03T07:05:07-0600',mode:absolute,to:'2017-05-03T09:24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70" s="192" t="str">
        <f>IF(AA170&lt;IF(AG170="EC",23,5.65),"Y","N")</f>
        <v>N</v>
      </c>
      <c r="X170" s="192">
        <f>VALUE(LEFT(AD170,4))-VALUE(LEFT(AD169,4))</f>
        <v>1</v>
      </c>
      <c r="Y170" s="192">
        <f>RIGHT(D170,LEN(D170)-4)/10000</f>
        <v>5.8616999999999999</v>
      </c>
      <c r="Z170" s="192">
        <f>RIGHT(H170,LEN(H170)-4)/10000</f>
        <v>8.0799999999999997E-2</v>
      </c>
      <c r="AA170" s="192">
        <f>ABS(Z170-Y170)</f>
        <v>5.7808999999999999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>IF(LEN(A170)=6,"0"&amp;A170,A170)</f>
        <v>0810-03</v>
      </c>
      <c r="AE170" s="80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s3://rtdc.mdm.uploadarchive.raw/RTDC4031/ "%USERPROFILE%\AppData\Local\Temp\OnboardLogs"\RTDC4031\2017-05-03 --exclude "*" --recursive --include "*20170503*" &amp; "%USERPROFILE%\Documents\GitHub\mrs-test-scripts\Headless Mode &amp; Sideloading\WalkAndUnGZ.bat" "%USERPROFILE%\AppData\Local\Temp\OnboardLogs"\RTDC4031\2017-05-03 &amp; aws s3 cp s3://rtdc.mdm.uploadarchive.raw/RTDC4031/ "%USERPROFILE%\AppData\Local\Temp\OnboardLogs"\RTDC4031\2017-05-04 --exclude "*" --recursive --include "*20170504*" &amp; "%USERPROFILE%\Documents\GitHub\mrs-test-scripts\Headless Mode &amp; Sideloading\WalkAndUnGZ.bat" "%USERPROFILE%\AppData\Local\Temp\OnboardLogs"\RTDC4031\2017-05-04</v>
      </c>
      <c r="AF170" s="77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/stypes="app*4031*20170503*" /stext=" 14:.+((SYSTEM_STATE.+slice.+state.+changed )|(ment ac)|(multiple cpu faults)|(system.+state.+changed )|(\[timeout)|(PRM\|1\|D)|(kpr)|(kdp)|(train st.+moving)|(\|lc)|(penalty))"</v>
      </c>
      <c r="AG170" s="1" t="str">
        <f>IFERROR(IF(VALUE(LEFT(AD170,2))&lt;=2,"EC",IF(OR(VALUE(LEFT(AD170,2))=8,VALUE(LEFT(AD170,2))=18),"NW","Other")),"Other")</f>
        <v>NW</v>
      </c>
      <c r="AH170" s="81" t="str">
        <f t="shared" si="14"/>
        <v>"%USERPROFILE%\Documents\GitHub\eaglep3\Utilities\RefineRTDCRunTimes.py" --tripid 810-03 --locoid 4031 --swversion DE.1.0.9.0 --startMP 300:58617 --initTime 2017-05-03T08:05:07 --startdatetime 2017-05-03T08:11:33 --delay 1 --endMP 204:808 --enddatetime 2017-05-03T08:24:43 --enforcementcount 0 &gt;&gt;C:\Users\stu\Documents\GitHub\eaglep3-reporting\EC\2017-05-03-refined-times.txt</v>
      </c>
      <c r="AI170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{"issue":{"subject":"","project_id":79,"tracker_id":40,"status_id":1,"priority_id":2,"assigned_to_id":23,"start_date":"2017-05-03","description":"","custom_fields":[{"id":1,"name":"Subdivision","value":"NW"},{"id":4,"name":"Milepost","value":"0.0808"},{"id":17,"name":"Train ID","value":"810-03"},{"id":16,"name":"Locomotive ID","value":"4031"},{"id":130,"name":"Impact","value":""},{"id":150,"name":"Time of Event (Mountain Time)","value":"08:24:43"},{"id":151,"name":"Denver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16"/>
        <v>start /low /b %USERPROFILE%\Documents\GitHub\eaglep3\Utilities\DownloadLogsFromS3.py --loco 4031 --day 2017-05-03</v>
      </c>
      <c r="AN170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14:24:43"},{"id":29,"name":"Sharepoint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s="20" customFormat="1" x14ac:dyDescent="0.25">
      <c r="A171" s="32" t="s">
        <v>679</v>
      </c>
      <c r="B171" s="7">
        <v>4006</v>
      </c>
      <c r="C171" s="21" t="s">
        <v>210</v>
      </c>
      <c r="D171" s="21" t="s">
        <v>964</v>
      </c>
      <c r="E171" s="13">
        <v>42858.345231481479</v>
      </c>
      <c r="F171" s="13">
        <v>42858.348078703704</v>
      </c>
      <c r="G171" s="7">
        <v>1</v>
      </c>
      <c r="H171" s="21" t="s">
        <v>565</v>
      </c>
      <c r="I171" s="13">
        <v>42858.356898148151</v>
      </c>
      <c r="J171" s="7">
        <v>0</v>
      </c>
      <c r="K171" s="92" t="str">
        <f>IF(ISEVEN(B171),(B171-1)&amp;"/"&amp;B171,B171&amp;"/"&amp;(B171+1))</f>
        <v>4005/4006</v>
      </c>
      <c r="L171" s="21" t="str">
        <f>VLOOKUP(A171,'Trips&amp;Operators'!$C$1:$G$99999,5,FALSE)</f>
        <v>LOZA FIDEL</v>
      </c>
      <c r="M171" s="6">
        <f>I171-F171</f>
        <v>8.819444446999114E-3</v>
      </c>
      <c r="N171" s="7">
        <f>24*60*SUM($M171:$M171)</f>
        <v>12.700000003678724</v>
      </c>
      <c r="O171" s="7"/>
      <c r="P171" s="7"/>
      <c r="Q171" s="22"/>
      <c r="R171" s="190"/>
      <c r="S171" s="196">
        <f>SUM(U171:U171)/IF(AG171="EC",12,1)</f>
        <v>1</v>
      </c>
      <c r="T171" s="190" t="str">
        <f>IF(ISEVEN(LEFT(AD171,4)),"Southbound","NorthBound")</f>
        <v>NorthBound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-05-03T07:17:08-0600',mode:absolute,to:'2017-05-03T09:33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1" s="192" t="str">
        <f>IF(AA171&lt;IF(AG171="EC",23,5.65),"Y","N")</f>
        <v>N</v>
      </c>
      <c r="X171" s="192">
        <f>VALUE(LEFT(AD171,4))-VALUE(LEFT(AD170,4))</f>
        <v>1</v>
      </c>
      <c r="Y171" s="192">
        <f>RIGHT(D171,LEN(D171)-4)/10000</f>
        <v>9.7100000000000006E-2</v>
      </c>
      <c r="Z171" s="192">
        <f>RIGHT(H171,LEN(H171)-4)/10000</f>
        <v>5.8958000000000004</v>
      </c>
      <c r="AA171" s="192">
        <f>ABS(Z171-Y171)</f>
        <v>5.7987000000000002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>IF(LEN(A171)=6,"0"&amp;A171,A171)</f>
        <v>0811-03</v>
      </c>
      <c r="AE171" s="80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71" s="77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/stypes="app*4006*20170503*" /stext=" 14:.+((SYSTEM_STATE.+slice.+state.+changed )|(ment ac)|(multiple cpu faults)|(system.+state.+changed )|(\[timeout)|(PRM\|1\|D)|(kpr)|(kdp)|(train st.+moving)|(\|lc)|(penalty))"</v>
      </c>
      <c r="AG171" s="1" t="str">
        <f>IFERROR(IF(VALUE(LEFT(AD171,2))&lt;=2,"EC",IF(OR(VALUE(LEFT(AD171,2))=8,VALUE(LEFT(AD171,2))=18),"NW","Other")),"Other")</f>
        <v>NW</v>
      </c>
      <c r="AH171" s="81" t="str">
        <f t="shared" si="14"/>
        <v>"%USERPROFILE%\Documents\GitHub\eaglep3\Utilities\RefineRTDCRunTimes.py" --tripid 811-03 --locoid 4006 --swversion DE.1.0.9.0 --startMP 204:971 --initTime 2017-05-03T08:17:08 --startdatetime 2017-05-03T08:21:14 --delay 1 --endMP 300:58958 --enddatetime 2017-05-03T08:33:56 --enforcementcount 0 &gt;&gt;C:\Users\stu\Documents\GitHub\eaglep3-reporting\EC\2017-05-03-refined-times.txt</v>
      </c>
      <c r="AI171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{"issue":{"subject":"","project_id":79,"tracker_id":40,"status_id":1,"priority_id":2,"assigned_to_id":23,"start_date":"2017-05-03","description":"","custom_fields":[{"id":1,"name":"Subdivision","value":"NW"},{"id":4,"name":"Milepost","value":"5.8958"},{"id":17,"name":"Train ID","value":"811-03"},{"id":16,"name":"Locomotive ID","value":"4006"},{"id":130,"name":"Impact","value":""},{"id":150,"name":"Time of Event (Mountain Time)","value":"08:33:56"},{"id":151,"name":"Denver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7"/>
      <c r="AL171" s="47"/>
      <c r="AM171" s="145" t="str">
        <f t="shared" si="16"/>
        <v>start /low /b %USERPROFILE%\Documents\GitHub\eaglep3\Utilities\DownloadLogsFromS3.py --loco 4006 --day 2017-05-03</v>
      </c>
      <c r="AN171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14:33:56"},{"id":29,"name":"Sharepoint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683</v>
      </c>
      <c r="B172" s="7">
        <v>4005</v>
      </c>
      <c r="C172" s="21" t="s">
        <v>210</v>
      </c>
      <c r="D172" s="21" t="s">
        <v>965</v>
      </c>
      <c r="E172" s="13">
        <v>42858.358263888891</v>
      </c>
      <c r="F172" s="13">
        <v>42858.360011574077</v>
      </c>
      <c r="G172" s="7">
        <v>1</v>
      </c>
      <c r="H172" s="21" t="s">
        <v>568</v>
      </c>
      <c r="I172" s="13">
        <v>42858.371076388888</v>
      </c>
      <c r="J172" s="7">
        <v>0</v>
      </c>
      <c r="K172" s="92" t="str">
        <f>IF(ISEVEN(B172),(B172-1)&amp;"/"&amp;B172,B172&amp;"/"&amp;(B172+1))</f>
        <v>4005/4006</v>
      </c>
      <c r="L172" s="21" t="str">
        <f>VLOOKUP(A172,'Trips&amp;Operators'!$C$1:$G$99999,5,FALSE)</f>
        <v>LOZA FIDEL</v>
      </c>
      <c r="M172" s="6">
        <f>I172-F172</f>
        <v>1.1064814811106771E-2</v>
      </c>
      <c r="N172" s="7">
        <f>24*60*SUM($M172:$M172)</f>
        <v>15.933333327993751</v>
      </c>
      <c r="O172" s="7"/>
      <c r="P172" s="7"/>
      <c r="Q172" s="22"/>
      <c r="R172" s="190"/>
      <c r="S172" s="196">
        <f>SUM(U172:U172)/IF(AG172="EC",12,1)</f>
        <v>1</v>
      </c>
      <c r="T172" s="190" t="str">
        <f>IF(ISEVEN(LEFT(AD172,4)),"Southbound","NorthBound")</f>
        <v>Southbound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-05-03T07:35:54-0600',mode:absolute,to:'2017-05-03T09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2" s="192" t="str">
        <f>IF(AA172&lt;IF(AG172="EC",23,5.65),"Y","N")</f>
        <v>N</v>
      </c>
      <c r="X172" s="192">
        <f>VALUE(LEFT(AD172,4))-VALUE(LEFT(AD171,4))</f>
        <v>1</v>
      </c>
      <c r="Y172" s="192">
        <f>RIGHT(D172,LEN(D172)-4)/10000</f>
        <v>5.8638000000000003</v>
      </c>
      <c r="Z172" s="192">
        <f>RIGHT(H172,LEN(H172)-4)/10000</f>
        <v>6.8000000000000005E-2</v>
      </c>
      <c r="AA172" s="192">
        <f>ABS(Z172-Y172)</f>
        <v>5.7958000000000007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>IF(LEN(A172)=6,"0"&amp;A172,A172)</f>
        <v>0812-03</v>
      </c>
      <c r="AE172" s="80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72" s="77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/stypes="app*4005*20170503*" /stext=" 14:.+((SYSTEM_STATE.+slice.+state.+changed )|(ment ac)|(multiple cpu faults)|(system.+state.+changed )|(\[timeout)|(PRM\|1\|D)|(kpr)|(kdp)|(train st.+moving)|(\|lc)|(penalty))"</v>
      </c>
      <c r="AG172" s="1" t="str">
        <f>IFERROR(IF(VALUE(LEFT(AD172,2))&lt;=2,"EC",IF(OR(VALUE(LEFT(AD172,2))=8,VALUE(LEFT(AD172,2))=18),"NW","Other")),"Other")</f>
        <v>NW</v>
      </c>
      <c r="AH172" s="81" t="str">
        <f t="shared" si="14"/>
        <v>"%USERPROFILE%\Documents\GitHub\eaglep3\Utilities\RefineRTDCRunTimes.py" --tripid 812-03 --locoid 4005 --swversion DE.1.0.9.0 --startMP 300:58638 --initTime 2017-05-03T08:35:54 --startdatetime 2017-05-03T08:38:25 --delay 1 --endMP 204:680 --enddatetime 2017-05-03T08:54:21 --enforcementcount 0 &gt;&gt;C:\Users\stu\Documents\GitHub\eaglep3-reporting\EC\2017-05-03-refined-times.txt</v>
      </c>
      <c r="AI172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{"issue":{"subject":"","project_id":79,"tracker_id":40,"status_id":1,"priority_id":2,"assigned_to_id":23,"start_date":"2017-05-03","description":"","custom_fields":[{"id":1,"name":"Subdivision","value":"NW"},{"id":4,"name":"Milepost","value":"0.068"},{"id":17,"name":"Train ID","value":"812-03"},{"id":16,"name":"Locomotive ID","value":"4005"},{"id":130,"name":"Impact","value":""},{"id":150,"name":"Time of Event (Mountain Time)","value":"08:54:21"},{"id":151,"name":"Denver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2" s="47"/>
      <c r="AL172" s="47"/>
      <c r="AM172" s="145" t="str">
        <f t="shared" si="16"/>
        <v>start /low /b %USERPROFILE%\Documents\GitHub\eaglep3\Utilities\DownloadLogsFromS3.py --loco 4005 --day 2017-05-03</v>
      </c>
      <c r="AN172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691</v>
      </c>
      <c r="B173" s="7">
        <v>4006</v>
      </c>
      <c r="C173" s="21" t="s">
        <v>210</v>
      </c>
      <c r="D173" s="21" t="s">
        <v>966</v>
      </c>
      <c r="E173" s="13">
        <v>42858.385555555556</v>
      </c>
      <c r="F173" s="13">
        <v>42858.389756944445</v>
      </c>
      <c r="G173" s="7">
        <v>1</v>
      </c>
      <c r="H173" s="21" t="s">
        <v>960</v>
      </c>
      <c r="I173" s="13">
        <v>42858.398634259262</v>
      </c>
      <c r="J173" s="7">
        <v>0</v>
      </c>
      <c r="K173" s="92" t="str">
        <f>IF(ISEVEN(B173),(B173-1)&amp;"/"&amp;B173,B173&amp;"/"&amp;(B173+1))</f>
        <v>4005/4006</v>
      </c>
      <c r="L173" s="21" t="str">
        <f>VLOOKUP(A173,'Trips&amp;Operators'!$C$1:$G$99999,5,FALSE)</f>
        <v>LOZA FIDEL</v>
      </c>
      <c r="M173" s="6">
        <f>I173-F173</f>
        <v>8.8773148163454607E-3</v>
      </c>
      <c r="N173" s="7">
        <f>24*60*SUM($M173:$M173)</f>
        <v>12.783333335537463</v>
      </c>
      <c r="O173" s="7"/>
      <c r="P173" s="7"/>
      <c r="Q173" s="22"/>
      <c r="R173" s="190"/>
      <c r="S173" s="196">
        <f>SUM(U173:U173)/IF(AG173="EC",12,1)</f>
        <v>1</v>
      </c>
      <c r="T173" s="190" t="str">
        <f>IF(ISEVEN(LEFT(AD173,4)),"Southbound","NorthBound")</f>
        <v>NorthBound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-05-03T08:15:12-0600',mode:absolute,to:'2017-05-03T10:34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3" s="192" t="str">
        <f>IF(AA173&lt;IF(AG173="EC",23,5.65),"Y","N")</f>
        <v>N</v>
      </c>
      <c r="X173" s="192">
        <f>VALUE(LEFT(AD173,4))-VALUE(LEFT(AD172,4))</f>
        <v>1</v>
      </c>
      <c r="Y173" s="192">
        <f>RIGHT(D173,LEN(D173)-4)/10000</f>
        <v>9.8299999999999998E-2</v>
      </c>
      <c r="Z173" s="192">
        <f>RIGHT(H173,LEN(H173)-4)/10000</f>
        <v>5.8954000000000004</v>
      </c>
      <c r="AA173" s="192">
        <f>ABS(Z173-Y173)</f>
        <v>5.7971000000000004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>IF(LEN(A173)=6,"0"&amp;A173,A173)</f>
        <v>0813-03</v>
      </c>
      <c r="AE173" s="80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73" s="77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/stypes="app*4006*20170503*" /stext=" 15:.+((SYSTEM_STATE.+slice.+state.+changed )|(ment ac)|(multiple cpu faults)|(system.+state.+changed )|(\[timeout)|(PRM\|1\|D)|(kpr)|(kdp)|(train st.+moving)|(\|lc)|(penalty))"</v>
      </c>
      <c r="AG173" s="1" t="str">
        <f>IFERROR(IF(VALUE(LEFT(AD173,2))&lt;=2,"EC",IF(OR(VALUE(LEFT(AD173,2))=8,VALUE(LEFT(AD173,2))=18),"NW","Other")),"Other")</f>
        <v>NW</v>
      </c>
      <c r="AH173" s="81" t="str">
        <f t="shared" si="14"/>
        <v>"%USERPROFILE%\Documents\GitHub\eaglep3\Utilities\RefineRTDCRunTimes.py" --tripid 813-03 --locoid 4006 --swversion DE.1.0.9.0 --startMP 204:983 --initTime 2017-05-03T09:15:12 --startdatetime 2017-05-03T09:21:15 --delay 1 --endMP 300:58954 --enddatetime 2017-05-03T09:34:02 --enforcementcount 0 &gt;&gt;C:\Users\stu\Documents\GitHub\eaglep3-reporting\EC\2017-05-03-refined-times.txt</v>
      </c>
      <c r="AI173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{"issue":{"subject":"","project_id":79,"tracker_id":40,"status_id":1,"priority_id":2,"assigned_to_id":23,"start_date":"2017-05-03","description":"","custom_fields":[{"id":1,"name":"Subdivision","value":"NW"},{"id":4,"name":"Milepost","value":"5.8954"},{"id":17,"name":"Train ID","value":"813-03"},{"id":16,"name":"Locomotive ID","value":"4006"},{"id":130,"name":"Impact","value":""},{"id":150,"name":"Time of Event (Mountain Time)","value":"09:34:02"},{"id":151,"name":"Denver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16"/>
        <v>start /low /b %USERPROFILE%\Documents\GitHub\eaglep3\Utilities\DownloadLogsFromS3.py --loco 4006 --day 2017-05-03</v>
      </c>
      <c r="AN173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15:34:02"},{"id":29,"name":"Sharepoint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694</v>
      </c>
      <c r="B174" s="7">
        <v>4005</v>
      </c>
      <c r="C174" s="21" t="s">
        <v>210</v>
      </c>
      <c r="D174" s="21" t="s">
        <v>967</v>
      </c>
      <c r="E174" s="13">
        <v>42858.40048611111</v>
      </c>
      <c r="F174" s="13">
        <v>42858.401828703703</v>
      </c>
      <c r="G174" s="7">
        <v>1</v>
      </c>
      <c r="H174" s="21" t="s">
        <v>968</v>
      </c>
      <c r="I174" s="13">
        <v>42858.412997685184</v>
      </c>
      <c r="J174" s="7">
        <v>0</v>
      </c>
      <c r="K174" s="92" t="str">
        <f>IF(ISEVEN(B174),(B174-1)&amp;"/"&amp;B174,B174&amp;"/"&amp;(B174+1))</f>
        <v>4005/4006</v>
      </c>
      <c r="L174" s="21" t="str">
        <f>VLOOKUP(A174,'Trips&amp;Operators'!$C$1:$G$99999,5,FALSE)</f>
        <v>LOZA FIDEL</v>
      </c>
      <c r="M174" s="6">
        <f>I174-F174</f>
        <v>1.116898148029577E-2</v>
      </c>
      <c r="N174" s="7">
        <f>24*60*SUM($M174:$M174)</f>
        <v>16.083333331625909</v>
      </c>
      <c r="O174" s="7"/>
      <c r="P174" s="7"/>
      <c r="Q174" s="22"/>
      <c r="R174" s="190"/>
      <c r="S174" s="196">
        <f>SUM(U174:U174)/IF(AG174="EC",12,1)</f>
        <v>1</v>
      </c>
      <c r="T174" s="190" t="str">
        <f>IF(ISEVEN(LEFT(AD174,4)),"Southbound","NorthBound")</f>
        <v>Southbound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-05-03T08:36:42-0600',mode:absolute,to:'2017-05-03T10:54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4" s="192" t="str">
        <f>IF(AA174&lt;IF(AG174="EC",23,5.65),"Y","N")</f>
        <v>N</v>
      </c>
      <c r="X174" s="192">
        <f>VALUE(LEFT(AD174,4))-VALUE(LEFT(AD173,4))</f>
        <v>1</v>
      </c>
      <c r="Y174" s="192">
        <f>RIGHT(D174,LEN(D174)-4)/10000</f>
        <v>5.8640999999999996</v>
      </c>
      <c r="Z174" s="192">
        <f>RIGHT(H174,LEN(H174)-4)/10000</f>
        <v>6.9900000000000004E-2</v>
      </c>
      <c r="AA174" s="192">
        <f>ABS(Z174-Y174)</f>
        <v>5.7942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>IF(LEN(A174)=6,"0"&amp;A174,A174)</f>
        <v>0814-03</v>
      </c>
      <c r="AE174" s="80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74" s="77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/stypes="app*4005*20170503*" /stext=" 15:.+((SYSTEM_STATE.+slice.+state.+changed )|(ment ac)|(multiple cpu faults)|(system.+state.+changed )|(\[timeout)|(PRM\|1\|D)|(kpr)|(kdp)|(train st.+moving)|(\|lc)|(penalty))"</v>
      </c>
      <c r="AG174" s="1" t="str">
        <f>IFERROR(IF(VALUE(LEFT(AD174,2))&lt;=2,"EC",IF(OR(VALUE(LEFT(AD174,2))=8,VALUE(LEFT(AD174,2))=18),"NW","Other")),"Other")</f>
        <v>NW</v>
      </c>
      <c r="AH174" s="81" t="str">
        <f t="shared" si="14"/>
        <v>"%USERPROFILE%\Documents\GitHub\eaglep3\Utilities\RefineRTDCRunTimes.py" --tripid 814-03 --locoid 4005 --swversion DE.1.0.9.0 --startMP 300:58641 --initTime 2017-05-03T09:36:42 --startdatetime 2017-05-03T09:38:38 --delay 1 --endMP 204:699 --enddatetime 2017-05-03T09:54:43 --enforcementcount 0 &gt;&gt;C:\Users\stu\Documents\GitHub\eaglep3-reporting\EC\2017-05-03-refined-times.txt</v>
      </c>
      <c r="AI174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{"issue":{"subject":"","project_id":79,"tracker_id":40,"status_id":1,"priority_id":2,"assigned_to_id":23,"start_date":"2017-05-03","description":"","custom_fields":[{"id":1,"name":"Subdivision","value":"NW"},{"id":4,"name":"Milepost","value":"0.0699"},{"id":17,"name":"Train ID","value":"814-03"},{"id":16,"name":"Locomotive ID","value":"4005"},{"id":130,"name":"Impact","value":""},{"id":150,"name":"Time of Event (Mountain Time)","value":"09:54:43"},{"id":151,"name":"Denver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16"/>
        <v>start /low /b %USERPROFILE%\Documents\GitHub\eaglep3\Utilities\DownloadLogsFromS3.py --loco 4005 --day 2017-05-03</v>
      </c>
      <c r="AN174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15:54:43"},{"id":29,"name":"Sharepoint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593</v>
      </c>
      <c r="B175" s="7">
        <v>4006</v>
      </c>
      <c r="C175" s="21" t="s">
        <v>210</v>
      </c>
      <c r="D175" s="21" t="s">
        <v>964</v>
      </c>
      <c r="E175" s="13">
        <v>42858.428344907406</v>
      </c>
      <c r="F175" s="13">
        <v>42858.431435185186</v>
      </c>
      <c r="G175" s="7">
        <v>1</v>
      </c>
      <c r="H175" s="21" t="s">
        <v>969</v>
      </c>
      <c r="I175" s="13">
        <v>42858.440289351849</v>
      </c>
      <c r="J175" s="7">
        <v>0</v>
      </c>
      <c r="K175" s="92" t="str">
        <f>IF(ISEVEN(B175),(B175-1)&amp;"/"&amp;B175,B175&amp;"/"&amp;(B175+1))</f>
        <v>4005/4006</v>
      </c>
      <c r="L175" s="21" t="str">
        <f>VLOOKUP(A175,'Trips&amp;Operators'!$C$1:$G$99999,5,FALSE)</f>
        <v>LOZA FIDEL</v>
      </c>
      <c r="M175" s="6">
        <f>I175-F175</f>
        <v>8.8541666627861559E-3</v>
      </c>
      <c r="N175" s="7">
        <f>24*60*SUM($M175:$M175)</f>
        <v>12.749999994412065</v>
      </c>
      <c r="O175" s="7"/>
      <c r="P175" s="7"/>
      <c r="Q175" s="22"/>
      <c r="R175" s="190"/>
      <c r="S175" s="196">
        <f>SUM(U175:U175)/IF(AG175="EC",12,1)</f>
        <v>1</v>
      </c>
      <c r="T175" s="190" t="str">
        <f>IF(ISEVEN(LEFT(AD175,4)),"Southbound","NorthBound")</f>
        <v>NorthBound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-05-03T09:16:49-0600',mode:absolute,to:'2017-05-03T11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5" s="192" t="str">
        <f>IF(AA175&lt;IF(AG175="EC",23,5.65),"Y","N")</f>
        <v>N</v>
      </c>
      <c r="X175" s="192">
        <f>VALUE(LEFT(AD175,4))-VALUE(LEFT(AD174,4))</f>
        <v>1</v>
      </c>
      <c r="Y175" s="192">
        <f>RIGHT(D175,LEN(D175)-4)/10000</f>
        <v>9.7100000000000006E-2</v>
      </c>
      <c r="Z175" s="192">
        <f>RIGHT(H175,LEN(H175)-4)/10000</f>
        <v>5.8936999999999999</v>
      </c>
      <c r="AA175" s="192">
        <f>ABS(Z175-Y175)</f>
        <v>5.7965999999999998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>IF(LEN(A175)=6,"0"&amp;A175,A175)</f>
        <v>0815-03</v>
      </c>
      <c r="AE175" s="80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75" s="77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/stypes="app*4006*20170503*" /stext=" 16:.+((SYSTEM_STATE.+slice.+state.+changed )|(ment ac)|(multiple cpu faults)|(system.+state.+changed )|(\[timeout)|(PRM\|1\|D)|(kpr)|(kdp)|(train st.+moving)|(\|lc)|(penalty))"</v>
      </c>
      <c r="AG175" s="1" t="str">
        <f>IFERROR(IF(VALUE(LEFT(AD175,2))&lt;=2,"EC",IF(OR(VALUE(LEFT(AD175,2))=8,VALUE(LEFT(AD175,2))=18),"NW","Other")),"Other")</f>
        <v>NW</v>
      </c>
      <c r="AH175" s="81" t="str">
        <f t="shared" si="14"/>
        <v>"%USERPROFILE%\Documents\GitHub\eaglep3\Utilities\RefineRTDCRunTimes.py" --tripid 815-03 --locoid 4006 --swversion DE.1.0.9.0 --startMP 204:971 --initTime 2017-05-03T10:16:49 --startdatetime 2017-05-03T10:21:16 --delay 1 --endMP 300:58937 --enddatetime 2017-05-03T10:34:01 --enforcementcount 0 &gt;&gt;C:\Users\stu\Documents\GitHub\eaglep3-reporting\EC\2017-05-03-refined-times.txt</v>
      </c>
      <c r="AI175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{"issue":{"subject":"","project_id":79,"tracker_id":40,"status_id":1,"priority_id":2,"assigned_to_id":23,"start_date":"2017-05-03","description":"","custom_fields":[{"id":1,"name":"Subdivision","value":"NW"},{"id":4,"name":"Milepost","value":"5.8937"},{"id":17,"name":"Train ID","value":"815-03"},{"id":16,"name":"Locomotive ID","value":"4006"},{"id":130,"name":"Impact","value":""},{"id":150,"name":"Time of Event (Mountain Time)","value":"10:34:01"},{"id":151,"name":"Denver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16"/>
        <v>start /low /b %USERPROFILE%\Documents\GitHub\eaglep3\Utilities\DownloadLogsFromS3.py --loco 4006 --day 2017-05-03</v>
      </c>
      <c r="AN175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705</v>
      </c>
      <c r="B176" s="7">
        <v>4005</v>
      </c>
      <c r="C176" s="21" t="s">
        <v>210</v>
      </c>
      <c r="D176" s="21" t="s">
        <v>450</v>
      </c>
      <c r="E176" s="13">
        <v>42858.443391203706</v>
      </c>
      <c r="F176" s="13">
        <v>42858.44494212963</v>
      </c>
      <c r="G176" s="7">
        <v>1</v>
      </c>
      <c r="H176" s="21" t="s">
        <v>970</v>
      </c>
      <c r="I176" s="13">
        <v>42858.454513888886</v>
      </c>
      <c r="J176" s="7">
        <v>0</v>
      </c>
      <c r="K176" s="92" t="str">
        <f>IF(ISEVEN(B176),(B176-1)&amp;"/"&amp;B176,B176&amp;"/"&amp;(B176+1))</f>
        <v>4005/4006</v>
      </c>
      <c r="L176" s="21" t="str">
        <f>VLOOKUP(A176,'Trips&amp;Operators'!$C$1:$G$99999,5,FALSE)</f>
        <v>LOZA FIDEL</v>
      </c>
      <c r="M176" s="6">
        <f>I176-F176</f>
        <v>9.5717592557775788E-3</v>
      </c>
      <c r="N176" s="7">
        <f>24*60*SUM($M176:$M176)</f>
        <v>13.783333328319713</v>
      </c>
      <c r="O176" s="7"/>
      <c r="P176" s="7"/>
      <c r="Q176" s="22"/>
      <c r="R176" s="190"/>
      <c r="S176" s="196">
        <f>SUM(U176:U176)/IF(AG176="EC",12,1)</f>
        <v>1</v>
      </c>
      <c r="T176" s="190" t="str">
        <f>IF(ISEVEN(LEFT(AD176,4)),"Southbound","NorthBound")</f>
        <v>Southbound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-05-03T09:38:29-0600',mode:absolute,to:'2017-05-03T11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6" s="192" t="str">
        <f>IF(AA176&lt;IF(AG176="EC",23,5.65),"Y","N")</f>
        <v>N</v>
      </c>
      <c r="X176" s="192">
        <f>VALUE(LEFT(AD176,4))-VALUE(LEFT(AD175,4))</f>
        <v>1</v>
      </c>
      <c r="Y176" s="192">
        <f>RIGHT(D176,LEN(D176)-4)/10000</f>
        <v>5.8620999999999999</v>
      </c>
      <c r="Z176" s="192">
        <f>RIGHT(H176,LEN(H176)-4)/10000</f>
        <v>6.7299999999999999E-2</v>
      </c>
      <c r="AA176" s="192">
        <f>ABS(Z176-Y176)</f>
        <v>5.7947999999999995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>IF(LEN(A176)=6,"0"&amp;A176,A176)</f>
        <v>0816-03</v>
      </c>
      <c r="AE176" s="80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76" s="77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/stypes="app*4005*20170503*" /stext=" 16:.+((SYSTEM_STATE.+slice.+state.+changed )|(ment ac)|(multiple cpu faults)|(system.+state.+changed )|(\[timeout)|(PRM\|1\|D)|(kpr)|(kdp)|(train st.+moving)|(\|lc)|(penalty))"</v>
      </c>
      <c r="AG176" s="1" t="str">
        <f>IFERROR(IF(VALUE(LEFT(AD176,2))&lt;=2,"EC",IF(OR(VALUE(LEFT(AD176,2))=8,VALUE(LEFT(AD176,2))=18),"NW","Other")),"Other")</f>
        <v>NW</v>
      </c>
      <c r="AH176" s="81" t="str">
        <f t="shared" si="14"/>
        <v>"%USERPROFILE%\Documents\GitHub\eaglep3\Utilities\RefineRTDCRunTimes.py" --tripid 816-03 --locoid 4005 --swversion DE.1.0.9.0 --startMP 300:58621 --initTime 2017-05-03T10:38:29 --startdatetime 2017-05-03T10:40:43 --delay 1 --endMP 204:673 --enddatetime 2017-05-03T10:54:30 --enforcementcount 0 &gt;&gt;C:\Users\stu\Documents\GitHub\eaglep3-reporting\EC\2017-05-03-refined-times.txt</v>
      </c>
      <c r="AI176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{"issue":{"subject":"","project_id":79,"tracker_id":40,"status_id":1,"priority_id":2,"assigned_to_id":23,"start_date":"2017-05-03","description":"","custom_fields":[{"id":1,"name":"Subdivision","value":"NW"},{"id":4,"name":"Milepost","value":"0.0673"},{"id":17,"name":"Train ID","value":"816-03"},{"id":16,"name":"Locomotive ID","value":"4005"},{"id":130,"name":"Impact","value":""},{"id":150,"name":"Time of Event (Mountain Time)","value":"10:54:30"},{"id":151,"name":"Denver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16"/>
        <v>start /low /b %USERPROFILE%\Documents\GitHub\eaglep3\Utilities\DownloadLogsFromS3.py --loco 4005 --day 2017-05-03</v>
      </c>
      <c r="AN176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714</v>
      </c>
      <c r="B177" s="7">
        <v>4006</v>
      </c>
      <c r="C177" s="21" t="s">
        <v>210</v>
      </c>
      <c r="D177" s="21" t="s">
        <v>574</v>
      </c>
      <c r="E177" s="13">
        <v>42858.469826388886</v>
      </c>
      <c r="F177" s="13">
        <v>42858.473090277781</v>
      </c>
      <c r="G177" s="7">
        <v>1</v>
      </c>
      <c r="H177" s="21" t="s">
        <v>971</v>
      </c>
      <c r="I177" s="13">
        <v>42858.482303240744</v>
      </c>
      <c r="J177" s="7">
        <v>0</v>
      </c>
      <c r="K177" s="92" t="str">
        <f>IF(ISEVEN(B177),(B177-1)&amp;"/"&amp;B177,B177&amp;"/"&amp;(B177+1))</f>
        <v>4005/4006</v>
      </c>
      <c r="L177" s="21" t="str">
        <f>VLOOKUP(A177,'Trips&amp;Operators'!$C$1:$G$99999,5,FALSE)</f>
        <v>LOZA FIDEL</v>
      </c>
      <c r="M177" s="6">
        <f>I177-F177</f>
        <v>9.2129629629198462E-3</v>
      </c>
      <c r="N177" s="7">
        <f>24*60*SUM($M177:$M177)</f>
        <v>13.266666666604578</v>
      </c>
      <c r="O177" s="7"/>
      <c r="P177" s="7"/>
      <c r="Q177" s="22"/>
      <c r="R177" s="190"/>
      <c r="S177" s="196">
        <f>SUM(U177:U177)/IF(AG177="EC",12,1)</f>
        <v>1</v>
      </c>
      <c r="T177" s="190" t="str">
        <f>IF(ISEVEN(LEFT(AD177,4)),"Southbound","NorthBound")</f>
        <v>NorthBound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-05-03T10:16:33-0600',mode:absolute,to:'2017-05-03T12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7" s="192" t="str">
        <f>IF(AA177&lt;IF(AG177="EC",23,5.65),"Y","N")</f>
        <v>N</v>
      </c>
      <c r="X177" s="192">
        <f>VALUE(LEFT(AD177,4))-VALUE(LEFT(AD176,4))</f>
        <v>1</v>
      </c>
      <c r="Y177" s="192">
        <f>RIGHT(D177,LEN(D177)-4)/10000</f>
        <v>9.8500000000000004E-2</v>
      </c>
      <c r="Z177" s="192">
        <f>RIGHT(H177,LEN(H177)-4)/10000</f>
        <v>5.8952</v>
      </c>
      <c r="AA177" s="192">
        <f>ABS(Z177-Y177)</f>
        <v>5.7967000000000004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>IF(LEN(A177)=6,"0"&amp;A177,A177)</f>
        <v>0817-03</v>
      </c>
      <c r="AE177" s="80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77" s="77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/stypes="app*4006*20170503*" /stext=" 17:.+((SYSTEM_STATE.+slice.+state.+changed )|(ment ac)|(multiple cpu faults)|(system.+state.+changed )|(\[timeout)|(PRM\|1\|D)|(kpr)|(kdp)|(train st.+moving)|(\|lc)|(penalty))"</v>
      </c>
      <c r="AG177" s="1" t="str">
        <f>IFERROR(IF(VALUE(LEFT(AD177,2))&lt;=2,"EC",IF(OR(VALUE(LEFT(AD177,2))=8,VALUE(LEFT(AD177,2))=18),"NW","Other")),"Other")</f>
        <v>NW</v>
      </c>
      <c r="AH177" s="81" t="str">
        <f t="shared" si="14"/>
        <v>"%USERPROFILE%\Documents\GitHub\eaglep3\Utilities\RefineRTDCRunTimes.py" --tripid 817-03 --locoid 4006 --swversion DE.1.0.9.0 --startMP 204:985 --initTime 2017-05-03T11:16:33 --startdatetime 2017-05-03T11:21:15 --delay 1 --endMP 300:58952 --enddatetime 2017-05-03T11:34:31 --enforcementcount 0 &gt;&gt;C:\Users\stu\Documents\GitHub\eaglep3-reporting\EC\2017-05-03-refined-times.txt</v>
      </c>
      <c r="AI177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{"issue":{"subject":"","project_id":79,"tracker_id":40,"status_id":1,"priority_id":2,"assigned_to_id":23,"start_date":"2017-05-03","description":"","custom_fields":[{"id":1,"name":"Subdivision","value":"NW"},{"id":4,"name":"Milepost","value":"5.8952"},{"id":17,"name":"Train ID","value":"817-03"},{"id":16,"name":"Locomotive ID","value":"4006"},{"id":130,"name":"Impact","value":""},{"id":150,"name":"Time of Event (Mountain Time)","value":"11:34:31"},{"id":151,"name":"Denver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16"/>
        <v>start /low /b %USERPROFILE%\Documents\GitHub\eaglep3\Utilities\DownloadLogsFromS3.py --loco 4006 --day 2017-05-03</v>
      </c>
      <c r="AN177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x14ac:dyDescent="0.25">
      <c r="A178" s="32" t="s">
        <v>716</v>
      </c>
      <c r="B178" s="7">
        <v>4005</v>
      </c>
      <c r="C178" s="21" t="s">
        <v>210</v>
      </c>
      <c r="D178" s="21" t="s">
        <v>972</v>
      </c>
      <c r="E178" s="13">
        <v>42858.48510416667</v>
      </c>
      <c r="F178" s="13">
        <v>42858.48678240741</v>
      </c>
      <c r="G178" s="7">
        <v>1</v>
      </c>
      <c r="H178" s="21" t="s">
        <v>575</v>
      </c>
      <c r="I178" s="13">
        <v>42858.496203703704</v>
      </c>
      <c r="J178" s="7">
        <v>0</v>
      </c>
      <c r="K178" s="92" t="str">
        <f>IF(ISEVEN(B178),(B178-1)&amp;"/"&amp;B178,B178&amp;"/"&amp;(B178+1))</f>
        <v>4005/4006</v>
      </c>
      <c r="L178" s="21" t="str">
        <f>VLOOKUP(A178,'Trips&amp;Operators'!$C$1:$G$99999,5,FALSE)</f>
        <v>LOZA FIDEL</v>
      </c>
      <c r="M178" s="6">
        <f>I178-F178</f>
        <v>9.4212962940218858E-3</v>
      </c>
      <c r="N178" s="7">
        <f>24*60*SUM($M178:$M178)</f>
        <v>13.566666663391516</v>
      </c>
      <c r="O178" s="7"/>
      <c r="P178" s="7"/>
      <c r="Q178" s="22"/>
      <c r="R178" s="190"/>
      <c r="S178" s="196">
        <f>SUM(U178:U178)/IF(AG178="EC",12,1)</f>
        <v>1</v>
      </c>
      <c r="T178" s="190" t="str">
        <f>IF(ISEVEN(LEFT(AD178,4)),"Southbound","NorthBound")</f>
        <v>Southbound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-05-03T10:38:33-0600',mode:absolute,to:'2017-05-03T12:54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8" s="192" t="str">
        <f>IF(AA178&lt;IF(AG178="EC",23,5.65),"Y","N")</f>
        <v>N</v>
      </c>
      <c r="X178" s="192">
        <f>VALUE(LEFT(AD178,4))-VALUE(LEFT(AD177,4))</f>
        <v>1</v>
      </c>
      <c r="Y178" s="192">
        <f>RIGHT(D178,LEN(D178)-4)/10000</f>
        <v>5.8639999999999999</v>
      </c>
      <c r="Z178" s="192">
        <f>RIGHT(H178,LEN(H178)-4)/10000</f>
        <v>6.8199999999999997E-2</v>
      </c>
      <c r="AA178" s="192">
        <f>ABS(Z178-Y178)</f>
        <v>5.7957999999999998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>IF(LEN(A178)=6,"0"&amp;A178,A178)</f>
        <v>0818-03</v>
      </c>
      <c r="AE178" s="80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78" s="77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/stypes="app*4005*20170503*" /stext=" 17:.+((SYSTEM_STATE.+slice.+state.+changed )|(ment ac)|(multiple cpu faults)|(system.+state.+changed )|(\[timeout)|(PRM\|1\|D)|(kpr)|(kdp)|(train st.+moving)|(\|lc)|(penalty))"</v>
      </c>
      <c r="AG178" s="1" t="str">
        <f>IFERROR(IF(VALUE(LEFT(AD178,2))&lt;=2,"EC",IF(OR(VALUE(LEFT(AD178,2))=8,VALUE(LEFT(AD178,2))=18),"NW","Other")),"Other")</f>
        <v>NW</v>
      </c>
      <c r="AH178" s="81" t="str">
        <f t="shared" si="14"/>
        <v>"%USERPROFILE%\Documents\GitHub\eaglep3\Utilities\RefineRTDCRunTimes.py" --tripid 818-03 --locoid 4005 --swversion DE.1.0.9.0 --startMP 300:58640 --initTime 2017-05-03T11:38:33 --startdatetime 2017-05-03T11:40:58 --delay 1 --endMP 204:682 --enddatetime 2017-05-03T11:54:32 --enforcementcount 0 &gt;&gt;C:\Users\stu\Documents\GitHub\eaglep3-reporting\EC\2017-05-03-refined-times.txt</v>
      </c>
      <c r="AI178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{"issue":{"subject":"","project_id":79,"tracker_id":40,"status_id":1,"priority_id":2,"assigned_to_id":23,"start_date":"2017-05-03","description":"","custom_fields":[{"id":1,"name":"Subdivision","value":"NW"},{"id":4,"name":"Milepost","value":"0.0682"},{"id":17,"name":"Train ID","value":"818-03"},{"id":16,"name":"Locomotive ID","value":"4005"},{"id":130,"name":"Impact","value":""},{"id":150,"name":"Time of Event (Mountain Time)","value":"11:54:32"},{"id":151,"name":"Denver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5" t="str">
        <f t="shared" si="16"/>
        <v>start /low /b %USERPROFILE%\Documents\GitHub\eaglep3\Utilities\DownloadLogsFromS3.py --loco 4005 --day 2017-05-03</v>
      </c>
      <c r="AN178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17:54:32"},{"id":29,"name":"Sharepoint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9" spans="1:91" s="20" customFormat="1" x14ac:dyDescent="0.25">
      <c r="A179" s="32" t="s">
        <v>723</v>
      </c>
      <c r="B179" s="7">
        <v>4006</v>
      </c>
      <c r="C179" s="21" t="s">
        <v>210</v>
      </c>
      <c r="D179" s="21" t="s">
        <v>973</v>
      </c>
      <c r="E179" s="13">
        <v>42858.51189814815</v>
      </c>
      <c r="F179" s="13">
        <v>42858.514756944445</v>
      </c>
      <c r="G179" s="7">
        <v>1</v>
      </c>
      <c r="H179" s="21" t="s">
        <v>967</v>
      </c>
      <c r="I179" s="13">
        <v>42858.523495370369</v>
      </c>
      <c r="J179" s="7">
        <v>0</v>
      </c>
      <c r="K179" s="92" t="str">
        <f>IF(ISEVEN(B179),(B179-1)&amp;"/"&amp;B179,B179&amp;"/"&amp;(B179+1))</f>
        <v>4005/4006</v>
      </c>
      <c r="L179" s="21" t="str">
        <f>VLOOKUP(A179,'Trips&amp;Operators'!$C$1:$G$99999,5,FALSE)</f>
        <v>LOZA FIDEL</v>
      </c>
      <c r="M179" s="6">
        <f>I179-F179</f>
        <v>8.7384259240934625E-3</v>
      </c>
      <c r="N179" s="7">
        <f>24*60*SUM($M179:$M179)</f>
        <v>12.583333330694586</v>
      </c>
      <c r="O179" s="7"/>
      <c r="P179" s="7"/>
      <c r="Q179" s="22"/>
      <c r="R179" s="190"/>
      <c r="S179" s="196">
        <f>SUM(U179:U179)/IF(AG179="EC",12,1)</f>
        <v>1</v>
      </c>
      <c r="T179" s="190" t="str">
        <f>IF(ISEVEN(LEFT(AD179,4)),"Southbound","NorthBound")</f>
        <v>NorthBound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-05-03T11:17:08-0600',mode:absolute,to:'2017-05-03T13:33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9" s="192" t="str">
        <f>IF(AA179&lt;IF(AG179="EC",23,5.65),"Y","N")</f>
        <v>N</v>
      </c>
      <c r="X179" s="192">
        <f>VALUE(LEFT(AD179,4))-VALUE(LEFT(AD178,4))</f>
        <v>1</v>
      </c>
      <c r="Y179" s="192">
        <f>RIGHT(D179,LEN(D179)-4)/10000</f>
        <v>9.7900000000000001E-2</v>
      </c>
      <c r="Z179" s="192">
        <f>RIGHT(H179,LEN(H179)-4)/10000</f>
        <v>5.8640999999999996</v>
      </c>
      <c r="AA179" s="192">
        <f>ABS(Z179-Y179)</f>
        <v>5.7661999999999995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>IF(LEN(A179)=6,"0"&amp;A179,A179)</f>
        <v>0819-03</v>
      </c>
      <c r="AE179" s="80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79" s="77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/stypes="app*4006*20170503*" /stext=" 18:.+((SYSTEM_STATE.+slice.+state.+changed )|(ment ac)|(multiple cpu faults)|(system.+state.+changed )|(\[timeout)|(PRM\|1\|D)|(kpr)|(kdp)|(train st.+moving)|(\|lc)|(penalty))"</v>
      </c>
      <c r="AG179" s="1" t="str">
        <f>IFERROR(IF(VALUE(LEFT(AD179,2))&lt;=2,"EC",IF(OR(VALUE(LEFT(AD179,2))=8,VALUE(LEFT(AD179,2))=18),"NW","Other")),"Other")</f>
        <v>NW</v>
      </c>
      <c r="AH179" s="81" t="str">
        <f t="shared" si="14"/>
        <v>"%USERPROFILE%\Documents\GitHub\eaglep3\Utilities\RefineRTDCRunTimes.py" --tripid 819-03 --locoid 4006 --swversion DE.1.0.9.0 --startMP 204:979 --initTime 2017-05-03T12:17:08 --startdatetime 2017-05-03T12:21:15 --delay 1 --endMP 300:58641 --enddatetime 2017-05-03T12:33:50 --enforcementcount 0 &gt;&gt;C:\Users\stu\Documents\GitHub\eaglep3-reporting\EC\2017-05-03-refined-times.txt</v>
      </c>
      <c r="AI179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{"issue":{"subject":"","project_id":79,"tracker_id":40,"status_id":1,"priority_id":2,"assigned_to_id":23,"start_date":"2017-05-03","description":"","custom_fields":[{"id":1,"name":"Subdivision","value":"NW"},{"id":4,"name":"Milepost","value":"5.8641"},{"id":17,"name":"Train ID","value":"819-03"},{"id":16,"name":"Locomotive ID","value":"4006"},{"id":130,"name":"Impact","value":""},{"id":150,"name":"Time of Event (Mountain Time)","value":"12:33:50"},{"id":151,"name":"Denver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5" t="str">
        <f t="shared" si="16"/>
        <v>start /low /b %USERPROFILE%\Documents\GitHub\eaglep3\Utilities\DownloadLogsFromS3.py --loco 4006 --day 2017-05-03</v>
      </c>
      <c r="AN179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18:33:50"},{"id":29,"name":"Sharepoint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727</v>
      </c>
      <c r="B180" s="7">
        <v>4005</v>
      </c>
      <c r="C180" s="21" t="s">
        <v>210</v>
      </c>
      <c r="D180" s="21" t="s">
        <v>974</v>
      </c>
      <c r="E180" s="13">
        <v>42858.525081018517</v>
      </c>
      <c r="F180" s="13">
        <v>42858.526655092595</v>
      </c>
      <c r="G180" s="7">
        <v>1</v>
      </c>
      <c r="H180" s="21" t="s">
        <v>568</v>
      </c>
      <c r="I180" s="13">
        <v>42858.538449074076</v>
      </c>
      <c r="J180" s="7">
        <v>0</v>
      </c>
      <c r="K180" s="92" t="str">
        <f>IF(ISEVEN(B180),(B180-1)&amp;"/"&amp;B180,B180&amp;"/"&amp;(B180+1))</f>
        <v>4005/4006</v>
      </c>
      <c r="L180" s="21" t="str">
        <f>VLOOKUP(A180,'Trips&amp;Operators'!$C$1:$G$99999,5,FALSE)</f>
        <v>LOZA FIDEL</v>
      </c>
      <c r="M180" s="6">
        <f>I180-F180</f>
        <v>1.1793981480877846E-2</v>
      </c>
      <c r="N180" s="7">
        <f>24*60*SUM($M180:$M180)</f>
        <v>16.983333332464099</v>
      </c>
      <c r="O180" s="7"/>
      <c r="P180" s="7"/>
      <c r="Q180" s="22"/>
      <c r="R180" s="190"/>
      <c r="S180" s="196">
        <f>SUM(U180:U180)/IF(AG180="EC",12,1)</f>
        <v>1</v>
      </c>
      <c r="T180" s="190" t="str">
        <f>IF(ISEVEN(LEFT(AD180,4)),"Southbound","NorthBound")</f>
        <v>Southbound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-05-03T11:36:07-0600',mode:absolute,to:'2017-05-03T13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0" s="192" t="str">
        <f>IF(AA180&lt;IF(AG180="EC",23,5.65),"Y","N")</f>
        <v>N</v>
      </c>
      <c r="X180" s="192">
        <f>VALUE(LEFT(AD180,4))-VALUE(LEFT(AD179,4))</f>
        <v>1</v>
      </c>
      <c r="Y180" s="192">
        <f>RIGHT(D180,LEN(D180)-4)/10000</f>
        <v>5.8632</v>
      </c>
      <c r="Z180" s="192">
        <f>RIGHT(H180,LEN(H180)-4)/10000</f>
        <v>6.8000000000000005E-2</v>
      </c>
      <c r="AA180" s="192">
        <f>ABS(Z180-Y180)</f>
        <v>5.7952000000000004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>IF(LEN(A180)=6,"0"&amp;A180,A180)</f>
        <v>0820-03</v>
      </c>
      <c r="AE180" s="80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80" s="77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/stypes="app*4005*20170503*" /stext=" 18:.+((SYSTEM_STATE.+slice.+state.+changed )|(ment ac)|(multiple cpu faults)|(system.+state.+changed )|(\[timeout)|(PRM\|1\|D)|(kpr)|(kdp)|(train st.+moving)|(\|lc)|(penalty))"</v>
      </c>
      <c r="AG180" s="1" t="str">
        <f>IFERROR(IF(VALUE(LEFT(AD180,2))&lt;=2,"EC",IF(OR(VALUE(LEFT(AD180,2))=8,VALUE(LEFT(AD180,2))=18),"NW","Other")),"Other")</f>
        <v>NW</v>
      </c>
      <c r="AH180" s="81" t="str">
        <f t="shared" si="14"/>
        <v>"%USERPROFILE%\Documents\GitHub\eaglep3\Utilities\RefineRTDCRunTimes.py" --tripid 820-03 --locoid 4005 --swversion DE.1.0.9.0 --startMP 300:58632 --initTime 2017-05-03T12:36:07 --startdatetime 2017-05-03T12:38:23 --delay 1 --endMP 204:680 --enddatetime 2017-05-03T12:55:22 --enforcementcount 0 &gt;&gt;C:\Users\stu\Documents\GitHub\eaglep3-reporting\EC\2017-05-03-refined-times.txt</v>
      </c>
      <c r="AI180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{"issue":{"subject":"","project_id":79,"tracker_id":40,"status_id":1,"priority_id":2,"assigned_to_id":23,"start_date":"2017-05-03","description":"","custom_fields":[{"id":1,"name":"Subdivision","value":"NW"},{"id":4,"name":"Milepost","value":"0.068"},{"id":17,"name":"Train ID","value":"820-03"},{"id":16,"name":"Locomotive ID","value":"4005"},{"id":130,"name":"Impact","value":""},{"id":150,"name":"Time of Event (Mountain Time)","value":"12:55:22"},{"id":151,"name":"Denver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16"/>
        <v>start /low /b %USERPROFILE%\Documents\GitHub\eaglep3\Utilities\DownloadLogsFromS3.py --loco 4005 --day 2017-05-03</v>
      </c>
      <c r="AN180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18:55:22"},{"id":29,"name":"Sharepoint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x14ac:dyDescent="0.25">
      <c r="A181" s="32" t="s">
        <v>732</v>
      </c>
      <c r="B181" s="7">
        <v>4006</v>
      </c>
      <c r="C181" s="21" t="s">
        <v>210</v>
      </c>
      <c r="D181" s="21" t="s">
        <v>975</v>
      </c>
      <c r="E181" s="13">
        <v>42858.546539351853</v>
      </c>
      <c r="F181" s="13">
        <v>42858.556516203702</v>
      </c>
      <c r="G181" s="7">
        <v>1</v>
      </c>
      <c r="H181" s="21" t="s">
        <v>467</v>
      </c>
      <c r="I181" s="13">
        <v>42858.565937500003</v>
      </c>
      <c r="J181" s="7">
        <v>0</v>
      </c>
      <c r="K181" s="92" t="str">
        <f>IF(ISEVEN(B181),(B181-1)&amp;"/"&amp;B181,B181&amp;"/"&amp;(B181+1))</f>
        <v>4005/4006</v>
      </c>
      <c r="L181" s="21" t="str">
        <f>VLOOKUP(A181,'Trips&amp;Operators'!$C$1:$G$99999,5,FALSE)</f>
        <v>BRUDER RICHARD</v>
      </c>
      <c r="M181" s="6">
        <f>I181-F181</f>
        <v>9.4212963012978435E-3</v>
      </c>
      <c r="N181" s="7">
        <f>24*60*SUM($M181:$M181)</f>
        <v>13.566666673868895</v>
      </c>
      <c r="O181" s="7"/>
      <c r="P181" s="7"/>
      <c r="Q181" s="22"/>
      <c r="R181" s="190"/>
      <c r="S181" s="196">
        <f>SUM(U181:U181)/IF(AG181="EC",12,1)</f>
        <v>1</v>
      </c>
      <c r="T181" s="190" t="str">
        <f>IF(ISEVEN(LEFT(AD181,4)),"Southbound","NorthBound")</f>
        <v>NorthBound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-05-03T12:07:01-0600',mode:absolute,to:'2017-05-03T14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1" s="192" t="str">
        <f>IF(AA181&lt;IF(AG181="EC",23,5.65),"Y","N")</f>
        <v>N</v>
      </c>
      <c r="X181" s="192">
        <f>VALUE(LEFT(AD181,4))-VALUE(LEFT(AD180,4))</f>
        <v>1</v>
      </c>
      <c r="Y181" s="192">
        <f>RIGHT(D181,LEN(D181)-4)/10000</f>
        <v>9.74E-2</v>
      </c>
      <c r="Z181" s="192">
        <f>RIGHT(H181,LEN(H181)-4)/10000</f>
        <v>5.8943000000000003</v>
      </c>
      <c r="AA181" s="192">
        <f>ABS(Z181-Y181)</f>
        <v>5.7968999999999999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>IF(LEN(A181)=6,"0"&amp;A181,A181)</f>
        <v>0821-03</v>
      </c>
      <c r="AE181" s="80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81" s="77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/stypes="app*4006*20170503*" /stext=" 19:.+((SYSTEM_STATE.+slice.+state.+changed )|(ment ac)|(multiple cpu faults)|(system.+state.+changed )|(\[timeout)|(PRM\|1\|D)|(kpr)|(kdp)|(train st.+moving)|(\|lc)|(penalty))"</v>
      </c>
      <c r="AG181" s="1" t="str">
        <f>IFERROR(IF(VALUE(LEFT(AD181,2))&lt;=2,"EC",IF(OR(VALUE(LEFT(AD181,2))=8,VALUE(LEFT(AD181,2))=18),"NW","Other")),"Other")</f>
        <v>NW</v>
      </c>
      <c r="AH181" s="81" t="str">
        <f t="shared" si="14"/>
        <v>"%USERPROFILE%\Documents\GitHub\eaglep3\Utilities\RefineRTDCRunTimes.py" --tripid 821-03 --locoid 4006 --swversion DE.1.0.9.0 --startMP 204:974 --initTime 2017-05-03T13:07:01 --startdatetime 2017-05-03T13:21:23 --delay 1 --endMP 300:58943 --enddatetime 2017-05-03T13:34:57 --enforcementcount 0 &gt;&gt;C:\Users\stu\Documents\GitHub\eaglep3-reporting\EC\2017-05-03-refined-times.txt</v>
      </c>
      <c r="AI181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{"issue":{"subject":"","project_id":79,"tracker_id":40,"status_id":1,"priority_id":2,"assigned_to_id":23,"start_date":"2017-05-03","description":"","custom_fields":[{"id":1,"name":"Subdivision","value":"NW"},{"id":4,"name":"Milepost","value":"5.8943"},{"id":17,"name":"Train ID","value":"821-03"},{"id":16,"name":"Locomotive ID","value":"4006"},{"id":130,"name":"Impact","value":""},{"id":150,"name":"Time of Event (Mountain Time)","value":"13:34:57"},{"id":151,"name":"Denver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5" t="str">
        <f t="shared" si="16"/>
        <v>start /low /b %USERPROFILE%\Documents\GitHub\eaglep3\Utilities\DownloadLogsFromS3.py --loco 4006 --day 2017-05-03</v>
      </c>
      <c r="AN181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s="20" customFormat="1" x14ac:dyDescent="0.25">
      <c r="A182" s="32" t="s">
        <v>739</v>
      </c>
      <c r="B182" s="7">
        <v>4005</v>
      </c>
      <c r="C182" s="21" t="s">
        <v>210</v>
      </c>
      <c r="D182" s="21" t="s">
        <v>974</v>
      </c>
      <c r="E182" s="13">
        <v>42858.567627314813</v>
      </c>
      <c r="F182" s="13">
        <v>42858.569837962961</v>
      </c>
      <c r="G182" s="7">
        <v>2</v>
      </c>
      <c r="H182" s="21" t="s">
        <v>976</v>
      </c>
      <c r="I182" s="13">
        <v>42858.579814814817</v>
      </c>
      <c r="J182" s="7">
        <v>0</v>
      </c>
      <c r="K182" s="92" t="str">
        <f>IF(ISEVEN(B182),(B182-1)&amp;"/"&amp;B182,B182&amp;"/"&amp;(B182+1))</f>
        <v>4005/4006</v>
      </c>
      <c r="L182" s="21" t="str">
        <f>VLOOKUP(A182,'Trips&amp;Operators'!$C$1:$G$99999,5,FALSE)</f>
        <v>BRUDER RICHARD</v>
      </c>
      <c r="M182" s="6">
        <f>I182-F182</f>
        <v>9.976851855753921E-3</v>
      </c>
      <c r="N182" s="7">
        <f>24*60*SUM($M182:$M182)</f>
        <v>14.366666672285646</v>
      </c>
      <c r="O182" s="7"/>
      <c r="P182" s="7"/>
      <c r="Q182" s="22"/>
      <c r="R182" s="190"/>
      <c r="S182" s="196">
        <f>SUM(U182:U182)/IF(AG182="EC",12,1)</f>
        <v>1</v>
      </c>
      <c r="T182" s="190" t="str">
        <f>IF(ISEVEN(LEFT(AD182,4)),"Southbound","NorthBound")</f>
        <v>Southbound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-05-03T12:37:23-0600',mode:absolute,to:'2017-05-03T14:54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2" s="192" t="str">
        <f>IF(AA182&lt;IF(AG182="EC",23,5.65),"Y","N")</f>
        <v>N</v>
      </c>
      <c r="X182" s="192">
        <f>VALUE(LEFT(AD182,4))-VALUE(LEFT(AD181,4))</f>
        <v>1</v>
      </c>
      <c r="Y182" s="192">
        <f>RIGHT(D182,LEN(D182)-4)/10000</f>
        <v>5.8632</v>
      </c>
      <c r="Z182" s="192">
        <f>RIGHT(H182,LEN(H182)-4)/10000</f>
        <v>6.7799999999999999E-2</v>
      </c>
      <c r="AA182" s="192">
        <f>ABS(Z182-Y182)</f>
        <v>5.7953999999999999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>IF(LEN(A182)=6,"0"&amp;A182,A182)</f>
        <v>0822-03</v>
      </c>
      <c r="AE182" s="80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82" s="77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/stypes="app*4005*20170503*" /stext=" 19:.+((SYSTEM_STATE.+slice.+state.+changed )|(ment ac)|(multiple cpu faults)|(system.+state.+changed )|(\[timeout)|(PRM\|1\|D)|(kpr)|(kdp)|(train st.+moving)|(\|lc)|(penalty))"</v>
      </c>
      <c r="AG182" s="1" t="str">
        <f>IFERROR(IF(VALUE(LEFT(AD182,2))&lt;=2,"EC",IF(OR(VALUE(LEFT(AD182,2))=8,VALUE(LEFT(AD182,2))=18),"NW","Other")),"Other")</f>
        <v>NW</v>
      </c>
      <c r="AH182" s="81" t="str">
        <f t="shared" si="14"/>
        <v>"%USERPROFILE%\Documents\GitHub\eaglep3\Utilities\RefineRTDCRunTimes.py" --tripid 822-03 --locoid 4005 --swversion DE.1.0.9.0 --startMP 300:58632 --initTime 2017-05-03T13:37:23 --startdatetime 2017-05-03T13:40:34 --delay 2 --endMP 204:678 --enddatetime 2017-05-03T13:54:56 --enforcementcount 0 &gt;&gt;C:\Users\stu\Documents\GitHub\eaglep3-reporting\EC\2017-05-03-refined-times.txt</v>
      </c>
      <c r="AI182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{"issue":{"subject":"","project_id":79,"tracker_id":40,"status_id":1,"priority_id":2,"assigned_to_id":23,"start_date":"2017-05-03","description":"","custom_fields":[{"id":1,"name":"Subdivision","value":"NW"},{"id":4,"name":"Milepost","value":"0.0678"},{"id":17,"name":"Train ID","value":"822-03"},{"id":16,"name":"Locomotive ID","value":"4005"},{"id":130,"name":"Impact","value":""},{"id":150,"name":"Time of Event (Mountain Time)","value":"13:54:56"},{"id":151,"name":"Denver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2" s="47"/>
      <c r="AL182" s="47"/>
      <c r="AM182" s="145" t="str">
        <f t="shared" si="16"/>
        <v>start /low /b %USERPROFILE%\Documents\GitHub\eaglep3\Utilities\DownloadLogsFromS3.py --loco 4005 --day 2017-05-03</v>
      </c>
      <c r="AN182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19:54:56"},{"id":29,"name":"Sharepoint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2" t="s">
        <v>600</v>
      </c>
      <c r="B183" s="7">
        <v>4006</v>
      </c>
      <c r="C183" s="21" t="s">
        <v>210</v>
      </c>
      <c r="D183" s="21" t="s">
        <v>977</v>
      </c>
      <c r="E183" s="13">
        <v>42858.593657407408</v>
      </c>
      <c r="F183" s="13">
        <v>42858.59815972222</v>
      </c>
      <c r="G183" s="7">
        <v>1</v>
      </c>
      <c r="H183" s="21" t="s">
        <v>576</v>
      </c>
      <c r="I183" s="13">
        <v>42858.607476851852</v>
      </c>
      <c r="J183" s="7">
        <v>0</v>
      </c>
      <c r="K183" s="92" t="str">
        <f>IF(ISEVEN(B183),(B183-1)&amp;"/"&amp;B183,B183&amp;"/"&amp;(B183+1))</f>
        <v>4005/4006</v>
      </c>
      <c r="L183" s="21" t="str">
        <f>VLOOKUP(A183,'Trips&amp;Operators'!$C$1:$G$99999,5,FALSE)</f>
        <v>BRUDER RICHARD</v>
      </c>
      <c r="M183" s="6">
        <f>I183-F183</f>
        <v>9.3171296321088448E-3</v>
      </c>
      <c r="N183" s="7">
        <f>24*60*SUM($M183:$M183)</f>
        <v>13.416666670236737</v>
      </c>
      <c r="O183" s="7"/>
      <c r="P183" s="7"/>
      <c r="Q183" s="22"/>
      <c r="R183" s="190"/>
      <c r="S183" s="196">
        <f>SUM(U183:U183)/IF(AG183="EC",12,1)</f>
        <v>1</v>
      </c>
      <c r="T183" s="190" t="str">
        <f>IF(ISEVEN(LEFT(AD183,4)),"Southbound","NorthBound")</f>
        <v>NorthBound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-05-03T13:14:52-0600',mode:absolute,to:'2017-05-03T15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3" s="192" t="str">
        <f>IF(AA183&lt;IF(AG183="EC",23,5.65),"Y","N")</f>
        <v>N</v>
      </c>
      <c r="X183" s="192">
        <f>VALUE(LEFT(AD183,4))-VALUE(LEFT(AD182,4))</f>
        <v>1</v>
      </c>
      <c r="Y183" s="192">
        <f>RIGHT(D183,LEN(D183)-4)/10000</f>
        <v>9.64E-2</v>
      </c>
      <c r="Z183" s="192">
        <f>RIGHT(H183,LEN(H183)-4)/10000</f>
        <v>5.8939000000000004</v>
      </c>
      <c r="AA183" s="192">
        <f>ABS(Z183-Y183)</f>
        <v>5.7975000000000003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>IF(LEN(A183)=6,"0"&amp;A183,A183)</f>
        <v>0823-03</v>
      </c>
      <c r="AE183" s="80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83" s="77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/stypes="app*4006*20170503*" /stext=" 20:.+((SYSTEM_STATE.+slice.+state.+changed )|(ment ac)|(multiple cpu faults)|(system.+state.+changed )|(\[timeout)|(PRM\|1\|D)|(kpr)|(kdp)|(train st.+moving)|(\|lc)|(penalty))"</v>
      </c>
      <c r="AG183" s="1" t="str">
        <f>IFERROR(IF(VALUE(LEFT(AD183,2))&lt;=2,"EC",IF(OR(VALUE(LEFT(AD183,2))=8,VALUE(LEFT(AD183,2))=18),"NW","Other")),"Other")</f>
        <v>NW</v>
      </c>
      <c r="AH183" s="81" t="str">
        <f t="shared" si="14"/>
        <v>"%USERPROFILE%\Documents\GitHub\eaglep3\Utilities\RefineRTDCRunTimes.py" --tripid 823-03 --locoid 4006 --swversion DE.1.0.9.0 --startMP 204:964 --initTime 2017-05-03T14:14:52 --startdatetime 2017-05-03T14:21:21 --delay 1 --endMP 300:58939 --enddatetime 2017-05-03T14:34:46 --enforcementcount 0 &gt;&gt;C:\Users\stu\Documents\GitHub\eaglep3-reporting\EC\2017-05-03-refined-times.txt</v>
      </c>
      <c r="AI183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{"issue":{"subject":"","project_id":79,"tracker_id":40,"status_id":1,"priority_id":2,"assigned_to_id":23,"start_date":"2017-05-03","description":"","custom_fields":[{"id":1,"name":"Subdivision","value":"NW"},{"id":4,"name":"Milepost","value":"5.8939"},{"id":17,"name":"Train ID","value":"823-03"},{"id":16,"name":"Locomotive ID","value":"4006"},{"id":130,"name":"Impact","value":""},{"id":150,"name":"Time of Event (Mountain Time)","value":"14:34:46"},{"id":151,"name":"Denver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16"/>
        <v>start /low /b %USERPROFILE%\Documents\GitHub\eaglep3\Utilities\DownloadLogsFromS3.py --loco 4006 --day 2017-05-03</v>
      </c>
      <c r="AN183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x14ac:dyDescent="0.25">
      <c r="A184" s="32" t="s">
        <v>747</v>
      </c>
      <c r="B184" s="7">
        <v>4005</v>
      </c>
      <c r="C184" s="21" t="s">
        <v>210</v>
      </c>
      <c r="D184" s="21" t="s">
        <v>469</v>
      </c>
      <c r="E184" s="13">
        <v>42858.609247685185</v>
      </c>
      <c r="F184" s="13">
        <v>42858.610775462963</v>
      </c>
      <c r="G184" s="7">
        <v>1</v>
      </c>
      <c r="H184" s="21" t="s">
        <v>970</v>
      </c>
      <c r="I184" s="13">
        <v>42858.621469907404</v>
      </c>
      <c r="J184" s="7">
        <v>0</v>
      </c>
      <c r="K184" s="92" t="str">
        <f>IF(ISEVEN(B184),(B184-1)&amp;"/"&amp;B184,B184&amp;"/"&amp;(B184+1))</f>
        <v>4005/4006</v>
      </c>
      <c r="L184" s="21" t="str">
        <f>VLOOKUP(A184,'Trips&amp;Operators'!$C$1:$G$99999,5,FALSE)</f>
        <v>BRUDER RICHARD</v>
      </c>
      <c r="M184" s="6">
        <f>I184-F184</f>
        <v>1.0694444441469386E-2</v>
      </c>
      <c r="N184" s="7">
        <f>24*60*SUM($M184:$M184)</f>
        <v>15.399999995715916</v>
      </c>
      <c r="O184" s="7"/>
      <c r="P184" s="7"/>
      <c r="Q184" s="22"/>
      <c r="R184" s="190"/>
      <c r="S184" s="196">
        <f>SUM(U184:U184)/IF(AG184="EC",12,1)</f>
        <v>1</v>
      </c>
      <c r="T184" s="190" t="str">
        <f>IF(ISEVEN(LEFT(AD184,4)),"Southbound","NorthBound")</f>
        <v>Southbound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-05-03T13:37:19-0600',mode:absolute,to:'2017-05-03T15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4" s="192" t="str">
        <f>IF(AA184&lt;IF(AG184="EC",23,5.65),"Y","N")</f>
        <v>N</v>
      </c>
      <c r="X184" s="192">
        <f>VALUE(LEFT(AD184,4))-VALUE(LEFT(AD183,4))</f>
        <v>1</v>
      </c>
      <c r="Y184" s="192">
        <f>RIGHT(D184,LEN(D184)-4)/10000</f>
        <v>5.8628</v>
      </c>
      <c r="Z184" s="192">
        <f>RIGHT(H184,LEN(H184)-4)/10000</f>
        <v>6.7299999999999999E-2</v>
      </c>
      <c r="AA184" s="192">
        <f>ABS(Z184-Y184)</f>
        <v>5.7954999999999997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>IF(LEN(A184)=6,"0"&amp;A184,A184)</f>
        <v>0824-03</v>
      </c>
      <c r="AE184" s="80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84" s="77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/stypes="app*4005*20170503*" /stext=" 20:.+((SYSTEM_STATE.+slice.+state.+changed )|(ment ac)|(multiple cpu faults)|(system.+state.+changed )|(\[timeout)|(PRM\|1\|D)|(kpr)|(kdp)|(train st.+moving)|(\|lc)|(penalty))"</v>
      </c>
      <c r="AG184" s="1" t="str">
        <f>IFERROR(IF(VALUE(LEFT(AD184,2))&lt;=2,"EC",IF(OR(VALUE(LEFT(AD184,2))=8,VALUE(LEFT(AD184,2))=18),"NW","Other")),"Other")</f>
        <v>NW</v>
      </c>
      <c r="AH184" s="81" t="str">
        <f t="shared" si="14"/>
        <v>"%USERPROFILE%\Documents\GitHub\eaglep3\Utilities\RefineRTDCRunTimes.py" --tripid 824-03 --locoid 4005 --swversion DE.1.0.9.0 --startMP 300:58628 --initTime 2017-05-03T14:37:19 --startdatetime 2017-05-03T14:39:31 --delay 1 --endMP 204:673 --enddatetime 2017-05-03T14:54:55 --enforcementcount 0 &gt;&gt;C:\Users\stu\Documents\GitHub\eaglep3-reporting\EC\2017-05-03-refined-times.txt</v>
      </c>
      <c r="AI184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{"issue":{"subject":"","project_id":79,"tracker_id":40,"status_id":1,"priority_id":2,"assigned_to_id":23,"start_date":"2017-05-03","description":"","custom_fields":[{"id":1,"name":"Subdivision","value":"NW"},{"id":4,"name":"Milepost","value":"0.0673"},{"id":17,"name":"Train ID","value":"824-03"},{"id":16,"name":"Locomotive ID","value":"4005"},{"id":130,"name":"Impact","value":""},{"id":150,"name":"Time of Event (Mountain Time)","value":"14:54:55"},{"id":151,"name":"Denver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7"/>
      <c r="AL184" s="47"/>
      <c r="AM184" s="145" t="str">
        <f t="shared" si="16"/>
        <v>start /low /b %USERPROFILE%\Documents\GitHub\eaglep3\Utilities\DownloadLogsFromS3.py --loco 4005 --day 2017-05-03</v>
      </c>
      <c r="AN184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20:54:55"},{"id":29,"name":"Sharepoint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2" t="s">
        <v>751</v>
      </c>
      <c r="B185" s="7">
        <v>4006</v>
      </c>
      <c r="C185" s="21" t="s">
        <v>210</v>
      </c>
      <c r="D185" s="21" t="s">
        <v>516</v>
      </c>
      <c r="E185" s="13">
        <v>42858.637175925927</v>
      </c>
      <c r="F185" s="13">
        <v>42858.639803240738</v>
      </c>
      <c r="G185" s="7">
        <v>1</v>
      </c>
      <c r="H185" s="21" t="s">
        <v>467</v>
      </c>
      <c r="I185" s="13">
        <v>42858.649236111109</v>
      </c>
      <c r="J185" s="7">
        <v>0</v>
      </c>
      <c r="K185" s="92" t="str">
        <f>IF(ISEVEN(B185),(B185-1)&amp;"/"&amp;B185,B185&amp;"/"&amp;(B185+1))</f>
        <v>4005/4006</v>
      </c>
      <c r="L185" s="21" t="str">
        <f>VLOOKUP(A185,'Trips&amp;Operators'!$C$1:$G$99999,5,FALSE)</f>
        <v>BRUDER RICHARD</v>
      </c>
      <c r="M185" s="6">
        <f>I185-F185</f>
        <v>9.4328703708015382E-3</v>
      </c>
      <c r="N185" s="7">
        <f>24*60*SUM($M185:$M185)</f>
        <v>13.583333333954215</v>
      </c>
      <c r="O185" s="7"/>
      <c r="P185" s="7"/>
      <c r="Q185" s="22"/>
      <c r="R185" s="190"/>
      <c r="S185" s="196">
        <f>SUM(U185:U185)/IF(AG185="EC",12,1)</f>
        <v>1</v>
      </c>
      <c r="T185" s="190" t="str">
        <f>IF(ISEVEN(LEFT(AD185,4)),"Southbound","NorthBound")</f>
        <v>NorthBound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-05-03T14:17:32-0600',mode:absolute,to:'2017-05-03T16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5" s="192" t="str">
        <f>IF(AA185&lt;IF(AG185="EC",23,5.65),"Y","N")</f>
        <v>N</v>
      </c>
      <c r="X185" s="192">
        <f>VALUE(LEFT(AD185,4))-VALUE(LEFT(AD184,4))</f>
        <v>1</v>
      </c>
      <c r="Y185" s="192">
        <f>RIGHT(D185,LEN(D185)-4)/10000</f>
        <v>9.5799999999999996E-2</v>
      </c>
      <c r="Z185" s="192">
        <f>RIGHT(H185,LEN(H185)-4)/10000</f>
        <v>5.8943000000000003</v>
      </c>
      <c r="AA185" s="192">
        <f>ABS(Z185-Y185)</f>
        <v>5.7985000000000007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>IF(LEN(A185)=6,"0"&amp;A185,A185)</f>
        <v>0825-03</v>
      </c>
      <c r="AE185" s="80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85" s="77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/stypes="app*4006*20170503*" /stext=" 21:.+((SYSTEM_STATE.+slice.+state.+changed )|(ment ac)|(multiple cpu faults)|(system.+state.+changed )|(\[timeout)|(PRM\|1\|D)|(kpr)|(kdp)|(train st.+moving)|(\|lc)|(penalty))"</v>
      </c>
      <c r="AG185" s="1" t="str">
        <f>IFERROR(IF(VALUE(LEFT(AD185,2))&lt;=2,"EC",IF(OR(VALUE(LEFT(AD185,2))=8,VALUE(LEFT(AD185,2))=18),"NW","Other")),"Other")</f>
        <v>NW</v>
      </c>
      <c r="AH185" s="81" t="str">
        <f t="shared" si="14"/>
        <v>"%USERPROFILE%\Documents\GitHub\eaglep3\Utilities\RefineRTDCRunTimes.py" --tripid 825-03 --locoid 4006 --swversion DE.1.0.9.0 --startMP 204:958 --initTime 2017-05-03T15:17:32 --startdatetime 2017-05-03T15:21:19 --delay 1 --endMP 300:58943 --enddatetime 2017-05-03T15:34:54 --enforcementcount 0 &gt;&gt;C:\Users\stu\Documents\GitHub\eaglep3-reporting\EC\2017-05-03-refined-times.txt</v>
      </c>
      <c r="AI185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{"issue":{"subject":"","project_id":79,"tracker_id":40,"status_id":1,"priority_id":2,"assigned_to_id":23,"start_date":"2017-05-03","description":"","custom_fields":[{"id":1,"name":"Subdivision","value":"NW"},{"id":4,"name":"Milepost","value":"5.8943"},{"id":17,"name":"Train ID","value":"825-03"},{"id":16,"name":"Locomotive ID","value":"4006"},{"id":130,"name":"Impact","value":""},{"id":150,"name":"Time of Event (Mountain Time)","value":"15:34:54"},{"id":151,"name":"Denver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16"/>
        <v>start /low /b %USERPROFILE%\Documents\GitHub\eaglep3\Utilities\DownloadLogsFromS3.py --loco 4006 --day 2017-05-03</v>
      </c>
      <c r="AN185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756</v>
      </c>
      <c r="B186" s="7">
        <v>4005</v>
      </c>
      <c r="C186" s="21" t="s">
        <v>210</v>
      </c>
      <c r="D186" s="21" t="s">
        <v>521</v>
      </c>
      <c r="E186" s="13">
        <v>42858.650949074072</v>
      </c>
      <c r="F186" s="13">
        <v>42858.652951388889</v>
      </c>
      <c r="G186" s="7">
        <v>1</v>
      </c>
      <c r="H186" s="21" t="s">
        <v>978</v>
      </c>
      <c r="I186" s="13">
        <v>42858.663460648146</v>
      </c>
      <c r="J186" s="7">
        <v>0</v>
      </c>
      <c r="K186" s="92" t="str">
        <f>IF(ISEVEN(B186),(B186-1)&amp;"/"&amp;B186,B186&amp;"/"&amp;(B186+1))</f>
        <v>4005/4006</v>
      </c>
      <c r="L186" s="21" t="str">
        <f>VLOOKUP(A186,'Trips&amp;Operators'!$C$1:$G$99999,5,FALSE)</f>
        <v>BRUDER RICHARD</v>
      </c>
      <c r="M186" s="6">
        <f>I186-F186</f>
        <v>1.0509259256650694E-2</v>
      </c>
      <c r="N186" s="7">
        <f>24*60*SUM($M186:$M186)</f>
        <v>15.133333329576999</v>
      </c>
      <c r="O186" s="7"/>
      <c r="P186" s="7"/>
      <c r="Q186" s="22"/>
      <c r="R186" s="190"/>
      <c r="S186" s="196">
        <f>SUM(U186:U186)/IF(AG186="EC",12,1)</f>
        <v>1</v>
      </c>
      <c r="T186" s="190" t="str">
        <f>IF(ISEVEN(LEFT(AD186,4)),"Southbound","NorthBound")</f>
        <v>Southbound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-05-03T14:37:22-0600',mode:absolute,to:'2017-05-03T16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6" s="192" t="str">
        <f>IF(AA186&lt;IF(AG186="EC",23,5.65),"Y","N")</f>
        <v>N</v>
      </c>
      <c r="X186" s="192">
        <f>VALUE(LEFT(AD186,4))-VALUE(LEFT(AD185,4))</f>
        <v>1</v>
      </c>
      <c r="Y186" s="192">
        <f>RIGHT(D186,LEN(D186)-4)/10000</f>
        <v>5.8635999999999999</v>
      </c>
      <c r="Z186" s="192">
        <f>RIGHT(H186,LEN(H186)-4)/10000</f>
        <v>6.9199999999999998E-2</v>
      </c>
      <c r="AA186" s="192">
        <f>ABS(Z186-Y186)</f>
        <v>5.7943999999999996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>IF(LEN(A186)=6,"0"&amp;A186,A186)</f>
        <v>0826-03</v>
      </c>
      <c r="AE186" s="80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86" s="77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/stypes="app*4005*20170503*" /stext=" 21:.+((SYSTEM_STATE.+slice.+state.+changed )|(ment ac)|(multiple cpu faults)|(system.+state.+changed )|(\[timeout)|(PRM\|1\|D)|(kpr)|(kdp)|(train st.+moving)|(\|lc)|(penalty))"</v>
      </c>
      <c r="AG186" s="1" t="str">
        <f>IFERROR(IF(VALUE(LEFT(AD186,2))&lt;=2,"EC",IF(OR(VALUE(LEFT(AD186,2))=8,VALUE(LEFT(AD186,2))=18),"NW","Other")),"Other")</f>
        <v>NW</v>
      </c>
      <c r="AH186" s="81" t="str">
        <f t="shared" si="14"/>
        <v>"%USERPROFILE%\Documents\GitHub\eaglep3\Utilities\RefineRTDCRunTimes.py" --tripid 826-03 --locoid 4005 --swversion DE.1.0.9.0 --startMP 300:58636 --initTime 2017-05-03T15:37:22 --startdatetime 2017-05-03T15:40:15 --delay 1 --endMP 204:692 --enddatetime 2017-05-03T15:55:23 --enforcementcount 0 &gt;&gt;C:\Users\stu\Documents\GitHub\eaglep3-reporting\EC\2017-05-03-refined-times.txt</v>
      </c>
      <c r="AI186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{"issue":{"subject":"","project_id":79,"tracker_id":40,"status_id":1,"priority_id":2,"assigned_to_id":23,"start_date":"2017-05-03","description":"","custom_fields":[{"id":1,"name":"Subdivision","value":"NW"},{"id":4,"name":"Milepost","value":"0.0692"},{"id":17,"name":"Train ID","value":"826-03"},{"id":16,"name":"Locomotive ID","value":"4005"},{"id":130,"name":"Impact","value":""},{"id":150,"name":"Time of Event (Mountain Time)","value":"15:55:23"},{"id":151,"name":"Denver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16"/>
        <v>start /low /b %USERPROFILE%\Documents\GitHub\eaglep3\Utilities\DownloadLogsFromS3.py --loco 4005 --day 2017-05-03</v>
      </c>
      <c r="AN186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759</v>
      </c>
      <c r="B187" s="7">
        <v>4032</v>
      </c>
      <c r="C187" s="21" t="s">
        <v>210</v>
      </c>
      <c r="D187" s="21" t="s">
        <v>567</v>
      </c>
      <c r="E187" s="13">
        <v>42858.659131944441</v>
      </c>
      <c r="F187" s="13">
        <v>42858.66064814815</v>
      </c>
      <c r="G187" s="7">
        <v>1</v>
      </c>
      <c r="H187" s="21" t="s">
        <v>572</v>
      </c>
      <c r="I187" s="13">
        <v>42858.671215277776</v>
      </c>
      <c r="J187" s="7">
        <v>0</v>
      </c>
      <c r="K187" s="92" t="str">
        <f>IF(ISEVEN(B187),(B187-1)&amp;"/"&amp;B187,B187&amp;"/"&amp;(B187+1))</f>
        <v>4031/4032</v>
      </c>
      <c r="L187" s="21" t="str">
        <f>VLOOKUP(A187,'Trips&amp;Operators'!$C$1:$G$99999,5,FALSE)</f>
        <v>CHANDLER KELVIN</v>
      </c>
      <c r="M187" s="6">
        <f>I187-F187</f>
        <v>1.056712962599704E-2</v>
      </c>
      <c r="N187" s="7">
        <f>24*60*SUM($M187:$M187)</f>
        <v>15.216666661435738</v>
      </c>
      <c r="O187" s="7"/>
      <c r="P187" s="7"/>
      <c r="Q187" s="22"/>
      <c r="R187" s="190"/>
      <c r="S187" s="196">
        <f>SUM(U187:U187)/IF(AG187="EC",12,1)</f>
        <v>1</v>
      </c>
      <c r="T187" s="190" t="str">
        <f>IF(ISEVEN(LEFT(AD187,4)),"Southbound","NorthBound")</f>
        <v>NorthBound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-05-03T14:49:09-0600',mode:absolute,to:'2017-05-03T17:06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87" s="192" t="str">
        <f>IF(AA187&lt;IF(AG187="EC",23,5.65),"Y","N")</f>
        <v>N</v>
      </c>
      <c r="X187" s="192">
        <f>VALUE(LEFT(AD187,4))-VALUE(LEFT(AD186,4))</f>
        <v>1</v>
      </c>
      <c r="Y187" s="192">
        <f>RIGHT(D187,LEN(D187)-4)/10000</f>
        <v>9.5699999999999993E-2</v>
      </c>
      <c r="Z187" s="192">
        <f>RIGHT(H187,LEN(H187)-4)/10000</f>
        <v>5.899</v>
      </c>
      <c r="AA187" s="192">
        <f>ABS(Z187-Y187)</f>
        <v>5.8033000000000001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>IF(LEN(A187)=6,"0"&amp;A187,A187)</f>
        <v>0827-03</v>
      </c>
      <c r="AE187" s="80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AF187" s="77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/stypes="app*4032*20170503*" /stext=" 22:.+((SYSTEM_STATE.+slice.+state.+changed )|(ment ac)|(multiple cpu faults)|(system.+state.+changed )|(\[timeout)|(PRM\|1\|D)|(kpr)|(kdp)|(train st.+moving)|(\|lc)|(penalty))"</v>
      </c>
      <c r="AG187" s="1" t="str">
        <f>IFERROR(IF(VALUE(LEFT(AD187,2))&lt;=2,"EC",IF(OR(VALUE(LEFT(AD187,2))=8,VALUE(LEFT(AD187,2))=18),"NW","Other")),"Other")</f>
        <v>NW</v>
      </c>
      <c r="AH187" s="81" t="str">
        <f t="shared" si="14"/>
        <v>"%USERPROFILE%\Documents\GitHub\eaglep3\Utilities\RefineRTDCRunTimes.py" --tripid 827-03 --locoid 4032 --swversion DE.1.0.9.0 --startMP 204:957 --initTime 2017-05-03T15:49:09 --startdatetime 2017-05-03T15:51:20 --delay 1 --endMP 300:58990 --enddatetime 2017-05-03T16:06:33 --enforcementcount 0 &gt;&gt;C:\Users\stu\Documents\GitHub\eaglep3-reporting\EC\2017-05-03-refined-times.txt</v>
      </c>
      <c r="AI187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{"issue":{"subject":"","project_id":79,"tracker_id":40,"status_id":1,"priority_id":2,"assigned_to_id":23,"start_date":"2017-05-03","description":"","custom_fields":[{"id":1,"name":"Subdivision","value":"NW"},{"id":4,"name":"Milepost","value":"5.899"},{"id":17,"name":"Train ID","value":"827-03"},{"id":16,"name":"Locomotive ID","value":"4032"},{"id":130,"name":"Impact","value":""},{"id":150,"name":"Time of Event (Mountain Time)","value":"16:06:33"},{"id":151,"name":"Denver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16"/>
        <v>start /low /b %USERPROFILE%\Documents\GitHub\eaglep3\Utilities\DownloadLogsFromS3.py --loco 4032 --day 2017-05-03</v>
      </c>
      <c r="AN187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22:06:33"},{"id":29,"name":"Sharepoint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763</v>
      </c>
      <c r="B188" s="7">
        <v>4031</v>
      </c>
      <c r="C188" s="21" t="s">
        <v>210</v>
      </c>
      <c r="D188" s="21" t="s">
        <v>979</v>
      </c>
      <c r="E188" s="13">
        <v>42858.673263888886</v>
      </c>
      <c r="F188" s="13">
        <v>42858.674699074072</v>
      </c>
      <c r="G188" s="7">
        <v>1</v>
      </c>
      <c r="H188" s="21" t="s">
        <v>980</v>
      </c>
      <c r="I188" s="13">
        <v>42858.684930555559</v>
      </c>
      <c r="J188" s="7">
        <v>0</v>
      </c>
      <c r="K188" s="92" t="str">
        <f>IF(ISEVEN(B188),(B188-1)&amp;"/"&amp;B188,B188&amp;"/"&amp;(B188+1))</f>
        <v>4031/4032</v>
      </c>
      <c r="L188" s="21" t="str">
        <f>VLOOKUP(A188,'Trips&amp;Operators'!$C$1:$G$99999,5,FALSE)</f>
        <v>CHANDLER KELVIN</v>
      </c>
      <c r="M188" s="6">
        <f>I188-F188</f>
        <v>1.0231481486698613E-2</v>
      </c>
      <c r="N188" s="7">
        <f>24*60*SUM($M188:$M188)</f>
        <v>14.733333340846002</v>
      </c>
      <c r="O188" s="7"/>
      <c r="P188" s="7"/>
      <c r="Q188" s="22"/>
      <c r="R188" s="190"/>
      <c r="S188" s="196">
        <f>SUM(U188:U188)/IF(AG188="EC",12,1)</f>
        <v>1</v>
      </c>
      <c r="T188" s="190" t="str">
        <f>IF(ISEVEN(LEFT(AD188,4)),"Southbound","NorthBound")</f>
        <v>Southbound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-05-03T15:09:30-0600',mode:absolute,to:'2017-05-03T17:26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88" s="192" t="str">
        <f>IF(AA188&lt;IF(AG188="EC",23,5.65),"Y","N")</f>
        <v>N</v>
      </c>
      <c r="X188" s="192">
        <f>VALUE(LEFT(AD188,4))-VALUE(LEFT(AD187,4))</f>
        <v>1</v>
      </c>
      <c r="Y188" s="192">
        <f>RIGHT(D188,LEN(D188)-4)/10000</f>
        <v>5.8677000000000001</v>
      </c>
      <c r="Z188" s="192">
        <f>RIGHT(H188,LEN(H188)-4)/10000</f>
        <v>6.5000000000000002E-2</v>
      </c>
      <c r="AA188" s="192">
        <f>ABS(Z188-Y188)</f>
        <v>5.8026999999999997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>IF(LEN(A188)=6,"0"&amp;A188,A188)</f>
        <v>0828-03</v>
      </c>
      <c r="AE188" s="80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s3://rtdc.mdm.uploadarchive.raw/RTDC4031/ "%USERPROFILE%\AppData\Local\Temp\OnboardLogs"\RTDC4031\2017-05-03 --exclude "*" --recursive --include "*20170503*" &amp; "%USERPROFILE%\Documents\GitHub\mrs-test-scripts\Headless Mode &amp; Sideloading\WalkAndUnGZ.bat" "%USERPROFILE%\AppData\Local\Temp\OnboardLogs"\RTDC4031\2017-05-03 &amp; aws s3 cp s3://rtdc.mdm.uploadarchive.raw/RTDC4031/ "%USERPROFILE%\AppData\Local\Temp\OnboardLogs"\RTDC4031\2017-05-04 --exclude "*" --recursive --include "*20170504*" &amp; "%USERPROFILE%\Documents\GitHub\mrs-test-scripts\Headless Mode &amp; Sideloading\WalkAndUnGZ.bat" "%USERPROFILE%\AppData\Local\Temp\OnboardLogs"\RTDC4031\2017-05-04</v>
      </c>
      <c r="AF188" s="77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/stypes="app*4031*20170503*" /stext=" 22:.+((SYSTEM_STATE.+slice.+state.+changed )|(ment ac)|(multiple cpu faults)|(system.+state.+changed )|(\[timeout)|(PRM\|1\|D)|(kpr)|(kdp)|(train st.+moving)|(\|lc)|(penalty))"</v>
      </c>
      <c r="AG188" s="1" t="str">
        <f>IFERROR(IF(VALUE(LEFT(AD188,2))&lt;=2,"EC",IF(OR(VALUE(LEFT(AD188,2))=8,VALUE(LEFT(AD188,2))=18),"NW","Other")),"Other")</f>
        <v>NW</v>
      </c>
      <c r="AH188" s="81" t="str">
        <f t="shared" si="14"/>
        <v>"%USERPROFILE%\Documents\GitHub\eaglep3\Utilities\RefineRTDCRunTimes.py" --tripid 828-03 --locoid 4031 --swversion DE.1.0.9.0 --startMP 300:58677 --initTime 2017-05-03T16:09:30 --startdatetime 2017-05-03T16:11:34 --delay 1 --endMP 204:650 --enddatetime 2017-05-03T16:26:18 --enforcementcount 0 &gt;&gt;C:\Users\stu\Documents\GitHub\eaglep3-reporting\EC\2017-05-03-refined-times.txt</v>
      </c>
      <c r="AI188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{"issue":{"subject":"","project_id":79,"tracker_id":40,"status_id":1,"priority_id":2,"assigned_to_id":23,"start_date":"2017-05-03","description":"","custom_fields":[{"id":1,"name":"Subdivision","value":"NW"},{"id":4,"name":"Milepost","value":"0.065"},{"id":17,"name":"Train ID","value":"828-03"},{"id":16,"name":"Locomotive ID","value":"4031"},{"id":130,"name":"Impact","value":""},{"id":150,"name":"Time of Event (Mountain Time)","value":"16:26:18"},{"id":151,"name":"Denver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16"/>
        <v>start /low /b %USERPROFILE%\Documents\GitHub\eaglep3\Utilities\DownloadLogsFromS3.py --loco 4031 --day 2017-05-03</v>
      </c>
      <c r="AN188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22:26:18"},{"id":29,"name":"Sharepoint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765</v>
      </c>
      <c r="B189" s="7">
        <v>4006</v>
      </c>
      <c r="C189" s="21" t="s">
        <v>210</v>
      </c>
      <c r="D189" s="21" t="s">
        <v>959</v>
      </c>
      <c r="E189" s="13">
        <v>42858.678773148145</v>
      </c>
      <c r="F189" s="13">
        <v>42858.681562500002</v>
      </c>
      <c r="G189" s="7">
        <v>1</v>
      </c>
      <c r="H189" s="21" t="s">
        <v>520</v>
      </c>
      <c r="I189" s="13">
        <v>42858.691111111111</v>
      </c>
      <c r="J189" s="7">
        <v>0</v>
      </c>
      <c r="K189" s="92" t="str">
        <f>IF(ISEVEN(B189),(B189-1)&amp;"/"&amp;B189,B189&amp;"/"&amp;(B189+1))</f>
        <v>4005/4006</v>
      </c>
      <c r="L189" s="21" t="str">
        <f>VLOOKUP(A189,'Trips&amp;Operators'!$C$1:$G$99999,5,FALSE)</f>
        <v>BRUDER RICHARD</v>
      </c>
      <c r="M189" s="6">
        <f>I189-F189</f>
        <v>9.5486111094942316E-3</v>
      </c>
      <c r="N189" s="7">
        <f>24*60*SUM($M189:$M189)</f>
        <v>13.749999997671694</v>
      </c>
      <c r="O189" s="7"/>
      <c r="P189" s="7"/>
      <c r="Q189" s="22"/>
      <c r="R189" s="190"/>
      <c r="S189" s="196">
        <f>SUM(U189:U189)/IF(AG189="EC",12,1)</f>
        <v>1</v>
      </c>
      <c r="T189" s="190" t="str">
        <f>IF(ISEVEN(LEFT(AD189,4)),"Southbound","NorthBound")</f>
        <v>NorthBound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-05-03T15:17:26-0600',mode:absolute,to:'2017-05-03T17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9" s="192" t="str">
        <f>IF(AA189&lt;IF(AG189="EC",23,5.65),"Y","N")</f>
        <v>N</v>
      </c>
      <c r="X189" s="192">
        <f>VALUE(LEFT(AD189,4))-VALUE(LEFT(AD188,4))</f>
        <v>1</v>
      </c>
      <c r="Y189" s="192">
        <f>RIGHT(D189,LEN(D189)-4)/10000</f>
        <v>9.7600000000000006E-2</v>
      </c>
      <c r="Z189" s="192">
        <f>RIGHT(H189,LEN(H189)-4)/10000</f>
        <v>5.8949999999999996</v>
      </c>
      <c r="AA189" s="192">
        <f>ABS(Z189-Y189)</f>
        <v>5.7973999999999997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>IF(LEN(A189)=6,"0"&amp;A189,A189)</f>
        <v>0829-03</v>
      </c>
      <c r="AE189" s="80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89" s="77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/stypes="app*4006*20170503*" /stext=" 22:.+((SYSTEM_STATE.+slice.+state.+changed )|(ment ac)|(multiple cpu faults)|(system.+state.+changed )|(\[timeout)|(PRM\|1\|D)|(kpr)|(kdp)|(train st.+moving)|(\|lc)|(penalty))"</v>
      </c>
      <c r="AG189" s="1" t="str">
        <f>IFERROR(IF(VALUE(LEFT(AD189,2))&lt;=2,"EC",IF(OR(VALUE(LEFT(AD189,2))=8,VALUE(LEFT(AD189,2))=18),"NW","Other")),"Other")</f>
        <v>NW</v>
      </c>
      <c r="AH189" s="81" t="str">
        <f t="shared" si="14"/>
        <v>"%USERPROFILE%\Documents\GitHub\eaglep3\Utilities\RefineRTDCRunTimes.py" --tripid 829-03 --locoid 4006 --swversion DE.1.0.9.0 --startMP 204:976 --initTime 2017-05-03T16:17:26 --startdatetime 2017-05-03T16:21:27 --delay 1 --endMP 300:58950 --enddatetime 2017-05-03T16:35:12 --enforcementcount 0 &gt;&gt;C:\Users\stu\Documents\GitHub\eaglep3-reporting\EC\2017-05-03-refined-times.txt</v>
      </c>
      <c r="AI189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{"issue":{"subject":"","project_id":79,"tracker_id":40,"status_id":1,"priority_id":2,"assigned_to_id":23,"start_date":"2017-05-03","description":"","custom_fields":[{"id":1,"name":"Subdivision","value":"NW"},{"id":4,"name":"Milepost","value":"5.895"},{"id":17,"name":"Train ID","value":"829-03"},{"id":16,"name":"Locomotive ID","value":"4006"},{"id":130,"name":"Impact","value":""},{"id":150,"name":"Time of Event (Mountain Time)","value":"16:35:12"},{"id":151,"name":"Denver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16"/>
        <v>start /low /b %USERPROFILE%\Documents\GitHub\eaglep3\Utilities\DownloadLogsFromS3.py --loco 4006 --day 2017-05-03</v>
      </c>
      <c r="AN189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768</v>
      </c>
      <c r="B190" s="7">
        <v>4005</v>
      </c>
      <c r="C190" s="21" t="s">
        <v>210</v>
      </c>
      <c r="D190" s="21" t="s">
        <v>955</v>
      </c>
      <c r="E190" s="13">
        <v>42858.69263888889</v>
      </c>
      <c r="F190" s="13">
        <v>42858.69458333333</v>
      </c>
      <c r="G190" s="7">
        <v>1</v>
      </c>
      <c r="H190" s="21" t="s">
        <v>961</v>
      </c>
      <c r="I190" s="13">
        <v>42858.705081018517</v>
      </c>
      <c r="J190" s="7">
        <v>0</v>
      </c>
      <c r="K190" s="92" t="str">
        <f>IF(ISEVEN(B190),(B190-1)&amp;"/"&amp;B190,B190&amp;"/"&amp;(B190+1))</f>
        <v>4005/4006</v>
      </c>
      <c r="L190" s="21" t="str">
        <f>VLOOKUP(A190,'Trips&amp;Operators'!$C$1:$G$99999,5,FALSE)</f>
        <v>BRUDER RICHARD</v>
      </c>
      <c r="M190" s="6">
        <f>I190-F190</f>
        <v>1.0497685187146999E-2</v>
      </c>
      <c r="N190" s="7">
        <f>24*60*SUM($M190:$M190)</f>
        <v>15.116666669491678</v>
      </c>
      <c r="O190" s="7"/>
      <c r="P190" s="7"/>
      <c r="Q190" s="22"/>
      <c r="R190" s="190"/>
      <c r="S190" s="196">
        <f>SUM(U190:U190)/IF(AG190="EC",12,1)</f>
        <v>1</v>
      </c>
      <c r="T190" s="190" t="str">
        <f>IF(ISEVEN(LEFT(AD190,4)),"Southbound","NorthBound")</f>
        <v>Southbound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-05-03T15:37:24-0600',mode:absolute,to:'2017-05-03T17:55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0" s="192" t="str">
        <f>IF(AA190&lt;IF(AG190="EC",23,5.65),"Y","N")</f>
        <v>N</v>
      </c>
      <c r="X190" s="192">
        <f>VALUE(LEFT(AD190,4))-VALUE(LEFT(AD189,4))</f>
        <v>1</v>
      </c>
      <c r="Y190" s="192">
        <f>RIGHT(D190,LEN(D190)-4)/10000</f>
        <v>5.8634000000000004</v>
      </c>
      <c r="Z190" s="192">
        <f>RIGHT(H190,LEN(H190)-4)/10000</f>
        <v>6.8500000000000005E-2</v>
      </c>
      <c r="AA190" s="192">
        <f>ABS(Z190-Y190)</f>
        <v>5.7949000000000002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>IF(LEN(A190)=6,"0"&amp;A190,A190)</f>
        <v>0830-03</v>
      </c>
      <c r="AE190" s="80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90" s="77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/stypes="app*4005*20170503*" /stext=" 22:.+((SYSTEM_STATE.+slice.+state.+changed )|(ment ac)|(multiple cpu faults)|(system.+state.+changed )|(\[timeout)|(PRM\|1\|D)|(kpr)|(kdp)|(train st.+moving)|(\|lc)|(penalty))"</v>
      </c>
      <c r="AG190" s="1" t="str">
        <f>IFERROR(IF(VALUE(LEFT(AD190,2))&lt;=2,"EC",IF(OR(VALUE(LEFT(AD190,2))=8,VALUE(LEFT(AD190,2))=18),"NW","Other")),"Other")</f>
        <v>NW</v>
      </c>
      <c r="AH190" s="81" t="str">
        <f t="shared" si="14"/>
        <v>"%USERPROFILE%\Documents\GitHub\eaglep3\Utilities\RefineRTDCRunTimes.py" --tripid 830-03 --locoid 4005 --swversion DE.1.0.9.0 --startMP 300:58634 --initTime 2017-05-03T16:37:24 --startdatetime 2017-05-03T16:40:12 --delay 1 --endMP 204:685 --enddatetime 2017-05-03T16:55:19 --enforcementcount 0 &gt;&gt;C:\Users\stu\Documents\GitHub\eaglep3-reporting\EC\2017-05-03-refined-times.txt</v>
      </c>
      <c r="AI190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{"issue":{"subject":"","project_id":79,"tracker_id":40,"status_id":1,"priority_id":2,"assigned_to_id":23,"start_date":"2017-05-03","description":"","custom_fields":[{"id":1,"name":"Subdivision","value":"NW"},{"id":4,"name":"Milepost","value":"0.0685"},{"id":17,"name":"Train ID","value":"830-03"},{"id":16,"name":"Locomotive ID","value":"4005"},{"id":130,"name":"Impact","value":""},{"id":150,"name":"Time of Event (Mountain Time)","value":"16:55:19"},{"id":151,"name":"Denver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16"/>
        <v>start /low /b %USERPROFILE%\Documents\GitHub\eaglep3\Utilities\DownloadLogsFromS3.py --loco 4005 --day 2017-05-03</v>
      </c>
      <c r="AN190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22:55:19"},{"id":29,"name":"Sharepoint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606</v>
      </c>
      <c r="B191" s="7">
        <v>4032</v>
      </c>
      <c r="C191" s="21" t="s">
        <v>210</v>
      </c>
      <c r="D191" s="21" t="s">
        <v>981</v>
      </c>
      <c r="E191" s="13">
        <v>42858.698506944442</v>
      </c>
      <c r="F191" s="13">
        <v>42858.702337962961</v>
      </c>
      <c r="G191" s="7">
        <v>1</v>
      </c>
      <c r="H191" s="21" t="s">
        <v>982</v>
      </c>
      <c r="I191" s="13">
        <v>42858.711875000001</v>
      </c>
      <c r="J191" s="7">
        <v>0</v>
      </c>
      <c r="K191" s="92" t="str">
        <f>IF(ISEVEN(B191),(B191-1)&amp;"/"&amp;B191,B191&amp;"/"&amp;(B191+1))</f>
        <v>4031/4032</v>
      </c>
      <c r="L191" s="21" t="str">
        <f>VLOOKUP(A191,'Trips&amp;Operators'!$C$1:$G$99999,5,FALSE)</f>
        <v>CHANDLER KELVIN</v>
      </c>
      <c r="M191" s="6">
        <f>I191-F191</f>
        <v>9.5370370399905369E-3</v>
      </c>
      <c r="N191" s="7">
        <f>24*60*SUM($M191:$M191)</f>
        <v>13.733333337586373</v>
      </c>
      <c r="O191" s="7"/>
      <c r="P191" s="7"/>
      <c r="Q191" s="22"/>
      <c r="R191" s="190"/>
      <c r="S191" s="196">
        <f>SUM(U191:U191)/IF(AG191="EC",12,1)</f>
        <v>1</v>
      </c>
      <c r="T191" s="190" t="str">
        <f>IF(ISEVEN(LEFT(AD191,4)),"Southbound","NorthBound")</f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-05-03T15:45:51-0600',mode:absolute,to:'2017-05-03T18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1" s="192" t="str">
        <f>IF(AA191&lt;IF(AG191="EC",23,5.65),"Y","N")</f>
        <v>N</v>
      </c>
      <c r="X191" s="192">
        <f>VALUE(LEFT(AD191,4))-VALUE(LEFT(AD190,4))</f>
        <v>1</v>
      </c>
      <c r="Y191" s="192">
        <f>RIGHT(D191,LEN(D191)-4)/10000</f>
        <v>9.4100000000000003E-2</v>
      </c>
      <c r="Z191" s="192">
        <f>RIGHT(H191,LEN(H191)-4)/10000</f>
        <v>5.9005000000000001</v>
      </c>
      <c r="AA191" s="192">
        <f>ABS(Z191-Y191)</f>
        <v>5.8064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>IF(LEN(A191)=6,"0"&amp;A191,A191)</f>
        <v>0831-03</v>
      </c>
      <c r="AE191" s="80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AF191" s="77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/stypes="app*4032*20170503*" /stext=" 23:.+((SYSTEM_STATE.+slice.+state.+changed )|(ment ac)|(multiple cpu faults)|(system.+state.+changed )|(\[timeout)|(PRM\|1\|D)|(kpr)|(kdp)|(train st.+moving)|(\|lc)|(penalty))"</v>
      </c>
      <c r="AG191" s="1" t="str">
        <f>IFERROR(IF(VALUE(LEFT(AD191,2))&lt;=2,"EC",IF(OR(VALUE(LEFT(AD191,2))=8,VALUE(LEFT(AD191,2))=18),"NW","Other")),"Other")</f>
        <v>NW</v>
      </c>
      <c r="AH191" s="81" t="str">
        <f t="shared" si="14"/>
        <v>"%USERPROFILE%\Documents\GitHub\eaglep3\Utilities\RefineRTDCRunTimes.py" --tripid 831-03 --locoid 4032 --swversion DE.1.0.9.0 --startMP 204:941 --initTime 2017-05-03T16:45:51 --startdatetime 2017-05-03T16:51:22 --delay 1 --endMP 300:59005 --enddatetime 2017-05-03T17:05:06 --enforcementcount 0 &gt;&gt;C:\Users\stu\Documents\GitHub\eaglep3-reporting\EC\2017-05-03-refined-times.txt</v>
      </c>
      <c r="AI191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{"issue":{"subject":"","project_id":79,"tracker_id":40,"status_id":1,"priority_id":2,"assigned_to_id":23,"start_date":"2017-05-03","description":"","custom_fields":[{"id":1,"name":"Subdivision","value":"NW"},{"id":4,"name":"Milepost","value":"5.9005"},{"id":17,"name":"Train ID","value":"831-03"},{"id":16,"name":"Locomotive ID","value":"4032"},{"id":130,"name":"Impact","value":""},{"id":150,"name":"Time of Event (Mountain Time)","value":"17:05:06"},{"id":151,"name":"Denver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16"/>
        <v>start /low /b %USERPROFILE%\Documents\GitHub\eaglep3\Utilities\DownloadLogsFromS3.py --loco 4032 --day 2017-05-03</v>
      </c>
      <c r="AN191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s="20" customFormat="1" x14ac:dyDescent="0.25">
      <c r="A192" s="32" t="s">
        <v>774</v>
      </c>
      <c r="B192" s="7">
        <v>4031</v>
      </c>
      <c r="C192" s="21" t="s">
        <v>210</v>
      </c>
      <c r="D192" s="21" t="s">
        <v>983</v>
      </c>
      <c r="E192" s="13">
        <v>42858.714606481481</v>
      </c>
      <c r="F192" s="13">
        <v>42858.716365740744</v>
      </c>
      <c r="G192" s="7">
        <v>1</v>
      </c>
      <c r="H192" s="21" t="s">
        <v>970</v>
      </c>
      <c r="I192" s="13">
        <v>42858.726631944446</v>
      </c>
      <c r="J192" s="7">
        <v>0</v>
      </c>
      <c r="K192" s="92" t="str">
        <f>IF(ISEVEN(B192),(B192-1)&amp;"/"&amp;B192,B192&amp;"/"&amp;(B192+1))</f>
        <v>4031/4032</v>
      </c>
      <c r="L192" s="21" t="str">
        <f>VLOOKUP(A192,'Trips&amp;Operators'!$C$1:$G$99999,5,FALSE)</f>
        <v>CHANDLER KELVIN</v>
      </c>
      <c r="M192" s="6">
        <f>I192-F192</f>
        <v>1.0266203702485655E-2</v>
      </c>
      <c r="N192" s="7">
        <f>24*60*SUM($M192:$M192)</f>
        <v>14.783333331579342</v>
      </c>
      <c r="O192" s="7"/>
      <c r="P192" s="7"/>
      <c r="Q192" s="22"/>
      <c r="R192" s="190"/>
      <c r="S192" s="196">
        <f>SUM(U192:U192)/IF(AG192="EC",12,1)</f>
        <v>1</v>
      </c>
      <c r="T192" s="190" t="str">
        <f>IF(ISEVEN(LEFT(AD192,4)),"Southbound","NorthBound")</f>
        <v>Southbound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-05-03T16:09:02-0600',mode:absolute,to:'2017-05-03T18:26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2" s="192" t="str">
        <f>IF(AA192&lt;IF(AG192="EC",23,5.65),"Y","N")</f>
        <v>N</v>
      </c>
      <c r="X192" s="192">
        <f>VALUE(LEFT(AD192,4))-VALUE(LEFT(AD191,4))</f>
        <v>1</v>
      </c>
      <c r="Y192" s="192">
        <f>RIGHT(D192,LEN(D192)-4)/10000</f>
        <v>5.8689999999999998</v>
      </c>
      <c r="Z192" s="192">
        <f>RIGHT(H192,LEN(H192)-4)/10000</f>
        <v>6.7299999999999999E-2</v>
      </c>
      <c r="AA192" s="192">
        <f>ABS(Z192-Y192)</f>
        <v>5.8016999999999994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>IF(LEN(A192)=6,"0"&amp;A192,A192)</f>
        <v>0832-03</v>
      </c>
      <c r="AE192" s="80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s3://rtdc.mdm.uploadarchive.raw/RTDC4031/ "%USERPROFILE%\AppData\Local\Temp\OnboardLogs"\RTDC4031\2017-05-03 --exclude "*" --recursive --include "*20170503*" &amp; "%USERPROFILE%\Documents\GitHub\mrs-test-scripts\Headless Mode &amp; Sideloading\WalkAndUnGZ.bat" "%USERPROFILE%\AppData\Local\Temp\OnboardLogs"\RTDC4031\2017-05-03 &amp; aws s3 cp s3://rtdc.mdm.uploadarchive.raw/RTDC4031/ "%USERPROFILE%\AppData\Local\Temp\OnboardLogs"\RTDC4031\2017-05-04 --exclude "*" --recursive --include "*20170504*" &amp; "%USERPROFILE%\Documents\GitHub\mrs-test-scripts\Headless Mode &amp; Sideloading\WalkAndUnGZ.bat" "%USERPROFILE%\AppData\Local\Temp\OnboardLogs"\RTDC4031\2017-05-04</v>
      </c>
      <c r="AF192" s="77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/stypes="app*4031*20170503*" /stext=" 23:.+((SYSTEM_STATE.+slice.+state.+changed )|(ment ac)|(multiple cpu faults)|(system.+state.+changed )|(\[timeout)|(PRM\|1\|D)|(kpr)|(kdp)|(train st.+moving)|(\|lc)|(penalty))"</v>
      </c>
      <c r="AG192" s="1" t="str">
        <f>IFERROR(IF(VALUE(LEFT(AD192,2))&lt;=2,"EC",IF(OR(VALUE(LEFT(AD192,2))=8,VALUE(LEFT(AD192,2))=18),"NW","Other")),"Other")</f>
        <v>NW</v>
      </c>
      <c r="AH192" s="81" t="str">
        <f t="shared" si="14"/>
        <v>"%USERPROFILE%\Documents\GitHub\eaglep3\Utilities\RefineRTDCRunTimes.py" --tripid 832-03 --locoid 4031 --swversion DE.1.0.9.0 --startMP 300:58690 --initTime 2017-05-03T17:09:02 --startdatetime 2017-05-03T17:11:34 --delay 1 --endMP 204:673 --enddatetime 2017-05-03T17:26:21 --enforcementcount 0 &gt;&gt;C:\Users\stu\Documents\GitHub\eaglep3-reporting\EC\2017-05-03-refined-times.txt</v>
      </c>
      <c r="AI192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{"issue":{"subject":"","project_id":79,"tracker_id":40,"status_id":1,"priority_id":2,"assigned_to_id":23,"start_date":"2017-05-03","description":"","custom_fields":[{"id":1,"name":"Subdivision","value":"NW"},{"id":4,"name":"Milepost","value":"0.0673"},{"id":17,"name":"Train ID","value":"832-03"},{"id":16,"name":"Locomotive ID","value":"4031"},{"id":130,"name":"Impact","value":""},{"id":150,"name":"Time of Event (Mountain Time)","value":"17:26:21"},{"id":151,"name":"Denver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2" s="47"/>
      <c r="AL192" s="47"/>
      <c r="AM192" s="145" t="str">
        <f t="shared" si="16"/>
        <v>start /low /b %USERPROFILE%\Documents\GitHub\eaglep3\Utilities\DownloadLogsFromS3.py --loco 4031 --day 2017-05-03</v>
      </c>
      <c r="AN192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23:26:21"},{"id":29,"name":"Sharepoint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778</v>
      </c>
      <c r="B193" s="7">
        <v>4006</v>
      </c>
      <c r="C193" s="21" t="s">
        <v>210</v>
      </c>
      <c r="D193" s="21" t="s">
        <v>977</v>
      </c>
      <c r="E193" s="13">
        <v>42858.717314814814</v>
      </c>
      <c r="F193" s="13">
        <v>42858.723090277781</v>
      </c>
      <c r="G193" s="7">
        <v>1</v>
      </c>
      <c r="H193" s="21" t="s">
        <v>564</v>
      </c>
      <c r="I193" s="13">
        <v>42858.732569444444</v>
      </c>
      <c r="J193" s="7">
        <v>0</v>
      </c>
      <c r="K193" s="92" t="str">
        <f>IF(ISEVEN(B193),(B193-1)&amp;"/"&amp;B193,B193&amp;"/"&amp;(B193+1))</f>
        <v>4005/4006</v>
      </c>
      <c r="L193" s="21" t="str">
        <f>VLOOKUP(A193,'Trips&amp;Operators'!$C$1:$G$99999,5,FALSE)</f>
        <v>BRUDER RICHARD</v>
      </c>
      <c r="M193" s="6">
        <f>I193-F193</f>
        <v>9.4791666633682325E-3</v>
      </c>
      <c r="N193" s="7">
        <f>24*60*SUM($M193:$M193)</f>
        <v>13.649999995250255</v>
      </c>
      <c r="O193" s="7"/>
      <c r="P193" s="7"/>
      <c r="Q193" s="22"/>
      <c r="R193" s="190"/>
      <c r="S193" s="196">
        <f>SUM(U193:U193)/IF(AG193="EC",12,1)</f>
        <v>1</v>
      </c>
      <c r="T193" s="190" t="str">
        <f>IF(ISEVEN(LEFT(AD193,4)),"Southbound","NorthBound")</f>
        <v>NorthBound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-05-03T16:12:56-0600',mode:absolute,to:'2017-05-03T18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3" s="192" t="str">
        <f>IF(AA193&lt;IF(AG193="EC",23,5.65),"Y","N")</f>
        <v>N</v>
      </c>
      <c r="X193" s="192">
        <f>VALUE(LEFT(AD193,4))-VALUE(LEFT(AD192,4))</f>
        <v>1</v>
      </c>
      <c r="Y193" s="192">
        <f>RIGHT(D193,LEN(D193)-4)/10000</f>
        <v>9.64E-2</v>
      </c>
      <c r="Z193" s="192">
        <f>RIGHT(H193,LEN(H193)-4)/10000</f>
        <v>5.8935000000000004</v>
      </c>
      <c r="AA193" s="192">
        <f>ABS(Z193-Y193)</f>
        <v>5.7971000000000004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>IF(LEN(A193)=6,"0"&amp;A193,A193)</f>
        <v>0833-03</v>
      </c>
      <c r="AE193" s="80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93" s="77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/stypes="app*4006*20170503*" /stext=" 23:.+((SYSTEM_STATE.+slice.+state.+changed )|(ment ac)|(multiple cpu faults)|(system.+state.+changed )|(\[timeout)|(PRM\|1\|D)|(kpr)|(kdp)|(train st.+moving)|(\|lc)|(penalty))"</v>
      </c>
      <c r="AG193" s="1" t="str">
        <f>IFERROR(IF(VALUE(LEFT(AD193,2))&lt;=2,"EC",IF(OR(VALUE(LEFT(AD193,2))=8,VALUE(LEFT(AD193,2))=18),"NW","Other")),"Other")</f>
        <v>NW</v>
      </c>
      <c r="AH193" s="81" t="str">
        <f t="shared" si="14"/>
        <v>"%USERPROFILE%\Documents\GitHub\eaglep3\Utilities\RefineRTDCRunTimes.py" --tripid 833-03 --locoid 4006 --swversion DE.1.0.9.0 --startMP 204:964 --initTime 2017-05-03T17:12:56 --startdatetime 2017-05-03T17:21:15 --delay 1 --endMP 300:58935 --enddatetime 2017-05-03T17:34:54 --enforcementcount 0 &gt;&gt;C:\Users\stu\Documents\GitHub\eaglep3-reporting\EC\2017-05-03-refined-times.txt</v>
      </c>
      <c r="AI193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{"issue":{"subject":"","project_id":79,"tracker_id":40,"status_id":1,"priority_id":2,"assigned_to_id":23,"start_date":"2017-05-03","description":"","custom_fields":[{"id":1,"name":"Subdivision","value":"NW"},{"id":4,"name":"Milepost","value":"5.8935"},{"id":17,"name":"Train ID","value":"833-03"},{"id":16,"name":"Locomotive ID","value":"4006"},{"id":130,"name":"Impact","value":""},{"id":150,"name":"Time of Event (Mountain Time)","value":"17:34:54"},{"id":151,"name":"Denver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5" t="str">
        <f t="shared" si="16"/>
        <v>start /low /b %USERPROFILE%\Documents\GitHub\eaglep3\Utilities\DownloadLogsFromS3.py --loco 4006 --day 2017-05-03</v>
      </c>
      <c r="AN193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782</v>
      </c>
      <c r="B194" s="7">
        <v>4005</v>
      </c>
      <c r="C194" s="21" t="s">
        <v>210</v>
      </c>
      <c r="D194" s="21" t="s">
        <v>974</v>
      </c>
      <c r="E194" s="13">
        <v>42858.734560185185</v>
      </c>
      <c r="F194" s="13">
        <v>42858.73636574074</v>
      </c>
      <c r="G194" s="7">
        <v>1</v>
      </c>
      <c r="H194" s="21" t="s">
        <v>575</v>
      </c>
      <c r="I194" s="13">
        <v>42858.747210648151</v>
      </c>
      <c r="J194" s="7">
        <v>0</v>
      </c>
      <c r="K194" s="92" t="str">
        <f>IF(ISEVEN(B194),(B194-1)&amp;"/"&amp;B194,B194&amp;"/"&amp;(B194+1))</f>
        <v>4005/4006</v>
      </c>
      <c r="L194" s="21" t="str">
        <f>VLOOKUP(A194,'Trips&amp;Operators'!$C$1:$G$99999,5,FALSE)</f>
        <v>BRUDER RICHARD</v>
      </c>
      <c r="M194" s="6">
        <f>I194-F194</f>
        <v>1.0844907410501037E-2</v>
      </c>
      <c r="N194" s="7">
        <f>24*60*SUM($M194:$M194)</f>
        <v>15.616666671121493</v>
      </c>
      <c r="O194" s="7"/>
      <c r="P194" s="7"/>
      <c r="Q194" s="22"/>
      <c r="R194" s="190"/>
      <c r="S194" s="196">
        <f>SUM(U194:U194)/IF(AG194="EC",12,1)</f>
        <v>1</v>
      </c>
      <c r="T194" s="190" t="str">
        <f>IF(ISEVEN(LEFT(AD194,4)),"Southbound","NorthBound")</f>
        <v>Southbound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-05-03T16:37:46-0600',mode:absolute,to:'2017-05-03T18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4" s="192" t="str">
        <f>IF(AA194&lt;IF(AG194="EC",23,5.65),"Y","N")</f>
        <v>N</v>
      </c>
      <c r="X194" s="192">
        <f>VALUE(LEFT(AD194,4))-VALUE(LEFT(AD193,4))</f>
        <v>1</v>
      </c>
      <c r="Y194" s="192">
        <f>RIGHT(D194,LEN(D194)-4)/10000</f>
        <v>5.8632</v>
      </c>
      <c r="Z194" s="192">
        <f>RIGHT(H194,LEN(H194)-4)/10000</f>
        <v>6.8199999999999997E-2</v>
      </c>
      <c r="AA194" s="192">
        <f>ABS(Z194-Y194)</f>
        <v>5.7949999999999999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>IF(LEN(A194)=6,"0"&amp;A194,A194)</f>
        <v>0834-03</v>
      </c>
      <c r="AE194" s="80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94" s="77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/stypes="app*4005*20170503*" /stext=" 23:.+((SYSTEM_STATE.+slice.+state.+changed )|(ment ac)|(multiple cpu faults)|(system.+state.+changed )|(\[timeout)|(PRM\|1\|D)|(kpr)|(kdp)|(train st.+moving)|(\|lc)|(penalty))"</v>
      </c>
      <c r="AG194" s="1" t="str">
        <f>IFERROR(IF(VALUE(LEFT(AD194,2))&lt;=2,"EC",IF(OR(VALUE(LEFT(AD194,2))=8,VALUE(LEFT(AD194,2))=18),"NW","Other")),"Other")</f>
        <v>NW</v>
      </c>
      <c r="AH194" s="81" t="str">
        <f t="shared" si="14"/>
        <v>"%USERPROFILE%\Documents\GitHub\eaglep3\Utilities\RefineRTDCRunTimes.py" --tripid 834-03 --locoid 4005 --swversion DE.1.0.9.0 --startMP 300:58632 --initTime 2017-05-03T17:37:46 --startdatetime 2017-05-03T17:40:22 --delay 1 --endMP 204:682 --enddatetime 2017-05-03T17:55:59 --enforcementcount 0 &gt;&gt;C:\Users\stu\Documents\GitHub\eaglep3-reporting\EC\2017-05-03-refined-times.txt</v>
      </c>
      <c r="AI194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{"issue":{"subject":"","project_id":79,"tracker_id":40,"status_id":1,"priority_id":2,"assigned_to_id":23,"start_date":"2017-05-03","description":"","custom_fields":[{"id":1,"name":"Subdivision","value":"NW"},{"id":4,"name":"Milepost","value":"0.0682"},{"id":17,"name":"Train ID","value":"834-03"},{"id":16,"name":"Locomotive ID","value":"4005"},{"id":130,"name":"Impact","value":""},{"id":150,"name":"Time of Event (Mountain Time)","value":"17:55:59"},{"id":151,"name":"Denver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16"/>
        <v>start /low /b %USERPROFILE%\Documents\GitHub\eaglep3\Utilities\DownloadLogsFromS3.py --loco 4005 --day 2017-05-03</v>
      </c>
      <c r="AN194" s="154" t="str">
        <f t="shared" si="17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2" t="s">
        <v>610</v>
      </c>
      <c r="B195" s="7">
        <v>4032</v>
      </c>
      <c r="C195" s="21" t="s">
        <v>210</v>
      </c>
      <c r="D195" s="21" t="s">
        <v>516</v>
      </c>
      <c r="E195" s="13">
        <v>42858.743078703701</v>
      </c>
      <c r="F195" s="13">
        <v>42858.744085648148</v>
      </c>
      <c r="G195" s="7">
        <v>1</v>
      </c>
      <c r="H195" s="21" t="s">
        <v>984</v>
      </c>
      <c r="I195" s="13">
        <v>42858.754467592589</v>
      </c>
      <c r="J195" s="7">
        <v>0</v>
      </c>
      <c r="K195" s="92" t="str">
        <f>IF(ISEVEN(B195),(B195-1)&amp;"/"&amp;B195,B195&amp;"/"&amp;(B195+1))</f>
        <v>4031/4032</v>
      </c>
      <c r="L195" s="21" t="str">
        <f>VLOOKUP(A195,'Trips&amp;Operators'!$C$1:$G$99999,5,FALSE)</f>
        <v>CHANDLER KELVIN</v>
      </c>
      <c r="M195" s="6">
        <f>I195-F195</f>
        <v>1.0381944441178348E-2</v>
      </c>
      <c r="N195" s="7">
        <f>24*60*SUM($M195:$M195)</f>
        <v>14.949999995296821</v>
      </c>
      <c r="O195" s="7"/>
      <c r="P195" s="7"/>
      <c r="Q195" s="22"/>
      <c r="R195" s="190"/>
      <c r="S195" s="196">
        <f>SUM(U195:U195)/IF(AG195="EC",12,1)</f>
        <v>1</v>
      </c>
      <c r="T195" s="190" t="str">
        <f>IF(ISEVEN(LEFT(AD195,4)),"Southbound","NorthBound")</f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-05-03T16:50:02-0600',mode:absolute,to:'2017-05-03T19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5" s="192" t="str">
        <f>IF(AA195&lt;IF(AG195="EC",23,5.65),"Y","N")</f>
        <v>N</v>
      </c>
      <c r="X195" s="192">
        <f>VALUE(LEFT(AD195,4))-VALUE(LEFT(AD194,4))</f>
        <v>1</v>
      </c>
      <c r="Y195" s="192">
        <f>RIGHT(D195,LEN(D195)-4)/10000</f>
        <v>9.5799999999999996E-2</v>
      </c>
      <c r="Z195" s="192">
        <f>RIGHT(H195,LEN(H195)-4)/10000</f>
        <v>5.9001000000000001</v>
      </c>
      <c r="AA195" s="192">
        <f>ABS(Z195-Y195)</f>
        <v>5.8043000000000005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>IF(LEN(A195)=6,"0"&amp;A195,A195)</f>
        <v>0835-03</v>
      </c>
      <c r="AE195" s="80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AF195" s="77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/stypes="app*4032*20170504*" /stext=" 00:.+((SYSTEM_STATE.+slice.+state.+changed )|(ment ac)|(multiple cpu faults)|(system.+state.+changed )|(\[timeout)|(PRM\|1\|D)|(kpr)|(kdp)|(train st.+moving)|(\|lc)|(penalty))"</v>
      </c>
      <c r="AG195" s="1" t="str">
        <f>IFERROR(IF(VALUE(LEFT(AD195,2))&lt;=2,"EC",IF(OR(VALUE(LEFT(AD195,2))=8,VALUE(LEFT(AD195,2))=18),"NW","Other")),"Other")</f>
        <v>NW</v>
      </c>
      <c r="AH195" s="81" t="str">
        <f t="shared" si="14"/>
        <v>"%USERPROFILE%\Documents\GitHub\eaglep3\Utilities\RefineRTDCRunTimes.py" --tripid 835-03 --locoid 4032 --swversion DE.1.0.9.0 --startMP 204:958 --initTime 2017-05-03T17:50:02 --startdatetime 2017-05-03T17:51:29 --delay 1 --endMP 300:59001 --enddatetime 2017-05-03T18:06:26 --enforcementcount 0 &gt;&gt;C:\Users\stu\Documents\GitHub\eaglep3-reporting\EC\2017-05-03-refined-times.txt</v>
      </c>
      <c r="AI195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{"issue":{"subject":"","project_id":79,"tracker_id":40,"status_id":1,"priority_id":2,"assigned_to_id":23,"start_date":"2017-05-03","description":"","custom_fields":[{"id":1,"name":"Subdivision","value":"NW"},{"id":4,"name":"Milepost","value":"5.9001"},{"id":17,"name":"Train ID","value":"835-03"},{"id":16,"name":"Locomotive ID","value":"4032"},{"id":130,"name":"Impact","value":""},{"id":150,"name":"Time of Event (Mountain Time)","value":"18:06:26"},{"id":151,"name":"Denver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5" t="str">
        <f t="shared" si="16"/>
        <v>start /low /b %USERPROFILE%\Documents\GitHub\eaglep3\Utilities\DownloadLogsFromS3.py --loco 4032 --day 2017-05-03</v>
      </c>
      <c r="AN195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00:06:26"},{"id":29,"name":"Sharepoint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91" x14ac:dyDescent="0.25">
      <c r="A196" s="32" t="s">
        <v>788</v>
      </c>
      <c r="B196" s="7">
        <v>4031</v>
      </c>
      <c r="C196" s="21" t="s">
        <v>210</v>
      </c>
      <c r="D196" s="21" t="s">
        <v>985</v>
      </c>
      <c r="E196" s="13">
        <v>42858.756296296298</v>
      </c>
      <c r="F196" s="13">
        <v>42858.757372685184</v>
      </c>
      <c r="G196" s="7">
        <v>1</v>
      </c>
      <c r="H196" s="21" t="s">
        <v>986</v>
      </c>
      <c r="I196" s="13">
        <v>42858.768900462965</v>
      </c>
      <c r="J196" s="7">
        <v>0</v>
      </c>
      <c r="K196" s="92" t="str">
        <f>IF(ISEVEN(B196),(B196-1)&amp;"/"&amp;B196,B196&amp;"/"&amp;(B196+1))</f>
        <v>4031/4032</v>
      </c>
      <c r="L196" s="21" t="str">
        <f>VLOOKUP(A196,'Trips&amp;Operators'!$C$1:$G$99999,5,FALSE)</f>
        <v>CHANDLER KELVIN</v>
      </c>
      <c r="M196" s="6">
        <f>I196-F196</f>
        <v>1.152777778042946E-2</v>
      </c>
      <c r="N196" s="7">
        <f>24*60*SUM($M196:$M196)</f>
        <v>16.600000003818423</v>
      </c>
      <c r="O196" s="7"/>
      <c r="P196" s="7"/>
      <c r="Q196" s="22"/>
      <c r="R196" s="190"/>
      <c r="S196" s="196">
        <f>SUM(U196:U196)/IF(AG196="EC",12,1)</f>
        <v>1</v>
      </c>
      <c r="T196" s="190" t="str">
        <f>IF(ISEVEN(LEFT(AD196,4)),"Southbound","NorthBound")</f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-05-03T17:09:04-0600',mode:absolute,to:'2017-05-03T19:27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6" s="192" t="str">
        <f>IF(AA196&lt;IF(AG196="EC",23,5.65),"Y","N")</f>
        <v>N</v>
      </c>
      <c r="X196" s="192">
        <f>VALUE(LEFT(AD196,4))-VALUE(LEFT(AD195,4))</f>
        <v>1</v>
      </c>
      <c r="Y196" s="192">
        <f>RIGHT(D196,LEN(D196)-4)/10000</f>
        <v>5.8681000000000001</v>
      </c>
      <c r="Z196" s="192">
        <f>RIGHT(H196,LEN(H196)-4)/10000</f>
        <v>6.7699999999999996E-2</v>
      </c>
      <c r="AA196" s="192">
        <f>ABS(Z196-Y196)</f>
        <v>5.8003999999999998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>IF(LEN(A196)=6,"0"&amp;A196,A196)</f>
        <v>0836-03</v>
      </c>
      <c r="AE196" s="80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s3://rtdc.mdm.uploadarchive.raw/RTDC4031/ "%USERPROFILE%\AppData\Local\Temp\OnboardLogs"\RTDC4031\2017-05-03 --exclude "*" --recursive --include "*20170503*" &amp; "%USERPROFILE%\Documents\GitHub\mrs-test-scripts\Headless Mode &amp; Sideloading\WalkAndUnGZ.bat" "%USERPROFILE%\AppData\Local\Temp\OnboardLogs"\RTDC4031\2017-05-03 &amp; aws s3 cp s3://rtdc.mdm.uploadarchive.raw/RTDC4031/ "%USERPROFILE%\AppData\Local\Temp\OnboardLogs"\RTDC4031\2017-05-04 --exclude "*" --recursive --include "*20170504*" &amp; "%USERPROFILE%\Documents\GitHub\mrs-test-scripts\Headless Mode &amp; Sideloading\WalkAndUnGZ.bat" "%USERPROFILE%\AppData\Local\Temp\OnboardLogs"\RTDC4031\2017-05-04</v>
      </c>
      <c r="AF196" s="77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/stypes="app*4031*20170504*" /stext=" 00:.+((SYSTEM_STATE.+slice.+state.+changed )|(ment ac)|(multiple cpu faults)|(system.+state.+changed )|(\[timeout)|(PRM\|1\|D)|(kpr)|(kdp)|(train st.+moving)|(\|lc)|(penalty))"</v>
      </c>
      <c r="AG196" s="1" t="str">
        <f>IFERROR(IF(VALUE(LEFT(AD196,2))&lt;=2,"EC",IF(OR(VALUE(LEFT(AD196,2))=8,VALUE(LEFT(AD196,2))=18),"NW","Other")),"Other")</f>
        <v>NW</v>
      </c>
      <c r="AH196" s="81" t="str">
        <f t="shared" si="14"/>
        <v>"%USERPROFILE%\Documents\GitHub\eaglep3\Utilities\RefineRTDCRunTimes.py" --tripid 836-03 --locoid 4031 --swversion DE.1.0.9.0 --startMP 300:58681 --initTime 2017-05-03T18:09:04 --startdatetime 2017-05-03T18:10:37 --delay 1 --endMP 204:677 --enddatetime 2017-05-03T18:27:13 --enforcementcount 0 &gt;&gt;C:\Users\stu\Documents\GitHub\eaglep3-reporting\EC\2017-05-03-refined-times.txt</v>
      </c>
      <c r="AI196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{"issue":{"subject":"","project_id":79,"tracker_id":40,"status_id":1,"priority_id":2,"assigned_to_id":23,"start_date":"2017-05-03","description":"","custom_fields":[{"id":1,"name":"Subdivision","value":"NW"},{"id":4,"name":"Milepost","value":"0.0677"},{"id":17,"name":"Train ID","value":"836-03"},{"id":16,"name":"Locomotive ID","value":"4031"},{"id":130,"name":"Impact","value":""},{"id":150,"name":"Time of Event (Mountain Time)","value":"18:27:13"},{"id":151,"name":"Denver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5" t="str">
        <f t="shared" si="16"/>
        <v>start /low /b %USERPROFILE%\Documents\GitHub\eaglep3\Utilities\DownloadLogsFromS3.py --loco 4031 --day 2017-05-03</v>
      </c>
      <c r="AN196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00:27:13"},{"id":29,"name":"Sharepoint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91" x14ac:dyDescent="0.25">
      <c r="A197" s="32" t="s">
        <v>790</v>
      </c>
      <c r="B197" s="7">
        <v>4006</v>
      </c>
      <c r="C197" s="21" t="s">
        <v>210</v>
      </c>
      <c r="D197" s="21" t="s">
        <v>959</v>
      </c>
      <c r="E197" s="13">
        <v>42858.759652777779</v>
      </c>
      <c r="F197" s="13">
        <v>42858.764837962961</v>
      </c>
      <c r="G197" s="7">
        <v>1</v>
      </c>
      <c r="H197" s="21" t="s">
        <v>951</v>
      </c>
      <c r="I197" s="13">
        <v>42858.774351851855</v>
      </c>
      <c r="J197" s="7">
        <v>0</v>
      </c>
      <c r="K197" s="92" t="str">
        <f>IF(ISEVEN(B197),(B197-1)&amp;"/"&amp;B197,B197&amp;"/"&amp;(B197+1))</f>
        <v>4005/4006</v>
      </c>
      <c r="L197" s="21" t="str">
        <f>VLOOKUP(A197,'Trips&amp;Operators'!$C$1:$G$99999,5,FALSE)</f>
        <v>BRUDER RICHARD</v>
      </c>
      <c r="M197" s="6">
        <f>I197-F197</f>
        <v>9.5138888937071897E-3</v>
      </c>
      <c r="N197" s="7">
        <f>24*60*SUM($M197:$M197)</f>
        <v>13.700000006938353</v>
      </c>
      <c r="O197" s="7"/>
      <c r="P197" s="7"/>
      <c r="Q197" s="22"/>
      <c r="R197" s="190"/>
      <c r="S197" s="196">
        <f>SUM(U197:U197)/IF(AG197="EC",12,1)</f>
        <v>1</v>
      </c>
      <c r="T197" s="190" t="str">
        <f>IF(ISEVEN(LEFT(AD197,4)),"Southbound","NorthBound")</f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-05-03T17:13:54-0600',mode:absolute,to:'2017-05-03T19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7" s="192" t="str">
        <f>IF(AA197&lt;IF(AG197="EC",23,5.65),"Y","N")</f>
        <v>N</v>
      </c>
      <c r="X197" s="192">
        <f>VALUE(LEFT(AD197,4))-VALUE(LEFT(AD196,4))</f>
        <v>1</v>
      </c>
      <c r="Y197" s="192">
        <f>RIGHT(D197,LEN(D197)-4)/10000</f>
        <v>9.7600000000000006E-2</v>
      </c>
      <c r="Z197" s="192">
        <f>RIGHT(H197,LEN(H197)-4)/10000</f>
        <v>5.8930999999999996</v>
      </c>
      <c r="AA197" s="192">
        <f>ABS(Z197-Y197)</f>
        <v>5.7954999999999997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>IF(LEN(A197)=6,"0"&amp;A197,A197)</f>
        <v>0837-03</v>
      </c>
      <c r="AE197" s="80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197" s="77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/stypes="app*4006*20170504*" /stext=" 00:.+((SYSTEM_STATE.+slice.+state.+changed )|(ment ac)|(multiple cpu faults)|(system.+state.+changed )|(\[timeout)|(PRM\|1\|D)|(kpr)|(kdp)|(train st.+moving)|(\|lc)|(penalty))"</v>
      </c>
      <c r="AG197" s="1" t="str">
        <f>IFERROR(IF(VALUE(LEFT(AD197,2))&lt;=2,"EC",IF(OR(VALUE(LEFT(AD197,2))=8,VALUE(LEFT(AD197,2))=18),"NW","Other")),"Other")</f>
        <v>NW</v>
      </c>
      <c r="AH197" s="81" t="str">
        <f t="shared" si="14"/>
        <v>"%USERPROFILE%\Documents\GitHub\eaglep3\Utilities\RefineRTDCRunTimes.py" --tripid 837-03 --locoid 4006 --swversion DE.1.0.9.0 --startMP 204:976 --initTime 2017-05-03T18:13:54 --startdatetime 2017-05-03T18:21:22 --delay 1 --endMP 300:58931 --enddatetime 2017-05-03T18:35:04 --enforcementcount 0 &gt;&gt;C:\Users\stu\Documents\GitHub\eaglep3-reporting\EC\2017-05-03-refined-times.txt</v>
      </c>
      <c r="AI197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{"issue":{"subject":"","project_id":79,"tracker_id":40,"status_id":1,"priority_id":2,"assigned_to_id":23,"start_date":"2017-05-03","description":"","custom_fields":[{"id":1,"name":"Subdivision","value":"NW"},{"id":4,"name":"Milepost","value":"5.8931"},{"id":17,"name":"Train ID","value":"837-03"},{"id":16,"name":"Locomotive ID","value":"4006"},{"id":130,"name":"Impact","value":""},{"id":150,"name":"Time of Event (Mountain Time)","value":"18:35:04"},{"id":151,"name":"Denver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16"/>
        <v>start /low /b %USERPROFILE%\Documents\GitHub\eaglep3\Utilities\DownloadLogsFromS3.py --loco 4006 --day 2017-05-03</v>
      </c>
      <c r="AN197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795</v>
      </c>
      <c r="B198" s="7">
        <v>4005</v>
      </c>
      <c r="C198" s="21" t="s">
        <v>210</v>
      </c>
      <c r="D198" s="21" t="s">
        <v>987</v>
      </c>
      <c r="E198" s="13">
        <v>42858.775729166664</v>
      </c>
      <c r="F198" s="13">
        <v>42858.777766203704</v>
      </c>
      <c r="G198" s="7">
        <v>1</v>
      </c>
      <c r="H198" s="21" t="s">
        <v>988</v>
      </c>
      <c r="I198" s="13">
        <v>42858.78974537037</v>
      </c>
      <c r="J198" s="7">
        <v>0</v>
      </c>
      <c r="K198" s="92" t="str">
        <f>IF(ISEVEN(B198),(B198-1)&amp;"/"&amp;B198,B198&amp;"/"&amp;(B198+1))</f>
        <v>4005/4006</v>
      </c>
      <c r="L198" s="21" t="str">
        <f>VLOOKUP(A198,'Trips&amp;Operators'!$C$1:$G$99999,5,FALSE)</f>
        <v>BRUDER RICHARD</v>
      </c>
      <c r="M198" s="6">
        <f>I198-F198</f>
        <v>1.1979166665696539E-2</v>
      </c>
      <c r="N198" s="7">
        <f>24*60*SUM($M198:$M198)</f>
        <v>17.249999998603016</v>
      </c>
      <c r="O198" s="7"/>
      <c r="P198" s="7"/>
      <c r="Q198" s="22"/>
      <c r="R198" s="190"/>
      <c r="S198" s="196">
        <f>SUM(U198:U198)/IF(AG198="EC",12,1)</f>
        <v>1</v>
      </c>
      <c r="T198" s="190" t="str">
        <f>IF(ISEVEN(LEFT(AD198,4)),"Southbound","NorthBound")</f>
        <v>Southbound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-05-03T17:37:03-0600',mode:absolute,to:'2017-05-03T19:57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8" s="192" t="str">
        <f>IF(AA198&lt;IF(AG198="EC",23,5.65),"Y","N")</f>
        <v>N</v>
      </c>
      <c r="X198" s="192">
        <f>VALUE(LEFT(AD198,4))-VALUE(LEFT(AD197,4))</f>
        <v>1</v>
      </c>
      <c r="Y198" s="192">
        <f>RIGHT(D198,LEN(D198)-4)/10000</f>
        <v>5.8615000000000004</v>
      </c>
      <c r="Z198" s="192">
        <f>RIGHT(H198,LEN(H198)-4)/10000</f>
        <v>7.1900000000000006E-2</v>
      </c>
      <c r="AA198" s="192">
        <f>ABS(Z198-Y198)</f>
        <v>5.7896000000000001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>IF(LEN(A198)=6,"0"&amp;A198,A198)</f>
        <v>0838-03</v>
      </c>
      <c r="AE198" s="80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198" s="77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/stypes="app*4005*20170504*" /stext=" 00:.+((SYSTEM_STATE.+slice.+state.+changed )|(ment ac)|(multiple cpu faults)|(system.+state.+changed )|(\[timeout)|(PRM\|1\|D)|(kpr)|(kdp)|(train st.+moving)|(\|lc)|(penalty))"</v>
      </c>
      <c r="AG198" s="1" t="str">
        <f>IFERROR(IF(VALUE(LEFT(AD198,2))&lt;=2,"EC",IF(OR(VALUE(LEFT(AD198,2))=8,VALUE(LEFT(AD198,2))=18),"NW","Other")),"Other")</f>
        <v>NW</v>
      </c>
      <c r="AH198" s="81" t="str">
        <f t="shared" si="14"/>
        <v>"%USERPROFILE%\Documents\GitHub\eaglep3\Utilities\RefineRTDCRunTimes.py" --tripid 838-03 --locoid 4005 --swversion DE.1.0.9.0 --startMP 300:58615 --initTime 2017-05-03T18:37:03 --startdatetime 2017-05-03T18:39:59 --delay 1 --endMP 204:719 --enddatetime 2017-05-03T18:57:14 --enforcementcount 0 &gt;&gt;C:\Users\stu\Documents\GitHub\eaglep3-reporting\EC\2017-05-03-refined-times.txt</v>
      </c>
      <c r="AI198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{"issue":{"subject":"","project_id":79,"tracker_id":40,"status_id":1,"priority_id":2,"assigned_to_id":23,"start_date":"2017-05-03","description":"","custom_fields":[{"id":1,"name":"Subdivision","value":"NW"},{"id":4,"name":"Milepost","value":"0.0719"},{"id":17,"name":"Train ID","value":"838-03"},{"id":16,"name":"Locomotive ID","value":"4005"},{"id":130,"name":"Impact","value":""},{"id":150,"name":"Time of Event (Mountain Time)","value":"18:57:14"},{"id":151,"name":"Denver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16"/>
        <v>start /low /b %USERPROFILE%\Documents\GitHub\eaglep3\Utilities\DownloadLogsFromS3.py --loco 4005 --day 2017-05-03</v>
      </c>
      <c r="AN198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00:57:14"},{"id":29,"name":"Sharepoint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797</v>
      </c>
      <c r="B199" s="7">
        <v>4032</v>
      </c>
      <c r="C199" s="21" t="s">
        <v>210</v>
      </c>
      <c r="D199" s="21" t="s">
        <v>519</v>
      </c>
      <c r="E199" s="13">
        <v>42858.782766203702</v>
      </c>
      <c r="F199" s="13">
        <v>42858.78565972222</v>
      </c>
      <c r="G199" s="7">
        <v>1</v>
      </c>
      <c r="H199" s="21" t="s">
        <v>989</v>
      </c>
      <c r="I199" s="13">
        <v>42858.79587962963</v>
      </c>
      <c r="J199" s="7">
        <v>0</v>
      </c>
      <c r="K199" s="92" t="str">
        <f>IF(ISEVEN(B199),(B199-1)&amp;"/"&amp;B199,B199&amp;"/"&amp;(B199+1))</f>
        <v>4031/4032</v>
      </c>
      <c r="L199" s="21" t="str">
        <f>VLOOKUP(A199,'Trips&amp;Operators'!$C$1:$G$99999,5,FALSE)</f>
        <v>CHANDLER KELVIN</v>
      </c>
      <c r="M199" s="6">
        <f>I199-F199</f>
        <v>1.021990740991896E-2</v>
      </c>
      <c r="N199" s="7">
        <f>24*60*SUM($M199:$M199)</f>
        <v>14.716666670283303</v>
      </c>
      <c r="O199" s="7"/>
      <c r="P199" s="7"/>
      <c r="Q199" s="22"/>
      <c r="R199" s="190"/>
      <c r="S199" s="196">
        <f>SUM(U199:U199)/IF(AG199="EC",12,1)</f>
        <v>1</v>
      </c>
      <c r="T199" s="190" t="str">
        <f>IF(ISEVEN(LEFT(AD199,4)),"Southbound","NorthBound")</f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-05-03T17:47:11-0600',mode:absolute,to:'2017-05-03T20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9" s="192" t="str">
        <f>IF(AA199&lt;IF(AG199="EC",23,5.65),"Y","N")</f>
        <v>N</v>
      </c>
      <c r="X199" s="192">
        <f>VALUE(LEFT(AD199,4))-VALUE(LEFT(AD198,4))</f>
        <v>1</v>
      </c>
      <c r="Y199" s="192">
        <f>RIGHT(D199,LEN(D199)-4)/10000</f>
        <v>9.5000000000000001E-2</v>
      </c>
      <c r="Z199" s="192">
        <f>RIGHT(H199,LEN(H199)-4)/10000</f>
        <v>5.8997000000000002</v>
      </c>
      <c r="AA199" s="192">
        <f>ABS(Z199-Y199)</f>
        <v>5.8047000000000004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>IF(LEN(A199)=6,"0"&amp;A199,A199)</f>
        <v>0839-03</v>
      </c>
      <c r="AE199" s="80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AF199" s="77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/stypes="app*4032*20170504*" /stext=" 01:.+((SYSTEM_STATE.+slice.+state.+changed )|(ment ac)|(multiple cpu faults)|(system.+state.+changed )|(\[timeout)|(PRM\|1\|D)|(kpr)|(kdp)|(train st.+moving)|(\|lc)|(penalty))"</v>
      </c>
      <c r="AG199" s="1" t="str">
        <f>IFERROR(IF(VALUE(LEFT(AD199,2))&lt;=2,"EC",IF(OR(VALUE(LEFT(AD199,2))=8,VALUE(LEFT(AD199,2))=18),"NW","Other")),"Other")</f>
        <v>NW</v>
      </c>
      <c r="AH199" s="81" t="str">
        <f t="shared" si="14"/>
        <v>"%USERPROFILE%\Documents\GitHub\eaglep3\Utilities\RefineRTDCRunTimes.py" --tripid 839-03 --locoid 4032 --swversion DE.1.0.9.0 --startMP 204:950 --initTime 2017-05-03T18:47:11 --startdatetime 2017-05-03T18:51:21 --delay 1 --endMP 300:58997 --enddatetime 2017-05-03T19:06:04 --enforcementcount 0 &gt;&gt;C:\Users\stu\Documents\GitHub\eaglep3-reporting\EC\2017-05-03-refined-times.txt</v>
      </c>
      <c r="AI199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{"issue":{"subject":"","project_id":79,"tracker_id":40,"status_id":1,"priority_id":2,"assigned_to_id":23,"start_date":"2017-05-03","description":"","custom_fields":[{"id":1,"name":"Subdivision","value":"NW"},{"id":4,"name":"Milepost","value":"5.8997"},{"id":17,"name":"Train ID","value":"839-03"},{"id":16,"name":"Locomotive ID","value":"4032"},{"id":130,"name":"Impact","value":""},{"id":150,"name":"Time of Event (Mountain Time)","value":"19:06:04"},{"id":151,"name":"Denver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16"/>
        <v>start /low /b %USERPROFILE%\Documents\GitHub\eaglep3\Utilities\DownloadLogsFromS3.py --loco 4032 --day 2017-05-03</v>
      </c>
      <c r="AN199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804</v>
      </c>
      <c r="B200" s="7">
        <v>4005</v>
      </c>
      <c r="C200" s="21" t="s">
        <v>210</v>
      </c>
      <c r="D200" s="21" t="s">
        <v>955</v>
      </c>
      <c r="E200" s="13">
        <v>42858.818206018521</v>
      </c>
      <c r="F200" s="13">
        <v>42858.819849537038</v>
      </c>
      <c r="G200" s="7">
        <v>1</v>
      </c>
      <c r="H200" s="21" t="s">
        <v>990</v>
      </c>
      <c r="I200" s="13">
        <v>42858.831516203703</v>
      </c>
      <c r="J200" s="7">
        <v>0</v>
      </c>
      <c r="K200" s="92" t="str">
        <f>IF(ISEVEN(B200),(B200-1)&amp;"/"&amp;B200,B200&amp;"/"&amp;(B200+1))</f>
        <v>4005/4006</v>
      </c>
      <c r="L200" s="21" t="str">
        <f>VLOOKUP(A200,'Trips&amp;Operators'!$C$1:$G$99999,5,FALSE)</f>
        <v>BRUDER RICHARD</v>
      </c>
      <c r="M200" s="6">
        <f>I200-F200</f>
        <v>1.1666666665405501E-2</v>
      </c>
      <c r="N200" s="7">
        <f>24*60*SUM($M200:$M200)</f>
        <v>16.799999998183921</v>
      </c>
      <c r="O200" s="7"/>
      <c r="P200" s="7"/>
      <c r="Q200" s="22"/>
      <c r="R200" s="190"/>
      <c r="S200" s="196">
        <f>SUM(U200:U200)/IF(AG200="EC",12,1)</f>
        <v>1</v>
      </c>
      <c r="T200" s="190" t="str">
        <f>IF(ISEVEN(LEFT(AD200,4)),"Southbound","NorthBound")</f>
        <v>Southbound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-05-03T18:38:13-0600',mode:absolute,to:'2017-05-03T20:57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0" s="192" t="str">
        <f>IF(AA200&lt;IF(AG200="EC",23,5.65),"Y","N")</f>
        <v>N</v>
      </c>
      <c r="X200" s="192">
        <f>VALUE(LEFT(AD200,4))-VALUE(LEFT(AD199,4))</f>
        <v>1</v>
      </c>
      <c r="Y200" s="192">
        <f>RIGHT(D200,LEN(D200)-4)/10000</f>
        <v>5.8634000000000004</v>
      </c>
      <c r="Z200" s="192">
        <f>RIGHT(H200,LEN(H200)-4)/10000</f>
        <v>6.9099999999999995E-2</v>
      </c>
      <c r="AA200" s="192">
        <f>ABS(Z200-Y200)</f>
        <v>5.7943000000000007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>IF(LEN(A200)=6,"0"&amp;A200,A200)</f>
        <v>0840-03</v>
      </c>
      <c r="AE200" s="80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200" s="77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/stypes="app*4005*20170504*" /stext=" 01:.+((SYSTEM_STATE.+slice.+state.+changed )|(ment ac)|(multiple cpu faults)|(system.+state.+changed )|(\[timeout)|(PRM\|1\|D)|(kpr)|(kdp)|(train st.+moving)|(\|lc)|(penalty))"</v>
      </c>
      <c r="AG200" s="1" t="str">
        <f>IFERROR(IF(VALUE(LEFT(AD200,2))&lt;=2,"EC",IF(OR(VALUE(LEFT(AD200,2))=8,VALUE(LEFT(AD200,2))=18),"NW","Other")),"Other")</f>
        <v>NW</v>
      </c>
      <c r="AH200" s="81" t="str">
        <f t="shared" si="14"/>
        <v>"%USERPROFILE%\Documents\GitHub\eaglep3\Utilities\RefineRTDCRunTimes.py" --tripid 840-03 --locoid 4005 --swversion DE.1.0.9.0 --startMP 300:58634 --initTime 2017-05-03T19:38:13 --startdatetime 2017-05-03T19:40:35 --delay 1 --endMP 204:691 --enddatetime 2017-05-03T19:57:23 --enforcementcount 0 &gt;&gt;C:\Users\stu\Documents\GitHub\eaglep3-reporting\EC\2017-05-03-refined-times.txt</v>
      </c>
      <c r="AI200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{"issue":{"subject":"","project_id":79,"tracker_id":40,"status_id":1,"priority_id":2,"assigned_to_id":23,"start_date":"2017-05-03","description":"","custom_fields":[{"id":1,"name":"Subdivision","value":"NW"},{"id":4,"name":"Milepost","value":"0.0691"},{"id":17,"name":"Train ID","value":"840-03"},{"id":16,"name":"Locomotive ID","value":"4005"},{"id":130,"name":"Impact","value":""},{"id":150,"name":"Time of Event (Mountain Time)","value":"19:57:23"},{"id":151,"name":"Denver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16"/>
        <v>start /low /b %USERPROFILE%\Documents\GitHub\eaglep3\Utilities\DownloadLogsFromS3.py --loco 4005 --day 2017-05-03</v>
      </c>
      <c r="AN200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01:57:23"},{"id":29,"name":"Sharepoint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803</v>
      </c>
      <c r="B201" s="7">
        <v>4006</v>
      </c>
      <c r="C201" s="21" t="s">
        <v>210</v>
      </c>
      <c r="D201" s="21" t="s">
        <v>991</v>
      </c>
      <c r="E201" s="13">
        <v>42858.801759259259</v>
      </c>
      <c r="F201" s="13">
        <v>42858.806446759256</v>
      </c>
      <c r="G201" s="7">
        <v>1</v>
      </c>
      <c r="H201" s="21" t="s">
        <v>571</v>
      </c>
      <c r="I201" s="13">
        <v>42858.816817129627</v>
      </c>
      <c r="J201" s="7">
        <v>0</v>
      </c>
      <c r="K201" s="92" t="str">
        <f>IF(ISEVEN(B201),(B201-1)&amp;"/"&amp;B201,B201&amp;"/"&amp;(B201+1))</f>
        <v>4005/4006</v>
      </c>
      <c r="L201" s="21" t="str">
        <f>VLOOKUP(A201,'Trips&amp;Operators'!$C$1:$G$99999,5,FALSE)</f>
        <v>BRUDER RICHARD</v>
      </c>
      <c r="M201" s="6">
        <f>I201-F201</f>
        <v>1.0370370371674653E-2</v>
      </c>
      <c r="N201" s="7">
        <f>24*60*SUM($M201:$M201)</f>
        <v>14.933333335211501</v>
      </c>
      <c r="O201" s="7"/>
      <c r="P201" s="7"/>
      <c r="Q201" s="22"/>
      <c r="R201" s="190"/>
      <c r="S201" s="196">
        <f>SUM(U201:U201)/IF(AG201="EC",12,1)</f>
        <v>1</v>
      </c>
      <c r="T201" s="190" t="str">
        <f>IF(ISEVEN(LEFT(AD201,4)),"Southbound","NorthBound")</f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-05-03T18:14:32-0600',mode:absolute,to:'2017-05-03T20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1" s="192" t="str">
        <f>IF(AA201&lt;IF(AG201="EC",23,5.65),"Y","N")</f>
        <v>N</v>
      </c>
      <c r="X201" s="192">
        <f>VALUE(LEFT(AD201,4))-VALUE(LEFT(AD200,4))</f>
        <v>1</v>
      </c>
      <c r="Y201" s="192">
        <f>RIGHT(D201,LEN(D201)-4)/10000</f>
        <v>9.7199999999999995E-2</v>
      </c>
      <c r="Z201" s="192">
        <f>RIGHT(H201,LEN(H201)-4)/10000</f>
        <v>5.8944000000000001</v>
      </c>
      <c r="AA201" s="192">
        <f>ABS(Z201-Y201)</f>
        <v>5.7972000000000001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>IF(LEN(A201)=6,"0"&amp;A201,A201)</f>
        <v>0841-03</v>
      </c>
      <c r="AE201" s="80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201" s="77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/stypes="app*4006*20170504*" /stext=" 01:.+((SYSTEM_STATE.+slice.+state.+changed )|(ment ac)|(multiple cpu faults)|(system.+state.+changed )|(\[timeout)|(PRM\|1\|D)|(kpr)|(kdp)|(train st.+moving)|(\|lc)|(penalty))"</v>
      </c>
      <c r="AG201" s="1" t="str">
        <f>IFERROR(IF(VALUE(LEFT(AD201,2))&lt;=2,"EC",IF(OR(VALUE(LEFT(AD201,2))=8,VALUE(LEFT(AD201,2))=18),"NW","Other")),"Other")</f>
        <v>NW</v>
      </c>
      <c r="AH201" s="81" t="str">
        <f t="shared" si="14"/>
        <v>"%USERPROFILE%\Documents\GitHub\eaglep3\Utilities\RefineRTDCRunTimes.py" --tripid 841-03 --locoid 4006 --swversion DE.1.0.9.0 --startMP 204:972 --initTime 2017-05-03T19:14:32 --startdatetime 2017-05-03T19:21:17 --delay 1 --endMP 300:58944 --enddatetime 2017-05-03T19:36:13 --enforcementcount 0 &gt;&gt;C:\Users\stu\Documents\GitHub\eaglep3-reporting\EC\2017-05-03-refined-times.txt</v>
      </c>
      <c r="AI201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{"issue":{"subject":"","project_id":79,"tracker_id":40,"status_id":1,"priority_id":2,"assigned_to_id":23,"start_date":"2017-05-03","description":"","custom_fields":[{"id":1,"name":"Subdivision","value":"NW"},{"id":4,"name":"Milepost","value":"5.8944"},{"id":17,"name":"Train ID","value":"841-03"},{"id":16,"name":"Locomotive ID","value":"4006"},{"id":130,"name":"Impact","value":""},{"id":150,"name":"Time of Event (Mountain Time)","value":"19:36:13"},{"id":151,"name":"Denver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16"/>
        <v>start /low /b %USERPROFILE%\Documents\GitHub\eaglep3\Utilities\DownloadLogsFromS3.py --loco 4006 --day 2017-05-03</v>
      </c>
      <c r="AN201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812</v>
      </c>
      <c r="B202" s="7">
        <v>4005</v>
      </c>
      <c r="C202" s="21" t="s">
        <v>210</v>
      </c>
      <c r="D202" s="21" t="s">
        <v>522</v>
      </c>
      <c r="E202" s="13">
        <v>42858.859270833331</v>
      </c>
      <c r="F202" s="13">
        <v>42858.861168981479</v>
      </c>
      <c r="G202" s="7">
        <v>1</v>
      </c>
      <c r="H202" s="21" t="s">
        <v>575</v>
      </c>
      <c r="I202" s="13">
        <v>42858.871296296296</v>
      </c>
      <c r="J202" s="7">
        <v>0</v>
      </c>
      <c r="K202" s="92" t="str">
        <f>IF(ISEVEN(B202),(B202-1)&amp;"/"&amp;B202,B202&amp;"/"&amp;(B202+1))</f>
        <v>4005/4006</v>
      </c>
      <c r="L202" s="21" t="str">
        <f>VLOOKUP(A202,'Trips&amp;Operators'!$C$1:$G$99999,5,FALSE)</f>
        <v>BRUDER RICHARD</v>
      </c>
      <c r="M202" s="6">
        <f>I202-F202</f>
        <v>1.0127314817509614E-2</v>
      </c>
      <c r="N202" s="7">
        <f>24*60*SUM($M202:$M202)</f>
        <v>14.583333337213844</v>
      </c>
      <c r="O202" s="7"/>
      <c r="P202" s="7"/>
      <c r="Q202" s="22"/>
      <c r="R202" s="190"/>
      <c r="S202" s="196">
        <f>SUM(U202:U202)/IF(AG202="EC",12,1)</f>
        <v>1</v>
      </c>
      <c r="T202" s="190" t="str">
        <f>IF(ISEVEN(LEFT(AD202,4)),"Southbound","NorthBound")</f>
        <v>Southbound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-05-03T19:37:21-0600',mode:absolute,to:'2017-05-03T21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2" s="192" t="str">
        <f>IF(AA202&lt;IF(AG202="EC",23,5.65),"Y","N")</f>
        <v>N</v>
      </c>
      <c r="X202" s="192">
        <f>VALUE(LEFT(AD202,4))-VALUE(LEFT(AD201,4))</f>
        <v>1</v>
      </c>
      <c r="Y202" s="192">
        <f>RIGHT(D202,LEN(D202)-4)/10000</f>
        <v>5.8619000000000003</v>
      </c>
      <c r="Z202" s="192">
        <f>RIGHT(H202,LEN(H202)-4)/10000</f>
        <v>6.8199999999999997E-2</v>
      </c>
      <c r="AA202" s="192">
        <f>ABS(Z202-Y202)</f>
        <v>5.7937000000000003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>IF(LEN(A202)=6,"0"&amp;A202,A202)</f>
        <v>0842-03</v>
      </c>
      <c r="AE202" s="80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202" s="77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/stypes="app*4005*20170504*" /stext=" 02:.+((SYSTEM_STATE.+slice.+state.+changed )|(ment ac)|(multiple cpu faults)|(system.+state.+changed )|(\[timeout)|(PRM\|1\|D)|(kpr)|(kdp)|(train st.+moving)|(\|lc)|(penalty))"</v>
      </c>
      <c r="AG202" s="1" t="str">
        <f>IFERROR(IF(VALUE(LEFT(AD202,2))&lt;=2,"EC",IF(OR(VALUE(LEFT(AD202,2))=8,VALUE(LEFT(AD202,2))=18),"NW","Other")),"Other")</f>
        <v>NW</v>
      </c>
      <c r="AH202" s="81" t="str">
        <f t="shared" si="14"/>
        <v>"%USERPROFILE%\Documents\GitHub\eaglep3\Utilities\RefineRTDCRunTimes.py" --tripid 842-03 --locoid 4005 --swversion DE.1.0.9.0 --startMP 300:58619 --initTime 2017-05-03T20:37:21 --startdatetime 2017-05-03T20:40:05 --delay 1 --endMP 204:682 --enddatetime 2017-05-03T20:54:40 --enforcementcount 0 &gt;&gt;C:\Users\stu\Documents\GitHub\eaglep3-reporting\EC\2017-05-03-refined-times.txt</v>
      </c>
      <c r="AI202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{"issue":{"subject":"","project_id":79,"tracker_id":40,"status_id":1,"priority_id":2,"assigned_to_id":23,"start_date":"2017-05-03","description":"","custom_fields":[{"id":1,"name":"Subdivision","value":"NW"},{"id":4,"name":"Milepost","value":"0.0682"},{"id":17,"name":"Train ID","value":"842-03"},{"id":16,"name":"Locomotive ID","value":"4005"},{"id":130,"name":"Impact","value":""},{"id":150,"name":"Time of Event (Mountain Time)","value":"20:54:40"},{"id":151,"name":"Denver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16"/>
        <v>start /low /b %USERPROFILE%\Documents\GitHub\eaglep3\Utilities\DownloadLogsFromS3.py --loco 4005 --day 2017-05-03</v>
      </c>
      <c r="AN202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02:54:40"},{"id":29,"name":"Sharepoint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810</v>
      </c>
      <c r="B203" s="7">
        <v>4006</v>
      </c>
      <c r="C203" s="21" t="s">
        <v>210</v>
      </c>
      <c r="D203" s="21" t="s">
        <v>570</v>
      </c>
      <c r="E203" s="13">
        <v>42858.843761574077</v>
      </c>
      <c r="F203" s="13">
        <v>42858.848101851851</v>
      </c>
      <c r="G203" s="7">
        <v>1</v>
      </c>
      <c r="H203" s="21" t="s">
        <v>468</v>
      </c>
      <c r="I203" s="13">
        <v>42858.857951388891</v>
      </c>
      <c r="J203" s="7">
        <v>0</v>
      </c>
      <c r="K203" s="92" t="str">
        <f>IF(ISEVEN(B203),(B203-1)&amp;"/"&amp;B203,B203&amp;"/"&amp;(B203+1))</f>
        <v>4005/4006</v>
      </c>
      <c r="L203" s="21" t="str">
        <f>VLOOKUP(A203,'Trips&amp;Operators'!$C$1:$G$99999,5,FALSE)</f>
        <v>BRUDER RICHARD</v>
      </c>
      <c r="M203" s="6">
        <f>I203-F203</f>
        <v>9.8495370402815752E-3</v>
      </c>
      <c r="N203" s="7">
        <f>24*60*SUM($M203:$M203)</f>
        <v>14.183333338005468</v>
      </c>
      <c r="O203" s="7"/>
      <c r="P203" s="7"/>
      <c r="Q203" s="22"/>
      <c r="R203" s="190"/>
      <c r="S203" s="196">
        <f>SUM(U203:U203)/IF(AG203="EC",12,1)</f>
        <v>1</v>
      </c>
      <c r="T203" s="190" t="str">
        <f>IF(ISEVEN(LEFT(AD203,4)),"Southbound","NorthBound")</f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-05-03T19:15:01-0600',mode:absolute,to:'2017-05-03T21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3" s="192" t="str">
        <f>IF(AA203&lt;IF(AG203="EC",23,5.65),"Y","N")</f>
        <v>N</v>
      </c>
      <c r="X203" s="192">
        <f>VALUE(LEFT(AD203,4))-VALUE(LEFT(AD202,4))</f>
        <v>1</v>
      </c>
      <c r="Y203" s="192">
        <f>RIGHT(D203,LEN(D203)-4)/10000</f>
        <v>9.69E-2</v>
      </c>
      <c r="Z203" s="192">
        <f>RIGHT(H203,LEN(H203)-4)/10000</f>
        <v>5.8933</v>
      </c>
      <c r="AA203" s="192">
        <f>ABS(Z203-Y203)</f>
        <v>5.7964000000000002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>IF(LEN(A203)=6,"0"&amp;A203,A203)</f>
        <v>0843-03</v>
      </c>
      <c r="AE203" s="80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203" s="77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/stypes="app*4006*20170504*" /stext=" 02:.+((SYSTEM_STATE.+slice.+state.+changed )|(ment ac)|(multiple cpu faults)|(system.+state.+changed )|(\[timeout)|(PRM\|1\|D)|(kpr)|(kdp)|(train st.+moving)|(\|lc)|(penalty))"</v>
      </c>
      <c r="AG203" s="1" t="str">
        <f>IFERROR(IF(VALUE(LEFT(AD203,2))&lt;=2,"EC",IF(OR(VALUE(LEFT(AD203,2))=8,VALUE(LEFT(AD203,2))=18),"NW","Other")),"Other")</f>
        <v>NW</v>
      </c>
      <c r="AH203" s="81" t="str">
        <f t="shared" si="14"/>
        <v>"%USERPROFILE%\Documents\GitHub\eaglep3\Utilities\RefineRTDCRunTimes.py" --tripid 843-03 --locoid 4006 --swversion DE.1.0.9.0 --startMP 204:969 --initTime 2017-05-03T20:15:01 --startdatetime 2017-05-03T20:21:16 --delay 1 --endMP 300:58933 --enddatetime 2017-05-03T20:35:27 --enforcementcount 0 &gt;&gt;C:\Users\stu\Documents\GitHub\eaglep3-reporting\EC\2017-05-03-refined-times.txt</v>
      </c>
      <c r="AI203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{"issue":{"subject":"","project_id":79,"tracker_id":40,"status_id":1,"priority_id":2,"assigned_to_id":23,"start_date":"2017-05-03","description":"","custom_fields":[{"id":1,"name":"Subdivision","value":"NW"},{"id":4,"name":"Milepost","value":"5.8933"},{"id":17,"name":"Train ID","value":"843-03"},{"id":16,"name":"Locomotive ID","value":"4006"},{"id":130,"name":"Impact","value":""},{"id":150,"name":"Time of Event (Mountain Time)","value":"20:35:27"},{"id":151,"name":"Denver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16"/>
        <v>start /low /b %USERPROFILE%\Documents\GitHub\eaglep3\Utilities\DownloadLogsFromS3.py --loco 4006 --day 2017-05-03</v>
      </c>
      <c r="AN203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02:35:27"},{"id":29,"name":"Sharepoint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817</v>
      </c>
      <c r="B204" s="7">
        <v>4005</v>
      </c>
      <c r="C204" s="21" t="s">
        <v>210</v>
      </c>
      <c r="D204" s="21" t="s">
        <v>992</v>
      </c>
      <c r="E204" s="13">
        <v>42858.902905092589</v>
      </c>
      <c r="F204" s="13">
        <v>42858.904710648145</v>
      </c>
      <c r="G204" s="7">
        <v>1</v>
      </c>
      <c r="H204" s="21" t="s">
        <v>986</v>
      </c>
      <c r="I204" s="13">
        <v>42858.915046296293</v>
      </c>
      <c r="J204" s="7">
        <v>0</v>
      </c>
      <c r="K204" s="92" t="str">
        <f>IF(ISEVEN(B204),(B204-1)&amp;"/"&amp;B204,B204&amp;"/"&amp;(B204+1))</f>
        <v>4005/4006</v>
      </c>
      <c r="L204" s="21" t="str">
        <f>VLOOKUP(A204,'Trips&amp;Operators'!$C$1:$G$99999,5,FALSE)</f>
        <v>CHANDLER KELVIN</v>
      </c>
      <c r="M204" s="6">
        <f>I204-F204</f>
        <v>1.0335648148611654E-2</v>
      </c>
      <c r="N204" s="7">
        <f>24*60*SUM($M204:$M204)</f>
        <v>14.883333334000781</v>
      </c>
      <c r="O204" s="7"/>
      <c r="P204" s="7"/>
      <c r="Q204" s="22"/>
      <c r="R204" s="190"/>
      <c r="S204" s="196">
        <f>SUM(U204:U204)/IF(AG204="EC",12,1)</f>
        <v>1</v>
      </c>
      <c r="T204" s="190" t="str">
        <f>IF(ISEVEN(LEFT(AD204,4)),"Southbound","NorthBound")</f>
        <v>Southbound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-05-03T20:40:11-0600',mode:absolute,to:'2017-05-03T22:57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4" s="192" t="str">
        <f>IF(AA204&lt;IF(AG204="EC",23,5.65),"Y","N")</f>
        <v>N</v>
      </c>
      <c r="X204" s="192">
        <f>VALUE(LEFT(AD204,4))-VALUE(LEFT(AD203,4))</f>
        <v>1</v>
      </c>
      <c r="Y204" s="192">
        <f>RIGHT(D204,LEN(D204)-4)/10000</f>
        <v>5.8685</v>
      </c>
      <c r="Z204" s="192">
        <f>RIGHT(H204,LEN(H204)-4)/10000</f>
        <v>6.7699999999999996E-2</v>
      </c>
      <c r="AA204" s="192">
        <f>ABS(Z204-Y204)</f>
        <v>5.8007999999999997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>IF(LEN(A204)=6,"0"&amp;A204,A204)</f>
        <v>0844-03</v>
      </c>
      <c r="AE204" s="80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204" s="77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/stypes="app*4005*20170504*" /stext=" 03:.+((SYSTEM_STATE.+slice.+state.+changed )|(ment ac)|(multiple cpu faults)|(system.+state.+changed )|(\[timeout)|(PRM\|1\|D)|(kpr)|(kdp)|(train st.+moving)|(\|lc)|(penalty))"</v>
      </c>
      <c r="AG204" s="1" t="str">
        <f>IFERROR(IF(VALUE(LEFT(AD204,2))&lt;=2,"EC",IF(OR(VALUE(LEFT(AD204,2))=8,VALUE(LEFT(AD204,2))=18),"NW","Other")),"Other")</f>
        <v>NW</v>
      </c>
      <c r="AH204" s="81" t="str">
        <f t="shared" si="14"/>
        <v>"%USERPROFILE%\Documents\GitHub\eaglep3\Utilities\RefineRTDCRunTimes.py" --tripid 844-03 --locoid 4005 --swversion DE.1.0.9.0 --startMP 300:58685 --initTime 2017-05-03T21:40:11 --startdatetime 2017-05-03T21:42:47 --delay 1 --endMP 204:677 --enddatetime 2017-05-03T21:57:40 --enforcementcount 0 &gt;&gt;C:\Users\stu\Documents\GitHub\eaglep3-reporting\EC\2017-05-03-refined-times.txt</v>
      </c>
      <c r="AI204" s="99" t="str">
        <f t="shared" si="15"/>
        <v>echo {"issue":{"subject":"","project_id":79,"tracker_id":40,"status_id":1,"priority_id":2,"assigned_to_id":23,"start_date":"2017-05-03","description":"","custom_fields":[{"id":1,"name":"Subdivision","value":"NW"},{"id":4,"name":"Milepost","value":"0.0677"},{"id":17,"name":"Train ID","value":"844-03"},{"id":16,"name":"Locomotive ID","value":"4005"},{"id":130,"name":"Impact","value":""},{"id":150,"name":"Time of Event (Mountain Time)","value":"21:57:40"},{"id":151,"name":"Denver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16"/>
        <v>start /low /b %USERPROFILE%\Documents\GitHub\eaglep3\Utilities\DownloadLogsFromS3.py --loco 4005 --day 2017-05-03</v>
      </c>
      <c r="AN204" s="154" t="str">
        <f t="shared" si="17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03:57:40"},{"id":29,"name":"Sharepoint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s="20" customFormat="1" x14ac:dyDescent="0.25">
      <c r="A205" s="32" t="s">
        <v>814</v>
      </c>
      <c r="B205" s="7">
        <v>4006</v>
      </c>
      <c r="C205" s="21" t="s">
        <v>210</v>
      </c>
      <c r="D205" s="21" t="s">
        <v>973</v>
      </c>
      <c r="E205" s="13">
        <v>42858.887407407405</v>
      </c>
      <c r="F205" s="13">
        <v>42858.8903125</v>
      </c>
      <c r="G205" s="7">
        <v>1</v>
      </c>
      <c r="H205" s="21" t="s">
        <v>993</v>
      </c>
      <c r="I205" s="13">
        <v>42858.900277777779</v>
      </c>
      <c r="J205" s="7">
        <v>0</v>
      </c>
      <c r="K205" s="92" t="str">
        <f>IF(ISEVEN(B205),(B205-1)&amp;"/"&amp;B205,B205&amp;"/"&amp;(B205+1))</f>
        <v>4005/4006</v>
      </c>
      <c r="L205" s="21" t="str">
        <f>VLOOKUP(A205,'Trips&amp;Operators'!$C$1:$G$99999,5,FALSE)</f>
        <v>CHANDLER KELVIN</v>
      </c>
      <c r="M205" s="6">
        <f>I205-F205</f>
        <v>9.9652777789742686E-3</v>
      </c>
      <c r="N205" s="7">
        <f>24*60*SUM($M205:$M205)</f>
        <v>14.350000001722947</v>
      </c>
      <c r="O205" s="7"/>
      <c r="P205" s="7"/>
      <c r="Q205" s="22"/>
      <c r="R205" s="190"/>
      <c r="S205" s="196">
        <f>SUM(U205:U205)/IF(AG205="EC",12,1)</f>
        <v>1</v>
      </c>
      <c r="T205" s="190" t="str">
        <f>IF(ISEVEN(LEFT(AD205,4)),"Southbound","NorthBound")</f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-05-03T20:17:52-0600',mode:absolute,to:'2017-05-03T22:36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5" s="192" t="str">
        <f>IF(AA205&lt;IF(AG205="EC",23,5.65),"Y","N")</f>
        <v>N</v>
      </c>
      <c r="X205" s="192">
        <f>VALUE(LEFT(AD205,4))-VALUE(LEFT(AD204,4))</f>
        <v>1</v>
      </c>
      <c r="Y205" s="192">
        <f>RIGHT(D205,LEN(D205)-4)/10000</f>
        <v>9.7900000000000001E-2</v>
      </c>
      <c r="Z205" s="192">
        <f>RIGHT(H205,LEN(H205)-4)/10000</f>
        <v>5.9006999999999996</v>
      </c>
      <c r="AA205" s="192">
        <f>ABS(Z205-Y205)</f>
        <v>5.8027999999999995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>IF(LEN(A205)=6,"0"&amp;A205,A205)</f>
        <v>0845-03</v>
      </c>
      <c r="AE205" s="80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205" s="77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/stypes="app*4006*20170504*" /stext=" 03:.+((SYSTEM_STATE.+slice.+state.+changed )|(ment ac)|(multiple cpu faults)|(system.+state.+changed )|(\[timeout)|(PRM\|1\|D)|(kpr)|(kdp)|(train st.+moving)|(\|lc)|(penalty))"</v>
      </c>
      <c r="AG205" s="1" t="str">
        <f>IFERROR(IF(VALUE(LEFT(AD205,2))&lt;=2,"EC",IF(OR(VALUE(LEFT(AD205,2))=8,VALUE(LEFT(AD205,2))=18),"NW","Other")),"Other")</f>
        <v>NW</v>
      </c>
      <c r="AH205" s="81" t="str">
        <f t="shared" ref="AH205:AH241" si="22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845-03 --locoid 4006 --swversion DE.1.0.9.0 --startMP 204:979 --initTime 2017-05-03T21:17:52 --startdatetime 2017-05-03T21:22:03 --delay 1 --endMP 300:59007 --enddatetime 2017-05-03T21:36:24 --enforcementcount 0 &gt;&gt;C:\Users\stu\Documents\GitHub\eaglep3-reporting\EC\2017-05-03-refined-times.txt</v>
      </c>
      <c r="AI205" s="99" t="str">
        <f t="shared" ref="AI205:AI241" si="23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{"issue":{"subject":"","project_id":79,"tracker_id":40,"status_id":1,"priority_id":2,"assigned_to_id":23,"start_date":"2017-05-03","description":"","custom_fields":[{"id":1,"name":"Subdivision","value":"NW"},{"id":4,"name":"Milepost","value":"5.9007"},{"id":17,"name":"Train ID","value":"845-03"},{"id":16,"name":"Locomotive ID","value":"4006"},{"id":130,"name":"Impact","value":""},{"id":150,"name":"Time of Event (Mountain Time)","value":"21:36:24"},{"id":151,"name":"Denver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5" s="47"/>
      <c r="AL205" s="47"/>
      <c r="AM205" s="145" t="str">
        <f t="shared" ref="AM205:AM241" si="24">"start /low /b "&amp;dls3logs&amp;" --loco "&amp;B205&amp;" --day "&amp;TEXT(F205,"YYYY-MM-DD")</f>
        <v>start /low /b %USERPROFILE%\Documents\GitHub\eaglep3\Utilities\DownloadLogsFromS3.py --loco 4006 --day 2017-05-03</v>
      </c>
      <c r="AN205" s="154" t="str">
        <f t="shared" ref="AN205:AN241" si="25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03:36:24"},{"id":29,"name":"Sharepoint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x14ac:dyDescent="0.25">
      <c r="A206" s="32" t="s">
        <v>616</v>
      </c>
      <c r="B206" s="7">
        <v>4006</v>
      </c>
      <c r="C206" s="21" t="s">
        <v>210</v>
      </c>
      <c r="D206" s="21" t="s">
        <v>953</v>
      </c>
      <c r="E206" s="13">
        <v>42858.928101851852</v>
      </c>
      <c r="F206" s="13">
        <v>42858.931516203702</v>
      </c>
      <c r="G206" s="7">
        <v>1</v>
      </c>
      <c r="H206" s="21" t="s">
        <v>572</v>
      </c>
      <c r="I206" s="13">
        <v>42858.942210648151</v>
      </c>
      <c r="J206" s="7">
        <v>0</v>
      </c>
      <c r="K206" s="92" t="str">
        <f>IF(ISEVEN(B206),(B206-1)&amp;"/"&amp;B206,B206&amp;"/"&amp;(B206+1))</f>
        <v>4005/4006</v>
      </c>
      <c r="L206" s="21" t="str">
        <f>VLOOKUP(A206,'Trips&amp;Operators'!$C$1:$G$99999,5,FALSE)</f>
        <v>CHANDLER KELVIN</v>
      </c>
      <c r="M206" s="6">
        <f>I206-F206</f>
        <v>1.0694444448745344E-2</v>
      </c>
      <c r="N206" s="7">
        <f>24*60*SUM($M206:$M206)</f>
        <v>15.400000006193295</v>
      </c>
      <c r="O206" s="7"/>
      <c r="P206" s="7"/>
      <c r="Q206" s="22"/>
      <c r="R206" s="190"/>
      <c r="S206" s="196">
        <f>SUM(U206:U206)/IF(AG206="EC",12,1)</f>
        <v>1</v>
      </c>
      <c r="T206" s="190" t="str">
        <f>IF(ISEVEN(LEFT(AD206,4)),"Southbound","NorthBound")</f>
        <v>NorthBound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-05-03T21:16:28-0600',mode:absolute,to:'2017-05-03T23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06" s="192" t="str">
        <f>IF(AA206&lt;IF(AG206="EC",23,5.65),"Y","N")</f>
        <v>N</v>
      </c>
      <c r="X206" s="192">
        <f>VALUE(LEFT(AD206,4))-VALUE(LEFT(AD205,4))</f>
        <v>2</v>
      </c>
      <c r="Y206" s="192">
        <f>RIGHT(D206,LEN(D206)-4)/10000</f>
        <v>9.6000000000000002E-2</v>
      </c>
      <c r="Z206" s="192">
        <f>RIGHT(H206,LEN(H206)-4)/10000</f>
        <v>5.899</v>
      </c>
      <c r="AA206" s="192">
        <f>ABS(Z206-Y206)</f>
        <v>5.8029999999999999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>IF(LEN(A206)=6,"0"&amp;A206,A206)</f>
        <v>0847-03</v>
      </c>
      <c r="AE206" s="80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AF206" s="77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/stypes="app*4006*20170504*" /stext=" 04:.+((SYSTEM_STATE.+slice.+state.+changed )|(ment ac)|(multiple cpu faults)|(system.+state.+changed )|(\[timeout)|(PRM\|1\|D)|(kpr)|(kdp)|(train st.+moving)|(\|lc)|(penalty))"</v>
      </c>
      <c r="AG206" s="1" t="str">
        <f>IFERROR(IF(VALUE(LEFT(AD206,2))&lt;=2,"EC",IF(OR(VALUE(LEFT(AD206,2))=8,VALUE(LEFT(AD206,2))=18),"NW","Other")),"Other")</f>
        <v>NW</v>
      </c>
      <c r="AH206" s="81" t="str">
        <f t="shared" si="22"/>
        <v>"%USERPROFILE%\Documents\GitHub\eaglep3\Utilities\RefineRTDCRunTimes.py" --tripid 847-03 --locoid 4006 --swversion DE.1.0.9.0 --startMP 204:960 --initTime 2017-05-03T22:16:28 --startdatetime 2017-05-03T22:21:23 --delay 1 --endMP 300:58990 --enddatetime 2017-05-03T22:36:47 --enforcementcount 0 &gt;&gt;C:\Users\stu\Documents\GitHub\eaglep3-reporting\EC\2017-05-03-refined-times.txt</v>
      </c>
      <c r="AI206" s="99" t="str">
        <f t="shared" si="23"/>
        <v>echo {"issue":{"subject":"","project_id":79,"tracker_id":40,"status_id":1,"priority_id":2,"assigned_to_id":23,"start_date":"2017-05-03","description":"","custom_fields":[{"id":1,"name":"Subdivision","value":"NW"},{"id":4,"name":"Milepost","value":"5.899"},{"id":17,"name":"Train ID","value":"847-03"},{"id":16,"name":"Locomotive ID","value":"4006"},{"id":130,"name":"Impact","value":""},{"id":150,"name":"Time of Event (Mountain Time)","value":"22:36:47"},{"id":151,"name":"Denver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si="24"/>
        <v>start /low /b %USERPROFILE%\Documents\GitHub\eaglep3\Utilities\DownloadLogsFromS3.py --loco 4006 --day 2017-05-03</v>
      </c>
      <c r="AN206" s="154" t="str">
        <f t="shared" si="25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04:36:47"},{"id":29,"name":"Sharepoint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x14ac:dyDescent="0.25">
      <c r="A207" s="32" t="s">
        <v>619</v>
      </c>
      <c r="B207" s="7">
        <v>4039</v>
      </c>
      <c r="C207" s="21" t="s">
        <v>210</v>
      </c>
      <c r="D207" s="21" t="s">
        <v>914</v>
      </c>
      <c r="E207" s="13">
        <v>42858.119525462964</v>
      </c>
      <c r="F207" s="13">
        <v>42858.123657407406</v>
      </c>
      <c r="G207" s="7">
        <v>5</v>
      </c>
      <c r="H207" s="21" t="s">
        <v>464</v>
      </c>
      <c r="I207" s="13">
        <v>42858.129537037035</v>
      </c>
      <c r="J207" s="7">
        <v>0</v>
      </c>
      <c r="K207" s="92" t="str">
        <f>IF(ISEVEN(B207),(B207-1)&amp;"/"&amp;B207,B207&amp;"/"&amp;(B207+1))</f>
        <v>4039/4040</v>
      </c>
      <c r="L207" s="21" t="str">
        <f>VLOOKUP(A207,'Trips&amp;Operators'!$C$1:$G$99999,5,FALSE)</f>
        <v>BADERTSCHER DIANE</v>
      </c>
      <c r="M207" s="6">
        <f>I207-F207</f>
        <v>5.8796296289074235E-3</v>
      </c>
      <c r="N207" s="7">
        <f>24*60*SUM($M207:$M207)</f>
        <v>8.4666666656266898</v>
      </c>
      <c r="O207" s="7"/>
      <c r="P207" s="7"/>
      <c r="Q207" s="22"/>
      <c r="R207" s="190"/>
      <c r="S207" s="196">
        <f>SUM(U207:U207)/IF(AG207="EC",12,1)</f>
        <v>1</v>
      </c>
      <c r="T207" s="190" t="str">
        <f>IF(ISEVEN(LEFT(AD207,4)),"Southbound","NorthBound")</f>
        <v>Southbound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-05-03T01:52:07-0600',mode:absolute,to:'2017-05-03T04:06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7" s="192" t="str">
        <f>IF(AA207&lt;IF(AG207="EC",23,5.65),"Y","N")</f>
        <v>Y</v>
      </c>
      <c r="X207" s="192">
        <f>VALUE(LEFT(AD207,4))-VALUE(LEFT(AD206,4))</f>
        <v>-545</v>
      </c>
      <c r="Y207" s="192">
        <f>RIGHT(D207,LEN(D207)-4)/10000</f>
        <v>2.2894000000000001</v>
      </c>
      <c r="Z207" s="192">
        <f>RIGHT(H207,LEN(H207)-4)/10000</f>
        <v>1.41E-2</v>
      </c>
      <c r="AA207" s="192">
        <f>ABS(Z207-Y207)</f>
        <v>2.2753000000000001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>IF(LEN(A207)=6,"0"&amp;A207,A207)</f>
        <v>0302-03</v>
      </c>
      <c r="AE207" s="80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AF207" s="77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/stypes="app*4039*20170503*" /stext=" 09:.+((SYSTEM_STATE.+slice.+state.+changed )|(ment ac)|(multiple cpu faults)|(system.+state.+changed )|(\[timeout)|(PRM\|1\|D)|(kpr)|(kdp)|(train st.+moving)|(\|lc)|(penalty))"</v>
      </c>
      <c r="AG207" s="1" t="str">
        <f>IFERROR(IF(VALUE(LEFT(AD207,2))&lt;=2,"EC",IF(OR(VALUE(LEFT(AD207,2))=8,VALUE(LEFT(AD207,2))=18),"NW","Other")),"Other")</f>
        <v>Other</v>
      </c>
      <c r="AH207" s="81" t="str">
        <f t="shared" si="22"/>
        <v>"%USERPROFILE%\Documents\GitHub\eaglep3\Utilities\RefineRTDCRunTimes.py" --tripid 302-03 --locoid 4039 --swversion DE.1.0.9.0 --startMP 300:22894 --initTime 2017-05-03T02:52:07 --startdatetime 2017-05-03T02:58:04 --delay 5 --endMP 204:141 --enddatetime 2017-05-03T03:06:32 --enforcementcount 0 &gt;&gt;C:\Users\stu\Documents\GitHub\eaglep3-reporting\EC\2017-05-03-refined-times.txt</v>
      </c>
      <c r="AI207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{"issue":{"subject":"","project_id":79,"tracker_id":40,"status_id":1,"priority_id":2,"assigned_to_id":23,"start_date":"2017-05-03","description":"","custom_fields":[{"id":1,"name":"Subdivision","value":"Other"},{"id":4,"name":"Milepost","value":"0.0141"},{"id":17,"name":"Train ID","value":"302-03"},{"id":16,"name":"Locomotive ID","value":"4039"},{"id":130,"name":"Impact","value":""},{"id":150,"name":"Time of Event (Mountain Time)","value":"03:06:32"},{"id":151,"name":"Denver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5" t="str">
        <f t="shared" si="24"/>
        <v>start /low /b %USERPROFILE%\Documents\GitHub\eaglep3\Utilities\DownloadLogsFromS3.py --loco 4039 --day 2017-05-03</v>
      </c>
      <c r="AN207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09:06:32"},{"id":29,"name":"Sharepoint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91" x14ac:dyDescent="0.25">
      <c r="A208" s="32" t="s">
        <v>796</v>
      </c>
      <c r="B208" s="7">
        <v>4018</v>
      </c>
      <c r="C208" s="21" t="s">
        <v>210</v>
      </c>
      <c r="D208" s="21" t="s">
        <v>419</v>
      </c>
      <c r="E208" s="13">
        <v>42858.777013888888</v>
      </c>
      <c r="F208" s="13">
        <v>42858.778923611113</v>
      </c>
      <c r="G208" s="7">
        <v>1</v>
      </c>
      <c r="H208" s="21" t="s">
        <v>414</v>
      </c>
      <c r="I208" s="13">
        <v>42858.787280092591</v>
      </c>
      <c r="J208" s="7">
        <v>0</v>
      </c>
      <c r="K208" s="92" t="str">
        <f>IF(ISEVEN(B208),(B208-1)&amp;"/"&amp;B208,B208&amp;"/"&amp;(B208+1))</f>
        <v>4017/4018</v>
      </c>
      <c r="L208" s="21" t="str">
        <f>VLOOKUP(A208,'Trips&amp;Operators'!$C$1:$G$99999,5,FALSE)</f>
        <v>BIRENBAUM THOMAS</v>
      </c>
      <c r="M208" s="6">
        <f>I208-F208</f>
        <v>8.3564814776764251E-3</v>
      </c>
      <c r="N208" s="7">
        <f>24*60*SUM($M208:$M208)</f>
        <v>12.033333327854052</v>
      </c>
      <c r="O208" s="7"/>
      <c r="P208" s="7"/>
      <c r="Q208" s="22"/>
      <c r="R208" s="190"/>
      <c r="S208" s="196">
        <f>SUM(U208:U208)/IF(AG208="EC",12,1)</f>
        <v>1</v>
      </c>
      <c r="T208" s="190" t="str">
        <f>IF(ISEVEN(LEFT(AD208,4)),"Southbound","NorthBound")</f>
        <v>NorthBound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-05-03T17:38:54-0600',mode:absolute,to:'2017-05-03T19:53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8" s="192" t="str">
        <f>IF(AA208&lt;IF(AG208="EC",23,5.65),"Y","N")</f>
        <v>Y</v>
      </c>
      <c r="X208" s="192">
        <f>VALUE(LEFT(AD208,4))-VALUE(LEFT(AD207,4))</f>
        <v>1</v>
      </c>
      <c r="Y208" s="192">
        <f>RIGHT(D208,LEN(D208)-4)/10000</f>
        <v>4.6399999999999997E-2</v>
      </c>
      <c r="Z208" s="192">
        <f>RIGHT(H208,LEN(H208)-4)/10000</f>
        <v>2.3346</v>
      </c>
      <c r="AA208" s="192">
        <f>ABS(Z208-Y208)</f>
        <v>2.2881999999999998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>IF(LEN(A208)=6,"0"&amp;A208,A208)</f>
        <v>0303-03</v>
      </c>
      <c r="AE208" s="80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s3://rtdc.mdm.uploadarchive.raw/RTDC4018/ "%USERPROFILE%\AppData\Local\Temp\OnboardLogs"\RTDC4018\2017-05-03 --exclude "*" --recursive --include "*20170503*" &amp; "%USERPROFILE%\Documents\GitHub\mrs-test-scripts\Headless Mode &amp; Sideloading\WalkAndUnGZ.bat" "%USERPROFILE%\AppData\Local\Temp\OnboardLogs"\RTDC4018\2017-05-03 &amp; aws s3 cp s3://rtdc.mdm.uploadarchive.raw/RTDC4018/ "%USERPROFILE%\AppData\Local\Temp\OnboardLogs"\RTDC4018\2017-05-04 --exclude "*" --recursive --include "*20170504*" &amp; "%USERPROFILE%\Documents\GitHub\mrs-test-scripts\Headless Mode &amp; Sideloading\WalkAndUnGZ.bat" "%USERPROFILE%\AppData\Local\Temp\OnboardLogs"\RTDC4018\2017-05-04</v>
      </c>
      <c r="AF208" s="77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/stypes="app*4018*20170504*" /stext=" 00:.+((SYSTEM_STATE.+slice.+state.+changed )|(ment ac)|(multiple cpu faults)|(system.+state.+changed )|(\[timeout)|(PRM\|1\|D)|(kpr)|(kdp)|(train st.+moving)|(\|lc)|(penalty))"</v>
      </c>
      <c r="AG208" s="1" t="str">
        <f>IFERROR(IF(VALUE(LEFT(AD208,2))&lt;=2,"EC",IF(OR(VALUE(LEFT(AD208,2))=8,VALUE(LEFT(AD208,2))=18),"NW","Other")),"Other")</f>
        <v>Other</v>
      </c>
      <c r="AH208" s="81" t="str">
        <f t="shared" si="22"/>
        <v>"%USERPROFILE%\Documents\GitHub\eaglep3\Utilities\RefineRTDCRunTimes.py" --tripid 303-03 --locoid 4018 --swversion DE.1.0.9.0 --startMP 204:464 --initTime 2017-05-03T18:38:54 --startdatetime 2017-05-03T18:41:39 --delay 1 --endMP 300:23346 --enddatetime 2017-05-03T18:53:41 --enforcementcount 0 &gt;&gt;C:\Users\stu\Documents\GitHub\eaglep3-reporting\EC\2017-05-03-refined-times.txt</v>
      </c>
      <c r="AI208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{"issue":{"subject":"","project_id":79,"tracker_id":40,"status_id":1,"priority_id":2,"assigned_to_id":23,"start_date":"2017-05-03","description":"","custom_fields":[{"id":1,"name":"Subdivision","value":"Other"},{"id":4,"name":"Milepost","value":"2.3346"},{"id":17,"name":"Train ID","value":"303-03"},{"id":16,"name":"Locomotive ID","value":"4018"},{"id":130,"name":"Impact","value":""},{"id":150,"name":"Time of Event (Mountain Time)","value":"18:53:41"},{"id":151,"name":"Denver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24"/>
        <v>start /low /b %USERPROFILE%\Documents\GitHub\eaglep3\Utilities\DownloadLogsFromS3.py --loco 4018 --day 2017-05-03</v>
      </c>
      <c r="AN208" s="154" t="str">
        <f t="shared" si="25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00:53:41"},{"id":29,"name":"Sharepoint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91" x14ac:dyDescent="0.25">
      <c r="A209" s="32" t="s">
        <v>579</v>
      </c>
      <c r="B209" s="7">
        <v>4023</v>
      </c>
      <c r="C209" s="21" t="s">
        <v>210</v>
      </c>
      <c r="D209" s="21" t="s">
        <v>915</v>
      </c>
      <c r="E209" s="13">
        <v>42858.142418981479</v>
      </c>
      <c r="F209" s="13">
        <v>42858.145578703705</v>
      </c>
      <c r="G209" s="7">
        <v>4</v>
      </c>
      <c r="H209" s="21" t="s">
        <v>407</v>
      </c>
      <c r="I209" s="13">
        <v>42858.151469907411</v>
      </c>
      <c r="J209" s="7">
        <v>0</v>
      </c>
      <c r="K209" s="92" t="str">
        <f>IF(ISEVEN(B209),(B209-1)&amp;"/"&amp;B209,B209&amp;"/"&amp;(B209+1))</f>
        <v>4023/4024</v>
      </c>
      <c r="L209" s="21" t="str">
        <f>VLOOKUP(A209,'Trips&amp;Operators'!$C$1:$G$99999,5,FALSE)</f>
        <v>MAELZER KURT</v>
      </c>
      <c r="M209" s="6">
        <f>I209-F209</f>
        <v>5.8912037056870759E-3</v>
      </c>
      <c r="N209" s="7">
        <f>24*60*SUM($M209:$M209)</f>
        <v>8.4833333361893892</v>
      </c>
      <c r="O209" s="7"/>
      <c r="P209" s="7"/>
      <c r="Q209" s="22"/>
      <c r="R209" s="190"/>
      <c r="S209" s="196">
        <f>SUM(U209:U209)/IF(AG209="EC",12,1)</f>
        <v>1</v>
      </c>
      <c r="T209" s="190" t="str">
        <f>IF(ISEVEN(LEFT(AD209,4)),"Southbound","NorthBound")</f>
        <v>Southbound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-05-03T02:25:05-0600',mode:absolute,to:'2017-05-03T04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9" s="192" t="str">
        <f>IF(AA209&lt;IF(AG209="EC",23,5.65),"Y","N")</f>
        <v>Y</v>
      </c>
      <c r="X209" s="192">
        <f>VALUE(LEFT(AD209,4))-VALUE(LEFT(AD208,4))</f>
        <v>1</v>
      </c>
      <c r="Y209" s="192">
        <f>RIGHT(D209,LEN(D209)-4)/10000</f>
        <v>2.3176999999999999</v>
      </c>
      <c r="Z209" s="192">
        <f>RIGHT(H209,LEN(H209)-4)/10000</f>
        <v>1.43E-2</v>
      </c>
      <c r="AA209" s="192">
        <f>ABS(Z209-Y209)</f>
        <v>2.3033999999999999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>IF(LEN(A209)=6,"0"&amp;A209,A209)</f>
        <v>0304-03</v>
      </c>
      <c r="AE209" s="80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209" s="77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/stypes="app*4023*20170503*" /stext=" 09:.+((SYSTEM_STATE.+slice.+state.+changed )|(ment ac)|(multiple cpu faults)|(system.+state.+changed )|(\[timeout)|(PRM\|1\|D)|(kpr)|(kdp)|(train st.+moving)|(\|lc)|(penalty))"</v>
      </c>
      <c r="AG209" s="1" t="str">
        <f>IFERROR(IF(VALUE(LEFT(AD209,2))&lt;=2,"EC",IF(OR(VALUE(LEFT(AD209,2))=8,VALUE(LEFT(AD209,2))=18),"NW","Other")),"Other")</f>
        <v>Other</v>
      </c>
      <c r="AH209" s="81" t="str">
        <f t="shared" si="22"/>
        <v>"%USERPROFILE%\Documents\GitHub\eaglep3\Utilities\RefineRTDCRunTimes.py" --tripid 304-03 --locoid 4023 --swversion DE.1.0.9.0 --startMP 300:23177 --initTime 2017-05-03T03:25:05 --startdatetime 2017-05-03T03:29:38 --delay 4 --endMP 204:143 --enddatetime 2017-05-03T03:38:07 --enforcementcount 0 &gt;&gt;C:\Users\stu\Documents\GitHub\eaglep3-reporting\EC\2017-05-03-refined-times.txt</v>
      </c>
      <c r="AI209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{"issue":{"subject":"","project_id":79,"tracker_id":40,"status_id":1,"priority_id":2,"assigned_to_id":23,"start_date":"2017-05-03","description":"","custom_fields":[{"id":1,"name":"Subdivision","value":"Other"},{"id":4,"name":"Milepost","value":"0.0143"},{"id":17,"name":"Train ID","value":"304-03"},{"id":16,"name":"Locomotive ID","value":"4023"},{"id":130,"name":"Impact","value":""},{"id":150,"name":"Time of Event (Mountain Time)","value":"03:38:07"},{"id":151,"name":"Denver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24"/>
        <v>start /low /b %USERPROFILE%\Documents\GitHub\eaglep3\Utilities\DownloadLogsFromS3.py --loco 4023 --day 2017-05-03</v>
      </c>
      <c r="AN209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09:38:07"},{"id":29,"name":"Sharepoint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91" x14ac:dyDescent="0.25">
      <c r="A210" s="32" t="s">
        <v>801</v>
      </c>
      <c r="B210" s="7">
        <v>4040</v>
      </c>
      <c r="C210" s="21" t="s">
        <v>210</v>
      </c>
      <c r="D210" s="21" t="s">
        <v>546</v>
      </c>
      <c r="E210" s="13">
        <v>42858.796273148146</v>
      </c>
      <c r="F210" s="13">
        <v>42858.797800925924</v>
      </c>
      <c r="G210" s="7">
        <v>1</v>
      </c>
      <c r="H210" s="21" t="s">
        <v>916</v>
      </c>
      <c r="I210" s="13">
        <v>42858.803981481484</v>
      </c>
      <c r="J210" s="7">
        <v>0</v>
      </c>
      <c r="K210" s="92" t="str">
        <f>IF(ISEVEN(B210),(B210-1)&amp;"/"&amp;B210,B210&amp;"/"&amp;(B210+1))</f>
        <v>4039/4040</v>
      </c>
      <c r="L210" s="21" t="str">
        <f>VLOOKUP(A210,'Trips&amp;Operators'!$C$1:$G$99999,5,FALSE)</f>
        <v>LALONDE GREGORY</v>
      </c>
      <c r="M210" s="6">
        <f>I210-F210</f>
        <v>6.180555559694767E-3</v>
      </c>
      <c r="N210" s="7">
        <f>24*60*SUM($M210:$M210)</f>
        <v>8.9000000059604645</v>
      </c>
      <c r="O210" s="7"/>
      <c r="P210" s="7"/>
      <c r="Q210" s="22"/>
      <c r="R210" s="190"/>
      <c r="S210" s="196">
        <f>SUM(U210:U210)/IF(AG210="EC",12,1)</f>
        <v>1</v>
      </c>
      <c r="T210" s="190" t="str">
        <f>IF(ISEVEN(LEFT(AD210,4)),"Southbound","NorthBound")</f>
        <v>NorthBound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-05-03T18:06:38-0600',mode:absolute,to:'2017-05-03T20:17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0" s="192" t="str">
        <f>IF(AA210&lt;IF(AG210="EC",23,5.65),"Y","N")</f>
        <v>Y</v>
      </c>
      <c r="X210" s="192">
        <f>VALUE(LEFT(AD210,4))-VALUE(LEFT(AD209,4))</f>
        <v>1</v>
      </c>
      <c r="Y210" s="192">
        <f>RIGHT(D210,LEN(D210)-4)/10000</f>
        <v>4.7100000000000003E-2</v>
      </c>
      <c r="Z210" s="192">
        <f>RIGHT(H210,LEN(H210)-4)/10000</f>
        <v>2.3308</v>
      </c>
      <c r="AA210" s="192">
        <f>ABS(Z210-Y210)</f>
        <v>2.2837000000000001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>IF(LEN(A210)=6,"0"&amp;A210,A210)</f>
        <v>0305-03</v>
      </c>
      <c r="AE210" s="80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AF210" s="77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/stypes="app*4040*20170504*" /stext=" 01:.+((SYSTEM_STATE.+slice.+state.+changed )|(ment ac)|(multiple cpu faults)|(system.+state.+changed )|(\[timeout)|(PRM\|1\|D)|(kpr)|(kdp)|(train st.+moving)|(\|lc)|(penalty))"</v>
      </c>
      <c r="AG210" s="1" t="str">
        <f>IFERROR(IF(VALUE(LEFT(AD210,2))&lt;=2,"EC",IF(OR(VALUE(LEFT(AD210,2))=8,VALUE(LEFT(AD210,2))=18),"NW","Other")),"Other")</f>
        <v>Other</v>
      </c>
      <c r="AH210" s="81" t="str">
        <f t="shared" si="22"/>
        <v>"%USERPROFILE%\Documents\GitHub\eaglep3\Utilities\RefineRTDCRunTimes.py" --tripid 305-03 --locoid 4040 --swversion DE.1.0.9.0 --startMP 204:471 --initTime 2017-05-03T19:06:38 --startdatetime 2017-05-03T19:08:50 --delay 1 --endMP 300:23308 --enddatetime 2017-05-03T19:17:44 --enforcementcount 0 &gt;&gt;C:\Users\stu\Documents\GitHub\eaglep3-reporting\EC\2017-05-03-refined-times.txt</v>
      </c>
      <c r="AI210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{"issue":{"subject":"","project_id":79,"tracker_id":40,"status_id":1,"priority_id":2,"assigned_to_id":23,"start_date":"2017-05-03","description":"","custom_fields":[{"id":1,"name":"Subdivision","value":"Other"},{"id":4,"name":"Milepost","value":"2.3308"},{"id":17,"name":"Train ID","value":"305-03"},{"id":16,"name":"Locomotive ID","value":"4040"},{"id":130,"name":"Impact","value":""},{"id":150,"name":"Time of Event (Mountain Time)","value":"19:17:44"},{"id":151,"name":"Denver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24"/>
        <v>start /low /b %USERPROFILE%\Documents\GitHub\eaglep3\Utilities\DownloadLogsFromS3.py --loco 4040 --day 2017-05-03</v>
      </c>
      <c r="AN210" s="154" t="str">
        <f t="shared" si="25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01:17:44"},{"id":29,"name":"Sharepoint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91" x14ac:dyDescent="0.25">
      <c r="A211" s="32" t="s">
        <v>624</v>
      </c>
      <c r="B211" s="7">
        <v>4053</v>
      </c>
      <c r="C211" s="21" t="s">
        <v>210</v>
      </c>
      <c r="D211" s="21" t="s">
        <v>917</v>
      </c>
      <c r="E211" s="13">
        <v>42858.158020833333</v>
      </c>
      <c r="F211" s="13">
        <v>42858.161400462966</v>
      </c>
      <c r="G211" s="7">
        <v>4</v>
      </c>
      <c r="H211" s="21" t="s">
        <v>553</v>
      </c>
      <c r="I211" s="13">
        <v>42858.166527777779</v>
      </c>
      <c r="J211" s="7">
        <v>0</v>
      </c>
      <c r="K211" s="92" t="str">
        <f>IF(ISEVEN(B211),(B211-1)&amp;"/"&amp;B211,B211&amp;"/"&amp;(B211+1))</f>
        <v>4053/4054</v>
      </c>
      <c r="L211" s="21" t="str">
        <f>VLOOKUP(A211,'Trips&amp;Operators'!$C$1:$G$99999,5,FALSE)</f>
        <v>GEBRETEKLE DAGNEW</v>
      </c>
      <c r="M211" s="6">
        <f>I211-F211</f>
        <v>5.1273148128530011E-3</v>
      </c>
      <c r="N211" s="7">
        <f>24*60*SUM($M211:$M211)</f>
        <v>7.3833333305083215</v>
      </c>
      <c r="O211" s="7"/>
      <c r="P211" s="7"/>
      <c r="Q211" s="22"/>
      <c r="R211" s="190"/>
      <c r="S211" s="196">
        <f>SUM(U211:U211)/IF(AG211="EC",12,1)</f>
        <v>1</v>
      </c>
      <c r="T211" s="190" t="str">
        <f>IF(ISEVEN(LEFT(AD211,4)),"Southbound","NorthBound")</f>
        <v>Southbound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-05-03T02:47:33-0600',mode:absolute,to:'2017-05-03T04:59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1" s="192" t="str">
        <f>IF(AA211&lt;IF(AG211="EC",23,5.65),"Y","N")</f>
        <v>Y</v>
      </c>
      <c r="X211" s="192">
        <f>VALUE(LEFT(AD211,4))-VALUE(LEFT(AD210,4))</f>
        <v>1</v>
      </c>
      <c r="Y211" s="192">
        <f>RIGHT(D211,LEN(D211)-4)/10000</f>
        <v>2.3559000000000001</v>
      </c>
      <c r="Z211" s="192">
        <f>RIGHT(H211,LEN(H211)-4)/10000</f>
        <v>1.2999999999999999E-2</v>
      </c>
      <c r="AA211" s="192">
        <f>ABS(Z211-Y211)</f>
        <v>2.3429000000000002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>IF(LEN(A211)=6,"0"&amp;A211,A211)</f>
        <v>0306-03</v>
      </c>
      <c r="AE211" s="80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211" s="77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/stypes="app*4053*20170503*" /stext=" 09:.+((SYSTEM_STATE.+slice.+state.+changed )|(ment ac)|(multiple cpu faults)|(system.+state.+changed )|(\[timeout)|(PRM\|1\|D)|(kpr)|(kdp)|(train st.+moving)|(\|lc)|(penalty))"</v>
      </c>
      <c r="AG211" s="1" t="str">
        <f>IFERROR(IF(VALUE(LEFT(AD211,2))&lt;=2,"EC",IF(OR(VALUE(LEFT(AD211,2))=8,VALUE(LEFT(AD211,2))=18),"NW","Other")),"Other")</f>
        <v>Other</v>
      </c>
      <c r="AH211" s="81" t="str">
        <f t="shared" si="22"/>
        <v>"%USERPROFILE%\Documents\GitHub\eaglep3\Utilities\RefineRTDCRunTimes.py" --tripid 306-03 --locoid 4053 --swversion DE.1.0.9.0 --startMP 300:23559 --initTime 2017-05-03T03:47:33 --startdatetime 2017-05-03T03:52:25 --delay 4 --endMP 204:130 --enddatetime 2017-05-03T03:59:48 --enforcementcount 0 &gt;&gt;C:\Users\stu\Documents\GitHub\eaglep3-reporting\EC\2017-05-03-refined-times.txt</v>
      </c>
      <c r="AI211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{"issue":{"subject":"","project_id":79,"tracker_id":40,"status_id":1,"priority_id":2,"assigned_to_id":23,"start_date":"2017-05-03","description":"","custom_fields":[{"id":1,"name":"Subdivision","value":"Other"},{"id":4,"name":"Milepost","value":"0.013"},{"id":17,"name":"Train ID","value":"306-03"},{"id":16,"name":"Locomotive ID","value":"4053"},{"id":130,"name":"Impact","value":""},{"id":150,"name":"Time of Event (Mountain Time)","value":"03:59:48"},{"id":151,"name":"Denver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24"/>
        <v>start /low /b %USERPROFILE%\Documents\GitHub\eaglep3\Utilities\DownloadLogsFromS3.py --loco 4053 --day 2017-05-03</v>
      </c>
      <c r="AN211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09:59:48"},{"id":29,"name":"Sharepoint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91" s="20" customFormat="1" x14ac:dyDescent="0.25">
      <c r="A212" s="32" t="s">
        <v>805</v>
      </c>
      <c r="B212" s="7">
        <v>4054</v>
      </c>
      <c r="C212" s="21" t="s">
        <v>210</v>
      </c>
      <c r="D212" s="21" t="s">
        <v>918</v>
      </c>
      <c r="E212" s="13">
        <v>42858.819004629629</v>
      </c>
      <c r="F212" s="13">
        <v>42858.821018518516</v>
      </c>
      <c r="G212" s="7">
        <v>1</v>
      </c>
      <c r="H212" s="21" t="s">
        <v>414</v>
      </c>
      <c r="I212" s="13">
        <v>42858.828090277777</v>
      </c>
      <c r="J212" s="7">
        <v>0</v>
      </c>
      <c r="K212" s="92" t="str">
        <f>IF(ISEVEN(B212),(B212-1)&amp;"/"&amp;B212,B212&amp;"/"&amp;(B212+1))</f>
        <v>4053/4054</v>
      </c>
      <c r="L212" s="21" t="str">
        <f>VLOOKUP(A212,'Trips&amp;Operators'!$C$1:$G$99999,5,FALSE)</f>
        <v>MOSES BRADLEY</v>
      </c>
      <c r="M212" s="6">
        <f>I212-F212</f>
        <v>7.07175926072523E-3</v>
      </c>
      <c r="N212" s="7">
        <f>24*60*SUM($M212:$M212)</f>
        <v>10.183333335444331</v>
      </c>
      <c r="O212" s="7"/>
      <c r="P212" s="7"/>
      <c r="Q212" s="22"/>
      <c r="R212" s="190"/>
      <c r="S212" s="196">
        <f>SUM(U212:U212)/IF(AG212="EC",12,1)</f>
        <v>1</v>
      </c>
      <c r="T212" s="190" t="str">
        <f>IF(ISEVEN(LEFT(AD212,4)),"Southbound","NorthBound")</f>
        <v>NorthBound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-05-03T18:39:22-0600',mode:absolute,to:'2017-05-03T20:52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2" s="192" t="str">
        <f>IF(AA212&lt;IF(AG212="EC",23,5.65),"Y","N")</f>
        <v>Y</v>
      </c>
      <c r="X212" s="192">
        <f>VALUE(LEFT(AD212,4))-VALUE(LEFT(AD211,4))</f>
        <v>1</v>
      </c>
      <c r="Y212" s="192">
        <f>RIGHT(D212,LEN(D212)-4)/10000</f>
        <v>5.04E-2</v>
      </c>
      <c r="Z212" s="192">
        <f>RIGHT(H212,LEN(H212)-4)/10000</f>
        <v>2.3346</v>
      </c>
      <c r="AA212" s="192">
        <f>ABS(Z212-Y212)</f>
        <v>2.2842000000000002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>IF(LEN(A212)=6,"0"&amp;A212,A212)</f>
        <v>0307-03</v>
      </c>
      <c r="AE212" s="80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 &amp; 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</v>
      </c>
      <c r="AF212" s="77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/stypes="app*4054*20170504*" /stext=" 01:.+((SYSTEM_STATE.+slice.+state.+changed )|(ment ac)|(multiple cpu faults)|(system.+state.+changed )|(\[timeout)|(PRM\|1\|D)|(kpr)|(kdp)|(train st.+moving)|(\|lc)|(penalty))"</v>
      </c>
      <c r="AG212" s="1" t="str">
        <f>IFERROR(IF(VALUE(LEFT(AD212,2))&lt;=2,"EC",IF(OR(VALUE(LEFT(AD212,2))=8,VALUE(LEFT(AD212,2))=18),"NW","Other")),"Other")</f>
        <v>Other</v>
      </c>
      <c r="AH212" s="81" t="str">
        <f t="shared" si="22"/>
        <v>"%USERPROFILE%\Documents\GitHub\eaglep3\Utilities\RefineRTDCRunTimes.py" --tripid 307-03 --locoid 4054 --swversion DE.1.0.9.0 --startMP 204:504 --initTime 2017-05-03T19:39:22 --startdatetime 2017-05-03T19:42:16 --delay 1 --endMP 300:23346 --enddatetime 2017-05-03T19:52:27 --enforcementcount 0 &gt;&gt;C:\Users\stu\Documents\GitHub\eaglep3-reporting\EC\2017-05-03-refined-times.txt</v>
      </c>
      <c r="AI212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{"issue":{"subject":"","project_id":79,"tracker_id":40,"status_id":1,"priority_id":2,"assigned_to_id":23,"start_date":"2017-05-03","description":"","custom_fields":[{"id":1,"name":"Subdivision","value":"Other"},{"id":4,"name":"Milepost","value":"2.3346"},{"id":17,"name":"Train ID","value":"307-03"},{"id":16,"name":"Locomotive ID","value":"4054"},{"id":130,"name":"Impact","value":""},{"id":150,"name":"Time of Event (Mountain Time)","value":"19:52:27"},{"id":151,"name":"Denver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2" s="47"/>
      <c r="AL212" s="47"/>
      <c r="AM212" s="145" t="str">
        <f t="shared" si="24"/>
        <v>start /low /b %USERPROFILE%\Documents\GitHub\eaglep3\Utilities\DownloadLogsFromS3.py --loco 4054 --day 2017-05-03</v>
      </c>
      <c r="AN212" s="154" t="str">
        <f t="shared" si="25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01:52:27"},{"id":29,"name":"Sharepoint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x14ac:dyDescent="0.25">
      <c r="A213" s="32" t="s">
        <v>627</v>
      </c>
      <c r="B213" s="7">
        <v>4015</v>
      </c>
      <c r="C213" s="21" t="s">
        <v>210</v>
      </c>
      <c r="D213" s="21" t="s">
        <v>919</v>
      </c>
      <c r="E213" s="13">
        <v>42858.169745370367</v>
      </c>
      <c r="F213" s="13">
        <v>42858.173414351855</v>
      </c>
      <c r="G213" s="7">
        <v>5</v>
      </c>
      <c r="H213" s="21" t="s">
        <v>385</v>
      </c>
      <c r="I213" s="13">
        <v>42858.18172453704</v>
      </c>
      <c r="J213" s="7">
        <v>0</v>
      </c>
      <c r="K213" s="92" t="str">
        <f>IF(ISEVEN(B213),(B213-1)&amp;"/"&amp;B213,B213&amp;"/"&amp;(B213+1))</f>
        <v>4015/4016</v>
      </c>
      <c r="L213" s="21" t="str">
        <f>VLOOKUP(A213,'Trips&amp;Operators'!$C$1:$G$99999,5,FALSE)</f>
        <v>THOMPSON LESTER</v>
      </c>
      <c r="M213" s="6">
        <f>I213-F213</f>
        <v>8.3101851851097308E-3</v>
      </c>
      <c r="N213" s="7">
        <f>24*60*SUM($M213:$M213)</f>
        <v>11.966666666558012</v>
      </c>
      <c r="O213" s="7"/>
      <c r="P213" s="7"/>
      <c r="Q213" s="22"/>
      <c r="R213" s="190"/>
      <c r="S213" s="196">
        <f>SUM(U213:U213)/IF(AG213="EC",12,1)</f>
        <v>1</v>
      </c>
      <c r="T213" s="190" t="str">
        <f>IF(ISEVEN(LEFT(AD213,4)),"Southbound","NorthBound")</f>
        <v>Southbound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-05-03T03:04:26-0600',mode:absolute,to:'2017-05-03T05:21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3" s="192" t="str">
        <f>IF(AA213&lt;IF(AG213="EC",23,5.65),"Y","N")</f>
        <v>Y</v>
      </c>
      <c r="X213" s="192">
        <f>VALUE(LEFT(AD213,4))-VALUE(LEFT(AD212,4))</f>
        <v>1</v>
      </c>
      <c r="Y213" s="192">
        <f>RIGHT(D213,LEN(D213)-4)/10000</f>
        <v>2.3702999999999999</v>
      </c>
      <c r="Z213" s="192">
        <f>RIGHT(H213,LEN(H213)-4)/10000</f>
        <v>1.4500000000000001E-2</v>
      </c>
      <c r="AA213" s="192">
        <f>ABS(Z213-Y213)</f>
        <v>2.3557999999999999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>IF(LEN(A213)=6,"0"&amp;A213,A213)</f>
        <v>0308-03</v>
      </c>
      <c r="AE213" s="80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AF213" s="77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/stypes="app*4015*20170503*" /stext=" 10:.+((SYSTEM_STATE.+slice.+state.+changed )|(ment ac)|(multiple cpu faults)|(system.+state.+changed )|(\[timeout)|(PRM\|1\|D)|(kpr)|(kdp)|(train st.+moving)|(\|lc)|(penalty))"</v>
      </c>
      <c r="AG213" s="1" t="str">
        <f>IFERROR(IF(VALUE(LEFT(AD213,2))&lt;=2,"EC",IF(OR(VALUE(LEFT(AD213,2))=8,VALUE(LEFT(AD213,2))=18),"NW","Other")),"Other")</f>
        <v>Other</v>
      </c>
      <c r="AH213" s="81" t="str">
        <f t="shared" si="22"/>
        <v>"%USERPROFILE%\Documents\GitHub\eaglep3\Utilities\RefineRTDCRunTimes.py" --tripid 308-03 --locoid 4015 --swversion DE.1.0.9.0 --startMP 300:23703 --initTime 2017-05-03T04:04:26 --startdatetime 2017-05-03T04:09:43 --delay 5 --endMP 204:145 --enddatetime 2017-05-03T04:21:41 --enforcementcount 0 &gt;&gt;C:\Users\stu\Documents\GitHub\eaglep3-reporting\EC\2017-05-03-refined-times.txt</v>
      </c>
      <c r="AI213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{"issue":{"subject":"","project_id":79,"tracker_id":40,"status_id":1,"priority_id":2,"assigned_to_id":23,"start_date":"2017-05-03","description":"","custom_fields":[{"id":1,"name":"Subdivision","value":"Other"},{"id":4,"name":"Milepost","value":"0.0145"},{"id":17,"name":"Train ID","value":"308-03"},{"id":16,"name":"Locomotive ID","value":"4015"},{"id":130,"name":"Impact","value":""},{"id":150,"name":"Time of Event (Mountain Time)","value":"04:21:41"},{"id":151,"name":"Denver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24"/>
        <v>start /low /b %USERPROFILE%\Documents\GitHub\eaglep3\Utilities\DownloadLogsFromS3.py --loco 4015 --day 2017-05-03</v>
      </c>
      <c r="AN213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10:21:41"},{"id":29,"name":"Sharepoint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91" x14ac:dyDescent="0.25">
      <c r="A214" s="32" t="s">
        <v>833</v>
      </c>
      <c r="B214" s="7">
        <v>4024</v>
      </c>
      <c r="C214" s="21" t="s">
        <v>210</v>
      </c>
      <c r="D214" s="21" t="s">
        <v>403</v>
      </c>
      <c r="E214" s="13">
        <v>42859.048831018517</v>
      </c>
      <c r="F214" s="13">
        <v>42859.051793981482</v>
      </c>
      <c r="G214" s="7">
        <v>3</v>
      </c>
      <c r="H214" s="21" t="s">
        <v>920</v>
      </c>
      <c r="I214" s="13">
        <v>42859.061018518521</v>
      </c>
      <c r="J214" s="7">
        <v>0</v>
      </c>
      <c r="K214" s="92" t="str">
        <f>IF(ISEVEN(B214),(B214-1)&amp;"/"&amp;B214,B214&amp;"/"&amp;(B214+1))</f>
        <v>4023/4024</v>
      </c>
      <c r="L214" s="21" t="str">
        <f>VLOOKUP(A214,'Trips&amp;Operators'!$C$1:$G$99999,5,FALSE)</f>
        <v>GUZMAN DANNY</v>
      </c>
      <c r="M214" s="6">
        <f>I214-F214</f>
        <v>9.2245370396994986E-3</v>
      </c>
      <c r="N214" s="7">
        <f>24*60*SUM($M214:$M214)</f>
        <v>13.283333337167278</v>
      </c>
      <c r="O214" s="7"/>
      <c r="P214" s="7"/>
      <c r="Q214" s="22"/>
      <c r="R214" s="190"/>
      <c r="S214" s="196">
        <f>SUM(U214:U214)/IF(AG214="EC",12,1)</f>
        <v>1</v>
      </c>
      <c r="T214" s="190" t="str">
        <f>IF(ISEVEN(LEFT(AD214,4)),"Southbound","NorthBound")</f>
        <v>NorthBound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-05-04T00:10:19-0600',mode:absolute,to:'2017-05-04T02:27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14" s="192" t="str">
        <f>IF(AA214&lt;IF(AG214="EC",23,5.65),"Y","N")</f>
        <v>Y</v>
      </c>
      <c r="X214" s="192">
        <f>VALUE(LEFT(AD214,4))-VALUE(LEFT(AD213,4))</f>
        <v>1</v>
      </c>
      <c r="Y214" s="192">
        <f>RIGHT(D214,LEN(D214)-4)/10000</f>
        <v>4.6699999999999998E-2</v>
      </c>
      <c r="Z214" s="192">
        <f>RIGHT(H214,LEN(H214)-4)/10000</f>
        <v>2.331</v>
      </c>
      <c r="AA214" s="192">
        <f>ABS(Z214-Y214)</f>
        <v>2.2843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>IF(LEN(A214)=6,"0"&amp;A214,A214)</f>
        <v>0309-03</v>
      </c>
      <c r="AE214" s="80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 &amp; aws s3 cp s3://rtdc.mdm.uploadarchive.raw/RTDC4024/ "%USERPROFILE%\AppData\Local\Temp\OnboardLogs"\RTDC4024\2017-05-05 --exclude "*" --recursive --include "*20170505*" &amp; "%USERPROFILE%\Documents\GitHub\mrs-test-scripts\Headless Mode &amp; Sideloading\WalkAndUnGZ.bat" "%USERPROFILE%\AppData\Local\Temp\OnboardLogs"\RTDC4024\2017-05-05</v>
      </c>
      <c r="AF214" s="77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/stypes="app*4024*20170504*" /stext=" 07:.+((SYSTEM_STATE.+slice.+state.+changed )|(ment ac)|(multiple cpu faults)|(system.+state.+changed )|(\[timeout)|(PRM\|1\|D)|(kpr)|(kdp)|(train st.+moving)|(\|lc)|(penalty))"</v>
      </c>
      <c r="AG214" s="1" t="str">
        <f>IFERROR(IF(VALUE(LEFT(AD214,2))&lt;=2,"EC",IF(OR(VALUE(LEFT(AD214,2))=8,VALUE(LEFT(AD214,2))=18),"NW","Other")),"Other")</f>
        <v>Other</v>
      </c>
      <c r="AH214" s="81" t="str">
        <f t="shared" si="22"/>
        <v>"%USERPROFILE%\Documents\GitHub\eaglep3\Utilities\RefineRTDCRunTimes.py" --tripid 309-03 --locoid 4024 --swversion DE.1.0.9.0 --startMP 204:467 --initTime 2017-05-04T01:10:19 --startdatetime 2017-05-04T01:14:35 --delay 3 --endMP 300:23310 --enddatetime 2017-05-04T01:27:52 --enforcementcount 0 &gt;&gt;C:\Users\stu\Documents\GitHub\eaglep3-reporting\EC\2017-05-03-refined-times.txt</v>
      </c>
      <c r="AI214" s="99" t="str">
        <f t="shared" si="23"/>
        <v>echo {"issue":{"subject":"","project_id":79,"tracker_id":40,"status_id":1,"priority_id":2,"assigned_to_id":23,"start_date":"2017-05-04","description":"","custom_fields":[{"id":1,"name":"Subdivision","value":"Other"},{"id":4,"name":"Milepost","value":"2.331"},{"id":17,"name":"Train ID","value":"309-03"},{"id":16,"name":"Locomotive ID","value":"4024"},{"id":130,"name":"Impact","value":""},{"id":150,"name":"Time of Event (Mountain Time)","value":"01:27:52"},{"id":151,"name":"Denver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5" t="str">
        <f t="shared" si="24"/>
        <v>start /low /b %USERPROFILE%\Documents\GitHub\eaglep3\Utilities\DownloadLogsFromS3.py --loco 4024 --day 2017-05-04</v>
      </c>
      <c r="AN214" s="154" t="str">
        <f t="shared" si="25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07:27:52"},{"id":29,"name":"Sharepoint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91" x14ac:dyDescent="0.25">
      <c r="A215" s="32" t="s">
        <v>629</v>
      </c>
      <c r="B215" s="7">
        <v>4017</v>
      </c>
      <c r="C215" s="21" t="s">
        <v>210</v>
      </c>
      <c r="D215" s="21" t="s">
        <v>921</v>
      </c>
      <c r="E215" s="13">
        <v>42858.18241898148</v>
      </c>
      <c r="F215" s="13">
        <v>42858.187418981484</v>
      </c>
      <c r="G215" s="7">
        <v>7</v>
      </c>
      <c r="H215" s="21" t="s">
        <v>508</v>
      </c>
      <c r="I215" s="13">
        <v>42858.192118055558</v>
      </c>
      <c r="J215" s="7">
        <v>0</v>
      </c>
      <c r="K215" s="92" t="str">
        <f>IF(ISEVEN(B215),(B215-1)&amp;"/"&amp;B215,B215&amp;"/"&amp;(B215+1))</f>
        <v>4017/4018</v>
      </c>
      <c r="L215" s="21" t="str">
        <f>VLOOKUP(A215,'Trips&amp;Operators'!$C$1:$G$99999,5,FALSE)</f>
        <v>SANTIZO D. EDY</v>
      </c>
      <c r="M215" s="6">
        <f>I215-F215</f>
        <v>4.6990740738692693E-3</v>
      </c>
      <c r="N215" s="7">
        <f>24*60*SUM($M215:$M215)</f>
        <v>6.7666666663717479</v>
      </c>
      <c r="O215" s="7"/>
      <c r="P215" s="7"/>
      <c r="Q215" s="22"/>
      <c r="R215" s="190"/>
      <c r="S215" s="196">
        <f>SUM(U215:U215)/IF(AG215="EC",12,1)</f>
        <v>1</v>
      </c>
      <c r="T215" s="190" t="str">
        <f>IF(ISEVEN(LEFT(AD215,4)),"Southbound","NorthBound")</f>
        <v>Southbound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-05-03T03:22:41-0600',mode:absolute,to:'2017-05-03T05:36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15" s="192" t="str">
        <f>IF(AA215&lt;IF(AG215="EC",23,5.65),"Y","N")</f>
        <v>Y</v>
      </c>
      <c r="X215" s="192">
        <f>VALUE(LEFT(AD215,4))-VALUE(LEFT(AD214,4))</f>
        <v>1</v>
      </c>
      <c r="Y215" s="192">
        <f>RIGHT(D215,LEN(D215)-4)/10000</f>
        <v>1.9466000000000001</v>
      </c>
      <c r="Z215" s="192">
        <f>RIGHT(H215,LEN(H215)-4)/10000</f>
        <v>1.47E-2</v>
      </c>
      <c r="AA215" s="192">
        <f>ABS(Z215-Y215)</f>
        <v>1.9319000000000002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>IF(LEN(A215)=6,"0"&amp;A215,A215)</f>
        <v>0310-03</v>
      </c>
      <c r="AE215" s="80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AF215" s="77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/stypes="app*4017*20170503*" /stext=" 10:.+((SYSTEM_STATE.+slice.+state.+changed )|(ment ac)|(multiple cpu faults)|(system.+state.+changed )|(\[timeout)|(PRM\|1\|D)|(kpr)|(kdp)|(train st.+moving)|(\|lc)|(penalty))"</v>
      </c>
      <c r="AG215" s="1" t="str">
        <f>IFERROR(IF(VALUE(LEFT(AD215,2))&lt;=2,"EC",IF(OR(VALUE(LEFT(AD215,2))=8,VALUE(LEFT(AD215,2))=18),"NW","Other")),"Other")</f>
        <v>Other</v>
      </c>
      <c r="AH215" s="81" t="str">
        <f t="shared" si="22"/>
        <v>"%USERPROFILE%\Documents\GitHub\eaglep3\Utilities\RefineRTDCRunTimes.py" --tripid 310-03 --locoid 4017 --swversion DE.1.0.9.0 --startMP 300:19466 --initTime 2017-05-03T04:22:41 --startdatetime 2017-05-03T04:29:53 --delay 7 --endMP 204:147 --enddatetime 2017-05-03T04:36:39 --enforcementcount 0 &gt;&gt;C:\Users\stu\Documents\GitHub\eaglep3-reporting\EC\2017-05-03-refined-times.txt</v>
      </c>
      <c r="AI215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{"issue":{"subject":"","project_id":79,"tracker_id":40,"status_id":1,"priority_id":2,"assigned_to_id":23,"start_date":"2017-05-03","description":"","custom_fields":[{"id":1,"name":"Subdivision","value":"Other"},{"id":4,"name":"Milepost","value":"0.0147"},{"id":17,"name":"Train ID","value":"310-03"},{"id":16,"name":"Locomotive ID","value":"4017"},{"id":130,"name":"Impact","value":""},{"id":150,"name":"Time of Event (Mountain Time)","value":"04:36:39"},{"id":151,"name":"Denver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24"/>
        <v>start /low /b %USERPROFILE%\Documents\GitHub\eaglep3\Utilities\DownloadLogsFromS3.py --loco 4017 --day 2017-05-03</v>
      </c>
      <c r="AN215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10:36:39"},{"id":29,"name":"Sharepoint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91" x14ac:dyDescent="0.25">
      <c r="A216" s="32" t="s">
        <v>834</v>
      </c>
      <c r="B216" s="7">
        <v>4030</v>
      </c>
      <c r="C216" s="21" t="s">
        <v>210</v>
      </c>
      <c r="D216" s="21" t="s">
        <v>448</v>
      </c>
      <c r="E216" s="13">
        <v>42859.06890046296</v>
      </c>
      <c r="F216" s="13">
        <v>42859.070243055554</v>
      </c>
      <c r="G216" s="7">
        <v>1</v>
      </c>
      <c r="H216" s="21" t="s">
        <v>414</v>
      </c>
      <c r="I216" s="13">
        <v>42859.077384259261</v>
      </c>
      <c r="J216" s="7">
        <v>0</v>
      </c>
      <c r="K216" s="92" t="str">
        <f>IF(ISEVEN(B216),(B216-1)&amp;"/"&amp;B216,B216&amp;"/"&amp;(B216+1))</f>
        <v>4029/4030</v>
      </c>
      <c r="L216" s="21" t="str">
        <f>VLOOKUP(A216,'Trips&amp;Operators'!$C$1:$G$99999,5,FALSE)</f>
        <v>BROWN JACOB</v>
      </c>
      <c r="M216" s="6">
        <f>I216-F216</f>
        <v>7.1412037068512291E-3</v>
      </c>
      <c r="N216" s="7">
        <f>24*60*SUM($M216:$M216)</f>
        <v>10.28333333786577</v>
      </c>
      <c r="O216" s="7"/>
      <c r="P216" s="7"/>
      <c r="Q216" s="22"/>
      <c r="R216" s="190"/>
      <c r="S216" s="196">
        <f>SUM(U216:U216)/IF(AG216="EC",12,1)</f>
        <v>1</v>
      </c>
      <c r="T216" s="190" t="str">
        <f>IF(ISEVEN(LEFT(AD216,4)),"Southbound","NorthBound")</f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1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-05-04T00:39:13-0600',mode:absolute,to:'2017-05-04T02:51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6" s="192" t="str">
        <f>IF(AA216&lt;IF(AG216="EC",23,5.65),"Y","N")</f>
        <v>Y</v>
      </c>
      <c r="X216" s="192">
        <f>VALUE(LEFT(AD216,4))-VALUE(LEFT(AD215,4))</f>
        <v>1</v>
      </c>
      <c r="Y216" s="192">
        <f>RIGHT(D216,LEN(D216)-4)/10000</f>
        <v>4.4699999999999997E-2</v>
      </c>
      <c r="Z216" s="192">
        <f>RIGHT(H216,LEN(H216)-4)/10000</f>
        <v>2.3346</v>
      </c>
      <c r="AA216" s="192">
        <f>ABS(Z216-Y216)</f>
        <v>2.2898999999999998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>IF(LEN(A216)=6,"0"&amp;A216,A216)</f>
        <v>0311-03</v>
      </c>
      <c r="AE216" s="80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 &amp; aws s3 cp s3://rtdc.mdm.uploadarchive.raw/RTDC4030/ "%USERPROFILE%\AppData\Local\Temp\OnboardLogs"\RTDC4030\2017-05-05 --exclude "*" --recursive --include "*20170505*" &amp; "%USERPROFILE%\Documents\GitHub\mrs-test-scripts\Headless Mode &amp; Sideloading\WalkAndUnGZ.bat" "%USERPROFILE%\AppData\Local\Temp\OnboardLogs"\RTDC4030\2017-05-05</v>
      </c>
      <c r="AF216" s="77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/stypes="app*4030*20170504*" /stext=" 07:.+((SYSTEM_STATE.+slice.+state.+changed )|(ment ac)|(multiple cpu faults)|(system.+state.+changed )|(\[timeout)|(PRM\|1\|D)|(kpr)|(kdp)|(train st.+moving)|(\|lc)|(penalty))"</v>
      </c>
      <c r="AG216" s="1" t="str">
        <f>IFERROR(IF(VALUE(LEFT(AD216,2))&lt;=2,"EC",IF(OR(VALUE(LEFT(AD216,2))=8,VALUE(LEFT(AD216,2))=18),"NW","Other")),"Other")</f>
        <v>Other</v>
      </c>
      <c r="AH216" s="81" t="str">
        <f t="shared" si="22"/>
        <v>"%USERPROFILE%\Documents\GitHub\eaglep3\Utilities\RefineRTDCRunTimes.py" --tripid 311-03 --locoid 4030 --swversion DE.1.0.9.0 --startMP 204:447 --initTime 2017-05-04T01:39:13 --startdatetime 2017-05-04T01:41:09 --delay 1 --endMP 300:23346 --enddatetime 2017-05-04T01:51:26 --enforcementcount 0 &gt;&gt;C:\Users\stu\Documents\GitHub\eaglep3-reporting\EC\2017-05-03-refined-times.txt</v>
      </c>
      <c r="AI216" s="99" t="str">
        <f t="shared" si="23"/>
        <v>echo {"issue":{"subject":"","project_id":79,"tracker_id":40,"status_id":1,"priority_id":2,"assigned_to_id":23,"start_date":"2017-05-04","description":"","custom_fields":[{"id":1,"name":"Subdivision","value":"Other"},{"id":4,"name":"Milepost","value":"2.3346"},{"id":17,"name":"Train ID","value":"311-03"},{"id":16,"name":"Locomotive ID","value":"4030"},{"id":130,"name":"Impact","value":""},{"id":150,"name":"Time of Event (Mountain Time)","value":"01:51:26"},{"id":151,"name":"Denver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24"/>
        <v>start /low /b %USERPROFILE%\Documents\GitHub\eaglep3\Utilities\DownloadLogsFromS3.py --loco 4030 --day 2017-05-04</v>
      </c>
      <c r="AN216" s="154" t="str">
        <f t="shared" si="25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07:51:26"},{"id":29,"name":"Sharepoint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91" x14ac:dyDescent="0.25">
      <c r="A217" s="32" t="s">
        <v>537</v>
      </c>
      <c r="B217" s="7">
        <v>4022</v>
      </c>
      <c r="C217" s="21" t="s">
        <v>210</v>
      </c>
      <c r="D217" s="21" t="s">
        <v>550</v>
      </c>
      <c r="E217" s="13">
        <v>42858.091932870368</v>
      </c>
      <c r="F217" s="13">
        <v>42858.093101851853</v>
      </c>
      <c r="G217" s="7">
        <v>1</v>
      </c>
      <c r="H217" s="21" t="s">
        <v>561</v>
      </c>
      <c r="I217" s="13">
        <v>42858.108831018515</v>
      </c>
      <c r="J217" s="7">
        <v>0</v>
      </c>
      <c r="K217" s="92" t="str">
        <f>IF(ISEVEN(B217),(B217-1)&amp;"/"&amp;B217,B217&amp;"/"&amp;(B217+1))</f>
        <v>4021/4022</v>
      </c>
      <c r="L217" s="21" t="str">
        <f>VLOOKUP(A217,'Trips&amp;Operators'!$C$1:$G$99999,5,FALSE)</f>
        <v>STAMBAUGH JAMES</v>
      </c>
      <c r="M217" s="6">
        <f>I217-F217</f>
        <v>1.5729166661913041E-2</v>
      </c>
      <c r="N217" s="7">
        <f>24*60*SUM($M217:$M217)</f>
        <v>22.649999993154779</v>
      </c>
      <c r="O217" s="7"/>
      <c r="P217" s="7"/>
      <c r="Q217" s="22"/>
      <c r="R217" s="190"/>
      <c r="S217" s="196">
        <f>SUM(U217:U217)/IF(AG217="EC",12,1)</f>
        <v>1</v>
      </c>
      <c r="T217" s="190" t="str">
        <f>IF(ISEVEN(LEFT(AD217,4)),"Southbound","NorthBound")</f>
        <v>NorthBound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1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-05-03T01:12:23-0600',mode:absolute,to:'2017-05-03T03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7" s="192" t="str">
        <f>IF(AA217&lt;IF(AG217="EC",23,5.65),"Y","N")</f>
        <v>Y</v>
      </c>
      <c r="X217" s="192">
        <f>VALUE(LEFT(AD217,4))-VALUE(LEFT(AD216,4))</f>
        <v>2</v>
      </c>
      <c r="Y217" s="192">
        <f>RIGHT(D217,LEN(D217)-4)/10000</f>
        <v>4.7300000000000002E-2</v>
      </c>
      <c r="Z217" s="192">
        <f>RIGHT(H217,LEN(H217)-4)/10000</f>
        <v>2.3311999999999999</v>
      </c>
      <c r="AA217" s="192">
        <f>ABS(Z217-Y217)</f>
        <v>2.2839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>IF(LEN(A217)=6,"0"&amp;A217,A217)</f>
        <v>0313-02</v>
      </c>
      <c r="AE217" s="80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s3://rtdc.mdm.uploadarchive.raw/RTDC4022/ "%USERPROFILE%\AppData\Local\Temp\OnboardLogs"\RTDC4022\2017-05-03 --exclude "*" --recursive --include "*20170503*" &amp; "%USERPROFILE%\Documents\GitHub\mrs-test-scripts\Headless Mode &amp; Sideloading\WalkAndUnGZ.bat" "%USERPROFILE%\AppData\Local\Temp\OnboardLogs"\RTDC4022\2017-05-03 &amp; aws s3 cp s3://rtdc.mdm.uploadarchive.raw/RTDC4022/ "%USERPROFILE%\AppData\Local\Temp\OnboardLogs"\RTDC4022\2017-05-04 --exclude "*" --recursive --include "*20170504*" &amp; "%USERPROFILE%\Documents\GitHub\mrs-test-scripts\Headless Mode &amp; Sideloading\WalkAndUnGZ.bat" "%USERPROFILE%\AppData\Local\Temp\OnboardLogs"\RTDC4022\2017-05-04</v>
      </c>
      <c r="AF217" s="77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/stypes="app*4022*20170503*" /stext=" 08:.+((SYSTEM_STATE.+slice.+state.+changed )|(ment ac)|(multiple cpu faults)|(system.+state.+changed )|(\[timeout)|(PRM\|1\|D)|(kpr)|(kdp)|(train st.+moving)|(\|lc)|(penalty))"</v>
      </c>
      <c r="AG217" s="1" t="str">
        <f>IFERROR(IF(VALUE(LEFT(AD217,2))&lt;=2,"EC",IF(OR(VALUE(LEFT(AD217,2))=8,VALUE(LEFT(AD217,2))=18),"NW","Other")),"Other")</f>
        <v>Other</v>
      </c>
      <c r="AH217" s="81" t="str">
        <f t="shared" si="22"/>
        <v>"%USERPROFILE%\Documents\GitHub\eaglep3\Utilities\RefineRTDCRunTimes.py" --tripid 313-02 --locoid 4022 --swversion DE.1.0.9.0 --startMP 204:473 --initTime 2017-05-03T02:12:23 --startdatetime 2017-05-03T02:14:04 --delay 1 --endMP 300:23312 --enddatetime 2017-05-03T02:36:43 --enforcementcount 0 &gt;&gt;C:\Users\stu\Documents\GitHub\eaglep3-reporting\EC\2017-05-03-refined-times.txt</v>
      </c>
      <c r="AI217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{"issue":{"subject":"","project_id":79,"tracker_id":40,"status_id":1,"priority_id":2,"assigned_to_id":23,"start_date":"2017-05-03","description":"","custom_fields":[{"id":1,"name":"Subdivision","value":"Other"},{"id":4,"name":"Milepost","value":"2.3312"},{"id":17,"name":"Train ID","value":"313-02"},{"id":16,"name":"Locomotive ID","value":"4022"},{"id":130,"name":"Impact","value":""},{"id":150,"name":"Time of Event (Mountain Time)","value":"02:36:43"},{"id":151,"name":"Denver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24"/>
        <v>start /low /b %USERPROFILE%\Documents\GitHub\eaglep3\Utilities\DownloadLogsFromS3.py --loco 4022 --day 2017-05-03</v>
      </c>
      <c r="AN217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08:36:43"},{"id":29,"name":"Sharepoint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91" x14ac:dyDescent="0.25">
      <c r="A218" s="32" t="s">
        <v>835</v>
      </c>
      <c r="B218" s="7">
        <v>4016</v>
      </c>
      <c r="C218" s="21" t="s">
        <v>210</v>
      </c>
      <c r="D218" s="21" t="s">
        <v>419</v>
      </c>
      <c r="E218" s="13">
        <v>42859.090983796297</v>
      </c>
      <c r="F218" s="13">
        <v>42859.092349537037</v>
      </c>
      <c r="G218" s="7">
        <v>1</v>
      </c>
      <c r="H218" s="21" t="s">
        <v>440</v>
      </c>
      <c r="I218" s="13">
        <v>42859.098379629628</v>
      </c>
      <c r="J218" s="7">
        <v>0</v>
      </c>
      <c r="K218" s="92" t="str">
        <f>IF(ISEVEN(B218),(B218-1)&amp;"/"&amp;B218,B218&amp;"/"&amp;(B218+1))</f>
        <v>4015/4016</v>
      </c>
      <c r="L218" s="21" t="str">
        <f>VLOOKUP(A218,'Trips&amp;Operators'!$C$1:$G$99999,5,FALSE)</f>
        <v>NEWELL JAMES</v>
      </c>
      <c r="M218" s="6">
        <f>I218-F218</f>
        <v>6.0300925906631164E-3</v>
      </c>
      <c r="N218" s="7">
        <f>24*60*SUM($M218:$M218)</f>
        <v>8.6833333305548877</v>
      </c>
      <c r="O218" s="7"/>
      <c r="P218" s="7"/>
      <c r="Q218" s="22"/>
      <c r="R218" s="190"/>
      <c r="S218" s="196">
        <f>SUM(U218:U218)/IF(AG218="EC",12,1)</f>
        <v>1</v>
      </c>
      <c r="T218" s="190" t="str">
        <f>IF(ISEVEN(LEFT(AD218,4)),"Southbound","NorthBound")</f>
        <v>NorthBound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-05-04T01:11:01-0600',mode:absolute,to:'2017-05-04T03:21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8" s="192" t="str">
        <f>IF(AA218&lt;IF(AG218="EC",23,5.65),"Y","N")</f>
        <v>Y</v>
      </c>
      <c r="X218" s="192">
        <f>VALUE(LEFT(AD218,4))-VALUE(LEFT(AD217,4))</f>
        <v>0</v>
      </c>
      <c r="Y218" s="192">
        <f>RIGHT(D218,LEN(D218)-4)/10000</f>
        <v>4.6399999999999997E-2</v>
      </c>
      <c r="Z218" s="192">
        <f>RIGHT(H218,LEN(H218)-4)/10000</f>
        <v>2.3304</v>
      </c>
      <c r="AA218" s="192">
        <f>ABS(Z218-Y218)</f>
        <v>2.2839999999999998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>IF(LEN(A218)=6,"0"&amp;A218,A218)</f>
        <v>0313-03</v>
      </c>
      <c r="AE218" s="80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 &amp; aws s3 cp s3://rtdc.mdm.uploadarchive.raw/RTDC4016/ "%USERPROFILE%\AppData\Local\Temp\OnboardLogs"\RTDC4016\2017-05-05 --exclude "*" --recursive --include "*20170505*" &amp; "%USERPROFILE%\Documents\GitHub\mrs-test-scripts\Headless Mode &amp; Sideloading\WalkAndUnGZ.bat" "%USERPROFILE%\AppData\Local\Temp\OnboardLogs"\RTDC4016\2017-05-05</v>
      </c>
      <c r="AF218" s="77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/stypes="app*4016*20170504*" /stext=" 08:.+((SYSTEM_STATE.+slice.+state.+changed )|(ment ac)|(multiple cpu faults)|(system.+state.+changed )|(\[timeout)|(PRM\|1\|D)|(kpr)|(kdp)|(train st.+moving)|(\|lc)|(penalty))"</v>
      </c>
      <c r="AG218" s="1" t="str">
        <f>IFERROR(IF(VALUE(LEFT(AD218,2))&lt;=2,"EC",IF(OR(VALUE(LEFT(AD218,2))=8,VALUE(LEFT(AD218,2))=18),"NW","Other")),"Other")</f>
        <v>Other</v>
      </c>
      <c r="AH218" s="81" t="str">
        <f t="shared" si="22"/>
        <v>"%USERPROFILE%\Documents\GitHub\eaglep3\Utilities\RefineRTDCRunTimes.py" --tripid 313-03 --locoid 4016 --swversion DE.1.0.9.0 --startMP 204:464 --initTime 2017-05-04T02:11:01 --startdatetime 2017-05-04T02:12:59 --delay 1 --endMP 300:23304 --enddatetime 2017-05-04T02:21:40 --enforcementcount 0 &gt;&gt;C:\Users\stu\Documents\GitHub\eaglep3-reporting\EC\2017-05-03-refined-times.txt</v>
      </c>
      <c r="AI218" s="99" t="str">
        <f t="shared" si="23"/>
        <v>echo {"issue":{"subject":"","project_id":79,"tracker_id":40,"status_id":1,"priority_id":2,"assigned_to_id":23,"start_date":"2017-05-04","description":"","custom_fields":[{"id":1,"name":"Subdivision","value":"Other"},{"id":4,"name":"Milepost","value":"2.3304"},{"id":17,"name":"Train ID","value":"313-03"},{"id":16,"name":"Locomotive ID","value":"4016"},{"id":130,"name":"Impact","value":""},{"id":150,"name":"Time of Event (Mountain Time)","value":"02:21:40"},{"id":151,"name":"Denver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24"/>
        <v>start /low /b %USERPROFILE%\Documents\GitHub\eaglep3\Utilities\DownloadLogsFromS3.py --loco 4016 --day 2017-05-04</v>
      </c>
      <c r="AN218" s="154" t="str">
        <f t="shared" si="25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08:21:40"},{"id":29,"name":"Sharepoint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91" x14ac:dyDescent="0.25">
      <c r="A219" s="32" t="s">
        <v>830</v>
      </c>
      <c r="B219" s="7">
        <v>4028</v>
      </c>
      <c r="C219" s="21" t="s">
        <v>210</v>
      </c>
      <c r="D219" s="21" t="s">
        <v>419</v>
      </c>
      <c r="E219" s="13">
        <v>42859.030416666668</v>
      </c>
      <c r="F219" s="13">
        <v>42859.032418981478</v>
      </c>
      <c r="G219" s="7">
        <v>2</v>
      </c>
      <c r="H219" s="21" t="s">
        <v>424</v>
      </c>
      <c r="I219" s="13">
        <v>42859.040833333333</v>
      </c>
      <c r="J219" s="7">
        <v>0</v>
      </c>
      <c r="K219" s="92" t="str">
        <f>IF(ISEVEN(B219),(B219-1)&amp;"/"&amp;B219,B219&amp;"/"&amp;(B219+1))</f>
        <v>4027/4028</v>
      </c>
      <c r="L219" s="21" t="str">
        <f>VLOOKUP(A219,'Trips&amp;Operators'!$C$1:$G$99999,5,FALSE)</f>
        <v>SWANSON BRYCE</v>
      </c>
      <c r="M219" s="6">
        <f>I219-F219</f>
        <v>8.4143518542987294E-3</v>
      </c>
      <c r="N219" s="7">
        <f>24*60*SUM($M219:$M219)</f>
        <v>12.11666667019017</v>
      </c>
      <c r="O219" s="7"/>
      <c r="P219" s="7"/>
      <c r="Q219" s="22"/>
      <c r="R219" s="190"/>
      <c r="S219" s="196">
        <f>SUM(U219:U219)/IF(AG219="EC",12,1)</f>
        <v>1</v>
      </c>
      <c r="T219" s="190" t="str">
        <f>IF(ISEVEN(LEFT(AD219,4)),"Southbound","NorthBound")</f>
        <v>NorthBound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1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-05-03T23:43:48-0600',mode:absolute,to:'2017-05-04T01:58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9" s="192" t="str">
        <f>IF(AA219&lt;IF(AG219="EC",23,5.65),"Y","N")</f>
        <v>Y</v>
      </c>
      <c r="X219" s="192">
        <f>VALUE(LEFT(AD219,4))-VALUE(LEFT(AD218,4))</f>
        <v>2</v>
      </c>
      <c r="Y219" s="192">
        <f>RIGHT(D219,LEN(D219)-4)/10000</f>
        <v>4.6399999999999997E-2</v>
      </c>
      <c r="Z219" s="192">
        <f>RIGHT(H219,LEN(H219)-4)/10000</f>
        <v>2.3302</v>
      </c>
      <c r="AA219" s="192">
        <f>ABS(Z219-Y219)</f>
        <v>2.2838000000000003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>IF(LEN(A219)=6,"0"&amp;A219,A219)</f>
        <v>0315-03</v>
      </c>
      <c r="AE219" s="80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s3://rtdc.mdm.uploadarchive.raw/RTDC4028/ "%USERPROFILE%\AppData\Local\Temp\OnboardLogs"\RTDC4028\2017-05-04 --exclude "*" --recursive --include "*20170504*" &amp; "%USERPROFILE%\Documents\GitHub\mrs-test-scripts\Headless Mode &amp; Sideloading\WalkAndUnGZ.bat" "%USERPROFILE%\AppData\Local\Temp\OnboardLogs"\RTDC4028\2017-05-04 &amp; aws s3 cp s3://rtdc.mdm.uploadarchive.raw/RTDC4028/ "%USERPROFILE%\AppData\Local\Temp\OnboardLogs"\RTDC4028\2017-05-05 --exclude "*" --recursive --include "*20170505*" &amp; "%USERPROFILE%\Documents\GitHub\mrs-test-scripts\Headless Mode &amp; Sideloading\WalkAndUnGZ.bat" "%USERPROFILE%\AppData\Local\Temp\OnboardLogs"\RTDC4028\2017-05-05</v>
      </c>
      <c r="AF219" s="77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/stypes="app*4028*20170504*" /stext=" 06:.+((SYSTEM_STATE.+slice.+state.+changed )|(ment ac)|(multiple cpu faults)|(system.+state.+changed )|(\[timeout)|(PRM\|1\|D)|(kpr)|(kdp)|(train st.+moving)|(\|lc)|(penalty))"</v>
      </c>
      <c r="AG219" s="1" t="str">
        <f>IFERROR(IF(VALUE(LEFT(AD219,2))&lt;=2,"EC",IF(OR(VALUE(LEFT(AD219,2))=8,VALUE(LEFT(AD219,2))=18),"NW","Other")),"Other")</f>
        <v>Other</v>
      </c>
      <c r="AH219" s="81" t="str">
        <f t="shared" si="22"/>
        <v>"%USERPROFILE%\Documents\GitHub\eaglep3\Utilities\RefineRTDCRunTimes.py" --tripid 315-03 --locoid 4028 --swversion DE.1.0.9.0 --startMP 204:464 --initTime 2017-05-04T00:43:48 --startdatetime 2017-05-04T00:46:41 --delay 2 --endMP 300:23302 --enddatetime 2017-05-04T00:58:48 --enforcementcount 0 &gt;&gt;C:\Users\stu\Documents\GitHub\eaglep3-reporting\EC\2017-05-03-refined-times.txt</v>
      </c>
      <c r="AI219" s="99" t="str">
        <f t="shared" si="23"/>
        <v>echo {"issue":{"subject":"","project_id":79,"tracker_id":40,"status_id":1,"priority_id":2,"assigned_to_id":23,"start_date":"2017-05-04","description":"","custom_fields":[{"id":1,"name":"Subdivision","value":"Other"},{"id":4,"name":"Milepost","value":"2.3302"},{"id":17,"name":"Train ID","value":"315-03"},{"id":16,"name":"Locomotive ID","value":"4028"},{"id":130,"name":"Impact","value":""},{"id":150,"name":"Time of Event (Mountain Time)","value":"00:58:48"},{"id":151,"name":"Denver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24"/>
        <v>start /low /b %USERPROFILE%\Documents\GitHub\eaglep3\Utilities\DownloadLogsFromS3.py --loco 4028 --day 2017-05-04</v>
      </c>
      <c r="AN219" s="154" t="str">
        <f t="shared" si="25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06:58:48"},{"id":29,"name":"Sharepoint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91" x14ac:dyDescent="0.25">
      <c r="A220" s="32" t="s">
        <v>639</v>
      </c>
      <c r="B220" s="7">
        <v>4032</v>
      </c>
      <c r="C220" s="21" t="s">
        <v>210</v>
      </c>
      <c r="D220" s="21" t="s">
        <v>994</v>
      </c>
      <c r="E220" s="13">
        <v>42858.205474537041</v>
      </c>
      <c r="F220" s="13">
        <v>42858.208240740743</v>
      </c>
      <c r="G220" s="7">
        <v>3</v>
      </c>
      <c r="H220" s="21" t="s">
        <v>564</v>
      </c>
      <c r="I220" s="13">
        <v>42858.213634259257</v>
      </c>
      <c r="J220" s="7">
        <v>0</v>
      </c>
      <c r="K220" s="92" t="str">
        <f>IF(ISEVEN(B220),(B220-1)&amp;"/"&amp;B220,B220&amp;"/"&amp;(B220+1))</f>
        <v>4031/4032</v>
      </c>
      <c r="L220" s="21" t="str">
        <f>VLOOKUP(A220,'Trips&amp;Operators'!$C$1:$G$99999,5,FALSE)</f>
        <v>YORK EDGAR</v>
      </c>
      <c r="M220" s="6">
        <f>I220-F220</f>
        <v>5.3935185133013874E-3</v>
      </c>
      <c r="N220" s="7">
        <f>24*60*SUM($M220:$M220)</f>
        <v>7.7666666591539979</v>
      </c>
      <c r="O220" s="7"/>
      <c r="P220" s="7"/>
      <c r="Q220" s="22"/>
      <c r="R220" s="190"/>
      <c r="S220" s="196">
        <f>SUM(U220:U220)/IF(AG220="EC",12,1)</f>
        <v>0</v>
      </c>
      <c r="T220" s="190" t="str">
        <f>IF(ISEVEN(LEFT(AD220,4)),"Southbound","NorthBound")</f>
        <v>NorthBound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-05-03T03:55:53-0600',mode:absolute,to:'2017-05-03T06:07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0" s="192" t="str">
        <f>IF(AA220&lt;IF(AG220="EC",23,5.65),"Y","N")</f>
        <v>Y</v>
      </c>
      <c r="X220" s="192">
        <f>VALUE(LEFT(AD220,4))-VALUE(LEFT(AD219,4))</f>
        <v>586</v>
      </c>
      <c r="Y220" s="192">
        <f>RIGHT(D220,LEN(D220)-4)/10000</f>
        <v>3.0226000000000002</v>
      </c>
      <c r="Z220" s="192">
        <f>RIGHT(H220,LEN(H220)-4)/10000</f>
        <v>5.8935000000000004</v>
      </c>
      <c r="AA220" s="192">
        <f>ABS(Z220-Y220)</f>
        <v>2.8709000000000002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>IF(LEN(A220)=6,"0"&amp;A220,A220)</f>
        <v>0901-03</v>
      </c>
      <c r="AE220" s="80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AF220" s="77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/stypes="app*4032*20170503*" /stext=" 11:.+((SYSTEM_STATE.+slice.+state.+changed )|(ment ac)|(multiple cpu faults)|(system.+state.+changed )|(\[timeout)|(PRM\|1\|D)|(kpr)|(kdp)|(train st.+moving)|(\|lc)|(penalty))"</v>
      </c>
      <c r="AG220" s="1" t="str">
        <f>IFERROR(IF(VALUE(LEFT(AD220,2))&lt;=2,"EC",IF(OR(VALUE(LEFT(AD220,2))=8,VALUE(LEFT(AD220,2))=18),"NW","Other")),"Other")</f>
        <v>Other</v>
      </c>
      <c r="AH220" s="81" t="str">
        <f t="shared" si="22"/>
        <v>"%USERPROFILE%\Documents\GitHub\eaglep3\Utilities\RefineRTDCRunTimes.py" --tripid 901-03 --locoid 4032 --swversion DE.1.0.9.0 --startMP 300:30226 --initTime 2017-05-03T04:55:53 --startdatetime 2017-05-03T04:59:52 --delay 3 --endMP 300:58935 --enddatetime 2017-05-03T05:07:38 --enforcementcount 0 &gt;&gt;C:\Users\stu\Documents\GitHub\eaglep3-reporting\EC\2017-05-03-refined-times.txt</v>
      </c>
      <c r="AI220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{"issue":{"subject":"","project_id":79,"tracker_id":40,"status_id":1,"priority_id":2,"assigned_to_id":23,"start_date":"2017-05-03","description":"","custom_fields":[{"id":1,"name":"Subdivision","value":"Other"},{"id":4,"name":"Milepost","value":"5.8935"},{"id":17,"name":"Train ID","value":"901-03"},{"id":16,"name":"Locomotive ID","value":"4032"},{"id":130,"name":"Impact","value":""},{"id":150,"name":"Time of Event (Mountain Time)","value":"05:07:38"},{"id":151,"name":"Denver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24"/>
        <v>start /low /b %USERPROFILE%\Documents\GitHub\eaglep3\Utilities\DownloadLogsFromS3.py --loco 4032 --day 2017-05-03</v>
      </c>
      <c r="AN220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11:07:38"},{"id":29,"name":"Sharepoint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91" x14ac:dyDescent="0.25">
      <c r="A221" s="32" t="s">
        <v>653</v>
      </c>
      <c r="B221" s="7">
        <v>4005</v>
      </c>
      <c r="C221" s="21" t="s">
        <v>210</v>
      </c>
      <c r="D221" s="21" t="s">
        <v>929</v>
      </c>
      <c r="E221" s="13">
        <v>42858.254421296297</v>
      </c>
      <c r="F221" s="13">
        <v>42858.256307870368</v>
      </c>
      <c r="G221" s="7">
        <v>2</v>
      </c>
      <c r="H221" s="21" t="s">
        <v>566</v>
      </c>
      <c r="I221" s="13">
        <v>42858.261180555557</v>
      </c>
      <c r="J221" s="7">
        <v>0</v>
      </c>
      <c r="K221" s="92" t="str">
        <f>IF(ISEVEN(B221),(B221-1)&amp;"/"&amp;B221,B221&amp;"/"&amp;(B221+1))</f>
        <v>4005/4006</v>
      </c>
      <c r="L221" s="21" t="str">
        <f>VLOOKUP(A221,'Trips&amp;Operators'!$C$1:$G$99999,5,FALSE)</f>
        <v>LOZA FIDEL</v>
      </c>
      <c r="M221" s="6">
        <f>I221-F221</f>
        <v>4.8726851891842671E-3</v>
      </c>
      <c r="N221" s="7">
        <f>24*60*SUM($M221:$M221)</f>
        <v>7.0166666724253446</v>
      </c>
      <c r="O221" s="7"/>
      <c r="P221" s="7"/>
      <c r="Q221" s="22"/>
      <c r="R221" s="190"/>
      <c r="S221" s="196">
        <f>SUM(U221:U221)/IF(AG221="EC",12,1)</f>
        <v>1</v>
      </c>
      <c r="T221" s="190" t="str">
        <f>IF(ISEVEN(LEFT(AD221,4)),"Southbound","NorthBound")</f>
        <v>Southbound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1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-05-03T05:06:22-0600',mode:absolute,to:'2017-05-03T07:16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1" s="192" t="str">
        <f>IF(AA221&lt;IF(AG221="EC",23,5.65),"Y","N")</f>
        <v>Y</v>
      </c>
      <c r="X221" s="192">
        <f>VALUE(LEFT(AD221,4))-VALUE(LEFT(AD220,4))</f>
        <v>1</v>
      </c>
      <c r="Y221" s="192">
        <f>RIGHT(D221,LEN(D221)-4)/10000</f>
        <v>2.3433999999999999</v>
      </c>
      <c r="Z221" s="192">
        <f>RIGHT(H221,LEN(H221)-4)/10000</f>
        <v>6.8699999999999997E-2</v>
      </c>
      <c r="AA221" s="192">
        <f>ABS(Z221-Y221)</f>
        <v>2.2746999999999997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>IF(LEN(A221)=6,"0"&amp;A221,A221)</f>
        <v>0902-03</v>
      </c>
      <c r="AE221" s="80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s3://rtdc.mdm.uploadarchive.raw/RTDC4005/ "%USERPROFILE%\AppData\Local\Temp\OnboardLogs"\RTDC4005\2017-05-03 --exclude "*" --recursive --include "*20170503*" &amp; "%USERPROFILE%\Documents\GitHub\mrs-test-scripts\Headless Mode &amp; Sideloading\WalkAndUnGZ.bat" "%USERPROFILE%\AppData\Local\Temp\OnboardLogs"\RTDC4005\2017-05-03 &amp; aws s3 cp s3://rtdc.mdm.uploadarchive.raw/RTDC4005/ "%USERPROFILE%\AppData\Local\Temp\OnboardLogs"\RTDC4005\2017-05-04 --exclude "*" --recursive --include "*20170504*" &amp; "%USERPROFILE%\Documents\GitHub\mrs-test-scripts\Headless Mode &amp; Sideloading\WalkAndUnGZ.bat" "%USERPROFILE%\AppData\Local\Temp\OnboardLogs"\RTDC4005\2017-05-04</v>
      </c>
      <c r="AF221" s="77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/stypes="app*4005*20170503*" /stext=" 12:.+((SYSTEM_STATE.+slice.+state.+changed )|(ment ac)|(multiple cpu faults)|(system.+state.+changed )|(\[timeout)|(PRM\|1\|D)|(kpr)|(kdp)|(train st.+moving)|(\|lc)|(penalty))"</v>
      </c>
      <c r="AG221" s="1" t="str">
        <f>IFERROR(IF(VALUE(LEFT(AD221,2))&lt;=2,"EC",IF(OR(VALUE(LEFT(AD221,2))=8,VALUE(LEFT(AD221,2))=18),"NW","Other")),"Other")</f>
        <v>Other</v>
      </c>
      <c r="AH221" s="81" t="str">
        <f t="shared" si="22"/>
        <v>"%USERPROFILE%\Documents\GitHub\eaglep3\Utilities\RefineRTDCRunTimes.py" --tripid 902-03 --locoid 4005 --swversion DE.1.0.9.0 --startMP 300:23434 --initTime 2017-05-03T06:06:22 --startdatetime 2017-05-03T06:09:05 --delay 2 --endMP 204:687 --enddatetime 2017-05-03T06:16:06 --enforcementcount 0 &gt;&gt;C:\Users\stu\Documents\GitHub\eaglep3-reporting\EC\2017-05-03-refined-times.txt</v>
      </c>
      <c r="AI221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{"issue":{"subject":"","project_id":79,"tracker_id":40,"status_id":1,"priority_id":2,"assigned_to_id":23,"start_date":"2017-05-03","description":"","custom_fields":[{"id":1,"name":"Subdivision","value":"Other"},{"id":4,"name":"Milepost","value":"0.0687"},{"id":17,"name":"Train ID","value":"902-03"},{"id":16,"name":"Locomotive ID","value":"4005"},{"id":130,"name":"Impact","value":""},{"id":150,"name":"Time of Event (Mountain Time)","value":"06:16:06"},{"id":151,"name":"Denver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24"/>
        <v>start /low /b %USERPROFILE%\Documents\GitHub\eaglep3\Utilities\DownloadLogsFromS3.py --loco 4005 --day 2017-05-03</v>
      </c>
      <c r="AN221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12:16:06"},{"id":29,"name":"Sharepoint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91" x14ac:dyDescent="0.25">
      <c r="A222" s="32" t="s">
        <v>682</v>
      </c>
      <c r="B222" s="7">
        <v>4032</v>
      </c>
      <c r="C222" s="21" t="s">
        <v>210</v>
      </c>
      <c r="D222" s="21" t="s">
        <v>995</v>
      </c>
      <c r="E222" s="13">
        <v>42858.352372685185</v>
      </c>
      <c r="F222" s="13">
        <v>42858.353587962964</v>
      </c>
      <c r="G222" s="7">
        <v>1</v>
      </c>
      <c r="H222" s="21" t="s">
        <v>996</v>
      </c>
      <c r="I222" s="13">
        <v>42858.35765046296</v>
      </c>
      <c r="J222" s="7">
        <v>0</v>
      </c>
      <c r="K222" s="92" t="str">
        <f>IF(ISEVEN(B222),(B222-1)&amp;"/"&amp;B222,B222&amp;"/"&amp;(B222+1))</f>
        <v>4031/4032</v>
      </c>
      <c r="L222" s="21" t="str">
        <f>VLOOKUP(A222,'Trips&amp;Operators'!$C$1:$G$99999,5,FALSE)</f>
        <v>YORK EDGAR</v>
      </c>
      <c r="M222" s="6">
        <f>I222-F222</f>
        <v>4.0624999965075403E-3</v>
      </c>
      <c r="N222" s="7">
        <f>24*60*SUM($M222:$M222)</f>
        <v>5.8499999949708581</v>
      </c>
      <c r="O222" s="7"/>
      <c r="P222" s="7"/>
      <c r="Q222" s="22"/>
      <c r="R222" s="190"/>
      <c r="S222" s="196">
        <f>SUM(U222:U222)/IF(AG222="EC",12,1)</f>
        <v>1</v>
      </c>
      <c r="T222" s="190" t="str">
        <f>IF(ISEVEN(LEFT(AD222,4)),"Southbound","NorthBound")</f>
        <v>NorthBound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1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-05-03T07:27:25-0600',mode:absolute,to:'2017-05-03T09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2" s="192" t="str">
        <f>IF(AA222&lt;IF(AG222="EC",23,5.65),"Y","N")</f>
        <v>Y</v>
      </c>
      <c r="X222" s="192">
        <f>VALUE(LEFT(AD222,4))-VALUE(LEFT(AD221,4))</f>
        <v>1</v>
      </c>
      <c r="Y222" s="192">
        <f>RIGHT(D222,LEN(D222)-4)/10000</f>
        <v>0.1095</v>
      </c>
      <c r="Z222" s="192">
        <f>RIGHT(H222,LEN(H222)-4)/10000</f>
        <v>3.153</v>
      </c>
      <c r="AA222" s="192">
        <f>ABS(Z222-Y222)</f>
        <v>3.0434999999999999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>IF(LEN(A222)=6,"0"&amp;A222,A222)</f>
        <v>0903-03</v>
      </c>
      <c r="AE222" s="80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AF222" s="77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/stypes="app*4032*20170503*" /stext=" 14:.+((SYSTEM_STATE.+slice.+state.+changed )|(ment ac)|(multiple cpu faults)|(system.+state.+changed )|(\[timeout)|(PRM\|1\|D)|(kpr)|(kdp)|(train st.+moving)|(\|lc)|(penalty))"</v>
      </c>
      <c r="AG222" s="1" t="str">
        <f>IFERROR(IF(VALUE(LEFT(AD222,2))&lt;=2,"EC",IF(OR(VALUE(LEFT(AD222,2))=8,VALUE(LEFT(AD222,2))=18),"NW","Other")),"Other")</f>
        <v>Other</v>
      </c>
      <c r="AH222" s="81" t="str">
        <f t="shared" si="22"/>
        <v>"%USERPROFILE%\Documents\GitHub\eaglep3\Utilities\RefineRTDCRunTimes.py" --tripid 903-03 --locoid 4032 --swversion DE.1.0.9.0 --startMP 204:1095 --initTime 2017-05-03T08:27:25 --startdatetime 2017-05-03T08:29:10 --delay 1 --endMP 300:31530 --enddatetime 2017-05-03T08:35:01 --enforcementcount 0 &gt;&gt;C:\Users\stu\Documents\GitHub\eaglep3-reporting\EC\2017-05-03-refined-times.txt</v>
      </c>
      <c r="AI222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{"issue":{"subject":"","project_id":79,"tracker_id":40,"status_id":1,"priority_id":2,"assigned_to_id":23,"start_date":"2017-05-03","description":"","custom_fields":[{"id":1,"name":"Subdivision","value":"Other"},{"id":4,"name":"Milepost","value":"3.153"},{"id":17,"name":"Train ID","value":"903-03"},{"id":16,"name":"Locomotive ID","value":"4032"},{"id":130,"name":"Impact","value":""},{"id":150,"name":"Time of Event (Mountain Time)","value":"08:35:01"},{"id":151,"name":"Denver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24"/>
        <v>start /low /b %USERPROFILE%\Documents\GitHub\eaglep3\Utilities\DownloadLogsFromS3.py --loco 4032 --day 2017-05-03</v>
      </c>
      <c r="AN222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91" x14ac:dyDescent="0.25">
      <c r="A223" s="32" t="s">
        <v>754</v>
      </c>
      <c r="B223" s="7">
        <v>4031</v>
      </c>
      <c r="C223" s="21" t="s">
        <v>210</v>
      </c>
      <c r="D223" s="21" t="s">
        <v>577</v>
      </c>
      <c r="E223" s="13">
        <v>42858.640752314815</v>
      </c>
      <c r="F223" s="13">
        <v>42858.644745370373</v>
      </c>
      <c r="G223" s="7">
        <v>5</v>
      </c>
      <c r="H223" s="21" t="s">
        <v>573</v>
      </c>
      <c r="I223" s="13">
        <v>42858.651736111111</v>
      </c>
      <c r="J223" s="7">
        <v>0</v>
      </c>
      <c r="K223" s="92" t="str">
        <f>IF(ISEVEN(B223),(B223-1)&amp;"/"&amp;B223,B223&amp;"/"&amp;(B223+1))</f>
        <v>4031/4032</v>
      </c>
      <c r="L223" s="21" t="str">
        <f>VLOOKUP(A223,'Trips&amp;Operators'!$C$1:$G$99999,5,FALSE)</f>
        <v>CHANDLER KELVIN</v>
      </c>
      <c r="M223" s="6">
        <f>I223-F223</f>
        <v>6.9907407378195785E-3</v>
      </c>
      <c r="N223" s="7">
        <f>24*60*SUM($M223:$M223)</f>
        <v>10.066666662460193</v>
      </c>
      <c r="O223" s="7"/>
      <c r="P223" s="7"/>
      <c r="Q223" s="22"/>
      <c r="R223" s="190"/>
      <c r="S223" s="196">
        <f>SUM(U223:U223)/IF(AG223="EC",12,1)</f>
        <v>1</v>
      </c>
      <c r="T223" s="190" t="str">
        <f>IF(ISEVEN(LEFT(AD223,4)),"Southbound","NorthBound")</f>
        <v>Southbound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191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-05-03T14:22:41-0600',mode:absolute,to:'2017-05-03T16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3" s="192" t="str">
        <f>IF(AA223&lt;IF(AG223="EC",23,5.65),"Y","N")</f>
        <v>Y</v>
      </c>
      <c r="X223" s="192">
        <f>VALUE(LEFT(AD223,4))-VALUE(LEFT(AD222,4))</f>
        <v>1</v>
      </c>
      <c r="Y223" s="192">
        <f>RIGHT(D223,LEN(D223)-4)/10000</f>
        <v>2.3285</v>
      </c>
      <c r="Z223" s="192">
        <f>RIGHT(H223,LEN(H223)-4)/10000</f>
        <v>6.54E-2</v>
      </c>
      <c r="AA223" s="192">
        <f>ABS(Z223-Y223)</f>
        <v>2.2631000000000001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>IF(LEN(A223)=6,"0"&amp;A223,A223)</f>
        <v>0904-03</v>
      </c>
      <c r="AE223" s="80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s3://rtdc.mdm.uploadarchive.raw/RTDC4031/ "%USERPROFILE%\AppData\Local\Temp\OnboardLogs"\RTDC4031\2017-05-03 --exclude "*" --recursive --include "*20170503*" &amp; "%USERPROFILE%\Documents\GitHub\mrs-test-scripts\Headless Mode &amp; Sideloading\WalkAndUnGZ.bat" "%USERPROFILE%\AppData\Local\Temp\OnboardLogs"\RTDC4031\2017-05-03 &amp; aws s3 cp s3://rtdc.mdm.uploadarchive.raw/RTDC4031/ "%USERPROFILE%\AppData\Local\Temp\OnboardLogs"\RTDC4031\2017-05-04 --exclude "*" --recursive --include "*20170504*" &amp; "%USERPROFILE%\Documents\GitHub\mrs-test-scripts\Headless Mode &amp; Sideloading\WalkAndUnGZ.bat" "%USERPROFILE%\AppData\Local\Temp\OnboardLogs"\RTDC4031\2017-05-04</v>
      </c>
      <c r="AF223" s="77" t="str">
        <f>astrogrep_path&amp;" /e /r /s /spath="&amp;search_path&amp;" /stypes=""app*"&amp;B223&amp;"*"&amp;TEXT(I223-utc_offset/24,"YYYYMMDD")&amp;"*"" /stext="" "&amp;TEXT(I223-utc_offset/24,"HH")&amp;search_regexp&amp;""""</f>
        <v>"C:\Program Files (x86)\AstroGrep\AstroGrep.exe" /e /r /s /spath="%USERPROFILE%\AppData\Local\Temp\OnboardLogs" /stypes="app*4031*20170503*" /stext=" 21:.+((SYSTEM_STATE.+slice.+state.+changed )|(ment ac)|(multiple cpu faults)|(system.+state.+changed )|(\[timeout)|(PRM\|1\|D)|(kpr)|(kdp)|(train st.+moving)|(\|lc)|(penalty))"</v>
      </c>
      <c r="AG223" s="1" t="str">
        <f>IFERROR(IF(VALUE(LEFT(AD223,2))&lt;=2,"EC",IF(OR(VALUE(LEFT(AD223,2))=8,VALUE(LEFT(AD223,2))=18),"NW","Other")),"Other")</f>
        <v>Other</v>
      </c>
      <c r="AH223" s="81" t="str">
        <f t="shared" si="22"/>
        <v>"%USERPROFILE%\Documents\GitHub\eaglep3\Utilities\RefineRTDCRunTimes.py" --tripid 904-03 --locoid 4031 --swversion DE.1.0.9.0 --startMP 300:23285 --initTime 2017-05-03T15:22:41 --startdatetime 2017-05-03T15:28:26 --delay 5 --endMP 204:654 --enddatetime 2017-05-03T15:38:30 --enforcementcount 0 &gt;&gt;C:\Users\stu\Documents\GitHub\eaglep3-reporting\EC\2017-05-03-refined-times.txt</v>
      </c>
      <c r="AI223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{"issue":{"subject":"","project_id":79,"tracker_id":40,"status_id":1,"priority_id":2,"assigned_to_id":23,"start_date":"2017-05-03","description":"","custom_fields":[{"id":1,"name":"Subdivision","value":"Other"},{"id":4,"name":"Milepost","value":"0.0654"},{"id":17,"name":"Train ID","value":"904-03"},{"id":16,"name":"Locomotive ID","value":"4031"},{"id":130,"name":"Impact","value":""},{"id":150,"name":"Time of Event (Mountain Time)","value":"15:38:30"},{"id":151,"name":"Denver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24"/>
        <v>start /low /b %USERPROFILE%\Documents\GitHub\eaglep3\Utilities\DownloadLogsFromS3.py --loco 4031 --day 2017-05-03</v>
      </c>
      <c r="AN223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91" x14ac:dyDescent="0.25">
      <c r="A224" s="32" t="s">
        <v>802</v>
      </c>
      <c r="B224" s="7">
        <v>4031</v>
      </c>
      <c r="C224" s="21" t="s">
        <v>210</v>
      </c>
      <c r="D224" s="21" t="s">
        <v>985</v>
      </c>
      <c r="E224" s="13">
        <v>42858.797766203701</v>
      </c>
      <c r="F224" s="13">
        <v>42858.799305555556</v>
      </c>
      <c r="G224" s="7">
        <v>1</v>
      </c>
      <c r="H224" s="21" t="s">
        <v>997</v>
      </c>
      <c r="I224" s="13">
        <v>42858.807013888887</v>
      </c>
      <c r="J224" s="7">
        <v>0</v>
      </c>
      <c r="K224" s="92" t="str">
        <f>IF(ISEVEN(B224),(B224-1)&amp;"/"&amp;B224,B224&amp;"/"&amp;(B224+1))</f>
        <v>4031/4032</v>
      </c>
      <c r="L224" s="21" t="str">
        <f>VLOOKUP(A224,'Trips&amp;Operators'!$C$1:$G$99999,5,FALSE)</f>
        <v>CHANDLER KELVIN</v>
      </c>
      <c r="M224" s="6">
        <f>I224-F224</f>
        <v>7.7083333308110014E-3</v>
      </c>
      <c r="N224" s="7">
        <f>24*60*SUM($M224:$M224)</f>
        <v>11.099999996367842</v>
      </c>
      <c r="O224" s="7"/>
      <c r="P224" s="7"/>
      <c r="Q224" s="22"/>
      <c r="R224" s="190"/>
      <c r="S224" s="196">
        <f>SUM(U224:U224)/IF(AG224="EC",12,1)</f>
        <v>0</v>
      </c>
      <c r="T224" s="190" t="str">
        <f>IF(ISEVEN(LEFT(AD224,4)),"Southbound","NorthBound")</f>
        <v>Southbound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-05-03T18:08:47-0600',mode:absolute,to:'2017-05-03T20:22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24" s="192" t="str">
        <f>IF(AA224&lt;IF(AG224="EC",23,5.65),"Y","N")</f>
        <v>Y</v>
      </c>
      <c r="X224" s="192">
        <f>VALUE(LEFT(AD224,4))-VALUE(LEFT(AD223,4))</f>
        <v>2</v>
      </c>
      <c r="Y224" s="192">
        <f>RIGHT(D224,LEN(D224)-4)/10000</f>
        <v>5.8681000000000001</v>
      </c>
      <c r="Z224" s="192">
        <f>RIGHT(H224,LEN(H224)-4)/10000</f>
        <v>2.8784000000000001</v>
      </c>
      <c r="AA224" s="192">
        <f>ABS(Z224-Y224)</f>
        <v>2.9897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>IF(LEN(A224)=6,"0"&amp;A224,A224)</f>
        <v>0906-03</v>
      </c>
      <c r="AE224" s="80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s3://rtdc.mdm.uploadarchive.raw/RTDC4031/ "%USERPROFILE%\AppData\Local\Temp\OnboardLogs"\RTDC4031\2017-05-03 --exclude "*" --recursive --include "*20170503*" &amp; "%USERPROFILE%\Documents\GitHub\mrs-test-scripts\Headless Mode &amp; Sideloading\WalkAndUnGZ.bat" "%USERPROFILE%\AppData\Local\Temp\OnboardLogs"\RTDC4031\2017-05-03 &amp; aws s3 cp s3://rtdc.mdm.uploadarchive.raw/RTDC4031/ "%USERPROFILE%\AppData\Local\Temp\OnboardLogs"\RTDC4031\2017-05-04 --exclude "*" --recursive --include "*20170504*" &amp; "%USERPROFILE%\Documents\GitHub\mrs-test-scripts\Headless Mode &amp; Sideloading\WalkAndUnGZ.bat" "%USERPROFILE%\AppData\Local\Temp\OnboardLogs"\RTDC4031\2017-05-04</v>
      </c>
      <c r="AF224" s="77" t="str">
        <f>astrogrep_path&amp;" /e /r /s /spath="&amp;search_path&amp;" /stypes=""app*"&amp;B224&amp;"*"&amp;TEXT(I224-utc_offset/24,"YYYYMMDD")&amp;"*"" /stext="" "&amp;TEXT(I224-utc_offset/24,"HH")&amp;search_regexp&amp;""""</f>
        <v>"C:\Program Files (x86)\AstroGrep\AstroGrep.exe" /e /r /s /spath="%USERPROFILE%\AppData\Local\Temp\OnboardLogs" /stypes="app*4031*20170504*" /stext=" 01:.+((SYSTEM_STATE.+slice.+state.+changed )|(ment ac)|(multiple cpu faults)|(system.+state.+changed )|(\[timeout)|(PRM\|1\|D)|(kpr)|(kdp)|(train st.+moving)|(\|lc)|(penalty))"</v>
      </c>
      <c r="AG224" s="1" t="str">
        <f>IFERROR(IF(VALUE(LEFT(AD224,2))&lt;=2,"EC",IF(OR(VALUE(LEFT(AD224,2))=8,VALUE(LEFT(AD224,2))=18),"NW","Other")),"Other")</f>
        <v>Other</v>
      </c>
      <c r="AH224" s="81" t="str">
        <f t="shared" si="22"/>
        <v>"%USERPROFILE%\Documents\GitHub\eaglep3\Utilities\RefineRTDCRunTimes.py" --tripid 906-03 --locoid 4031 --swversion DE.1.0.9.0 --startMP 300:58681 --initTime 2017-05-03T19:08:47 --startdatetime 2017-05-03T19:11:00 --delay 1 --endMP 300:28784 --enddatetime 2017-05-03T19:22:06 --enforcementcount 0 &gt;&gt;C:\Users\stu\Documents\GitHub\eaglep3-reporting\EC\2017-05-03-refined-times.txt</v>
      </c>
      <c r="AI224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{"issue":{"subject":"","project_id":79,"tracker_id":40,"status_id":1,"priority_id":2,"assigned_to_id":23,"start_date":"2017-05-03","description":"","custom_fields":[{"id":1,"name":"Subdivision","value":"Other"},{"id":4,"name":"Milepost","value":"2.8784"},{"id":17,"name":"Train ID","value":"906-03"},{"id":16,"name":"Locomotive ID","value":"4031"},{"id":130,"name":"Impact","value":""},{"id":150,"name":"Time of Event (Mountain Time)","value":"19:22:06"},{"id":151,"name":"Denver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24"/>
        <v>start /low /b %USERPROFILE%\Documents\GitHub\eaglep3\Utilities\DownloadLogsFromS3.py --loco 4031 --day 2017-05-03</v>
      </c>
      <c r="AN224" s="154" t="str">
        <f t="shared" si="25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01:22:06"},{"id":29,"name":"Sharepoint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821</v>
      </c>
      <c r="B225" s="7">
        <v>4005</v>
      </c>
      <c r="C225" s="21" t="s">
        <v>210</v>
      </c>
      <c r="D225" s="21" t="s">
        <v>998</v>
      </c>
      <c r="E225" s="13">
        <v>42858.944594907407</v>
      </c>
      <c r="F225" s="13">
        <v>25568.708333333332</v>
      </c>
      <c r="G225" s="7">
        <v>1</v>
      </c>
      <c r="H225" s="21" t="s">
        <v>999</v>
      </c>
      <c r="I225" s="13">
        <v>25568.708333333332</v>
      </c>
      <c r="J225" s="7">
        <v>0</v>
      </c>
      <c r="K225" s="92" t="str">
        <f>IF(ISEVEN(B225),(B225-1)&amp;"/"&amp;B225,B225&amp;"/"&amp;(B225+1))</f>
        <v>4005/4006</v>
      </c>
      <c r="L225" s="21" t="str">
        <f>VLOOKUP(A225,'Trips&amp;Operators'!$C$1:$G$99999,5,FALSE)</f>
        <v>CHANDLER KELVIN</v>
      </c>
      <c r="M225" s="6">
        <f>I225-F225</f>
        <v>0</v>
      </c>
      <c r="N225" s="7">
        <f>24*60*SUM($M225:$M225)</f>
        <v>0</v>
      </c>
      <c r="O225" s="7"/>
      <c r="P225" s="7"/>
      <c r="Q225" s="22"/>
      <c r="R225" s="190"/>
      <c r="S225" s="196">
        <f>SUM(U225:U225)/IF(AG225="EC",12,1)</f>
        <v>0</v>
      </c>
      <c r="T225" s="190" t="str">
        <f>IF(ISEVEN(LEFT(AD225,4)),"Southbound","NorthBound")</f>
        <v>Southbound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-05-03T21:40:13-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5" s="192" t="str">
        <f>IF(AA225&lt;IF(AG225="EC",23,5.65),"Y","N")</f>
        <v>Y</v>
      </c>
      <c r="X225" s="192">
        <f>VALUE(LEFT(AD225,4))-VALUE(LEFT(AD224,4))</f>
        <v>2</v>
      </c>
      <c r="Y225" s="192">
        <f>RIGHT(D225,LEN(D225)-4)/10000</f>
        <v>5.8678999999999997</v>
      </c>
      <c r="Z225" s="192">
        <f>RIGHT(H225,LEN(H225)-4)/10000</f>
        <v>2.1242000000000001</v>
      </c>
      <c r="AA225" s="192">
        <f>ABS(Z225-Y225)</f>
        <v>3.7436999999999996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>IF(LEN(A225)=6,"0"&amp;A225,A225)</f>
        <v>0908-03</v>
      </c>
      <c r="AE225" s="80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s3://rtdc.mdm.uploadarchive.raw/RTDC4005/ "%USERPROFILE%\AppData\Local\Temp\OnboardLogs"\RTDC4005\1969-12-31 --exclude "*" --recursive --include "*19691231*" &amp; "%USERPROFILE%\Documents\GitHub\mrs-test-scripts\Headless Mode &amp; Sideloading\WalkAndUnGZ.bat" "%USERPROFILE%\AppData\Local\Temp\OnboardLogs"\RTDC4005\1969-12-31 &amp; aws s3 cp s3://rtdc.mdm.uploadarchive.raw/RTDC4005/ "%USERPROFILE%\AppData\Local\Temp\OnboardLogs"\RTDC4005\1970-01-01 --exclude "*" --recursive --include "*19700101*" &amp; "%USERPROFILE%\Documents\GitHub\mrs-test-scripts\Headless Mode &amp; Sideloading\WalkAndUnGZ.bat" "%USERPROFILE%\AppData\Local\Temp\OnboardLogs"\RTDC4005\1970-01-01</v>
      </c>
      <c r="AF225" s="77" t="str">
        <f>astrogrep_path&amp;" /e /r /s /spath="&amp;search_path&amp;" /stypes=""app*"&amp;B225&amp;"*"&amp;TEXT(I225-utc_offset/24,"YYYYMMDD")&amp;"*"" /stext="" "&amp;TEXT(I225-utc_offset/24,"HH")&amp;search_regexp&amp;""""</f>
        <v>"C:\Program Files (x86)\AstroGrep\AstroGrep.exe" /e /r /s /spath="%USERPROFILE%\AppData\Local\Temp\OnboardLogs" /stypes="app*4005*19691231*" /stext=" 23:.+((SYSTEM_STATE.+slice.+state.+changed )|(ment ac)|(multiple cpu faults)|(system.+state.+changed )|(\[timeout)|(PRM\|1\|D)|(kpr)|(kdp)|(train st.+moving)|(\|lc)|(penalty))"</v>
      </c>
      <c r="AG225" s="1" t="str">
        <f>IFERROR(IF(VALUE(LEFT(AD225,2))&lt;=2,"EC",IF(OR(VALUE(LEFT(AD225,2))=8,VALUE(LEFT(AD225,2))=18),"NW","Other")),"Other")</f>
        <v>Other</v>
      </c>
      <c r="AH225" s="81" t="str">
        <f t="shared" si="22"/>
        <v>"%USERPROFILE%\Documents\GitHub\eaglep3\Utilities\RefineRTDCRunTimes.py" --tripid 908-03 --locoid 4005 --swversion DE.1.0.9.0 --startMP 300:58679 --initTime 2017-05-03T22:40:13 --startdatetime 1969-12-31T17:00:00 --delay 1 --endMP 300:21242 --enddatetime 1969-12-31T17:00:00 --enforcementcount 0 &gt;&gt;C:\Users\stu\Documents\GitHub\eaglep3-reporting\EC\2017-05-03-refined-times.txt</v>
      </c>
      <c r="AI225" s="99" t="str">
        <f t="shared" si="23"/>
        <v>echo {"issue":{"subject":"","project_id":79,"tracker_id":40,"status_id":1,"priority_id":2,"assigned_to_id":23,"start_date":"1969-12-31","description":"","custom_fields":[{"id":1,"name":"Subdivision","value":"Other"},{"id":4,"name":"Milepost","value":"2.1242"},{"id":17,"name":"Train ID","value":"908-03"},{"id":16,"name":"Locomotive ID","value":"4005"},{"id":130,"name":"Impact","value":""},{"id":150,"name":"Time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24"/>
        <v>start /low /b %USERPROFILE%\Documents\GitHub\eaglep3\Utilities\DownloadLogsFromS3.py --loco 4005 --day 1969-12-31</v>
      </c>
      <c r="AN225" s="154" t="str">
        <f t="shared" si="25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632</v>
      </c>
      <c r="B226" s="7">
        <v>4046</v>
      </c>
      <c r="C226" s="21" t="s">
        <v>210</v>
      </c>
      <c r="D226" s="21" t="s">
        <v>922</v>
      </c>
      <c r="E226" s="13">
        <v>42858.190254629626</v>
      </c>
      <c r="F226" s="13">
        <v>42858.19259259259</v>
      </c>
      <c r="G226" s="7">
        <v>2</v>
      </c>
      <c r="H226" s="21" t="s">
        <v>923</v>
      </c>
      <c r="I226" s="13">
        <v>42858.194247685184</v>
      </c>
      <c r="J226" s="7">
        <v>0</v>
      </c>
      <c r="K226" s="92" t="str">
        <f>IF(ISEVEN(B226),(B226-1)&amp;"/"&amp;B226,B226&amp;"/"&amp;(B226+1))</f>
        <v>4045/4046</v>
      </c>
      <c r="L226" s="21" t="str">
        <f>VLOOKUP(A226,'Trips&amp;Operators'!$C$1:$G$99999,5,FALSE)</f>
        <v>GEBRETEKLE DAGNEW</v>
      </c>
      <c r="M226" s="6">
        <f>I226-F226</f>
        <v>1.6550925938645378E-3</v>
      </c>
      <c r="N226" s="7">
        <f>24*60*SUM($M226:$M226)</f>
        <v>2.3833333351649344</v>
      </c>
      <c r="O226" s="7"/>
      <c r="P226" s="7"/>
      <c r="Q226" s="22"/>
      <c r="R226" s="190"/>
      <c r="S226" s="196">
        <f>SUM(U226:U226)/IF(AG226="EC",12,1)</f>
        <v>0</v>
      </c>
      <c r="T226" s="190" t="e">
        <f>IF(ISEVEN(LEFT(AD226,4)),"Southbound","NorthBound")</f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-05-03T03:33:58-0600',mode:absolute,to:'2017-05-03T05:39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6" s="192" t="str">
        <f>IF(AA226&lt;IF(AG226="EC",23,5.65),"Y","N")</f>
        <v>Y</v>
      </c>
      <c r="X226" s="192" t="e">
        <f>VALUE(LEFT(AD226,4))-VALUE(LEFT(AD225,4))</f>
        <v>#VALUE!</v>
      </c>
      <c r="Y226" s="192">
        <f>RIGHT(D226,LEN(D226)-4)/10000</f>
        <v>7.4399999999999994E-2</v>
      </c>
      <c r="Z226" s="192">
        <f>RIGHT(H226,LEN(H226)-4)/10000</f>
        <v>0.36820000000000003</v>
      </c>
      <c r="AA226" s="192">
        <f>ABS(Z226-Y226)</f>
        <v>0.29380000000000006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>IF(LEN(A226)=6,"0"&amp;A226,A226)</f>
        <v>50-03</v>
      </c>
      <c r="AE226" s="80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s3://rtdc.mdm.uploadarchive.raw/RTDC4046/ "%USERPROFILE%\AppData\Local\Temp\OnboardLogs"\RTDC4046\2017-05-03 --exclude "*" --recursive --include "*20170503*" &amp; "%USERPROFILE%\Documents\GitHub\mrs-test-scripts\Headless Mode &amp; Sideloading\WalkAndUnGZ.bat" "%USERPROFILE%\AppData\Local\Temp\OnboardLogs"\RTDC4046\2017-05-03 &amp; aws s3 cp s3://rtdc.mdm.uploadarchive.raw/RTDC4046/ "%USERPROFILE%\AppData\Local\Temp\OnboardLogs"\RTDC4046\2017-05-04 --exclude "*" --recursive --include "*20170504*" &amp; "%USERPROFILE%\Documents\GitHub\mrs-test-scripts\Headless Mode &amp; Sideloading\WalkAndUnGZ.bat" "%USERPROFILE%\AppData\Local\Temp\OnboardLogs"\RTDC4046\2017-05-04</v>
      </c>
      <c r="AF226" s="77" t="str">
        <f>astrogrep_path&amp;" /e /r /s /spath="&amp;search_path&amp;" /stypes=""app*"&amp;B226&amp;"*"&amp;TEXT(I226-utc_offset/24,"YYYYMMDD")&amp;"*"" /stext="" "&amp;TEXT(I226-utc_offset/24,"HH")&amp;search_regexp&amp;""""</f>
        <v>"C:\Program Files (x86)\AstroGrep\AstroGrep.exe" /e /r /s /spath="%USERPROFILE%\AppData\Local\Temp\OnboardLogs" /stypes="app*4046*20170503*" /stext=" 10:.+((SYSTEM_STATE.+slice.+state.+changed )|(ment ac)|(multiple cpu faults)|(system.+state.+changed )|(\[timeout)|(PRM\|1\|D)|(kpr)|(kdp)|(train st.+moving)|(\|lc)|(penalty))"</v>
      </c>
      <c r="AG226" s="1" t="str">
        <f>IFERROR(IF(VALUE(LEFT(AD226,2))&lt;=2,"EC",IF(OR(VALUE(LEFT(AD226,2))=8,VALUE(LEFT(AD226,2))=18),"NW","Other")),"Other")</f>
        <v>Other</v>
      </c>
      <c r="AH226" s="81" t="str">
        <f t="shared" si="22"/>
        <v>"%USERPROFILE%\Documents\GitHub\eaglep3\Utilities\RefineRTDCRunTimes.py" --tripid 50-03 --locoid 4046 --swversion DE.1.0.9.0 --startMP 204:744 --initTime 2017-05-03T04:33:58 --startdatetime 2017-05-03T04:37:20 --delay 2 --endMP 204:3682 --enddatetime 2017-05-03T04:39:43 --enforcementcount 0 &gt;&gt;C:\Users\stu\Documents\GitHub\eaglep3-reporting\EC\2017-05-03-refined-times.txt</v>
      </c>
      <c r="AI226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{"issue":{"subject":"","project_id":79,"tracker_id":40,"status_id":1,"priority_id":2,"assigned_to_id":23,"start_date":"2017-05-03","description":"","custom_fields":[{"id":1,"name":"Subdivision","value":"Other"},{"id":4,"name":"Milepost","value":"0.3682"},{"id":17,"name":"Train ID","value":"50-03"},{"id":16,"name":"Locomotive ID","value":"4046"},{"id":130,"name":"Impact","value":""},{"id":150,"name":"Time of Event (Mountain Time)","value":"04:39:43"},{"id":151,"name":"Denver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24"/>
        <v>start /low /b %USERPROFILE%\Documents\GitHub\eaglep3\Utilities\DownloadLogsFromS3.py --loco 4046 --day 2017-05-03</v>
      </c>
      <c r="AN226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10:39:43"},{"id":29,"name":"Sharepoint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637</v>
      </c>
      <c r="B227" s="7">
        <v>4045</v>
      </c>
      <c r="C227" s="21" t="s">
        <v>210</v>
      </c>
      <c r="D227" s="21" t="s">
        <v>924</v>
      </c>
      <c r="E227" s="13">
        <v>42858.195428240739</v>
      </c>
      <c r="F227" s="13">
        <v>42858.197025462963</v>
      </c>
      <c r="G227" s="7">
        <v>1</v>
      </c>
      <c r="H227" s="21" t="s">
        <v>925</v>
      </c>
      <c r="I227" s="13">
        <v>42858.197627314818</v>
      </c>
      <c r="J227" s="7">
        <v>0</v>
      </c>
      <c r="K227" s="92" t="str">
        <f>IF(ISEVEN(B227),(B227-1)&amp;"/"&amp;B227,B227&amp;"/"&amp;(B227+1))</f>
        <v>4045/4046</v>
      </c>
      <c r="L227" s="21" t="str">
        <f>VLOOKUP(A227,'Trips&amp;Operators'!$C$1:$G$99999,5,FALSE)</f>
        <v>GEBRETEKLE DAGNEW</v>
      </c>
      <c r="M227" s="6">
        <f>I227-F227</f>
        <v>6.0185185429872945E-4</v>
      </c>
      <c r="N227" s="7">
        <f>24*60*SUM($M227:$M227)</f>
        <v>0.86666667019017041</v>
      </c>
      <c r="O227" s="7"/>
      <c r="P227" s="7"/>
      <c r="Q227" s="22"/>
      <c r="R227" s="190"/>
      <c r="S227" s="196">
        <f>SUM(U227:U227)/IF(AG227="EC",12,1)</f>
        <v>0</v>
      </c>
      <c r="T227" s="190" t="e">
        <f>IF(ISEVEN(LEFT(AD227,4)),"Southbound","NorthBound")</f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-05-03T03:41:25-0600',mode:absolute,to:'2017-05-03T05:44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7" s="192" t="str">
        <f>IF(AA227&lt;IF(AG227="EC",23,5.65),"Y","N")</f>
        <v>Y</v>
      </c>
      <c r="X227" s="192" t="e">
        <f>VALUE(LEFT(AD227,4))-VALUE(LEFT(AD226,4))</f>
        <v>#VALUE!</v>
      </c>
      <c r="Y227" s="192">
        <f>RIGHT(D227,LEN(D227)-4)/10000</f>
        <v>0.33879999999999999</v>
      </c>
      <c r="Z227" s="192">
        <f>RIGHT(H227,LEN(H227)-4)/10000</f>
        <v>0.1318</v>
      </c>
      <c r="AA227" s="192">
        <f>ABS(Z227-Y227)</f>
        <v>0.20699999999999999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>IF(LEN(A227)=6,"0"&amp;A227,A227)</f>
        <v>51-03</v>
      </c>
      <c r="AE227" s="80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s3://rtdc.mdm.uploadarchive.raw/RTDC4045/ "%USERPROFILE%\AppData\Local\Temp\OnboardLogs"\RTDC4045\2017-05-03 --exclude "*" --recursive --include "*20170503*" &amp; "%USERPROFILE%\Documents\GitHub\mrs-test-scripts\Headless Mode &amp; Sideloading\WalkAndUnGZ.bat" "%USERPROFILE%\AppData\Local\Temp\OnboardLogs"\RTDC4045\2017-05-03 &amp; aws s3 cp s3://rtdc.mdm.uploadarchive.raw/RTDC4045/ "%USERPROFILE%\AppData\Local\Temp\OnboardLogs"\RTDC4045\2017-05-04 --exclude "*" --recursive --include "*20170504*" &amp; "%USERPROFILE%\Documents\GitHub\mrs-test-scripts\Headless Mode &amp; Sideloading\WalkAndUnGZ.bat" "%USERPROFILE%\AppData\Local\Temp\OnboardLogs"\RTDC4045\2017-05-04</v>
      </c>
      <c r="AF227" s="77" t="str">
        <f>astrogrep_path&amp;" /e /r /s /spath="&amp;search_path&amp;" /stypes=""app*"&amp;B227&amp;"*"&amp;TEXT(I227-utc_offset/24,"YYYYMMDD")&amp;"*"" /stext="" "&amp;TEXT(I227-utc_offset/24,"HH")&amp;search_regexp&amp;""""</f>
        <v>"C:\Program Files (x86)\AstroGrep\AstroGrep.exe" /e /r /s /spath="%USERPROFILE%\AppData\Local\Temp\OnboardLogs" /stypes="app*4045*20170503*" /stext=" 10:.+((SYSTEM_STATE.+slice.+state.+changed )|(ment ac)|(multiple cpu faults)|(system.+state.+changed )|(\[timeout)|(PRM\|1\|D)|(kpr)|(kdp)|(train st.+moving)|(\|lc)|(penalty))"</v>
      </c>
      <c r="AG227" s="1" t="str">
        <f>IFERROR(IF(VALUE(LEFT(AD227,2))&lt;=2,"EC",IF(OR(VALUE(LEFT(AD227,2))=8,VALUE(LEFT(AD227,2))=18),"NW","Other")),"Other")</f>
        <v>Other</v>
      </c>
      <c r="AH227" s="81" t="str">
        <f t="shared" si="22"/>
        <v>"%USERPROFILE%\Documents\GitHub\eaglep3\Utilities\RefineRTDCRunTimes.py" --tripid 51-03 --locoid 4045 --swversion DE.1.0.9.0 --startMP 204:3388 --initTime 2017-05-03T04:41:25 --startdatetime 2017-05-03T04:43:43 --delay 1 --endMP 204:1318 --enddatetime 2017-05-03T04:44:35 --enforcementcount 0 &gt;&gt;C:\Users\stu\Documents\GitHub\eaglep3-reporting\EC\2017-05-03-refined-times.txt</v>
      </c>
      <c r="AI227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{"issue":{"subject":"","project_id":79,"tracker_id":40,"status_id":1,"priority_id":2,"assigned_to_id":23,"start_date":"2017-05-03","description":"","custom_fields":[{"id":1,"name":"Subdivision","value":"Other"},{"id":4,"name":"Milepost","value":"0.1318"},{"id":17,"name":"Train ID","value":"51-03"},{"id":16,"name":"Locomotive ID","value":"4045"},{"id":130,"name":"Impact","value":""},{"id":150,"name":"Time of Event (Mountain Time)","value":"04:44:35"},{"id":151,"name":"Denver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24"/>
        <v>start /low /b %USERPROFILE%\Documents\GitHub\eaglep3\Utilities\DownloadLogsFromS3.py --loco 4045 --day 2017-05-03</v>
      </c>
      <c r="AN227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10:44:35"},{"id":29,"name":"Sharepoint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633</v>
      </c>
      <c r="B228" s="7">
        <v>4054</v>
      </c>
      <c r="C228" s="21" t="s">
        <v>210</v>
      </c>
      <c r="D228" s="21" t="s">
        <v>434</v>
      </c>
      <c r="E228" s="13">
        <v>42858.193495370368</v>
      </c>
      <c r="F228" s="13">
        <v>42858.201122685183</v>
      </c>
      <c r="G228" s="7">
        <v>1</v>
      </c>
      <c r="H228" s="21" t="s">
        <v>926</v>
      </c>
      <c r="I228" s="13">
        <v>42858.202546296299</v>
      </c>
      <c r="J228" s="7">
        <v>0</v>
      </c>
      <c r="K228" s="92" t="str">
        <f>IF(ISEVEN(B228),(B228-1)&amp;"/"&amp;B228,B228&amp;"/"&amp;(B228+1))</f>
        <v>4053/4054</v>
      </c>
      <c r="L228" s="21" t="str">
        <f>VLOOKUP(A228,'Trips&amp;Operators'!$C$1:$G$99999,5,FALSE)</f>
        <v>YOUNG ELIZABETH</v>
      </c>
      <c r="M228" s="6">
        <f>I228-F228</f>
        <v>1.423611116479151E-3</v>
      </c>
      <c r="N228" s="7">
        <f>24*60*SUM($M228:$M228)</f>
        <v>2.0500000077299774</v>
      </c>
      <c r="O228" s="7"/>
      <c r="P228" s="7"/>
      <c r="Q228" s="22"/>
      <c r="R228" s="190"/>
      <c r="S228" s="196">
        <f>SUM(U228:U228)/IF(AG228="EC",12,1)</f>
        <v>0</v>
      </c>
      <c r="T228" s="190" t="e">
        <f>IF(ISEVEN(LEFT(AD228,4)),"Southbound","NorthBound")</f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-05-03T03:38:38-0600',mode:absolute,to:'2017-05-03T05:51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8" s="192" t="str">
        <f>IF(AA228&lt;IF(AG228="EC",23,5.65),"Y","N")</f>
        <v>Y</v>
      </c>
      <c r="X228" s="192" t="e">
        <f>VALUE(LEFT(AD228,4))-VALUE(LEFT(AD227,4))</f>
        <v>#VALUE!</v>
      </c>
      <c r="Y228" s="192">
        <f>RIGHT(D228,LEN(D228)-4)/10000</f>
        <v>4.3999999999999997E-2</v>
      </c>
      <c r="Z228" s="192">
        <f>RIGHT(H228,LEN(H228)-4)/10000</f>
        <v>0.35160000000000002</v>
      </c>
      <c r="AA228" s="192">
        <f>ABS(Z228-Y228)</f>
        <v>0.30760000000000004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>IF(LEN(A228)=6,"0"&amp;A228,A228)</f>
        <v>52-03</v>
      </c>
      <c r="AE228" s="80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 &amp; 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</v>
      </c>
      <c r="AF228" s="77" t="str">
        <f>astrogrep_path&amp;" /e /r /s /spath="&amp;search_path&amp;" /stypes=""app*"&amp;B228&amp;"*"&amp;TEXT(I228-utc_offset/24,"YYYYMMDD")&amp;"*"" /stext="" "&amp;TEXT(I228-utc_offset/24,"HH")&amp;search_regexp&amp;""""</f>
        <v>"C:\Program Files (x86)\AstroGrep\AstroGrep.exe" /e /r /s /spath="%USERPROFILE%\AppData\Local\Temp\OnboardLogs" /stypes="app*4054*20170503*" /stext=" 10:.+((SYSTEM_STATE.+slice.+state.+changed )|(ment ac)|(multiple cpu faults)|(system.+state.+changed )|(\[timeout)|(PRM\|1\|D)|(kpr)|(kdp)|(train st.+moving)|(\|lc)|(penalty))"</v>
      </c>
      <c r="AG228" s="1" t="str">
        <f>IFERROR(IF(VALUE(LEFT(AD228,2))&lt;=2,"EC",IF(OR(VALUE(LEFT(AD228,2))=8,VALUE(LEFT(AD228,2))=18),"NW","Other")),"Other")</f>
        <v>Other</v>
      </c>
      <c r="AH228" s="81" t="str">
        <f t="shared" si="22"/>
        <v>"%USERPROFILE%\Documents\GitHub\eaglep3\Utilities\RefineRTDCRunTimes.py" --tripid 52-03 --locoid 4054 --swversion DE.1.0.9.0 --startMP 204:440 --initTime 2017-05-03T04:38:38 --startdatetime 2017-05-03T04:49:37 --delay 1 --endMP 204:3516 --enddatetime 2017-05-03T04:51:40 --enforcementcount 0 &gt;&gt;C:\Users\stu\Documents\GitHub\eaglep3-reporting\EC\2017-05-03-refined-times.txt</v>
      </c>
      <c r="AI228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{"issue":{"subject":"","project_id":79,"tracker_id":40,"status_id":1,"priority_id":2,"assigned_to_id":23,"start_date":"2017-05-03","description":"","custom_fields":[{"id":1,"name":"Subdivision","value":"Other"},{"id":4,"name":"Milepost","value":"0.3516"},{"id":17,"name":"Train ID","value":"52-03"},{"id":16,"name":"Locomotive ID","value":"4054"},{"id":130,"name":"Impact","value":""},{"id":150,"name":"Time of Event (Mountain Time)","value":"04:51:40"},{"id":151,"name":"Denver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24"/>
        <v>start /low /b %USERPROFILE%\Documents\GitHub\eaglep3\Utilities\DownloadLogsFromS3.py --loco 4054 --day 2017-05-03</v>
      </c>
      <c r="AN228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10:51:40"},{"id":29,"name":"Sharepoint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638</v>
      </c>
      <c r="B229" s="7">
        <v>4053</v>
      </c>
      <c r="C229" s="21" t="s">
        <v>210</v>
      </c>
      <c r="D229" s="21" t="s">
        <v>927</v>
      </c>
      <c r="E229" s="13">
        <v>42858.20480324074</v>
      </c>
      <c r="F229" s="13">
        <v>42858.210995370369</v>
      </c>
      <c r="G229" s="7">
        <v>1</v>
      </c>
      <c r="H229" s="21" t="s">
        <v>928</v>
      </c>
      <c r="I229" s="13">
        <v>42858.212557870371</v>
      </c>
      <c r="J229" s="7">
        <v>0</v>
      </c>
      <c r="K229" s="92" t="str">
        <f>IF(ISEVEN(B229),(B229-1)&amp;"/"&amp;B229,B229&amp;"/"&amp;(B229+1))</f>
        <v>4053/4054</v>
      </c>
      <c r="L229" s="21" t="str">
        <f>VLOOKUP(A229,'Trips&amp;Operators'!$C$1:$G$99999,5,FALSE)</f>
        <v>YOUNG ELIZABETH</v>
      </c>
      <c r="M229" s="6">
        <f>I229-F229</f>
        <v>1.5625000014551915E-3</v>
      </c>
      <c r="N229" s="7">
        <f>24*60*SUM($M229:$M229)</f>
        <v>2.2500000020954758</v>
      </c>
      <c r="O229" s="7"/>
      <c r="P229" s="7"/>
      <c r="Q229" s="22"/>
      <c r="R229" s="190"/>
      <c r="S229" s="196">
        <f>SUM(U229:U229)/IF(AG229="EC",12,1)</f>
        <v>0</v>
      </c>
      <c r="T229" s="190" t="e">
        <f>IF(ISEVEN(LEFT(AD229,4)),"Southbound","NorthBound")</f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-05-03T03:54:55-0600',mode:absolute,to:'2017-05-03T06:06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9" s="192" t="str">
        <f>IF(AA229&lt;IF(AG229="EC",23,5.65),"Y","N")</f>
        <v>Y</v>
      </c>
      <c r="X229" s="192" t="e">
        <f>VALUE(LEFT(AD229,4))-VALUE(LEFT(AD228,4))</f>
        <v>#VALUE!</v>
      </c>
      <c r="Y229" s="192">
        <f>RIGHT(D229,LEN(D229)-4)/10000</f>
        <v>0.31990000000000002</v>
      </c>
      <c r="Z229" s="192">
        <f>RIGHT(H229,LEN(H229)-4)/10000</f>
        <v>0.1167</v>
      </c>
      <c r="AA229" s="192">
        <f>ABS(Z229-Y229)</f>
        <v>0.20320000000000002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>IF(LEN(A229)=6,"0"&amp;A229,A229)</f>
        <v>53-03</v>
      </c>
      <c r="AE229" s="80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229" s="77" t="str">
        <f>astrogrep_path&amp;" /e /r /s /spath="&amp;search_path&amp;" /stypes=""app*"&amp;B229&amp;"*"&amp;TEXT(I229-utc_offset/24,"YYYYMMDD")&amp;"*"" /stext="" "&amp;TEXT(I229-utc_offset/24,"HH")&amp;search_regexp&amp;""""</f>
        <v>"C:\Program Files (x86)\AstroGrep\AstroGrep.exe" /e /r /s /spath="%USERPROFILE%\AppData\Local\Temp\OnboardLogs" /stypes="app*4053*20170503*" /stext=" 11:.+((SYSTEM_STATE.+slice.+state.+changed )|(ment ac)|(multiple cpu faults)|(system.+state.+changed )|(\[timeout)|(PRM\|1\|D)|(kpr)|(kdp)|(train st.+moving)|(\|lc)|(penalty))"</v>
      </c>
      <c r="AG229" s="1" t="str">
        <f>IFERROR(IF(VALUE(LEFT(AD229,2))&lt;=2,"EC",IF(OR(VALUE(LEFT(AD229,2))=8,VALUE(LEFT(AD229,2))=18),"NW","Other")),"Other")</f>
        <v>Other</v>
      </c>
      <c r="AH229" s="81" t="str">
        <f t="shared" si="22"/>
        <v>"%USERPROFILE%\Documents\GitHub\eaglep3\Utilities\RefineRTDCRunTimes.py" --tripid 53-03 --locoid 4053 --swversion DE.1.0.9.0 --startMP 204:3199 --initTime 2017-05-03T04:54:55 --startdatetime 2017-05-03T05:03:50 --delay 1 --endMP 204:1167 --enddatetime 2017-05-03T05:06:05 --enforcementcount 0 &gt;&gt;C:\Users\stu\Documents\GitHub\eaglep3-reporting\EC\2017-05-03-refined-times.txt</v>
      </c>
      <c r="AI229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{"issue":{"subject":"","project_id":79,"tracker_id":40,"status_id":1,"priority_id":2,"assigned_to_id":23,"start_date":"2017-05-03","description":"","custom_fields":[{"id":1,"name":"Subdivision","value":"Other"},{"id":4,"name":"Milepost","value":"0.1167"},{"id":17,"name":"Train ID","value":"53-03"},{"id":16,"name":"Locomotive ID","value":"4053"},{"id":130,"name":"Impact","value":""},{"id":150,"name":"Time of Event (Mountain Time)","value":"05:06:05"},{"id":151,"name":"Denver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24"/>
        <v>start /low /b %USERPROFILE%\Documents\GitHub\eaglep3\Utilities\DownloadLogsFromS3.py --loco 4053 --day 2017-05-03</v>
      </c>
      <c r="AN229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11:06:05"},{"id":29,"name":"Sharepoint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591</v>
      </c>
      <c r="B230" s="7">
        <v>4051</v>
      </c>
      <c r="C230" s="21" t="s">
        <v>210</v>
      </c>
      <c r="D230" s="21" t="s">
        <v>929</v>
      </c>
      <c r="E230" s="13">
        <v>42858.42900462963</v>
      </c>
      <c r="F230" s="13">
        <v>42858.432395833333</v>
      </c>
      <c r="G230" s="7">
        <v>4</v>
      </c>
      <c r="H230" s="21" t="s">
        <v>930</v>
      </c>
      <c r="I230" s="13">
        <v>42858.438148148147</v>
      </c>
      <c r="J230" s="7">
        <v>0</v>
      </c>
      <c r="K230" s="92" t="str">
        <f>IF(ISEVEN(B230),(B230-1)&amp;"/"&amp;B230,B230&amp;"/"&amp;(B230+1))</f>
        <v>4051/4052</v>
      </c>
      <c r="L230" s="21" t="str">
        <f>VLOOKUP(A230,'Trips&amp;Operators'!$C$1:$G$99999,5,FALSE)</f>
        <v>DE LA ROSA ALEX</v>
      </c>
      <c r="M230" s="6">
        <f>I230-F230</f>
        <v>5.7523148134350777E-3</v>
      </c>
      <c r="N230" s="7">
        <f>24*60*SUM($M230:$M230)</f>
        <v>8.2833333313465118</v>
      </c>
      <c r="O230" s="7"/>
      <c r="P230" s="7"/>
      <c r="Q230" s="22"/>
      <c r="R230" s="190"/>
      <c r="S230" s="196">
        <f>SUM(U230:U230)/IF(AG230="EC",12,1)</f>
        <v>0</v>
      </c>
      <c r="T230" s="190" t="e">
        <f>IF(ISEVEN(LEFT(AD230,4)),"Southbound","NorthBound")</f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-05-03T09:17:46-0600',mode:absolute,to:'2017-05-03T11:30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0" s="192" t="str">
        <f>IF(AA230&lt;IF(AG230="EC",23,5.65),"Y","N")</f>
        <v>Y</v>
      </c>
      <c r="X230" s="192" t="e">
        <f>VALUE(LEFT(AD230,4))-VALUE(LEFT(AD229,4))</f>
        <v>#VALUE!</v>
      </c>
      <c r="Y230" s="192">
        <f>RIGHT(D230,LEN(D230)-4)/10000</f>
        <v>2.3433999999999999</v>
      </c>
      <c r="Z230" s="192">
        <f>RIGHT(H230,LEN(H230)-4)/10000</f>
        <v>8.6699999999999999E-2</v>
      </c>
      <c r="AA230" s="192">
        <f>ABS(Z230-Y230)</f>
        <v>2.2566999999999999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>IF(LEN(A230)=6,"0"&amp;A230,A230)</f>
        <v>54-03</v>
      </c>
      <c r="AE230" s="80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s3://rtdc.mdm.uploadarchive.raw/RTDC4051/ "%USERPROFILE%\AppData\Local\Temp\OnboardLogs"\RTDC4051\2017-05-03 --exclude "*" --recursive --include "*20170503*" &amp; "%USERPROFILE%\Documents\GitHub\mrs-test-scripts\Headless Mode &amp; Sideloading\WalkAndUnGZ.bat" "%USERPROFILE%\AppData\Local\Temp\OnboardLogs"\RTDC4051\2017-05-03 &amp; aws s3 cp s3://rtdc.mdm.uploadarchive.raw/RTDC4051/ "%USERPROFILE%\AppData\Local\Temp\OnboardLogs"\RTDC4051\2017-05-04 --exclude "*" --recursive --include "*20170504*" &amp; "%USERPROFILE%\Documents\GitHub\mrs-test-scripts\Headless Mode &amp; Sideloading\WalkAndUnGZ.bat" "%USERPROFILE%\AppData\Local\Temp\OnboardLogs"\RTDC4051\2017-05-04</v>
      </c>
      <c r="AF230" s="77" t="str">
        <f>astrogrep_path&amp;" /e /r /s /spath="&amp;search_path&amp;" /stypes=""app*"&amp;B230&amp;"*"&amp;TEXT(I230-utc_offset/24,"YYYYMMDD")&amp;"*"" /stext="" "&amp;TEXT(I230-utc_offset/24,"HH")&amp;search_regexp&amp;""""</f>
        <v>"C:\Program Files (x86)\AstroGrep\AstroGrep.exe" /e /r /s /spath="%USERPROFILE%\AppData\Local\Temp\OnboardLogs" /stypes="app*4051*20170503*" /stext=" 16:.+((SYSTEM_STATE.+slice.+state.+changed )|(ment ac)|(multiple cpu faults)|(system.+state.+changed )|(\[timeout)|(PRM\|1\|D)|(kpr)|(kdp)|(train st.+moving)|(\|lc)|(penalty))"</v>
      </c>
      <c r="AG230" s="1" t="str">
        <f>IFERROR(IF(VALUE(LEFT(AD230,2))&lt;=2,"EC",IF(OR(VALUE(LEFT(AD230,2))=8,VALUE(LEFT(AD230,2))=18),"NW","Other")),"Other")</f>
        <v>Other</v>
      </c>
      <c r="AH230" s="81" t="str">
        <f t="shared" si="22"/>
        <v>"%USERPROFILE%\Documents\GitHub\eaglep3\Utilities\RefineRTDCRunTimes.py" --tripid 54-03 --locoid 4051 --swversion DE.1.0.9.0 --startMP 300:23434 --initTime 2017-05-03T10:17:46 --startdatetime 2017-05-03T10:22:39 --delay 4 --endMP 204:867 --enddatetime 2017-05-03T10:30:56 --enforcementcount 0 &gt;&gt;C:\Users\stu\Documents\GitHub\eaglep3-reporting\EC\2017-05-03-refined-times.txt</v>
      </c>
      <c r="AI230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{"issue":{"subject":"","project_id":79,"tracker_id":40,"status_id":1,"priority_id":2,"assigned_to_id":23,"start_date":"2017-05-03","description":"","custom_fields":[{"id":1,"name":"Subdivision","value":"Other"},{"id":4,"name":"Milepost","value":"0.0867"},{"id":17,"name":"Train ID","value":"54-03"},{"id":16,"name":"Locomotive ID","value":"4051"},{"id":130,"name":"Impact","value":""},{"id":150,"name":"Time of Event (Mountain Time)","value":"10:30:56"},{"id":151,"name":"Denver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24"/>
        <v>start /low /b %USERPROFILE%\Documents\GitHub\eaglep3\Utilities\DownloadLogsFromS3.py --loco 4051 --day 2017-05-03</v>
      </c>
      <c r="AN230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16:30:56"},{"id":29,"name":"Sharepoint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681</v>
      </c>
      <c r="B231" s="7">
        <v>4053</v>
      </c>
      <c r="C231" s="21" t="s">
        <v>210</v>
      </c>
      <c r="D231" s="21" t="s">
        <v>931</v>
      </c>
      <c r="E231" s="13">
        <v>42858.359942129631</v>
      </c>
      <c r="F231" s="13">
        <v>42858.362754629627</v>
      </c>
      <c r="G231" s="7">
        <v>2</v>
      </c>
      <c r="H231" s="21" t="s">
        <v>449</v>
      </c>
      <c r="I231" s="13">
        <v>42858.364259259259</v>
      </c>
      <c r="J231" s="7">
        <v>0</v>
      </c>
      <c r="K231" s="92" t="str">
        <f>IF(ISEVEN(B231),(B231-1)&amp;"/"&amp;B231,B231&amp;"/"&amp;(B231+1))</f>
        <v>4053/4054</v>
      </c>
      <c r="L231" s="21" t="str">
        <f>VLOOKUP(A231,'Trips&amp;Operators'!$C$1:$G$99999,5,FALSE)</f>
        <v>SPECTOR MICHAEL</v>
      </c>
      <c r="M231" s="6">
        <f>I231-F231</f>
        <v>1.5046296321088448E-3</v>
      </c>
      <c r="N231" s="7">
        <f>24*60*SUM($M231:$M231)</f>
        <v>2.1666666702367365</v>
      </c>
      <c r="O231" s="7"/>
      <c r="P231" s="7"/>
      <c r="Q231" s="22"/>
      <c r="R231" s="190"/>
      <c r="S231" s="196">
        <f>SUM(U231:U231)/IF(AG231="EC",12,1)</f>
        <v>0</v>
      </c>
      <c r="T231" s="190" t="e">
        <f>IF(ISEVEN(LEFT(AD231,4)),"Southbound","NorthBound")</f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-05-03T07:38:19-0600',mode:absolute,to:'2017-05-03T09:44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31" s="192" t="str">
        <f>IF(AA231&lt;IF(AG231="EC",23,5.65),"Y","N")</f>
        <v>Y</v>
      </c>
      <c r="X231" s="192" t="e">
        <f>VALUE(LEFT(AD231,4))-VALUE(LEFT(AD230,4))</f>
        <v>#VALUE!</v>
      </c>
      <c r="Y231" s="192">
        <f>RIGHT(D231,LEN(D231)-4)/10000</f>
        <v>0.33410000000000001</v>
      </c>
      <c r="Z231" s="192">
        <f>RIGHT(H231,LEN(H231)-4)/10000</f>
        <v>1.3899999999999999E-2</v>
      </c>
      <c r="AA231" s="192">
        <f>ABS(Z231-Y231)</f>
        <v>0.32019999999999998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>IF(LEN(A231)=6,"0"&amp;A231,A231)</f>
        <v>55-03</v>
      </c>
      <c r="AE231" s="80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AF231" s="77" t="str">
        <f>astrogrep_path&amp;" /e /r /s /spath="&amp;search_path&amp;" /stypes=""app*"&amp;B231&amp;"*"&amp;TEXT(I231-utc_offset/24,"YYYYMMDD")&amp;"*"" /stext="" "&amp;TEXT(I231-utc_offset/24,"HH")&amp;search_regexp&amp;""""</f>
        <v>"C:\Program Files (x86)\AstroGrep\AstroGrep.exe" /e /r /s /spath="%USERPROFILE%\AppData\Local\Temp\OnboardLogs" /stypes="app*4053*20170503*" /stext=" 14:.+((SYSTEM_STATE.+slice.+state.+changed )|(ment ac)|(multiple cpu faults)|(system.+state.+changed )|(\[timeout)|(PRM\|1\|D)|(kpr)|(kdp)|(train st.+moving)|(\|lc)|(penalty))"</v>
      </c>
      <c r="AG231" s="1" t="str">
        <f>IFERROR(IF(VALUE(LEFT(AD231,2))&lt;=2,"EC",IF(OR(VALUE(LEFT(AD231,2))=8,VALUE(LEFT(AD231,2))=18),"NW","Other")),"Other")</f>
        <v>Other</v>
      </c>
      <c r="AH231" s="81" t="str">
        <f t="shared" si="22"/>
        <v>"%USERPROFILE%\Documents\GitHub\eaglep3\Utilities\RefineRTDCRunTimes.py" --tripid 55-03 --locoid 4053 --swversion DE.1.0.9.0 --startMP 204:3341 --initTime 2017-05-03T08:38:19 --startdatetime 2017-05-03T08:42:22 --delay 2 --endMP 204:139 --enddatetime 2017-05-03T08:44:32 --enforcementcount 0 &gt;&gt;C:\Users\stu\Documents\GitHub\eaglep3-reporting\EC\2017-05-03-refined-times.txt</v>
      </c>
      <c r="AI231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{"issue":{"subject":"","project_id":79,"tracker_id":40,"status_id":1,"priority_id":2,"assigned_to_id":23,"start_date":"2017-05-03","description":"","custom_fields":[{"id":1,"name":"Subdivision","value":"Other"},{"id":4,"name":"Milepost","value":"0.0139"},{"id":17,"name":"Train ID","value":"55-03"},{"id":16,"name":"Locomotive ID","value":"4053"},{"id":130,"name":"Impact","value":""},{"id":150,"name":"Time of Event (Mountain Time)","value":"08:44:32"},{"id":151,"name":"Denver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24"/>
        <v>start /low /b %USERPROFILE%\Documents\GitHub\eaglep3\Utilities\DownloadLogsFromS3.py --loco 4053 --day 2017-05-03</v>
      </c>
      <c r="AN231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14:44:32"},{"id":29,"name":"Sharepoint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681</v>
      </c>
      <c r="B232" s="7">
        <v>4054</v>
      </c>
      <c r="C232" s="21" t="s">
        <v>210</v>
      </c>
      <c r="D232" s="21" t="s">
        <v>932</v>
      </c>
      <c r="E232" s="13">
        <v>42858.351736111108</v>
      </c>
      <c r="F232" s="13">
        <v>42858.362754629627</v>
      </c>
      <c r="G232" s="7">
        <v>1</v>
      </c>
      <c r="H232" s="21" t="s">
        <v>933</v>
      </c>
      <c r="I232" s="13">
        <v>42858.364259259259</v>
      </c>
      <c r="J232" s="7">
        <v>0</v>
      </c>
      <c r="K232" s="92" t="str">
        <f>IF(ISEVEN(B232),(B232-1)&amp;"/"&amp;B232,B232&amp;"/"&amp;(B232+1))</f>
        <v>4053/4054</v>
      </c>
      <c r="L232" s="21" t="str">
        <f>VLOOKUP(A232,'Trips&amp;Operators'!$C$1:$G$99999,5,FALSE)</f>
        <v>SPECTOR MICHAEL</v>
      </c>
      <c r="M232" s="6">
        <f>I232-F232</f>
        <v>1.5046296321088448E-3</v>
      </c>
      <c r="N232" s="7">
        <f>24*60*SUM($M232:$M232)</f>
        <v>2.1666666702367365</v>
      </c>
      <c r="O232" s="7"/>
      <c r="P232" s="7"/>
      <c r="Q232" s="22"/>
      <c r="R232" s="190"/>
      <c r="S232" s="196">
        <f>SUM(U232:U232)/IF(AG232="EC",12,1)</f>
        <v>0</v>
      </c>
      <c r="T232" s="190" t="e">
        <f>IF(ISEVEN(LEFT(AD232,4)),"Southbound","NorthBound")</f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>"https://d0f6bd738d7f1b3e5a7ca70fe4ff75f0.us-east-1.aws.found.io/app/kibana#/discover/Steve-Slow-Train-Analysis-(2080s-and-2083s)?_g="&amp;"(refreshInterval:(display:Off,pause:!f,section:0,value:0),time:(from:'"&amp;TEXT(E232-1/24,"yyyy-MM-DDThh:mm:ss")&amp;utc_offset&amp;"00"&amp;"',mode:absolute,to:'"&amp;TEXT(I232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232&amp;"%22')),sort:!(Time.ISO8601,asc))"</f>
        <v>https://d0f6bd738d7f1b3e5a7ca70fe4ff75f0.us-east-1.aws.found.io/app/kibana#/discover/Steve-Slow-Train-Analysis-(2080s-and-2083s)?_g=(refreshInterval:(display:Off,pause:!f,section:0,value:0),time:(from:'2017-05-03T07:26:30-0600',mode:absolute,to:'2017-05-03T09:44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32" s="192" t="str">
        <f>IF(AA232&lt;IF(AG232="EC",23,5.65),"Y","N")</f>
        <v>Y</v>
      </c>
      <c r="X232" s="192" t="e">
        <f>VALUE(LEFT(AD232,4))-VALUE(LEFT(AD231,4))</f>
        <v>#VALUE!</v>
      </c>
      <c r="Y232" s="192">
        <f>RIGHT(D232,LEN(D232)-4)/10000</f>
        <v>0.1469</v>
      </c>
      <c r="Z232" s="192">
        <f>RIGHT(H232,LEN(H232)-4)/10000</f>
        <v>0.36559999999999998</v>
      </c>
      <c r="AA232" s="192">
        <f>ABS(Z232-Y232)</f>
        <v>0.21869999999999998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>IF(LEN(A232)=6,"0"&amp;A232,A232)</f>
        <v>55-03</v>
      </c>
      <c r="AE232" s="80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s3://rtdc.mdm.uploadarchive.raw/RTDC4054/ "%USERPROFILE%\AppData\Local\Temp\OnboardLogs"\RTDC4054\2017-05-03 --exclude "*" --recursive --include "*20170503*" &amp; "%USERPROFILE%\Documents\GitHub\mrs-test-scripts\Headless Mode &amp; Sideloading\WalkAndUnGZ.bat" "%USERPROFILE%\AppData\Local\Temp\OnboardLogs"\RTDC4054\2017-05-03 &amp; aws s3 cp s3://rtdc.mdm.uploadarchive.raw/RTDC4054/ "%USERPROFILE%\AppData\Local\Temp\OnboardLogs"\RTDC4054\2017-05-04 --exclude "*" --recursive --include "*20170504*" &amp; "%USERPROFILE%\Documents\GitHub\mrs-test-scripts\Headless Mode &amp; Sideloading\WalkAndUnGZ.bat" "%USERPROFILE%\AppData\Local\Temp\OnboardLogs"\RTDC4054\2017-05-04</v>
      </c>
      <c r="AF232" s="77" t="str">
        <f>astrogrep_path&amp;" /e /r /s /spath="&amp;search_path&amp;" /stypes=""app*"&amp;B232&amp;"*"&amp;TEXT(I232-utc_offset/24,"YYYYMMDD")&amp;"*"" /stext="" "&amp;TEXT(I232-utc_offset/24,"HH")&amp;search_regexp&amp;""""</f>
        <v>"C:\Program Files (x86)\AstroGrep\AstroGrep.exe" /e /r /s /spath="%USERPROFILE%\AppData\Local\Temp\OnboardLogs" /stypes="app*4054*20170503*" /stext=" 14:.+((SYSTEM_STATE.+slice.+state.+changed )|(ment ac)|(multiple cpu faults)|(system.+state.+changed )|(\[timeout)|(PRM\|1\|D)|(kpr)|(kdp)|(train st.+moving)|(\|lc)|(penalty))"</v>
      </c>
      <c r="AG232" s="1" t="str">
        <f>IFERROR(IF(VALUE(LEFT(AD232,2))&lt;=2,"EC",IF(OR(VALUE(LEFT(AD232,2))=8,VALUE(LEFT(AD232,2))=18),"NW","Other")),"Other")</f>
        <v>Other</v>
      </c>
      <c r="AH232" s="81" t="str">
        <f t="shared" si="22"/>
        <v>"%USERPROFILE%\Documents\GitHub\eaglep3\Utilities\RefineRTDCRunTimes.py" --tripid 55-03 --locoid 4054 --swversion DE.1.0.9.0 --startMP 204:1469 --initTime 2017-05-03T08:26:30 --startdatetime 2017-05-03T08:42:22 --delay 1 --endMP 204:3656 --enddatetime 2017-05-03T08:44:32 --enforcementcount 0 &gt;&gt;C:\Users\stu\Documents\GitHub\eaglep3-reporting\EC\2017-05-03-refined-times.txt</v>
      </c>
      <c r="AI232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{"issue":{"subject":"","project_id":79,"tracker_id":40,"status_id":1,"priority_id":2,"assigned_to_id":23,"start_date":"2017-05-03","description":"","custom_fields":[{"id":1,"name":"Subdivision","value":"Other"},{"id":4,"name":"Milepost","value":"0.3656"},{"id":17,"name":"Train ID","value":"55-03"},{"id":16,"name":"Locomotive ID","value":"4054"},{"id":130,"name":"Impact","value":""},{"id":150,"name":"Time of Event (Mountain Time)","value":"08:44:32"},{"id":151,"name":"Denver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24"/>
        <v>start /low /b %USERPROFILE%\Documents\GitHub\eaglep3\Utilities\DownloadLogsFromS3.py --loco 4054 --day 2017-05-03</v>
      </c>
      <c r="AN232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14:44:32"},{"id":29,"name":"Sharepoint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s="20" customFormat="1" x14ac:dyDescent="0.25">
      <c r="A233" s="32" t="s">
        <v>594</v>
      </c>
      <c r="B233" s="7">
        <v>4012</v>
      </c>
      <c r="C233" s="21" t="s">
        <v>210</v>
      </c>
      <c r="D233" s="21" t="s">
        <v>934</v>
      </c>
      <c r="E233" s="13">
        <v>42858.440740740742</v>
      </c>
      <c r="F233" s="13">
        <v>42858.443298611113</v>
      </c>
      <c r="G233" s="7">
        <v>2</v>
      </c>
      <c r="H233" s="21" t="s">
        <v>935</v>
      </c>
      <c r="I233" s="13">
        <v>42858.443437499998</v>
      </c>
      <c r="J233" s="7">
        <v>0</v>
      </c>
      <c r="K233" s="92" t="str">
        <f>IF(ISEVEN(B233),(B233-1)&amp;"/"&amp;B233,B233&amp;"/"&amp;(B233+1))</f>
        <v>4011/4012</v>
      </c>
      <c r="L233" s="21" t="str">
        <f>VLOOKUP(A233,'Trips&amp;Operators'!$C$1:$G$99999,5,FALSE)</f>
        <v>MAYBERRY BILL</v>
      </c>
      <c r="M233" s="6">
        <f>I233-F233</f>
        <v>1.3888888497604057E-4</v>
      </c>
      <c r="N233" s="7">
        <f>24*60*SUM($M233:$M233)</f>
        <v>0.19999999436549842</v>
      </c>
      <c r="O233" s="7"/>
      <c r="P233" s="7"/>
      <c r="Q233" s="22"/>
      <c r="R233" s="190"/>
      <c r="S233" s="196">
        <f>SUM(U233:U233)/IF(AG233="EC",12,1)</f>
        <v>0</v>
      </c>
      <c r="T233" s="190" t="e">
        <f>IF(ISEVEN(LEFT(AD233,4)),"Southbound","NorthBound")</f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>"https://d0f6bd738d7f1b3e5a7ca70fe4ff75f0.us-east-1.aws.found.io/app/kibana#/discover/Steve-Slow-Train-Analysis-(2080s-and-2083s)?_g="&amp;"(refreshInterval:(display:Off,pause:!f,section:0,value:0),time:(from:'"&amp;TEXT(E233-1/24,"yyyy-MM-DDThh:mm:ss")&amp;utc_offset&amp;"00"&amp;"',mode:absolute,to:'"&amp;TEXT(I233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233&amp;"%22')),sort:!(Time.ISO8601,asc))"</f>
        <v>https://d0f6bd738d7f1b3e5a7ca70fe4ff75f0.us-east-1.aws.found.io/app/kibana#/discover/Steve-Slow-Train-Analysis-(2080s-and-2083s)?_g=(refreshInterval:(display:Off,pause:!f,section:0,value:0),time:(from:'2017-05-03T09:34:40-0600',mode:absolute,to:'2017-05-03T11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33" s="192" t="str">
        <f>IF(AA233&lt;IF(AG233="EC",23,5.65),"Y","N")</f>
        <v>Y</v>
      </c>
      <c r="X233" s="192" t="e">
        <f>VALUE(LEFT(AD233,4))-VALUE(LEFT(AD232,4))</f>
        <v>#VALUE!</v>
      </c>
      <c r="Y233" s="192">
        <f>RIGHT(D233,LEN(D233)-4)/10000</f>
        <v>0.14899999999999999</v>
      </c>
      <c r="Z233" s="192">
        <f>RIGHT(H233,LEN(H233)-4)/10000</f>
        <v>0.1845</v>
      </c>
      <c r="AA233" s="192">
        <f>ABS(Z233-Y233)</f>
        <v>3.5500000000000004E-2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>IF(LEN(A233)=6,"0"&amp;A233,A233)</f>
        <v>57-03</v>
      </c>
      <c r="AE233" s="80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AF233" s="77" t="str">
        <f>astrogrep_path&amp;" /e /r /s /spath="&amp;search_path&amp;" /stypes=""app*"&amp;B233&amp;"*"&amp;TEXT(I233-utc_offset/24,"YYYYMMDD")&amp;"*"" /stext="" "&amp;TEXT(I233-utc_offset/24,"HH")&amp;search_regexp&amp;""""</f>
        <v>"C:\Program Files (x86)\AstroGrep\AstroGrep.exe" /e /r /s /spath="%USERPROFILE%\AppData\Local\Temp\OnboardLogs" /stypes="app*4012*20170503*" /stext=" 16:.+((SYSTEM_STATE.+slice.+state.+changed )|(ment ac)|(multiple cpu faults)|(system.+state.+changed )|(\[timeout)|(PRM\|1\|D)|(kpr)|(kdp)|(train st.+moving)|(\|lc)|(penalty))"</v>
      </c>
      <c r="AG233" s="1" t="str">
        <f>IFERROR(IF(VALUE(LEFT(AD233,2))&lt;=2,"EC",IF(OR(VALUE(LEFT(AD233,2))=8,VALUE(LEFT(AD233,2))=18),"NW","Other")),"Other")</f>
        <v>Other</v>
      </c>
      <c r="AH233" s="81" t="str">
        <f t="shared" si="22"/>
        <v>"%USERPROFILE%\Documents\GitHub\eaglep3\Utilities\RefineRTDCRunTimes.py" --tripid 57-03 --locoid 4012 --swversion DE.1.0.9.0 --startMP 204:1490 --initTime 2017-05-03T10:34:40 --startdatetime 2017-05-03T10:38:21 --delay 2 --endMP 204:1845 --enddatetime 2017-05-03T10:38:33 --enforcementcount 0 &gt;&gt;C:\Users\stu\Documents\GitHub\eaglep3-reporting\EC\2017-05-03-refined-times.txt</v>
      </c>
      <c r="AI233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{"issue":{"subject":"","project_id":79,"tracker_id":40,"status_id":1,"priority_id":2,"assigned_to_id":23,"start_date":"2017-05-03","description":"","custom_fields":[{"id":1,"name":"Subdivision","value":"Other"},{"id":4,"name":"Milepost","value":"0.1845"},{"id":17,"name":"Train ID","value":"57-03"},{"id":16,"name":"Locomotive ID","value":"4012"},{"id":130,"name":"Impact","value":""},{"id":150,"name":"Time of Event (Mountain Time)","value":"10:38:33"},{"id":151,"name":"Denver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3" s="47"/>
      <c r="AL233" s="47"/>
      <c r="AM233" s="145" t="str">
        <f t="shared" si="24"/>
        <v>start /low /b %USERPROFILE%\Documents\GitHub\eaglep3\Utilities\DownloadLogsFromS3.py --loco 4012 --day 2017-05-03</v>
      </c>
      <c r="AN233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16:38:33"},{"id":29,"name":"Sharepoint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706</v>
      </c>
      <c r="B234" s="7">
        <v>4011</v>
      </c>
      <c r="C234" s="21" t="s">
        <v>210</v>
      </c>
      <c r="D234" s="21" t="s">
        <v>936</v>
      </c>
      <c r="E234" s="13">
        <v>42858.445451388892</v>
      </c>
      <c r="F234" s="13">
        <v>42858.447199074071</v>
      </c>
      <c r="G234" s="7">
        <v>1</v>
      </c>
      <c r="H234" s="21" t="s">
        <v>203</v>
      </c>
      <c r="I234" s="13">
        <v>42858.448344907411</v>
      </c>
      <c r="J234" s="7">
        <v>0</v>
      </c>
      <c r="K234" s="92" t="str">
        <f>IF(ISEVEN(B234),(B234-1)&amp;"/"&amp;B234,B234&amp;"/"&amp;(B234+1))</f>
        <v>4011/4012</v>
      </c>
      <c r="L234" s="21" t="str">
        <f>VLOOKUP(A234,'Trips&amp;Operators'!$C$1:$G$99999,5,FALSE)</f>
        <v>MAYBERRY BILL</v>
      </c>
      <c r="M234" s="6">
        <f>I234-F234</f>
        <v>1.1458333392511122E-3</v>
      </c>
      <c r="N234" s="7">
        <f>24*60*SUM($M234:$M234)</f>
        <v>1.6500000085216016</v>
      </c>
      <c r="O234" s="7"/>
      <c r="P234" s="7"/>
      <c r="Q234" s="22"/>
      <c r="R234" s="190"/>
      <c r="S234" s="196">
        <f>SUM(U234:U234)/IF(AG234="EC",12,1)</f>
        <v>0</v>
      </c>
      <c r="T234" s="190" t="e">
        <f>IF(ISEVEN(LEFT(AD234,4)),"Southbound","NorthBound")</f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>"https://d0f6bd738d7f1b3e5a7ca70fe4ff75f0.us-east-1.aws.found.io/app/kibana#/discover/Steve-Slow-Train-Analysis-(2080s-and-2083s)?_g="&amp;"(refreshInterval:(display:Off,pause:!f,section:0,value:0),time:(from:'"&amp;TEXT(E234-1/24,"yyyy-MM-DDThh:mm:ss")&amp;utc_offset&amp;"00"&amp;"',mode:absolute,to:'"&amp;TEXT(I234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234&amp;"%22')),sort:!(Time.ISO8601,asc))"</f>
        <v>https://d0f6bd738d7f1b3e5a7ca70fe4ff75f0.us-east-1.aws.found.io/app/kibana#/discover/Steve-Slow-Train-Analysis-(2080s-and-2083s)?_g=(refreshInterval:(display:Off,pause:!f,section:0,value:0),time:(from:'2017-05-03T09:41:27-0600',mode:absolute,to:'2017-05-03T11:45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34" s="192" t="str">
        <f>IF(AA234&lt;IF(AG234="EC",23,5.65),"Y","N")</f>
        <v>Y</v>
      </c>
      <c r="X234" s="192" t="e">
        <f>VALUE(LEFT(AD234,4))-VALUE(LEFT(AD233,4))</f>
        <v>#VALUE!</v>
      </c>
      <c r="Y234" s="192">
        <f>RIGHT(D234,LEN(D234)-4)/10000</f>
        <v>0.29249999999999998</v>
      </c>
      <c r="Z234" s="192">
        <f>RIGHT(H234,LEN(H234)-4)/10000</f>
        <v>1.54E-2</v>
      </c>
      <c r="AA234" s="192">
        <f>ABS(Z234-Y234)</f>
        <v>0.27709999999999996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>IF(LEN(A234)=6,"0"&amp;A234,A234)</f>
        <v>58-03</v>
      </c>
      <c r="AE234" s="80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s3://rtdc.mdm.uploadarchive.raw/RTDC4011/ "%USERPROFILE%\AppData\Local\Temp\OnboardLogs"\RTDC4011\2017-05-03 --exclude "*" --recursive --include "*20170503*" &amp; "%USERPROFILE%\Documents\GitHub\mrs-test-scripts\Headless Mode &amp; Sideloading\WalkAndUnGZ.bat" "%USERPROFILE%\AppData\Local\Temp\OnboardLogs"\RTDC4011\2017-05-03 &amp; aws s3 cp s3://rtdc.mdm.uploadarchive.raw/RTDC4011/ "%USERPROFILE%\AppData\Local\Temp\OnboardLogs"\RTDC4011\2017-05-04 --exclude "*" --recursive --include "*20170504*" &amp; "%USERPROFILE%\Documents\GitHub\mrs-test-scripts\Headless Mode &amp; Sideloading\WalkAndUnGZ.bat" "%USERPROFILE%\AppData\Local\Temp\OnboardLogs"\RTDC4011\2017-05-04</v>
      </c>
      <c r="AF234" s="77" t="str">
        <f>astrogrep_path&amp;" /e /r /s /spath="&amp;search_path&amp;" /stypes=""app*"&amp;B234&amp;"*"&amp;TEXT(I234-utc_offset/24,"YYYYMMDD")&amp;"*"" /stext="" "&amp;TEXT(I234-utc_offset/24,"HH")&amp;search_regexp&amp;""""</f>
        <v>"C:\Program Files (x86)\AstroGrep\AstroGrep.exe" /e /r /s /spath="%USERPROFILE%\AppData\Local\Temp\OnboardLogs" /stypes="app*4011*20170503*" /stext=" 16:.+((SYSTEM_STATE.+slice.+state.+changed )|(ment ac)|(multiple cpu faults)|(system.+state.+changed )|(\[timeout)|(PRM\|1\|D)|(kpr)|(kdp)|(train st.+moving)|(\|lc)|(penalty))"</v>
      </c>
      <c r="AG234" s="1" t="str">
        <f>IFERROR(IF(VALUE(LEFT(AD234,2))&lt;=2,"EC",IF(OR(VALUE(LEFT(AD234,2))=8,VALUE(LEFT(AD234,2))=18),"NW","Other")),"Other")</f>
        <v>Other</v>
      </c>
      <c r="AH234" s="81" t="str">
        <f t="shared" si="22"/>
        <v>"%USERPROFILE%\Documents\GitHub\eaglep3\Utilities\RefineRTDCRunTimes.py" --tripid 58-03 --locoid 4011 --swversion DE.1.0.9.0 --startMP 204:2925 --initTime 2017-05-03T10:41:27 --startdatetime 2017-05-03T10:43:58 --delay 1 --endMP 204:154 --enddatetime 2017-05-03T10:45:37 --enforcementcount 0 &gt;&gt;C:\Users\stu\Documents\GitHub\eaglep3-reporting\EC\2017-05-03-refined-times.txt</v>
      </c>
      <c r="AI234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{"issue":{"subject":"","project_id":79,"tracker_id":40,"status_id":1,"priority_id":2,"assigned_to_id":23,"start_date":"2017-05-03","description":"","custom_fields":[{"id":1,"name":"Subdivision","value":"Other"},{"id":4,"name":"Milepost","value":"0.0154"},{"id":17,"name":"Train ID","value":"58-03"},{"id":16,"name":"Locomotive ID","value":"4011"},{"id":130,"name":"Impact","value":""},{"id":150,"name":"Time of Event (Mountain Time)","value":"10:45:37"},{"id":151,"name":"Denver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24"/>
        <v>start /low /b %USERPROFILE%\Documents\GitHub\eaglep3\Utilities\DownloadLogsFromS3.py --loco 4011 --day 2017-05-03</v>
      </c>
      <c r="AN234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16:45:37"},{"id":29,"name":"Sharepoint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x14ac:dyDescent="0.25">
      <c r="A235" s="32" t="s">
        <v>713</v>
      </c>
      <c r="B235" s="7">
        <v>4052</v>
      </c>
      <c r="C235" s="21" t="s">
        <v>210</v>
      </c>
      <c r="D235" s="21" t="s">
        <v>937</v>
      </c>
      <c r="E235" s="13">
        <v>42858.469421296293</v>
      </c>
      <c r="F235" s="13">
        <v>42858.471666666665</v>
      </c>
      <c r="G235" s="7">
        <v>2</v>
      </c>
      <c r="H235" s="21" t="s">
        <v>938</v>
      </c>
      <c r="I235" s="13">
        <v>42858.477337962962</v>
      </c>
      <c r="J235" s="7">
        <v>0</v>
      </c>
      <c r="K235" s="92" t="str">
        <f>IF(ISEVEN(B235),(B235-1)&amp;"/"&amp;B235,B235&amp;"/"&amp;(B235+1))</f>
        <v>4051/4052</v>
      </c>
      <c r="L235" s="21" t="str">
        <f>VLOOKUP(A235,'Trips&amp;Operators'!$C$1:$G$99999,5,FALSE)</f>
        <v>MAELZER KURT</v>
      </c>
      <c r="M235" s="6">
        <f>I235-F235</f>
        <v>5.6712962978053838E-3</v>
      </c>
      <c r="N235" s="7">
        <f>24*60*SUM($M235:$M235)</f>
        <v>8.1666666688397527</v>
      </c>
      <c r="O235" s="7"/>
      <c r="P235" s="7"/>
      <c r="Q235" s="22"/>
      <c r="R235" s="190"/>
      <c r="S235" s="196">
        <f>SUM(U235:U235)/IF(AG235="EC",12,1)</f>
        <v>0</v>
      </c>
      <c r="T235" s="190" t="e">
        <f>IF(ISEVEN(LEFT(AD235,4)),"Southbound","NorthBound")</f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>"https://d0f6bd738d7f1b3e5a7ca70fe4ff75f0.us-east-1.aws.found.io/app/kibana#/discover/Steve-Slow-Train-Analysis-(2080s-and-2083s)?_g="&amp;"(refreshInterval:(display:Off,pause:!f,section:0,value:0),time:(from:'"&amp;TEXT(E235-1/24,"yyyy-MM-DDThh:mm:ss")&amp;utc_offset&amp;"00"&amp;"',mode:absolute,to:'"&amp;TEXT(I235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235&amp;"%22')),sort:!(Time.ISO8601,asc))"</f>
        <v>https://d0f6bd738d7f1b3e5a7ca70fe4ff75f0.us-east-1.aws.found.io/app/kibana#/discover/Steve-Slow-Train-Analysis-(2080s-and-2083s)?_g=(refreshInterval:(display:Off,pause:!f,section:0,value:0),time:(from:'2017-05-03T10:15:58-0600',mode:absolute,to:'2017-05-03T12:27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35" s="192" t="str">
        <f>IF(AA235&lt;IF(AG235="EC",23,5.65),"Y","N")</f>
        <v>Y</v>
      </c>
      <c r="X235" s="192" t="e">
        <f>VALUE(LEFT(AD235,4))-VALUE(LEFT(AD234,4))</f>
        <v>#VALUE!</v>
      </c>
      <c r="Y235" s="192">
        <f>RIGHT(D235,LEN(D235)-4)/10000</f>
        <v>0.1177</v>
      </c>
      <c r="Z235" s="192">
        <f>RIGHT(H235,LEN(H235)-4)/10000</f>
        <v>2.4237000000000002</v>
      </c>
      <c r="AA235" s="192">
        <f>ABS(Z235-Y235)</f>
        <v>2.306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>IF(LEN(A235)=6,"0"&amp;A235,A235)</f>
        <v>59-03</v>
      </c>
      <c r="AE235" s="80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s3://rtdc.mdm.uploadarchive.raw/RTDC4052/ "%USERPROFILE%\AppData\Local\Temp\OnboardLogs"\RTDC4052\2017-05-03 --exclude "*" --recursive --include "*20170503*" &amp; "%USERPROFILE%\Documents\GitHub\mrs-test-scripts\Headless Mode &amp; Sideloading\WalkAndUnGZ.bat" "%USERPROFILE%\AppData\Local\Temp\OnboardLogs"\RTDC4052\2017-05-03 &amp; 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</v>
      </c>
      <c r="AF235" s="77" t="str">
        <f>astrogrep_path&amp;" /e /r /s /spath="&amp;search_path&amp;" /stypes=""app*"&amp;B235&amp;"*"&amp;TEXT(I235-utc_offset/24,"YYYYMMDD")&amp;"*"" /stext="" "&amp;TEXT(I235-utc_offset/24,"HH")&amp;search_regexp&amp;""""</f>
        <v>"C:\Program Files (x86)\AstroGrep\AstroGrep.exe" /e /r /s /spath="%USERPROFILE%\AppData\Local\Temp\OnboardLogs" /stypes="app*4052*20170503*" /stext=" 17:.+((SYSTEM_STATE.+slice.+state.+changed )|(ment ac)|(multiple cpu faults)|(system.+state.+changed )|(\[timeout)|(PRM\|1\|D)|(kpr)|(kdp)|(train st.+moving)|(\|lc)|(penalty))"</v>
      </c>
      <c r="AG235" s="1" t="str">
        <f>IFERROR(IF(VALUE(LEFT(AD235,2))&lt;=2,"EC",IF(OR(VALUE(LEFT(AD235,2))=8,VALUE(LEFT(AD235,2))=18),"NW","Other")),"Other")</f>
        <v>Other</v>
      </c>
      <c r="AH235" s="81" t="str">
        <f t="shared" si="22"/>
        <v>"%USERPROFILE%\Documents\GitHub\eaglep3\Utilities\RefineRTDCRunTimes.py" --tripid 59-03 --locoid 4052 --swversion DE.1.0.9.0 --startMP 204:1177 --initTime 2017-05-03T11:15:58 --startdatetime 2017-05-03T11:19:12 --delay 2 --endMP 300:24237 --enddatetime 2017-05-03T11:27:22 --enforcementcount 0 &gt;&gt;C:\Users\stu\Documents\GitHub\eaglep3-reporting\EC\2017-05-03-refined-times.txt</v>
      </c>
      <c r="AI235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{"issue":{"subject":"","project_id":79,"tracker_id":40,"status_id":1,"priority_id":2,"assigned_to_id":23,"start_date":"2017-05-03","description":"","custom_fields":[{"id":1,"name":"Subdivision","value":"Other"},{"id":4,"name":"Milepost","value":"2.4237"},{"id":17,"name":"Train ID","value":"59-03"},{"id":16,"name":"Locomotive ID","value":"4052"},{"id":130,"name":"Impact","value":""},{"id":150,"name":"Time of Event (Mountain Time)","value":"11:27:22"},{"id":151,"name":"Denver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20"/>
      <c r="AK235" s="47"/>
      <c r="AL235" s="47"/>
      <c r="AM235" s="145" t="str">
        <f t="shared" si="24"/>
        <v>start /low /b %USERPROFILE%\Documents\GitHub\eaglep3\Utilities\DownloadLogsFromS3.py --loco 4052 --day 2017-05-03</v>
      </c>
      <c r="AN235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17:27:22"},{"id":29,"name":"Sharepoint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757</v>
      </c>
      <c r="B236" s="7">
        <v>4023</v>
      </c>
      <c r="C236" s="21" t="s">
        <v>210</v>
      </c>
      <c r="D236" s="21" t="s">
        <v>939</v>
      </c>
      <c r="E236" s="13">
        <v>42858.66033564815</v>
      </c>
      <c r="F236" s="13">
        <v>42858.661863425928</v>
      </c>
      <c r="G236" s="7">
        <v>1</v>
      </c>
      <c r="H236" s="21" t="s">
        <v>203</v>
      </c>
      <c r="I236" s="13">
        <v>42858.663055555553</v>
      </c>
      <c r="J236" s="7">
        <v>0</v>
      </c>
      <c r="K236" s="92" t="str">
        <f>IF(ISEVEN(B236),(B236-1)&amp;"/"&amp;B236,B236&amp;"/"&amp;(B236+1))</f>
        <v>4023/4024</v>
      </c>
      <c r="L236" s="21" t="str">
        <f>VLOOKUP(A236,'Trips&amp;Operators'!$C$1:$G$99999,5,FALSE)</f>
        <v>DE LA ROSA ALEX</v>
      </c>
      <c r="M236" s="6">
        <f>I236-F236</f>
        <v>1.1921296245418489E-3</v>
      </c>
      <c r="N236" s="7">
        <f>24*60*SUM($M236:$M236)</f>
        <v>1.7166666593402624</v>
      </c>
      <c r="O236" s="7"/>
      <c r="P236" s="7"/>
      <c r="Q236" s="22"/>
      <c r="R236" s="190"/>
      <c r="S236" s="196">
        <f>SUM(U236:U236)/IF(AG236="EC",12,1)</f>
        <v>0</v>
      </c>
      <c r="T236" s="190" t="e">
        <f>IF(ISEVEN(LEFT(AD236,4)),"Southbound","NorthBound")</f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>"https://d0f6bd738d7f1b3e5a7ca70fe4ff75f0.us-east-1.aws.found.io/app/kibana#/discover/Steve-Slow-Train-Analysis-(2080s-and-2083s)?_g="&amp;"(refreshInterval:(display:Off,pause:!f,section:0,value:0),time:(from:'"&amp;TEXT(E236-1/24,"yyyy-MM-DDThh:mm:ss")&amp;utc_offset&amp;"00"&amp;"',mode:absolute,to:'"&amp;TEXT(I236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236&amp;"%22')),sort:!(Time.ISO8601,asc))"</f>
        <v>https://d0f6bd738d7f1b3e5a7ca70fe4ff75f0.us-east-1.aws.found.io/app/kibana#/discover/Steve-Slow-Train-Analysis-(2080s-and-2083s)?_g=(refreshInterval:(display:Off,pause:!f,section:0,value:0),time:(from:'2017-05-03T14:50:53-0600',mode:absolute,to:'2017-05-03T16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36" s="192" t="str">
        <f>IF(AA236&lt;IF(AG236="EC",23,5.65),"Y","N")</f>
        <v>Y</v>
      </c>
      <c r="X236" s="192" t="e">
        <f>VALUE(LEFT(AD236,4))-VALUE(LEFT(AD235,4))</f>
        <v>#VALUE!</v>
      </c>
      <c r="Y236" s="192">
        <f>RIGHT(D236,LEN(D236)-4)/10000</f>
        <v>0.32069999999999999</v>
      </c>
      <c r="Z236" s="192">
        <f>RIGHT(H236,LEN(H236)-4)/10000</f>
        <v>1.54E-2</v>
      </c>
      <c r="AA236" s="192">
        <f>ABS(Z236-Y236)</f>
        <v>0.30529999999999996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>IF(LEN(A236)=6,"0"&amp;A236,A236)</f>
        <v>61-03</v>
      </c>
      <c r="AE236" s="80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AF236" s="77" t="str">
        <f>astrogrep_path&amp;" /e /r /s /spath="&amp;search_path&amp;" /stypes=""app*"&amp;B236&amp;"*"&amp;TEXT(I236-utc_offset/24,"YYYYMMDD")&amp;"*"" /stext="" "&amp;TEXT(I236-utc_offset/24,"HH")&amp;search_regexp&amp;""""</f>
        <v>"C:\Program Files (x86)\AstroGrep\AstroGrep.exe" /e /r /s /spath="%USERPROFILE%\AppData\Local\Temp\OnboardLogs" /stypes="app*4023*20170503*" /stext=" 21:.+((SYSTEM_STATE.+slice.+state.+changed )|(ment ac)|(multiple cpu faults)|(system.+state.+changed )|(\[timeout)|(PRM\|1\|D)|(kpr)|(kdp)|(train st.+moving)|(\|lc)|(penalty))"</v>
      </c>
      <c r="AG236" s="1" t="str">
        <f>IFERROR(IF(VALUE(LEFT(AD236,2))&lt;=2,"EC",IF(OR(VALUE(LEFT(AD236,2))=8,VALUE(LEFT(AD236,2))=18),"NW","Other")),"Other")</f>
        <v>Other</v>
      </c>
      <c r="AH236" s="81" t="str">
        <f t="shared" si="22"/>
        <v>"%USERPROFILE%\Documents\GitHub\eaglep3\Utilities\RefineRTDCRunTimes.py" --tripid 61-03 --locoid 4023 --swversion DE.1.0.9.0 --startMP 204:3207 --initTime 2017-05-03T15:50:53 --startdatetime 2017-05-03T15:53:05 --delay 1 --endMP 204:154 --enddatetime 2017-05-03T15:54:48 --enforcementcount 0 &gt;&gt;C:\Users\stu\Documents\GitHub\eaglep3-reporting\EC\2017-05-03-refined-times.txt</v>
      </c>
      <c r="AI236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{"issue":{"subject":"","project_id":79,"tracker_id":40,"status_id":1,"priority_id":2,"assigned_to_id":23,"start_date":"2017-05-03","description":"","custom_fields":[{"id":1,"name":"Subdivision","value":"Other"},{"id":4,"name":"Milepost","value":"0.0154"},{"id":17,"name":"Train ID","value":"61-03"},{"id":16,"name":"Locomotive ID","value":"4023"},{"id":130,"name":"Impact","value":""},{"id":150,"name":"Time of Event (Mountain Time)","value":"15:54:48"},{"id":151,"name":"Denver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24"/>
        <v>start /low /b %USERPROFILE%\Documents\GitHub\eaglep3\Utilities\DownloadLogsFromS3.py --loco 4023 --day 2017-05-03</v>
      </c>
      <c r="AN236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757</v>
      </c>
      <c r="B237" s="7">
        <v>4024</v>
      </c>
      <c r="C237" s="21" t="s">
        <v>210</v>
      </c>
      <c r="D237" s="21" t="s">
        <v>940</v>
      </c>
      <c r="E237" s="13">
        <v>42858.653483796297</v>
      </c>
      <c r="F237" s="13">
        <v>42858.661863425928</v>
      </c>
      <c r="G237" s="7">
        <v>1</v>
      </c>
      <c r="H237" s="21" t="s">
        <v>941</v>
      </c>
      <c r="I237" s="13">
        <v>42858.663055555553</v>
      </c>
      <c r="J237" s="7">
        <v>0</v>
      </c>
      <c r="K237" s="92" t="str">
        <f>IF(ISEVEN(B237),(B237-1)&amp;"/"&amp;B237,B237&amp;"/"&amp;(B237+1))</f>
        <v>4023/4024</v>
      </c>
      <c r="L237" s="21" t="str">
        <f>VLOOKUP(A237,'Trips&amp;Operators'!$C$1:$G$99999,5,FALSE)</f>
        <v>DE LA ROSA ALEX</v>
      </c>
      <c r="M237" s="6">
        <f>I237-F237</f>
        <v>1.1921296245418489E-3</v>
      </c>
      <c r="N237" s="7">
        <f>24*60*SUM($M237:$M237)</f>
        <v>1.7166666593402624</v>
      </c>
      <c r="O237" s="7"/>
      <c r="P237" s="7"/>
      <c r="Q237" s="22"/>
      <c r="R237" s="190"/>
      <c r="S237" s="196">
        <f>SUM(U237:U237)/IF(AG237="EC",12,1)</f>
        <v>0</v>
      </c>
      <c r="T237" s="190" t="e">
        <f>IF(ISEVEN(LEFT(AD237,4)),"Southbound","NorthBound")</f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>"https://d0f6bd738d7f1b3e5a7ca70fe4ff75f0.us-east-1.aws.found.io/app/kibana#/discover/Steve-Slow-Train-Analysis-(2080s-and-2083s)?_g="&amp;"(refreshInterval:(display:Off,pause:!f,section:0,value:0),time:(from:'"&amp;TEXT(E237-1/24,"yyyy-MM-DDThh:mm:ss")&amp;utc_offset&amp;"00"&amp;"',mode:absolute,to:'"&amp;TEXT(I237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237&amp;"%22')),sort:!(Time.ISO8601,asc))"</f>
        <v>https://d0f6bd738d7f1b3e5a7ca70fe4ff75f0.us-east-1.aws.found.io/app/kibana#/discover/Steve-Slow-Train-Analysis-(2080s-and-2083s)?_g=(refreshInterval:(display:Off,pause:!f,section:0,value:0),time:(from:'2017-05-03T14:41:01-0600',mode:absolute,to:'2017-05-03T16:54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37" s="192" t="str">
        <f>IF(AA237&lt;IF(AG237="EC",23,5.65),"Y","N")</f>
        <v>Y</v>
      </c>
      <c r="X237" s="192" t="e">
        <f>VALUE(LEFT(AD237,4))-VALUE(LEFT(AD236,4))</f>
        <v>#VALUE!</v>
      </c>
      <c r="Y237" s="192">
        <f>RIGHT(D237,LEN(D237)-4)/10000</f>
        <v>0.14879999999999999</v>
      </c>
      <c r="Z237" s="192">
        <f>RIGHT(H237,LEN(H237)-4)/10000</f>
        <v>0.35199999999999998</v>
      </c>
      <c r="AA237" s="192">
        <f>ABS(Z237-Y237)</f>
        <v>0.20319999999999999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>IF(LEN(A237)=6,"0"&amp;A237,A237)</f>
        <v>61-03</v>
      </c>
      <c r="AE237" s="80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AF237" s="77" t="str">
        <f>astrogrep_path&amp;" /e /r /s /spath="&amp;search_path&amp;" /stypes=""app*"&amp;B237&amp;"*"&amp;TEXT(I237-utc_offset/24,"YYYYMMDD")&amp;"*"" /stext="" "&amp;TEXT(I237-utc_offset/24,"HH")&amp;search_regexp&amp;""""</f>
        <v>"C:\Program Files (x86)\AstroGrep\AstroGrep.exe" /e /r /s /spath="%USERPROFILE%\AppData\Local\Temp\OnboardLogs" /stypes="app*4024*20170503*" /stext=" 21:.+((SYSTEM_STATE.+slice.+state.+changed )|(ment ac)|(multiple cpu faults)|(system.+state.+changed )|(\[timeout)|(PRM\|1\|D)|(kpr)|(kdp)|(train st.+moving)|(\|lc)|(penalty))"</v>
      </c>
      <c r="AG237" s="1" t="str">
        <f>IFERROR(IF(VALUE(LEFT(AD237,2))&lt;=2,"EC",IF(OR(VALUE(LEFT(AD237,2))=8,VALUE(LEFT(AD237,2))=18),"NW","Other")),"Other")</f>
        <v>Other</v>
      </c>
      <c r="AH237" s="81" t="str">
        <f t="shared" si="22"/>
        <v>"%USERPROFILE%\Documents\GitHub\eaglep3\Utilities\RefineRTDCRunTimes.py" --tripid 61-03 --locoid 4024 --swversion DE.1.0.9.0 --startMP 204:1488 --initTime 2017-05-03T15:41:01 --startdatetime 2017-05-03T15:53:05 --delay 1 --endMP 204:3520 --enddatetime 2017-05-03T15:54:48 --enforcementcount 0 &gt;&gt;C:\Users\stu\Documents\GitHub\eaglep3-reporting\EC\2017-05-03-refined-times.txt</v>
      </c>
      <c r="AI237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{"issue":{"subject":"","project_id":79,"tracker_id":40,"status_id":1,"priority_id":2,"assigned_to_id":23,"start_date":"2017-05-03","description":"","custom_fields":[{"id":1,"name":"Subdivision","value":"Other"},{"id":4,"name":"Milepost","value":"0.352"},{"id":17,"name":"Train ID","value":"61-03"},{"id":16,"name":"Locomotive ID","value":"4024"},{"id":130,"name":"Impact","value":""},{"id":150,"name":"Time of Event (Mountain Time)","value":"15:54:48"},{"id":151,"name":"Denver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24"/>
        <v>start /low /b %USERPROFILE%\Documents\GitHub\eaglep3\Utilities\DownloadLogsFromS3.py --loco 4024 --day 2017-05-03</v>
      </c>
      <c r="AN237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21:54:48"},{"id":29,"name":"Sharepoint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607</v>
      </c>
      <c r="B238" s="7">
        <v>4013</v>
      </c>
      <c r="C238" s="21" t="s">
        <v>210</v>
      </c>
      <c r="D238" s="21" t="s">
        <v>942</v>
      </c>
      <c r="E238" s="13">
        <v>42858.733472222222</v>
      </c>
      <c r="F238" s="13">
        <v>42858.736168981479</v>
      </c>
      <c r="G238" s="7">
        <v>3</v>
      </c>
      <c r="H238" s="21" t="s">
        <v>943</v>
      </c>
      <c r="I238" s="13">
        <v>42858.744027777779</v>
      </c>
      <c r="J238" s="7">
        <v>0</v>
      </c>
      <c r="K238" s="92" t="str">
        <f>IF(ISEVEN(B238),(B238-1)&amp;"/"&amp;B238,B238&amp;"/"&amp;(B238+1))</f>
        <v>4013/4014</v>
      </c>
      <c r="L238" s="21" t="str">
        <f>VLOOKUP(A238,'Trips&amp;Operators'!$C$1:$G$99999,5,FALSE)</f>
        <v>GUZMAN DANNY</v>
      </c>
      <c r="M238" s="6">
        <f>I238-F238</f>
        <v>7.8587962998426519E-3</v>
      </c>
      <c r="N238" s="7">
        <f>24*60*SUM($M238:$M238)</f>
        <v>11.316666671773419</v>
      </c>
      <c r="O238" s="7"/>
      <c r="P238" s="7"/>
      <c r="Q238" s="22"/>
      <c r="R238" s="190"/>
      <c r="S238" s="196">
        <f>SUM(U238:U238)/IF(AG238="EC",12,1)</f>
        <v>0</v>
      </c>
      <c r="T238" s="190" t="e">
        <f>IF(ISEVEN(LEFT(AD238,4)),"Southbound","NorthBound")</f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>"https://d0f6bd738d7f1b3e5a7ca70fe4ff75f0.us-east-1.aws.found.io/app/kibana#/discover/Steve-Slow-Train-Analysis-(2080s-and-2083s)?_g="&amp;"(refreshInterval:(display:Off,pause:!f,section:0,value:0),time:(from:'"&amp;TEXT(E238-1/24,"yyyy-MM-DDThh:mm:ss")&amp;utc_offset&amp;"00"&amp;"',mode:absolute,to:'"&amp;TEXT(I238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238&amp;"%22')),sort:!(Time.ISO8601,asc))"</f>
        <v>https://d0f6bd738d7f1b3e5a7ca70fe4ff75f0.us-east-1.aws.found.io/app/kibana#/discover/Steve-Slow-Train-Analysis-(2080s-and-2083s)?_g=(refreshInterval:(display:Off,pause:!f,section:0,value:0),time:(from:'2017-05-03T16:36:12-0600',mode:absolute,to:'2017-05-03T18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38" s="192" t="str">
        <f>IF(AA238&lt;IF(AG238="EC",23,5.65),"Y","N")</f>
        <v>Y</v>
      </c>
      <c r="X238" s="192" t="e">
        <f>VALUE(LEFT(AD238,4))-VALUE(LEFT(AD237,4))</f>
        <v>#VALUE!</v>
      </c>
      <c r="Y238" s="192">
        <f>RIGHT(D238,LEN(D238)-4)/10000</f>
        <v>2.2280000000000002</v>
      </c>
      <c r="Z238" s="192">
        <f>RIGHT(H238,LEN(H238)-4)/10000</f>
        <v>8.9399999999999993E-2</v>
      </c>
      <c r="AA238" s="192">
        <f>ABS(Z238-Y238)</f>
        <v>2.1386000000000003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>IF(LEN(A238)=6,"0"&amp;A238,A238)</f>
        <v>70-03</v>
      </c>
      <c r="AE238" s="80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s3://rtdc.mdm.uploadarchive.raw/RTDC4013/ "%USERPROFILE%\AppData\Local\Temp\OnboardLogs"\RTDC4013\2017-05-03 --exclude "*" --recursive --include "*20170503*" &amp; "%USERPROFILE%\Documents\GitHub\mrs-test-scripts\Headless Mode &amp; Sideloading\WalkAndUnGZ.bat" "%USERPROFILE%\AppData\Local\Temp\OnboardLogs"\RTDC4013\2017-05-03 &amp; aws s3 cp s3://rtdc.mdm.uploadarchive.raw/RTDC4013/ "%USERPROFILE%\AppData\Local\Temp\OnboardLogs"\RTDC4013\2017-05-04 --exclude "*" --recursive --include "*20170504*" &amp; "%USERPROFILE%\Documents\GitHub\mrs-test-scripts\Headless Mode &amp; Sideloading\WalkAndUnGZ.bat" "%USERPROFILE%\AppData\Local\Temp\OnboardLogs"\RTDC4013\2017-05-04</v>
      </c>
      <c r="AF238" s="77" t="str">
        <f>astrogrep_path&amp;" /e /r /s /spath="&amp;search_path&amp;" /stypes=""app*"&amp;B238&amp;"*"&amp;TEXT(I238-utc_offset/24,"YYYYMMDD")&amp;"*"" /stext="" "&amp;TEXT(I238-utc_offset/24,"HH")&amp;search_regexp&amp;""""</f>
        <v>"C:\Program Files (x86)\AstroGrep\AstroGrep.exe" /e /r /s /spath="%USERPROFILE%\AppData\Local\Temp\OnboardLogs" /stypes="app*4013*20170503*" /stext=" 23:.+((SYSTEM_STATE.+slice.+state.+changed )|(ment ac)|(multiple cpu faults)|(system.+state.+changed )|(\[timeout)|(PRM\|1\|D)|(kpr)|(kdp)|(train st.+moving)|(\|lc)|(penalty))"</v>
      </c>
      <c r="AG238" s="1" t="str">
        <f>IFERROR(IF(VALUE(LEFT(AD238,2))&lt;=2,"EC",IF(OR(VALUE(LEFT(AD238,2))=8,VALUE(LEFT(AD238,2))=18),"NW","Other")),"Other")</f>
        <v>Other</v>
      </c>
      <c r="AH238" s="81" t="str">
        <f t="shared" si="22"/>
        <v>"%USERPROFILE%\Documents\GitHub\eaglep3\Utilities\RefineRTDCRunTimes.py" --tripid 70-03 --locoid 4013 --swversion DE.1.0.9.0 --startMP 300:22280 --initTime 2017-05-03T17:36:12 --startdatetime 2017-05-03T17:40:05 --delay 3 --endMP 204:894 --enddatetime 2017-05-03T17:51:24 --enforcementcount 0 &gt;&gt;C:\Users\stu\Documents\GitHub\eaglep3-reporting\EC\2017-05-03-refined-times.txt</v>
      </c>
      <c r="AI238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{"issue":{"subject":"","project_id":79,"tracker_id":40,"status_id":1,"priority_id":2,"assigned_to_id":23,"start_date":"2017-05-03","description":"","custom_fields":[{"id":1,"name":"Subdivision","value":"Other"},{"id":4,"name":"Milepost","value":"0.0894"},{"id":17,"name":"Train ID","value":"70-03"},{"id":16,"name":"Locomotive ID","value":"4013"},{"id":130,"name":"Impact","value":""},{"id":150,"name":"Time of Event (Mountain Time)","value":"17:51:24"},{"id":151,"name":"Denver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24"/>
        <v>start /low /b %USERPROFILE%\Documents\GitHub\eaglep3\Utilities\DownloadLogsFromS3.py --loco 4013 --day 2017-05-03</v>
      </c>
      <c r="AN238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609</v>
      </c>
      <c r="B239" s="7">
        <v>4051</v>
      </c>
      <c r="C239" s="21" t="s">
        <v>210</v>
      </c>
      <c r="D239" s="21" t="s">
        <v>944</v>
      </c>
      <c r="E239" s="13">
        <v>42858.733900462961</v>
      </c>
      <c r="F239" s="13">
        <v>42858.738796296297</v>
      </c>
      <c r="G239" s="7">
        <v>6</v>
      </c>
      <c r="H239" s="21" t="s">
        <v>945</v>
      </c>
      <c r="I239" s="13">
        <v>42858.745949074073</v>
      </c>
      <c r="J239" s="7">
        <v>0</v>
      </c>
      <c r="K239" s="92" t="str">
        <f>IF(ISEVEN(B239),(B239-1)&amp;"/"&amp;B239,B239&amp;"/"&amp;(B239+1))</f>
        <v>4051/4052</v>
      </c>
      <c r="L239" s="21" t="str">
        <f>VLOOKUP(A239,'Trips&amp;Operators'!$C$1:$G$99999,5,FALSE)</f>
        <v>BROWN JACOB</v>
      </c>
      <c r="M239" s="6">
        <f>I239-F239</f>
        <v>7.1527777763549238E-3</v>
      </c>
      <c r="N239" s="7">
        <f>24*60*SUM($M239:$M239)</f>
        <v>10.29999999795109</v>
      </c>
      <c r="O239" s="7"/>
      <c r="P239" s="7"/>
      <c r="Q239" s="22"/>
      <c r="R239" s="190"/>
      <c r="S239" s="196">
        <f>SUM(U239:U239)/IF(AG239="EC",12,1)</f>
        <v>0</v>
      </c>
      <c r="T239" s="190" t="e">
        <f>IF(ISEVEN(LEFT(AD239,4)),"Southbound","NorthBound")</f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>"https://d0f6bd738d7f1b3e5a7ca70fe4ff75f0.us-east-1.aws.found.io/app/kibana#/discover/Steve-Slow-Train-Analysis-(2080s-and-2083s)?_g="&amp;"(refreshInterval:(display:Off,pause:!f,section:0,value:0),time:(from:'"&amp;TEXT(E239-1/24,"yyyy-MM-DDThh:mm:ss")&amp;utc_offset&amp;"00"&amp;"',mode:absolute,to:'"&amp;TEXT(I239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239&amp;"%22')),sort:!(Time.ISO8601,asc))"</f>
        <v>https://d0f6bd738d7f1b3e5a7ca70fe4ff75f0.us-east-1.aws.found.io/app/kibana#/discover/Steve-Slow-Train-Analysis-(2080s-and-2083s)?_g=(refreshInterval:(display:Off,pause:!f,section:0,value:0),time:(from:'2017-05-03T16:36:49-0600',mode:absolute,to:'2017-05-03T18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39" s="192" t="str">
        <f>IF(AA239&lt;IF(AG239="EC",23,5.65),"Y","N")</f>
        <v>Y</v>
      </c>
      <c r="X239" s="192" t="e">
        <f>VALUE(LEFT(AD239,4))-VALUE(LEFT(AD238,4))</f>
        <v>#VALUE!</v>
      </c>
      <c r="Y239" s="192">
        <f>RIGHT(D239,LEN(D239)-4)/10000</f>
        <v>2.3532999999999999</v>
      </c>
      <c r="Z239" s="192">
        <f>RIGHT(H239,LEN(H239)-4)/10000</f>
        <v>9.1000000000000004E-3</v>
      </c>
      <c r="AA239" s="192">
        <f>ABS(Z239-Y239)</f>
        <v>2.3441999999999998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>IF(LEN(A239)=6,"0"&amp;A239,A239)</f>
        <v>72-03</v>
      </c>
      <c r="AE239" s="80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s3://rtdc.mdm.uploadarchive.raw/RTDC4051/ "%USERPROFILE%\AppData\Local\Temp\OnboardLogs"\RTDC4051\2017-05-03 --exclude "*" --recursive --include "*20170503*" &amp; "%USERPROFILE%\Documents\GitHub\mrs-test-scripts\Headless Mode &amp; Sideloading\WalkAndUnGZ.bat" "%USERPROFILE%\AppData\Local\Temp\OnboardLogs"\RTDC4051\2017-05-03 &amp; aws s3 cp s3://rtdc.mdm.uploadarchive.raw/RTDC4051/ "%USERPROFILE%\AppData\Local\Temp\OnboardLogs"\RTDC4051\2017-05-04 --exclude "*" --recursive --include "*20170504*" &amp; "%USERPROFILE%\Documents\GitHub\mrs-test-scripts\Headless Mode &amp; Sideloading\WalkAndUnGZ.bat" "%USERPROFILE%\AppData\Local\Temp\OnboardLogs"\RTDC4051\2017-05-04</v>
      </c>
      <c r="AF239" s="77" t="str">
        <f>astrogrep_path&amp;" /e /r /s /spath="&amp;search_path&amp;" /stypes=""app*"&amp;B239&amp;"*"&amp;TEXT(I239-utc_offset/24,"YYYYMMDD")&amp;"*"" /stext="" "&amp;TEXT(I239-utc_offset/24,"HH")&amp;search_regexp&amp;""""</f>
        <v>"C:\Program Files (x86)\AstroGrep\AstroGrep.exe" /e /r /s /spath="%USERPROFILE%\AppData\Local\Temp\OnboardLogs" /stypes="app*4051*20170503*" /stext=" 23:.+((SYSTEM_STATE.+slice.+state.+changed )|(ment ac)|(multiple cpu faults)|(system.+state.+changed )|(\[timeout)|(PRM\|1\|D)|(kpr)|(kdp)|(train st.+moving)|(\|lc)|(penalty))"</v>
      </c>
      <c r="AG239" s="1" t="str">
        <f>IFERROR(IF(VALUE(LEFT(AD239,2))&lt;=2,"EC",IF(OR(VALUE(LEFT(AD239,2))=8,VALUE(LEFT(AD239,2))=18),"NW","Other")),"Other")</f>
        <v>Other</v>
      </c>
      <c r="AH239" s="81" t="str">
        <f t="shared" si="22"/>
        <v>"%USERPROFILE%\Documents\GitHub\eaglep3\Utilities\RefineRTDCRunTimes.py" --tripid 72-03 --locoid 4051 --swversion DE.1.0.9.0 --startMP 300:23533 --initTime 2017-05-03T17:36:49 --startdatetime 2017-05-03T17:43:52 --delay 6 --endMP 204:91 --enddatetime 2017-05-03T17:54:10 --enforcementcount 0 &gt;&gt;C:\Users\stu\Documents\GitHub\eaglep3-reporting\EC\2017-05-03-refined-times.txt</v>
      </c>
      <c r="AI239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{"issue":{"subject":"","project_id":79,"tracker_id":40,"status_id":1,"priority_id":2,"assigned_to_id":23,"start_date":"2017-05-03","description":"","custom_fields":[{"id":1,"name":"Subdivision","value":"Other"},{"id":4,"name":"Milepost","value":"0.0091"},{"id":17,"name":"Train ID","value":"72-03"},{"id":16,"name":"Locomotive ID","value":"4051"},{"id":130,"name":"Impact","value":""},{"id":150,"name":"Time of Event (Mountain Time)","value":"17:54:10"},{"id":151,"name":"Denver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24"/>
        <v>start /low /b %USERPROFILE%\Documents\GitHub\eaglep3\Utilities\DownloadLogsFromS3.py --loco 4051 --day 2017-05-03</v>
      </c>
      <c r="AN239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23:54:10"},{"id":29,"name":"Sharepoint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792</v>
      </c>
      <c r="B240" s="7">
        <v>4052</v>
      </c>
      <c r="C240" s="21" t="s">
        <v>210</v>
      </c>
      <c r="D240" s="21" t="s">
        <v>946</v>
      </c>
      <c r="E240" s="13">
        <v>42858.77134259259</v>
      </c>
      <c r="F240" s="13">
        <v>42858.772812499999</v>
      </c>
      <c r="G240" s="7">
        <v>1</v>
      </c>
      <c r="H240" s="21" t="s">
        <v>947</v>
      </c>
      <c r="I240" s="13">
        <v>42858.778680555559</v>
      </c>
      <c r="J240" s="7">
        <v>0</v>
      </c>
      <c r="K240" s="92" t="str">
        <f>IF(ISEVEN(B240),(B240-1)&amp;"/"&amp;B240,B240&amp;"/"&amp;(B240+1))</f>
        <v>4051/4052</v>
      </c>
      <c r="L240" s="21" t="str">
        <f>VLOOKUP(A240,'Trips&amp;Operators'!$C$1:$G$99999,5,FALSE)</f>
        <v>LEVERE CRAIG</v>
      </c>
      <c r="M240" s="6">
        <f>I240-F240</f>
        <v>5.8680555594037287E-3</v>
      </c>
      <c r="N240" s="7">
        <f>24*60*SUM($M240:$M240)</f>
        <v>8.4500000055413693</v>
      </c>
      <c r="O240" s="7"/>
      <c r="P240" s="7"/>
      <c r="Q240" s="22"/>
      <c r="R240" s="190"/>
      <c r="S240" s="196">
        <f>SUM(U240:U240)/IF(AG240="EC",12,1)</f>
        <v>0</v>
      </c>
      <c r="T240" s="190" t="e">
        <f>IF(ISEVEN(LEFT(AD240,4)),"Southbound","NorthBound")</f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>"https://d0f6bd738d7f1b3e5a7ca70fe4ff75f0.us-east-1.aws.found.io/app/kibana#/discover/Steve-Slow-Train-Analysis-(2080s-and-2083s)?_g="&amp;"(refreshInterval:(display:Off,pause:!f,section:0,value:0),time:(from:'"&amp;TEXT(E240-1/24,"yyyy-MM-DDThh:mm:ss")&amp;utc_offset&amp;"00"&amp;"',mode:absolute,to:'"&amp;TEXT(I240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240&amp;"%22')),sort:!(Time.ISO8601,asc))"</f>
        <v>https://d0f6bd738d7f1b3e5a7ca70fe4ff75f0.us-east-1.aws.found.io/app/kibana#/discover/Steve-Slow-Train-Analysis-(2080s-and-2083s)?_g=(refreshInterval:(display:Off,pause:!f,section:0,value:0),time:(from:'2017-05-03T17:30:44-0600',mode:absolute,to:'2017-05-03T19:41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40" s="192" t="str">
        <f>IF(AA240&lt;IF(AG240="EC",23,5.65),"Y","N")</f>
        <v>Y</v>
      </c>
      <c r="X240" s="192" t="e">
        <f>VALUE(LEFT(AD240,4))-VALUE(LEFT(AD239,4))</f>
        <v>#VALUE!</v>
      </c>
      <c r="Y240" s="192">
        <f>RIGHT(D240,LEN(D240)-4)/10000</f>
        <v>3.5000000000000003E-2</v>
      </c>
      <c r="Z240" s="192">
        <f>RIGHT(H240,LEN(H240)-4)/10000</f>
        <v>2.2858000000000001</v>
      </c>
      <c r="AA240" s="192">
        <f>ABS(Z240-Y240)</f>
        <v>2.2507999999999999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>IF(LEN(A240)=6,"0"&amp;A240,A240)</f>
        <v>73-03</v>
      </c>
      <c r="AE240" s="80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s3://rtdc.mdm.uploadarchive.raw/RTDC4052/ "%USERPROFILE%\AppData\Local\Temp\OnboardLogs"\RTDC4052\2017-05-03 --exclude "*" --recursive --include "*20170503*" &amp; "%USERPROFILE%\Documents\GitHub\mrs-test-scripts\Headless Mode &amp; Sideloading\WalkAndUnGZ.bat" "%USERPROFILE%\AppData\Local\Temp\OnboardLogs"\RTDC4052\2017-05-03 &amp; aws s3 cp s3://rtdc.mdm.uploadarchive.raw/RTDC4052/ "%USERPROFILE%\AppData\Local\Temp\OnboardLogs"\RTDC4052\2017-05-04 --exclude "*" --recursive --include "*20170504*" &amp; "%USERPROFILE%\Documents\GitHub\mrs-test-scripts\Headless Mode &amp; Sideloading\WalkAndUnGZ.bat" "%USERPROFILE%\AppData\Local\Temp\OnboardLogs"\RTDC4052\2017-05-04</v>
      </c>
      <c r="AF240" s="77" t="str">
        <f>astrogrep_path&amp;" /e /r /s /spath="&amp;search_path&amp;" /stypes=""app*"&amp;B240&amp;"*"&amp;TEXT(I240-utc_offset/24,"YYYYMMDD")&amp;"*"" /stext="" "&amp;TEXT(I240-utc_offset/24,"HH")&amp;search_regexp&amp;""""</f>
        <v>"C:\Program Files (x86)\AstroGrep\AstroGrep.exe" /e /r /s /spath="%USERPROFILE%\AppData\Local\Temp\OnboardLogs" /stypes="app*4052*20170504*" /stext=" 00:.+((SYSTEM_STATE.+slice.+state.+changed )|(ment ac)|(multiple cpu faults)|(system.+state.+changed )|(\[timeout)|(PRM\|1\|D)|(kpr)|(kdp)|(train st.+moving)|(\|lc)|(penalty))"</v>
      </c>
      <c r="AG240" s="1" t="str">
        <f>IFERROR(IF(VALUE(LEFT(AD240,2))&lt;=2,"EC",IF(OR(VALUE(LEFT(AD240,2))=8,VALUE(LEFT(AD240,2))=18),"NW","Other")),"Other")</f>
        <v>Other</v>
      </c>
      <c r="AH240" s="81" t="str">
        <f t="shared" si="22"/>
        <v>"%USERPROFILE%\Documents\GitHub\eaglep3\Utilities\RefineRTDCRunTimes.py" --tripid 73-03 --locoid 4052 --swversion DE.1.0.9.0 --startMP 204:350 --initTime 2017-05-03T18:30:44 --startdatetime 2017-05-03T18:32:51 --delay 1 --endMP 300:22858 --enddatetime 2017-05-03T18:41:18 --enforcementcount 0 &gt;&gt;C:\Users\stu\Documents\GitHub\eaglep3-reporting\EC\2017-05-03-refined-times.txt</v>
      </c>
      <c r="AI240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{"issue":{"subject":"","project_id":79,"tracker_id":40,"status_id":1,"priority_id":2,"assigned_to_id":23,"start_date":"2017-05-03","description":"","custom_fields":[{"id":1,"name":"Subdivision","value":"Other"},{"id":4,"name":"Milepost","value":"2.2858"},{"id":17,"name":"Train ID","value":"73-03"},{"id":16,"name":"Locomotive ID","value":"4052"},{"id":130,"name":"Impact","value":""},{"id":150,"name":"Time of Event (Mountain Time)","value":"18:41:18"},{"id":151,"name":"Denver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24"/>
        <v>start /low /b %USERPROFILE%\Documents\GitHub\eaglep3\Utilities\DownloadLogsFromS3.py --loco 4052 --day 2017-05-03</v>
      </c>
      <c r="AN240" s="154" t="str">
        <f t="shared" si="25"/>
        <v>echo {"issue":{"subject":"","project_id":30,"tracker_id":4,"status_id":1,"priority_id":1,"assigned_to_id":10,"start_date":"2017-05-04","description":"","custom_fields":[{"id":30,"name":"Category","value":"Issue"},{"id":3,"name":"Functional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UTC","value":"2017-05-04 00:41:18"},{"id":29,"name":"Sharepoint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775</v>
      </c>
      <c r="B241" s="7">
        <v>4012</v>
      </c>
      <c r="C241" s="21" t="s">
        <v>210</v>
      </c>
      <c r="D241" s="21" t="s">
        <v>948</v>
      </c>
      <c r="E241" s="13">
        <v>42858.715775462966</v>
      </c>
      <c r="F241" s="13">
        <v>42858.73537037037</v>
      </c>
      <c r="G241" s="7">
        <v>2</v>
      </c>
      <c r="H241" s="21" t="s">
        <v>916</v>
      </c>
      <c r="I241" s="13">
        <v>42858.74391203704</v>
      </c>
      <c r="J241" s="7">
        <v>0</v>
      </c>
      <c r="K241" s="92" t="str">
        <f>IF(ISEVEN(B241),(B241-1)&amp;"/"&amp;B241,B241&amp;"/"&amp;(B241+1))</f>
        <v>4011/4012</v>
      </c>
      <c r="L241" s="21" t="str">
        <f>VLOOKUP(A241,'Trips&amp;Operators'!$C$1:$G$99999,5,FALSE)</f>
        <v>DELGADO DIANAH</v>
      </c>
      <c r="M241" s="6">
        <f>I241-F241</f>
        <v>8.5416666697710752E-3</v>
      </c>
      <c r="N241" s="7">
        <f>24*60*SUM($M241:$M241)</f>
        <v>12.300000004470348</v>
      </c>
      <c r="O241" s="7"/>
      <c r="P241" s="7"/>
      <c r="Q241" s="22"/>
      <c r="R241" s="190"/>
      <c r="S241" s="196">
        <f>SUM(U241:U241)/IF(AG241="EC",12,1)</f>
        <v>0</v>
      </c>
      <c r="T241" s="190" t="e">
        <f>IF(ISEVEN(LEFT(AD241,4)),"Southbound","NorthBound")</f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>"https://d0f6bd738d7f1b3e5a7ca70fe4ff75f0.us-east-1.aws.found.io/app/kibana#/discover/Steve-Slow-Train-Analysis-(2080s-and-2083s)?_g="&amp;"(refreshInterval:(display:Off,pause:!f,section:0,value:0),time:(from:'"&amp;TEXT(E241-1/24,"yyyy-MM-DDThh:mm:ss")&amp;utc_offset&amp;"00"&amp;"',mode:absolute,to:'"&amp;TEXT(I241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241&amp;"%22')),sort:!(Time.ISO8601,asc))"</f>
        <v>https://d0f6bd738d7f1b3e5a7ca70fe4ff75f0.us-east-1.aws.found.io/app/kibana#/discover/Steve-Slow-Train-Analysis-(2080s-and-2083s)?_g=(refreshInterval:(display:Off,pause:!f,section:0,value:0),time:(from:'2017-05-03T16:10:43-0600',mode:absolute,to:'2017-05-03T18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41" s="192" t="str">
        <f>IF(AA241&lt;IF(AG241="EC",23,5.65),"Y","N")</f>
        <v>Y</v>
      </c>
      <c r="X241" s="192" t="e">
        <f>VALUE(LEFT(AD241,4))-VALUE(LEFT(AD240,4))</f>
        <v>#VALUE!</v>
      </c>
      <c r="Y241" s="192">
        <f>RIGHT(D241,LEN(D241)-4)/10000</f>
        <v>0.1462</v>
      </c>
      <c r="Z241" s="192">
        <f>RIGHT(H241,LEN(H241)-4)/10000</f>
        <v>2.3308</v>
      </c>
      <c r="AA241" s="192">
        <f>ABS(Z241-Y241)</f>
        <v>2.1846000000000001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>IF(LEN(A241)=6,"0"&amp;A241,A241)</f>
        <v>75-03</v>
      </c>
      <c r="AE241" s="80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AF241" s="77" t="str">
        <f>astrogrep_path&amp;" /e /r /s /spath="&amp;search_path&amp;" /stypes=""app*"&amp;B241&amp;"*"&amp;TEXT(I241-utc_offset/24,"YYYYMMDD")&amp;"*"" /stext="" "&amp;TEXT(I241-utc_offset/24,"HH")&amp;search_regexp&amp;""""</f>
        <v>"C:\Program Files (x86)\AstroGrep\AstroGrep.exe" /e /r /s /spath="%USERPROFILE%\AppData\Local\Temp\OnboardLogs" /stypes="app*4012*20170503*" /stext=" 23:.+((SYSTEM_STATE.+slice.+state.+changed )|(ment ac)|(multiple cpu faults)|(system.+state.+changed )|(\[timeout)|(PRM\|1\|D)|(kpr)|(kdp)|(train st.+moving)|(\|lc)|(penalty))"</v>
      </c>
      <c r="AG241" s="1" t="str">
        <f>IFERROR(IF(VALUE(LEFT(AD241,2))&lt;=2,"EC",IF(OR(VALUE(LEFT(AD241,2))=8,VALUE(LEFT(AD241,2))=18),"NW","Other")),"Other")</f>
        <v>Other</v>
      </c>
      <c r="AH241" s="81" t="str">
        <f t="shared" si="22"/>
        <v>"%USERPROFILE%\Documents\GitHub\eaglep3\Utilities\RefineRTDCRunTimes.py" --tripid 75-03 --locoid 4012 --swversion DE.1.0.9.0 --startMP 204:1462 --initTime 2017-05-03T17:10:43 --startdatetime 2017-05-03T17:38:56 --delay 2 --endMP 300:23308 --enddatetime 2017-05-03T17:51:14 --enforcementcount 0 &gt;&gt;C:\Users\stu\Documents\GitHub\eaglep3-reporting\EC\2017-05-03-refined-times.txt</v>
      </c>
      <c r="AI241" s="99" t="str">
        <f t="shared" si="23"/>
        <v>echo {"issue":{"subject":"","project_id":79,"tracker_id":40,"status_id":1,"priority_id":2,"assigned_to_id":23,"start_date":"2017-05-03","description":"","custom_fields":[{"id":1,"name":"Subdivision","value":"Other"},{"id":4,"name":"Milepost","value":"2.3308"},{"id":17,"name":"Train ID","value":"75-03"},{"id":16,"name":"Locomotive ID","value":"4012"},{"id":130,"name":"Impact","value":""},{"id":150,"name":"Time of Event (Mountain Time)","value":"17:51:14"},{"id":151,"name":"Denver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24"/>
        <v>start /low /b %USERPROFILE%\Documents\GitHub\eaglep3\Utilities\DownloadLogsFromS3.py --loco 4012 --day 2017-05-03</v>
      </c>
      <c r="AN241" s="154" t="str">
        <f t="shared" si="25"/>
        <v>echo {"issue":{"subject":"","project_id":30,"tracker_id":4,"status_id":1,"priority_id":1,"assigned_to_id":10,"start_date":"2017-05-03","description":"","custom_fields":[{"id":30,"name":"Category","value":"Issue"},{"id":3,"name":"Functional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UTC","value":"2017-05-03 23:51:14"},{"id":29,"name":"Sharepoint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40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40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40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</sheetData>
  <autoFilter ref="A12:AG268">
    <sortState ref="A13:AG269">
      <sortCondition ref="AG13:AG242"/>
      <sortCondition ref="AD13:AD242"/>
    </sortState>
  </autoFilter>
  <sortState ref="A13:AH200">
    <sortCondition ref="AG13:AG200"/>
    <sortCondition ref="AD13:AD200"/>
  </sortState>
  <mergeCells count="1">
    <mergeCell ref="A11:P11"/>
  </mergeCells>
  <conditionalFormatting sqref="W11:W12 W275:X1048576 W13:X241">
    <cfRule type="cellIs" dxfId="10" priority="401" operator="equal">
      <formula>"Y"</formula>
    </cfRule>
  </conditionalFormatting>
  <conditionalFormatting sqref="X275:X1048576 X13:X241">
    <cfRule type="cellIs" dxfId="9" priority="384" operator="greaterThan">
      <formula>1</formula>
    </cfRule>
  </conditionalFormatting>
  <conditionalFormatting sqref="X275:X1048576 X12:X241">
    <cfRule type="cellIs" dxfId="8" priority="381" operator="equal">
      <formula>0</formula>
    </cfRule>
  </conditionalFormatting>
  <conditionalFormatting sqref="A13:S241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AK13:AK241</xm:sqref>
        </x14:dataValidation>
        <x14:dataValidation type="list" allowBlank="1" showInputMessage="1" showErrorMessage="1">
          <x14:formula1>
            <xm:f>'Redmine List Values'!$C$2:$C$15</xm:f>
          </x14:formula1>
          <xm:sqref>AL13:AL241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5"/>
  <sheetViews>
    <sheetView tabSelected="1"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COUNTIF($O$7:$O$293,"=Y")</f>
        <v>4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COUNTA($O$7:$O$293)-O2</f>
        <v>33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- 2017-05-03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200</v>
      </c>
    </row>
    <row r="7" spans="1:32" s="1" customFormat="1" x14ac:dyDescent="0.25">
      <c r="A7" s="31">
        <v>42858.89576388889</v>
      </c>
      <c r="B7" s="30" t="s">
        <v>359</v>
      </c>
      <c r="C7" s="30" t="s">
        <v>615</v>
      </c>
      <c r="D7" s="30" t="s">
        <v>49</v>
      </c>
      <c r="E7" s="30" t="s">
        <v>191</v>
      </c>
      <c r="F7" s="42">
        <v>0</v>
      </c>
      <c r="G7" s="42">
        <v>193</v>
      </c>
      <c r="H7" s="42">
        <v>31025</v>
      </c>
      <c r="I7" s="42">
        <v>30862</v>
      </c>
      <c r="J7" s="30" t="s">
        <v>192</v>
      </c>
      <c r="K7" s="42">
        <v>30970</v>
      </c>
      <c r="L7" s="134" t="s">
        <v>51</v>
      </c>
      <c r="M7" s="135">
        <f>CONVERT((I7-K7)/10000,"mi","ft")*IF(L7="Increasing Mileposts (1)",-1,1)</f>
        <v>-57.024000000000001</v>
      </c>
      <c r="N7" s="136" t="str">
        <f>VLOOKUP(C7,'Trips&amp;Operators'!$C$1:$G$99999,5,FALSE)</f>
        <v>BROWN JACOB</v>
      </c>
      <c r="O7" s="207" t="s">
        <v>184</v>
      </c>
      <c r="P7" s="137" t="s">
        <v>524</v>
      </c>
      <c r="Q7" s="30"/>
      <c r="R7" s="84" t="str">
        <f>IF(VLOOKUP(C7,'Train Runs'!$A$13:$AE$9944,1,1)=C7,VLOOKUP(C7,'Train Runs'!$A$13:$AE$9944,31,1),NA())</f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S7" s="87" t="str">
        <f>VLOOKUP(C7,'Train Runs'!$A$13:$AE$9944,22,0)</f>
        <v>https://d0f6bd738d7f1b3e5a7ca70fe4ff75f0.us-east-1.aws.found.io/app/kibana#/discover/Steve-Slow-Train-Analysis-(2080s-and-2083s)?_g=(refreshInterval:(display:Off,pause:!f,section:0,value:0),time:(from:'2017-05-03T19:50:03-0600',mode:absolute,to:'2017-05-03T22:38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89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/stypes="*4029*201705040*" /stext=" 03:.+((SYSTEM_STATE.+slice.+state.+changed )|(ment ac)|(multiple cpu faults)|(system.+state.+changed )|(\[timeout)|(PRM\|1\|D)|(kpr)|(kdp)|(train st.+moving)|(\|lc)|(penalty))"</v>
      </c>
      <c r="U7" s="9" t="str">
        <f>MID(B7,13,4)</f>
        <v>4029</v>
      </c>
      <c r="V7" s="31">
        <f>A7-utc_offset/24</f>
        <v>42859.14576388889</v>
      </c>
      <c r="W7" s="45" t="str">
        <f>IFERROR(IF(VALUE(LEFT(IF(LEN(C7)=6,"0"&amp;C7,C7),2))&lt;=2,"EC",IF(OR(VALUE(LEFT(IF(LEN(C7)=6,"0"&amp;C7,C7),2))=8,VALUE(LEFT(IF(LEN(C7)=6,"0"&amp;C7,C7),2))=18),"NW","Other")),"Other")</f>
        <v>EC</v>
      </c>
      <c r="X7" s="45" t="str">
        <f>IF(AND(E7="TRACK WARRANT AUTHORITY",G7&lt;10),"OMIT","KEEP")</f>
        <v>KEEP</v>
      </c>
      <c r="Y7" s="99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arrival","project_id":79,"tracker_id":40,"status_id":1,"priority_id":2,"assigned_to_id":23,"start_date":"2017-05-03","description":"","custom_fields":[{"id":1,"name":"Subdivision","value":"EC"},{"id":4,"name":"Milepost","value":"3.097"},{"id":17,"name":"Train ID","value":"226-03"},{"id":16,"name":"Locomotive ID","value":"4029"},{"id":130,"name":"Impact","value":""},{"id":150,"name":"Time of Event (Mountain Time)","value":"21:29:54"},{"id":151,"name":"Denver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"%USERPROFILE%\AppData\Local\Temp\OnboardLogs"\RTDC4029\*4029*201705040*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"%USERPROFILE%\AppData\Local\Temp\OnboardLogs"\RTDC4029\*4029*201705040* &gt;&gt; 2017-05-03-SliceDisagreementCheck.txt</v>
      </c>
      <c r="AE7" s="148" t="str">
        <f t="shared" ref="AE7" si="0">"start /low /b "&amp;dls3logs&amp;" --loco "&amp;U7&amp;" --day "&amp;TEXT(V7,"YYYY-MM-DD")</f>
        <v>start /low /b %USERPROFILE%\Documents\GitHub\eaglep3\Utilities\DownloadLogsFromS3.py --loco 4029 --day 2017-05-04</v>
      </c>
    </row>
    <row r="8" spans="1:32" s="1" customFormat="1" x14ac:dyDescent="0.25">
      <c r="A8" s="31">
        <v>42858.237476851849</v>
      </c>
      <c r="B8" s="30" t="s">
        <v>359</v>
      </c>
      <c r="C8" s="30" t="s">
        <v>583</v>
      </c>
      <c r="D8" s="30" t="s">
        <v>49</v>
      </c>
      <c r="E8" s="30" t="s">
        <v>191</v>
      </c>
      <c r="F8" s="42">
        <v>110</v>
      </c>
      <c r="G8" s="42">
        <v>217</v>
      </c>
      <c r="H8" s="42">
        <v>31635</v>
      </c>
      <c r="I8" s="42">
        <v>31140</v>
      </c>
      <c r="J8" s="30" t="s">
        <v>192</v>
      </c>
      <c r="K8" s="42">
        <v>30970</v>
      </c>
      <c r="L8" s="134" t="s">
        <v>51</v>
      </c>
      <c r="M8" s="135">
        <f>CONVERT((I8-K8)/10000,"mi","ft")*IF(L8="Increasing Mileposts (1)",-1,1)</f>
        <v>89.76</v>
      </c>
      <c r="N8" s="136" t="str">
        <f>VLOOKUP(C8,'Trips&amp;Operators'!$C$1:$G$99999,5,FALSE)</f>
        <v>SPECTOR MICHAEL</v>
      </c>
      <c r="O8" s="207" t="s">
        <v>184</v>
      </c>
      <c r="P8" s="137" t="s">
        <v>524</v>
      </c>
      <c r="Q8" s="30"/>
      <c r="R8" s="84" t="str">
        <f>IF(VLOOKUP(C8,'Train Runs'!$A$13:$AE$9944,1,1)=C8,VLOOKUP(C8,'Train Runs'!$A$13:$AE$9944,31,1),NA())</f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S8" s="87" t="str">
        <f>VLOOKUP(C8,'Train Runs'!$A$13:$AE$9944,22,0)</f>
        <v>https://d0f6bd738d7f1b3e5a7ca70fe4ff75f0.us-east-1.aws.found.io/app/kibana#/discover/Steve-Slow-Train-Analysis-(2080s-and-2083s)?_g=(refreshInterval:(display:Off,pause:!f,section:0,value:0),time:(from:'2017-05-03T04:06:21-0600',mode:absolute,to:'2017-05-03T06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8" s="89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/stypes="*4029*201705031*" /stext=" 11:.+((SYSTEM_STATE.+slice.+state.+changed )|(ment ac)|(multiple cpu faults)|(system.+state.+changed )|(\[timeout)|(PRM\|1\|D)|(kpr)|(kdp)|(train st.+moving)|(\|lc)|(penalty))"</v>
      </c>
      <c r="U8" s="9" t="str">
        <f>MID(B8,13,4)</f>
        <v>4029</v>
      </c>
      <c r="V8" s="31">
        <f>A8-utc_offset/24</f>
        <v>42858.487476851849</v>
      </c>
      <c r="W8" s="45" t="str">
        <f>IFERROR(IF(VALUE(LEFT(IF(LEN(C8)=6,"0"&amp;C8,C8),2))&lt;=2,"EC",IF(OR(VALUE(LEFT(IF(LEN(C8)=6,"0"&amp;C8,C8),2))=8,VALUE(LEFT(IF(LEN(C8)=6,"0"&amp;C8,C8),2))=18),"NW","Other")),"Other")</f>
        <v>EC</v>
      </c>
      <c r="X8" s="45" t="str">
        <f>IF(AND(E8="TRACK WARRANT AUTHORITY",G8&lt;10),"OMIT","KEEP")</f>
        <v>KEEP</v>
      </c>
      <c r="Y8" s="99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arrival","project_id":79,"tracker_id":40,"status_id":1,"priority_id":2,"assigned_to_id":23,"start_date":"2017-05-03","description":"","custom_fields":[{"id":1,"name":"Subdivision","value":"EC"},{"id":4,"name":"Milepost","value":"3.097"},{"id":17,"name":"Train ID","value":"106-03"},{"id":16,"name":"Locomotive ID","value":"4029"},{"id":130,"name":"Impact","value":""},{"id":150,"name":"Time of Event (Mountain Time)","value":"05:41:58"},{"id":151,"name":"Denver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>"grep -hSE -A400 ""Enforcement Action"" "&amp;search_path&amp;"\RTDC"&amp;U8&amp;"\*"&amp;U8&amp;"*"&amp;TEXT(A8-utc_offset/24,"YYYYMMDD")&amp;LEFT(TEXT(A8-utc_offset/24,"HH"),1)&amp;"* | grep -SE ""((Enforcement Ac)|(PRM))"" -"</f>
        <v>grep -hSE -A400 "Enforcement Action" "%USERPROFILE%\AppData\Local\Temp\OnboardLogs"\RTDC4029\*4029*201705031*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"%USERPROFILE%\AppData\Local\Temp\OnboardLogs"\RTDC4029\*4029*201705031* &gt;&gt; 2017-05-03-SliceDisagreementCheck.txt</v>
      </c>
      <c r="AE8" s="148" t="str">
        <f t="shared" ref="AE8:AE43" si="1">"start /low /b "&amp;dls3logs&amp;" --loco "&amp;U8&amp;" --day "&amp;TEXT(V8,"YYYY-MM-DD")</f>
        <v>start /low /b %USERPROFILE%\Documents\GitHub\eaglep3\Utilities\DownloadLogsFromS3.py --loco 4029 --day 2017-05-03</v>
      </c>
    </row>
    <row r="9" spans="1:32" s="1" customFormat="1" x14ac:dyDescent="0.25">
      <c r="A9" s="31">
        <v>42858.819432870368</v>
      </c>
      <c r="B9" s="30" t="s">
        <v>613</v>
      </c>
      <c r="C9" s="30" t="s">
        <v>614</v>
      </c>
      <c r="D9" s="30" t="s">
        <v>49</v>
      </c>
      <c r="E9" s="30" t="s">
        <v>191</v>
      </c>
      <c r="F9" s="42">
        <v>350</v>
      </c>
      <c r="G9" s="42">
        <v>405</v>
      </c>
      <c r="H9" s="42">
        <v>32987</v>
      </c>
      <c r="I9" s="42">
        <v>33819</v>
      </c>
      <c r="J9" s="30" t="s">
        <v>192</v>
      </c>
      <c r="K9" s="42">
        <v>33137</v>
      </c>
      <c r="L9" s="134" t="s">
        <v>50</v>
      </c>
      <c r="M9" s="135">
        <f>CONVERT((I9-K9)/10000,"mi","ft")*IF(L9="Increasing Mileposts (1)",-1,1)</f>
        <v>-360.096</v>
      </c>
      <c r="N9" s="136" t="str">
        <f>VLOOKUP(C9,'Trips&amp;Operators'!$C$1:$G$99999,5,FALSE)</f>
        <v>STORY SAMANTHA</v>
      </c>
      <c r="O9" s="207" t="s">
        <v>184</v>
      </c>
      <c r="P9" s="137" t="s">
        <v>524</v>
      </c>
      <c r="Q9" s="30"/>
      <c r="R9" s="84" t="str">
        <f>IF(VLOOKUP(C9,'Train Runs'!$A$13:$AE$9944,1,1)=C9,VLOOKUP(C9,'Train Runs'!$A$13:$AE$9944,31,1),NA())</f>
        <v>aws s3 cp s3://rtdc.mdm.uploadarchive.raw/RTDC4024/ "%USERPROFILE%\AppData\Local\Temp\OnboardLogs"\RTDC4024\2017-05-03 --exclude "*" --recursive --include "*20170503*" &amp; "%USERPROFILE%\Documents\GitHub\mrs-test-scripts\Headless Mode &amp; Sideloading\WalkAndUnGZ.bat" "%USERPROFILE%\AppData\Local\Temp\OnboardLogs"\RTDC4024\2017-05-03 &amp; aws s3 cp s3://rtdc.mdm.uploadarchive.raw/RTDC4024/ "%USERPROFILE%\AppData\Local\Temp\OnboardLogs"\RTDC4024\2017-05-04 --exclude "*" --recursive --include "*20170504*" &amp; "%USERPROFILE%\Documents\GitHub\mrs-test-scripts\Headless Mode &amp; Sideloading\WalkAndUnGZ.bat" "%USERPROFILE%\AppData\Local\Temp\OnboardLogs"\RTDC4024\2017-05-04</v>
      </c>
      <c r="S9" s="87" t="str">
        <f>VLOOKUP(C9,'Train Runs'!$A$13:$AE$9944,22,0)</f>
        <v>https://d0f6bd738d7f1b3e5a7ca70fe4ff75f0.us-east-1.aws.found.io/app/kibana#/discover/Steve-Slow-Train-Analysis-(2080s-and-2083s)?_g=(refreshInterval:(display:Off,pause:!f,section:0,value:0),time:(from:'2017-05-03T18:22:22-0600',mode:absolute,to:'2017-05-03T21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T9" s="89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/stypes="*4024*201705040*" /stext=" 01:.+((SYSTEM_STATE.+slice.+state.+changed )|(ment ac)|(multiple cpu faults)|(system.+state.+changed )|(\[timeout)|(PRM\|1\|D)|(kpr)|(kdp)|(train st.+moving)|(\|lc)|(penalty))"</v>
      </c>
      <c r="U9" s="9" t="str">
        <f>MID(B9,13,4)</f>
        <v>4024</v>
      </c>
      <c r="V9" s="31">
        <f>A9-utc_offset/24</f>
        <v>42859.069432870368</v>
      </c>
      <c r="W9" s="45" t="str">
        <f>IFERROR(IF(VALUE(LEFT(IF(LEN(C9)=6,"0"&amp;C9,C9),2))&lt;=2,"EC",IF(OR(VALUE(LEFT(IF(LEN(C9)=6,"0"&amp;C9,C9),2))=8,VALUE(LEFT(IF(LEN(C9)=6,"0"&amp;C9,C9),2))=18),"NW","Other")),"Other")</f>
        <v>EC</v>
      </c>
      <c r="X9" s="45" t="str">
        <f>IF(AND(E9="TRACK WARRANT AUTHORITY",G9&lt;10),"OMIT","KEEP")</f>
        <v>KEEP</v>
      </c>
      <c r="Y9" s="99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arrival","project_id":79,"tracker_id":40,"status_id":1,"priority_id":2,"assigned_to_id":23,"start_date":"2017-05-03","description":"","custom_fields":[{"id":1,"name":"Subdivision","value":"EC"},{"id":4,"name":"Milepost","value":"3.3137"},{"id":17,"name":"Train ID","value":"223-03"},{"id":16,"name":"Locomotive ID","value":"4024"},{"id":130,"name":"Impact","value":""},{"id":150,"name":"Time of Event (Mountain Time)","value":"19:39:59"},{"id":151,"name":"Denver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>"grep -hSE -A400 ""Enforcement Action"" "&amp;search_path&amp;"\RTDC"&amp;U9&amp;"\*"&amp;U9&amp;"*"&amp;TEXT(A9-utc_offset/24,"YYYYMMDD")&amp;LEFT(TEXT(A9-utc_offset/24,"HH"),1)&amp;"* | grep -SE ""((Enforcement Ac)|(PRM))"" -"</f>
        <v>grep -hSE -A400 "Enforcement Action" "%USERPROFILE%\AppData\Local\Temp\OnboardLogs"\RTDC4024\*4024*201705040*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"%USERPROFILE%\AppData\Local\Temp\OnboardLogs"\RTDC4024\*4024*201705040* &gt;&gt; 2017-05-03-SliceDisagreementCheck.txt</v>
      </c>
      <c r="AE9" s="148" t="str">
        <f t="shared" si="1"/>
        <v>start /low /b %USERPROFILE%\Documents\GitHub\eaglep3\Utilities\DownloadLogsFromS3.py --loco 4024 --day 2017-05-04</v>
      </c>
    </row>
    <row r="10" spans="1:32" s="1" customFormat="1" x14ac:dyDescent="0.25">
      <c r="A10" s="31">
        <v>42858.943530092591</v>
      </c>
      <c r="B10" s="30" t="s">
        <v>533</v>
      </c>
      <c r="C10" s="30" t="s">
        <v>617</v>
      </c>
      <c r="D10" s="30" t="s">
        <v>98</v>
      </c>
      <c r="E10" s="30" t="s">
        <v>191</v>
      </c>
      <c r="F10" s="42">
        <v>350</v>
      </c>
      <c r="G10" s="42">
        <v>400</v>
      </c>
      <c r="H10" s="42">
        <v>33291</v>
      </c>
      <c r="I10" s="42">
        <v>34587</v>
      </c>
      <c r="J10" s="30" t="s">
        <v>192</v>
      </c>
      <c r="K10" s="42">
        <v>33137</v>
      </c>
      <c r="L10" s="134" t="s">
        <v>50</v>
      </c>
      <c r="M10" s="135">
        <f>CONVERT((I10-K10)/10000,"mi","ft")*IF(L10="Increasing Mileposts (1)",-1,1)</f>
        <v>-765.6</v>
      </c>
      <c r="N10" s="136" t="str">
        <f>VLOOKUP(C10,'Trips&amp;Operators'!$C$1:$G$99999,5,FALSE)</f>
        <v>NEWELL JAMES</v>
      </c>
      <c r="O10" s="207" t="s">
        <v>184</v>
      </c>
      <c r="P10" s="137" t="s">
        <v>524</v>
      </c>
      <c r="Q10" s="30"/>
      <c r="R10" s="84" t="str">
        <f>IF(VLOOKUP(C10,'Train Runs'!$A$13:$AE$9944,1,1)=C10,VLOOKUP(C10,'Train Runs'!$A$13:$AE$9944,31,1),NA())</f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S10" s="87" t="str">
        <f>VLOOKUP(C10,'Train Runs'!$A$13:$AE$9944,22,0)</f>
        <v>https://d0f6bd738d7f1b3e5a7ca70fe4ff75f0.us-east-1.aws.found.io/app/kibana#/discover/Steve-Slow-Train-Analysis-(2080s-and-2083s)?_g=(refreshInterval:(display:Off,pause:!f,section:0,value:0),time:(from:'2017-05-03T21:12:14-0600',mode:absolute,to:'2017-05-04T00:05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0" s="89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/stypes="*4016*201705040*" /stext=" 04:.+((SYSTEM_STATE.+slice.+state.+changed )|(ment ac)|(multiple cpu faults)|(system.+state.+changed )|(\[timeout)|(PRM\|1\|D)|(kpr)|(kdp)|(train st.+moving)|(\|lc)|(penalty))"</v>
      </c>
      <c r="U10" s="9" t="str">
        <f>MID(B10,13,4)</f>
        <v>4016</v>
      </c>
      <c r="V10" s="31">
        <f>A10-utc_offset/24</f>
        <v>42859.193530092591</v>
      </c>
      <c r="W10" s="45" t="str">
        <f>IFERROR(IF(VALUE(LEFT(IF(LEN(C10)=6,"0"&amp;C10,C10),2))&lt;=2,"EC",IF(OR(VALUE(LEFT(IF(LEN(C10)=6,"0"&amp;C10,C10),2))=8,VALUE(LEFT(IF(LEN(C10)=6,"0"&amp;C10,C10),2))=18),"NW","Other")),"Other")</f>
        <v>EC</v>
      </c>
      <c r="X10" s="45" t="str">
        <f>IF(AND(E10="TRACK WARRANT AUTHORITY",G10&lt;10),"OMIT","KEEP")</f>
        <v>KEEP</v>
      </c>
      <c r="Y10" s="99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arrival","project_id":79,"tracker_id":40,"status_id":1,"priority_id":2,"assigned_to_id":23,"start_date":"2017-05-03","description":"","custom_fields":[{"id":1,"name":"Subdivision","value":"EC"},{"id":4,"name":"Milepost","value":"3.3137"},{"id":17,"name":"Train ID","value":"235-03"},{"id":16,"name":"Locomotive ID","value":"4016"},{"id":130,"name":"Impact","value":""},{"id":150,"name":"Time of Event (Mountain Time)","value":"22:38:41"},{"id":151,"name":"Denver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"%USERPROFILE%\AppData\Local\Temp\OnboardLogs"\RTDC4016\*4016*201705040*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"%USERPROFILE%\AppData\Local\Temp\OnboardLogs"\RTDC4016\*4016*201705040* &gt;&gt; 2017-05-03-SliceDisagreementCheck.txt</v>
      </c>
      <c r="AE10" s="148" t="str">
        <f t="shared" si="1"/>
        <v>start /low /b %USERPROFILE%\Documents\GitHub\eaglep3\Utilities\DownloadLogsFromS3.py --loco 4016 --day 2017-05-04</v>
      </c>
    </row>
    <row r="11" spans="1:32" s="1" customFormat="1" x14ac:dyDescent="0.25">
      <c r="A11" s="31">
        <v>42858.549837962964</v>
      </c>
      <c r="B11" s="30" t="s">
        <v>425</v>
      </c>
      <c r="C11" s="30" t="s">
        <v>597</v>
      </c>
      <c r="D11" s="30" t="s">
        <v>49</v>
      </c>
      <c r="E11" s="30" t="s">
        <v>191</v>
      </c>
      <c r="F11" s="42">
        <v>0</v>
      </c>
      <c r="G11" s="42">
        <v>232</v>
      </c>
      <c r="H11" s="42">
        <v>33305</v>
      </c>
      <c r="I11" s="42">
        <v>32935</v>
      </c>
      <c r="J11" s="30" t="s">
        <v>192</v>
      </c>
      <c r="K11" s="42">
        <v>33257</v>
      </c>
      <c r="L11" s="134" t="s">
        <v>51</v>
      </c>
      <c r="M11" s="135">
        <f>CONVERT((I11-K11)/10000,"mi","ft")*IF(L11="Increasing Mileposts (1)",-1,1)</f>
        <v>-170.01599999999999</v>
      </c>
      <c r="N11" s="136" t="str">
        <f>VLOOKUP(C11,'Trips&amp;Operators'!$C$1:$G$99999,5,FALSE)</f>
        <v>BIRENBAUM THOMAS</v>
      </c>
      <c r="O11" s="207" t="s">
        <v>184</v>
      </c>
      <c r="P11" s="137" t="s">
        <v>524</v>
      </c>
      <c r="Q11" s="30"/>
      <c r="R11" s="84" t="str">
        <f>IF(VLOOKUP(C11,'Train Runs'!$A$13:$AE$9944,1,1)=C11,VLOOKUP(C11,'Train Runs'!$A$13:$AE$9944,31,1),NA())</f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S11" s="87" t="str">
        <f>VLOOKUP(C11,'Train Runs'!$A$13:$AE$9944,22,0)</f>
        <v>https://d0f6bd738d7f1b3e5a7ca70fe4ff75f0.us-east-1.aws.found.io/app/kibana#/discover/Steve-Slow-Train-Analysis-(2080s-and-2083s)?_g=(refreshInterval:(display:Off,pause:!f,section:0,value:0),time:(from:'2017-05-03T11:28:56-0600',mode:absolute,to:'2017-05-03T14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1" s="89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/stypes="*4017*201705031*" /stext=" 19:.+((SYSTEM_STATE.+slice.+state.+changed )|(ment ac)|(multiple cpu faults)|(system.+state.+changed )|(\[timeout)|(PRM\|1\|D)|(kpr)|(kdp)|(train st.+moving)|(\|lc)|(penalty))"</v>
      </c>
      <c r="U11" s="9" t="str">
        <f>MID(B11,13,4)</f>
        <v>4017</v>
      </c>
      <c r="V11" s="31">
        <f>A11-utc_offset/24</f>
        <v>42858.799837962964</v>
      </c>
      <c r="W11" s="45" t="str">
        <f>IFERROR(IF(VALUE(LEFT(IF(LEN(C11)=6,"0"&amp;C11,C11),2))&lt;=2,"EC",IF(OR(VALUE(LEFT(IF(LEN(C11)=6,"0"&amp;C11,C11),2))=8,VALUE(LEFT(IF(LEN(C11)=6,"0"&amp;C11,C11),2))=18),"NW","Other")),"Other")</f>
        <v>EC</v>
      </c>
      <c r="X11" s="45" t="str">
        <f>IF(AND(E11="TRACK WARRANT AUTHORITY",G11&lt;10),"OMIT","KEEP")</f>
        <v>KEEP</v>
      </c>
      <c r="Y11" s="99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arrival","project_id":79,"tracker_id":40,"status_id":1,"priority_id":2,"assigned_to_id":23,"start_date":"2017-05-03","description":"","custom_fields":[{"id":1,"name":"Subdivision","value":"EC"},{"id":4,"name":"Milepost","value":"3.3257"},{"id":17,"name":"Train ID","value":"166-03"},{"id":16,"name":"Locomotive ID","value":"4017"},{"id":130,"name":"Impact","value":""},{"id":150,"name":"Time of Event (Mountain Time)","value":"13:11:46"},{"id":151,"name":"Denver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"%USERPROFILE%\AppData\Local\Temp\OnboardLogs"\RTDC4017\*4017*201705031*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"%USERPROFILE%\AppData\Local\Temp\OnboardLogs"\RTDC4017\*4017*201705031* &gt;&gt; 2017-05-03-SliceDisagreementCheck.txt</v>
      </c>
      <c r="AE11" s="148" t="str">
        <f t="shared" si="1"/>
        <v>start /low /b %USERPROFILE%\Documents\GitHub\eaglep3\Utilities\DownloadLogsFromS3.py --loco 4017 --day 2017-05-03</v>
      </c>
    </row>
    <row r="12" spans="1:32" s="1" customFormat="1" x14ac:dyDescent="0.25">
      <c r="A12" s="31">
        <v>42858.799039351848</v>
      </c>
      <c r="B12" s="30" t="s">
        <v>578</v>
      </c>
      <c r="C12" s="30" t="s">
        <v>611</v>
      </c>
      <c r="D12" s="30" t="s">
        <v>49</v>
      </c>
      <c r="E12" s="30" t="s">
        <v>191</v>
      </c>
      <c r="F12" s="42">
        <v>0</v>
      </c>
      <c r="G12" s="42">
        <v>210</v>
      </c>
      <c r="H12" s="42">
        <v>33367</v>
      </c>
      <c r="I12" s="42">
        <v>33134</v>
      </c>
      <c r="J12" s="30" t="s">
        <v>192</v>
      </c>
      <c r="K12" s="42">
        <v>33257</v>
      </c>
      <c r="L12" s="134" t="s">
        <v>51</v>
      </c>
      <c r="M12" s="135">
        <f>CONVERT((I12-K12)/10000,"mi","ft")*IF(L12="Increasing Mileposts (1)",-1,1)</f>
        <v>-64.944000000000003</v>
      </c>
      <c r="N12" s="136" t="str">
        <f>VLOOKUP(C12,'Trips&amp;Operators'!$C$1:$G$99999,5,FALSE)</f>
        <v>STORY SAMANTHA</v>
      </c>
      <c r="O12" s="207" t="s">
        <v>184</v>
      </c>
      <c r="P12" s="137" t="s">
        <v>524</v>
      </c>
      <c r="Q12" s="30"/>
      <c r="R12" s="84" t="str">
        <f>IF(VLOOKUP(C12,'Train Runs'!$A$13:$AE$9944,1,1)=C12,VLOOKUP(C12,'Train Runs'!$A$13:$AE$9944,31,1),NA())</f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S12" s="87" t="str">
        <f>VLOOKUP(C12,'Train Runs'!$A$13:$AE$9944,22,0)</f>
        <v>https://d0f6bd738d7f1b3e5a7ca70fe4ff75f0.us-east-1.aws.found.io/app/kibana#/discover/Steve-Slow-Train-Analysis-(2080s-and-2083s)?_g=(refreshInterval:(display:Off,pause:!f,section:0,value:0),time:(from:'2017-05-03T17:31:08-0600',mode:absolute,to:'2017-05-03T20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2" s="89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/stypes="*4023*201705040*" /stext=" 01:.+((SYSTEM_STATE.+slice.+state.+changed )|(ment ac)|(multiple cpu faults)|(system.+state.+changed )|(\[timeout)|(PRM\|1\|D)|(kpr)|(kdp)|(train st.+moving)|(\|lc)|(penalty))"</v>
      </c>
      <c r="U12" s="9" t="str">
        <f>MID(B12,13,4)</f>
        <v>4023</v>
      </c>
      <c r="V12" s="31">
        <f>A12-utc_offset/24</f>
        <v>42859.049039351848</v>
      </c>
      <c r="W12" s="45" t="str">
        <f>IFERROR(IF(VALUE(LEFT(IF(LEN(C12)=6,"0"&amp;C12,C12),2))&lt;=2,"EC",IF(OR(VALUE(LEFT(IF(LEN(C12)=6,"0"&amp;C12,C12),2))=8,VALUE(LEFT(IF(LEN(C12)=6,"0"&amp;C12,C12),2))=18),"NW","Other")),"Other")</f>
        <v>EC</v>
      </c>
      <c r="X12" s="45" t="str">
        <f>IF(AND(E12="TRACK WARRANT AUTHORITY",G12&lt;10),"OMIT","KEEP")</f>
        <v>KEEP</v>
      </c>
      <c r="Y12" s="99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arrival","project_id":79,"tracker_id":40,"status_id":1,"priority_id":2,"assigned_to_id":23,"start_date":"2017-05-03","description":"","custom_fields":[{"id":1,"name":"Subdivision","value":"EC"},{"id":4,"name":"Milepost","value":"3.3257"},{"id":17,"name":"Train ID","value":"214-03"},{"id":16,"name":"Locomotive ID","value":"4023"},{"id":130,"name":"Impact","value":""},{"id":150,"name":"Time of Event (Mountain Time)","value":"19:10:37"},{"id":151,"name":"Denver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>"grep -hSE -A400 ""Enforcement Action"" "&amp;search_path&amp;"\RTDC"&amp;U12&amp;"\*"&amp;U12&amp;"*"&amp;TEXT(A12-utc_offset/24,"YYYYMMDD")&amp;LEFT(TEXT(A12-utc_offset/24,"HH"),1)&amp;"* | grep -SE ""((Enforcement Ac)|(PRM))"" -"</f>
        <v>grep -hSE -A400 "Enforcement Action" "%USERPROFILE%\AppData\Local\Temp\OnboardLogs"\RTDC4023\*4023*201705040*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"%USERPROFILE%\AppData\Local\Temp\OnboardLogs"\RTDC4023\*4023*201705040* &gt;&gt; 2017-05-03-SliceDisagreementCheck.txt</v>
      </c>
      <c r="AE12" s="148" t="str">
        <f t="shared" si="1"/>
        <v>start /low /b %USERPROFILE%\Documents\GitHub\eaglep3\Utilities\DownloadLogsFromS3.py --loco 4023 --day 2017-05-04</v>
      </c>
    </row>
    <row r="13" spans="1:32" s="1" customFormat="1" x14ac:dyDescent="0.25">
      <c r="A13" s="31">
        <v>42858.192048611112</v>
      </c>
      <c r="B13" s="30" t="s">
        <v>199</v>
      </c>
      <c r="C13" s="30" t="s">
        <v>582</v>
      </c>
      <c r="D13" s="30" t="s">
        <v>49</v>
      </c>
      <c r="E13" s="30" t="s">
        <v>191</v>
      </c>
      <c r="F13" s="42">
        <v>460</v>
      </c>
      <c r="G13" s="42">
        <v>520</v>
      </c>
      <c r="H13" s="42">
        <v>56799</v>
      </c>
      <c r="I13" s="42">
        <v>58812</v>
      </c>
      <c r="J13" s="30" t="s">
        <v>192</v>
      </c>
      <c r="K13" s="42">
        <v>58118</v>
      </c>
      <c r="L13" s="134" t="s">
        <v>50</v>
      </c>
      <c r="M13" s="135">
        <f>CONVERT((I13-K13)/10000,"mi","ft")*IF(L13="Increasing Mileposts (1)",-1,1)</f>
        <v>-366.43200000000002</v>
      </c>
      <c r="N13" s="136" t="str">
        <f>VLOOKUP(C13,'Trips&amp;Operators'!$C$1:$G$99999,5,FALSE)</f>
        <v>GEBRETEKLE DAGNEW</v>
      </c>
      <c r="O13" s="207" t="s">
        <v>184</v>
      </c>
      <c r="P13" s="137" t="s">
        <v>524</v>
      </c>
      <c r="Q13" s="30"/>
      <c r="R13" s="84" t="str">
        <f>IF(VLOOKUP(C13,'Train Runs'!$A$13:$AE$9944,1,1)=C13,VLOOKUP(C13,'Train Runs'!$A$13:$AE$9944,31,1),NA())</f>
        <v>aws s3 cp s3://rtdc.mdm.uploadarchive.raw/RTDC4030/ "%USERPROFILE%\AppData\Local\Temp\OnboardLogs"\RTDC4030\2017-05-03 --exclude "*" --recursive --include "*20170503*" &amp; "%USERPROFILE%\Documents\GitHub\mrs-test-scripts\Headless Mode &amp; Sideloading\WalkAndUnGZ.bat" "%USERPROFILE%\AppData\Local\Temp\OnboardLogs"\RTDC4030\2017-05-03 &amp; aws s3 cp s3://rtdc.mdm.uploadarchive.raw/RTDC4030/ "%USERPROFILE%\AppData\Local\Temp\OnboardLogs"\RTDC4030\2017-05-04 --exclude "*" --recursive --include "*20170504*" &amp; "%USERPROFILE%\Documents\GitHub\mrs-test-scripts\Headless Mode &amp; Sideloading\WalkAndUnGZ.bat" "%USERPROFILE%\AppData\Local\Temp\OnboardLogs"\RTDC4030\2017-05-04</v>
      </c>
      <c r="S13" s="87" t="str">
        <f>VLOOKUP(C13,'Train Runs'!$A$13:$AE$9944,22,0)</f>
        <v>https://d0f6bd738d7f1b3e5a7ca70fe4ff75f0.us-east-1.aws.found.io/app/kibana#/discover/Steve-Slow-Train-Analysis-(2080s-and-2083s)?_g=(refreshInterval:(display:Off,pause:!f,section:0,value:0),time:(from:'2017-05-03T03:18:34-0600',mode:absolute,to:'2017-05-03T06:03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3" s="89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/stypes="*4030*201705031*" /stext=" 10:.+((SYSTEM_STATE.+slice.+state.+changed )|(ment ac)|(multiple cpu faults)|(system.+state.+changed )|(\[timeout)|(PRM\|1\|D)|(kpr)|(kdp)|(train st.+moving)|(\|lc)|(penalty))"</v>
      </c>
      <c r="U13" s="9" t="str">
        <f>MID(B13,13,4)</f>
        <v>4030</v>
      </c>
      <c r="V13" s="31">
        <f>A13-utc_offset/24</f>
        <v>42858.442048611112</v>
      </c>
      <c r="W13" s="45" t="str">
        <f>IFERROR(IF(VALUE(LEFT(IF(LEN(C13)=6,"0"&amp;C13,C13),2))&lt;=2,"EC",IF(OR(VALUE(LEFT(IF(LEN(C13)=6,"0"&amp;C13,C13),2))=8,VALUE(LEFT(IF(LEN(C13)=6,"0"&amp;C13,C13),2))=18),"NW","Other")),"Other")</f>
        <v>EC</v>
      </c>
      <c r="X13" s="45" t="str">
        <f>IF(AND(E13="TRACK WARRANT AUTHORITY",G13&lt;10),"OMIT","KEEP")</f>
        <v>KEEP</v>
      </c>
      <c r="Y13" s="99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arrival","project_id":79,"tracker_id":40,"status_id":1,"priority_id":2,"assigned_to_id":23,"start_date":"2017-05-03","description":"","custom_fields":[{"id":1,"name":"Subdivision","value":"EC"},{"id":4,"name":"Milepost","value":"5.8118"},{"id":17,"name":"Train ID","value":"105-03"},{"id":16,"name":"Locomotive ID","value":"4030"},{"id":130,"name":"Impact","value":""},{"id":150,"name":"Time of Event (Mountain Time)","value":"04:36:33"},{"id":151,"name":"Denver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"%USERPROFILE%\AppData\Local\Temp\OnboardLogs"\RTDC4030\*4030*201705031*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"%USERPROFILE%\AppData\Local\Temp\OnboardLogs"\RTDC4030\*4030*201705031* &gt;&gt; 2017-05-03-SliceDisagreementCheck.txt</v>
      </c>
      <c r="AE13" s="148" t="str">
        <f t="shared" si="1"/>
        <v>start /low /b %USERPROFILE%\Documents\GitHub\eaglep3\Utilities\DownloadLogsFromS3.py --loco 4030 --day 2017-05-03</v>
      </c>
    </row>
    <row r="14" spans="1:32" x14ac:dyDescent="0.25">
      <c r="A14" s="31">
        <v>42858.602337962962</v>
      </c>
      <c r="B14" s="30" t="s">
        <v>358</v>
      </c>
      <c r="C14" s="30" t="s">
        <v>599</v>
      </c>
      <c r="D14" s="30" t="s">
        <v>49</v>
      </c>
      <c r="E14" s="30" t="s">
        <v>191</v>
      </c>
      <c r="F14" s="42">
        <v>410</v>
      </c>
      <c r="G14" s="42">
        <v>471</v>
      </c>
      <c r="H14" s="42">
        <v>57551</v>
      </c>
      <c r="I14" s="42">
        <v>58987</v>
      </c>
      <c r="J14" s="30" t="s">
        <v>192</v>
      </c>
      <c r="K14" s="42">
        <v>58783</v>
      </c>
      <c r="L14" s="134" t="s">
        <v>50</v>
      </c>
      <c r="M14" s="135">
        <f>CONVERT((I14-K14)/10000,"mi","ft")*IF(L14="Increasing Mileposts (1)",-1,1)</f>
        <v>-107.712</v>
      </c>
      <c r="N14" s="136" t="str">
        <f>VLOOKUP(C14,'Trips&amp;Operators'!$C$1:$G$99999,5,FALSE)</f>
        <v>MOSES BRADLEY</v>
      </c>
      <c r="O14" s="207" t="s">
        <v>184</v>
      </c>
      <c r="P14" s="137" t="s">
        <v>524</v>
      </c>
      <c r="Q14" s="30"/>
      <c r="R14" s="84" t="str">
        <f>IF(VLOOKUP(C14,'Train Runs'!$A$13:$AE$9944,1,1)=C14,VLOOKUP(C14,'Train Runs'!$A$13:$AE$9944,31,1),NA())</f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S14" s="87" t="str">
        <f>VLOOKUP(C14,'Train Runs'!$A$13:$AE$9944,22,0)</f>
        <v>https://d0f6bd738d7f1b3e5a7ca70fe4ff75f0.us-east-1.aws.found.io/app/kibana#/discover/Steve-Slow-Train-Analysis-(2080s-and-2083s)?_g=(refreshInterval:(display:Off,pause:!f,section:0,value:0),time:(from:'2017-05-03T13:11:37-0600',mode:absolute,to:'2017-05-03T15:52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4" s="89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/stypes="*4012*201705032*" /stext=" 20:.+((SYSTEM_STATE.+slice.+state.+changed )|(ment ac)|(multiple cpu faults)|(system.+state.+changed )|(\[timeout)|(PRM\|1\|D)|(kpr)|(kdp)|(train st.+moving)|(\|lc)|(penalty))"</v>
      </c>
      <c r="U14" s="9" t="str">
        <f>MID(B14,13,4)</f>
        <v>4012</v>
      </c>
      <c r="V14" s="31">
        <f>A14-utc_offset/24</f>
        <v>42858.852337962962</v>
      </c>
      <c r="W14" s="45" t="str">
        <f>IFERROR(IF(VALUE(LEFT(IF(LEN(C14)=6,"0"&amp;C14,C14),2))&lt;=2,"EC",IF(OR(VALUE(LEFT(IF(LEN(C14)=6,"0"&amp;C14,C14),2))=8,VALUE(LEFT(IF(LEN(C14)=6,"0"&amp;C14,C14),2))=18),"NW","Other")),"Other")</f>
        <v>EC</v>
      </c>
      <c r="X14" s="45" t="str">
        <f>IF(AND(E14="TRACK WARRANT AUTHORITY",G14&lt;10),"OMIT","KEEP")</f>
        <v>KEEP</v>
      </c>
      <c r="Y14" s="99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arrival","project_id":79,"tracker_id":40,"status_id":1,"priority_id":2,"assigned_to_id":23,"start_date":"2017-05-03","description":"","custom_fields":[{"id":1,"name":"Subdivision","value":"EC"},{"id":4,"name":"Milepost","value":"5.8783"},{"id":17,"name":"Train ID","value":"185-03"},{"id":16,"name":"Locomotive ID","value":"4012"},{"id":130,"name":"Impact","value":""},{"id":150,"name":"Time of Event (Mountain Time)","value":"14:27:22"},{"id":151,"name":"Denver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>"grep -hSE -A400 ""Enforcement Action"" "&amp;search_path&amp;"\RTDC"&amp;U14&amp;"\*"&amp;U14&amp;"*"&amp;TEXT(A14-utc_offset/24,"YYYYMMDD")&amp;LEFT(TEXT(A14-utc_offset/24,"HH"),1)&amp;"* | grep -SE ""((Enforcement Ac)|(PRM))"" -"</f>
        <v>grep -hSE -A400 "Enforcement Action" "%USERPROFILE%\AppData\Local\Temp\OnboardLogs"\RTDC4012\*4012*201705032*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"%USERPROFILE%\AppData\Local\Temp\OnboardLogs"\RTDC4012\*4012*201705032* &gt;&gt; 2017-05-03-SliceDisagreementCheck.txt</v>
      </c>
      <c r="AE14" s="148" t="str">
        <f t="shared" si="1"/>
        <v>start /low /b %USERPROFILE%\Documents\GitHub\eaglep3\Utilities\DownloadLogsFromS3.py --loco 4012 --day 2017-05-03</v>
      </c>
      <c r="AF14" s="1"/>
    </row>
    <row r="15" spans="1:32" x14ac:dyDescent="0.25">
      <c r="A15" s="31">
        <v>42858.544976851852</v>
      </c>
      <c r="B15" s="30" t="s">
        <v>425</v>
      </c>
      <c r="C15" s="30" t="s">
        <v>597</v>
      </c>
      <c r="D15" s="30" t="s">
        <v>49</v>
      </c>
      <c r="E15" s="30" t="s">
        <v>191</v>
      </c>
      <c r="F15" s="42">
        <v>140</v>
      </c>
      <c r="G15" s="42">
        <v>603</v>
      </c>
      <c r="H15" s="42">
        <v>68095</v>
      </c>
      <c r="I15" s="42">
        <v>65797</v>
      </c>
      <c r="J15" s="30" t="s">
        <v>192</v>
      </c>
      <c r="K15" s="42">
        <v>63309</v>
      </c>
      <c r="L15" s="134" t="s">
        <v>51</v>
      </c>
      <c r="M15" s="135">
        <f>CONVERT((I15-K15)/10000,"mi","ft")*IF(L15="Increasing Mileposts (1)",-1,1)</f>
        <v>1313.664</v>
      </c>
      <c r="N15" s="136" t="str">
        <f>VLOOKUP(C15,'Trips&amp;Operators'!$C$1:$G$99999,5,FALSE)</f>
        <v>BIRENBAUM THOMAS</v>
      </c>
      <c r="O15" s="207" t="s">
        <v>184</v>
      </c>
      <c r="P15" s="137" t="s">
        <v>524</v>
      </c>
      <c r="Q15" s="30"/>
      <c r="R15" s="84" t="str">
        <f>IF(VLOOKUP(C15,'Train Runs'!$A$13:$AE$9944,1,1)=C15,VLOOKUP(C15,'Train Runs'!$A$13:$AE$9944,31,1),NA())</f>
        <v>aws s3 cp s3://rtdc.mdm.uploadarchive.raw/RTDC4017/ "%USERPROFILE%\AppData\Local\Temp\OnboardLogs"\RTDC4017\2017-05-03 --exclude "*" --recursive --include "*20170503*" &amp; "%USERPROFILE%\Documents\GitHub\mrs-test-scripts\Headless Mode &amp; Sideloading\WalkAndUnGZ.bat" "%USERPROFILE%\AppData\Local\Temp\OnboardLogs"\RTDC4017\2017-05-03 &amp; aws s3 cp s3://rtdc.mdm.uploadarchive.raw/RTDC4017/ "%USERPROFILE%\AppData\Local\Temp\OnboardLogs"\RTDC4017\2017-05-04 --exclude "*" --recursive --include "*20170504*" &amp; "%USERPROFILE%\Documents\GitHub\mrs-test-scripts\Headless Mode &amp; Sideloading\WalkAndUnGZ.bat" "%USERPROFILE%\AppData\Local\Temp\OnboardLogs"\RTDC4017\2017-05-04</v>
      </c>
      <c r="S15" s="87" t="str">
        <f>VLOOKUP(C15,'Train Runs'!$A$13:$AE$9944,22,0)</f>
        <v>https://d0f6bd738d7f1b3e5a7ca70fe4ff75f0.us-east-1.aws.found.io/app/kibana#/discover/Steve-Slow-Train-Analysis-(2080s-and-2083s)?_g=(refreshInterval:(display:Off,pause:!f,section:0,value:0),time:(from:'2017-05-03T11:28:56-0600',mode:absolute,to:'2017-05-03T14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5" s="89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/stypes="*4017*201705031*" /stext=" 19:.+((SYSTEM_STATE.+slice.+state.+changed )|(ment ac)|(multiple cpu faults)|(system.+state.+changed )|(\[timeout)|(PRM\|1\|D)|(kpr)|(kdp)|(train st.+moving)|(\|lc)|(penalty))"</v>
      </c>
      <c r="U15" s="9" t="str">
        <f>MID(B15,13,4)</f>
        <v>4017</v>
      </c>
      <c r="V15" s="31">
        <f>A15-utc_offset/24</f>
        <v>42858.794976851852</v>
      </c>
      <c r="W15" s="45" t="str">
        <f>IFERROR(IF(VALUE(LEFT(IF(LEN(C15)=6,"0"&amp;C15,C15),2))&lt;=2,"EC",IF(OR(VALUE(LEFT(IF(LEN(C15)=6,"0"&amp;C15,C15),2))=8,VALUE(LEFT(IF(LEN(C15)=6,"0"&amp;C15,C15),2))=18),"NW","Other")),"Other")</f>
        <v>EC</v>
      </c>
      <c r="X15" s="45" t="str">
        <f>IF(AND(E15="TRACK WARRANT AUTHORITY",G15&lt;10),"OMIT","KEEP")</f>
        <v>KEEP</v>
      </c>
      <c r="Y15" s="99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arrival","project_id":79,"tracker_id":40,"status_id":1,"priority_id":2,"assigned_to_id":23,"start_date":"2017-05-03","description":"","custom_fields":[{"id":1,"name":"Subdivision","value":"EC"},{"id":4,"name":"Milepost","value":"6.3309"},{"id":17,"name":"Train ID","value":"166-03"},{"id":16,"name":"Locomotive ID","value":"4017"},{"id":130,"name":"Impact","value":""},{"id":150,"name":"Time of Event (Mountain Time)","value":"13:04:46"},{"id":151,"name":"Denver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"%USERPROFILE%\AppData\Local\Temp\OnboardLogs"\RTDC4017\*4017*201705031*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"%USERPROFILE%\AppData\Local\Temp\OnboardLogs"\RTDC4017\*4017*201705031* &gt;&gt; 2017-05-03-SliceDisagreementCheck.txt</v>
      </c>
      <c r="AE15" s="148" t="str">
        <f t="shared" si="1"/>
        <v>start /low /b %USERPROFILE%\Documents\GitHub\eaglep3\Utilities\DownloadLogsFromS3.py --loco 4017 --day 2017-05-03</v>
      </c>
      <c r="AF15" s="1"/>
    </row>
    <row r="16" spans="1:32" x14ac:dyDescent="0.25">
      <c r="A16" s="31">
        <v>42858.699560185189</v>
      </c>
      <c r="B16" s="30" t="s">
        <v>533</v>
      </c>
      <c r="C16" s="30" t="s">
        <v>605</v>
      </c>
      <c r="D16" s="30" t="s">
        <v>98</v>
      </c>
      <c r="E16" s="30" t="s">
        <v>208</v>
      </c>
      <c r="F16" s="42">
        <v>200</v>
      </c>
      <c r="G16" s="42">
        <v>258</v>
      </c>
      <c r="H16" s="42">
        <v>5423</v>
      </c>
      <c r="I16" s="42">
        <v>6099</v>
      </c>
      <c r="J16" s="30" t="s">
        <v>209</v>
      </c>
      <c r="K16" s="42">
        <v>4677</v>
      </c>
      <c r="L16" s="134" t="s">
        <v>50</v>
      </c>
      <c r="M16" s="135">
        <f>CONVERT((I16-K16)/10000,"mi","ft")*IF(L16="Increasing Mileposts (1)",-1,1)</f>
        <v>-750.81600000000003</v>
      </c>
      <c r="N16" s="136" t="str">
        <f>VLOOKUP(C16,'Trips&amp;Operators'!$C$1:$G$99999,5,FALSE)</f>
        <v>ZEWDU DEREJE</v>
      </c>
      <c r="O16" s="207" t="s">
        <v>184</v>
      </c>
      <c r="P16" s="137"/>
      <c r="Q16" s="30"/>
      <c r="R16" s="84" t="str">
        <f>IF(VLOOKUP(C16,'Train Runs'!$A$13:$AE$9944,1,1)=C16,VLOOKUP(C16,'Train Runs'!$A$13:$AE$9944,31,1),NA())</f>
        <v>aws s3 cp s3://rtdc.mdm.uploadarchive.raw/RTDC4016/ "%USERPROFILE%\AppData\Local\Temp\OnboardLogs"\RTDC4016\2017-05-03 --exclude "*" --recursive --include "*20170503*" &amp; "%USERPROFILE%\Documents\GitHub\mrs-test-scripts\Headless Mode &amp; Sideloading\WalkAndUnGZ.bat" "%USERPROFILE%\AppData\Local\Temp\OnboardLogs"\RTDC4016\2017-05-03 &amp; aws s3 cp s3://rtdc.mdm.uploadarchive.raw/RTDC4016/ "%USERPROFILE%\AppData\Local\Temp\OnboardLogs"\RTDC4016\2017-05-04 --exclude "*" --recursive --include "*20170504*" &amp; "%USERPROFILE%\Documents\GitHub\mrs-test-scripts\Headless Mode &amp; Sideloading\WalkAndUnGZ.bat" "%USERPROFILE%\AppData\Local\Temp\OnboardLogs"\RTDC4016\2017-05-04</v>
      </c>
      <c r="S16" s="87" t="str">
        <f>VLOOKUP(C16,'Train Runs'!$A$13:$AE$9944,22,0)</f>
        <v>https://d0f6bd738d7f1b3e5a7ca70fe4ff75f0.us-east-1.aws.found.io/app/kibana#/discover/Steve-Slow-Train-Analysis-(2080s-and-2083s)?_g=(refreshInterval:(display:Off,pause:!f,section:0,value:0),time:(from:'2017-05-03T15:38:50-0600',mode:absolute,to:'2017-05-03T18:24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16" s="89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/stypes="*4016*201705032*" /stext=" 22:.+((SYSTEM_STATE.+slice.+state.+changed )|(ment ac)|(multiple cpu faults)|(system.+state.+changed )|(\[timeout)|(PRM\|1\|D)|(kpr)|(kdp)|(train st.+moving)|(\|lc)|(penalty))"</v>
      </c>
      <c r="U16" s="9" t="str">
        <f>MID(B16,13,4)</f>
        <v>4016</v>
      </c>
      <c r="V16" s="31">
        <f>A16-utc_offset/24</f>
        <v>42858.949560185189</v>
      </c>
      <c r="W16" s="45" t="str">
        <f>IFERROR(IF(VALUE(LEFT(IF(LEN(C16)=6,"0"&amp;C16,C16),2))&lt;=2,"EC",IF(OR(VALUE(LEFT(IF(LEN(C16)=6,"0"&amp;C16,C16),2))=8,VALUE(LEFT(IF(LEN(C16)=6,"0"&amp;C16,C16),2))=18),"NW","Other")),"Other")</f>
        <v>EC</v>
      </c>
      <c r="X16" s="45" t="str">
        <f>IF(AND(E16="TRACK WARRANT AUTHORITY",G16&lt;10),"OMIT","KEEP")</f>
        <v>KEEP</v>
      </c>
      <c r="Y16" s="99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{"issue":{"subject":"","project_id":79,"tracker_id":40,"status_id":1,"priority_id":2,"assigned_to_id":23,"start_date":"2017-05-03","description":"","custom_fields":[{"id":1,"name":"Subdivision","value":"EC"},{"id":4,"name":"Milepost","value":"0.4677"},{"id":17,"name":"Train ID","value":"205-03"},{"id":16,"name":"Locomotive ID","value":"4016"},{"id":130,"name":"Impact","value":""},{"id":150,"name":"Time of Event (Mountain Time)","value":"16:47:22"},{"id":151,"name":"Denver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"%USERPROFILE%\AppData\Local\Temp\OnboardLogs"\RTDC4016\*4016*201705032*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"%USERPROFILE%\AppData\Local\Temp\OnboardLogs"\RTDC4016\*4016*201705032* &gt;&gt; 2017-05-03-SliceDisagreementCheck.txt</v>
      </c>
      <c r="AE16" s="148" t="str">
        <f t="shared" si="1"/>
        <v>start /low /b %USERPROFILE%\Documents\GitHub\eaglep3\Utilities\DownloadLogsFromS3.py --loco 4016 --day 2017-05-03</v>
      </c>
      <c r="AF16" s="1"/>
    </row>
    <row r="17" spans="1:32" x14ac:dyDescent="0.25">
      <c r="A17" s="31">
        <v>42858.417430555557</v>
      </c>
      <c r="B17" s="30" t="s">
        <v>351</v>
      </c>
      <c r="C17" s="30" t="s">
        <v>588</v>
      </c>
      <c r="D17" s="30" t="s">
        <v>49</v>
      </c>
      <c r="E17" s="30" t="s">
        <v>208</v>
      </c>
      <c r="F17" s="42">
        <v>300</v>
      </c>
      <c r="G17" s="42">
        <v>426</v>
      </c>
      <c r="H17" s="42">
        <v>23317</v>
      </c>
      <c r="I17" s="42">
        <v>22126</v>
      </c>
      <c r="J17" s="30" t="s">
        <v>209</v>
      </c>
      <c r="K17" s="42">
        <v>21848</v>
      </c>
      <c r="L17" s="134" t="s">
        <v>51</v>
      </c>
      <c r="M17" s="135">
        <f>CONVERT((I17-K17)/10000,"mi","ft")*IF(L17="Increasing Mileposts (1)",-1,1)</f>
        <v>146.78399999999999</v>
      </c>
      <c r="N17" s="136" t="str">
        <f>VLOOKUP(C17,'Trips&amp;Operators'!$C$1:$G$99999,5,FALSE)</f>
        <v>LAMAR NEKESHA</v>
      </c>
      <c r="O17" s="207" t="s">
        <v>184</v>
      </c>
      <c r="P17" s="137"/>
      <c r="Q17" s="30"/>
      <c r="R17" s="84" t="str">
        <f>IF(VLOOKUP(C17,'Train Runs'!$A$13:$AE$9944,1,1)=C17,VLOOKUP(C17,'Train Runs'!$A$13:$AE$9944,31,1),NA())</f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S17" s="87" t="str">
        <f>VLOOKUP(C17,'Train Runs'!$A$13:$AE$9944,22,0)</f>
        <v>https://d0f6bd738d7f1b3e5a7ca70fe4ff75f0.us-east-1.aws.found.io/app/kibana#/discover/Steve-Slow-Train-Analysis-(2080s-and-2083s)?_g=(refreshInterval:(display:Off,pause:!f,section:0,value:0),time:(from:'2017-05-03T08:09:57-0600',mode:absolute,to:'2017-05-03T11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7" s="89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/stypes="*4027*201705031*" /stext=" 16:.+((SYSTEM_STATE.+slice.+state.+changed )|(ment ac)|(multiple cpu faults)|(system.+state.+changed )|(\[timeout)|(PRM\|1\|D)|(kpr)|(kdp)|(train st.+moving)|(\|lc)|(penalty))"</v>
      </c>
      <c r="U17" s="9" t="str">
        <f>MID(B17,13,4)</f>
        <v>4027</v>
      </c>
      <c r="V17" s="31">
        <f>A17-utc_offset/24</f>
        <v>42858.667430555557</v>
      </c>
      <c r="W17" s="45" t="str">
        <f>IFERROR(IF(VALUE(LEFT(IF(LEN(C17)=6,"0"&amp;C17,C17),2))&lt;=2,"EC",IF(OR(VALUE(LEFT(IF(LEN(C17)=6,"0"&amp;C17,C17),2))=8,VALUE(LEFT(IF(LEN(C17)=6,"0"&amp;C17,C17),2))=18),"NW","Other")),"Other")</f>
        <v>EC</v>
      </c>
      <c r="X17" s="45" t="str">
        <f>IF(AND(E17="TRACK WARRANT AUTHORITY",G17&lt;10),"OMIT","KEEP")</f>
        <v>KEEP</v>
      </c>
      <c r="Y17" s="99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{"issue":{"subject":"","project_id":79,"tracker_id":40,"status_id":1,"priority_id":2,"assigned_to_id":23,"start_date":"2017-05-03","description":"","custom_fields":[{"id":1,"name":"Subdivision","value":"EC"},{"id":4,"name":"Milepost","value":"2.1848"},{"id":17,"name":"Train ID","value":"140-03"},{"id":16,"name":"Locomotive ID","value":"4027"},{"id":130,"name":"Impact","value":""},{"id":150,"name":"Time of Event (Mountain Time)","value":"10:01:06"},{"id":151,"name":"Denver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>"grep -hSE -A400 ""Enforcement Action"" "&amp;search_path&amp;"\RTDC"&amp;U17&amp;"\*"&amp;U17&amp;"*"&amp;TEXT(A17-utc_offset/24,"YYYYMMDD")&amp;LEFT(TEXT(A17-utc_offset/24,"HH"),1)&amp;"* | grep -SE ""((Enforcement Ac)|(PRM))"" -"</f>
        <v>grep -hSE -A400 "Enforcement Action" "%USERPROFILE%\AppData\Local\Temp\OnboardLogs"\RTDC4027\*4027*201705031*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"%USERPROFILE%\AppData\Local\Temp\OnboardLogs"\RTDC4027\*4027*201705031* &gt;&gt; 2017-05-03-SliceDisagreementCheck.txt</v>
      </c>
      <c r="AE17" s="148" t="str">
        <f t="shared" si="1"/>
        <v>start /low /b %USERPROFILE%\Documents\GitHub\eaglep3\Utilities\DownloadLogsFromS3.py --loco 4027 --day 2017-05-03</v>
      </c>
      <c r="AF17" s="1"/>
    </row>
    <row r="18" spans="1:32" x14ac:dyDescent="0.25">
      <c r="A18" s="31">
        <v>42858.455381944441</v>
      </c>
      <c r="B18" s="30" t="s">
        <v>578</v>
      </c>
      <c r="C18" s="30" t="s">
        <v>595</v>
      </c>
      <c r="D18" s="30" t="s">
        <v>49</v>
      </c>
      <c r="E18" s="30" t="s">
        <v>208</v>
      </c>
      <c r="F18" s="42">
        <v>300</v>
      </c>
      <c r="G18" s="42">
        <v>354</v>
      </c>
      <c r="H18" s="42">
        <v>22522</v>
      </c>
      <c r="I18" s="42">
        <v>21501</v>
      </c>
      <c r="J18" s="30" t="s">
        <v>209</v>
      </c>
      <c r="K18" s="42">
        <v>21848</v>
      </c>
      <c r="L18" s="134" t="s">
        <v>51</v>
      </c>
      <c r="M18" s="135">
        <f>CONVERT((I18-K18)/10000,"mi","ft")*IF(L18="Increasing Mileposts (1)",-1,1)</f>
        <v>-183.21600000000001</v>
      </c>
      <c r="N18" s="136" t="str">
        <f>VLOOKUP(C18,'Trips&amp;Operators'!$C$1:$G$99999,5,FALSE)</f>
        <v>MAELZER KURT</v>
      </c>
      <c r="O18" s="207" t="s">
        <v>184</v>
      </c>
      <c r="P18" s="137"/>
      <c r="Q18" s="30"/>
      <c r="R18" s="84" t="str">
        <f>IF(VLOOKUP(C18,'Train Runs'!$A$13:$AE$9944,1,1)=C18,VLOOKUP(C18,'Train Runs'!$A$13:$AE$9944,31,1),NA())</f>
        <v>aws s3 cp s3://rtdc.mdm.uploadarchive.raw/RTDC4023/ "%USERPROFILE%\AppData\Local\Temp\OnboardLogs"\RTDC4023\2017-05-03 --exclude "*" --recursive --include "*20170503*" &amp; "%USERPROFILE%\Documents\GitHub\mrs-test-scripts\Headless Mode &amp; Sideloading\WalkAndUnGZ.bat" "%USERPROFILE%\AppData\Local\Temp\OnboardLogs"\RTDC4023\2017-05-03 &amp; aws s3 cp s3://rtdc.mdm.uploadarchive.raw/RTDC4023/ "%USERPROFILE%\AppData\Local\Temp\OnboardLogs"\RTDC4023\2017-05-04 --exclude "*" --recursive --include "*20170504*" &amp; "%USERPROFILE%\Documents\GitHub\mrs-test-scripts\Headless Mode &amp; Sideloading\WalkAndUnGZ.bat" "%USERPROFILE%\AppData\Local\Temp\OnboardLogs"\RTDC4023\2017-05-04</v>
      </c>
      <c r="S18" s="87" t="str">
        <f>VLOOKUP(C18,'Train Runs'!$A$13:$AE$9944,22,0)</f>
        <v>https://d0f6bd738d7f1b3e5a7ca70fe4ff75f0.us-east-1.aws.found.io/app/kibana#/discover/Steve-Slow-Train-Analysis-(2080s-and-2083s)?_g=(refreshInterval:(display:Off,pause:!f,section:0,value:0),time:(from:'2017-05-03T08:57:14-0600',mode:absolute,to:'2017-05-03T12:06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8" s="89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/stypes="*4023*201705031*" /stext=" 16:.+((SYSTEM_STATE.+slice.+state.+changed )|(ment ac)|(multiple cpu faults)|(system.+state.+changed )|(\[timeout)|(PRM\|1\|D)|(kpr)|(kdp)|(train st.+moving)|(\|lc)|(penalty))"</v>
      </c>
      <c r="U18" s="9" t="str">
        <f>MID(B18,13,4)</f>
        <v>4023</v>
      </c>
      <c r="V18" s="31">
        <f>A18-utc_offset/24</f>
        <v>42858.705381944441</v>
      </c>
      <c r="W18" s="45" t="str">
        <f>IFERROR(IF(VALUE(LEFT(IF(LEN(C18)=6,"0"&amp;C18,C18),2))&lt;=2,"EC",IF(OR(VALUE(LEFT(IF(LEN(C18)=6,"0"&amp;C18,C18),2))=8,VALUE(LEFT(IF(LEN(C18)=6,"0"&amp;C18,C18),2))=18),"NW","Other")),"Other")</f>
        <v>EC</v>
      </c>
      <c r="X18" s="45" t="str">
        <f>IF(AND(E18="TRACK WARRANT AUTHORITY",G18&lt;10),"OMIT","KEEP")</f>
        <v>KEEP</v>
      </c>
      <c r="Y18" s="99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{"issue":{"subject":"","project_id":79,"tracker_id":40,"status_id":1,"priority_id":2,"assigned_to_id":23,"start_date":"2017-05-03","description":"","custom_fields":[{"id":1,"name":"Subdivision","value":"EC"},{"id":4,"name":"Milepost","value":"2.1848"},{"id":17,"name":"Train ID","value":"146-03"},{"id":16,"name":"Locomotive ID","value":"4023"},{"id":130,"name":"Impact","value":""},{"id":150,"name":"Time of Event (Mountain Time)","value":"10:55:45"},{"id":151,"name":"Denver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"%USERPROFILE%\AppData\Local\Temp\OnboardLogs"\RTDC4023\*4023*201705031*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"%USERPROFILE%\AppData\Local\Temp\OnboardLogs"\RTDC4023\*4023*201705031* &gt;&gt; 2017-05-03-SliceDisagreementCheck.txt</v>
      </c>
      <c r="AE18" s="148" t="str">
        <f t="shared" si="1"/>
        <v>start /low /b %USERPROFILE%\Documents\GitHub\eaglep3\Utilities\DownloadLogsFromS3.py --loco 4023 --day 2017-05-03</v>
      </c>
      <c r="AF18" s="1"/>
    </row>
    <row r="19" spans="1:32" x14ac:dyDescent="0.25">
      <c r="A19" s="31">
        <v>42858.815925925926</v>
      </c>
      <c r="B19" s="30" t="s">
        <v>526</v>
      </c>
      <c r="C19" s="30" t="s">
        <v>612</v>
      </c>
      <c r="D19" s="30" t="s">
        <v>98</v>
      </c>
      <c r="E19" s="30" t="s">
        <v>208</v>
      </c>
      <c r="F19" s="42">
        <v>600</v>
      </c>
      <c r="G19" s="42">
        <v>651</v>
      </c>
      <c r="H19" s="42">
        <v>184083</v>
      </c>
      <c r="I19" s="42">
        <v>181424</v>
      </c>
      <c r="J19" s="30" t="s">
        <v>209</v>
      </c>
      <c r="K19" s="42">
        <v>191104</v>
      </c>
      <c r="L19" s="134" t="s">
        <v>51</v>
      </c>
      <c r="M19" s="135">
        <f>CONVERT((I19-K19)/10000,"mi","ft")*IF(L19="Increasing Mileposts (1)",-1,1)</f>
        <v>-5111.04</v>
      </c>
      <c r="N19" s="136" t="str">
        <f>VLOOKUP(C19,'Trips&amp;Operators'!$C$1:$G$99999,5,FALSE)</f>
        <v>NEWELL JAMES</v>
      </c>
      <c r="O19" s="207" t="s">
        <v>184</v>
      </c>
      <c r="P19" s="137"/>
      <c r="Q19" s="30"/>
      <c r="R19" s="84" t="str">
        <f>IF(VLOOKUP(C19,'Train Runs'!$A$13:$AE$9944,1,1)=C19,VLOOKUP(C19,'Train Runs'!$A$13:$AE$9944,31,1),NA())</f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S19" s="87" t="str">
        <f>VLOOKUP(C19,'Train Runs'!$A$13:$AE$9944,22,0)</f>
        <v>https://d0f6bd738d7f1b3e5a7ca70fe4ff75f0.us-east-1.aws.found.io/app/kibana#/discover/Steve-Slow-Train-Analysis-(2080s-and-2083s)?_g=(refreshInterval:(display:Off,pause:!f,section:0,value:0),time:(from:'2017-05-03T18:12:31-0600',mode:absolute,to:'2017-05-03T21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19" s="89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/stypes="*4015*201705040*" /stext=" 01:.+((SYSTEM_STATE.+slice.+state.+changed )|(ment ac)|(multiple cpu faults)|(system.+state.+changed )|(\[timeout)|(PRM\|1\|D)|(kpr)|(kdp)|(train st.+moving)|(\|lc)|(penalty))"</v>
      </c>
      <c r="U19" s="9" t="str">
        <f>MID(B19,13,4)</f>
        <v>4015</v>
      </c>
      <c r="V19" s="31">
        <f>A19-utc_offset/24</f>
        <v>42859.065925925926</v>
      </c>
      <c r="W19" s="45" t="str">
        <f>IFERROR(IF(VALUE(LEFT(IF(LEN(C19)=6,"0"&amp;C19,C19),2))&lt;=2,"EC",IF(OR(VALUE(LEFT(IF(LEN(C19)=6,"0"&amp;C19,C19),2))=8,VALUE(LEFT(IF(LEN(C19)=6,"0"&amp;C19,C19),2))=18),"NW","Other")),"Other")</f>
        <v>EC</v>
      </c>
      <c r="X19" s="45" t="str">
        <f>IF(AND(E19="TRACK WARRANT AUTHORITY",G19&lt;10),"OMIT","KEEP")</f>
        <v>KEEP</v>
      </c>
      <c r="Y19" s="99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{"issue":{"subject":"","project_id":79,"tracker_id":40,"status_id":1,"priority_id":2,"assigned_to_id":23,"start_date":"2017-05-03","description":"","custom_fields":[{"id":1,"name":"Subdivision","value":"EC"},{"id":4,"name":"Milepost","value":"19.1104"},{"id":17,"name":"Train ID","value":"220-03"},{"id":16,"name":"Locomotive ID","value":"4015"},{"id":130,"name":"Impact","value":""},{"id":150,"name":"Time of Event (Mountain Time)","value":"19:34:56"},{"id":151,"name":"Denver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"%USERPROFILE%\AppData\Local\Temp\OnboardLogs"\RTDC4015\*4015*201705040*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"%USERPROFILE%\AppData\Local\Temp\OnboardLogs"\RTDC4015\*4015*201705040* &gt;&gt; 2017-05-03-SliceDisagreementCheck.txt</v>
      </c>
      <c r="AE19" s="148" t="str">
        <f t="shared" si="1"/>
        <v>start /low /b %USERPROFILE%\Documents\GitHub\eaglep3\Utilities\DownloadLogsFromS3.py --loco 4015 --day 2017-05-04</v>
      </c>
      <c r="AF19" s="1"/>
    </row>
    <row r="20" spans="1:32" x14ac:dyDescent="0.25">
      <c r="A20" s="31">
        <v>42858.373738425929</v>
      </c>
      <c r="B20" s="30" t="s">
        <v>412</v>
      </c>
      <c r="C20" s="30" t="s">
        <v>585</v>
      </c>
      <c r="D20" s="30" t="s">
        <v>49</v>
      </c>
      <c r="E20" s="30" t="s">
        <v>586</v>
      </c>
      <c r="F20" s="42">
        <v>0</v>
      </c>
      <c r="G20" s="42">
        <v>456</v>
      </c>
      <c r="H20" s="42">
        <v>61216</v>
      </c>
      <c r="I20" s="42">
        <v>62390</v>
      </c>
      <c r="J20" s="30" t="s">
        <v>587</v>
      </c>
      <c r="K20" s="42">
        <v>63995</v>
      </c>
      <c r="L20" s="134" t="s">
        <v>50</v>
      </c>
      <c r="M20" s="135">
        <f>CONVERT((I20-K20)/10000,"mi","ft")*IF(L20="Increasing Mileposts (1)",-1,1)</f>
        <v>847.44</v>
      </c>
      <c r="N20" s="136" t="str">
        <f>VLOOKUP(C20,'Trips&amp;Operators'!$C$1:$G$99999,5,FALSE)</f>
        <v>BADERTSCHER DIANE</v>
      </c>
      <c r="O20" s="207" t="s">
        <v>618</v>
      </c>
      <c r="P20" s="137" t="s">
        <v>1026</v>
      </c>
      <c r="Q20" s="30"/>
      <c r="R20" s="84" t="str">
        <f>IF(VLOOKUP(C20,'Train Runs'!$A$13:$AE$9944,1,1)=C20,VLOOKUP(C20,'Train Runs'!$A$13:$AE$9944,31,1),NA())</f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S20" s="87" t="str">
        <f>VLOOKUP(C20,'Train Runs'!$A$13:$AE$9944,22,0)</f>
        <v>https://d0f6bd738d7f1b3e5a7ca70fe4ff75f0.us-east-1.aws.found.io/app/kibana#/discover/Steve-Slow-Train-Analysis-(2080s-and-2083s)?_g=(refreshInterval:(display:Off,pause:!f,section:0,value:0),time:(from:'2017-05-03T07:39:22-0600',mode:absolute,to:'2017-05-03T10:26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0" s="89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/stypes="*4040*201705031*" /stext=" 14:.+((SYSTEM_STATE.+slice.+state.+changed )|(ment ac)|(multiple cpu faults)|(system.+state.+changed )|(\[timeout)|(PRM\|1\|D)|(kpr)|(kdp)|(train st.+moving)|(\|lc)|(penalty))"</v>
      </c>
      <c r="U20" s="9" t="str">
        <f>MID(B20,13,4)</f>
        <v>4040</v>
      </c>
      <c r="V20" s="31">
        <f>A20-utc_offset/24</f>
        <v>42858.623738425929</v>
      </c>
      <c r="W20" s="45" t="str">
        <f>IFERROR(IF(VALUE(LEFT(IF(LEN(C20)=6,"0"&amp;C20,C20),2))&lt;=2,"EC",IF(OR(VALUE(LEFT(IF(LEN(C20)=6,"0"&amp;C20,C20),2))=8,VALUE(LEFT(IF(LEN(C20)=6,"0"&amp;C20,C20),2))=18),"NW","Other")),"Other")</f>
        <v>EC</v>
      </c>
      <c r="X20" s="45" t="str">
        <f>IF(AND(E20="TRACK WARRANT AUTHORITY",G20&lt;10),"OMIT","KEEP")</f>
        <v>KEEP</v>
      </c>
      <c r="Y20" s="99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drop","project_id":79,"tracker_id":40,"status_id":1,"priority_id":2,"assigned_to_id":23,"start_date":"2017-05-03","description":"","custom_fields":[{"id":1,"name":"Subdivision","value":"EC"},{"id":4,"name":"Milepost","value":"6.3995"},{"id":17,"name":"Train ID","value":"141-03"},{"id":16,"name":"Locomotive ID","value":"4040"},{"id":130,"name":"Impact","value":""},{"id":150,"name":"Time of Event (Mountain Time)","value":"08:58:11"},{"id":151,"name":"Denver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"%USERPROFILE%\AppData\Local\Temp\OnboardLogs"\RTDC4040\*4040*201705031*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"%USERPROFILE%\AppData\Local\Temp\OnboardLogs"\RTDC4040\*4040*201705031* &gt;&gt; 2017-05-03-SliceDisagreementCheck.txt</v>
      </c>
      <c r="AE20" s="148" t="str">
        <f t="shared" si="1"/>
        <v>start /low /b %USERPROFILE%\Documents\GitHub\eaglep3\Utilities\DownloadLogsFromS3.py --loco 4040 --day 2017-05-03</v>
      </c>
      <c r="AF20" s="1"/>
    </row>
    <row r="21" spans="1:32" x14ac:dyDescent="0.25">
      <c r="A21" s="31">
        <v>42858.475821759261</v>
      </c>
      <c r="B21" s="30" t="s">
        <v>358</v>
      </c>
      <c r="C21" s="30" t="s">
        <v>596</v>
      </c>
      <c r="D21" s="30" t="s">
        <v>98</v>
      </c>
      <c r="E21" s="30" t="s">
        <v>586</v>
      </c>
      <c r="F21" s="42">
        <v>200</v>
      </c>
      <c r="G21" s="42">
        <v>257</v>
      </c>
      <c r="H21" s="42">
        <v>155220</v>
      </c>
      <c r="I21" s="42">
        <v>155984</v>
      </c>
      <c r="J21" s="30" t="s">
        <v>587</v>
      </c>
      <c r="K21" s="42">
        <v>149694</v>
      </c>
      <c r="L21" s="134" t="s">
        <v>50</v>
      </c>
      <c r="M21" s="135">
        <f>CONVERT((I21-K21)/10000,"mi","ft")*IF(L21="Increasing Mileposts (1)",-1,1)</f>
        <v>-3321.12</v>
      </c>
      <c r="N21" s="136" t="str">
        <f>VLOOKUP(C21,'Trips&amp;Operators'!$C$1:$G$99999,5,FALSE)</f>
        <v>MAYBERRY BILL</v>
      </c>
      <c r="O21" s="207" t="s">
        <v>184</v>
      </c>
      <c r="P21" s="137" t="s">
        <v>1027</v>
      </c>
      <c r="Q21" s="30"/>
      <c r="R21" s="84" t="str">
        <f>IF(VLOOKUP(C21,'Train Runs'!$A$13:$AE$9944,1,1)=C21,VLOOKUP(C21,'Train Runs'!$A$13:$AE$9944,31,1),NA())</f>
        <v>aws s3 cp s3://rtdc.mdm.uploadarchive.raw/RTDC4012/ "%USERPROFILE%\AppData\Local\Temp\OnboardLogs"\RTDC4012\2017-05-03 --exclude "*" --recursive --include "*20170503*" &amp; "%USERPROFILE%\Documents\GitHub\mrs-test-scripts\Headless Mode &amp; Sideloading\WalkAndUnGZ.bat" "%USERPROFILE%\AppData\Local\Temp\OnboardLogs"\RTDC4012\2017-05-03 &amp; aws s3 cp s3://rtdc.mdm.uploadarchive.raw/RTDC4012/ "%USERPROFILE%\AppData\Local\Temp\OnboardLogs"\RTDC4012\2017-05-04 --exclude "*" --recursive --include "*20170504*" &amp; "%USERPROFILE%\Documents\GitHub\mrs-test-scripts\Headless Mode &amp; Sideloading\WalkAndUnGZ.bat" "%USERPROFILE%\AppData\Local\Temp\OnboardLogs"\RTDC4012\2017-05-04</v>
      </c>
      <c r="S21" s="87" t="str">
        <f>VLOOKUP(C21,'Train Runs'!$A$13:$AE$9944,22,0)</f>
        <v>https://d0f6bd738d7f1b3e5a7ca70fe4ff75f0.us-east-1.aws.found.io/app/kibana#/discover/Steve-Slow-Train-Analysis-(2080s-and-2083s)?_g=(refreshInterval:(display:Off,pause:!f,section:0,value:0),time:(from:'2017-05-03T10:21:21-0600',mode:absolute,to:'2017-05-03T12:37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1" s="89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/stypes="*4012*201705031*" /stext=" 17:.+((SYSTEM_STATE.+slice.+state.+changed )|(ment ac)|(multiple cpu faults)|(system.+state.+changed )|(\[timeout)|(PRM\|1\|D)|(kpr)|(kdp)|(train st.+moving)|(\|lc)|(penalty))"</v>
      </c>
      <c r="U21" s="9" t="str">
        <f>MID(B21,13,4)</f>
        <v>4012</v>
      </c>
      <c r="V21" s="31">
        <f>A21-utc_offset/24</f>
        <v>42858.725821759261</v>
      </c>
      <c r="W21" s="45" t="str">
        <f>IFERROR(IF(VALUE(LEFT(IF(LEN(C21)=6,"0"&amp;C21,C21),2))&lt;=2,"EC",IF(OR(VALUE(LEFT(IF(LEN(C21)=6,"0"&amp;C21,C21),2))=8,VALUE(LEFT(IF(LEN(C21)=6,"0"&amp;C21,C21),2))=18),"NW","Other")),"Other")</f>
        <v>EC</v>
      </c>
      <c r="X21" s="45" t="str">
        <f>IF(AND(E21="TRACK WARRANT AUTHORITY",G21&lt;10),"OMIT","KEEP")</f>
        <v>KEEP</v>
      </c>
      <c r="Y21" s="99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2017-05-03","description":"","custom_fields":[{"id":1,"name":"Subdivision","value":"EC"},{"id":4,"name":"Milepost","value":"14.9694"},{"id":17,"name":"Train ID","value":"157-03"},{"id":16,"name":"Locomotive ID","value":"4012"},{"id":130,"name":"Impact","value":""},{"id":150,"name":"Time of Event (Mountain Time)","value":"11:25:11"},{"id":151,"name":"Denver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"%USERPROFILE%\AppData\Local\Temp\OnboardLogs"\RTDC4012\*4012*201705031*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"%USERPROFILE%\AppData\Local\Temp\OnboardLogs"\RTDC4012\*4012*201705031* &gt;&gt; 2017-05-03-SliceDisagreementCheck.txt</v>
      </c>
      <c r="AE21" s="148" t="str">
        <f t="shared" si="1"/>
        <v>start /low /b %USERPROFILE%\Documents\GitHub\eaglep3\Utilities\DownloadLogsFromS3.py --loco 4012 --day 2017-05-03</v>
      </c>
      <c r="AF21" s="1"/>
    </row>
    <row r="22" spans="1:32" x14ac:dyDescent="0.25">
      <c r="A22" s="31">
        <v>42858.640196759261</v>
      </c>
      <c r="B22" s="30" t="s">
        <v>601</v>
      </c>
      <c r="C22" s="30" t="s">
        <v>602</v>
      </c>
      <c r="D22" s="30" t="s">
        <v>49</v>
      </c>
      <c r="E22" s="30" t="s">
        <v>586</v>
      </c>
      <c r="F22" s="42">
        <v>0</v>
      </c>
      <c r="G22" s="42">
        <v>574</v>
      </c>
      <c r="H22" s="42">
        <v>162896</v>
      </c>
      <c r="I22" s="42">
        <v>160543</v>
      </c>
      <c r="J22" s="30" t="s">
        <v>587</v>
      </c>
      <c r="K22" s="42">
        <v>162262</v>
      </c>
      <c r="L22" s="134" t="s">
        <v>51</v>
      </c>
      <c r="M22" s="135">
        <f>CONVERT((I22-K22)/10000,"mi","ft")*IF(L22="Increasing Mileposts (1)",-1,1)</f>
        <v>-907.63199999999995</v>
      </c>
      <c r="N22" s="136" t="str">
        <f>VLOOKUP(C22,'Trips&amp;Operators'!$C$1:$G$99999,5,FALSE)</f>
        <v>MOSES BRADLEY</v>
      </c>
      <c r="O22" s="207" t="s">
        <v>618</v>
      </c>
      <c r="P22" s="137" t="s">
        <v>1026</v>
      </c>
      <c r="Q22" s="30"/>
      <c r="R22" s="84" t="str">
        <f>IF(VLOOKUP(C22,'Train Runs'!$A$13:$AE$9944,1,1)=C22,VLOOKUP(C22,'Train Runs'!$A$13:$AE$9944,31,1),NA())</f>
        <v>aws s3 cp s3://rtdc.mdm.uploadarchive.raw/RTDC4011/ "%USERPROFILE%\AppData\Local\Temp\OnboardLogs"\RTDC4011\2017-05-03 --exclude "*" --recursive --include "*20170503*" &amp; "%USERPROFILE%\Documents\GitHub\mrs-test-scripts\Headless Mode &amp; Sideloading\WalkAndUnGZ.bat" "%USERPROFILE%\AppData\Local\Temp\OnboardLogs"\RTDC4011\2017-05-03 &amp; aws s3 cp s3://rtdc.mdm.uploadarchive.raw/RTDC4011/ "%USERPROFILE%\AppData\Local\Temp\OnboardLogs"\RTDC4011\2017-05-04 --exclude "*" --recursive --include "*20170504*" &amp; "%USERPROFILE%\Documents\GitHub\mrs-test-scripts\Headless Mode &amp; Sideloading\WalkAndUnGZ.bat" "%USERPROFILE%\AppData\Local\Temp\OnboardLogs"\RTDC4011\2017-05-04</v>
      </c>
      <c r="S22" s="87" t="str">
        <f>VLOOKUP(C22,'Train Runs'!$A$13:$AE$9944,22,0)</f>
        <v>https://d0f6bd738d7f1b3e5a7ca70fe4ff75f0.us-east-1.aws.found.io/app/kibana#/discover/Steve-Slow-Train-Analysis-(2080s-and-2083s)?_g=(refreshInterval:(display:Off,pause:!f,section:0,value:0),time:(from:'2017-05-03T14:30:46-0600',mode:absolute,to:'2017-05-03T16:41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2" s="89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/stypes="*4011*201705032*" /stext=" 21:.+((SYSTEM_STATE.+slice.+state.+changed )|(ment ac)|(multiple cpu faults)|(system.+state.+changed )|(\[timeout)|(PRM\|1\|D)|(kpr)|(kdp)|(train st.+moving)|(\|lc)|(penalty))"</v>
      </c>
      <c r="U22" s="9" t="str">
        <f>MID(B22,13,4)</f>
        <v>4011</v>
      </c>
      <c r="V22" s="31">
        <f>A22-utc_offset/24</f>
        <v>42858.890196759261</v>
      </c>
      <c r="W22" s="45" t="str">
        <f>IFERROR(IF(VALUE(LEFT(IF(LEN(C22)=6,"0"&amp;C22,C22),2))&lt;=2,"EC",IF(OR(VALUE(LEFT(IF(LEN(C22)=6,"0"&amp;C22,C22),2))=8,VALUE(LEFT(IF(LEN(C22)=6,"0"&amp;C22,C22),2))=18),"NW","Other")),"Other")</f>
        <v>EC</v>
      </c>
      <c r="X22" s="45" t="str">
        <f>IF(AND(E22="TRACK WARRANT AUTHORITY",G22&lt;10),"OMIT","KEEP")</f>
        <v>KEEP</v>
      </c>
      <c r="Y22" s="99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drop","project_id":79,"tracker_id":40,"status_id":1,"priority_id":2,"assigned_to_id":23,"start_date":"2017-05-03","description":"","custom_fields":[{"id":1,"name":"Subdivision","value":"EC"},{"id":4,"name":"Milepost","value":"16.2262"},{"id":17,"name":"Train ID","value":"186-03"},{"id":16,"name":"Locomotive ID","value":"4011"},{"id":130,"name":"Impact","value":""},{"id":150,"name":"Time of Event (Mountain Time)","value":"15:21:53"},{"id":151,"name":"Denver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"%USERPROFILE%\AppData\Local\Temp\OnboardLogs"\RTDC4011\*4011*201705032*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"%USERPROFILE%\AppData\Local\Temp\OnboardLogs"\RTDC4011\*4011*201705032* &gt;&gt; 2017-05-03-SliceDisagreementCheck.txt</v>
      </c>
      <c r="AE22" s="148" t="str">
        <f t="shared" si="1"/>
        <v>start /low /b %USERPROFILE%\Documents\GitHub\eaglep3\Utilities\DownloadLogsFromS3.py --loco 4011 --day 2017-05-03</v>
      </c>
      <c r="AF22" s="1"/>
    </row>
    <row r="23" spans="1:32" x14ac:dyDescent="0.25">
      <c r="A23" s="31">
        <v>42858.423206018517</v>
      </c>
      <c r="B23" s="30" t="s">
        <v>421</v>
      </c>
      <c r="C23" s="30" t="s">
        <v>589</v>
      </c>
      <c r="D23" s="30" t="s">
        <v>49</v>
      </c>
      <c r="E23" s="30" t="s">
        <v>586</v>
      </c>
      <c r="F23" s="42">
        <v>0</v>
      </c>
      <c r="G23" s="42">
        <v>116</v>
      </c>
      <c r="H23" s="42">
        <v>183304</v>
      </c>
      <c r="I23" s="42">
        <v>183172</v>
      </c>
      <c r="J23" s="30" t="s">
        <v>587</v>
      </c>
      <c r="K23" s="42">
        <v>182920</v>
      </c>
      <c r="L23" s="134" t="s">
        <v>51</v>
      </c>
      <c r="M23" s="135">
        <f>CONVERT((I23-K23)/10000,"mi","ft")*IF(L23="Increasing Mileposts (1)",-1,1)</f>
        <v>133.05600000000001</v>
      </c>
      <c r="N23" s="136" t="str">
        <f>VLOOKUP(C23,'Trips&amp;Operators'!$C$1:$G$99999,5,FALSE)</f>
        <v>PELLITIER GEORGE</v>
      </c>
      <c r="O23" s="207" t="s">
        <v>184</v>
      </c>
      <c r="P23" s="137" t="s">
        <v>1028</v>
      </c>
      <c r="Q23" s="30"/>
      <c r="R23" s="84" t="str">
        <f>IF(VLOOKUP(C23,'Train Runs'!$A$13:$AE$9944,1,1)=C23,VLOOKUP(C23,'Train Runs'!$A$13:$AE$9944,31,1),NA())</f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S23" s="87" t="str">
        <f>VLOOKUP(C23,'Train Runs'!$A$13:$AE$9944,22,0)</f>
        <v>https://d0f6bd738d7f1b3e5a7ca70fe4ff75f0.us-east-1.aws.found.io/app/kibana#/discover/Steve-Slow-Train-Analysis-(2080s-and-2083s)?_g=(refreshInterval:(display:Off,pause:!f,section:0,value:0),time:(from:'2017-05-03T09:21:11-0600',mode:absolute,to:'2017-05-03T11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3" s="89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/stypes="*4053*201705031*" /stext=" 16:.+((SYSTEM_STATE.+slice.+state.+changed )|(ment ac)|(multiple cpu faults)|(system.+state.+changed )|(\[timeout)|(PRM\|1\|D)|(kpr)|(kdp)|(train st.+moving)|(\|lc)|(penalty))"</v>
      </c>
      <c r="U23" s="9" t="str">
        <f>MID(B23,13,4)</f>
        <v>4053</v>
      </c>
      <c r="V23" s="31">
        <f>A23-utc_offset/24</f>
        <v>42858.673206018517</v>
      </c>
      <c r="W23" s="45" t="str">
        <f>IFERROR(IF(VALUE(LEFT(IF(LEN(C23)=6,"0"&amp;C23,C23),2))&lt;=2,"EC",IF(OR(VALUE(LEFT(IF(LEN(C23)=6,"0"&amp;C23,C23),2))=8,VALUE(LEFT(IF(LEN(C23)=6,"0"&amp;C23,C23),2))=18),"NW","Other")),"Other")</f>
        <v>EC</v>
      </c>
      <c r="X23" s="45" t="str">
        <f>IF(AND(E23="TRACK WARRANT AUTHORITY",G23&lt;10),"OMIT","KEEP")</f>
        <v>KEEP</v>
      </c>
      <c r="Y23" s="99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{"issue":{"subject":"STOP aspect","project_id":79,"tracker_id":40,"status_id":1,"priority_id":2,"assigned_to_id":23,"start_date":"2017-05-03","description":"","custom_fields":[{"id":1,"name":"Subdivision","value":"EC"},{"id":4,"name":"Milepost","value":"18.292"},{"id":17,"name":"Train ID","value":"144-03"},{"id":16,"name":"Locomotive ID","value":"4053"},{"id":130,"name":"Impact","value":""},{"id":150,"name":"Time of Event (Mountain Time)","value":"10:09:25"},{"id":151,"name":"Denver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"%USERPROFILE%\AppData\Local\Temp\OnboardLogs"\RTDC4053\*4053*201705031*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"%USERPROFILE%\AppData\Local\Temp\OnboardLogs"\RTDC4053\*4053*201705031* &gt;&gt; 2017-05-03-SliceDisagreementCheck.txt</v>
      </c>
      <c r="AE23" s="148" t="str">
        <f t="shared" si="1"/>
        <v>start /low /b %USERPROFILE%\Documents\GitHub\eaglep3\Utilities\DownloadLogsFromS3.py --loco 4053 --day 2017-05-03</v>
      </c>
      <c r="AF23" s="1"/>
    </row>
    <row r="24" spans="1:32" x14ac:dyDescent="0.25">
      <c r="A24" s="31">
        <v>42858.41946759259</v>
      </c>
      <c r="B24" s="30" t="s">
        <v>351</v>
      </c>
      <c r="C24" s="30" t="s">
        <v>588</v>
      </c>
      <c r="D24" s="30" t="s">
        <v>49</v>
      </c>
      <c r="E24" s="30" t="s">
        <v>580</v>
      </c>
      <c r="F24" s="42">
        <v>0</v>
      </c>
      <c r="G24" s="42">
        <v>406</v>
      </c>
      <c r="H24" s="42">
        <v>17139</v>
      </c>
      <c r="I24" s="42">
        <v>14084</v>
      </c>
      <c r="J24" s="30" t="s">
        <v>581</v>
      </c>
      <c r="K24" s="42">
        <v>17100</v>
      </c>
      <c r="L24" s="134" t="s">
        <v>51</v>
      </c>
      <c r="M24" s="135">
        <f>CONVERT((I24-K24)/10000,"mi","ft")*IF(L24="Increasing Mileposts (1)",-1,1)</f>
        <v>-1592.4480000000001</v>
      </c>
      <c r="N24" s="136" t="str">
        <f>VLOOKUP(C24,'Trips&amp;Operators'!$C$1:$G$99999,5,FALSE)</f>
        <v>LAMAR NEKESHA</v>
      </c>
      <c r="O24" s="207" t="s">
        <v>618</v>
      </c>
      <c r="P24" s="137" t="s">
        <v>1026</v>
      </c>
      <c r="Q24" s="30"/>
      <c r="R24" s="84" t="str">
        <f>IF(VLOOKUP(C24,'Train Runs'!$A$13:$AE$9944,1,1)=C24,VLOOKUP(C24,'Train Runs'!$A$13:$AE$9944,31,1),NA())</f>
        <v>aws s3 cp s3://rtdc.mdm.uploadarchive.raw/RTDC4027/ "%USERPROFILE%\AppData\Local\Temp\OnboardLogs"\RTDC4027\2017-05-03 --exclude "*" --recursive --include "*20170503*" &amp; "%USERPROFILE%\Documents\GitHub\mrs-test-scripts\Headless Mode &amp; Sideloading\WalkAndUnGZ.bat" "%USERPROFILE%\AppData\Local\Temp\OnboardLogs"\RTDC4027\2017-05-03 &amp; aws s3 cp s3://rtdc.mdm.uploadarchive.raw/RTDC4027/ "%USERPROFILE%\AppData\Local\Temp\OnboardLogs"\RTDC4027\2017-05-04 --exclude "*" --recursive --include "*20170504*" &amp; "%USERPROFILE%\Documents\GitHub\mrs-test-scripts\Headless Mode &amp; Sideloading\WalkAndUnGZ.bat" "%USERPROFILE%\AppData\Local\Temp\OnboardLogs"\RTDC4027\2017-05-04</v>
      </c>
      <c r="S24" s="87" t="str">
        <f>VLOOKUP(C24,'Train Runs'!$A$13:$AE$9944,22,0)</f>
        <v>https://d0f6bd738d7f1b3e5a7ca70fe4ff75f0.us-east-1.aws.found.io/app/kibana#/discover/Steve-Slow-Train-Analysis-(2080s-and-2083s)?_g=(refreshInterval:(display:Off,pause:!f,section:0,value:0),time:(from:'2017-05-03T08:09:57-0600',mode:absolute,to:'2017-05-03T11:09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4" s="89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/stypes="*4027*201705031*" /stext=" 16:.+((SYSTEM_STATE.+slice.+state.+changed )|(ment ac)|(multiple cpu faults)|(system.+state.+changed )|(\[timeout)|(PRM\|1\|D)|(kpr)|(kdp)|(train st.+moving)|(\|lc)|(penalty))"</v>
      </c>
      <c r="U24" s="9" t="str">
        <f>MID(B24,13,4)</f>
        <v>4027</v>
      </c>
      <c r="V24" s="31">
        <f>A24-utc_offset/24</f>
        <v>42858.66946759259</v>
      </c>
      <c r="W24" s="45" t="str">
        <f>IFERROR(IF(VALUE(LEFT(IF(LEN(C24)=6,"0"&amp;C24,C24),2))&lt;=2,"EC",IF(OR(VALUE(LEFT(IF(LEN(C24)=6,"0"&amp;C24,C24),2))=8,VALUE(LEFT(IF(LEN(C24)=6,"0"&amp;C24,C24),2))=18),"NW","Other")),"Other")</f>
        <v>EC</v>
      </c>
      <c r="X24" s="45" t="str">
        <f>IF(AND(E24="TRACK WARRANT AUTHORITY",G24&lt;10),"OMIT","KEEP")</f>
        <v>KEEP</v>
      </c>
      <c r="Y24" s="99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drop","project_id":79,"tracker_id":40,"status_id":1,"priority_id":2,"assigned_to_id":23,"start_date":"2017-05-03","description":"","custom_fields":[{"id":1,"name":"Subdivision","value":"EC"},{"id":4,"name":"Milepost","value":"1.71"},{"id":17,"name":"Train ID","value":"140-03"},{"id":16,"name":"Locomotive ID","value":"4027"},{"id":130,"name":"Impact","value":""},{"id":150,"name":"Time of Event (Mountain Time)","value":"10:04:02"},{"id":151,"name":"Denver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"%USERPROFILE%\AppData\Local\Temp\OnboardLogs"\RTDC4027\*4027*201705031*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"%USERPROFILE%\AppData\Local\Temp\OnboardLogs"\RTDC4027\*4027*201705031* &gt;&gt; 2017-05-03-SliceDisagreementCheck.txt</v>
      </c>
      <c r="AE24" s="148" t="str">
        <f t="shared" si="1"/>
        <v>start /low /b %USERPROFILE%\Documents\GitHub\eaglep3\Utilities\DownloadLogsFromS3.py --loco 4027 --day 2017-05-03</v>
      </c>
      <c r="AF24" s="1"/>
    </row>
    <row r="25" spans="1:32" x14ac:dyDescent="0.25">
      <c r="A25" s="31">
        <v>42858.647499999999</v>
      </c>
      <c r="B25" s="30" t="s">
        <v>601</v>
      </c>
      <c r="C25" s="30" t="s">
        <v>602</v>
      </c>
      <c r="D25" s="30" t="s">
        <v>98</v>
      </c>
      <c r="E25" s="30" t="s">
        <v>580</v>
      </c>
      <c r="F25" s="42">
        <v>0</v>
      </c>
      <c r="G25" s="42">
        <v>128</v>
      </c>
      <c r="H25" s="42">
        <v>127294</v>
      </c>
      <c r="I25" s="42">
        <v>126961</v>
      </c>
      <c r="J25" s="30" t="s">
        <v>581</v>
      </c>
      <c r="K25" s="42">
        <v>127587</v>
      </c>
      <c r="L25" s="134" t="s">
        <v>51</v>
      </c>
      <c r="M25" s="135">
        <f>CONVERT((I25-K25)/10000,"mi","ft")*IF(L25="Increasing Mileposts (1)",-1,1)</f>
        <v>-330.52800000000002</v>
      </c>
      <c r="N25" s="136" t="str">
        <f>VLOOKUP(C25,'Trips&amp;Operators'!$C$1:$G$99999,5,FALSE)</f>
        <v>MOSES BRADLEY</v>
      </c>
      <c r="O25" s="207" t="s">
        <v>618</v>
      </c>
      <c r="P25" s="137" t="s">
        <v>1026</v>
      </c>
      <c r="Q25" s="30"/>
      <c r="R25" s="84" t="str">
        <f>IF(VLOOKUP(C25,'Train Runs'!$A$13:$AE$9944,1,1)=C25,VLOOKUP(C25,'Train Runs'!$A$13:$AE$9944,31,1),NA())</f>
        <v>aws s3 cp s3://rtdc.mdm.uploadarchive.raw/RTDC4011/ "%USERPROFILE%\AppData\Local\Temp\OnboardLogs"\RTDC4011\2017-05-03 --exclude "*" --recursive --include "*20170503*" &amp; "%USERPROFILE%\Documents\GitHub\mrs-test-scripts\Headless Mode &amp; Sideloading\WalkAndUnGZ.bat" "%USERPROFILE%\AppData\Local\Temp\OnboardLogs"\RTDC4011\2017-05-03 &amp; aws s3 cp s3://rtdc.mdm.uploadarchive.raw/RTDC4011/ "%USERPROFILE%\AppData\Local\Temp\OnboardLogs"\RTDC4011\2017-05-04 --exclude "*" --recursive --include "*20170504*" &amp; "%USERPROFILE%\Documents\GitHub\mrs-test-scripts\Headless Mode &amp; Sideloading\WalkAndUnGZ.bat" "%USERPROFILE%\AppData\Local\Temp\OnboardLogs"\RTDC4011\2017-05-04</v>
      </c>
      <c r="S25" s="87" t="str">
        <f>VLOOKUP(C25,'Train Runs'!$A$13:$AE$9944,22,0)</f>
        <v>https://d0f6bd738d7f1b3e5a7ca70fe4ff75f0.us-east-1.aws.found.io/app/kibana#/discover/Steve-Slow-Train-Analysis-(2080s-and-2083s)?_g=(refreshInterval:(display:Off,pause:!f,section:0,value:0),time:(from:'2017-05-03T14:30:46-0600',mode:absolute,to:'2017-05-03T16:41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5" s="89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/stypes="*4011*201705032*" /stext=" 21:.+((SYSTEM_STATE.+slice.+state.+changed )|(ment ac)|(multiple cpu faults)|(system.+state.+changed )|(\[timeout)|(PRM\|1\|D)|(kpr)|(kdp)|(train st.+moving)|(\|lc)|(penalty))"</v>
      </c>
      <c r="U25" s="9" t="str">
        <f>MID(B25,13,4)</f>
        <v>4011</v>
      </c>
      <c r="V25" s="31">
        <f>A25-utc_offset/24</f>
        <v>42858.897499999999</v>
      </c>
      <c r="W25" s="45" t="str">
        <f>IFERROR(IF(VALUE(LEFT(IF(LEN(C25)=6,"0"&amp;C25,C25),2))&lt;=2,"EC",IF(OR(VALUE(LEFT(IF(LEN(C25)=6,"0"&amp;C25,C25),2))=8,VALUE(LEFT(IF(LEN(C25)=6,"0"&amp;C25,C25),2))=18),"NW","Other")),"Other")</f>
        <v>EC</v>
      </c>
      <c r="X25" s="45" t="str">
        <f>IF(AND(E25="TRACK WARRANT AUTHORITY",G25&lt;10),"OMIT","KEEP")</f>
        <v>KEEP</v>
      </c>
      <c r="Y25" s="99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{"issue":{"subject":"Wi-MAX data drop","project_id":79,"tracker_id":40,"status_id":1,"priority_id":2,"assigned_to_id":23,"start_date":"2017-05-03","description":"","custom_fields":[{"id":1,"name":"Subdivision","value":"EC"},{"id":4,"name":"Milepost","value":"12.7587"},{"id":17,"name":"Train ID","value":"186-03"},{"id":16,"name":"Locomotive ID","value":"4011"},{"id":130,"name":"Impact","value":""},{"id":150,"name":"Time of Event (Mountain Time)","value":"15:32:24"},{"id":151,"name":"Denver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"%USERPROFILE%\AppData\Local\Temp\OnboardLogs"\RTDC4011\*4011*201705032*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"%USERPROFILE%\AppData\Local\Temp\OnboardLogs"\RTDC4011\*4011*201705032* &gt;&gt; 2017-05-03-SliceDisagreementCheck.txt</v>
      </c>
      <c r="AE25" s="148" t="str">
        <f t="shared" si="1"/>
        <v>start /low /b %USERPROFILE%\Documents\GitHub\eaglep3\Utilities\DownloadLogsFromS3.py --loco 4011 --day 2017-05-03</v>
      </c>
      <c r="AF25" s="1"/>
    </row>
    <row r="26" spans="1:32" x14ac:dyDescent="0.25">
      <c r="A26" s="31">
        <v>42858.245150462964</v>
      </c>
      <c r="B26" s="30" t="s">
        <v>359</v>
      </c>
      <c r="C26" s="30" t="s">
        <v>583</v>
      </c>
      <c r="D26" s="30" t="s">
        <v>49</v>
      </c>
      <c r="E26" s="30" t="s">
        <v>185</v>
      </c>
      <c r="F26" s="42">
        <v>0</v>
      </c>
      <c r="G26" s="42">
        <v>46</v>
      </c>
      <c r="H26" s="42">
        <v>189</v>
      </c>
      <c r="I26" s="42">
        <v>149</v>
      </c>
      <c r="J26" s="30" t="s">
        <v>186</v>
      </c>
      <c r="K26" s="42">
        <v>1</v>
      </c>
      <c r="L26" s="134" t="s">
        <v>51</v>
      </c>
      <c r="M26" s="135">
        <f>CONVERT((I26-K26)/10000,"mi","ft")*IF(L26="Increasing Mileposts (1)",-1,1)</f>
        <v>78.144000000000005</v>
      </c>
      <c r="N26" s="136" t="str">
        <f>VLOOKUP(C26,'Trips&amp;Operators'!$C$1:$G$99999,5,FALSE)</f>
        <v>SPECTOR MICHAEL</v>
      </c>
      <c r="O26" s="207" t="s">
        <v>184</v>
      </c>
      <c r="P26" s="137"/>
      <c r="Q26" s="30"/>
      <c r="R26" s="84" t="str">
        <f>IF(VLOOKUP(C26,'Train Runs'!$A$13:$AE$9944,1,1)=C26,VLOOKUP(C26,'Train Runs'!$A$13:$AE$9944,31,1),NA())</f>
        <v>aws s3 cp s3://rtdc.mdm.uploadarchive.raw/RTDC4029/ "%USERPROFILE%\AppData\Local\Temp\OnboardLogs"\RTDC4029\2017-05-03 --exclude "*" --recursive --include "*20170503*" &amp; "%USERPROFILE%\Documents\GitHub\mrs-test-scripts\Headless Mode &amp; Sideloading\WalkAndUnGZ.bat" "%USERPROFILE%\AppData\Local\Temp\OnboardLogs"\RTDC4029\2017-05-03 &amp; aws s3 cp s3://rtdc.mdm.uploadarchive.raw/RTDC4029/ "%USERPROFILE%\AppData\Local\Temp\OnboardLogs"\RTDC4029\2017-05-04 --exclude "*" --recursive --include "*20170504*" &amp; "%USERPROFILE%\Documents\GitHub\mrs-test-scripts\Headless Mode &amp; Sideloading\WalkAndUnGZ.bat" "%USERPROFILE%\AppData\Local\Temp\OnboardLogs"\RTDC4029\2017-05-04</v>
      </c>
      <c r="S26" s="87" t="str">
        <f>VLOOKUP(C26,'Train Runs'!$A$13:$AE$9944,22,0)</f>
        <v>https://d0f6bd738d7f1b3e5a7ca70fe4ff75f0.us-east-1.aws.found.io/app/kibana#/discover/Steve-Slow-Train-Analysis-(2080s-and-2083s)?_g=(refreshInterval:(display:Off,pause:!f,section:0,value:0),time:(from:'2017-05-03T04:06:21-0600',mode:absolute,to:'2017-05-03T06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26" s="89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/stypes="*4029*201705031*" /stext=" 11:.+((SYSTEM_STATE.+slice.+state.+changed )|(ment ac)|(multiple cpu faults)|(system.+state.+changed )|(\[timeout)|(PRM\|1\|D)|(kpr)|(kdp)|(train st.+moving)|(\|lc)|(penalty))"</v>
      </c>
      <c r="U26" s="9" t="str">
        <f>MID(B26,13,4)</f>
        <v>4029</v>
      </c>
      <c r="V26" s="31">
        <f>A26-utc_offset/24</f>
        <v>42858.495150462964</v>
      </c>
      <c r="W26" s="45" t="str">
        <f>IFERROR(IF(VALUE(LEFT(IF(LEN(C26)=6,"0"&amp;C26,C26),2))&lt;=2,"EC",IF(OR(VALUE(LEFT(IF(LEN(C26)=6,"0"&amp;C26,C26),2))=8,VALUE(LEFT(IF(LEN(C26)=6,"0"&amp;C26,C26),2))=18),"NW","Other")),"Other")</f>
        <v>EC</v>
      </c>
      <c r="X26" s="45" t="str">
        <f>IF(AND(E26="TRACK WARRANT AUTHORITY",G26&lt;10),"OMIT","KEEP")</f>
        <v>KEEP</v>
      </c>
      <c r="Y26" s="99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{"issue":{"subject":"","project_id":79,"tracker_id":40,"status_id":1,"priority_id":2,"assigned_to_id":23,"start_date":"2017-05-03","description":"","custom_fields":[{"id":1,"name":"Subdivision","value":"EC"},{"id":4,"name":"Milepost","value":"0.0001"},{"id":17,"name":"Train ID","value":"106-03"},{"id":16,"name":"Locomotive ID","value":"4029"},{"id":130,"name":"Impact","value":""},{"id":150,"name":"Time of Event (Mountain Time)","value":"05:53:01"},{"id":151,"name":"Denver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"%USERPROFILE%\AppData\Local\Temp\OnboardLogs"\RTDC4029\*4029*201705031*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"%USERPROFILE%\AppData\Local\Temp\OnboardLogs"\RTDC4029\*4029*201705031* &gt;&gt; 2017-05-03-SliceDisagreementCheck.txt</v>
      </c>
      <c r="AE26" s="148" t="str">
        <f t="shared" si="1"/>
        <v>start /low /b %USERPROFILE%\Documents\GitHub\eaglep3\Utilities\DownloadLogsFromS3.py --loco 4029 --day 2017-05-03</v>
      </c>
      <c r="AF26" s="1"/>
    </row>
    <row r="27" spans="1:32" x14ac:dyDescent="0.25">
      <c r="A27" s="31">
        <v>42858.545451388891</v>
      </c>
      <c r="B27" s="30" t="s">
        <v>526</v>
      </c>
      <c r="C27" s="30" t="s">
        <v>598</v>
      </c>
      <c r="D27" s="30" t="s">
        <v>49</v>
      </c>
      <c r="E27" s="30" t="s">
        <v>185</v>
      </c>
      <c r="F27" s="42">
        <v>0</v>
      </c>
      <c r="G27" s="42">
        <v>53</v>
      </c>
      <c r="H27" s="42">
        <v>176</v>
      </c>
      <c r="I27" s="42">
        <v>132</v>
      </c>
      <c r="J27" s="30" t="s">
        <v>186</v>
      </c>
      <c r="K27" s="42">
        <v>1</v>
      </c>
      <c r="L27" s="134" t="s">
        <v>51</v>
      </c>
      <c r="M27" s="135">
        <f>CONVERT((I27-K27)/10000,"mi","ft")*IF(L27="Increasing Mileposts (1)",-1,1)</f>
        <v>69.168000000000006</v>
      </c>
      <c r="N27" s="136" t="str">
        <f>VLOOKUP(C27,'Trips&amp;Operators'!$C$1:$G$99999,5,FALSE)</f>
        <v>ZEWDU DEREJE</v>
      </c>
      <c r="O27" s="207" t="s">
        <v>184</v>
      </c>
      <c r="P27" s="137"/>
      <c r="Q27" s="30"/>
      <c r="R27" s="84" t="str">
        <f>IF(VLOOKUP(C27,'Train Runs'!$A$13:$AE$9944,1,1)=C27,VLOOKUP(C27,'Train Runs'!$A$13:$AE$9944,31,1),NA())</f>
        <v>aws s3 cp s3://rtdc.mdm.uploadarchive.raw/RTDC4015/ "%USERPROFILE%\AppData\Local\Temp\OnboardLogs"\RTDC4015\2017-05-03 --exclude "*" --recursive --include "*20170503*" &amp; "%USERPROFILE%\Documents\GitHub\mrs-test-scripts\Headless Mode &amp; Sideloading\WalkAndUnGZ.bat" "%USERPROFILE%\AppData\Local\Temp\OnboardLogs"\RTDC4015\2017-05-03 &amp; aws s3 cp s3://rtdc.mdm.uploadarchive.raw/RTDC4015/ "%USERPROFILE%\AppData\Local\Temp\OnboardLogs"\RTDC4015\2017-05-04 --exclude "*" --recursive --include "*20170504*" &amp; "%USERPROFILE%\Documents\GitHub\mrs-test-scripts\Headless Mode &amp; Sideloading\WalkAndUnGZ.bat" "%USERPROFILE%\AppData\Local\Temp\OnboardLogs"\RTDC4015\2017-05-04</v>
      </c>
      <c r="S27" s="87" t="str">
        <f>VLOOKUP(C27,'Train Runs'!$A$13:$AE$9944,22,0)</f>
        <v>https://d0f6bd738d7f1b3e5a7ca70fe4ff75f0.us-east-1.aws.found.io/app/kibana#/discover/Steve-Slow-Train-Analysis-(2080s-and-2083s)?_g=(refreshInterval:(display:Off,pause:!f,section:0,value:0),time:(from:'2017-05-03T11:10:36-0600',mode:absolute,to:'2017-05-03T14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7" s="89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/stypes="*4015*201705031*" /stext=" 19:.+((SYSTEM_STATE.+slice.+state.+changed )|(ment ac)|(multiple cpu faults)|(system.+state.+changed )|(\[timeout)|(PRM\|1\|D)|(kpr)|(kdp)|(train st.+moving)|(\|lc)|(penalty))"</v>
      </c>
      <c r="U27" s="9" t="str">
        <f>MID(B27,13,4)</f>
        <v>4015</v>
      </c>
      <c r="V27" s="31">
        <f>A27-utc_offset/24</f>
        <v>42858.795451388891</v>
      </c>
      <c r="W27" s="45" t="str">
        <f>IFERROR(IF(VALUE(LEFT(IF(LEN(C27)=6,"0"&amp;C27,C27),2))&lt;=2,"EC",IF(OR(VALUE(LEFT(IF(LEN(C27)=6,"0"&amp;C27,C27),2))=8,VALUE(LEFT(IF(LEN(C27)=6,"0"&amp;C27,C27),2))=18),"NW","Other")),"Other")</f>
        <v>EC</v>
      </c>
      <c r="X27" s="45" t="str">
        <f>IF(AND(E27="TRACK WARRANT AUTHORITY",G27&lt;10),"OMIT","KEEP")</f>
        <v>KEEP</v>
      </c>
      <c r="Y27" s="99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{"issue":{"subject":"","project_id":79,"tracker_id":40,"status_id":1,"priority_id":2,"assigned_to_id":23,"start_date":"2017-05-03","description":"","custom_fields":[{"id":1,"name":"Subdivision","value":"EC"},{"id":4,"name":"Milepost","value":"0.0001"},{"id":17,"name":"Train ID","value":"164-03"},{"id":16,"name":"Locomotive ID","value":"4015"},{"id":130,"name":"Impact","value":""},{"id":150,"name":"Time of Event (Mountain Time)","value":"13:05:27"},{"id":151,"name":"Denver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"%USERPROFILE%\AppData\Local\Temp\OnboardLogs"\RTDC4015\*4015*201705031*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"%USERPROFILE%\AppData\Local\Temp\OnboardLogs"\RTDC4015\*4015*201705031* &gt;&gt; 2017-05-03-SliceDisagreementCheck.txt</v>
      </c>
      <c r="AE27" s="148" t="str">
        <f t="shared" si="1"/>
        <v>start /low /b %USERPROFILE%\Documents\GitHub\eaglep3\Utilities\DownloadLogsFromS3.py --loco 4015 --day 2017-05-03</v>
      </c>
      <c r="AF27" s="1"/>
    </row>
    <row r="28" spans="1:32" x14ac:dyDescent="0.25">
      <c r="A28" s="31">
        <v>42858.64980324074</v>
      </c>
      <c r="B28" s="30" t="s">
        <v>411</v>
      </c>
      <c r="C28" s="30" t="s">
        <v>603</v>
      </c>
      <c r="D28" s="30" t="s">
        <v>49</v>
      </c>
      <c r="E28" s="30" t="s">
        <v>185</v>
      </c>
      <c r="F28" s="42">
        <v>0</v>
      </c>
      <c r="G28" s="42">
        <v>61</v>
      </c>
      <c r="H28" s="42">
        <v>223</v>
      </c>
      <c r="I28" s="42">
        <v>165</v>
      </c>
      <c r="J28" s="30" t="s">
        <v>186</v>
      </c>
      <c r="K28" s="42">
        <v>1</v>
      </c>
      <c r="L28" s="134" t="s">
        <v>51</v>
      </c>
      <c r="M28" s="135">
        <f>CONVERT((I28-K28)/10000,"mi","ft")*IF(L28="Increasing Mileposts (1)",-1,1)</f>
        <v>86.592000000000013</v>
      </c>
      <c r="N28" s="136" t="str">
        <f>VLOOKUP(C28,'Trips&amp;Operators'!$C$1:$G$99999,5,FALSE)</f>
        <v>LEVIN SCOTT</v>
      </c>
      <c r="O28" s="207" t="s">
        <v>184</v>
      </c>
      <c r="P28" s="137"/>
      <c r="Q28" s="30"/>
      <c r="R28" s="84" t="str">
        <f>IF(VLOOKUP(C28,'Train Runs'!$A$13:$AE$9944,1,1)=C28,VLOOKUP(C28,'Train Runs'!$A$13:$AE$9944,31,1),NA())</f>
        <v>aws s3 cp s3://rtdc.mdm.uploadarchive.raw/RTDC4039/ "%USERPROFILE%\AppData\Local\Temp\OnboardLogs"\RTDC4039\2017-05-03 --exclude "*" --recursive --include "*20170503*" &amp; "%USERPROFILE%\Documents\GitHub\mrs-test-scripts\Headless Mode &amp; Sideloading\WalkAndUnGZ.bat" "%USERPROFILE%\AppData\Local\Temp\OnboardLogs"\RTDC4039\2017-05-03 &amp; aws s3 cp s3://rtdc.mdm.uploadarchive.raw/RTDC4039/ "%USERPROFILE%\AppData\Local\Temp\OnboardLogs"\RTDC4039\2017-05-04 --exclude "*" --recursive --include "*20170504*" &amp; "%USERPROFILE%\Documents\GitHub\mrs-test-scripts\Headless Mode &amp; Sideloading\WalkAndUnGZ.bat" "%USERPROFILE%\AppData\Local\Temp\OnboardLogs"\RTDC4039\2017-05-04</v>
      </c>
      <c r="S28" s="87" t="str">
        <f>VLOOKUP(C28,'Train Runs'!$A$13:$AE$9944,22,0)</f>
        <v>https://d0f6bd738d7f1b3e5a7ca70fe4ff75f0.us-east-1.aws.found.io/app/kibana#/discover/Steve-Slow-Train-Analysis-(2080s-and-2083s)?_g=(refreshInterval:(display:Off,pause:!f,section:0,value:0),time:(from:'2017-05-03T13:51:56-0600',mode:absolute,to:'2017-05-03T16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8" s="89" t="str">
        <f>astrogrep_path&amp;" /e /r /s /spath="&amp;search_path&amp;" /stypes=""*"&amp;U28&amp;"*"&amp;TEXT(A28-utc_offset/24,"YYYYMMDD")&amp;LEFT(TEXT(A28-utc_offset/24,"HH"),1)&amp;"*"" /stext="" "&amp;TEXT(A28-utc_offset/24,"HH")&amp;search_regexp&amp;""""</f>
        <v>"C:\Program Files (x86)\AstroGrep\AstroGrep.exe" /e /r /s /spath="%USERPROFILE%\AppData\Local\Temp\OnboardLogs" /stypes="*4039*201705032*" /stext=" 21:.+((SYSTEM_STATE.+slice.+state.+changed )|(ment ac)|(multiple cpu faults)|(system.+state.+changed )|(\[timeout)|(PRM\|1\|D)|(kpr)|(kdp)|(train st.+moving)|(\|lc)|(penalty))"</v>
      </c>
      <c r="U28" s="9" t="str">
        <f>MID(B28,13,4)</f>
        <v>4039</v>
      </c>
      <c r="V28" s="31">
        <f>A28-utc_offset/24</f>
        <v>42858.89980324074</v>
      </c>
      <c r="W28" s="45" t="str">
        <f>IFERROR(IF(VALUE(LEFT(IF(LEN(C28)=6,"0"&amp;C28,C28),2))&lt;=2,"EC",IF(OR(VALUE(LEFT(IF(LEN(C28)=6,"0"&amp;C28,C28),2))=8,VALUE(LEFT(IF(LEN(C28)=6,"0"&amp;C28,C28),2))=18),"NW","Other")),"Other")</f>
        <v>EC</v>
      </c>
      <c r="X28" s="45" t="str">
        <f>IF(AND(E28="TRACK WARRANT AUTHORITY",G28&lt;10),"OMIT","KEEP")</f>
        <v>KEEP</v>
      </c>
      <c r="Y28" s="99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{"issue":{"subject":"","project_id":79,"tracker_id":40,"status_id":1,"priority_id":2,"assigned_to_id":23,"start_date":"2017-05-03","description":"","custom_fields":[{"id":1,"name":"Subdivision","value":"EC"},{"id":4,"name":"Milepost","value":"0.0001"},{"id":17,"name":"Train ID","value":"184-03"},{"id":16,"name":"Locomotive ID","value":"4039"},{"id":130,"name":"Impact","value":""},{"id":150,"name":"Time of Event (Mountain Time)","value":"15:35:43"},{"id":151,"name":"Denver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"%USERPROFILE%\AppData\Local\Temp\OnboardLogs"\RTDC4039\*4039*201705032*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"%USERPROFILE%\AppData\Local\Temp\OnboardLogs"\RTDC4039\*4039*201705032* &gt;&gt; 2017-05-03-SliceDisagreementCheck.txt</v>
      </c>
      <c r="AE28" s="148" t="str">
        <f t="shared" si="1"/>
        <v>start /low /b %USERPROFILE%\Documents\GitHub\eaglep3\Utilities\DownloadLogsFromS3.py --loco 4039 --day 2017-05-03</v>
      </c>
      <c r="AF28" s="1"/>
    </row>
    <row r="29" spans="1:32" x14ac:dyDescent="0.25">
      <c r="A29" s="31">
        <v>42858.744479166664</v>
      </c>
      <c r="B29" s="30" t="s">
        <v>421</v>
      </c>
      <c r="C29" s="30" t="s">
        <v>608</v>
      </c>
      <c r="D29" s="30" t="s">
        <v>49</v>
      </c>
      <c r="E29" s="30" t="s">
        <v>185</v>
      </c>
      <c r="F29" s="42">
        <v>0</v>
      </c>
      <c r="G29" s="42">
        <v>63</v>
      </c>
      <c r="H29" s="42">
        <v>238</v>
      </c>
      <c r="I29" s="42">
        <v>170</v>
      </c>
      <c r="J29" s="30" t="s">
        <v>186</v>
      </c>
      <c r="K29" s="42">
        <v>1</v>
      </c>
      <c r="L29" s="134" t="s">
        <v>51</v>
      </c>
      <c r="M29" s="135">
        <f>CONVERT((I29-K29)/10000,"mi","ft")*IF(L29="Increasing Mileposts (1)",-1,1)</f>
        <v>89.231999999999985</v>
      </c>
      <c r="N29" s="136" t="str">
        <f>VLOOKUP(C29,'Trips&amp;Operators'!$C$1:$G$99999,5,FALSE)</f>
        <v>CLARK KATHLEEN</v>
      </c>
      <c r="O29" s="207" t="s">
        <v>184</v>
      </c>
      <c r="P29" s="137"/>
      <c r="Q29" s="30"/>
      <c r="R29" s="84" t="str">
        <f>IF(VLOOKUP(C29,'Train Runs'!$A$13:$AE$9944,1,1)=C29,VLOOKUP(C29,'Train Runs'!$A$13:$AE$9944,31,1),NA())</f>
        <v>aws s3 cp s3://rtdc.mdm.uploadarchive.raw/RTDC4053/ "%USERPROFILE%\AppData\Local\Temp\OnboardLogs"\RTDC4053\2017-05-03 --exclude "*" --recursive --include "*20170503*" &amp; "%USERPROFILE%\Documents\GitHub\mrs-test-scripts\Headless Mode &amp; Sideloading\WalkAndUnGZ.bat" "%USERPROFILE%\AppData\Local\Temp\OnboardLogs"\RTDC4053\2017-05-03 &amp; aws s3 cp s3://rtdc.mdm.uploadarchive.raw/RTDC4053/ "%USERPROFILE%\AppData\Local\Temp\OnboardLogs"\RTDC4053\2017-05-04 --exclude "*" --recursive --include "*20170504*" &amp; "%USERPROFILE%\Documents\GitHub\mrs-test-scripts\Headless Mode &amp; Sideloading\WalkAndUnGZ.bat" "%USERPROFILE%\AppData\Local\Temp\OnboardLogs"\RTDC4053\2017-05-04</v>
      </c>
      <c r="S29" s="87" t="str">
        <f>VLOOKUP(C29,'Train Runs'!$A$13:$AE$9944,22,0)</f>
        <v>https://d0f6bd738d7f1b3e5a7ca70fe4ff75f0.us-east-1.aws.found.io/app/kibana#/discover/Steve-Slow-Train-Analysis-(2080s-and-2083s)?_g=(refreshInterval:(display:Off,pause:!f,section:0,value:0),time:(from:'2017-05-03T16:05:10-0600',mode:absolute,to:'2017-05-03T18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9" s="89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/stypes="*4053*201705032*" /stext=" 23:.+((SYSTEM_STATE.+slice.+state.+changed )|(ment ac)|(multiple cpu faults)|(system.+state.+changed )|(\[timeout)|(PRM\|1\|D)|(kpr)|(kdp)|(train st.+moving)|(\|lc)|(penalty))"</v>
      </c>
      <c r="U29" s="9" t="str">
        <f>MID(B29,13,4)</f>
        <v>4053</v>
      </c>
      <c r="V29" s="31">
        <f>A29-utc_offset/24</f>
        <v>42858.994479166664</v>
      </c>
      <c r="W29" s="45" t="str">
        <f>IFERROR(IF(VALUE(LEFT(IF(LEN(C29)=6,"0"&amp;C29,C29),2))&lt;=2,"EC",IF(OR(VALUE(LEFT(IF(LEN(C29)=6,"0"&amp;C29,C29),2))=8,VALUE(LEFT(IF(LEN(C29)=6,"0"&amp;C29,C29),2))=18),"NW","Other")),"Other")</f>
        <v>EC</v>
      </c>
      <c r="X29" s="45" t="str">
        <f>IF(AND(E29="TRACK WARRANT AUTHORITY",G29&lt;10),"OMIT","KEEP")</f>
        <v>KEEP</v>
      </c>
      <c r="Y29" s="99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{"issue":{"subject":"","project_id":79,"tracker_id":40,"status_id":1,"priority_id":2,"assigned_to_id":23,"start_date":"2017-05-03","description":"","custom_fields":[{"id":1,"name":"Subdivision","value":"EC"},{"id":4,"name":"Milepost","value":"0.0001"},{"id":17,"name":"Train ID","value":"202-03"},{"id":16,"name":"Locomotive ID","value":"4053"},{"id":130,"name":"Impact","value":""},{"id":150,"name":"Time of Event (Mountain Time)","value":"17:52:03"},{"id":151,"name":"Denver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"%USERPROFILE%\AppData\Local\Temp\OnboardLogs"\RTDC4053\*4053*201705032*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"%USERPROFILE%\AppData\Local\Temp\OnboardLogs"\RTDC4053\*4053*201705032* &gt;&gt; 2017-05-03-SliceDisagreementCheck.txt</v>
      </c>
      <c r="AE29" s="148" t="str">
        <f t="shared" si="1"/>
        <v>start /low /b %USERPROFILE%\Documents\GitHub\eaglep3\Utilities\DownloadLogsFromS3.py --loco 4053 --day 2017-05-03</v>
      </c>
      <c r="AF29" s="1"/>
    </row>
    <row r="30" spans="1:32" x14ac:dyDescent="0.25">
      <c r="A30" s="31">
        <v>42858.68167824074</v>
      </c>
      <c r="B30" s="30" t="s">
        <v>412</v>
      </c>
      <c r="C30" s="30" t="s">
        <v>604</v>
      </c>
      <c r="D30" s="30" t="s">
        <v>49</v>
      </c>
      <c r="E30" s="30" t="s">
        <v>185</v>
      </c>
      <c r="F30" s="42">
        <v>0</v>
      </c>
      <c r="G30" s="42">
        <v>45</v>
      </c>
      <c r="H30" s="42">
        <v>233339</v>
      </c>
      <c r="I30" s="42">
        <v>233372</v>
      </c>
      <c r="J30" s="30" t="s">
        <v>186</v>
      </c>
      <c r="K30" s="42">
        <v>233491</v>
      </c>
      <c r="L30" s="134" t="s">
        <v>50</v>
      </c>
      <c r="M30" s="135">
        <f>CONVERT((I30-K30)/10000,"mi","ft")*IF(L30="Increasing Mileposts (1)",-1,1)</f>
        <v>62.832000000000001</v>
      </c>
      <c r="N30" s="136" t="str">
        <f>VLOOKUP(C30,'Trips&amp;Operators'!$C$1:$G$99999,5,FALSE)</f>
        <v>LEVIN SCOTT</v>
      </c>
      <c r="O30" s="207" t="s">
        <v>184</v>
      </c>
      <c r="P30" s="137"/>
      <c r="Q30" s="30"/>
      <c r="R30" s="84" t="str">
        <f>IF(VLOOKUP(C30,'Train Runs'!$A$13:$AE$9944,1,1)=C30,VLOOKUP(C30,'Train Runs'!$A$13:$AE$9944,31,1),NA())</f>
        <v>aws s3 cp s3://rtdc.mdm.uploadarchive.raw/RTDC4040/ "%USERPROFILE%\AppData\Local\Temp\OnboardLogs"\RTDC4040\2017-05-03 --exclude "*" --recursive --include "*20170503*" &amp; "%USERPROFILE%\Documents\GitHub\mrs-test-scripts\Headless Mode &amp; Sideloading\WalkAndUnGZ.bat" "%USERPROFILE%\AppData\Local\Temp\OnboardLogs"\RTDC4040\2017-05-03 &amp; aws s3 cp s3://rtdc.mdm.uploadarchive.raw/RTDC4040/ "%USERPROFILE%\AppData\Local\Temp\OnboardLogs"\RTDC4040\2017-05-04 --exclude "*" --recursive --include "*20170504*" &amp; "%USERPROFILE%\Documents\GitHub\mrs-test-scripts\Headless Mode &amp; Sideloading\WalkAndUnGZ.bat" "%USERPROFILE%\AppData\Local\Temp\OnboardLogs"\RTDC4040\2017-05-04</v>
      </c>
      <c r="S30" s="87" t="str">
        <f>VLOOKUP(C30,'Train Runs'!$A$13:$AE$9944,22,0)</f>
        <v>https://d0f6bd738d7f1b3e5a7ca70fe4ff75f0.us-east-1.aws.found.io/app/kibana#/discover/Steve-Slow-Train-Analysis-(2080s-and-2083s)?_g=(refreshInterval:(display:Off,pause:!f,section:0,value:0),time:(from:'2017-05-03T14:42:10-0600',mode:absolute,to:'2017-05-03T17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0" s="89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/stypes="*4040*201705032*" /stext=" 22:.+((SYSTEM_STATE.+slice.+state.+changed )|(ment ac)|(multiple cpu faults)|(system.+state.+changed )|(\[timeout)|(PRM\|1\|D)|(kpr)|(kdp)|(train st.+moving)|(\|lc)|(penalty))"</v>
      </c>
      <c r="U30" s="9" t="str">
        <f>MID(B30,13,4)</f>
        <v>4040</v>
      </c>
      <c r="V30" s="31">
        <f>A30-utc_offset/24</f>
        <v>42858.93167824074</v>
      </c>
      <c r="W30" s="45" t="str">
        <f>IFERROR(IF(VALUE(LEFT(IF(LEN(C30)=6,"0"&amp;C30,C30),2))&lt;=2,"EC",IF(OR(VALUE(LEFT(IF(LEN(C30)=6,"0"&amp;C30,C30),2))=8,VALUE(LEFT(IF(LEN(C30)=6,"0"&amp;C30,C30),2))=18),"NW","Other")),"Other")</f>
        <v>EC</v>
      </c>
      <c r="X30" s="45" t="str">
        <f>IF(AND(E30="TRACK WARRANT AUTHORITY",G30&lt;10),"OMIT","KEEP")</f>
        <v>KEEP</v>
      </c>
      <c r="Y30" s="99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{"issue":{"subject":"","project_id":79,"tracker_id":40,"status_id":1,"priority_id":2,"assigned_to_id":23,"start_date":"2017-05-03","description":"","custom_fields":[{"id":1,"name":"Subdivision","value":"EC"},{"id":4,"name":"Milepost","value":"23.3491"},{"id":17,"name":"Train ID","value":"197-03"},{"id":16,"name":"Locomotive ID","value":"4040"},{"id":130,"name":"Impact","value":""},{"id":150,"name":"Time of Event (Mountain Time)","value":"16:21:37"},{"id":151,"name":"Denver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"%USERPROFILE%\AppData\Local\Temp\OnboardLogs"\RTDC4040\*4040*201705032*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"%USERPROFILE%\AppData\Local\Temp\OnboardLogs"\RTDC4040\*4040*201705032* &gt;&gt; 2017-05-03-SliceDisagreementCheck.txt</v>
      </c>
      <c r="AE30" s="148" t="str">
        <f t="shared" si="1"/>
        <v>start /low /b %USERPROFILE%\Documents\GitHub\eaglep3\Utilities\DownloadLogsFromS3.py --loco 4040 --day 2017-05-03</v>
      </c>
      <c r="AF30" s="1"/>
    </row>
    <row r="31" spans="1:32" x14ac:dyDescent="0.25">
      <c r="A31" s="31">
        <v>42858.293229166666</v>
      </c>
      <c r="B31" s="30" t="s">
        <v>441</v>
      </c>
      <c r="C31" s="30" t="s">
        <v>584</v>
      </c>
      <c r="D31" s="30" t="s">
        <v>49</v>
      </c>
      <c r="E31" s="30" t="s">
        <v>208</v>
      </c>
      <c r="F31" s="42">
        <v>150</v>
      </c>
      <c r="G31" s="42">
        <v>312</v>
      </c>
      <c r="H31" s="42">
        <v>55516</v>
      </c>
      <c r="I31" s="42">
        <v>57149</v>
      </c>
      <c r="J31" s="30" t="s">
        <v>209</v>
      </c>
      <c r="K31" s="42">
        <v>57008</v>
      </c>
      <c r="L31" s="134" t="s">
        <v>50</v>
      </c>
      <c r="M31" s="135">
        <f>CONVERT((I31-K31)/10000,"mi","ft")*IF(L31="Increasing Mileposts (1)",-1,1)</f>
        <v>-74.447999999999993</v>
      </c>
      <c r="N31" s="136" t="str">
        <f>VLOOKUP(C31,'Trips&amp;Operators'!$C$1:$G$99999,5,FALSE)</f>
        <v>YORK EDGAR</v>
      </c>
      <c r="O31" s="207" t="s">
        <v>184</v>
      </c>
      <c r="P31" s="137"/>
      <c r="Q31" s="30"/>
      <c r="R31" s="84" t="str">
        <f>IF(VLOOKUP(C31,'Train Runs'!$A$13:$AE$9944,1,1)=C31,VLOOKUP(C31,'Train Runs'!$A$13:$AE$9944,31,1),NA())</f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S31" s="87" t="str">
        <f>VLOOKUP(C31,'Train Runs'!$A$13:$AE$9944,22,0)</f>
        <v>https://d0f6bd738d7f1b3e5a7ca70fe4ff75f0.us-east-1.aws.found.io/app/kibana#/discover/Steve-Slow-Train-Analysis-(2080s-and-2083s)?_g=(refreshInterval:(display:Off,pause:!f,section:0,value:0),time:(from:'2017-05-03T05:25:54-0600',mode:absolute,to:'2017-05-03T08:03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1" s="89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/stypes="*4032*201705031*" /stext=" 13:.+((SYSTEM_STATE.+slice.+state.+changed )|(ment ac)|(multiple cpu faults)|(system.+state.+changed )|(\[timeout)|(PRM\|1\|D)|(kpr)|(kdp)|(train st.+moving)|(\|lc)|(penalty))"</v>
      </c>
      <c r="U31" s="9" t="str">
        <f>MID(B31,13,4)</f>
        <v>4032</v>
      </c>
      <c r="V31" s="31">
        <f>A31-utc_offset/24</f>
        <v>42858.543229166666</v>
      </c>
      <c r="W31" s="45" t="str">
        <f>IFERROR(IF(VALUE(LEFT(IF(LEN(C31)=6,"0"&amp;C31,C31),2))&lt;=2,"EC",IF(OR(VALUE(LEFT(IF(LEN(C31)=6,"0"&amp;C31,C31),2))=8,VALUE(LEFT(IF(LEN(C31)=6,"0"&amp;C31,C31),2))=18),"NW","Other")),"Other")</f>
        <v>NW</v>
      </c>
      <c r="X31" s="45" t="str">
        <f>IF(AND(E31="TRACK WARRANT AUTHORITY",G31&lt;10),"OMIT","KEEP")</f>
        <v>KEEP</v>
      </c>
      <c r="Y31" s="99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{"issue":{"subject":"","project_id":79,"tracker_id":40,"status_id":1,"priority_id":2,"assigned_to_id":23,"start_date":"2017-05-03","description":"","custom_fields":[{"id":1,"name":"Subdivision","value":"NW"},{"id":4,"name":"Milepost","value":"5.7008"},{"id":17,"name":"Train ID","value":"805-03"},{"id":16,"name":"Locomotive ID","value":"4032"},{"id":130,"name":"Impact","value":""},{"id":150,"name":"Time of Event (Mountain Time)","value":"07:02:15"},{"id":151,"name":"Denver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"%USERPROFILE%\AppData\Local\Temp\OnboardLogs"\RTDC4032\*4032*201705031*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"%USERPROFILE%\AppData\Local\Temp\OnboardLogs"\RTDC4032\*4032*201705031* &gt;&gt; 2017-05-03-SliceDisagreementCheck.txt</v>
      </c>
      <c r="AE31" s="148" t="str">
        <f t="shared" si="1"/>
        <v>start /low /b %USERPROFILE%\Documents\GitHub\eaglep3\Utilities\DownloadLogsFromS3.py --loco 4032 --day 2017-05-03</v>
      </c>
      <c r="AF31" s="1"/>
    </row>
    <row r="32" spans="1:32" x14ac:dyDescent="0.25">
      <c r="A32" s="31">
        <v>42858.752129629633</v>
      </c>
      <c r="B32" s="30" t="s">
        <v>441</v>
      </c>
      <c r="C32" s="30" t="s">
        <v>610</v>
      </c>
      <c r="D32" s="30" t="s">
        <v>49</v>
      </c>
      <c r="E32" s="30" t="s">
        <v>208</v>
      </c>
      <c r="F32" s="42">
        <v>150</v>
      </c>
      <c r="G32" s="42">
        <v>348</v>
      </c>
      <c r="H32" s="42">
        <v>55245</v>
      </c>
      <c r="I32" s="42">
        <v>56593</v>
      </c>
      <c r="J32" s="30" t="s">
        <v>209</v>
      </c>
      <c r="K32" s="42">
        <v>57008</v>
      </c>
      <c r="L32" s="134" t="s">
        <v>50</v>
      </c>
      <c r="M32" s="135">
        <f>CONVERT((I32-K32)/10000,"mi","ft")*IF(L32="Increasing Mileposts (1)",-1,1)</f>
        <v>219.12</v>
      </c>
      <c r="N32" s="136" t="str">
        <f>VLOOKUP(C32,'Trips&amp;Operators'!$C$1:$G$99999,5,FALSE)</f>
        <v>CHANDLER KELVIN</v>
      </c>
      <c r="O32" s="207" t="s">
        <v>184</v>
      </c>
      <c r="P32" s="137"/>
      <c r="Q32" s="30"/>
      <c r="R32" s="84" t="str">
        <f>IF(VLOOKUP(C32,'Train Runs'!$A$13:$AE$9944,1,1)=C32,VLOOKUP(C32,'Train Runs'!$A$13:$AE$9944,31,1),NA())</f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S32" s="87" t="str">
        <f>VLOOKUP(C32,'Train Runs'!$A$13:$AE$9944,22,0)</f>
        <v>https://d0f6bd738d7f1b3e5a7ca70fe4ff75f0.us-east-1.aws.found.io/app/kibana#/discover/Steve-Slow-Train-Analysis-(2080s-and-2083s)?_g=(refreshInterval:(display:Off,pause:!f,section:0,value:0),time:(from:'2017-05-03T16:50:02-0600',mode:absolute,to:'2017-05-03T19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2" s="89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/stypes="*4032*201705040*" /stext=" 00:.+((SYSTEM_STATE.+slice.+state.+changed )|(ment ac)|(multiple cpu faults)|(system.+state.+changed )|(\[timeout)|(PRM\|1\|D)|(kpr)|(kdp)|(train st.+moving)|(\|lc)|(penalty))"</v>
      </c>
      <c r="U32" s="9" t="str">
        <f>MID(B32,13,4)</f>
        <v>4032</v>
      </c>
      <c r="V32" s="31">
        <f>A32-utc_offset/24</f>
        <v>42859.002129629633</v>
      </c>
      <c r="W32" s="45" t="str">
        <f>IFERROR(IF(VALUE(LEFT(IF(LEN(C32)=6,"0"&amp;C32,C32),2))&lt;=2,"EC",IF(OR(VALUE(LEFT(IF(LEN(C32)=6,"0"&amp;C32,C32),2))=8,VALUE(LEFT(IF(LEN(C32)=6,"0"&amp;C32,C32),2))=18),"NW","Other")),"Other")</f>
        <v>NW</v>
      </c>
      <c r="X32" s="45" t="str">
        <f>IF(AND(E32="TRACK WARRANT AUTHORITY",G32&lt;10),"OMIT","KEEP")</f>
        <v>KEEP</v>
      </c>
      <c r="Y32" s="99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{"issue":{"subject":"","project_id":79,"tracker_id":40,"status_id":1,"priority_id":2,"assigned_to_id":23,"start_date":"2017-05-03","description":"","custom_fields":[{"id":1,"name":"Subdivision","value":"NW"},{"id":4,"name":"Milepost","value":"5.7008"},{"id":17,"name":"Train ID","value":"835-03"},{"id":16,"name":"Locomotive ID","value":"4032"},{"id":130,"name":"Impact","value":""},{"id":150,"name":"Time of Event (Mountain Time)","value":"18:03:04"},{"id":151,"name":"Denver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"%USERPROFILE%\AppData\Local\Temp\OnboardLogs"\RTDC4032\*4032*201705040*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"%USERPROFILE%\AppData\Local\Temp\OnboardLogs"\RTDC4032\*4032*201705040* &gt;&gt; 2017-05-03-SliceDisagreementCheck.txt</v>
      </c>
      <c r="AE32" s="148" t="str">
        <f t="shared" si="1"/>
        <v>start /low /b %USERPROFILE%\Documents\GitHub\eaglep3\Utilities\DownloadLogsFromS3.py --loco 4032 --day 2017-05-04</v>
      </c>
      <c r="AF32" s="1"/>
    </row>
    <row r="33" spans="1:32" x14ac:dyDescent="0.25">
      <c r="A33" s="31">
        <v>42858.440289351849</v>
      </c>
      <c r="B33" s="30" t="s">
        <v>592</v>
      </c>
      <c r="C33" s="30" t="s">
        <v>593</v>
      </c>
      <c r="D33" s="30" t="s">
        <v>49</v>
      </c>
      <c r="E33" s="30" t="s">
        <v>185</v>
      </c>
      <c r="F33" s="42">
        <v>0</v>
      </c>
      <c r="G33" s="42">
        <v>44</v>
      </c>
      <c r="H33" s="42">
        <v>58926</v>
      </c>
      <c r="I33" s="42">
        <v>58969</v>
      </c>
      <c r="J33" s="30" t="s">
        <v>186</v>
      </c>
      <c r="K33" s="42">
        <v>59048</v>
      </c>
      <c r="L33" s="134" t="s">
        <v>50</v>
      </c>
      <c r="M33" s="135">
        <f>CONVERT((I33-K33)/10000,"mi","ft")*IF(L33="Increasing Mileposts (1)",-1,1)</f>
        <v>41.712000000000003</v>
      </c>
      <c r="N33" s="136" t="str">
        <f>VLOOKUP(C33,'Trips&amp;Operators'!$C$1:$G$99999,5,FALSE)</f>
        <v>LOZA FIDEL</v>
      </c>
      <c r="O33" s="207" t="s">
        <v>184</v>
      </c>
      <c r="P33" s="137"/>
      <c r="Q33" s="30"/>
      <c r="R33" s="84" t="str">
        <f>IF(VLOOKUP(C33,'Train Runs'!$A$13:$AE$9944,1,1)=C33,VLOOKUP(C33,'Train Runs'!$A$13:$AE$9944,31,1),NA())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S33" s="87" t="str">
        <f>VLOOKUP(C33,'Train Runs'!$A$13:$AE$9944,22,0)</f>
        <v>https://d0f6bd738d7f1b3e5a7ca70fe4ff75f0.us-east-1.aws.found.io/app/kibana#/discover/Steve-Slow-Train-Analysis-(2080s-and-2083s)?_g=(refreshInterval:(display:Off,pause:!f,section:0,value:0),time:(from:'2017-05-03T09:16:49-0600',mode:absolute,to:'2017-05-03T11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3" s="89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/stypes="*4006*201705031*" /stext=" 16:.+((SYSTEM_STATE.+slice.+state.+changed )|(ment ac)|(multiple cpu faults)|(system.+state.+changed )|(\[timeout)|(PRM\|1\|D)|(kpr)|(kdp)|(train st.+moving)|(\|lc)|(penalty))"</v>
      </c>
      <c r="U33" s="9" t="str">
        <f>MID(B33,13,4)</f>
        <v>4006</v>
      </c>
      <c r="V33" s="31">
        <f>A33-utc_offset/24</f>
        <v>42858.690289351849</v>
      </c>
      <c r="W33" s="45" t="str">
        <f>IFERROR(IF(VALUE(LEFT(IF(LEN(C33)=6,"0"&amp;C33,C33),2))&lt;=2,"EC",IF(OR(VALUE(LEFT(IF(LEN(C33)=6,"0"&amp;C33,C33),2))=8,VALUE(LEFT(IF(LEN(C33)=6,"0"&amp;C33,C33),2))=18),"NW","Other")),"Other")</f>
        <v>NW</v>
      </c>
      <c r="X33" s="45" t="str">
        <f>IF(AND(E33="TRACK WARRANT AUTHORITY",G33&lt;10),"OMIT","KEEP")</f>
        <v>KEEP</v>
      </c>
      <c r="Y33" s="99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{"issue":{"subject":"","project_id":79,"tracker_id":40,"status_id":1,"priority_id":2,"assigned_to_id":23,"start_date":"2017-05-03","description":"","custom_fields":[{"id":1,"name":"Subdivision","value":"NW"},{"id":4,"name":"Milepost","value":"5.9048"},{"id":17,"name":"Train ID","value":"815-03"},{"id":16,"name":"Locomotive ID","value":"4006"},{"id":130,"name":"Impact","value":""},{"id":150,"name":"Time of Event (Mountain Time)","value":"10:34:01"},{"id":151,"name":"Denver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>"grep -hSE -A400 ""Enforcement Action"" "&amp;search_path&amp;"\RTDC"&amp;U33&amp;"\*"&amp;U33&amp;"*"&amp;TEXT(A33-utc_offset/24,"YYYYMMDD")&amp;LEFT(TEXT(A33-utc_offset/24,"HH"),1)&amp;"* | grep -SE ""((Enforcement Ac)|(PRM))"" -"</f>
        <v>grep -hSE -A400 "Enforcement Action" "%USERPROFILE%\AppData\Local\Temp\OnboardLogs"\RTDC4006\*4006*201705031*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"%USERPROFILE%\AppData\Local\Temp\OnboardLogs"\RTDC4006\*4006*201705031* &gt;&gt; 2017-05-03-SliceDisagreementCheck.txt</v>
      </c>
      <c r="AE33" s="148" t="str">
        <f t="shared" si="1"/>
        <v>start /low /b %USERPROFILE%\Documents\GitHub\eaglep3\Utilities\DownloadLogsFromS3.py --loco 4006 --day 2017-05-03</v>
      </c>
      <c r="AF33" s="1"/>
    </row>
    <row r="34" spans="1:32" x14ac:dyDescent="0.25">
      <c r="A34" s="31">
        <v>42858.607476851852</v>
      </c>
      <c r="B34" s="30" t="s">
        <v>592</v>
      </c>
      <c r="C34" s="30" t="s">
        <v>600</v>
      </c>
      <c r="D34" s="30" t="s">
        <v>49</v>
      </c>
      <c r="E34" s="30" t="s">
        <v>185</v>
      </c>
      <c r="F34" s="42">
        <v>0</v>
      </c>
      <c r="G34" s="42">
        <v>60</v>
      </c>
      <c r="H34" s="42">
        <v>58847</v>
      </c>
      <c r="I34" s="42">
        <v>58905</v>
      </c>
      <c r="J34" s="30" t="s">
        <v>186</v>
      </c>
      <c r="K34" s="42">
        <v>59048</v>
      </c>
      <c r="L34" s="134" t="s">
        <v>50</v>
      </c>
      <c r="M34" s="135">
        <f>CONVERT((I34-K34)/10000,"mi","ft")*IF(L34="Increasing Mileposts (1)",-1,1)</f>
        <v>75.504000000000005</v>
      </c>
      <c r="N34" s="136" t="str">
        <f>VLOOKUP(C34,'Trips&amp;Operators'!$C$1:$G$99999,5,FALSE)</f>
        <v>BRUDER RICHARD</v>
      </c>
      <c r="O34" s="207" t="s">
        <v>184</v>
      </c>
      <c r="P34" s="137"/>
      <c r="Q34" s="30"/>
      <c r="R34" s="84" t="str">
        <f>IF(VLOOKUP(C34,'Train Runs'!$A$13:$AE$9944,1,1)=C34,VLOOKUP(C34,'Train Runs'!$A$13:$AE$9944,31,1),NA())</f>
        <v>aws s3 cp s3://rtdc.mdm.uploadarchive.raw/RTDC4006/ "%USERPROFILE%\AppData\Local\Temp\OnboardLogs"\RTDC4006\2017-05-03 --exclude "*" --recursive --include "*20170503*" &amp; "%USERPROFILE%\Documents\GitHub\mrs-test-scripts\Headless Mode &amp; Sideloading\WalkAndUnGZ.bat" "%USERPROFILE%\AppData\Local\Temp\OnboardLogs"\RTDC4006\2017-05-03 &amp; aws s3 cp s3://rtdc.mdm.uploadarchive.raw/RTDC4006/ "%USERPROFILE%\AppData\Local\Temp\OnboardLogs"\RTDC4006\2017-05-04 --exclude "*" --recursive --include "*20170504*" &amp; "%USERPROFILE%\Documents\GitHub\mrs-test-scripts\Headless Mode &amp; Sideloading\WalkAndUnGZ.bat" "%USERPROFILE%\AppData\Local\Temp\OnboardLogs"\RTDC4006\2017-05-04</v>
      </c>
      <c r="S34" s="87" t="str">
        <f>VLOOKUP(C34,'Train Runs'!$A$13:$AE$9944,22,0)</f>
        <v>https://d0f6bd738d7f1b3e5a7ca70fe4ff75f0.us-east-1.aws.found.io/app/kibana#/discover/Steve-Slow-Train-Analysis-(2080s-and-2083s)?_g=(refreshInterval:(display:Off,pause:!f,section:0,value:0),time:(from:'2017-05-03T13:14:52-0600',mode:absolute,to:'2017-05-03T15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4" s="89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/stypes="*4006*201705032*" /stext=" 20:.+((SYSTEM_STATE.+slice.+state.+changed )|(ment ac)|(multiple cpu faults)|(system.+state.+changed )|(\[timeout)|(PRM\|1\|D)|(kpr)|(kdp)|(train st.+moving)|(\|lc)|(penalty))"</v>
      </c>
      <c r="U34" s="9" t="str">
        <f>MID(B34,13,4)</f>
        <v>4006</v>
      </c>
      <c r="V34" s="31">
        <f>A34-utc_offset/24</f>
        <v>42858.857476851852</v>
      </c>
      <c r="W34" s="45" t="str">
        <f>IFERROR(IF(VALUE(LEFT(IF(LEN(C34)=6,"0"&amp;C34,C34),2))&lt;=2,"EC",IF(OR(VALUE(LEFT(IF(LEN(C34)=6,"0"&amp;C34,C34),2))=8,VALUE(LEFT(IF(LEN(C34)=6,"0"&amp;C34,C34),2))=18),"NW","Other")),"Other")</f>
        <v>NW</v>
      </c>
      <c r="X34" s="45" t="str">
        <f>IF(AND(E34="TRACK WARRANT AUTHORITY",G34&lt;10),"OMIT","KEEP")</f>
        <v>KEEP</v>
      </c>
      <c r="Y34" s="99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{"issue":{"subject":"","project_id":79,"tracker_id":40,"status_id":1,"priority_id":2,"assigned_to_id":23,"start_date":"2017-05-03","description":"","custom_fields":[{"id":1,"name":"Subdivision","value":"NW"},{"id":4,"name":"Milepost","value":"5.9048"},{"id":17,"name":"Train ID","value":"823-03"},{"id":16,"name":"Locomotive ID","value":"4006"},{"id":130,"name":"Impact","value":""},{"id":150,"name":"Time of Event (Mountain Time)","value":"14:34:46"},{"id":151,"name":"Denver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>"grep -hSE -A400 ""Enforcement Action"" "&amp;search_path&amp;"\RTDC"&amp;U34&amp;"\*"&amp;U34&amp;"*"&amp;TEXT(A34-utc_offset/24,"YYYYMMDD")&amp;LEFT(TEXT(A34-utc_offset/24,"HH"),1)&amp;"* | grep -SE ""((Enforcement Ac)|(PRM))"" -"</f>
        <v>grep -hSE -A400 "Enforcement Action" "%USERPROFILE%\AppData\Local\Temp\OnboardLogs"\RTDC4006\*4006*201705032*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"%USERPROFILE%\AppData\Local\Temp\OnboardLogs"\RTDC4006\*4006*201705032* &gt;&gt; 2017-05-03-SliceDisagreementCheck.txt</v>
      </c>
      <c r="AE34" s="148" t="str">
        <f t="shared" si="1"/>
        <v>start /low /b %USERPROFILE%\Documents\GitHub\eaglep3\Utilities\DownloadLogsFromS3.py --loco 4006 --day 2017-05-03</v>
      </c>
      <c r="AF34" s="1"/>
    </row>
    <row r="35" spans="1:32" x14ac:dyDescent="0.25">
      <c r="A35" s="31">
        <v>42858.711875000001</v>
      </c>
      <c r="B35" s="30" t="s">
        <v>441</v>
      </c>
      <c r="C35" s="30" t="s">
        <v>606</v>
      </c>
      <c r="D35" s="30" t="s">
        <v>49</v>
      </c>
      <c r="E35" s="30" t="s">
        <v>185</v>
      </c>
      <c r="F35" s="42">
        <v>0</v>
      </c>
      <c r="G35" s="42">
        <v>76</v>
      </c>
      <c r="H35" s="42">
        <v>58792</v>
      </c>
      <c r="I35" s="42">
        <v>58850</v>
      </c>
      <c r="J35" s="30" t="s">
        <v>186</v>
      </c>
      <c r="K35" s="42">
        <v>59048</v>
      </c>
      <c r="L35" s="134" t="s">
        <v>50</v>
      </c>
      <c r="M35" s="135">
        <f>CONVERT((I35-K35)/10000,"mi","ft")*IF(L35="Increasing Mileposts (1)",-1,1)</f>
        <v>104.544</v>
      </c>
      <c r="N35" s="136" t="str">
        <f>VLOOKUP(C35,'Trips&amp;Operators'!$C$1:$G$99999,5,FALSE)</f>
        <v>CHANDLER KELVIN</v>
      </c>
      <c r="O35" s="207" t="s">
        <v>184</v>
      </c>
      <c r="P35" s="137"/>
      <c r="Q35" s="30"/>
      <c r="R35" s="84" t="str">
        <f>IF(VLOOKUP(C35,'Train Runs'!$A$13:$AE$9944,1,1)=C35,VLOOKUP(C35,'Train Runs'!$A$13:$AE$9944,31,1),NA())</f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S35" s="87" t="str">
        <f>VLOOKUP(C35,'Train Runs'!$A$13:$AE$9944,22,0)</f>
        <v>https://d0f6bd738d7f1b3e5a7ca70fe4ff75f0.us-east-1.aws.found.io/app/kibana#/discover/Steve-Slow-Train-Analysis-(2080s-and-2083s)?_g=(refreshInterval:(display:Off,pause:!f,section:0,value:0),time:(from:'2017-05-03T15:45:51-0600',mode:absolute,to:'2017-05-03T18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5" s="89" t="str">
        <f>astrogrep_path&amp;" /e /r /s /spath="&amp;search_path&amp;" /stypes=""*"&amp;U35&amp;"*"&amp;TEXT(A35-utc_offset/24,"YYYYMMDD")&amp;LEFT(TEXT(A35-utc_offset/24,"HH"),1)&amp;"*"" /stext="" "&amp;TEXT(A35-utc_offset/24,"HH")&amp;search_regexp&amp;""""</f>
        <v>"C:\Program Files (x86)\AstroGrep\AstroGrep.exe" /e /r /s /spath="%USERPROFILE%\AppData\Local\Temp\OnboardLogs" /stypes="*4032*201705032*" /stext=" 23:.+((SYSTEM_STATE.+slice.+state.+changed )|(ment ac)|(multiple cpu faults)|(system.+state.+changed )|(\[timeout)|(PRM\|1\|D)|(kpr)|(kdp)|(train st.+moving)|(\|lc)|(penalty))"</v>
      </c>
      <c r="U35" s="9" t="str">
        <f>MID(B35,13,4)</f>
        <v>4032</v>
      </c>
      <c r="V35" s="31">
        <f>A35-utc_offset/24</f>
        <v>42858.961875000001</v>
      </c>
      <c r="W35" s="45" t="str">
        <f>IFERROR(IF(VALUE(LEFT(IF(LEN(C35)=6,"0"&amp;C35,C35),2))&lt;=2,"EC",IF(OR(VALUE(LEFT(IF(LEN(C35)=6,"0"&amp;C35,C35),2))=8,VALUE(LEFT(IF(LEN(C35)=6,"0"&amp;C35,C35),2))=18),"NW","Other")),"Other")</f>
        <v>NW</v>
      </c>
      <c r="X35" s="45" t="str">
        <f>IF(AND(E35="TRACK WARRANT AUTHORITY",G35&lt;10),"OMIT","KEEP")</f>
        <v>KEEP</v>
      </c>
      <c r="Y35" s="99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{"issue":{"subject":"","project_id":79,"tracker_id":40,"status_id":1,"priority_id":2,"assigned_to_id":23,"start_date":"2017-05-03","description":"","custom_fields":[{"id":1,"name":"Subdivision","value":"NW"},{"id":4,"name":"Milepost","value":"5.9048"},{"id":17,"name":"Train ID","value":"831-03"},{"id":16,"name":"Locomotive ID","value":"4032"},{"id":130,"name":"Impact","value":""},{"id":150,"name":"Time of Event (Mountain Time)","value":"17:05:06"},{"id":151,"name":"Denver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>"grep -hSE -A400 ""Enforcement Action"" "&amp;search_path&amp;"\RTDC"&amp;U35&amp;"\*"&amp;U35&amp;"*"&amp;TEXT(A35-utc_offset/24,"YYYYMMDD")&amp;LEFT(TEXT(A35-utc_offset/24,"HH"),1)&amp;"* | grep -SE ""((Enforcement Ac)|(PRM))"" -"</f>
        <v>grep -hSE -A400 "Enforcement Action" "%USERPROFILE%\AppData\Local\Temp\OnboardLogs"\RTDC4032\*4032*201705032*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"%USERPROFILE%\AppData\Local\Temp\OnboardLogs"\RTDC4032\*4032*201705032* &gt;&gt; 2017-05-03-SliceDisagreementCheck.txt</v>
      </c>
      <c r="AE35" s="148" t="str">
        <f t="shared" si="1"/>
        <v>start /low /b %USERPROFILE%\Documents\GitHub\eaglep3\Utilities\DownloadLogsFromS3.py --loco 4032 --day 2017-05-03</v>
      </c>
      <c r="AF35" s="1"/>
    </row>
    <row r="36" spans="1:32" x14ac:dyDescent="0.25">
      <c r="A36" s="31">
        <v>42858.712638888886</v>
      </c>
      <c r="B36" s="30" t="s">
        <v>441</v>
      </c>
      <c r="C36" s="30" t="s">
        <v>606</v>
      </c>
      <c r="D36" s="30" t="s">
        <v>49</v>
      </c>
      <c r="E36" s="30" t="s">
        <v>185</v>
      </c>
      <c r="F36" s="42">
        <v>0</v>
      </c>
      <c r="G36" s="42">
        <v>7</v>
      </c>
      <c r="H36" s="42">
        <v>59037</v>
      </c>
      <c r="I36" s="42">
        <v>59037</v>
      </c>
      <c r="J36" s="30" t="s">
        <v>186</v>
      </c>
      <c r="K36" s="42">
        <v>59048</v>
      </c>
      <c r="L36" s="134" t="s">
        <v>50</v>
      </c>
      <c r="M36" s="135">
        <f>CONVERT((I36-K36)/10000,"mi","ft")*IF(L36="Increasing Mileposts (1)",-1,1)</f>
        <v>5.8079999999999998</v>
      </c>
      <c r="N36" s="136" t="str">
        <f>VLOOKUP(C36,'Trips&amp;Operators'!$C$1:$G$99999,5,FALSE)</f>
        <v>CHANDLER KELVIN</v>
      </c>
      <c r="O36" s="207" t="s">
        <v>184</v>
      </c>
      <c r="P36" s="137"/>
      <c r="Q36" s="30"/>
      <c r="R36" s="84" t="str">
        <f>IF(VLOOKUP(C36,'Train Runs'!$A$13:$AE$9944,1,1)=C36,VLOOKUP(C36,'Train Runs'!$A$13:$AE$9944,31,1),NA())</f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S36" s="87" t="str">
        <f>VLOOKUP(C36,'Train Runs'!$A$13:$AE$9944,22,0)</f>
        <v>https://d0f6bd738d7f1b3e5a7ca70fe4ff75f0.us-east-1.aws.found.io/app/kibana#/discover/Steve-Slow-Train-Analysis-(2080s-and-2083s)?_g=(refreshInterval:(display:Off,pause:!f,section:0,value:0),time:(from:'2017-05-03T15:45:51-0600',mode:absolute,to:'2017-05-03T18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6" s="89" t="str">
        <f>astrogrep_path&amp;" /e /r /s /spath="&amp;search_path&amp;" /stypes=""*"&amp;U36&amp;"*"&amp;TEXT(A36-utc_offset/24,"YYYYMMDD")&amp;LEFT(TEXT(A36-utc_offset/24,"HH"),1)&amp;"*"" /stext="" "&amp;TEXT(A36-utc_offset/24,"HH")&amp;search_regexp&amp;""""</f>
        <v>"C:\Program Files (x86)\AstroGrep\AstroGrep.exe" /e /r /s /spath="%USERPROFILE%\AppData\Local\Temp\OnboardLogs" /stypes="*4032*201705032*" /stext=" 23:.+((SYSTEM_STATE.+slice.+state.+changed )|(ment ac)|(multiple cpu faults)|(system.+state.+changed )|(\[timeout)|(PRM\|1\|D)|(kpr)|(kdp)|(train st.+moving)|(\|lc)|(penalty))"</v>
      </c>
      <c r="U36" s="9" t="str">
        <f>MID(B36,13,4)</f>
        <v>4032</v>
      </c>
      <c r="V36" s="31">
        <f>A36-utc_offset/24</f>
        <v>42858.962638888886</v>
      </c>
      <c r="W36" s="45" t="str">
        <f>IFERROR(IF(VALUE(LEFT(IF(LEN(C36)=6,"0"&amp;C36,C36),2))&lt;=2,"EC",IF(OR(VALUE(LEFT(IF(LEN(C36)=6,"0"&amp;C36,C36),2))=8,VALUE(LEFT(IF(LEN(C36)=6,"0"&amp;C36,C36),2))=18),"NW","Other")),"Other")</f>
        <v>NW</v>
      </c>
      <c r="X36" s="45" t="str">
        <f>IF(AND(E36="TRACK WARRANT AUTHORITY",G36&lt;10),"OMIT","KEEP")</f>
        <v>OMIT</v>
      </c>
      <c r="Y36" s="99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{"issue":{"subject":"","project_id":79,"tracker_id":40,"status_id":1,"priority_id":2,"assigned_to_id":23,"start_date":"2017-05-03","description":"","custom_fields":[{"id":1,"name":"Subdivision","value":"NW"},{"id":4,"name":"Milepost","value":"5.9048"},{"id":17,"name":"Train ID","value":"831-03"},{"id":16,"name":"Locomotive ID","value":"4032"},{"id":130,"name":"Impact","value":""},{"id":150,"name":"Time of Event (Mountain Time)","value":"17:06:12"},{"id":151,"name":"Denver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>"grep -hSE -A400 ""Enforcement Action"" "&amp;search_path&amp;"\RTDC"&amp;U36&amp;"\*"&amp;U36&amp;"*"&amp;TEXT(A36-utc_offset/24,"YYYYMMDD")&amp;LEFT(TEXT(A36-utc_offset/24,"HH"),1)&amp;"* | grep -SE ""((Enforcement Ac)|(PRM))"" -"</f>
        <v>grep -hSE -A400 "Enforcement Action" "%USERPROFILE%\AppData\Local\Temp\OnboardLogs"\RTDC4032\*4032*201705032*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"%USERPROFILE%\AppData\Local\Temp\OnboardLogs"\RTDC4032\*4032*201705032* &gt;&gt; 2017-05-03-SliceDisagreementCheck.txt</v>
      </c>
      <c r="AE36" s="148" t="str">
        <f t="shared" si="1"/>
        <v>start /low /b %USERPROFILE%\Documents\GitHub\eaglep3\Utilities\DownloadLogsFromS3.py --loco 4032 --day 2017-05-03</v>
      </c>
      <c r="AF36" s="1"/>
    </row>
    <row r="37" spans="1:32" x14ac:dyDescent="0.25">
      <c r="A37" s="31">
        <v>42858.75445601852</v>
      </c>
      <c r="B37" s="30" t="s">
        <v>441</v>
      </c>
      <c r="C37" s="30" t="s">
        <v>610</v>
      </c>
      <c r="D37" s="30" t="s">
        <v>49</v>
      </c>
      <c r="E37" s="30" t="s">
        <v>185</v>
      </c>
      <c r="F37" s="42">
        <v>0</v>
      </c>
      <c r="G37" s="42">
        <v>7</v>
      </c>
      <c r="H37" s="42">
        <v>59033</v>
      </c>
      <c r="I37" s="42">
        <v>59033</v>
      </c>
      <c r="J37" s="30" t="s">
        <v>186</v>
      </c>
      <c r="K37" s="42">
        <v>59048</v>
      </c>
      <c r="L37" s="134" t="s">
        <v>50</v>
      </c>
      <c r="M37" s="135">
        <f>CONVERT((I37-K37)/10000,"mi","ft")*IF(L37="Increasing Mileposts (1)",-1,1)</f>
        <v>7.92</v>
      </c>
      <c r="N37" s="136" t="str">
        <f>VLOOKUP(C37,'Trips&amp;Operators'!$C$1:$G$99999,5,FALSE)</f>
        <v>CHANDLER KELVIN</v>
      </c>
      <c r="O37" s="207" t="s">
        <v>184</v>
      </c>
      <c r="P37" s="137"/>
      <c r="Q37" s="30"/>
      <c r="R37" s="84" t="str">
        <f>IF(VLOOKUP(C37,'Train Runs'!$A$13:$AE$9944,1,1)=C37,VLOOKUP(C37,'Train Runs'!$A$13:$AE$9944,31,1),NA())</f>
        <v>aws s3 cp s3://rtdc.mdm.uploadarchive.raw/RTDC4032/ "%USERPROFILE%\AppData\Local\Temp\OnboardLogs"\RTDC4032\2017-05-03 --exclude "*" --recursive --include "*20170503*" &amp; "%USERPROFILE%\Documents\GitHub\mrs-test-scripts\Headless Mode &amp; Sideloading\WalkAndUnGZ.bat" "%USERPROFILE%\AppData\Local\Temp\OnboardLogs"\RTDC4032\2017-05-03 &amp; aws s3 cp s3://rtdc.mdm.uploadarchive.raw/RTDC4032/ "%USERPROFILE%\AppData\Local\Temp\OnboardLogs"\RTDC4032\2017-05-04 --exclude "*" --recursive --include "*20170504*" &amp; "%USERPROFILE%\Documents\GitHub\mrs-test-scripts\Headless Mode &amp; Sideloading\WalkAndUnGZ.bat" "%USERPROFILE%\AppData\Local\Temp\OnboardLogs"\RTDC4032\2017-05-04</v>
      </c>
      <c r="S37" s="87" t="str">
        <f>VLOOKUP(C37,'Train Runs'!$A$13:$AE$9944,22,0)</f>
        <v>https://d0f6bd738d7f1b3e5a7ca70fe4ff75f0.us-east-1.aws.found.io/app/kibana#/discover/Steve-Slow-Train-Analysis-(2080s-and-2083s)?_g=(refreshInterval:(display:Off,pause:!f,section:0,value:0),time:(from:'2017-05-03T16:50:02-0600',mode:absolute,to:'2017-05-03T19:06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37" s="89" t="str">
        <f>astrogrep_path&amp;" /e /r /s /spath="&amp;search_path&amp;" /stypes=""*"&amp;U37&amp;"*"&amp;TEXT(A37-utc_offset/24,"YYYYMMDD")&amp;LEFT(TEXT(A37-utc_offset/24,"HH"),1)&amp;"*"" /stext="" "&amp;TEXT(A37-utc_offset/24,"HH")&amp;search_regexp&amp;""""</f>
        <v>"C:\Program Files (x86)\AstroGrep\AstroGrep.exe" /e /r /s /spath="%USERPROFILE%\AppData\Local\Temp\OnboardLogs" /stypes="*4032*201705040*" /stext=" 00:.+((SYSTEM_STATE.+slice.+state.+changed )|(ment ac)|(multiple cpu faults)|(system.+state.+changed )|(\[timeout)|(PRM\|1\|D)|(kpr)|(kdp)|(train st.+moving)|(\|lc)|(penalty))"</v>
      </c>
      <c r="U37" s="9" t="str">
        <f>MID(B37,13,4)</f>
        <v>4032</v>
      </c>
      <c r="V37" s="31">
        <f>A37-utc_offset/24</f>
        <v>42859.00445601852</v>
      </c>
      <c r="W37" s="45" t="str">
        <f>IFERROR(IF(VALUE(LEFT(IF(LEN(C37)=6,"0"&amp;C37,C37),2))&lt;=2,"EC",IF(OR(VALUE(LEFT(IF(LEN(C37)=6,"0"&amp;C37,C37),2))=8,VALUE(LEFT(IF(LEN(C37)=6,"0"&amp;C37,C37),2))=18),"NW","Other")),"Other")</f>
        <v>NW</v>
      </c>
      <c r="X37" s="45" t="str">
        <f>IF(AND(E37="TRACK WARRANT AUTHORITY",G37&lt;10),"OMIT","KEEP")</f>
        <v>OMIT</v>
      </c>
      <c r="Y37" s="99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{"issue":{"subject":"","project_id":79,"tracker_id":40,"status_id":1,"priority_id":2,"assigned_to_id":23,"start_date":"2017-05-03","description":"","custom_fields":[{"id":1,"name":"Subdivision","value":"NW"},{"id":4,"name":"Milepost","value":"5.9048"},{"id":17,"name":"Train ID","value":"835-03"},{"id":16,"name":"Locomotive ID","value":"4032"},{"id":130,"name":"Impact","value":""},{"id":150,"name":"Time of Event (Mountain Time)","value":"18:06:25"},{"id":151,"name":"Denver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>"grep -hSE -A400 ""Enforcement Action"" "&amp;search_path&amp;"\RTDC"&amp;U37&amp;"\*"&amp;U37&amp;"*"&amp;TEXT(A37-utc_offset/24,"YYYYMMDD")&amp;LEFT(TEXT(A37-utc_offset/24,"HH"),1)&amp;"* | grep -SE ""((Enforcement Ac)|(PRM))"" -"</f>
        <v>grep -hSE -A400 "Enforcement Action" "%USERPROFILE%\AppData\Local\Temp\OnboardLogs"\RTDC4032\*4032*201705040*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"%USERPROFILE%\AppData\Local\Temp\OnboardLogs"\RTDC4032\*4032*201705040* &gt;&gt; 2017-05-03-SliceDisagreementCheck.txt</v>
      </c>
      <c r="AE37" s="148" t="str">
        <f t="shared" si="1"/>
        <v>start /low /b %USERPROFILE%\Documents\GitHub\eaglep3\Utilities\DownloadLogsFromS3.py --loco 4032 --day 2017-05-04</v>
      </c>
      <c r="AF37" s="1"/>
    </row>
    <row r="38" spans="1:32" x14ac:dyDescent="0.25">
      <c r="A38" s="31">
        <v>42858.942210648151</v>
      </c>
      <c r="B38" s="30" t="s">
        <v>592</v>
      </c>
      <c r="C38" s="30" t="s">
        <v>616</v>
      </c>
      <c r="D38" s="30" t="s">
        <v>49</v>
      </c>
      <c r="E38" s="30" t="s">
        <v>185</v>
      </c>
      <c r="F38" s="42">
        <v>0</v>
      </c>
      <c r="G38" s="42">
        <v>24</v>
      </c>
      <c r="H38" s="42">
        <v>58997</v>
      </c>
      <c r="I38" s="42">
        <v>59022</v>
      </c>
      <c r="J38" s="30" t="s">
        <v>186</v>
      </c>
      <c r="K38" s="42">
        <v>59048</v>
      </c>
      <c r="L38" s="134" t="s">
        <v>50</v>
      </c>
      <c r="M38" s="135">
        <f>CONVERT((I38-K38)/10000,"mi","ft")*IF(L38="Increasing Mileposts (1)",-1,1)</f>
        <v>13.728</v>
      </c>
      <c r="N38" s="136" t="str">
        <f>VLOOKUP(C38,'Trips&amp;Operators'!$C$1:$G$99999,5,FALSE)</f>
        <v>CHANDLER KELVIN</v>
      </c>
      <c r="O38" s="207" t="s">
        <v>184</v>
      </c>
      <c r="P38" s="137"/>
      <c r="Q38" s="30"/>
      <c r="R38" s="84" t="e">
        <f>IF(VLOOKUP(C38,'Train Runs'!$A$13:$AE$9944,1,1)=C38,VLOOKUP(C38,'Train Runs'!$A$13:$AE$9944,31,1),NA())</f>
        <v>#N/A</v>
      </c>
      <c r="S38" s="87" t="str">
        <f>VLOOKUP(C38,'Train Runs'!$A$13:$AE$9944,22,0)</f>
        <v>https://d0f6bd738d7f1b3e5a7ca70fe4ff75f0.us-east-1.aws.found.io/app/kibana#/discover/Steve-Slow-Train-Analysis-(2080s-and-2083s)?_g=(refreshInterval:(display:Off,pause:!f,section:0,value:0),time:(from:'2017-05-03T21:16:28-0600',mode:absolute,to:'2017-05-03T23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38" s="89" t="str">
        <f>astrogrep_path&amp;" /e /r /s /spath="&amp;search_path&amp;" /stypes=""*"&amp;U38&amp;"*"&amp;TEXT(A38-utc_offset/24,"YYYYMMDD")&amp;LEFT(TEXT(A38-utc_offset/24,"HH"),1)&amp;"*"" /stext="" "&amp;TEXT(A38-utc_offset/24,"HH")&amp;search_regexp&amp;""""</f>
        <v>"C:\Program Files (x86)\AstroGrep\AstroGrep.exe" /e /r /s /spath="%USERPROFILE%\AppData\Local\Temp\OnboardLogs" /stypes="*4006*201705040*" /stext=" 04:.+((SYSTEM_STATE.+slice.+state.+changed )|(ment ac)|(multiple cpu faults)|(system.+state.+changed )|(\[timeout)|(PRM\|1\|D)|(kpr)|(kdp)|(train st.+moving)|(\|lc)|(penalty))"</v>
      </c>
      <c r="U38" s="9" t="str">
        <f>MID(B38,13,4)</f>
        <v>4006</v>
      </c>
      <c r="V38" s="31">
        <f>A38-utc_offset/24</f>
        <v>42859.192210648151</v>
      </c>
      <c r="W38" s="45" t="str">
        <f>IFERROR(IF(VALUE(LEFT(IF(LEN(C38)=6,"0"&amp;C38,C38),2))&lt;=2,"EC",IF(OR(VALUE(LEFT(IF(LEN(C38)=6,"0"&amp;C38,C38),2))=8,VALUE(LEFT(IF(LEN(C38)=6,"0"&amp;C38,C38),2))=18),"NW","Other")),"Other")</f>
        <v>NW</v>
      </c>
      <c r="X38" s="45" t="str">
        <f>IF(AND(E38="TRACK WARRANT AUTHORITY",G38&lt;10),"OMIT","KEEP")</f>
        <v>KEEP</v>
      </c>
      <c r="Y38" s="99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{"issue":{"subject":"","project_id":79,"tracker_id":40,"status_id":1,"priority_id":2,"assigned_to_id":23,"start_date":"2017-05-03","description":"","custom_fields":[{"id":1,"name":"Subdivision","value":"NW"},{"id":4,"name":"Milepost","value":"5.9048"},{"id":17,"name":"Train ID","value":"847-03"},{"id":16,"name":"Locomotive ID","value":"4006"},{"id":130,"name":"Impact","value":""},{"id":150,"name":"Time of Event (Mountain Time)","value":"22:36:47"},{"id":151,"name":"Denver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>"grep -hSE -A400 ""Enforcement Action"" "&amp;search_path&amp;"\RTDC"&amp;U38&amp;"\*"&amp;U38&amp;"*"&amp;TEXT(A38-utc_offset/24,"YYYYMMDD")&amp;LEFT(TEXT(A38-utc_offset/24,"HH"),1)&amp;"* | grep -SE ""((Enforcement Ac)|(PRM))"" -"</f>
        <v>grep -hSE -A400 "Enforcement Action" "%USERPROFILE%\AppData\Local\Temp\OnboardLogs"\RTDC4006\*4006*201705040*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"%USERPROFILE%\AppData\Local\Temp\OnboardLogs"\RTDC4006\*4006*201705040* &gt;&gt; 2017-05-03-SliceDisagreementCheck.txt</v>
      </c>
      <c r="AE38" s="148" t="str">
        <f t="shared" si="1"/>
        <v>start /low /b %USERPROFILE%\Documents\GitHub\eaglep3\Utilities\DownloadLogsFromS3.py --loco 4006 --day 2017-05-04</v>
      </c>
      <c r="AF38" s="1"/>
    </row>
    <row r="39" spans="1:32" x14ac:dyDescent="0.25">
      <c r="A39" s="31">
        <v>42858.443437499998</v>
      </c>
      <c r="B39" s="30" t="s">
        <v>358</v>
      </c>
      <c r="C39" s="30" t="s">
        <v>594</v>
      </c>
      <c r="D39" s="30" t="s">
        <v>98</v>
      </c>
      <c r="E39" s="30" t="s">
        <v>586</v>
      </c>
      <c r="F39" s="42">
        <v>0</v>
      </c>
      <c r="G39" s="42">
        <v>66</v>
      </c>
      <c r="H39" s="42">
        <v>1793</v>
      </c>
      <c r="I39" s="42">
        <v>1878</v>
      </c>
      <c r="J39" s="30" t="s">
        <v>587</v>
      </c>
      <c r="K39" s="42">
        <v>1692</v>
      </c>
      <c r="L39" s="134" t="s">
        <v>50</v>
      </c>
      <c r="M39" s="135">
        <f>CONVERT((I39-K39)/10000,"mi","ft")*IF(L39="Increasing Mileposts (1)",-1,1)</f>
        <v>-98.207999999999998</v>
      </c>
      <c r="N39" s="136" t="str">
        <f>VLOOKUP(C39,'Trips&amp;Operators'!$C$1:$G$99999,5,FALSE)</f>
        <v>MAYBERRY BILL</v>
      </c>
      <c r="O39" s="207" t="s">
        <v>184</v>
      </c>
      <c r="P39" s="137"/>
      <c r="Q39" s="30"/>
      <c r="R39" s="84" t="e">
        <f>IF(VLOOKUP(C39,'Train Runs'!$A$13:$AE$9944,1,1)=C39,VLOOKUP(C39,'Train Runs'!$A$13:$AE$9944,31,1),NA())</f>
        <v>#N/A</v>
      </c>
      <c r="S39" s="87" t="str">
        <f>VLOOKUP(C39,'Train Runs'!$A$13:$AE$9944,22,0)</f>
        <v>https://d0f6bd738d7f1b3e5a7ca70fe4ff75f0.us-east-1.aws.found.io/app/kibana#/discover/Steve-Slow-Train-Analysis-(2080s-and-2083s)?_g=(refreshInterval:(display:Off,pause:!f,section:0,value:0),time:(from:'2017-05-03T09:34:40-0600',mode:absolute,to:'2017-05-03T11:38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9" s="89" t="str">
        <f>astrogrep_path&amp;" /e /r /s /spath="&amp;search_path&amp;" /stypes=""*"&amp;U39&amp;"*"&amp;TEXT(A39-utc_offset/24,"YYYYMMDD")&amp;LEFT(TEXT(A39-utc_offset/24,"HH"),1)&amp;"*"" /stext="" "&amp;TEXT(A39-utc_offset/24,"HH")&amp;search_regexp&amp;""""</f>
        <v>"C:\Program Files (x86)\AstroGrep\AstroGrep.exe" /e /r /s /spath="%USERPROFILE%\AppData\Local\Temp\OnboardLogs" /stypes="*4012*201705031*" /stext=" 16:.+((SYSTEM_STATE.+slice.+state.+changed )|(ment ac)|(multiple cpu faults)|(system.+state.+changed )|(\[timeout)|(PRM\|1\|D)|(kpr)|(kdp)|(train st.+moving)|(\|lc)|(penalty))"</v>
      </c>
      <c r="U39" s="9" t="str">
        <f>MID(B39,13,4)</f>
        <v>4012</v>
      </c>
      <c r="V39" s="31">
        <f>A39-utc_offset/24</f>
        <v>42858.693437499998</v>
      </c>
      <c r="W39" s="45" t="str">
        <f>IFERROR(IF(VALUE(LEFT(IF(LEN(C39)=6,"0"&amp;C39,C39),2))&lt;=2,"EC",IF(OR(VALUE(LEFT(IF(LEN(C39)=6,"0"&amp;C39,C39),2))=8,VALUE(LEFT(IF(LEN(C39)=6,"0"&amp;C39,C39),2))=18),"NW","Other")),"Other")</f>
        <v>Other</v>
      </c>
      <c r="X39" s="45" t="str">
        <f>IF(AND(E39="TRACK WARRANT AUTHORITY",G39&lt;10),"OMIT","KEEP")</f>
        <v>KEEP</v>
      </c>
      <c r="Y39" s="99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{"issue":{"subject":"","project_id":79,"tracker_id":40,"status_id":1,"priority_id":2,"assigned_to_id":23,"start_date":"2017-05-03","description":"","custom_fields":[{"id":1,"name":"Subdivision","value":"Other"},{"id":4,"name":"Milepost","value":"0.1692"},{"id":17,"name":"Train ID","value":"57-03"},{"id":16,"name":"Locomotive ID","value":"4012"},{"id":130,"name":"Impact","value":""},{"id":150,"name":"Time of Event (Mountain Time)","value":"10:38:33"},{"id":151,"name":"Denver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"%USERPROFILE%\AppData\Local\Temp\OnboardLogs"\RTDC4012\*4012*201705031*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"%USERPROFILE%\AppData\Local\Temp\OnboardLogs"\RTDC4012\*4012*201705031* &gt;&gt; 2017-05-03-SliceDisagreementCheck.txt</v>
      </c>
      <c r="AE39" s="148" t="str">
        <f t="shared" si="1"/>
        <v>start /low /b %USERPROFILE%\Documents\GitHub\eaglep3\Utilities\DownloadLogsFromS3.py --loco 4012 --day 2017-05-03</v>
      </c>
      <c r="AF39" s="1"/>
    </row>
    <row r="40" spans="1:32" x14ac:dyDescent="0.25">
      <c r="A40" s="31">
        <v>42858.14576388889</v>
      </c>
      <c r="B40" s="30" t="s">
        <v>578</v>
      </c>
      <c r="C40" s="30" t="s">
        <v>579</v>
      </c>
      <c r="D40" s="30" t="s">
        <v>98</v>
      </c>
      <c r="E40" s="30" t="s">
        <v>580</v>
      </c>
      <c r="F40" s="42">
        <v>0</v>
      </c>
      <c r="G40" s="42">
        <v>159</v>
      </c>
      <c r="H40" s="42">
        <v>22074</v>
      </c>
      <c r="I40" s="42">
        <v>21755</v>
      </c>
      <c r="J40" s="30" t="s">
        <v>581</v>
      </c>
      <c r="K40" s="42">
        <v>24235</v>
      </c>
      <c r="L40" s="134" t="s">
        <v>51</v>
      </c>
      <c r="M40" s="135">
        <f>CONVERT((I40-K40)/10000,"mi","ft")*IF(L40="Increasing Mileposts (1)",-1,1)</f>
        <v>-1309.44</v>
      </c>
      <c r="N40" s="136" t="str">
        <f>VLOOKUP(C40,'Trips&amp;Operators'!$C$1:$G$99999,5,FALSE)</f>
        <v>MAELZER KURT</v>
      </c>
      <c r="O40" s="207" t="s">
        <v>184</v>
      </c>
      <c r="P40" s="137"/>
      <c r="Q40" s="30"/>
      <c r="R40" s="84" t="e">
        <f>IF(VLOOKUP(C40,'Train Runs'!$A$13:$AE$9944,1,1)=C40,VLOOKUP(C40,'Train Runs'!$A$13:$AE$9944,31,1),NA())</f>
        <v>#N/A</v>
      </c>
      <c r="S40" s="87" t="str">
        <f>VLOOKUP(C40,'Train Runs'!$A$13:$AE$9944,22,0)</f>
        <v>https://d0f6bd738d7f1b3e5a7ca70fe4ff75f0.us-east-1.aws.found.io/app/kibana#/discover/Steve-Slow-Train-Analysis-(2080s-and-2083s)?_g=(refreshInterval:(display:Off,pause:!f,section:0,value:0),time:(from:'2017-05-03T02:25:05-0600',mode:absolute,to:'2017-05-03T04:38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40" s="89" t="str">
        <f>astrogrep_path&amp;" /e /r /s /spath="&amp;search_path&amp;" /stypes=""*"&amp;U40&amp;"*"&amp;TEXT(A40-utc_offset/24,"YYYYMMDD")&amp;LEFT(TEXT(A40-utc_offset/24,"HH"),1)&amp;"*"" /stext="" "&amp;TEXT(A40-utc_offset/24,"HH")&amp;search_regexp&amp;""""</f>
        <v>"C:\Program Files (x86)\AstroGrep\AstroGrep.exe" /e /r /s /spath="%USERPROFILE%\AppData\Local\Temp\OnboardLogs" /stypes="*4023*201705030*" /stext=" 09:.+((SYSTEM_STATE.+slice.+state.+changed )|(ment ac)|(multiple cpu faults)|(system.+state.+changed )|(\[timeout)|(PRM\|1\|D)|(kpr)|(kdp)|(train st.+moving)|(\|lc)|(penalty))"</v>
      </c>
      <c r="U40" s="9" t="str">
        <f>MID(B40,13,4)</f>
        <v>4023</v>
      </c>
      <c r="V40" s="31">
        <f>A40-utc_offset/24</f>
        <v>42858.39576388889</v>
      </c>
      <c r="W40" s="45" t="str">
        <f>IFERROR(IF(VALUE(LEFT(IF(LEN(C40)=6,"0"&amp;C40,C40),2))&lt;=2,"EC",IF(OR(VALUE(LEFT(IF(LEN(C40)=6,"0"&amp;C40,C40),2))=8,VALUE(LEFT(IF(LEN(C40)=6,"0"&amp;C40,C40),2))=18),"NW","Other")),"Other")</f>
        <v>Other</v>
      </c>
      <c r="X40" s="45" t="str">
        <f>IF(AND(E40="TRACK WARRANT AUTHORITY",G40&lt;10),"OMIT","KEEP")</f>
        <v>KEEP</v>
      </c>
      <c r="Y40" s="99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{"issue":{"subject":"","project_id":79,"tracker_id":40,"status_id":1,"priority_id":2,"assigned_to_id":23,"start_date":"2017-05-03","description":"","custom_fields":[{"id":1,"name":"Subdivision","value":"Other"},{"id":4,"name":"Milepost","value":"2.4235"},{"id":17,"name":"Train ID","value":"304-03"},{"id":16,"name":"Locomotive ID","value":"4023"},{"id":130,"name":"Impact","value":""},{"id":150,"name":"Time of Event (Mountain Time)","value":"03:29:54"},{"id":151,"name":"Denver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>"grep -hSE -A400 ""Enforcement Action"" "&amp;search_path&amp;"\RTDC"&amp;U40&amp;"\*"&amp;U40&amp;"*"&amp;TEXT(A40-utc_offset/24,"YYYYMMDD")&amp;LEFT(TEXT(A40-utc_offset/24,"HH"),1)&amp;"* | grep -SE ""((Enforcement Ac)|(PRM))"" -"</f>
        <v>grep -hSE -A400 "Enforcement Action" "%USERPROFILE%\AppData\Local\Temp\OnboardLogs"\RTDC4023\*4023*201705030*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"%USERPROFILE%\AppData\Local\Temp\OnboardLogs"\RTDC4023\*4023*201705030* &gt;&gt; 2017-05-03-SliceDisagreementCheck.txt</v>
      </c>
      <c r="AE40" s="148" t="str">
        <f t="shared" si="1"/>
        <v>start /low /b %USERPROFILE%\Documents\GitHub\eaglep3\Utilities\DownloadLogsFromS3.py --loco 4023 --day 2017-05-03</v>
      </c>
      <c r="AF40" s="1"/>
    </row>
    <row r="41" spans="1:32" x14ac:dyDescent="0.25">
      <c r="A41" s="31">
        <v>42858.745937500003</v>
      </c>
      <c r="B41" s="30" t="s">
        <v>590</v>
      </c>
      <c r="C41" s="30" t="s">
        <v>609</v>
      </c>
      <c r="D41" s="30" t="s">
        <v>98</v>
      </c>
      <c r="E41" s="30" t="s">
        <v>185</v>
      </c>
      <c r="F41" s="42">
        <v>0</v>
      </c>
      <c r="G41" s="42">
        <v>8</v>
      </c>
      <c r="H41" s="42">
        <v>1</v>
      </c>
      <c r="I41" s="42">
        <v>0</v>
      </c>
      <c r="J41" s="30" t="s">
        <v>186</v>
      </c>
      <c r="K41" s="42">
        <v>1</v>
      </c>
      <c r="L41" s="134" t="s">
        <v>51</v>
      </c>
      <c r="M41" s="135">
        <f>CONVERT((I41-K41)/10000,"mi","ft")*IF(L41="Increasing Mileposts (1)",-1,1)</f>
        <v>-0.52800000000000002</v>
      </c>
      <c r="N41" s="136" t="str">
        <f>VLOOKUP(C41,'Trips&amp;Operators'!$C$1:$G$99999,5,FALSE)</f>
        <v>BROWN JACOB</v>
      </c>
      <c r="O41" s="207" t="s">
        <v>184</v>
      </c>
      <c r="P41" s="137"/>
      <c r="Q41" s="30"/>
      <c r="R41" s="84" t="e">
        <f>IF(VLOOKUP(C41,'Train Runs'!$A$13:$AE$9944,1,1)=C41,VLOOKUP(C41,'Train Runs'!$A$13:$AE$9944,31,1),NA())</f>
        <v>#N/A</v>
      </c>
      <c r="S41" s="87" t="str">
        <f>VLOOKUP(C41,'Train Runs'!$A$13:$AE$9944,22,0)</f>
        <v>https://d0f6bd738d7f1b3e5a7ca70fe4ff75f0.us-east-1.aws.found.io/app/kibana#/discover/Steve-Slow-Train-Analysis-(2080s-and-2083s)?_g=(refreshInterval:(display:Off,pause:!f,section:0,value:0),time:(from:'2017-05-03T16:36:49-0600',mode:absolute,to:'2017-05-03T18:54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1" s="89" t="str">
        <f>astrogrep_path&amp;" /e /r /s /spath="&amp;search_path&amp;" /stypes=""*"&amp;U41&amp;"*"&amp;TEXT(A41-utc_offset/24,"YYYYMMDD")&amp;LEFT(TEXT(A41-utc_offset/24,"HH"),1)&amp;"*"" /stext="" "&amp;TEXT(A41-utc_offset/24,"HH")&amp;search_regexp&amp;""""</f>
        <v>"C:\Program Files (x86)\AstroGrep\AstroGrep.exe" /e /r /s /spath="%USERPROFILE%\AppData\Local\Temp\OnboardLogs" /stypes="*4051*201705032*" /stext=" 23:.+((SYSTEM_STATE.+slice.+state.+changed )|(ment ac)|(multiple cpu faults)|(system.+state.+changed )|(\[timeout)|(PRM\|1\|D)|(kpr)|(kdp)|(train st.+moving)|(\|lc)|(penalty))"</v>
      </c>
      <c r="U41" s="9" t="str">
        <f>MID(B41,13,4)</f>
        <v>4051</v>
      </c>
      <c r="V41" s="31">
        <f>A41-utc_offset/24</f>
        <v>42858.995937500003</v>
      </c>
      <c r="W41" s="45" t="str">
        <f>IFERROR(IF(VALUE(LEFT(IF(LEN(C41)=6,"0"&amp;C41,C41),2))&lt;=2,"EC",IF(OR(VALUE(LEFT(IF(LEN(C41)=6,"0"&amp;C41,C41),2))=8,VALUE(LEFT(IF(LEN(C41)=6,"0"&amp;C41,C41),2))=18),"NW","Other")),"Other")</f>
        <v>Other</v>
      </c>
      <c r="X41" s="45" t="str">
        <f>IF(AND(E41="TRACK WARRANT AUTHORITY",G41&lt;10),"OMIT","KEEP")</f>
        <v>OMIT</v>
      </c>
      <c r="Y41" s="99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{"issue":{"subject":"","project_id":79,"tracker_id":40,"status_id":1,"priority_id":2,"assigned_to_id":23,"start_date":"2017-05-03","description":"","custom_fields":[{"id":1,"name":"Subdivision","value":"Other"},{"id":4,"name":"Milepost","value":"0.0001"},{"id":17,"name":"Train ID","value":"72-03"},{"id":16,"name":"Locomotive ID","value":"4051"},{"id":130,"name":"Impact","value":""},{"id":150,"name":"Time of Event (Mountain Time)","value":"17:54:09"},{"id":151,"name":"Denver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>"grep -hSE -A400 ""Enforcement Action"" "&amp;search_path&amp;"\RTDC"&amp;U41&amp;"\*"&amp;U41&amp;"*"&amp;TEXT(A41-utc_offset/24,"YYYYMMDD")&amp;LEFT(TEXT(A41-utc_offset/24,"HH"),1)&amp;"* | grep -SE ""((Enforcement Ac)|(PRM))"" -"</f>
        <v>grep -hSE -A400 "Enforcement Action" "%USERPROFILE%\AppData\Local\Temp\OnboardLogs"\RTDC4051\*4051*201705032*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"%USERPROFILE%\AppData\Local\Temp\OnboardLogs"\RTDC4051\*4051*201705032* &gt;&gt; 2017-05-03-SliceDisagreementCheck.txt</v>
      </c>
      <c r="AE41" s="148" t="str">
        <f t="shared" si="1"/>
        <v>start /low /b %USERPROFILE%\Documents\GitHub\eaglep3\Utilities\DownloadLogsFromS3.py --loco 4051 --day 2017-05-03</v>
      </c>
      <c r="AF41" s="1"/>
    </row>
    <row r="42" spans="1:32" x14ac:dyDescent="0.25">
      <c r="A42" s="31">
        <v>42858.438148148147</v>
      </c>
      <c r="B42" s="30" t="s">
        <v>590</v>
      </c>
      <c r="C42" s="30" t="s">
        <v>591</v>
      </c>
      <c r="D42" s="30" t="s">
        <v>49</v>
      </c>
      <c r="E42" s="30" t="s">
        <v>185</v>
      </c>
      <c r="F42" s="42">
        <v>0</v>
      </c>
      <c r="G42" s="42">
        <v>18</v>
      </c>
      <c r="H42" s="42">
        <v>854</v>
      </c>
      <c r="I42" s="42">
        <v>833</v>
      </c>
      <c r="J42" s="30" t="s">
        <v>186</v>
      </c>
      <c r="K42" s="42">
        <v>826</v>
      </c>
      <c r="L42" s="134" t="s">
        <v>51</v>
      </c>
      <c r="M42" s="135">
        <f>CONVERT((I42-K42)/10000,"mi","ft")*IF(L42="Increasing Mileposts (1)",-1,1)</f>
        <v>3.6960000000000002</v>
      </c>
      <c r="N42" s="136" t="str">
        <f>VLOOKUP(C42,'Trips&amp;Operators'!$C$1:$G$99999,5,FALSE)</f>
        <v>DE LA ROSA ALEX</v>
      </c>
      <c r="O42" s="207" t="s">
        <v>184</v>
      </c>
      <c r="P42" s="137"/>
      <c r="Q42" s="30"/>
      <c r="R42" s="84" t="e">
        <f>IF(VLOOKUP(C42,'Train Runs'!$A$13:$AE$9944,1,1)=C42,VLOOKUP(C42,'Train Runs'!$A$13:$AE$9944,31,1),NA())</f>
        <v>#N/A</v>
      </c>
      <c r="S42" s="87" t="str">
        <f>VLOOKUP(C42,'Train Runs'!$A$13:$AE$9944,22,0)</f>
        <v>https://d0f6bd738d7f1b3e5a7ca70fe4ff75f0.us-east-1.aws.found.io/app/kibana#/discover/Steve-Slow-Train-Analysis-(2080s-and-2083s)?_g=(refreshInterval:(display:Off,pause:!f,section:0,value:0),time:(from:'2017-05-03T09:17:46-0600',mode:absolute,to:'2017-05-03T11:30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2" s="89" t="str">
        <f>astrogrep_path&amp;" /e /r /s /spath="&amp;search_path&amp;" /stypes=""*"&amp;U42&amp;"*"&amp;TEXT(A42-utc_offset/24,"YYYYMMDD")&amp;LEFT(TEXT(A42-utc_offset/24,"HH"),1)&amp;"*"" /stext="" "&amp;TEXT(A42-utc_offset/24,"HH")&amp;search_regexp&amp;""""</f>
        <v>"C:\Program Files (x86)\AstroGrep\AstroGrep.exe" /e /r /s /spath="%USERPROFILE%\AppData\Local\Temp\OnboardLogs" /stypes="*4051*201705031*" /stext=" 16:.+((SYSTEM_STATE.+slice.+state.+changed )|(ment ac)|(multiple cpu faults)|(system.+state.+changed )|(\[timeout)|(PRM\|1\|D)|(kpr)|(kdp)|(train st.+moving)|(\|lc)|(penalty))"</v>
      </c>
      <c r="U42" s="9" t="str">
        <f>MID(B42,13,4)</f>
        <v>4051</v>
      </c>
      <c r="V42" s="31">
        <f>A42-utc_offset/24</f>
        <v>42858.688148148147</v>
      </c>
      <c r="W42" s="45" t="str">
        <f>IFERROR(IF(VALUE(LEFT(IF(LEN(C42)=6,"0"&amp;C42,C42),2))&lt;=2,"EC",IF(OR(VALUE(LEFT(IF(LEN(C42)=6,"0"&amp;C42,C42),2))=8,VALUE(LEFT(IF(LEN(C42)=6,"0"&amp;C42,C42),2))=18),"NW","Other")),"Other")</f>
        <v>Other</v>
      </c>
      <c r="X42" s="45" t="str">
        <f>IF(AND(E42="TRACK WARRANT AUTHORITY",G42&lt;10),"OMIT","KEEP")</f>
        <v>KEEP</v>
      </c>
      <c r="Y42" s="99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{"issue":{"subject":"","project_id":79,"tracker_id":40,"status_id":1,"priority_id":2,"assigned_to_id":23,"start_date":"2017-05-03","description":"","custom_fields":[{"id":1,"name":"Subdivision","value":"Other"},{"id":4,"name":"Milepost","value":"0.0826"},{"id":17,"name":"Train ID","value":"54-03"},{"id":16,"name":"Locomotive ID","value":"4051"},{"id":130,"name":"Impact","value":""},{"id":150,"name":"Time of Event (Mountain Time)","value":"10:30:56"},{"id":151,"name":"Denver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>"grep -hSE -A400 ""Enforcement Action"" "&amp;search_path&amp;"\RTDC"&amp;U42&amp;"\*"&amp;U42&amp;"*"&amp;TEXT(A42-utc_offset/24,"YYYYMMDD")&amp;LEFT(TEXT(A42-utc_offset/24,"HH"),1)&amp;"* | grep -SE ""((Enforcement Ac)|(PRM))"" -"</f>
        <v>grep -hSE -A400 "Enforcement Action" "%USERPROFILE%\AppData\Local\Temp\OnboardLogs"\RTDC4051\*4051*201705031*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"%USERPROFILE%\AppData\Local\Temp\OnboardLogs"\RTDC4051\*4051*201705031* &gt;&gt; 2017-05-03-SliceDisagreementCheck.txt</v>
      </c>
      <c r="AE42" s="148" t="str">
        <f t="shared" si="1"/>
        <v>start /low /b %USERPROFILE%\Documents\GitHub\eaglep3\Utilities\DownloadLogsFromS3.py --loco 4051 --day 2017-05-03</v>
      </c>
      <c r="AF42" s="1"/>
    </row>
    <row r="43" spans="1:32" x14ac:dyDescent="0.25">
      <c r="A43" s="31">
        <v>42858.744027777779</v>
      </c>
      <c r="B43" s="30" t="s">
        <v>375</v>
      </c>
      <c r="C43" s="30" t="s">
        <v>607</v>
      </c>
      <c r="D43" s="30" t="s">
        <v>49</v>
      </c>
      <c r="E43" s="30" t="s">
        <v>185</v>
      </c>
      <c r="F43" s="42">
        <v>0</v>
      </c>
      <c r="G43" s="42">
        <v>17</v>
      </c>
      <c r="H43" s="42">
        <v>869</v>
      </c>
      <c r="I43" s="42">
        <v>862</v>
      </c>
      <c r="J43" s="30" t="s">
        <v>186</v>
      </c>
      <c r="K43" s="42">
        <v>839</v>
      </c>
      <c r="L43" s="134" t="s">
        <v>51</v>
      </c>
      <c r="M43" s="135">
        <f>CONVERT((I43-K43)/10000,"mi","ft")*IF(L43="Increasing Mileposts (1)",-1,1)</f>
        <v>12.144</v>
      </c>
      <c r="N43" s="136" t="str">
        <f>VLOOKUP(C43,'Trips&amp;Operators'!$C$1:$G$99999,5,FALSE)</f>
        <v>GUZMAN DANNY</v>
      </c>
      <c r="O43" s="207" t="s">
        <v>184</v>
      </c>
      <c r="P43" s="137"/>
      <c r="Q43" s="30"/>
      <c r="R43" s="84" t="e">
        <f>IF(VLOOKUP(C43,'Train Runs'!$A$13:$AE$9944,1,1)=C43,VLOOKUP(C43,'Train Runs'!$A$13:$AE$9944,31,1),NA())</f>
        <v>#N/A</v>
      </c>
      <c r="S43" s="87" t="str">
        <f>VLOOKUP(C43,'Train Runs'!$A$13:$AE$9944,22,0)</f>
        <v>https://d0f6bd738d7f1b3e5a7ca70fe4ff75f0.us-east-1.aws.found.io/app/kibana#/discover/Steve-Slow-Train-Analysis-(2080s-and-2083s)?_g=(refreshInterval:(display:Off,pause:!f,section:0,value:0),time:(from:'2017-05-03T16:36:12-0600',mode:absolute,to:'2017-05-03T18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3" s="89" t="str">
        <f>astrogrep_path&amp;" /e /r /s /spath="&amp;search_path&amp;" /stypes=""*"&amp;U43&amp;"*"&amp;TEXT(A43-utc_offset/24,"YYYYMMDD")&amp;LEFT(TEXT(A43-utc_offset/24,"HH"),1)&amp;"*"" /stext="" "&amp;TEXT(A43-utc_offset/24,"HH")&amp;search_regexp&amp;""""</f>
        <v>"C:\Program Files (x86)\AstroGrep\AstroGrep.exe" /e /r /s /spath="%USERPROFILE%\AppData\Local\Temp\OnboardLogs" /stypes="*4013*201705032*" /stext=" 23:.+((SYSTEM_STATE.+slice.+state.+changed )|(ment ac)|(multiple cpu faults)|(system.+state.+changed )|(\[timeout)|(PRM\|1\|D)|(kpr)|(kdp)|(train st.+moving)|(\|lc)|(penalty))"</v>
      </c>
      <c r="U43" s="9" t="str">
        <f>MID(B43,13,4)</f>
        <v>4013</v>
      </c>
      <c r="V43" s="31">
        <f>A43-utc_offset/24</f>
        <v>42858.994027777779</v>
      </c>
      <c r="W43" s="45" t="str">
        <f>IFERROR(IF(VALUE(LEFT(IF(LEN(C43)=6,"0"&amp;C43,C43),2))&lt;=2,"EC",IF(OR(VALUE(LEFT(IF(LEN(C43)=6,"0"&amp;C43,C43),2))=8,VALUE(LEFT(IF(LEN(C43)=6,"0"&amp;C43,C43),2))=18),"NW","Other")),"Other")</f>
        <v>Other</v>
      </c>
      <c r="X43" s="45" t="str">
        <f>IF(AND(E43="TRACK WARRANT AUTHORITY",G43&lt;10),"OMIT","KEEP")</f>
        <v>KEEP</v>
      </c>
      <c r="Y43" s="99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{"issue":{"subject":"","project_id":79,"tracker_id":40,"status_id":1,"priority_id":2,"assigned_to_id":23,"start_date":"2017-05-03","description":"","custom_fields":[{"id":1,"name":"Subdivision","value":"Other"},{"id":4,"name":"Milepost","value":"0.0839"},{"id":17,"name":"Train ID","value":"70-03"},{"id":16,"name":"Locomotive ID","value":"4013"},{"id":130,"name":"Impact","value":""},{"id":150,"name":"Time of Event (Mountain Time)","value":"17:51:24"},{"id":151,"name":"Denver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>"grep -hSE -A400 ""Enforcement Action"" "&amp;search_path&amp;"\RTDC"&amp;U43&amp;"\*"&amp;U43&amp;"*"&amp;TEXT(A43-utc_offset/24,"YYYYMMDD")&amp;LEFT(TEXT(A43-utc_offset/24,"HH"),1)&amp;"* | grep -SE ""((Enforcement Ac)|(PRM))"" -"</f>
        <v>grep -hSE -A400 "Enforcement Action" "%USERPROFILE%\AppData\Local\Temp\OnboardLogs"\RTDC4013\*4013*201705032*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"%USERPROFILE%\AppData\Local\Temp\OnboardLogs"\RTDC4013\*4013*201705032* &gt;&gt; 2017-05-03-SliceDisagreementCheck.txt</v>
      </c>
      <c r="AE43" s="148" t="str">
        <f t="shared" si="1"/>
        <v>start /low /b %USERPROFILE%\Documents\GitHub\eaglep3\Utilities\DownloadLogsFromS3.py --loco 4013 --day 2017-05-03</v>
      </c>
      <c r="AF43" s="1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</sheetData>
  <autoFilter ref="A6:AC65">
    <sortState ref="A7:AC66">
      <sortCondition ref="W7:W44"/>
      <sortCondition ref="E7:E44"/>
      <sortCondition ref="K7:K44"/>
      <sortCondition ref="F7:F44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6:O1048576 O7:O4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3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AA7:AA43</xm:sqref>
        </x14:dataValidation>
        <x14:dataValidation type="list" allowBlank="1" showInputMessage="1" showErrorMessage="1">
          <x14:formula1>
            <xm:f>'Redmine List Values'!$C$2:$C$15</xm:f>
          </x14:formula1>
          <xm:sqref>AB7:AB43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2"/>
  <sheetViews>
    <sheetView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2017-05-03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2" t="str">
        <f>A3&amp;"-"&amp;IF(DAY(Variables!$A$2)&lt;10,0,"")&amp;DAY(Variables!$A$2)</f>
        <v>-03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1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3" s="30" t="e">
        <f>VLOOKUP(B3,'Train Runs'!$A$13:$A$99941,1,FALSE)</f>
        <v>#N/A</v>
      </c>
    </row>
    <row r="4" spans="1:10" x14ac:dyDescent="0.25">
      <c r="A4" s="190"/>
      <c r="B4" s="42" t="str">
        <f>A4&amp;"-"&amp;IF(DAY(Variables!$A$2)&lt;10,0,"")&amp;DAY(Variables!$A$2)</f>
        <v>-03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4" s="30" t="e">
        <f>VLOOKUP(B4,'Train Runs'!$A$13:$A$99941,1,FALSE)</f>
        <v>#N/A</v>
      </c>
    </row>
    <row r="5" spans="1:10" x14ac:dyDescent="0.25">
      <c r="A5" s="190"/>
      <c r="B5" s="42" t="str">
        <f>A5&amp;"-"&amp;IF(DAY(Variables!$A$2)&lt;10,0,"")&amp;DAY(Variables!$A$2)</f>
        <v>-03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5" s="30" t="e">
        <f>VLOOKUP(B5,'Train Runs'!$A$13:$A$99941,1,FALSE)</f>
        <v>#N/A</v>
      </c>
    </row>
    <row r="6" spans="1:10" x14ac:dyDescent="0.25">
      <c r="A6" s="190"/>
      <c r="B6" s="42" t="str">
        <f>A6&amp;"-"&amp;IF(DAY(Variables!$A$2)&lt;10,0,"")&amp;DAY(Variables!$A$2)</f>
        <v>-03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6" s="30" t="e">
        <f>VLOOKUP(B6,'Train Runs'!$A$13:$A$99941,1,FALSE)</f>
        <v>#N/A</v>
      </c>
    </row>
    <row r="7" spans="1:10" x14ac:dyDescent="0.25">
      <c r="A7" s="190"/>
      <c r="B7" s="42" t="str">
        <f>A7&amp;"-"&amp;IF(DAY(Variables!$A$2)&lt;10,0,"")&amp;DAY(Variables!$A$2)</f>
        <v>-03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" s="30" t="e">
        <f>VLOOKUP(B7,'Train Runs'!$A$13:$A$99941,1,FALSE)</f>
        <v>#N/A</v>
      </c>
    </row>
    <row r="8" spans="1:10" x14ac:dyDescent="0.25">
      <c r="A8" s="190"/>
      <c r="B8" s="42" t="str">
        <f>A8&amp;"-"&amp;IF(DAY(Variables!$A$2)&lt;10,0,"")&amp;DAY(Variables!$A$2)</f>
        <v>-03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" s="30" t="e">
        <f>VLOOKUP(B8,'Train Runs'!$A$13:$A$99941,1,FALSE)</f>
        <v>#N/A</v>
      </c>
    </row>
    <row r="9" spans="1:10" x14ac:dyDescent="0.25">
      <c r="A9" s="190"/>
      <c r="B9" s="42" t="str">
        <f>A9&amp;"-"&amp;IF(DAY(Variables!$A$2)&lt;10,0,"")&amp;DAY(Variables!$A$2)</f>
        <v>-03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9" s="30" t="e">
        <f>VLOOKUP(B9,'Train Runs'!$A$13:$A$99941,1,FALSE)</f>
        <v>#N/A</v>
      </c>
    </row>
    <row r="10" spans="1:10" x14ac:dyDescent="0.25">
      <c r="A10" s="190"/>
      <c r="B10" s="42" t="str">
        <f>A10&amp;"-"&amp;IF(DAY(Variables!$A$2)&lt;10,0,"")&amp;DAY(Variables!$A$2)</f>
        <v>-03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0" s="30" t="e">
        <f>VLOOKUP(B10,'Train Runs'!$A$13:$A$99941,1,FALSE)</f>
        <v>#N/A</v>
      </c>
    </row>
    <row r="11" spans="1:10" x14ac:dyDescent="0.25">
      <c r="A11" s="190"/>
      <c r="B11" s="42" t="str">
        <f>A11&amp;"-"&amp;IF(DAY(Variables!$A$2)&lt;10,0,"")&amp;DAY(Variables!$A$2)</f>
        <v>-03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11" s="30" t="e">
        <f>VLOOKUP(B11,'Train Runs'!$A$13:$A$99941,1,FALSE)</f>
        <v>#N/A</v>
      </c>
    </row>
    <row r="12" spans="1:10" x14ac:dyDescent="0.25">
      <c r="A12" s="190"/>
      <c r="B12" s="42"/>
      <c r="C12" s="138"/>
      <c r="D12" s="156"/>
      <c r="E12" s="30"/>
      <c r="F12" s="21"/>
      <c r="G12" s="21"/>
      <c r="H12" s="29"/>
      <c r="I12" s="45"/>
      <c r="J12" s="30"/>
    </row>
    <row r="13" spans="1:10" x14ac:dyDescent="0.25">
      <c r="A13" s="190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0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0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0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0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0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0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0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0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0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0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0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0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0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0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0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0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0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0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0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0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0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0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0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0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0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0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0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0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0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0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0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0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0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0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0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0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0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0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0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0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0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0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0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0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0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0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0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0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0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0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0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0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 t="str">
        <f>A73&amp;"-"&amp;IF(DAY(Variables!$A$2)&lt;10,0,"")&amp;DAY(Variables!$A$2)</f>
        <v>-03</v>
      </c>
      <c r="C73" s="138"/>
      <c r="D73" s="156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5" t="str">
        <f t="shared" ref="I73:I82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3" s="30" t="e">
        <f>VLOOKUP(B73,'Train Runs'!$A$13:$A$99941,1,FALSE)</f>
        <v>#N/A</v>
      </c>
    </row>
    <row r="74" spans="1:10" x14ac:dyDescent="0.25">
      <c r="A74" s="190"/>
      <c r="B74" s="42" t="str">
        <f>A74&amp;"-"&amp;IF(DAY(Variables!$A$2)&lt;10,0,"")&amp;DAY(Variables!$A$2)</f>
        <v>-03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4" s="30" t="e">
        <f>VLOOKUP(B74,'Train Runs'!$A$13:$A$99941,1,FALSE)</f>
        <v>#N/A</v>
      </c>
    </row>
    <row r="75" spans="1:10" x14ac:dyDescent="0.25">
      <c r="A75" s="190"/>
      <c r="B75" s="42" t="str">
        <f>A75&amp;"-"&amp;IF(DAY(Variables!$A$2)&lt;10,0,"")&amp;DAY(Variables!$A$2)</f>
        <v>-03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5" s="30" t="e">
        <f>VLOOKUP(B75,'Train Runs'!$A$13:$A$99941,1,FALSE)</f>
        <v>#N/A</v>
      </c>
    </row>
    <row r="76" spans="1:10" x14ac:dyDescent="0.25">
      <c r="A76" s="190"/>
      <c r="B76" s="42" t="str">
        <f>A76&amp;"-"&amp;IF(DAY(Variables!$A$2)&lt;10,0,"")&amp;DAY(Variables!$A$2)</f>
        <v>-03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6" s="30" t="e">
        <f>VLOOKUP(B76,'Train Runs'!$A$13:$A$99941,1,FALSE)</f>
        <v>#N/A</v>
      </c>
    </row>
    <row r="77" spans="1:10" x14ac:dyDescent="0.25">
      <c r="A77" s="190"/>
      <c r="B77" s="42" t="str">
        <f>A77&amp;"-"&amp;IF(DAY(Variables!$A$2)&lt;10,0,"")&amp;DAY(Variables!$A$2)</f>
        <v>-03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7" s="30" t="e">
        <f>VLOOKUP(B77,'Train Runs'!$A$13:$A$99941,1,FALSE)</f>
        <v>#N/A</v>
      </c>
    </row>
    <row r="78" spans="1:10" x14ac:dyDescent="0.25">
      <c r="A78" s="190"/>
      <c r="B78" s="42" t="str">
        <f>A78&amp;"-"&amp;IF(DAY(Variables!$A$2)&lt;10,0,"")&amp;DAY(Variables!$A$2)</f>
        <v>-03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8" s="30" t="e">
        <f>VLOOKUP(B78,'Train Runs'!$A$13:$A$99941,1,FALSE)</f>
        <v>#N/A</v>
      </c>
    </row>
    <row r="79" spans="1:10" x14ac:dyDescent="0.25">
      <c r="A79" s="190"/>
      <c r="B79" s="42" t="str">
        <f>A79&amp;"-"&amp;IF(DAY(Variables!$A$2)&lt;10,0,"")&amp;DAY(Variables!$A$2)</f>
        <v>-03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79" s="30" t="e">
        <f>VLOOKUP(B79,'Train Runs'!$A$13:$A$99941,1,FALSE)</f>
        <v>#N/A</v>
      </c>
    </row>
    <row r="80" spans="1:10" x14ac:dyDescent="0.25">
      <c r="A80" s="190"/>
      <c r="B80" s="42" t="str">
        <f>A80&amp;"-"&amp;IF(DAY(Variables!$A$2)&lt;10,0,"")&amp;DAY(Variables!$A$2)</f>
        <v>-03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0" s="30" t="e">
        <f>VLOOKUP(B80,'Train Runs'!$A$13:$A$99941,1,FALSE)</f>
        <v>#N/A</v>
      </c>
    </row>
    <row r="81" spans="1:10" x14ac:dyDescent="0.25">
      <c r="A81" s="190"/>
      <c r="B81" s="42" t="str">
        <f>A81&amp;"-"&amp;IF(DAY(Variables!$A$2)&lt;10,0,"")&amp;DAY(Variables!$A$2)</f>
        <v>-03</v>
      </c>
      <c r="C81" s="138"/>
      <c r="D81" s="156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1" s="30" t="e">
        <f>VLOOKUP(B81,'Train Runs'!$A$13:$A$99941,1,FALSE)</f>
        <v>#N/A</v>
      </c>
    </row>
    <row r="82" spans="1:10" x14ac:dyDescent="0.25">
      <c r="A82" s="190"/>
      <c r="B82" s="42" t="str">
        <f>A82&amp;"-"&amp;IF(DAY(Variables!$A$2)&lt;10,0,"")&amp;DAY(Variables!$A$2)</f>
        <v>-03</v>
      </c>
      <c r="C82" s="138"/>
      <c r="D82" s="156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-03%22)),sort:!(Time.ISO8601,asc))</v>
      </c>
      <c r="J82" s="30" t="e">
        <f>VLOOKUP(B82,'Train Runs'!$A$13:$A$99941,1,FALSE)</f>
        <v>#N/A</v>
      </c>
    </row>
  </sheetData>
  <autoFilter ref="A2:J8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6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42858.036493055559</v>
      </c>
      <c r="B2" s="20" t="s">
        <v>383</v>
      </c>
      <c r="C2" s="20" t="s">
        <v>527</v>
      </c>
      <c r="D2" s="141">
        <v>1740000</v>
      </c>
      <c r="E2" s="20" t="s">
        <v>371</v>
      </c>
      <c r="F2" s="20" t="s">
        <v>372</v>
      </c>
      <c r="G2" s="8" t="str">
        <f>E2&amp;" "&amp;F2</f>
        <v>STORY SAMANTHA</v>
      </c>
    </row>
    <row r="3" spans="1:7" x14ac:dyDescent="0.25">
      <c r="A3" s="8">
        <v>42858.047592592593</v>
      </c>
      <c r="B3" s="20" t="s">
        <v>451</v>
      </c>
      <c r="C3" s="20" t="s">
        <v>534</v>
      </c>
      <c r="D3" s="141">
        <v>1810000</v>
      </c>
      <c r="E3" s="20" t="s">
        <v>370</v>
      </c>
      <c r="F3" s="20" t="s">
        <v>193</v>
      </c>
      <c r="G3" s="8" t="str">
        <f t="shared" ref="G3:G66" si="0">E3&amp;" "&amp;F3</f>
        <v>NEWELL JAMES</v>
      </c>
    </row>
    <row r="4" spans="1:7" x14ac:dyDescent="0.25">
      <c r="A4" s="8">
        <v>42858.058576388888</v>
      </c>
      <c r="B4" s="20" t="s">
        <v>355</v>
      </c>
      <c r="C4" s="20" t="s">
        <v>535</v>
      </c>
      <c r="D4" s="141">
        <v>2000000</v>
      </c>
      <c r="E4" s="20" t="s">
        <v>352</v>
      </c>
      <c r="F4" s="20" t="s">
        <v>193</v>
      </c>
      <c r="G4" s="8" t="str">
        <f t="shared" si="0"/>
        <v>STAMBAUGH JAMES</v>
      </c>
    </row>
    <row r="5" spans="1:7" x14ac:dyDescent="0.25">
      <c r="A5" s="8">
        <v>42858.068043981482</v>
      </c>
      <c r="B5" s="20" t="s">
        <v>380</v>
      </c>
      <c r="C5" s="20" t="s">
        <v>536</v>
      </c>
      <c r="D5" s="141">
        <v>1740000</v>
      </c>
      <c r="E5" s="20" t="s">
        <v>371</v>
      </c>
      <c r="F5" s="20" t="s">
        <v>372</v>
      </c>
      <c r="G5" s="8" t="str">
        <f t="shared" si="0"/>
        <v>STORY SAMANTHA</v>
      </c>
    </row>
    <row r="6" spans="1:7" x14ac:dyDescent="0.25">
      <c r="A6" s="8">
        <v>42858.092361111114</v>
      </c>
      <c r="B6" s="20" t="s">
        <v>356</v>
      </c>
      <c r="C6" s="20" t="s">
        <v>537</v>
      </c>
      <c r="D6" s="141">
        <v>2000000</v>
      </c>
      <c r="E6" s="20" t="s">
        <v>352</v>
      </c>
      <c r="F6" s="20" t="s">
        <v>193</v>
      </c>
      <c r="G6" s="8" t="str">
        <f t="shared" si="0"/>
        <v>STAMBAUGH JAMES</v>
      </c>
    </row>
    <row r="7" spans="1:7" x14ac:dyDescent="0.25">
      <c r="A7" s="8">
        <v>42858.120324074072</v>
      </c>
      <c r="B7" s="20" t="s">
        <v>411</v>
      </c>
      <c r="C7" s="20" t="s">
        <v>619</v>
      </c>
      <c r="D7" s="141">
        <v>2550000</v>
      </c>
      <c r="E7" s="20" t="s">
        <v>620</v>
      </c>
      <c r="F7" s="20" t="s">
        <v>621</v>
      </c>
      <c r="G7" s="8" t="str">
        <f t="shared" si="0"/>
        <v>BADERTSCHER DIANE</v>
      </c>
    </row>
    <row r="8" spans="1:7" x14ac:dyDescent="0.25">
      <c r="A8" s="8">
        <v>42858.132384259261</v>
      </c>
      <c r="B8" s="20" t="s">
        <v>350</v>
      </c>
      <c r="C8" s="20" t="s">
        <v>622</v>
      </c>
      <c r="D8" s="141">
        <v>2550000</v>
      </c>
      <c r="E8" s="20" t="s">
        <v>620</v>
      </c>
      <c r="F8" s="20" t="s">
        <v>621</v>
      </c>
      <c r="G8" s="8" t="str">
        <f t="shared" si="0"/>
        <v>BADERTSCHER DIANE</v>
      </c>
    </row>
    <row r="9" spans="1:7" ht="15.75" thickBot="1" x14ac:dyDescent="0.3">
      <c r="A9" s="24">
        <v>42858.142824074072</v>
      </c>
      <c r="B9" s="20" t="s">
        <v>578</v>
      </c>
      <c r="C9" s="20" t="s">
        <v>579</v>
      </c>
      <c r="D9" s="141">
        <v>2010000</v>
      </c>
      <c r="E9" s="20" t="s">
        <v>455</v>
      </c>
      <c r="F9" s="20" t="s">
        <v>456</v>
      </c>
      <c r="G9" s="8" t="str">
        <f t="shared" si="0"/>
        <v>MAELZER KURT</v>
      </c>
    </row>
    <row r="10" spans="1:7" x14ac:dyDescent="0.25">
      <c r="A10" s="8">
        <v>42858.154039351852</v>
      </c>
      <c r="B10" s="20" t="s">
        <v>358</v>
      </c>
      <c r="C10" s="20" t="s">
        <v>623</v>
      </c>
      <c r="D10" s="141">
        <v>2010000</v>
      </c>
      <c r="E10" s="20" t="s">
        <v>455</v>
      </c>
      <c r="F10" s="20" t="s">
        <v>456</v>
      </c>
      <c r="G10" s="8" t="str">
        <f t="shared" si="0"/>
        <v>MAELZER KURT</v>
      </c>
    </row>
    <row r="11" spans="1:7" x14ac:dyDescent="0.25">
      <c r="A11" s="8">
        <v>42858.158576388887</v>
      </c>
      <c r="B11" s="20" t="s">
        <v>421</v>
      </c>
      <c r="C11" s="20" t="s">
        <v>624</v>
      </c>
      <c r="D11" s="141">
        <v>1100000</v>
      </c>
      <c r="E11" s="20" t="s">
        <v>625</v>
      </c>
      <c r="F11" s="20" t="s">
        <v>626</v>
      </c>
      <c r="G11" s="8" t="str">
        <f t="shared" si="0"/>
        <v>GEBRETEKLE DAGNEW</v>
      </c>
    </row>
    <row r="12" spans="1:7" x14ac:dyDescent="0.25">
      <c r="A12" s="8">
        <v>42858.16978009259</v>
      </c>
      <c r="B12" s="20" t="s">
        <v>354</v>
      </c>
      <c r="C12" s="20" t="s">
        <v>582</v>
      </c>
      <c r="D12" s="141">
        <v>1100000</v>
      </c>
      <c r="E12" s="20" t="s">
        <v>625</v>
      </c>
      <c r="F12" s="20" t="s">
        <v>626</v>
      </c>
      <c r="G12" s="8" t="str">
        <f t="shared" si="0"/>
        <v>GEBRETEKLE DAGNEW</v>
      </c>
    </row>
    <row r="13" spans="1:7" x14ac:dyDescent="0.25">
      <c r="A13" s="8">
        <v>42858.170486111114</v>
      </c>
      <c r="B13" s="20" t="s">
        <v>526</v>
      </c>
      <c r="C13" s="20" t="s">
        <v>627</v>
      </c>
      <c r="D13" s="141">
        <v>3120000</v>
      </c>
      <c r="E13" s="20" t="s">
        <v>476</v>
      </c>
      <c r="F13" s="20" t="s">
        <v>477</v>
      </c>
      <c r="G13" s="8" t="str">
        <f t="shared" si="0"/>
        <v>THOMPSON LESTER</v>
      </c>
    </row>
    <row r="14" spans="1:7" x14ac:dyDescent="0.25">
      <c r="A14" s="8">
        <v>42858.172418981485</v>
      </c>
      <c r="B14" s="20" t="s">
        <v>411</v>
      </c>
      <c r="C14" s="20" t="s">
        <v>628</v>
      </c>
      <c r="D14" s="141">
        <v>2550000</v>
      </c>
      <c r="E14" s="20" t="s">
        <v>620</v>
      </c>
      <c r="F14" s="20" t="s">
        <v>621</v>
      </c>
      <c r="G14" s="8" t="str">
        <f t="shared" si="0"/>
        <v>BADERTSCHER DIANE</v>
      </c>
    </row>
    <row r="15" spans="1:7" x14ac:dyDescent="0.25">
      <c r="A15" s="8">
        <v>42858.17701388889</v>
      </c>
      <c r="B15" s="20" t="s">
        <v>354</v>
      </c>
      <c r="C15" s="20" t="s">
        <v>582</v>
      </c>
      <c r="D15" s="141">
        <v>1100000</v>
      </c>
      <c r="E15" s="20" t="s">
        <v>625</v>
      </c>
      <c r="F15" s="20" t="s">
        <v>626</v>
      </c>
      <c r="G15" s="8" t="str">
        <f t="shared" si="0"/>
        <v>GEBRETEKLE DAGNEW</v>
      </c>
    </row>
    <row r="16" spans="1:7" x14ac:dyDescent="0.25">
      <c r="A16" s="8">
        <v>42858.18041666667</v>
      </c>
      <c r="B16" s="20" t="s">
        <v>199</v>
      </c>
      <c r="C16" s="20" t="s">
        <v>582</v>
      </c>
      <c r="D16" s="141">
        <v>1090000</v>
      </c>
      <c r="E16" s="20" t="s">
        <v>480</v>
      </c>
      <c r="F16" s="20" t="s">
        <v>196</v>
      </c>
      <c r="G16" s="8" t="str">
        <f t="shared" si="0"/>
        <v>SPECTOR MICHAEL</v>
      </c>
    </row>
    <row r="17" spans="1:7" x14ac:dyDescent="0.25">
      <c r="A17" s="8">
        <v>42858.182962962965</v>
      </c>
      <c r="B17" s="20" t="s">
        <v>425</v>
      </c>
      <c r="C17" s="20" t="s">
        <v>629</v>
      </c>
      <c r="D17" s="141">
        <v>1360000</v>
      </c>
      <c r="E17" s="20" t="s">
        <v>453</v>
      </c>
      <c r="F17" s="20" t="s">
        <v>454</v>
      </c>
      <c r="G17" s="8" t="str">
        <f t="shared" si="0"/>
        <v>SANTIZO D. EDY</v>
      </c>
    </row>
    <row r="18" spans="1:7" x14ac:dyDescent="0.25">
      <c r="A18" s="8">
        <v>42858.184212962966</v>
      </c>
      <c r="B18" s="20" t="s">
        <v>533</v>
      </c>
      <c r="C18" s="20" t="s">
        <v>630</v>
      </c>
      <c r="D18" s="141">
        <v>3120000</v>
      </c>
      <c r="E18" s="20" t="s">
        <v>476</v>
      </c>
      <c r="F18" s="20" t="s">
        <v>477</v>
      </c>
      <c r="G18" s="8" t="str">
        <f t="shared" si="0"/>
        <v>THOMPSON LESTER</v>
      </c>
    </row>
    <row r="19" spans="1:7" x14ac:dyDescent="0.25">
      <c r="A19" s="8">
        <v>42858.186840277776</v>
      </c>
      <c r="B19" s="20" t="s">
        <v>578</v>
      </c>
      <c r="C19" s="20" t="s">
        <v>631</v>
      </c>
      <c r="D19" s="141">
        <v>2010000</v>
      </c>
      <c r="E19" s="20" t="s">
        <v>455</v>
      </c>
      <c r="F19" s="20" t="s">
        <v>456</v>
      </c>
      <c r="G19" s="8" t="str">
        <f t="shared" si="0"/>
        <v>MAELZER KURT</v>
      </c>
    </row>
    <row r="20" spans="1:7" x14ac:dyDescent="0.25">
      <c r="A20" s="8">
        <v>42858.190868055557</v>
      </c>
      <c r="B20" s="20" t="s">
        <v>354</v>
      </c>
      <c r="C20" s="20" t="s">
        <v>632</v>
      </c>
      <c r="D20" s="141">
        <v>1100000</v>
      </c>
      <c r="E20" s="20" t="s">
        <v>625</v>
      </c>
      <c r="F20" s="20" t="s">
        <v>626</v>
      </c>
      <c r="G20" s="8" t="str">
        <f t="shared" si="0"/>
        <v>GEBRETEKLE DAGNEW</v>
      </c>
    </row>
    <row r="21" spans="1:7" x14ac:dyDescent="0.25">
      <c r="A21" s="8">
        <v>42858.194004629629</v>
      </c>
      <c r="B21" s="20" t="s">
        <v>404</v>
      </c>
      <c r="C21" s="20" t="s">
        <v>633</v>
      </c>
      <c r="D21" s="141">
        <v>1140000</v>
      </c>
      <c r="E21" s="20" t="s">
        <v>634</v>
      </c>
      <c r="F21" s="20" t="s">
        <v>635</v>
      </c>
      <c r="G21" s="8" t="str">
        <f t="shared" si="0"/>
        <v>YOUNG ELIZABETH</v>
      </c>
    </row>
    <row r="22" spans="1:7" x14ac:dyDescent="0.25">
      <c r="A22" s="26">
        <v>42858.195729166669</v>
      </c>
      <c r="B22" s="20" t="s">
        <v>415</v>
      </c>
      <c r="C22" s="20" t="s">
        <v>636</v>
      </c>
      <c r="D22" s="141">
        <v>1360000</v>
      </c>
      <c r="E22" s="20" t="s">
        <v>453</v>
      </c>
      <c r="F22" s="20" t="s">
        <v>454</v>
      </c>
      <c r="G22" s="8" t="str">
        <f t="shared" si="0"/>
        <v>SANTIZO D. EDY</v>
      </c>
    </row>
    <row r="23" spans="1:7" x14ac:dyDescent="0.25">
      <c r="A23" s="8">
        <v>42858.195902777778</v>
      </c>
      <c r="B23" s="20" t="s">
        <v>384</v>
      </c>
      <c r="C23" s="20" t="s">
        <v>637</v>
      </c>
      <c r="D23" s="141">
        <v>1100000</v>
      </c>
      <c r="E23" s="20" t="s">
        <v>625</v>
      </c>
      <c r="F23" s="20" t="s">
        <v>626</v>
      </c>
      <c r="G23" s="8" t="str">
        <f t="shared" si="0"/>
        <v>GEBRETEKLE DAGNEW</v>
      </c>
    </row>
    <row r="24" spans="1:7" x14ac:dyDescent="0.25">
      <c r="A24" s="8">
        <v>42858.204039351855</v>
      </c>
      <c r="B24" s="20" t="s">
        <v>421</v>
      </c>
      <c r="C24" s="20" t="s">
        <v>638</v>
      </c>
      <c r="D24" s="141">
        <v>1140000</v>
      </c>
      <c r="E24" s="20" t="s">
        <v>634</v>
      </c>
      <c r="F24" s="20" t="s">
        <v>635</v>
      </c>
      <c r="G24" s="8" t="str">
        <f t="shared" si="0"/>
        <v>YOUNG ELIZABETH</v>
      </c>
    </row>
    <row r="25" spans="1:7" x14ac:dyDescent="0.25">
      <c r="A25" s="8">
        <v>42858.204143518517</v>
      </c>
      <c r="B25" s="20" t="s">
        <v>441</v>
      </c>
      <c r="C25" s="20" t="s">
        <v>639</v>
      </c>
      <c r="D25" s="141">
        <v>1830000</v>
      </c>
      <c r="E25" s="20" t="s">
        <v>443</v>
      </c>
      <c r="F25" s="20" t="s">
        <v>444</v>
      </c>
      <c r="G25" s="8" t="str">
        <f t="shared" si="0"/>
        <v>YORK EDGAR</v>
      </c>
    </row>
    <row r="26" spans="1:7" x14ac:dyDescent="0.25">
      <c r="A26" s="8">
        <v>42858.205000000002</v>
      </c>
      <c r="B26" s="20" t="s">
        <v>441</v>
      </c>
      <c r="C26" s="20" t="s">
        <v>639</v>
      </c>
      <c r="D26" s="141">
        <v>1830000</v>
      </c>
      <c r="E26" s="20" t="s">
        <v>443</v>
      </c>
      <c r="F26" s="20" t="s">
        <v>444</v>
      </c>
      <c r="G26" s="8" t="str">
        <f t="shared" si="0"/>
        <v>YORK EDGAR</v>
      </c>
    </row>
    <row r="27" spans="1:7" x14ac:dyDescent="0.25">
      <c r="A27" s="8">
        <v>42858.205150462964</v>
      </c>
      <c r="B27" s="20" t="s">
        <v>421</v>
      </c>
      <c r="C27" s="20" t="s">
        <v>638</v>
      </c>
      <c r="D27" s="141">
        <v>1140000</v>
      </c>
      <c r="E27" s="20" t="s">
        <v>634</v>
      </c>
      <c r="F27" s="20" t="s">
        <v>635</v>
      </c>
      <c r="G27" s="8" t="str">
        <f t="shared" si="0"/>
        <v>YOUNG ELIZABETH</v>
      </c>
    </row>
    <row r="28" spans="1:7" x14ac:dyDescent="0.25">
      <c r="A28" s="8">
        <v>42858.205787037034</v>
      </c>
      <c r="B28" s="20" t="s">
        <v>441</v>
      </c>
      <c r="C28" s="20" t="s">
        <v>639</v>
      </c>
      <c r="D28" s="141">
        <v>1830000</v>
      </c>
      <c r="E28" s="20" t="s">
        <v>443</v>
      </c>
      <c r="F28" s="20" t="s">
        <v>444</v>
      </c>
      <c r="G28" s="8" t="str">
        <f t="shared" si="0"/>
        <v>YORK EDGAR</v>
      </c>
    </row>
    <row r="29" spans="1:7" x14ac:dyDescent="0.25">
      <c r="A29" s="8">
        <v>42858.206273148149</v>
      </c>
      <c r="B29" s="20" t="s">
        <v>350</v>
      </c>
      <c r="C29" s="20" t="s">
        <v>640</v>
      </c>
      <c r="D29" s="141">
        <v>3090000</v>
      </c>
      <c r="E29" s="20" t="s">
        <v>478</v>
      </c>
      <c r="F29" s="20" t="s">
        <v>479</v>
      </c>
      <c r="G29" s="8" t="str">
        <f t="shared" si="0"/>
        <v>LAMAR NEKESHA</v>
      </c>
    </row>
    <row r="30" spans="1:7" x14ac:dyDescent="0.25">
      <c r="A30" s="8">
        <v>42858.209687499999</v>
      </c>
      <c r="B30" s="20" t="s">
        <v>412</v>
      </c>
      <c r="C30" s="20" t="s">
        <v>641</v>
      </c>
      <c r="D30" s="141">
        <v>2550000</v>
      </c>
      <c r="E30" s="20" t="s">
        <v>620</v>
      </c>
      <c r="F30" s="20" t="s">
        <v>621</v>
      </c>
      <c r="G30" s="8" t="str">
        <f t="shared" si="0"/>
        <v>BADERTSCHER DIANE</v>
      </c>
    </row>
    <row r="31" spans="1:7" x14ac:dyDescent="0.25">
      <c r="A31" s="8">
        <v>42858.213217592594</v>
      </c>
      <c r="B31" s="20" t="s">
        <v>359</v>
      </c>
      <c r="C31" s="20" t="s">
        <v>583</v>
      </c>
      <c r="D31" s="141">
        <v>1090000</v>
      </c>
      <c r="E31" s="20" t="s">
        <v>480</v>
      </c>
      <c r="F31" s="20" t="s">
        <v>196</v>
      </c>
      <c r="G31" s="8" t="str">
        <f t="shared" si="0"/>
        <v>SPECTOR MICHAEL</v>
      </c>
    </row>
    <row r="32" spans="1:7" x14ac:dyDescent="0.25">
      <c r="A32" s="8">
        <v>42858.216041666667</v>
      </c>
      <c r="B32" s="20" t="s">
        <v>353</v>
      </c>
      <c r="C32" s="20" t="s">
        <v>642</v>
      </c>
      <c r="D32" s="141">
        <v>1830000</v>
      </c>
      <c r="E32" s="20" t="s">
        <v>443</v>
      </c>
      <c r="F32" s="20" t="s">
        <v>444</v>
      </c>
      <c r="G32" s="8" t="str">
        <f t="shared" si="0"/>
        <v>YORK EDGAR</v>
      </c>
    </row>
    <row r="33" spans="1:7" x14ac:dyDescent="0.25">
      <c r="A33" s="8">
        <v>42858.22078703704</v>
      </c>
      <c r="B33" s="20" t="s">
        <v>526</v>
      </c>
      <c r="C33" s="20" t="s">
        <v>643</v>
      </c>
      <c r="D33" s="141">
        <v>3120000</v>
      </c>
      <c r="E33" s="20" t="s">
        <v>476</v>
      </c>
      <c r="F33" s="20" t="s">
        <v>477</v>
      </c>
      <c r="G33" s="8" t="str">
        <f t="shared" si="0"/>
        <v>THOMPSON LESTER</v>
      </c>
    </row>
    <row r="34" spans="1:7" x14ac:dyDescent="0.25">
      <c r="A34" s="8">
        <v>42858.22519675926</v>
      </c>
      <c r="B34" s="20" t="s">
        <v>425</v>
      </c>
      <c r="C34" s="20" t="s">
        <v>644</v>
      </c>
      <c r="D34" s="141">
        <v>1360000</v>
      </c>
      <c r="E34" s="20" t="s">
        <v>453</v>
      </c>
      <c r="F34" s="20" t="s">
        <v>454</v>
      </c>
      <c r="G34" s="8" t="str">
        <f t="shared" si="0"/>
        <v>SANTIZO D. EDY</v>
      </c>
    </row>
    <row r="35" spans="1:7" x14ac:dyDescent="0.25">
      <c r="A35" s="8">
        <v>42858.225902777776</v>
      </c>
      <c r="B35" s="20" t="s">
        <v>613</v>
      </c>
      <c r="C35" s="20" t="s">
        <v>645</v>
      </c>
      <c r="D35" s="141">
        <v>2010000</v>
      </c>
      <c r="E35" s="20" t="s">
        <v>455</v>
      </c>
      <c r="F35" s="20" t="s">
        <v>456</v>
      </c>
      <c r="G35" s="8" t="str">
        <f t="shared" si="0"/>
        <v>MAELZER KURT</v>
      </c>
    </row>
    <row r="36" spans="1:7" x14ac:dyDescent="0.25">
      <c r="A36" s="8">
        <v>42858.2262962963</v>
      </c>
      <c r="B36" s="20" t="s">
        <v>441</v>
      </c>
      <c r="C36" s="20" t="s">
        <v>646</v>
      </c>
      <c r="D36" s="141">
        <v>1830000</v>
      </c>
      <c r="E36" s="20" t="s">
        <v>443</v>
      </c>
      <c r="F36" s="20" t="s">
        <v>444</v>
      </c>
      <c r="G36" s="8" t="str">
        <f t="shared" si="0"/>
        <v>YORK EDGAR</v>
      </c>
    </row>
    <row r="37" spans="1:7" x14ac:dyDescent="0.25">
      <c r="A37" s="8">
        <v>42858.226481481484</v>
      </c>
      <c r="B37" s="20" t="s">
        <v>358</v>
      </c>
      <c r="C37" s="20" t="s">
        <v>647</v>
      </c>
      <c r="D37" s="141">
        <v>1110000</v>
      </c>
      <c r="E37" s="20" t="s">
        <v>474</v>
      </c>
      <c r="F37" s="20" t="s">
        <v>475</v>
      </c>
      <c r="G37" s="8" t="str">
        <f t="shared" si="0"/>
        <v>STARKS ANGELINA</v>
      </c>
    </row>
    <row r="38" spans="1:7" x14ac:dyDescent="0.25">
      <c r="A38" s="8">
        <v>42858.246203703704</v>
      </c>
      <c r="B38" s="20" t="s">
        <v>351</v>
      </c>
      <c r="C38" s="20" t="s">
        <v>648</v>
      </c>
      <c r="D38" s="141">
        <v>3090000</v>
      </c>
      <c r="E38" s="20" t="s">
        <v>478</v>
      </c>
      <c r="F38" s="20" t="s">
        <v>479</v>
      </c>
      <c r="G38" s="8" t="str">
        <f t="shared" si="0"/>
        <v>LAMAR NEKESHA</v>
      </c>
    </row>
    <row r="39" spans="1:7" x14ac:dyDescent="0.25">
      <c r="A39" s="8">
        <v>42858.248090277775</v>
      </c>
      <c r="B39" s="20" t="s">
        <v>199</v>
      </c>
      <c r="C39" s="20" t="s">
        <v>649</v>
      </c>
      <c r="D39" s="141">
        <v>1100000</v>
      </c>
      <c r="E39" s="20" t="s">
        <v>625</v>
      </c>
      <c r="F39" s="20" t="s">
        <v>626</v>
      </c>
      <c r="G39" s="8" t="str">
        <f t="shared" si="0"/>
        <v>GEBRETEKLE DAGNEW</v>
      </c>
    </row>
    <row r="40" spans="1:7" x14ac:dyDescent="0.25">
      <c r="A40" s="8">
        <v>42858.248379629629</v>
      </c>
      <c r="B40" s="25" t="s">
        <v>411</v>
      </c>
      <c r="C40" s="20" t="s">
        <v>650</v>
      </c>
      <c r="D40" s="141">
        <v>2550000</v>
      </c>
      <c r="E40" s="20" t="s">
        <v>620</v>
      </c>
      <c r="F40" s="20" t="s">
        <v>621</v>
      </c>
      <c r="G40" s="8" t="str">
        <f t="shared" si="0"/>
        <v>BADERTSCHER DIANE</v>
      </c>
    </row>
    <row r="41" spans="1:7" x14ac:dyDescent="0.25">
      <c r="A41" s="8">
        <v>42858.254733796297</v>
      </c>
      <c r="B41" s="20" t="s">
        <v>353</v>
      </c>
      <c r="C41" s="20" t="s">
        <v>651</v>
      </c>
      <c r="D41" s="141">
        <v>1830000</v>
      </c>
      <c r="E41" s="20" t="s">
        <v>443</v>
      </c>
      <c r="F41" s="20" t="s">
        <v>444</v>
      </c>
      <c r="G41" s="8" t="str">
        <f t="shared" si="0"/>
        <v>YORK EDGAR</v>
      </c>
    </row>
    <row r="42" spans="1:7" x14ac:dyDescent="0.25">
      <c r="A42" s="8">
        <v>42858.254907407405</v>
      </c>
      <c r="B42" s="20" t="s">
        <v>652</v>
      </c>
      <c r="C42" s="20" t="s">
        <v>653</v>
      </c>
      <c r="D42" s="141">
        <v>890000</v>
      </c>
      <c r="E42" s="20" t="s">
        <v>528</v>
      </c>
      <c r="F42" s="20" t="s">
        <v>529</v>
      </c>
      <c r="G42" s="8" t="str">
        <f t="shared" si="0"/>
        <v>LOZA FIDEL</v>
      </c>
    </row>
    <row r="43" spans="1:7" x14ac:dyDescent="0.25">
      <c r="A43" s="8">
        <v>42858.257372685184</v>
      </c>
      <c r="B43" s="20" t="s">
        <v>533</v>
      </c>
      <c r="C43" s="20" t="s">
        <v>654</v>
      </c>
      <c r="D43" s="141">
        <v>3120000</v>
      </c>
      <c r="E43" s="20" t="s">
        <v>476</v>
      </c>
      <c r="F43" s="20" t="s">
        <v>477</v>
      </c>
      <c r="G43" s="8" t="str">
        <f t="shared" si="0"/>
        <v>THOMPSON LESTER</v>
      </c>
    </row>
    <row r="44" spans="1:7" x14ac:dyDescent="0.25">
      <c r="A44" s="8">
        <v>42858.263067129628</v>
      </c>
      <c r="B44" s="20" t="s">
        <v>592</v>
      </c>
      <c r="C44" s="20" t="s">
        <v>655</v>
      </c>
      <c r="D44" s="141">
        <v>890000</v>
      </c>
      <c r="E44" s="20" t="s">
        <v>528</v>
      </c>
      <c r="F44" s="20" t="s">
        <v>529</v>
      </c>
      <c r="G44" s="8" t="str">
        <f t="shared" si="0"/>
        <v>LOZA FIDEL</v>
      </c>
    </row>
    <row r="45" spans="1:7" x14ac:dyDescent="0.25">
      <c r="A45" s="8">
        <v>42858.265092592592</v>
      </c>
      <c r="B45" s="20" t="s">
        <v>415</v>
      </c>
      <c r="C45" s="20" t="s">
        <v>656</v>
      </c>
      <c r="D45" s="141">
        <v>1360000</v>
      </c>
      <c r="E45" s="20" t="s">
        <v>453</v>
      </c>
      <c r="F45" s="20" t="s">
        <v>454</v>
      </c>
      <c r="G45" s="8" t="str">
        <f t="shared" si="0"/>
        <v>SANTIZO D. EDY</v>
      </c>
    </row>
    <row r="46" spans="1:7" x14ac:dyDescent="0.25">
      <c r="A46" s="8">
        <v>42858.266585648147</v>
      </c>
      <c r="B46" s="20" t="s">
        <v>601</v>
      </c>
      <c r="C46" s="20" t="s">
        <v>657</v>
      </c>
      <c r="D46" s="141">
        <v>1110000</v>
      </c>
      <c r="E46" s="20" t="s">
        <v>474</v>
      </c>
      <c r="F46" s="20" t="s">
        <v>475</v>
      </c>
      <c r="G46" s="8" t="str">
        <f t="shared" si="0"/>
        <v>STARKS ANGELINA</v>
      </c>
    </row>
    <row r="47" spans="1:7" x14ac:dyDescent="0.25">
      <c r="A47" s="8">
        <v>42858.268148148149</v>
      </c>
      <c r="B47" s="20" t="s">
        <v>601</v>
      </c>
      <c r="C47" s="20" t="s">
        <v>657</v>
      </c>
      <c r="D47" s="141">
        <v>1110000</v>
      </c>
      <c r="E47" s="20" t="s">
        <v>474</v>
      </c>
      <c r="F47" s="20" t="s">
        <v>475</v>
      </c>
      <c r="G47" s="8" t="str">
        <f t="shared" si="0"/>
        <v>STARKS ANGELINA</v>
      </c>
    </row>
    <row r="48" spans="1:7" x14ac:dyDescent="0.25">
      <c r="A48" s="8">
        <v>42858.268252314818</v>
      </c>
      <c r="B48" s="20" t="s">
        <v>441</v>
      </c>
      <c r="C48" s="20" t="s">
        <v>584</v>
      </c>
      <c r="D48" s="141">
        <v>1830000</v>
      </c>
      <c r="E48" s="20" t="s">
        <v>443</v>
      </c>
      <c r="F48" s="20" t="s">
        <v>444</v>
      </c>
      <c r="G48" s="8" t="str">
        <f t="shared" si="0"/>
        <v>YORK EDGAR</v>
      </c>
    </row>
    <row r="49" spans="1:7" x14ac:dyDescent="0.25">
      <c r="A49" s="8">
        <v>42858.27375</v>
      </c>
      <c r="B49" s="20" t="s">
        <v>578</v>
      </c>
      <c r="C49" s="20" t="s">
        <v>658</v>
      </c>
      <c r="D49" s="141">
        <v>2010000</v>
      </c>
      <c r="E49" s="20" t="s">
        <v>455</v>
      </c>
      <c r="F49" s="20" t="s">
        <v>456</v>
      </c>
      <c r="G49" s="8" t="str">
        <f t="shared" si="0"/>
        <v>MAELZER KURT</v>
      </c>
    </row>
    <row r="50" spans="1:7" x14ac:dyDescent="0.25">
      <c r="A50" s="8">
        <v>42858.276192129626</v>
      </c>
      <c r="B50" s="20" t="s">
        <v>652</v>
      </c>
      <c r="C50" s="20" t="s">
        <v>659</v>
      </c>
      <c r="D50" s="141">
        <v>890000</v>
      </c>
      <c r="E50" s="20" t="s">
        <v>528</v>
      </c>
      <c r="F50" s="20" t="s">
        <v>529</v>
      </c>
      <c r="G50" s="8" t="str">
        <f t="shared" si="0"/>
        <v>LOZA FIDEL</v>
      </c>
    </row>
    <row r="51" spans="1:7" x14ac:dyDescent="0.25">
      <c r="A51" s="8">
        <v>42858.279988425929</v>
      </c>
      <c r="B51" s="20" t="s">
        <v>350</v>
      </c>
      <c r="C51" s="20" t="s">
        <v>660</v>
      </c>
      <c r="D51" s="141">
        <v>3090000</v>
      </c>
      <c r="E51" s="20" t="s">
        <v>478</v>
      </c>
      <c r="F51" s="20" t="s">
        <v>479</v>
      </c>
      <c r="G51" s="8" t="str">
        <f t="shared" si="0"/>
        <v>LAMAR NEKESHA</v>
      </c>
    </row>
    <row r="52" spans="1:7" x14ac:dyDescent="0.25">
      <c r="A52" s="8">
        <v>42858.28328703704</v>
      </c>
      <c r="B52" s="20" t="s">
        <v>359</v>
      </c>
      <c r="C52" s="20" t="s">
        <v>661</v>
      </c>
      <c r="D52" s="141">
        <v>1100000</v>
      </c>
      <c r="E52" s="20" t="s">
        <v>625</v>
      </c>
      <c r="F52" s="20" t="s">
        <v>626</v>
      </c>
      <c r="G52" s="8" t="str">
        <f t="shared" si="0"/>
        <v>GEBRETEKLE DAGNEW</v>
      </c>
    </row>
    <row r="53" spans="1:7" x14ac:dyDescent="0.25">
      <c r="A53" s="8">
        <v>42858.288310185184</v>
      </c>
      <c r="B53" s="20" t="s">
        <v>412</v>
      </c>
      <c r="C53" s="20" t="s">
        <v>662</v>
      </c>
      <c r="D53" s="141">
        <v>2550000</v>
      </c>
      <c r="E53" s="20" t="s">
        <v>620</v>
      </c>
      <c r="F53" s="20" t="s">
        <v>621</v>
      </c>
      <c r="G53" s="8" t="str">
        <f t="shared" si="0"/>
        <v>BADERTSCHER DIANE</v>
      </c>
    </row>
    <row r="54" spans="1:7" x14ac:dyDescent="0.25">
      <c r="A54" s="8">
        <v>42858.295428240737</v>
      </c>
      <c r="B54" s="20" t="s">
        <v>353</v>
      </c>
      <c r="C54" s="20" t="s">
        <v>663</v>
      </c>
      <c r="D54" s="141">
        <v>1830000</v>
      </c>
      <c r="E54" s="20" t="s">
        <v>443</v>
      </c>
      <c r="F54" s="20" t="s">
        <v>444</v>
      </c>
      <c r="G54" s="8" t="str">
        <f t="shared" si="0"/>
        <v>YORK EDGAR</v>
      </c>
    </row>
    <row r="55" spans="1:7" x14ac:dyDescent="0.25">
      <c r="A55" s="8">
        <v>42858.296875</v>
      </c>
      <c r="B55" s="20" t="s">
        <v>526</v>
      </c>
      <c r="C55" s="20" t="s">
        <v>664</v>
      </c>
      <c r="D55" s="141">
        <v>3120000</v>
      </c>
      <c r="E55" s="20" t="s">
        <v>476</v>
      </c>
      <c r="F55" s="20" t="s">
        <v>477</v>
      </c>
      <c r="G55" s="8" t="str">
        <f t="shared" si="0"/>
        <v>THOMPSON LESTER</v>
      </c>
    </row>
    <row r="56" spans="1:7" x14ac:dyDescent="0.25">
      <c r="A56" s="8">
        <v>42858.297060185185</v>
      </c>
      <c r="B56" s="20" t="s">
        <v>425</v>
      </c>
      <c r="C56" s="20" t="s">
        <v>665</v>
      </c>
      <c r="D56" s="141">
        <v>1360000</v>
      </c>
      <c r="E56" s="20" t="s">
        <v>453</v>
      </c>
      <c r="F56" s="20" t="s">
        <v>454</v>
      </c>
      <c r="G56" s="8" t="str">
        <f t="shared" si="0"/>
        <v>SANTIZO D. EDY</v>
      </c>
    </row>
    <row r="57" spans="1:7" x14ac:dyDescent="0.25">
      <c r="A57" s="8">
        <v>42858.30028935185</v>
      </c>
      <c r="B57" s="20" t="s">
        <v>358</v>
      </c>
      <c r="C57" s="20" t="s">
        <v>666</v>
      </c>
      <c r="D57" s="141">
        <v>1110000</v>
      </c>
      <c r="E57" s="20" t="s">
        <v>474</v>
      </c>
      <c r="F57" s="20" t="s">
        <v>475</v>
      </c>
      <c r="G57" s="8" t="str">
        <f t="shared" si="0"/>
        <v>STARKS ANGELINA</v>
      </c>
    </row>
    <row r="58" spans="1:7" x14ac:dyDescent="0.25">
      <c r="A58" s="8">
        <v>42858.303541666668</v>
      </c>
      <c r="B58" s="20" t="s">
        <v>592</v>
      </c>
      <c r="C58" s="20" t="s">
        <v>667</v>
      </c>
      <c r="D58" s="141">
        <v>890000</v>
      </c>
      <c r="E58" s="20" t="s">
        <v>528</v>
      </c>
      <c r="F58" s="20" t="s">
        <v>529</v>
      </c>
      <c r="G58" s="8" t="str">
        <f t="shared" si="0"/>
        <v>LOZA FIDEL</v>
      </c>
    </row>
    <row r="59" spans="1:7" x14ac:dyDescent="0.25">
      <c r="A59" s="8">
        <v>42858.30810185185</v>
      </c>
      <c r="B59" s="20" t="s">
        <v>613</v>
      </c>
      <c r="C59" s="20" t="s">
        <v>668</v>
      </c>
      <c r="D59" s="141">
        <v>2010000</v>
      </c>
      <c r="E59" s="20" t="s">
        <v>455</v>
      </c>
      <c r="F59" s="20" t="s">
        <v>456</v>
      </c>
      <c r="G59" s="8" t="str">
        <f t="shared" si="0"/>
        <v>MAELZER KURT</v>
      </c>
    </row>
    <row r="60" spans="1:7" x14ac:dyDescent="0.25">
      <c r="A60" s="8">
        <v>42858.316944444443</v>
      </c>
      <c r="B60" s="20" t="s">
        <v>351</v>
      </c>
      <c r="C60" s="20" t="s">
        <v>669</v>
      </c>
      <c r="D60" s="141">
        <v>3090000</v>
      </c>
      <c r="E60" s="20" t="s">
        <v>478</v>
      </c>
      <c r="F60" s="20" t="s">
        <v>479</v>
      </c>
      <c r="G60" s="8" t="str">
        <f t="shared" si="0"/>
        <v>LAMAR NEKESHA</v>
      </c>
    </row>
    <row r="61" spans="1:7" x14ac:dyDescent="0.25">
      <c r="A61" s="8">
        <v>42858.317118055558</v>
      </c>
      <c r="B61" s="20" t="s">
        <v>652</v>
      </c>
      <c r="C61" s="20" t="s">
        <v>670</v>
      </c>
      <c r="D61" s="141">
        <v>890000</v>
      </c>
      <c r="E61" s="20" t="s">
        <v>528</v>
      </c>
      <c r="F61" s="20" t="s">
        <v>529</v>
      </c>
      <c r="G61" s="8" t="str">
        <f t="shared" si="0"/>
        <v>LOZA FIDEL</v>
      </c>
    </row>
    <row r="62" spans="1:7" x14ac:dyDescent="0.25">
      <c r="A62" s="8">
        <v>42858.317511574074</v>
      </c>
      <c r="B62" s="20" t="s">
        <v>199</v>
      </c>
      <c r="C62" s="20" t="s">
        <v>671</v>
      </c>
      <c r="D62" s="141">
        <v>1100000</v>
      </c>
      <c r="E62" s="20" t="s">
        <v>625</v>
      </c>
      <c r="F62" s="20" t="s">
        <v>626</v>
      </c>
      <c r="G62" s="8" t="str">
        <f t="shared" si="0"/>
        <v>GEBRETEKLE DAGNEW</v>
      </c>
    </row>
    <row r="63" spans="1:7" x14ac:dyDescent="0.25">
      <c r="A63" s="8">
        <v>42858.325243055559</v>
      </c>
      <c r="B63" s="20" t="s">
        <v>411</v>
      </c>
      <c r="C63" s="20" t="s">
        <v>672</v>
      </c>
      <c r="D63" s="141">
        <v>2550000</v>
      </c>
      <c r="E63" s="20" t="s">
        <v>620</v>
      </c>
      <c r="F63" s="20" t="s">
        <v>621</v>
      </c>
      <c r="G63" s="8" t="str">
        <f t="shared" si="0"/>
        <v>BADERTSCHER DIANE</v>
      </c>
    </row>
    <row r="64" spans="1:7" x14ac:dyDescent="0.25">
      <c r="A64" s="26">
        <v>42858.327013888891</v>
      </c>
      <c r="B64" s="20" t="s">
        <v>441</v>
      </c>
      <c r="C64" s="20" t="s">
        <v>673</v>
      </c>
      <c r="D64" s="141">
        <v>1830000</v>
      </c>
      <c r="E64" s="20" t="s">
        <v>443</v>
      </c>
      <c r="F64" s="20" t="s">
        <v>444</v>
      </c>
      <c r="G64" s="8" t="str">
        <f t="shared" si="0"/>
        <v>YORK EDGAR</v>
      </c>
    </row>
    <row r="65" spans="1:7" x14ac:dyDescent="0.25">
      <c r="A65" s="8">
        <v>42858.329618055555</v>
      </c>
      <c r="B65" s="20" t="s">
        <v>533</v>
      </c>
      <c r="C65" s="20" t="s">
        <v>674</v>
      </c>
      <c r="D65" s="141">
        <v>3120000</v>
      </c>
      <c r="E65" s="20" t="s">
        <v>476</v>
      </c>
      <c r="F65" s="20" t="s">
        <v>477</v>
      </c>
      <c r="G65" s="8" t="str">
        <f t="shared" si="0"/>
        <v>THOMPSON LESTER</v>
      </c>
    </row>
    <row r="66" spans="1:7" x14ac:dyDescent="0.25">
      <c r="A66" s="8">
        <v>42858.337175925924</v>
      </c>
      <c r="B66" s="20" t="s">
        <v>353</v>
      </c>
      <c r="C66" s="20" t="s">
        <v>675</v>
      </c>
      <c r="D66" s="141">
        <v>1830000</v>
      </c>
      <c r="E66" s="20" t="s">
        <v>443</v>
      </c>
      <c r="F66" s="20" t="s">
        <v>444</v>
      </c>
      <c r="G66" s="8" t="str">
        <f t="shared" si="0"/>
        <v>YORK EDGAR</v>
      </c>
    </row>
    <row r="67" spans="1:7" x14ac:dyDescent="0.25">
      <c r="A67" s="8">
        <v>42858.338877314818</v>
      </c>
      <c r="B67" s="20" t="s">
        <v>601</v>
      </c>
      <c r="C67" s="20" t="s">
        <v>676</v>
      </c>
      <c r="D67" s="141">
        <v>1110000</v>
      </c>
      <c r="E67" s="20" t="s">
        <v>474</v>
      </c>
      <c r="F67" s="20" t="s">
        <v>475</v>
      </c>
      <c r="G67" s="8" t="str">
        <f t="shared" ref="G67:G130" si="1">E67&amp;" "&amp;F67</f>
        <v>STARKS ANGELINA</v>
      </c>
    </row>
    <row r="68" spans="1:7" x14ac:dyDescent="0.25">
      <c r="A68" s="8">
        <v>42858.339236111111</v>
      </c>
      <c r="B68" s="20" t="s">
        <v>415</v>
      </c>
      <c r="C68" s="20" t="s">
        <v>677</v>
      </c>
      <c r="D68" s="141">
        <v>1360000</v>
      </c>
      <c r="E68" s="20" t="s">
        <v>453</v>
      </c>
      <c r="F68" s="20" t="s">
        <v>454</v>
      </c>
      <c r="G68" s="8" t="str">
        <f t="shared" si="1"/>
        <v>SANTIZO D. EDY</v>
      </c>
    </row>
    <row r="69" spans="1:7" x14ac:dyDescent="0.25">
      <c r="A69" s="8">
        <v>42858.345439814817</v>
      </c>
      <c r="B69" s="20" t="s">
        <v>578</v>
      </c>
      <c r="C69" s="20" t="s">
        <v>678</v>
      </c>
      <c r="D69" s="141">
        <v>2010000</v>
      </c>
      <c r="E69" s="20" t="s">
        <v>455</v>
      </c>
      <c r="F69" s="20" t="s">
        <v>456</v>
      </c>
      <c r="G69" s="8" t="str">
        <f t="shared" si="1"/>
        <v>MAELZER KURT</v>
      </c>
    </row>
    <row r="70" spans="1:7" x14ac:dyDescent="0.25">
      <c r="A70" s="8">
        <v>42858.345625000002</v>
      </c>
      <c r="B70" s="20" t="s">
        <v>592</v>
      </c>
      <c r="C70" s="20" t="s">
        <v>679</v>
      </c>
      <c r="D70" s="141">
        <v>890000</v>
      </c>
      <c r="E70" s="20" t="s">
        <v>528</v>
      </c>
      <c r="F70" s="20" t="s">
        <v>529</v>
      </c>
      <c r="G70" s="8" t="str">
        <f t="shared" si="1"/>
        <v>LOZA FIDEL</v>
      </c>
    </row>
    <row r="71" spans="1:7" x14ac:dyDescent="0.25">
      <c r="A71" s="8">
        <v>42858.351122685184</v>
      </c>
      <c r="B71" s="20" t="s">
        <v>350</v>
      </c>
      <c r="C71" s="20" t="s">
        <v>680</v>
      </c>
      <c r="D71" s="141">
        <v>3090000</v>
      </c>
      <c r="E71" s="20" t="s">
        <v>478</v>
      </c>
      <c r="F71" s="20" t="s">
        <v>479</v>
      </c>
      <c r="G71" s="8" t="str">
        <f t="shared" si="1"/>
        <v>LAMAR NEKESHA</v>
      </c>
    </row>
    <row r="72" spans="1:7" x14ac:dyDescent="0.25">
      <c r="A72" s="8">
        <v>42858.351157407407</v>
      </c>
      <c r="B72" s="20" t="s">
        <v>404</v>
      </c>
      <c r="C72" s="20" t="s">
        <v>681</v>
      </c>
      <c r="D72" s="141">
        <v>1090000</v>
      </c>
      <c r="E72" s="20" t="s">
        <v>480</v>
      </c>
      <c r="F72" s="20" t="s">
        <v>196</v>
      </c>
      <c r="G72" s="8" t="str">
        <f t="shared" si="1"/>
        <v>SPECTOR MICHAEL</v>
      </c>
    </row>
    <row r="73" spans="1:7" x14ac:dyDescent="0.25">
      <c r="A73" s="8">
        <v>42858.35229166667</v>
      </c>
      <c r="B73" s="20" t="s">
        <v>404</v>
      </c>
      <c r="C73" s="20" t="s">
        <v>681</v>
      </c>
      <c r="D73" s="141">
        <v>1090000</v>
      </c>
      <c r="E73" s="20" t="s">
        <v>480</v>
      </c>
      <c r="F73" s="20" t="s">
        <v>196</v>
      </c>
      <c r="G73" s="8" t="str">
        <f t="shared" si="1"/>
        <v>SPECTOR MICHAEL</v>
      </c>
    </row>
    <row r="74" spans="1:7" x14ac:dyDescent="0.25">
      <c r="A74" s="8">
        <v>42858.352627314816</v>
      </c>
      <c r="B74" s="20" t="s">
        <v>441</v>
      </c>
      <c r="C74" s="20" t="s">
        <v>682</v>
      </c>
      <c r="D74" s="141">
        <v>1830000</v>
      </c>
      <c r="E74" s="20" t="s">
        <v>443</v>
      </c>
      <c r="F74" s="20" t="s">
        <v>444</v>
      </c>
      <c r="G74" s="8" t="str">
        <f t="shared" si="1"/>
        <v>YORK EDGAR</v>
      </c>
    </row>
    <row r="75" spans="1:7" x14ac:dyDescent="0.25">
      <c r="A75" s="8">
        <v>42858.358599537038</v>
      </c>
      <c r="B75" s="20" t="s">
        <v>652</v>
      </c>
      <c r="C75" s="20" t="s">
        <v>683</v>
      </c>
      <c r="D75" s="141">
        <v>890000</v>
      </c>
      <c r="E75" s="20" t="s">
        <v>528</v>
      </c>
      <c r="F75" s="20" t="s">
        <v>529</v>
      </c>
      <c r="G75" s="8" t="str">
        <f t="shared" si="1"/>
        <v>LOZA FIDEL</v>
      </c>
    </row>
    <row r="76" spans="1:7" x14ac:dyDescent="0.25">
      <c r="A76" s="8">
        <v>42858.359224537038</v>
      </c>
      <c r="B76" s="20" t="s">
        <v>421</v>
      </c>
      <c r="C76" s="20" t="s">
        <v>681</v>
      </c>
      <c r="D76" s="141">
        <v>1090000</v>
      </c>
      <c r="E76" s="20" t="s">
        <v>480</v>
      </c>
      <c r="F76" s="20" t="s">
        <v>196</v>
      </c>
      <c r="G76" s="8" t="str">
        <f t="shared" si="1"/>
        <v>SPECTOR MICHAEL</v>
      </c>
    </row>
    <row r="77" spans="1:7" x14ac:dyDescent="0.25">
      <c r="A77" s="8">
        <v>42858.359571759262</v>
      </c>
      <c r="B77" s="20" t="s">
        <v>359</v>
      </c>
      <c r="C77" s="20" t="s">
        <v>684</v>
      </c>
      <c r="D77" s="141">
        <v>1100000</v>
      </c>
      <c r="E77" s="20" t="s">
        <v>625</v>
      </c>
      <c r="F77" s="20" t="s">
        <v>626</v>
      </c>
      <c r="G77" s="8" t="str">
        <f t="shared" si="1"/>
        <v>GEBRETEKLE DAGNEW</v>
      </c>
    </row>
    <row r="78" spans="1:7" x14ac:dyDescent="0.25">
      <c r="A78" s="8">
        <v>42858.360231481478</v>
      </c>
      <c r="B78" s="20" t="s">
        <v>421</v>
      </c>
      <c r="C78" s="20" t="s">
        <v>681</v>
      </c>
      <c r="D78" s="141">
        <v>1090000</v>
      </c>
      <c r="E78" s="20" t="s">
        <v>480</v>
      </c>
      <c r="F78" s="20" t="s">
        <v>196</v>
      </c>
      <c r="G78" s="8" t="str">
        <f t="shared" si="1"/>
        <v>SPECTOR MICHAEL</v>
      </c>
    </row>
    <row r="79" spans="1:7" x14ac:dyDescent="0.25">
      <c r="A79" s="8">
        <v>42858.361006944448</v>
      </c>
      <c r="B79" s="20" t="s">
        <v>412</v>
      </c>
      <c r="C79" s="20" t="s">
        <v>585</v>
      </c>
      <c r="D79" s="141">
        <v>2550000</v>
      </c>
      <c r="E79" s="20" t="s">
        <v>620</v>
      </c>
      <c r="F79" s="20" t="s">
        <v>621</v>
      </c>
      <c r="G79" s="8" t="str">
        <f t="shared" si="1"/>
        <v>BADERTSCHER DIANE</v>
      </c>
    </row>
    <row r="80" spans="1:7" x14ac:dyDescent="0.25">
      <c r="A80" s="8">
        <v>42858.367071759261</v>
      </c>
      <c r="B80" s="20" t="s">
        <v>404</v>
      </c>
      <c r="C80" s="20" t="s">
        <v>685</v>
      </c>
      <c r="D80" s="141">
        <v>310000</v>
      </c>
      <c r="E80" s="20" t="s">
        <v>686</v>
      </c>
      <c r="F80" s="20" t="s">
        <v>687</v>
      </c>
      <c r="G80" s="8" t="str">
        <f t="shared" si="1"/>
        <v>SNYDER PETER</v>
      </c>
    </row>
    <row r="81" spans="1:7" x14ac:dyDescent="0.25">
      <c r="A81" s="8">
        <v>42858.367361111108</v>
      </c>
      <c r="B81" s="20" t="s">
        <v>526</v>
      </c>
      <c r="C81" s="20" t="s">
        <v>688</v>
      </c>
      <c r="D81" s="141">
        <v>3120000</v>
      </c>
      <c r="E81" s="20" t="s">
        <v>476</v>
      </c>
      <c r="F81" s="20" t="s">
        <v>477</v>
      </c>
      <c r="G81" s="8" t="str">
        <f t="shared" si="1"/>
        <v>THOMPSON LESTER</v>
      </c>
    </row>
    <row r="82" spans="1:7" x14ac:dyDescent="0.25">
      <c r="A82" s="8">
        <v>42858.369027777779</v>
      </c>
      <c r="B82" s="20" t="s">
        <v>404</v>
      </c>
      <c r="C82" s="20" t="s">
        <v>685</v>
      </c>
      <c r="D82" s="141">
        <v>310000</v>
      </c>
      <c r="E82" s="20" t="s">
        <v>686</v>
      </c>
      <c r="F82" s="20" t="s">
        <v>687</v>
      </c>
      <c r="G82" s="8" t="str">
        <f t="shared" si="1"/>
        <v>SNYDER PETER</v>
      </c>
    </row>
    <row r="83" spans="1:7" x14ac:dyDescent="0.25">
      <c r="A83" s="8">
        <v>42858.370081018518</v>
      </c>
      <c r="B83" s="20" t="s">
        <v>425</v>
      </c>
      <c r="C83" s="20" t="s">
        <v>689</v>
      </c>
      <c r="D83" s="141">
        <v>1360000</v>
      </c>
      <c r="E83" s="20" t="s">
        <v>453</v>
      </c>
      <c r="F83" s="20" t="s">
        <v>454</v>
      </c>
      <c r="G83" s="8" t="str">
        <f t="shared" si="1"/>
        <v>SANTIZO D. EDY</v>
      </c>
    </row>
    <row r="84" spans="1:7" x14ac:dyDescent="0.25">
      <c r="A84" s="8">
        <v>42858.382233796299</v>
      </c>
      <c r="B84" s="20" t="s">
        <v>351</v>
      </c>
      <c r="C84" s="20" t="s">
        <v>588</v>
      </c>
      <c r="D84" s="141">
        <v>3090000</v>
      </c>
      <c r="E84" s="20" t="s">
        <v>478</v>
      </c>
      <c r="F84" s="20" t="s">
        <v>479</v>
      </c>
      <c r="G84" s="8" t="str">
        <f t="shared" si="1"/>
        <v>LAMAR NEKESHA</v>
      </c>
    </row>
    <row r="85" spans="1:7" x14ac:dyDescent="0.25">
      <c r="A85" s="8">
        <v>42858.382997685185</v>
      </c>
      <c r="B85" s="20" t="s">
        <v>613</v>
      </c>
      <c r="C85" s="20" t="s">
        <v>690</v>
      </c>
      <c r="D85" s="141">
        <v>2010000</v>
      </c>
      <c r="E85" s="20" t="s">
        <v>455</v>
      </c>
      <c r="F85" s="20" t="s">
        <v>456</v>
      </c>
      <c r="G85" s="8" t="str">
        <f t="shared" si="1"/>
        <v>MAELZER KURT</v>
      </c>
    </row>
    <row r="86" spans="1:7" x14ac:dyDescent="0.25">
      <c r="A86" s="8">
        <v>42858.386087962965</v>
      </c>
      <c r="B86" s="20" t="s">
        <v>592</v>
      </c>
      <c r="C86" s="20" t="s">
        <v>691</v>
      </c>
      <c r="D86" s="141">
        <v>890000</v>
      </c>
      <c r="E86" s="20" t="s">
        <v>528</v>
      </c>
      <c r="F86" s="20" t="s">
        <v>529</v>
      </c>
      <c r="G86" s="8" t="str">
        <f t="shared" si="1"/>
        <v>LOZA FIDEL</v>
      </c>
    </row>
    <row r="87" spans="1:7" x14ac:dyDescent="0.25">
      <c r="A87" s="8">
        <v>42858.390115740738</v>
      </c>
      <c r="B87" s="20" t="s">
        <v>199</v>
      </c>
      <c r="C87" s="20" t="s">
        <v>692</v>
      </c>
      <c r="D87" s="141">
        <v>1100000</v>
      </c>
      <c r="E87" s="20" t="s">
        <v>625</v>
      </c>
      <c r="F87" s="20" t="s">
        <v>626</v>
      </c>
      <c r="G87" s="8" t="str">
        <f t="shared" si="1"/>
        <v>GEBRETEKLE DAGNEW</v>
      </c>
    </row>
    <row r="88" spans="1:7" x14ac:dyDescent="0.25">
      <c r="A88" s="8">
        <v>42858.396863425929</v>
      </c>
      <c r="B88" s="20" t="s">
        <v>411</v>
      </c>
      <c r="C88" s="20" t="s">
        <v>693</v>
      </c>
      <c r="D88" s="141">
        <v>2550000</v>
      </c>
      <c r="E88" s="20" t="s">
        <v>620</v>
      </c>
      <c r="F88" s="20" t="s">
        <v>621</v>
      </c>
      <c r="G88" s="8" t="str">
        <f t="shared" si="1"/>
        <v>BADERTSCHER DIANE</v>
      </c>
    </row>
    <row r="89" spans="1:7" x14ac:dyDescent="0.25">
      <c r="A89" s="8">
        <v>42858.400775462964</v>
      </c>
      <c r="B89" s="20" t="s">
        <v>652</v>
      </c>
      <c r="C89" s="20" t="s">
        <v>694</v>
      </c>
      <c r="D89" s="141">
        <v>890000</v>
      </c>
      <c r="E89" s="20" t="s">
        <v>528</v>
      </c>
      <c r="F89" s="20" t="s">
        <v>529</v>
      </c>
      <c r="G89" s="8" t="str">
        <f t="shared" si="1"/>
        <v>LOZA FIDEL</v>
      </c>
    </row>
    <row r="90" spans="1:7" x14ac:dyDescent="0.25">
      <c r="A90" s="8">
        <v>42858.404120370367</v>
      </c>
      <c r="B90" s="20" t="s">
        <v>533</v>
      </c>
      <c r="C90" s="20" t="s">
        <v>695</v>
      </c>
      <c r="D90" s="141">
        <v>3120000</v>
      </c>
      <c r="E90" s="20" t="s">
        <v>476</v>
      </c>
      <c r="F90" s="20" t="s">
        <v>477</v>
      </c>
      <c r="G90" s="8" t="str">
        <f t="shared" si="1"/>
        <v>THOMPSON LESTER</v>
      </c>
    </row>
    <row r="91" spans="1:7" x14ac:dyDescent="0.25">
      <c r="A91" s="8">
        <v>42858.413599537038</v>
      </c>
      <c r="B91" s="20" t="s">
        <v>421</v>
      </c>
      <c r="C91" s="20" t="s">
        <v>589</v>
      </c>
      <c r="D91" s="141">
        <v>330000</v>
      </c>
      <c r="E91" s="20" t="s">
        <v>696</v>
      </c>
      <c r="F91" s="20" t="s">
        <v>697</v>
      </c>
      <c r="G91" s="8" t="str">
        <f t="shared" si="1"/>
        <v>PELLITIER GEORGE</v>
      </c>
    </row>
    <row r="92" spans="1:7" x14ac:dyDescent="0.25">
      <c r="A92" s="8">
        <v>42858.413865740738</v>
      </c>
      <c r="B92" s="20" t="s">
        <v>415</v>
      </c>
      <c r="C92" s="20" t="s">
        <v>698</v>
      </c>
      <c r="D92" s="141">
        <v>1360000</v>
      </c>
      <c r="E92" s="20" t="s">
        <v>453</v>
      </c>
      <c r="F92" s="20" t="s">
        <v>454</v>
      </c>
      <c r="G92" s="8" t="str">
        <f t="shared" si="1"/>
        <v>SANTIZO D. EDY</v>
      </c>
    </row>
    <row r="93" spans="1:7" x14ac:dyDescent="0.25">
      <c r="A93" s="8">
        <v>42858.415000000001</v>
      </c>
      <c r="B93" s="20" t="s">
        <v>578</v>
      </c>
      <c r="C93" s="20" t="s">
        <v>595</v>
      </c>
      <c r="D93" s="141">
        <v>2010000</v>
      </c>
      <c r="E93" s="20" t="s">
        <v>455</v>
      </c>
      <c r="F93" s="20" t="s">
        <v>456</v>
      </c>
      <c r="G93" s="8" t="str">
        <f t="shared" si="1"/>
        <v>MAELZER KURT</v>
      </c>
    </row>
    <row r="94" spans="1:7" x14ac:dyDescent="0.25">
      <c r="A94" s="8">
        <v>42858.426539351851</v>
      </c>
      <c r="B94" s="20" t="s">
        <v>350</v>
      </c>
      <c r="C94" s="20" t="s">
        <v>699</v>
      </c>
      <c r="D94" s="141">
        <v>3090000</v>
      </c>
      <c r="E94" s="20" t="s">
        <v>478</v>
      </c>
      <c r="F94" s="20" t="s">
        <v>479</v>
      </c>
      <c r="G94" s="8" t="str">
        <f t="shared" si="1"/>
        <v>LAMAR NEKESHA</v>
      </c>
    </row>
    <row r="95" spans="1:7" x14ac:dyDescent="0.25">
      <c r="A95" s="8">
        <v>42858.428761574076</v>
      </c>
      <c r="B95" s="20" t="s">
        <v>592</v>
      </c>
      <c r="C95" s="20" t="s">
        <v>593</v>
      </c>
      <c r="D95" s="141">
        <v>890000</v>
      </c>
      <c r="E95" s="20" t="s">
        <v>528</v>
      </c>
      <c r="F95" s="20" t="s">
        <v>529</v>
      </c>
      <c r="G95" s="8" t="str">
        <f t="shared" si="1"/>
        <v>LOZA FIDEL</v>
      </c>
    </row>
    <row r="96" spans="1:7" x14ac:dyDescent="0.25">
      <c r="A96" s="8">
        <v>42858.429027777776</v>
      </c>
      <c r="B96" s="20" t="s">
        <v>359</v>
      </c>
      <c r="C96" s="20" t="s">
        <v>700</v>
      </c>
      <c r="D96" s="141">
        <v>1100000</v>
      </c>
      <c r="E96" s="20" t="s">
        <v>625</v>
      </c>
      <c r="F96" s="20" t="s">
        <v>626</v>
      </c>
      <c r="G96" s="8" t="str">
        <f t="shared" si="1"/>
        <v>GEBRETEKLE DAGNEW</v>
      </c>
    </row>
    <row r="97" spans="1:7" x14ac:dyDescent="0.25">
      <c r="A97" s="8">
        <v>42858.429502314815</v>
      </c>
      <c r="B97" s="20" t="s">
        <v>590</v>
      </c>
      <c r="C97" s="20" t="s">
        <v>591</v>
      </c>
      <c r="D97" s="141">
        <v>1780000</v>
      </c>
      <c r="E97" s="20" t="s">
        <v>531</v>
      </c>
      <c r="F97" s="20" t="s">
        <v>532</v>
      </c>
      <c r="G97" s="8" t="str">
        <f t="shared" si="1"/>
        <v>DE LA ROSA ALEX</v>
      </c>
    </row>
    <row r="98" spans="1:7" x14ac:dyDescent="0.25">
      <c r="A98" s="8">
        <v>42858.431562500002</v>
      </c>
      <c r="B98" s="20" t="s">
        <v>421</v>
      </c>
      <c r="C98" s="20" t="s">
        <v>589</v>
      </c>
      <c r="D98" s="141">
        <v>330000</v>
      </c>
      <c r="E98" s="20" t="s">
        <v>696</v>
      </c>
      <c r="F98" s="20" t="s">
        <v>697</v>
      </c>
      <c r="G98" s="8" t="str">
        <f t="shared" si="1"/>
        <v>PELLITIER GEORGE</v>
      </c>
    </row>
    <row r="99" spans="1:7" x14ac:dyDescent="0.25">
      <c r="A99" s="8">
        <v>42858.433796296296</v>
      </c>
      <c r="B99" s="20" t="s">
        <v>412</v>
      </c>
      <c r="C99" s="20" t="s">
        <v>701</v>
      </c>
      <c r="D99" s="141">
        <v>1830000</v>
      </c>
      <c r="E99" s="20" t="s">
        <v>443</v>
      </c>
      <c r="F99" s="20" t="s">
        <v>444</v>
      </c>
      <c r="G99" s="8" t="str">
        <f t="shared" si="1"/>
        <v>YORK EDGAR</v>
      </c>
    </row>
    <row r="100" spans="1:7" x14ac:dyDescent="0.25">
      <c r="A100" s="8">
        <v>42858.44054398148</v>
      </c>
      <c r="B100" s="20" t="s">
        <v>358</v>
      </c>
      <c r="C100" s="20" t="s">
        <v>594</v>
      </c>
      <c r="D100" s="141">
        <v>1520000</v>
      </c>
      <c r="E100" s="20" t="s">
        <v>702</v>
      </c>
      <c r="F100" s="20" t="s">
        <v>703</v>
      </c>
      <c r="G100" s="8" t="str">
        <f t="shared" si="1"/>
        <v>MAYBERRY BILL</v>
      </c>
    </row>
    <row r="101" spans="1:7" x14ac:dyDescent="0.25">
      <c r="A101" s="8">
        <v>42858.441053240742</v>
      </c>
      <c r="B101" s="20" t="s">
        <v>358</v>
      </c>
      <c r="C101" s="20" t="s">
        <v>594</v>
      </c>
      <c r="D101" s="141">
        <v>1520000</v>
      </c>
      <c r="E101" s="20" t="s">
        <v>702</v>
      </c>
      <c r="F101" s="20" t="s">
        <v>703</v>
      </c>
      <c r="G101" s="8" t="str">
        <f t="shared" si="1"/>
        <v>MAYBERRY BILL</v>
      </c>
    </row>
    <row r="102" spans="1:7" x14ac:dyDescent="0.25">
      <c r="A102" s="8">
        <v>42858.442337962966</v>
      </c>
      <c r="B102" s="20" t="s">
        <v>526</v>
      </c>
      <c r="C102" s="20" t="s">
        <v>704</v>
      </c>
      <c r="D102" s="141">
        <v>3120000</v>
      </c>
      <c r="E102" s="20" t="s">
        <v>476</v>
      </c>
      <c r="F102" s="20" t="s">
        <v>477</v>
      </c>
      <c r="G102" s="8" t="str">
        <f t="shared" si="1"/>
        <v>THOMPSON LESTER</v>
      </c>
    </row>
    <row r="103" spans="1:7" x14ac:dyDescent="0.25">
      <c r="A103" s="8">
        <v>42858.443715277775</v>
      </c>
      <c r="B103" s="20" t="s">
        <v>652</v>
      </c>
      <c r="C103" s="20" t="s">
        <v>705</v>
      </c>
      <c r="D103" s="141">
        <v>890000</v>
      </c>
      <c r="E103" s="20" t="s">
        <v>528</v>
      </c>
      <c r="F103" s="20" t="s">
        <v>529</v>
      </c>
      <c r="G103" s="8" t="str">
        <f t="shared" si="1"/>
        <v>LOZA FIDEL</v>
      </c>
    </row>
    <row r="104" spans="1:7" x14ac:dyDescent="0.25">
      <c r="A104" s="8">
        <v>42858.445937500001</v>
      </c>
      <c r="B104" s="20" t="s">
        <v>601</v>
      </c>
      <c r="C104" s="20" t="s">
        <v>706</v>
      </c>
      <c r="D104" s="141">
        <v>1520000</v>
      </c>
      <c r="E104" s="20" t="s">
        <v>702</v>
      </c>
      <c r="F104" s="20" t="s">
        <v>703</v>
      </c>
      <c r="G104" s="8" t="str">
        <f t="shared" si="1"/>
        <v>MAYBERRY BILL</v>
      </c>
    </row>
    <row r="105" spans="1:7" x14ac:dyDescent="0.25">
      <c r="A105" s="8">
        <v>42858.447650462964</v>
      </c>
      <c r="B105" s="20" t="s">
        <v>425</v>
      </c>
      <c r="C105" s="20" t="s">
        <v>707</v>
      </c>
      <c r="D105" s="141">
        <v>1360000</v>
      </c>
      <c r="E105" s="20" t="s">
        <v>453</v>
      </c>
      <c r="F105" s="20" t="s">
        <v>454</v>
      </c>
      <c r="G105" s="8" t="str">
        <f t="shared" si="1"/>
        <v>SANTIZO D. EDY</v>
      </c>
    </row>
    <row r="106" spans="1:7" x14ac:dyDescent="0.25">
      <c r="A106" s="8">
        <v>42858.449826388889</v>
      </c>
      <c r="B106" s="20" t="s">
        <v>358</v>
      </c>
      <c r="C106" s="20" t="s">
        <v>596</v>
      </c>
      <c r="D106" s="141">
        <v>1520000</v>
      </c>
      <c r="E106" s="20" t="s">
        <v>702</v>
      </c>
      <c r="F106" s="20" t="s">
        <v>703</v>
      </c>
      <c r="G106" s="8" t="str">
        <f t="shared" si="1"/>
        <v>MAYBERRY BILL</v>
      </c>
    </row>
    <row r="107" spans="1:7" x14ac:dyDescent="0.25">
      <c r="A107" s="8">
        <v>42858.455729166664</v>
      </c>
      <c r="B107" s="20" t="s">
        <v>404</v>
      </c>
      <c r="C107" s="20" t="s">
        <v>708</v>
      </c>
      <c r="D107" s="141">
        <v>930000</v>
      </c>
      <c r="E107" s="20" t="s">
        <v>481</v>
      </c>
      <c r="F107" s="20" t="s">
        <v>482</v>
      </c>
      <c r="G107" s="8" t="str">
        <f t="shared" si="1"/>
        <v>CLARK KATHLEEN</v>
      </c>
    </row>
    <row r="108" spans="1:7" x14ac:dyDescent="0.25">
      <c r="A108" s="8">
        <v>42858.463275462964</v>
      </c>
      <c r="B108" s="20" t="s">
        <v>411</v>
      </c>
      <c r="C108" s="20" t="s">
        <v>709</v>
      </c>
      <c r="D108" s="141">
        <v>1830000</v>
      </c>
      <c r="E108" s="20" t="s">
        <v>443</v>
      </c>
      <c r="F108" s="20" t="s">
        <v>444</v>
      </c>
      <c r="G108" s="8" t="str">
        <f t="shared" si="1"/>
        <v>YORK EDGAR</v>
      </c>
    </row>
    <row r="109" spans="1:7" x14ac:dyDescent="0.25">
      <c r="A109" s="8">
        <v>42858.465312499997</v>
      </c>
      <c r="B109" s="20" t="s">
        <v>351</v>
      </c>
      <c r="C109" s="20" t="s">
        <v>710</v>
      </c>
      <c r="D109" s="141">
        <v>3090000</v>
      </c>
      <c r="E109" s="20" t="s">
        <v>478</v>
      </c>
      <c r="F109" s="20" t="s">
        <v>479</v>
      </c>
      <c r="G109" s="8" t="str">
        <f t="shared" si="1"/>
        <v>LAMAR NEKESHA</v>
      </c>
    </row>
    <row r="110" spans="1:7" x14ac:dyDescent="0.25">
      <c r="A110" s="8">
        <v>42858.468460648146</v>
      </c>
      <c r="B110" s="20" t="s">
        <v>199</v>
      </c>
      <c r="C110" s="20" t="s">
        <v>711</v>
      </c>
      <c r="D110" s="141">
        <v>920000</v>
      </c>
      <c r="E110" s="20" t="s">
        <v>457</v>
      </c>
      <c r="F110" s="20" t="s">
        <v>196</v>
      </c>
      <c r="G110" s="8" t="str">
        <f t="shared" si="1"/>
        <v>DAVIS MICHAEL</v>
      </c>
    </row>
    <row r="111" spans="1:7" x14ac:dyDescent="0.25">
      <c r="A111" s="8">
        <v>42858.470381944448</v>
      </c>
      <c r="B111" s="20" t="s">
        <v>712</v>
      </c>
      <c r="C111" s="20" t="s">
        <v>713</v>
      </c>
      <c r="D111" s="141">
        <v>2010000</v>
      </c>
      <c r="E111" s="20" t="s">
        <v>455</v>
      </c>
      <c r="F111" s="20" t="s">
        <v>456</v>
      </c>
      <c r="G111" s="8" t="str">
        <f t="shared" si="1"/>
        <v>MAELZER KURT</v>
      </c>
    </row>
    <row r="112" spans="1:7" x14ac:dyDescent="0.25">
      <c r="A112" s="8">
        <v>42858.470532407409</v>
      </c>
      <c r="B112" s="20" t="s">
        <v>592</v>
      </c>
      <c r="C112" s="20" t="s">
        <v>714</v>
      </c>
      <c r="D112" s="141">
        <v>890000</v>
      </c>
      <c r="E112" s="20" t="s">
        <v>528</v>
      </c>
      <c r="F112" s="20" t="s">
        <v>529</v>
      </c>
      <c r="G112" s="8" t="str">
        <f t="shared" si="1"/>
        <v>LOZA FIDEL</v>
      </c>
    </row>
    <row r="113" spans="1:7" x14ac:dyDescent="0.25">
      <c r="A113" s="8">
        <v>42858.47347222222</v>
      </c>
      <c r="B113" s="20" t="s">
        <v>358</v>
      </c>
      <c r="C113" s="20" t="s">
        <v>596</v>
      </c>
      <c r="D113" s="141">
        <v>1520000</v>
      </c>
      <c r="E113" s="20" t="s">
        <v>702</v>
      </c>
      <c r="F113" s="20" t="s">
        <v>703</v>
      </c>
      <c r="G113" s="8" t="str">
        <f t="shared" si="1"/>
        <v>MAYBERRY BILL</v>
      </c>
    </row>
    <row r="114" spans="1:7" x14ac:dyDescent="0.25">
      <c r="A114" s="8">
        <v>42858.477500000001</v>
      </c>
      <c r="B114" s="20" t="s">
        <v>533</v>
      </c>
      <c r="C114" s="20" t="s">
        <v>715</v>
      </c>
      <c r="D114" s="141">
        <v>3130000</v>
      </c>
      <c r="E114" s="20" t="s">
        <v>484</v>
      </c>
      <c r="F114" s="20" t="s">
        <v>485</v>
      </c>
      <c r="G114" s="8" t="str">
        <f t="shared" si="1"/>
        <v>ZEWDU DEREJE</v>
      </c>
    </row>
    <row r="115" spans="1:7" x14ac:dyDescent="0.25">
      <c r="A115" s="8">
        <v>42858.485439814816</v>
      </c>
      <c r="B115" s="20" t="s">
        <v>652</v>
      </c>
      <c r="C115" s="20" t="s">
        <v>716</v>
      </c>
      <c r="D115" s="141">
        <v>890000</v>
      </c>
      <c r="E115" s="20" t="s">
        <v>528</v>
      </c>
      <c r="F115" s="20" t="s">
        <v>529</v>
      </c>
      <c r="G115" s="8" t="str">
        <f t="shared" si="1"/>
        <v>LOZA FIDEL</v>
      </c>
    </row>
    <row r="116" spans="1:7" x14ac:dyDescent="0.25">
      <c r="A116" s="8">
        <v>42858.486493055556</v>
      </c>
      <c r="B116" s="20" t="s">
        <v>601</v>
      </c>
      <c r="C116" s="20" t="s">
        <v>717</v>
      </c>
      <c r="D116" s="141">
        <v>1520000</v>
      </c>
      <c r="E116" s="20" t="s">
        <v>702</v>
      </c>
      <c r="F116" s="20" t="s">
        <v>703</v>
      </c>
      <c r="G116" s="8" t="str">
        <f t="shared" si="1"/>
        <v>MAYBERRY BILL</v>
      </c>
    </row>
    <row r="117" spans="1:7" x14ac:dyDescent="0.25">
      <c r="A117" s="8">
        <v>42858.486828703702</v>
      </c>
      <c r="B117" s="20" t="s">
        <v>415</v>
      </c>
      <c r="C117" s="20" t="s">
        <v>718</v>
      </c>
      <c r="D117" s="141">
        <v>3030000</v>
      </c>
      <c r="E117" s="20" t="s">
        <v>483</v>
      </c>
      <c r="F117" s="20" t="s">
        <v>417</v>
      </c>
      <c r="G117" s="8" t="str">
        <f t="shared" si="1"/>
        <v>BIRENBAUM THOMAS</v>
      </c>
    </row>
    <row r="118" spans="1:7" x14ac:dyDescent="0.25">
      <c r="A118" s="8">
        <v>42858.494432870371</v>
      </c>
      <c r="B118" s="20" t="s">
        <v>421</v>
      </c>
      <c r="C118" s="20" t="s">
        <v>719</v>
      </c>
      <c r="D118" s="141">
        <v>930000</v>
      </c>
      <c r="E118" s="20" t="s">
        <v>481</v>
      </c>
      <c r="F118" s="20" t="s">
        <v>482</v>
      </c>
      <c r="G118" s="8" t="str">
        <f t="shared" si="1"/>
        <v>CLARK KATHLEEN</v>
      </c>
    </row>
    <row r="119" spans="1:7" x14ac:dyDescent="0.25">
      <c r="A119" s="8">
        <v>42858.497708333336</v>
      </c>
      <c r="B119" s="20" t="s">
        <v>350</v>
      </c>
      <c r="C119" s="20" t="s">
        <v>720</v>
      </c>
      <c r="D119" s="141">
        <v>2530000</v>
      </c>
      <c r="E119" s="20" t="s">
        <v>460</v>
      </c>
      <c r="F119" s="20" t="s">
        <v>461</v>
      </c>
      <c r="G119" s="8" t="str">
        <f t="shared" si="1"/>
        <v>LALONDE GREGORY</v>
      </c>
    </row>
    <row r="120" spans="1:7" x14ac:dyDescent="0.25">
      <c r="A120" s="8">
        <v>42858.506111111114</v>
      </c>
      <c r="B120" s="20" t="s">
        <v>359</v>
      </c>
      <c r="C120" s="20" t="s">
        <v>721</v>
      </c>
      <c r="D120" s="141">
        <v>920000</v>
      </c>
      <c r="E120" s="20" t="s">
        <v>457</v>
      </c>
      <c r="F120" s="20" t="s">
        <v>196</v>
      </c>
      <c r="G120" s="8" t="str">
        <f t="shared" si="1"/>
        <v>DAVIS MICHAEL</v>
      </c>
    </row>
    <row r="121" spans="1:7" x14ac:dyDescent="0.25">
      <c r="A121" s="8">
        <v>42858.508055555554</v>
      </c>
      <c r="B121" s="20" t="s">
        <v>412</v>
      </c>
      <c r="C121" s="20" t="s">
        <v>722</v>
      </c>
      <c r="D121" s="141">
        <v>1300000</v>
      </c>
      <c r="E121" s="20" t="s">
        <v>458</v>
      </c>
      <c r="F121" s="20" t="s">
        <v>459</v>
      </c>
      <c r="G121" s="8" t="str">
        <f t="shared" si="1"/>
        <v>LEVIN SCOTT</v>
      </c>
    </row>
    <row r="122" spans="1:7" x14ac:dyDescent="0.25">
      <c r="A122" s="8">
        <v>42858.508217592593</v>
      </c>
      <c r="B122" s="25" t="s">
        <v>526</v>
      </c>
      <c r="C122" s="20" t="s">
        <v>598</v>
      </c>
      <c r="D122" s="141">
        <v>3130000</v>
      </c>
      <c r="E122" s="20" t="s">
        <v>484</v>
      </c>
      <c r="F122" s="20" t="s">
        <v>485</v>
      </c>
      <c r="G122" s="8" t="str">
        <f t="shared" si="1"/>
        <v>ZEWDU DEREJE</v>
      </c>
    </row>
    <row r="123" spans="1:7" x14ac:dyDescent="0.25">
      <c r="A123" s="8">
        <v>42858.512511574074</v>
      </c>
      <c r="B123" s="20" t="s">
        <v>592</v>
      </c>
      <c r="C123" s="20" t="s">
        <v>723</v>
      </c>
      <c r="D123" s="141">
        <v>890000</v>
      </c>
      <c r="E123" s="20" t="s">
        <v>528</v>
      </c>
      <c r="F123" s="20" t="s">
        <v>529</v>
      </c>
      <c r="G123" s="8" t="str">
        <f t="shared" si="1"/>
        <v>LOZA FIDEL</v>
      </c>
    </row>
    <row r="124" spans="1:7" x14ac:dyDescent="0.25">
      <c r="A124" s="8">
        <v>42858.520162037035</v>
      </c>
      <c r="B124" s="20" t="s">
        <v>358</v>
      </c>
      <c r="C124" s="20" t="s">
        <v>724</v>
      </c>
      <c r="D124" s="141">
        <v>2040000</v>
      </c>
      <c r="E124" s="20" t="s">
        <v>725</v>
      </c>
      <c r="F124" s="20" t="s">
        <v>726</v>
      </c>
      <c r="G124" s="8" t="str">
        <f t="shared" si="1"/>
        <v>MOSES BRADLEY</v>
      </c>
    </row>
    <row r="125" spans="1:7" x14ac:dyDescent="0.25">
      <c r="A125" s="8">
        <v>42858.520787037036</v>
      </c>
      <c r="B125" s="20" t="s">
        <v>425</v>
      </c>
      <c r="C125" s="20" t="s">
        <v>597</v>
      </c>
      <c r="D125" s="141">
        <v>3030000</v>
      </c>
      <c r="E125" s="20" t="s">
        <v>483</v>
      </c>
      <c r="F125" s="20" t="s">
        <v>417</v>
      </c>
      <c r="G125" s="8" t="str">
        <f t="shared" si="1"/>
        <v>BIRENBAUM THOMAS</v>
      </c>
    </row>
    <row r="126" spans="1:7" x14ac:dyDescent="0.25">
      <c r="A126" s="8">
        <v>42858.525416666664</v>
      </c>
      <c r="B126" s="20" t="s">
        <v>652</v>
      </c>
      <c r="C126" s="20" t="s">
        <v>727</v>
      </c>
      <c r="D126" s="141">
        <v>890000</v>
      </c>
      <c r="E126" s="20" t="s">
        <v>528</v>
      </c>
      <c r="F126" s="20" t="s">
        <v>529</v>
      </c>
      <c r="G126" s="8" t="str">
        <f t="shared" si="1"/>
        <v>LOZA FIDEL</v>
      </c>
    </row>
    <row r="127" spans="1:7" x14ac:dyDescent="0.25">
      <c r="A127" s="8">
        <v>42858.527824074074</v>
      </c>
      <c r="B127" s="20" t="s">
        <v>404</v>
      </c>
      <c r="C127" s="20" t="s">
        <v>728</v>
      </c>
      <c r="D127" s="141">
        <v>930000</v>
      </c>
      <c r="E127" s="20" t="s">
        <v>481</v>
      </c>
      <c r="F127" s="20" t="s">
        <v>482</v>
      </c>
      <c r="G127" s="8" t="str">
        <f t="shared" si="1"/>
        <v>CLARK KATHLEEN</v>
      </c>
    </row>
    <row r="128" spans="1:7" x14ac:dyDescent="0.25">
      <c r="A128" s="8">
        <v>42858.527870370373</v>
      </c>
      <c r="B128" s="20" t="s">
        <v>351</v>
      </c>
      <c r="C128" s="20" t="s">
        <v>729</v>
      </c>
      <c r="D128" s="141">
        <v>2530000</v>
      </c>
      <c r="E128" s="20" t="s">
        <v>460</v>
      </c>
      <c r="F128" s="20" t="s">
        <v>461</v>
      </c>
      <c r="G128" s="8" t="str">
        <f t="shared" si="1"/>
        <v>LALONDE GREGORY</v>
      </c>
    </row>
    <row r="129" spans="1:7" x14ac:dyDescent="0.25">
      <c r="A129" s="8">
        <v>42858.538935185185</v>
      </c>
      <c r="B129" s="20" t="s">
        <v>199</v>
      </c>
      <c r="C129" s="20" t="s">
        <v>730</v>
      </c>
      <c r="D129" s="141">
        <v>920000</v>
      </c>
      <c r="E129" s="20" t="s">
        <v>457</v>
      </c>
      <c r="F129" s="20" t="s">
        <v>196</v>
      </c>
      <c r="G129" s="8" t="str">
        <f t="shared" si="1"/>
        <v>DAVIS MICHAEL</v>
      </c>
    </row>
    <row r="130" spans="1:7" x14ac:dyDescent="0.25">
      <c r="A130" s="8">
        <v>42858.547037037039</v>
      </c>
      <c r="B130" s="20" t="s">
        <v>533</v>
      </c>
      <c r="C130" s="20" t="s">
        <v>731</v>
      </c>
      <c r="D130" s="141">
        <v>3130000</v>
      </c>
      <c r="E130" s="20" t="s">
        <v>484</v>
      </c>
      <c r="F130" s="20" t="s">
        <v>485</v>
      </c>
      <c r="G130" s="8" t="str">
        <f t="shared" si="1"/>
        <v>ZEWDU DEREJE</v>
      </c>
    </row>
    <row r="131" spans="1:7" x14ac:dyDescent="0.25">
      <c r="A131" s="8">
        <v>42858.54724537037</v>
      </c>
      <c r="B131" s="20" t="s">
        <v>592</v>
      </c>
      <c r="C131" s="20" t="s">
        <v>732</v>
      </c>
      <c r="D131" s="141">
        <v>1770000</v>
      </c>
      <c r="E131" s="20" t="s">
        <v>733</v>
      </c>
      <c r="F131" s="20" t="s">
        <v>734</v>
      </c>
      <c r="G131" s="8" t="str">
        <f t="shared" ref="G131:G194" si="2">E131&amp;" "&amp;F131</f>
        <v>BRUDER RICHARD</v>
      </c>
    </row>
    <row r="132" spans="1:7" x14ac:dyDescent="0.25">
      <c r="A132" s="8">
        <v>42858.548067129632</v>
      </c>
      <c r="B132" s="20" t="s">
        <v>411</v>
      </c>
      <c r="C132" s="20" t="s">
        <v>735</v>
      </c>
      <c r="D132" s="141">
        <v>1300000</v>
      </c>
      <c r="E132" s="20" t="s">
        <v>458</v>
      </c>
      <c r="F132" s="20" t="s">
        <v>459</v>
      </c>
      <c r="G132" s="8" t="str">
        <f t="shared" si="2"/>
        <v>LEVIN SCOTT</v>
      </c>
    </row>
    <row r="133" spans="1:7" x14ac:dyDescent="0.25">
      <c r="A133" s="8">
        <v>42858.557939814818</v>
      </c>
      <c r="B133" s="20" t="s">
        <v>601</v>
      </c>
      <c r="C133" s="20" t="s">
        <v>736</v>
      </c>
      <c r="D133" s="141">
        <v>2040000</v>
      </c>
      <c r="E133" s="20" t="s">
        <v>725</v>
      </c>
      <c r="F133" s="20" t="s">
        <v>726</v>
      </c>
      <c r="G133" s="8" t="str">
        <f t="shared" si="2"/>
        <v>MOSES BRADLEY</v>
      </c>
    </row>
    <row r="134" spans="1:7" x14ac:dyDescent="0.25">
      <c r="A134" s="8">
        <v>42858.558148148149</v>
      </c>
      <c r="B134" s="20" t="s">
        <v>415</v>
      </c>
      <c r="C134" s="20" t="s">
        <v>737</v>
      </c>
      <c r="D134" s="141">
        <v>3030000</v>
      </c>
      <c r="E134" s="20" t="s">
        <v>483</v>
      </c>
      <c r="F134" s="20" t="s">
        <v>417</v>
      </c>
      <c r="G134" s="8" t="str">
        <f t="shared" si="2"/>
        <v>BIRENBAUM THOMAS</v>
      </c>
    </row>
    <row r="135" spans="1:7" x14ac:dyDescent="0.25">
      <c r="A135" s="8">
        <v>42858.565300925926</v>
      </c>
      <c r="B135" s="20" t="s">
        <v>421</v>
      </c>
      <c r="C135" s="20" t="s">
        <v>738</v>
      </c>
      <c r="D135" s="141">
        <v>930000</v>
      </c>
      <c r="E135" s="20" t="s">
        <v>481</v>
      </c>
      <c r="F135" s="20" t="s">
        <v>482</v>
      </c>
      <c r="G135" s="8" t="str">
        <f t="shared" si="2"/>
        <v>CLARK KATHLEEN</v>
      </c>
    </row>
    <row r="136" spans="1:7" x14ac:dyDescent="0.25">
      <c r="A136" s="8">
        <v>42858.568495370368</v>
      </c>
      <c r="B136" s="20" t="s">
        <v>652</v>
      </c>
      <c r="C136" s="20" t="s">
        <v>739</v>
      </c>
      <c r="D136" s="141">
        <v>1770000</v>
      </c>
      <c r="E136" s="20" t="s">
        <v>733</v>
      </c>
      <c r="F136" s="20" t="s">
        <v>734</v>
      </c>
      <c r="G136" s="8" t="str">
        <f t="shared" si="2"/>
        <v>BRUDER RICHARD</v>
      </c>
    </row>
    <row r="137" spans="1:7" x14ac:dyDescent="0.25">
      <c r="A137" s="8">
        <v>42858.56958333333</v>
      </c>
      <c r="B137" s="20" t="s">
        <v>350</v>
      </c>
      <c r="C137" s="20" t="s">
        <v>740</v>
      </c>
      <c r="D137" s="141">
        <v>2530000</v>
      </c>
      <c r="E137" s="20" t="s">
        <v>460</v>
      </c>
      <c r="F137" s="20" t="s">
        <v>461</v>
      </c>
      <c r="G137" s="8" t="str">
        <f t="shared" si="2"/>
        <v>LALONDE GREGORY</v>
      </c>
    </row>
    <row r="138" spans="1:7" x14ac:dyDescent="0.25">
      <c r="A138" s="8">
        <v>42858.578472222223</v>
      </c>
      <c r="B138" s="20" t="s">
        <v>359</v>
      </c>
      <c r="C138" s="20" t="s">
        <v>741</v>
      </c>
      <c r="D138" s="141">
        <v>920000</v>
      </c>
      <c r="E138" s="20" t="s">
        <v>457</v>
      </c>
      <c r="F138" s="20" t="s">
        <v>196</v>
      </c>
      <c r="G138" s="8" t="str">
        <f t="shared" si="2"/>
        <v>DAVIS MICHAEL</v>
      </c>
    </row>
    <row r="139" spans="1:7" x14ac:dyDescent="0.25">
      <c r="A139" s="8">
        <v>42858.580497685187</v>
      </c>
      <c r="B139" s="20" t="s">
        <v>526</v>
      </c>
      <c r="C139" s="20" t="s">
        <v>742</v>
      </c>
      <c r="D139" s="141">
        <v>3130000</v>
      </c>
      <c r="E139" s="20" t="s">
        <v>484</v>
      </c>
      <c r="F139" s="20" t="s">
        <v>485</v>
      </c>
      <c r="G139" s="8" t="str">
        <f t="shared" si="2"/>
        <v>ZEWDU DEREJE</v>
      </c>
    </row>
    <row r="140" spans="1:7" x14ac:dyDescent="0.25">
      <c r="A140" s="8">
        <v>42858.581296296295</v>
      </c>
      <c r="B140" s="20" t="s">
        <v>412</v>
      </c>
      <c r="C140" s="20" t="s">
        <v>743</v>
      </c>
      <c r="D140" s="141">
        <v>1300000</v>
      </c>
      <c r="E140" s="20" t="s">
        <v>458</v>
      </c>
      <c r="F140" s="20" t="s">
        <v>459</v>
      </c>
      <c r="G140" s="8" t="str">
        <f t="shared" si="2"/>
        <v>LEVIN SCOTT</v>
      </c>
    </row>
    <row r="141" spans="1:7" x14ac:dyDescent="0.25">
      <c r="A141" s="8">
        <v>42858.59171296296</v>
      </c>
      <c r="B141" s="20" t="s">
        <v>358</v>
      </c>
      <c r="C141" s="20" t="s">
        <v>599</v>
      </c>
      <c r="D141" s="141">
        <v>2040000</v>
      </c>
      <c r="E141" s="20" t="s">
        <v>725</v>
      </c>
      <c r="F141" s="20" t="s">
        <v>726</v>
      </c>
      <c r="G141" s="8" t="str">
        <f t="shared" si="2"/>
        <v>MOSES BRADLEY</v>
      </c>
    </row>
    <row r="142" spans="1:7" x14ac:dyDescent="0.25">
      <c r="A142" s="8">
        <v>42858.594409722224</v>
      </c>
      <c r="B142" s="20" t="s">
        <v>592</v>
      </c>
      <c r="C142" s="20" t="s">
        <v>600</v>
      </c>
      <c r="D142" s="141">
        <v>1770000</v>
      </c>
      <c r="E142" s="20" t="s">
        <v>733</v>
      </c>
      <c r="F142" s="20" t="s">
        <v>734</v>
      </c>
      <c r="G142" s="8" t="str">
        <f t="shared" si="2"/>
        <v>BRUDER RICHARD</v>
      </c>
    </row>
    <row r="143" spans="1:7" x14ac:dyDescent="0.25">
      <c r="A143" s="8">
        <v>42858.59648148148</v>
      </c>
      <c r="B143" s="20" t="s">
        <v>425</v>
      </c>
      <c r="C143" s="20" t="s">
        <v>744</v>
      </c>
      <c r="D143" s="141">
        <v>3030000</v>
      </c>
      <c r="E143" s="20" t="s">
        <v>483</v>
      </c>
      <c r="F143" s="20" t="s">
        <v>417</v>
      </c>
      <c r="G143" s="8" t="str">
        <f t="shared" si="2"/>
        <v>BIRENBAUM THOMAS</v>
      </c>
    </row>
    <row r="144" spans="1:7" x14ac:dyDescent="0.25">
      <c r="A144" s="8">
        <v>42858.600636574076</v>
      </c>
      <c r="B144" s="20" t="s">
        <v>404</v>
      </c>
      <c r="C144" s="20" t="s">
        <v>745</v>
      </c>
      <c r="D144" s="141">
        <v>930000</v>
      </c>
      <c r="E144" s="20" t="s">
        <v>481</v>
      </c>
      <c r="F144" s="20" t="s">
        <v>482</v>
      </c>
      <c r="G144" s="8" t="str">
        <f t="shared" si="2"/>
        <v>CLARK KATHLEEN</v>
      </c>
    </row>
    <row r="145" spans="1:7" x14ac:dyDescent="0.25">
      <c r="A145" s="8">
        <v>42858.600671296299</v>
      </c>
      <c r="B145" s="20" t="s">
        <v>351</v>
      </c>
      <c r="C145" s="20" t="s">
        <v>746</v>
      </c>
      <c r="D145" s="141">
        <v>2530000</v>
      </c>
      <c r="E145" s="20" t="s">
        <v>460</v>
      </c>
      <c r="F145" s="20" t="s">
        <v>461</v>
      </c>
      <c r="G145" s="8" t="str">
        <f t="shared" si="2"/>
        <v>LALONDE GREGORY</v>
      </c>
    </row>
    <row r="146" spans="1:7" x14ac:dyDescent="0.25">
      <c r="A146" s="8">
        <v>42858.6096412037</v>
      </c>
      <c r="B146" s="20" t="s">
        <v>652</v>
      </c>
      <c r="C146" s="20" t="s">
        <v>747</v>
      </c>
      <c r="D146" s="141">
        <v>1770000</v>
      </c>
      <c r="E146" s="20" t="s">
        <v>733</v>
      </c>
      <c r="F146" s="20" t="s">
        <v>734</v>
      </c>
      <c r="G146" s="8" t="str">
        <f t="shared" si="2"/>
        <v>BRUDER RICHARD</v>
      </c>
    </row>
    <row r="147" spans="1:7" x14ac:dyDescent="0.25">
      <c r="A147" s="8">
        <v>42858.613229166665</v>
      </c>
      <c r="B147" s="20" t="s">
        <v>199</v>
      </c>
      <c r="C147" s="20" t="s">
        <v>748</v>
      </c>
      <c r="D147" s="141">
        <v>920000</v>
      </c>
      <c r="E147" s="20" t="s">
        <v>457</v>
      </c>
      <c r="F147" s="20" t="s">
        <v>196</v>
      </c>
      <c r="G147" s="8" t="str">
        <f t="shared" si="2"/>
        <v>DAVIS MICHAEL</v>
      </c>
    </row>
    <row r="148" spans="1:7" x14ac:dyDescent="0.25">
      <c r="A148" s="8">
        <v>42858.619756944441</v>
      </c>
      <c r="B148" s="20" t="s">
        <v>411</v>
      </c>
      <c r="C148" s="20" t="s">
        <v>603</v>
      </c>
      <c r="D148" s="141">
        <v>1300000</v>
      </c>
      <c r="E148" s="20" t="s">
        <v>458</v>
      </c>
      <c r="F148" s="20" t="s">
        <v>459</v>
      </c>
      <c r="G148" s="8" t="str">
        <f t="shared" si="2"/>
        <v>LEVIN SCOTT</v>
      </c>
    </row>
    <row r="149" spans="1:7" x14ac:dyDescent="0.25">
      <c r="A149" s="8">
        <v>42858.621354166666</v>
      </c>
      <c r="B149" s="20" t="s">
        <v>533</v>
      </c>
      <c r="C149" s="20" t="s">
        <v>749</v>
      </c>
      <c r="D149" s="141">
        <v>3130000</v>
      </c>
      <c r="E149" s="20" t="s">
        <v>484</v>
      </c>
      <c r="F149" s="20" t="s">
        <v>485</v>
      </c>
      <c r="G149" s="8" t="str">
        <f t="shared" si="2"/>
        <v>ZEWDU DEREJE</v>
      </c>
    </row>
    <row r="150" spans="1:7" x14ac:dyDescent="0.25">
      <c r="A150" s="8">
        <v>42858.628344907411</v>
      </c>
      <c r="B150" s="20" t="s">
        <v>601</v>
      </c>
      <c r="C150" s="20" t="s">
        <v>602</v>
      </c>
      <c r="D150" s="141">
        <v>2040000</v>
      </c>
      <c r="E150" s="20" t="s">
        <v>725</v>
      </c>
      <c r="F150" s="20" t="s">
        <v>726</v>
      </c>
      <c r="G150" s="8" t="str">
        <f t="shared" si="2"/>
        <v>MOSES BRADLEY</v>
      </c>
    </row>
    <row r="151" spans="1:7" x14ac:dyDescent="0.25">
      <c r="A151" s="8">
        <v>42858.630023148151</v>
      </c>
      <c r="B151" s="20" t="s">
        <v>415</v>
      </c>
      <c r="C151" s="20" t="s">
        <v>750</v>
      </c>
      <c r="D151" s="141">
        <v>3030000</v>
      </c>
      <c r="E151" s="20" t="s">
        <v>483</v>
      </c>
      <c r="F151" s="20" t="s">
        <v>417</v>
      </c>
      <c r="G151" s="8" t="str">
        <f t="shared" si="2"/>
        <v>BIRENBAUM THOMAS</v>
      </c>
    </row>
    <row r="152" spans="1:7" x14ac:dyDescent="0.25">
      <c r="A152" s="8">
        <v>42858.637789351851</v>
      </c>
      <c r="B152" s="20" t="s">
        <v>592</v>
      </c>
      <c r="C152" s="20" t="s">
        <v>751</v>
      </c>
      <c r="D152" s="141">
        <v>1770000</v>
      </c>
      <c r="E152" s="20" t="s">
        <v>733</v>
      </c>
      <c r="F152" s="20" t="s">
        <v>734</v>
      </c>
      <c r="G152" s="8" t="str">
        <f t="shared" si="2"/>
        <v>BRUDER RICHARD</v>
      </c>
    </row>
    <row r="153" spans="1:7" x14ac:dyDescent="0.25">
      <c r="A153" s="8">
        <v>42858.639363425929</v>
      </c>
      <c r="B153" s="20" t="s">
        <v>421</v>
      </c>
      <c r="C153" s="20" t="s">
        <v>752</v>
      </c>
      <c r="D153" s="141">
        <v>930000</v>
      </c>
      <c r="E153" s="20" t="s">
        <v>481</v>
      </c>
      <c r="F153" s="20" t="s">
        <v>482</v>
      </c>
      <c r="G153" s="8" t="str">
        <f t="shared" si="2"/>
        <v>CLARK KATHLEEN</v>
      </c>
    </row>
    <row r="154" spans="1:7" x14ac:dyDescent="0.25">
      <c r="A154" s="8">
        <v>42858.640717592592</v>
      </c>
      <c r="B154" s="20" t="s">
        <v>350</v>
      </c>
      <c r="C154" s="20" t="s">
        <v>753</v>
      </c>
      <c r="D154" s="141">
        <v>2530000</v>
      </c>
      <c r="E154" s="20" t="s">
        <v>460</v>
      </c>
      <c r="F154" s="20" t="s">
        <v>461</v>
      </c>
      <c r="G154" s="8" t="str">
        <f t="shared" si="2"/>
        <v>LALONDE GREGORY</v>
      </c>
    </row>
    <row r="155" spans="1:7" x14ac:dyDescent="0.25">
      <c r="A155" s="8">
        <v>42858.641469907408</v>
      </c>
      <c r="B155" s="20" t="s">
        <v>353</v>
      </c>
      <c r="C155" s="20" t="s">
        <v>754</v>
      </c>
      <c r="D155" s="141">
        <v>1800000</v>
      </c>
      <c r="E155" s="20" t="s">
        <v>368</v>
      </c>
      <c r="F155" s="20" t="s">
        <v>369</v>
      </c>
      <c r="G155" s="8" t="str">
        <f t="shared" si="2"/>
        <v>CHANDLER KELVIN</v>
      </c>
    </row>
    <row r="156" spans="1:7" x14ac:dyDescent="0.25">
      <c r="A156" s="8">
        <v>42858.646550925929</v>
      </c>
      <c r="B156" s="20" t="s">
        <v>601</v>
      </c>
      <c r="C156" s="20" t="s">
        <v>602</v>
      </c>
      <c r="D156" s="141">
        <v>2040000</v>
      </c>
      <c r="E156" s="20" t="s">
        <v>725</v>
      </c>
      <c r="F156" s="20" t="s">
        <v>726</v>
      </c>
      <c r="G156" s="8" t="str">
        <f t="shared" si="2"/>
        <v>MOSES BRADLEY</v>
      </c>
    </row>
    <row r="157" spans="1:7" x14ac:dyDescent="0.25">
      <c r="A157" s="8">
        <v>42858.65116898148</v>
      </c>
      <c r="B157" s="20" t="s">
        <v>359</v>
      </c>
      <c r="C157" s="20" t="s">
        <v>755</v>
      </c>
      <c r="D157" s="141">
        <v>920000</v>
      </c>
      <c r="E157" s="20" t="s">
        <v>457</v>
      </c>
      <c r="F157" s="20" t="s">
        <v>196</v>
      </c>
      <c r="G157" s="8" t="str">
        <f t="shared" si="2"/>
        <v>DAVIS MICHAEL</v>
      </c>
    </row>
    <row r="158" spans="1:7" x14ac:dyDescent="0.25">
      <c r="A158" s="8">
        <v>42858.651307870372</v>
      </c>
      <c r="B158" s="20" t="s">
        <v>652</v>
      </c>
      <c r="C158" s="20" t="s">
        <v>756</v>
      </c>
      <c r="D158" s="141">
        <v>1770000</v>
      </c>
      <c r="E158" s="20" t="s">
        <v>733</v>
      </c>
      <c r="F158" s="20" t="s">
        <v>734</v>
      </c>
      <c r="G158" s="8" t="str">
        <f t="shared" si="2"/>
        <v>BRUDER RICHARD</v>
      </c>
    </row>
    <row r="159" spans="1:7" x14ac:dyDescent="0.25">
      <c r="A159" s="8">
        <v>42858.654027777775</v>
      </c>
      <c r="B159" s="20" t="s">
        <v>613</v>
      </c>
      <c r="C159" s="20" t="s">
        <v>757</v>
      </c>
      <c r="D159" s="141">
        <v>1780000</v>
      </c>
      <c r="E159" s="20" t="s">
        <v>531</v>
      </c>
      <c r="F159" s="20" t="s">
        <v>532</v>
      </c>
      <c r="G159" s="8" t="str">
        <f t="shared" si="2"/>
        <v>DE LA ROSA ALEX</v>
      </c>
    </row>
    <row r="160" spans="1:7" x14ac:dyDescent="0.25">
      <c r="A160" s="8">
        <v>42858.654618055552</v>
      </c>
      <c r="B160" s="20" t="s">
        <v>412</v>
      </c>
      <c r="C160" s="20" t="s">
        <v>604</v>
      </c>
      <c r="D160" s="141">
        <v>1300000</v>
      </c>
      <c r="E160" s="20" t="s">
        <v>458</v>
      </c>
      <c r="F160" s="20" t="s">
        <v>459</v>
      </c>
      <c r="G160" s="8" t="str">
        <f t="shared" si="2"/>
        <v>LEVIN SCOTT</v>
      </c>
    </row>
    <row r="161" spans="1:7" x14ac:dyDescent="0.25">
      <c r="A161" s="8">
        <v>42858.655393518522</v>
      </c>
      <c r="B161" s="20" t="s">
        <v>526</v>
      </c>
      <c r="C161" s="20" t="s">
        <v>758</v>
      </c>
      <c r="D161" s="141">
        <v>3130000</v>
      </c>
      <c r="E161" s="20" t="s">
        <v>484</v>
      </c>
      <c r="F161" s="20" t="s">
        <v>485</v>
      </c>
      <c r="G161" s="8" t="str">
        <f t="shared" si="2"/>
        <v>ZEWDU DEREJE</v>
      </c>
    </row>
    <row r="162" spans="1:7" x14ac:dyDescent="0.25">
      <c r="A162" s="8">
        <v>42858.659537037034</v>
      </c>
      <c r="B162" s="20" t="s">
        <v>441</v>
      </c>
      <c r="C162" s="20" t="s">
        <v>759</v>
      </c>
      <c r="D162" s="141">
        <v>1800000</v>
      </c>
      <c r="E162" s="20" t="s">
        <v>368</v>
      </c>
      <c r="F162" s="20" t="s">
        <v>369</v>
      </c>
      <c r="G162" s="8" t="str">
        <f t="shared" si="2"/>
        <v>CHANDLER KELVIN</v>
      </c>
    </row>
    <row r="163" spans="1:7" x14ac:dyDescent="0.25">
      <c r="A163" s="8">
        <v>42858.660729166666</v>
      </c>
      <c r="B163" s="20" t="s">
        <v>578</v>
      </c>
      <c r="C163" s="20" t="s">
        <v>757</v>
      </c>
      <c r="D163" s="141">
        <v>1780000</v>
      </c>
      <c r="E163" s="20" t="s">
        <v>531</v>
      </c>
      <c r="F163" s="20" t="s">
        <v>532</v>
      </c>
      <c r="G163" s="8" t="str">
        <f t="shared" si="2"/>
        <v>DE LA ROSA ALEX</v>
      </c>
    </row>
    <row r="164" spans="1:7" x14ac:dyDescent="0.25">
      <c r="A164" s="8">
        <v>42858.663854166669</v>
      </c>
      <c r="B164" s="20" t="s">
        <v>613</v>
      </c>
      <c r="C164" s="20" t="s">
        <v>760</v>
      </c>
      <c r="D164" s="141">
        <v>1780000</v>
      </c>
      <c r="E164" s="20" t="s">
        <v>531</v>
      </c>
      <c r="F164" s="20" t="s">
        <v>532</v>
      </c>
      <c r="G164" s="8" t="str">
        <f t="shared" si="2"/>
        <v>DE LA ROSA ALEX</v>
      </c>
    </row>
    <row r="165" spans="1:7" x14ac:dyDescent="0.25">
      <c r="A165" s="8">
        <v>42858.670185185183</v>
      </c>
      <c r="B165" s="20" t="s">
        <v>425</v>
      </c>
      <c r="C165" s="20" t="s">
        <v>761</v>
      </c>
      <c r="D165" s="141">
        <v>3030000</v>
      </c>
      <c r="E165" s="20" t="s">
        <v>483</v>
      </c>
      <c r="F165" s="20" t="s">
        <v>417</v>
      </c>
      <c r="G165" s="8" t="str">
        <f t="shared" si="2"/>
        <v>BIRENBAUM THOMAS</v>
      </c>
    </row>
    <row r="166" spans="1:7" x14ac:dyDescent="0.25">
      <c r="A166" s="8">
        <v>42858.672430555554</v>
      </c>
      <c r="B166" s="20" t="s">
        <v>351</v>
      </c>
      <c r="C166" s="20" t="s">
        <v>762</v>
      </c>
      <c r="D166" s="141">
        <v>2530000</v>
      </c>
      <c r="E166" s="20" t="s">
        <v>460</v>
      </c>
      <c r="F166" s="20" t="s">
        <v>461</v>
      </c>
      <c r="G166" s="8" t="str">
        <f t="shared" si="2"/>
        <v>LALONDE GREGORY</v>
      </c>
    </row>
    <row r="167" spans="1:7" x14ac:dyDescent="0.25">
      <c r="A167" s="8">
        <v>42858.673564814817</v>
      </c>
      <c r="B167" s="20" t="s">
        <v>353</v>
      </c>
      <c r="C167" s="20" t="s">
        <v>763</v>
      </c>
      <c r="D167" s="141">
        <v>1800000</v>
      </c>
      <c r="E167" s="20" t="s">
        <v>368</v>
      </c>
      <c r="F167" s="20" t="s">
        <v>369</v>
      </c>
      <c r="G167" s="8" t="str">
        <f t="shared" si="2"/>
        <v>CHANDLER KELVIN</v>
      </c>
    </row>
    <row r="168" spans="1:7" x14ac:dyDescent="0.25">
      <c r="A168" s="8">
        <v>42858.673981481479</v>
      </c>
      <c r="B168" s="20" t="s">
        <v>404</v>
      </c>
      <c r="C168" s="20" t="s">
        <v>764</v>
      </c>
      <c r="D168" s="141">
        <v>930000</v>
      </c>
      <c r="E168" s="20" t="s">
        <v>481</v>
      </c>
      <c r="F168" s="20" t="s">
        <v>482</v>
      </c>
      <c r="G168" s="8" t="str">
        <f t="shared" si="2"/>
        <v>CLARK KATHLEEN</v>
      </c>
    </row>
    <row r="169" spans="1:7" x14ac:dyDescent="0.25">
      <c r="A169" s="8">
        <v>42858.679131944446</v>
      </c>
      <c r="B169" s="20" t="s">
        <v>592</v>
      </c>
      <c r="C169" s="20" t="s">
        <v>765</v>
      </c>
      <c r="D169" s="141">
        <v>1770000</v>
      </c>
      <c r="E169" s="20" t="s">
        <v>733</v>
      </c>
      <c r="F169" s="20" t="s">
        <v>734</v>
      </c>
      <c r="G169" s="8" t="str">
        <f t="shared" si="2"/>
        <v>BRUDER RICHARD</v>
      </c>
    </row>
    <row r="170" spans="1:7" x14ac:dyDescent="0.25">
      <c r="A170" s="8">
        <v>42858.685358796298</v>
      </c>
      <c r="B170" s="20" t="s">
        <v>199</v>
      </c>
      <c r="C170" s="20" t="s">
        <v>766</v>
      </c>
      <c r="D170" s="141">
        <v>920000</v>
      </c>
      <c r="E170" s="20" t="s">
        <v>457</v>
      </c>
      <c r="F170" s="20" t="s">
        <v>196</v>
      </c>
      <c r="G170" s="8" t="str">
        <f t="shared" si="2"/>
        <v>DAVIS MICHAEL</v>
      </c>
    </row>
    <row r="171" spans="1:7" x14ac:dyDescent="0.25">
      <c r="A171" s="8">
        <v>42858.691365740742</v>
      </c>
      <c r="B171" s="20" t="s">
        <v>411</v>
      </c>
      <c r="C171" s="20" t="s">
        <v>767</v>
      </c>
      <c r="D171" s="141">
        <v>1300000</v>
      </c>
      <c r="E171" s="20" t="s">
        <v>458</v>
      </c>
      <c r="F171" s="20" t="s">
        <v>459</v>
      </c>
      <c r="G171" s="8" t="str">
        <f t="shared" si="2"/>
        <v>LEVIN SCOTT</v>
      </c>
    </row>
    <row r="172" spans="1:7" x14ac:dyDescent="0.25">
      <c r="A172" s="8">
        <v>42858.693252314813</v>
      </c>
      <c r="B172" s="20" t="s">
        <v>652</v>
      </c>
      <c r="C172" s="20" t="s">
        <v>768</v>
      </c>
      <c r="D172" s="141">
        <v>1770000</v>
      </c>
      <c r="E172" s="20" t="s">
        <v>733</v>
      </c>
      <c r="F172" s="20" t="s">
        <v>734</v>
      </c>
      <c r="G172" s="8" t="str">
        <f t="shared" si="2"/>
        <v>BRUDER RICHARD</v>
      </c>
    </row>
    <row r="173" spans="1:7" x14ac:dyDescent="0.25">
      <c r="A173" s="8">
        <v>42858.694143518522</v>
      </c>
      <c r="B173" s="20" t="s">
        <v>533</v>
      </c>
      <c r="C173" s="20" t="s">
        <v>605</v>
      </c>
      <c r="D173" s="141">
        <v>3130000</v>
      </c>
      <c r="E173" s="20" t="s">
        <v>484</v>
      </c>
      <c r="F173" s="20" t="s">
        <v>485</v>
      </c>
      <c r="G173" s="8" t="str">
        <f t="shared" si="2"/>
        <v>ZEWDU DEREJE</v>
      </c>
    </row>
    <row r="174" spans="1:7" x14ac:dyDescent="0.25">
      <c r="A174" s="8">
        <v>42858.698877314811</v>
      </c>
      <c r="B174" s="20" t="s">
        <v>441</v>
      </c>
      <c r="C174" s="20" t="s">
        <v>606</v>
      </c>
      <c r="D174" s="141">
        <v>1800000</v>
      </c>
      <c r="E174" s="20" t="s">
        <v>368</v>
      </c>
      <c r="F174" s="20" t="s">
        <v>369</v>
      </c>
      <c r="G174" s="8" t="str">
        <f t="shared" si="2"/>
        <v>CHANDLER KELVIN</v>
      </c>
    </row>
    <row r="175" spans="1:7" x14ac:dyDescent="0.25">
      <c r="A175" s="8">
        <v>42858.702800925923</v>
      </c>
      <c r="B175" s="20" t="s">
        <v>578</v>
      </c>
      <c r="C175" s="20" t="s">
        <v>769</v>
      </c>
      <c r="D175" s="141">
        <v>1780000</v>
      </c>
      <c r="E175" s="20" t="s">
        <v>531</v>
      </c>
      <c r="F175" s="20" t="s">
        <v>532</v>
      </c>
      <c r="G175" s="8" t="str">
        <f t="shared" si="2"/>
        <v>DE LA ROSA ALEX</v>
      </c>
    </row>
    <row r="176" spans="1:7" x14ac:dyDescent="0.25">
      <c r="A176" s="8">
        <v>42858.704259259262</v>
      </c>
      <c r="B176" s="20" t="s">
        <v>415</v>
      </c>
      <c r="C176" s="20" t="s">
        <v>770</v>
      </c>
      <c r="D176" s="141">
        <v>3030000</v>
      </c>
      <c r="E176" s="20" t="s">
        <v>483</v>
      </c>
      <c r="F176" s="20" t="s">
        <v>417</v>
      </c>
      <c r="G176" s="8" t="str">
        <f t="shared" si="2"/>
        <v>BIRENBAUM THOMAS</v>
      </c>
    </row>
    <row r="177" spans="1:7" x14ac:dyDescent="0.25">
      <c r="A177" s="8">
        <v>42858.712384259263</v>
      </c>
      <c r="B177" s="20" t="s">
        <v>421</v>
      </c>
      <c r="C177" s="20" t="s">
        <v>608</v>
      </c>
      <c r="D177" s="141">
        <v>930000</v>
      </c>
      <c r="E177" s="20" t="s">
        <v>481</v>
      </c>
      <c r="F177" s="20" t="s">
        <v>482</v>
      </c>
      <c r="G177" s="8" t="str">
        <f t="shared" si="2"/>
        <v>CLARK KATHLEEN</v>
      </c>
    </row>
    <row r="178" spans="1:7" x14ac:dyDescent="0.25">
      <c r="A178" s="8">
        <v>42858.714386574073</v>
      </c>
      <c r="B178" s="20" t="s">
        <v>350</v>
      </c>
      <c r="C178" s="20" t="s">
        <v>771</v>
      </c>
      <c r="D178" s="141">
        <v>970000</v>
      </c>
      <c r="E178" s="20" t="s">
        <v>772</v>
      </c>
      <c r="F178" s="20" t="s">
        <v>773</v>
      </c>
      <c r="G178" s="8" t="str">
        <f t="shared" si="2"/>
        <v>JACKSON WILLIAM</v>
      </c>
    </row>
    <row r="179" spans="1:7" x14ac:dyDescent="0.25">
      <c r="A179" s="8">
        <v>42858.715185185189</v>
      </c>
      <c r="B179" s="20" t="s">
        <v>353</v>
      </c>
      <c r="C179" s="20" t="s">
        <v>774</v>
      </c>
      <c r="D179" s="141">
        <v>1800000</v>
      </c>
      <c r="E179" s="20" t="s">
        <v>368</v>
      </c>
      <c r="F179" s="20" t="s">
        <v>369</v>
      </c>
      <c r="G179" s="8" t="str">
        <f t="shared" si="2"/>
        <v>CHANDLER KELVIN</v>
      </c>
    </row>
    <row r="180" spans="1:7" x14ac:dyDescent="0.25">
      <c r="A180" s="8">
        <v>42858.716550925928</v>
      </c>
      <c r="B180" s="20" t="s">
        <v>358</v>
      </c>
      <c r="C180" s="20" t="s">
        <v>775</v>
      </c>
      <c r="D180" s="141">
        <v>2370000</v>
      </c>
      <c r="E180" s="20" t="s">
        <v>776</v>
      </c>
      <c r="F180" s="20" t="s">
        <v>777</v>
      </c>
      <c r="G180" s="8" t="str">
        <f t="shared" si="2"/>
        <v>DELGADO DIANAH</v>
      </c>
    </row>
    <row r="181" spans="1:7" x14ac:dyDescent="0.25">
      <c r="A181" s="8">
        <v>42858.717800925922</v>
      </c>
      <c r="B181" s="20" t="s">
        <v>592</v>
      </c>
      <c r="C181" s="20" t="s">
        <v>778</v>
      </c>
      <c r="D181" s="141">
        <v>1770000</v>
      </c>
      <c r="E181" s="20" t="s">
        <v>733</v>
      </c>
      <c r="F181" s="20" t="s">
        <v>734</v>
      </c>
      <c r="G181" s="8" t="str">
        <f t="shared" si="2"/>
        <v>BRUDER RICHARD</v>
      </c>
    </row>
    <row r="182" spans="1:7" x14ac:dyDescent="0.25">
      <c r="A182" s="8">
        <v>42858.724027777775</v>
      </c>
      <c r="B182" s="20" t="s">
        <v>359</v>
      </c>
      <c r="C182" s="20" t="s">
        <v>779</v>
      </c>
      <c r="D182" s="141">
        <v>920000</v>
      </c>
      <c r="E182" s="20" t="s">
        <v>457</v>
      </c>
      <c r="F182" s="20" t="s">
        <v>196</v>
      </c>
      <c r="G182" s="8" t="str">
        <f t="shared" si="2"/>
        <v>DAVIS MICHAEL</v>
      </c>
    </row>
    <row r="183" spans="1:7" x14ac:dyDescent="0.25">
      <c r="A183" s="8">
        <v>42858.724768518521</v>
      </c>
      <c r="B183" s="20" t="s">
        <v>412</v>
      </c>
      <c r="C183" s="20" t="s">
        <v>780</v>
      </c>
      <c r="D183" s="141">
        <v>2530000</v>
      </c>
      <c r="E183" s="20" t="s">
        <v>460</v>
      </c>
      <c r="F183" s="20" t="s">
        <v>461</v>
      </c>
      <c r="G183" s="8" t="str">
        <f t="shared" si="2"/>
        <v>LALONDE GREGORY</v>
      </c>
    </row>
    <row r="184" spans="1:7" x14ac:dyDescent="0.25">
      <c r="A184" s="8">
        <v>42858.726793981485</v>
      </c>
      <c r="B184" s="20" t="s">
        <v>526</v>
      </c>
      <c r="C184" s="20" t="s">
        <v>781</v>
      </c>
      <c r="D184" s="141">
        <v>3130000</v>
      </c>
      <c r="E184" s="20" t="s">
        <v>484</v>
      </c>
      <c r="F184" s="20" t="s">
        <v>485</v>
      </c>
      <c r="G184" s="8" t="str">
        <f t="shared" si="2"/>
        <v>ZEWDU DEREJE</v>
      </c>
    </row>
    <row r="185" spans="1:7" x14ac:dyDescent="0.25">
      <c r="A185" s="8">
        <v>42858.7341087963</v>
      </c>
      <c r="B185" s="20" t="s">
        <v>375</v>
      </c>
      <c r="C185" s="20" t="s">
        <v>607</v>
      </c>
      <c r="D185" s="141">
        <v>2970000</v>
      </c>
      <c r="E185" s="20" t="s">
        <v>392</v>
      </c>
      <c r="F185" s="20" t="s">
        <v>393</v>
      </c>
      <c r="G185" s="8" t="str">
        <f t="shared" si="2"/>
        <v>GUZMAN DANNY</v>
      </c>
    </row>
    <row r="186" spans="1:7" x14ac:dyDescent="0.25">
      <c r="A186" s="8">
        <v>42858.735046296293</v>
      </c>
      <c r="B186" s="20" t="s">
        <v>590</v>
      </c>
      <c r="C186" s="20" t="s">
        <v>609</v>
      </c>
      <c r="D186" s="141">
        <v>2270000</v>
      </c>
      <c r="E186" s="20" t="s">
        <v>206</v>
      </c>
      <c r="F186" s="20" t="s">
        <v>207</v>
      </c>
      <c r="G186" s="8" t="str">
        <f t="shared" si="2"/>
        <v>BROWN JACOB</v>
      </c>
    </row>
    <row r="187" spans="1:7" x14ac:dyDescent="0.25">
      <c r="A187" s="8">
        <v>42858.735196759262</v>
      </c>
      <c r="B187" s="20" t="s">
        <v>652</v>
      </c>
      <c r="C187" s="20" t="s">
        <v>782</v>
      </c>
      <c r="D187" s="141">
        <v>1770000</v>
      </c>
      <c r="E187" s="20" t="s">
        <v>733</v>
      </c>
      <c r="F187" s="20" t="s">
        <v>734</v>
      </c>
      <c r="G187" s="8" t="str">
        <f t="shared" si="2"/>
        <v>BRUDER RICHARD</v>
      </c>
    </row>
    <row r="188" spans="1:7" x14ac:dyDescent="0.25">
      <c r="A188" s="8">
        <v>42858.736863425926</v>
      </c>
      <c r="B188" s="20" t="s">
        <v>613</v>
      </c>
      <c r="C188" s="20" t="s">
        <v>783</v>
      </c>
      <c r="D188" s="141">
        <v>1740000</v>
      </c>
      <c r="E188" s="20" t="s">
        <v>371</v>
      </c>
      <c r="F188" s="20" t="s">
        <v>372</v>
      </c>
      <c r="G188" s="8" t="str">
        <f t="shared" si="2"/>
        <v>STORY SAMANTHA</v>
      </c>
    </row>
    <row r="189" spans="1:7" x14ac:dyDescent="0.25">
      <c r="A189" s="8">
        <v>42858.743425925924</v>
      </c>
      <c r="B189" s="20" t="s">
        <v>441</v>
      </c>
      <c r="C189" s="20" t="s">
        <v>610</v>
      </c>
      <c r="D189" s="141">
        <v>1800000</v>
      </c>
      <c r="E189" s="20" t="s">
        <v>368</v>
      </c>
      <c r="F189" s="20" t="s">
        <v>369</v>
      </c>
      <c r="G189" s="8" t="str">
        <f t="shared" si="2"/>
        <v>CHANDLER KELVIN</v>
      </c>
    </row>
    <row r="190" spans="1:7" x14ac:dyDescent="0.25">
      <c r="A190" s="8">
        <v>42858.743634259263</v>
      </c>
      <c r="B190" s="20" t="s">
        <v>425</v>
      </c>
      <c r="C190" s="20" t="s">
        <v>784</v>
      </c>
      <c r="D190" s="141">
        <v>3030000</v>
      </c>
      <c r="E190" s="20" t="s">
        <v>483</v>
      </c>
      <c r="F190" s="20" t="s">
        <v>417</v>
      </c>
      <c r="G190" s="8" t="str">
        <f t="shared" si="2"/>
        <v>BIRENBAUM THOMAS</v>
      </c>
    </row>
    <row r="191" spans="1:7" x14ac:dyDescent="0.25">
      <c r="A191" s="8">
        <v>42858.746932870374</v>
      </c>
      <c r="B191" s="20" t="s">
        <v>404</v>
      </c>
      <c r="C191" s="20" t="s">
        <v>785</v>
      </c>
      <c r="D191" s="141">
        <v>2040000</v>
      </c>
      <c r="E191" s="20" t="s">
        <v>725</v>
      </c>
      <c r="F191" s="20" t="s">
        <v>726</v>
      </c>
      <c r="G191" s="8" t="str">
        <f t="shared" si="2"/>
        <v>MOSES BRADLEY</v>
      </c>
    </row>
    <row r="192" spans="1:7" x14ac:dyDescent="0.25">
      <c r="A192" s="8">
        <v>42858.755671296298</v>
      </c>
      <c r="B192" s="20" t="s">
        <v>351</v>
      </c>
      <c r="C192" s="20" t="s">
        <v>786</v>
      </c>
      <c r="D192" s="141">
        <v>970000</v>
      </c>
      <c r="E192" s="20" t="s">
        <v>772</v>
      </c>
      <c r="F192" s="20" t="s">
        <v>773</v>
      </c>
      <c r="G192" s="8" t="str">
        <f t="shared" si="2"/>
        <v>JACKSON WILLIAM</v>
      </c>
    </row>
    <row r="193" spans="1:7" x14ac:dyDescent="0.25">
      <c r="A193" s="8">
        <v>42858.755810185183</v>
      </c>
      <c r="B193" s="20" t="s">
        <v>411</v>
      </c>
      <c r="C193" s="20" t="s">
        <v>787</v>
      </c>
      <c r="D193" s="141">
        <v>2530000</v>
      </c>
      <c r="E193" s="20" t="s">
        <v>460</v>
      </c>
      <c r="F193" s="20" t="s">
        <v>461</v>
      </c>
      <c r="G193" s="8" t="str">
        <f t="shared" si="2"/>
        <v>LALONDE GREGORY</v>
      </c>
    </row>
    <row r="194" spans="1:7" x14ac:dyDescent="0.25">
      <c r="A194" s="8">
        <v>42858.756678240738</v>
      </c>
      <c r="B194" s="20" t="s">
        <v>353</v>
      </c>
      <c r="C194" s="20" t="s">
        <v>788</v>
      </c>
      <c r="D194" s="141">
        <v>1800000</v>
      </c>
      <c r="E194" s="20" t="s">
        <v>368</v>
      </c>
      <c r="F194" s="20" t="s">
        <v>369</v>
      </c>
      <c r="G194" s="8" t="str">
        <f t="shared" si="2"/>
        <v>CHANDLER KELVIN</v>
      </c>
    </row>
    <row r="195" spans="1:7" x14ac:dyDescent="0.25">
      <c r="A195" s="8">
        <v>42858.757569444446</v>
      </c>
      <c r="B195" s="20" t="s">
        <v>199</v>
      </c>
      <c r="C195" s="20" t="s">
        <v>789</v>
      </c>
      <c r="D195" s="141">
        <v>2270000</v>
      </c>
      <c r="E195" s="20" t="s">
        <v>206</v>
      </c>
      <c r="F195" s="20" t="s">
        <v>207</v>
      </c>
      <c r="G195" s="8" t="str">
        <f t="shared" ref="G195:G258" si="3">E195&amp;" "&amp;F195</f>
        <v>BROWN JACOB</v>
      </c>
    </row>
    <row r="196" spans="1:7" x14ac:dyDescent="0.25">
      <c r="A196" s="8">
        <v>42858.760254629633</v>
      </c>
      <c r="B196" s="20" t="s">
        <v>592</v>
      </c>
      <c r="C196" s="20" t="s">
        <v>790</v>
      </c>
      <c r="D196" s="141">
        <v>1770000</v>
      </c>
      <c r="E196" s="20" t="s">
        <v>733</v>
      </c>
      <c r="F196" s="20" t="s">
        <v>734</v>
      </c>
      <c r="G196" s="8" t="str">
        <f t="shared" si="3"/>
        <v>BRUDER RICHARD</v>
      </c>
    </row>
    <row r="197" spans="1:7" x14ac:dyDescent="0.25">
      <c r="A197" s="8">
        <v>42858.768171296295</v>
      </c>
      <c r="B197" s="20" t="s">
        <v>533</v>
      </c>
      <c r="C197" s="20" t="s">
        <v>791</v>
      </c>
      <c r="D197" s="141">
        <v>1810000</v>
      </c>
      <c r="E197" s="20" t="s">
        <v>370</v>
      </c>
      <c r="F197" s="20" t="s">
        <v>193</v>
      </c>
      <c r="G197" s="8" t="str">
        <f t="shared" si="3"/>
        <v>NEWELL JAMES</v>
      </c>
    </row>
    <row r="198" spans="1:7" x14ac:dyDescent="0.25">
      <c r="A198" s="8">
        <v>42858.771874999999</v>
      </c>
      <c r="B198" s="20" t="s">
        <v>712</v>
      </c>
      <c r="C198" s="20" t="s">
        <v>792</v>
      </c>
      <c r="D198" s="141">
        <v>1180000</v>
      </c>
      <c r="E198" s="20" t="s">
        <v>793</v>
      </c>
      <c r="F198" s="20" t="s">
        <v>794</v>
      </c>
      <c r="G198" s="8" t="str">
        <f t="shared" si="3"/>
        <v>LEVERE CRAIG</v>
      </c>
    </row>
    <row r="199" spans="1:7" x14ac:dyDescent="0.25">
      <c r="A199" s="8">
        <v>42858.772326388891</v>
      </c>
      <c r="B199" s="20" t="s">
        <v>578</v>
      </c>
      <c r="C199" s="20" t="s">
        <v>611</v>
      </c>
      <c r="D199" s="141">
        <v>1740000</v>
      </c>
      <c r="E199" s="20" t="s">
        <v>371</v>
      </c>
      <c r="F199" s="20" t="s">
        <v>372</v>
      </c>
      <c r="G199" s="8" t="str">
        <f t="shared" si="3"/>
        <v>STORY SAMANTHA</v>
      </c>
    </row>
    <row r="200" spans="1:7" x14ac:dyDescent="0.25">
      <c r="A200" s="8">
        <v>42858.776180555556</v>
      </c>
      <c r="B200" s="20" t="s">
        <v>652</v>
      </c>
      <c r="C200" s="20" t="s">
        <v>795</v>
      </c>
      <c r="D200" s="141">
        <v>1770000</v>
      </c>
      <c r="E200" s="20" t="s">
        <v>733</v>
      </c>
      <c r="F200" s="20" t="s">
        <v>734</v>
      </c>
      <c r="G200" s="8" t="str">
        <f t="shared" si="3"/>
        <v>BRUDER RICHARD</v>
      </c>
    </row>
    <row r="201" spans="1:7" x14ac:dyDescent="0.25">
      <c r="A201" s="8">
        <v>42858.777349537035</v>
      </c>
      <c r="B201" s="20" t="s">
        <v>415</v>
      </c>
      <c r="C201" s="20" t="s">
        <v>796</v>
      </c>
      <c r="D201" s="141">
        <v>3030000</v>
      </c>
      <c r="E201" s="20" t="s">
        <v>483</v>
      </c>
      <c r="F201" s="20" t="s">
        <v>417</v>
      </c>
      <c r="G201" s="8" t="str">
        <f t="shared" si="3"/>
        <v>BIRENBAUM THOMAS</v>
      </c>
    </row>
    <row r="202" spans="1:7" x14ac:dyDescent="0.25">
      <c r="A202" s="26">
        <v>42858.783101851855</v>
      </c>
      <c r="B202" s="20" t="s">
        <v>441</v>
      </c>
      <c r="C202" s="20" t="s">
        <v>797</v>
      </c>
      <c r="D202" s="141">
        <v>1800000</v>
      </c>
      <c r="E202" s="20" t="s">
        <v>368</v>
      </c>
      <c r="F202" s="20" t="s">
        <v>369</v>
      </c>
      <c r="G202" s="8" t="str">
        <f t="shared" si="3"/>
        <v>CHANDLER KELVIN</v>
      </c>
    </row>
    <row r="203" spans="1:7" x14ac:dyDescent="0.25">
      <c r="A203" s="8">
        <v>42858.786041666666</v>
      </c>
      <c r="B203" s="20" t="s">
        <v>421</v>
      </c>
      <c r="C203" s="20" t="s">
        <v>798</v>
      </c>
      <c r="D203" s="141">
        <v>2040000</v>
      </c>
      <c r="E203" s="20" t="s">
        <v>725</v>
      </c>
      <c r="F203" s="20" t="s">
        <v>726</v>
      </c>
      <c r="G203" s="8" t="str">
        <f t="shared" si="3"/>
        <v>MOSES BRADLEY</v>
      </c>
    </row>
    <row r="204" spans="1:7" x14ac:dyDescent="0.25">
      <c r="A204" s="8">
        <v>42858.789143518516</v>
      </c>
      <c r="B204" s="20" t="s">
        <v>350</v>
      </c>
      <c r="C204" s="20" t="s">
        <v>799</v>
      </c>
      <c r="D204" s="141">
        <v>970000</v>
      </c>
      <c r="E204" s="20" t="s">
        <v>772</v>
      </c>
      <c r="F204" s="20" t="s">
        <v>773</v>
      </c>
      <c r="G204" s="8" t="str">
        <f t="shared" si="3"/>
        <v>JACKSON WILLIAM</v>
      </c>
    </row>
    <row r="205" spans="1:7" x14ac:dyDescent="0.25">
      <c r="A205" s="8">
        <v>42858.794652777775</v>
      </c>
      <c r="B205" s="20" t="s">
        <v>359</v>
      </c>
      <c r="C205" s="20" t="s">
        <v>800</v>
      </c>
      <c r="D205" s="141">
        <v>2270000</v>
      </c>
      <c r="E205" s="20" t="s">
        <v>206</v>
      </c>
      <c r="F205" s="20" t="s">
        <v>207</v>
      </c>
      <c r="G205" s="8" t="str">
        <f t="shared" si="3"/>
        <v>BROWN JACOB</v>
      </c>
    </row>
    <row r="206" spans="1:7" x14ac:dyDescent="0.25">
      <c r="A206" s="8">
        <v>42858.796574074076</v>
      </c>
      <c r="B206" s="20" t="s">
        <v>412</v>
      </c>
      <c r="C206" s="20" t="s">
        <v>801</v>
      </c>
      <c r="D206" s="141">
        <v>2530000</v>
      </c>
      <c r="E206" s="20" t="s">
        <v>460</v>
      </c>
      <c r="F206" s="20" t="s">
        <v>461</v>
      </c>
      <c r="G206" s="8" t="str">
        <f t="shared" si="3"/>
        <v>LALONDE GREGORY</v>
      </c>
    </row>
    <row r="207" spans="1:7" x14ac:dyDescent="0.25">
      <c r="A207" s="8">
        <v>42858.798078703701</v>
      </c>
      <c r="B207" s="20" t="s">
        <v>353</v>
      </c>
      <c r="C207" s="20" t="s">
        <v>802</v>
      </c>
      <c r="D207" s="141">
        <v>1800000</v>
      </c>
      <c r="E207" s="20" t="s">
        <v>368</v>
      </c>
      <c r="F207" s="20" t="s">
        <v>369</v>
      </c>
      <c r="G207" s="8" t="str">
        <f t="shared" si="3"/>
        <v>CHANDLER KELVIN</v>
      </c>
    </row>
    <row r="208" spans="1:7" x14ac:dyDescent="0.25">
      <c r="A208" s="8">
        <v>42858.800821759258</v>
      </c>
      <c r="B208" s="20" t="s">
        <v>526</v>
      </c>
      <c r="C208" s="20" t="s">
        <v>612</v>
      </c>
      <c r="D208" s="141">
        <v>1810000</v>
      </c>
      <c r="E208" s="20" t="s">
        <v>370</v>
      </c>
      <c r="F208" s="20" t="s">
        <v>193</v>
      </c>
      <c r="G208" s="8" t="str">
        <f t="shared" si="3"/>
        <v>NEWELL JAMES</v>
      </c>
    </row>
    <row r="209" spans="1:7" x14ac:dyDescent="0.25">
      <c r="A209" s="8">
        <v>42858.802256944444</v>
      </c>
      <c r="B209" s="20" t="s">
        <v>592</v>
      </c>
      <c r="C209" s="20" t="s">
        <v>803</v>
      </c>
      <c r="D209" s="141">
        <v>1770000</v>
      </c>
      <c r="E209" s="20" t="s">
        <v>733</v>
      </c>
      <c r="F209" s="20" t="s">
        <v>734</v>
      </c>
      <c r="G209" s="8" t="str">
        <f t="shared" si="3"/>
        <v>BRUDER RICHARD</v>
      </c>
    </row>
    <row r="210" spans="1:7" x14ac:dyDescent="0.25">
      <c r="A210" s="8">
        <v>42858.807546296295</v>
      </c>
      <c r="B210" s="20" t="s">
        <v>613</v>
      </c>
      <c r="C210" s="20" t="s">
        <v>614</v>
      </c>
      <c r="D210" s="141">
        <v>1740000</v>
      </c>
      <c r="E210" s="20" t="s">
        <v>371</v>
      </c>
      <c r="F210" s="20" t="s">
        <v>372</v>
      </c>
      <c r="G210" s="8" t="str">
        <f t="shared" si="3"/>
        <v>STORY SAMANTHA</v>
      </c>
    </row>
    <row r="211" spans="1:7" x14ac:dyDescent="0.25">
      <c r="A211" s="8">
        <v>42858.818761574075</v>
      </c>
      <c r="B211" s="20" t="s">
        <v>652</v>
      </c>
      <c r="C211" s="20" t="s">
        <v>804</v>
      </c>
      <c r="D211" s="141">
        <v>1770000</v>
      </c>
      <c r="E211" s="20" t="s">
        <v>733</v>
      </c>
      <c r="F211" s="20" t="s">
        <v>734</v>
      </c>
      <c r="G211" s="8" t="str">
        <f t="shared" si="3"/>
        <v>BRUDER RICHARD</v>
      </c>
    </row>
    <row r="212" spans="1:7" x14ac:dyDescent="0.25">
      <c r="A212" s="8">
        <v>42858.819293981483</v>
      </c>
      <c r="B212" s="20" t="s">
        <v>404</v>
      </c>
      <c r="C212" s="20" t="s">
        <v>805</v>
      </c>
      <c r="D212" s="141">
        <v>2040000</v>
      </c>
      <c r="E212" s="20" t="s">
        <v>725</v>
      </c>
      <c r="F212" s="20" t="s">
        <v>726</v>
      </c>
      <c r="G212" s="8" t="str">
        <f t="shared" si="3"/>
        <v>MOSES BRADLEY</v>
      </c>
    </row>
    <row r="213" spans="1:7" x14ac:dyDescent="0.25">
      <c r="A213" s="8">
        <v>42858.825671296298</v>
      </c>
      <c r="B213" s="20" t="s">
        <v>351</v>
      </c>
      <c r="C213" s="20" t="s">
        <v>806</v>
      </c>
      <c r="D213" s="141">
        <v>970000</v>
      </c>
      <c r="E213" s="20" t="s">
        <v>772</v>
      </c>
      <c r="F213" s="20" t="s">
        <v>773</v>
      </c>
      <c r="G213" s="8" t="str">
        <f t="shared" si="3"/>
        <v>JACKSON WILLIAM</v>
      </c>
    </row>
    <row r="214" spans="1:7" x14ac:dyDescent="0.25">
      <c r="A214" s="8">
        <v>42858.831458333334</v>
      </c>
      <c r="B214" s="20" t="s">
        <v>199</v>
      </c>
      <c r="C214" s="20" t="s">
        <v>807</v>
      </c>
      <c r="D214" s="141">
        <v>2270000</v>
      </c>
      <c r="E214" s="20" t="s">
        <v>206</v>
      </c>
      <c r="F214" s="20" t="s">
        <v>207</v>
      </c>
      <c r="G214" s="8" t="str">
        <f t="shared" si="3"/>
        <v>BROWN JACOB</v>
      </c>
    </row>
    <row r="215" spans="1:7" x14ac:dyDescent="0.25">
      <c r="A215" s="8">
        <v>42858.84207175926</v>
      </c>
      <c r="B215" s="20" t="s">
        <v>533</v>
      </c>
      <c r="C215" s="20" t="s">
        <v>808</v>
      </c>
      <c r="D215" s="141">
        <v>1810000</v>
      </c>
      <c r="E215" s="20" t="s">
        <v>370</v>
      </c>
      <c r="F215" s="20" t="s">
        <v>193</v>
      </c>
      <c r="G215" s="8" t="str">
        <f t="shared" si="3"/>
        <v>NEWELL JAMES</v>
      </c>
    </row>
    <row r="216" spans="1:7" x14ac:dyDescent="0.25">
      <c r="A216" s="8">
        <v>42858.843773148146</v>
      </c>
      <c r="B216" s="20" t="s">
        <v>578</v>
      </c>
      <c r="C216" s="20" t="s">
        <v>809</v>
      </c>
      <c r="D216" s="141">
        <v>1740000</v>
      </c>
      <c r="E216" s="20" t="s">
        <v>371</v>
      </c>
      <c r="F216" s="20" t="s">
        <v>372</v>
      </c>
      <c r="G216" s="8" t="str">
        <f t="shared" si="3"/>
        <v>STORY SAMANTHA</v>
      </c>
    </row>
    <row r="217" spans="1:7" x14ac:dyDescent="0.25">
      <c r="A217" s="8">
        <v>42858.844270833331</v>
      </c>
      <c r="B217" s="20" t="s">
        <v>592</v>
      </c>
      <c r="C217" s="20" t="s">
        <v>810</v>
      </c>
      <c r="D217" s="141">
        <v>1770000</v>
      </c>
      <c r="E217" s="20" t="s">
        <v>733</v>
      </c>
      <c r="F217" s="20" t="s">
        <v>734</v>
      </c>
      <c r="G217" s="8" t="str">
        <f t="shared" si="3"/>
        <v>BRUDER RICHARD</v>
      </c>
    </row>
    <row r="218" spans="1:7" x14ac:dyDescent="0.25">
      <c r="A218" s="8">
        <v>42858.851539351854</v>
      </c>
      <c r="B218" s="20" t="s">
        <v>533</v>
      </c>
      <c r="C218" s="20" t="s">
        <v>808</v>
      </c>
      <c r="D218" s="141">
        <v>3000000</v>
      </c>
      <c r="E218" s="20" t="s">
        <v>811</v>
      </c>
      <c r="F218" s="20" t="s">
        <v>530</v>
      </c>
      <c r="G218" s="8" t="str">
        <f t="shared" si="3"/>
        <v>FORTUNATO FRANK</v>
      </c>
    </row>
    <row r="219" spans="1:7" x14ac:dyDescent="0.25">
      <c r="A219" s="8">
        <v>42858.859907407408</v>
      </c>
      <c r="B219" s="20" t="s">
        <v>652</v>
      </c>
      <c r="C219" s="20" t="s">
        <v>812</v>
      </c>
      <c r="D219" s="141">
        <v>1770000</v>
      </c>
      <c r="E219" s="20" t="s">
        <v>733</v>
      </c>
      <c r="F219" s="20" t="s">
        <v>734</v>
      </c>
      <c r="G219" s="8" t="str">
        <f t="shared" si="3"/>
        <v>BRUDER RICHARD</v>
      </c>
    </row>
    <row r="220" spans="1:7" x14ac:dyDescent="0.25">
      <c r="A220" s="8">
        <v>42858.865543981483</v>
      </c>
      <c r="B220" s="20" t="s">
        <v>350</v>
      </c>
      <c r="C220" s="20" t="s">
        <v>813</v>
      </c>
      <c r="D220" s="141">
        <v>2150000</v>
      </c>
      <c r="E220" s="20" t="s">
        <v>348</v>
      </c>
      <c r="F220" s="20" t="s">
        <v>349</v>
      </c>
      <c r="G220" s="8" t="str">
        <f t="shared" si="3"/>
        <v>SWANSON BRYCE</v>
      </c>
    </row>
    <row r="221" spans="1:7" x14ac:dyDescent="0.25">
      <c r="A221" s="8">
        <v>42858.868483796294</v>
      </c>
      <c r="B221" s="20" t="s">
        <v>359</v>
      </c>
      <c r="C221" s="20" t="s">
        <v>615</v>
      </c>
      <c r="D221" s="141">
        <v>2270000</v>
      </c>
      <c r="E221" s="20" t="s">
        <v>206</v>
      </c>
      <c r="F221" s="20" t="s">
        <v>207</v>
      </c>
      <c r="G221" s="8" t="str">
        <f t="shared" si="3"/>
        <v>BROWN JACOB</v>
      </c>
    </row>
    <row r="222" spans="1:7" x14ac:dyDescent="0.25">
      <c r="A222" s="8">
        <v>42858.887789351851</v>
      </c>
      <c r="B222" s="20" t="s">
        <v>592</v>
      </c>
      <c r="C222" s="20" t="s">
        <v>814</v>
      </c>
      <c r="D222" s="141">
        <v>1800000</v>
      </c>
      <c r="E222" s="20" t="s">
        <v>368</v>
      </c>
      <c r="F222" s="20" t="s">
        <v>369</v>
      </c>
      <c r="G222" s="8" t="str">
        <f t="shared" si="3"/>
        <v>CHANDLER KELVIN</v>
      </c>
    </row>
    <row r="223" spans="1:7" x14ac:dyDescent="0.25">
      <c r="A223" s="8">
        <v>42858.889374999999</v>
      </c>
      <c r="B223" s="20" t="s">
        <v>526</v>
      </c>
      <c r="C223" s="20" t="s">
        <v>815</v>
      </c>
      <c r="D223" s="141">
        <v>3000000</v>
      </c>
      <c r="E223" s="20" t="s">
        <v>811</v>
      </c>
      <c r="F223" s="20" t="s">
        <v>530</v>
      </c>
      <c r="G223" s="8" t="str">
        <f t="shared" si="3"/>
        <v>FORTUNATO FRANK</v>
      </c>
    </row>
    <row r="224" spans="1:7" x14ac:dyDescent="0.25">
      <c r="A224" s="8">
        <v>42858.89403935185</v>
      </c>
      <c r="B224" t="s">
        <v>613</v>
      </c>
      <c r="C224" t="s">
        <v>816</v>
      </c>
      <c r="D224" s="141">
        <v>1740000</v>
      </c>
      <c r="E224" t="s">
        <v>371</v>
      </c>
      <c r="F224" s="20" t="s">
        <v>372</v>
      </c>
      <c r="G224" s="8" t="str">
        <f t="shared" si="3"/>
        <v>STORY SAMANTHA</v>
      </c>
    </row>
    <row r="225" spans="1:7" x14ac:dyDescent="0.25">
      <c r="A225" s="8">
        <v>42858.903599537036</v>
      </c>
      <c r="B225" t="s">
        <v>652</v>
      </c>
      <c r="C225" t="s">
        <v>817</v>
      </c>
      <c r="D225" s="141">
        <v>1800000</v>
      </c>
      <c r="E225" t="s">
        <v>368</v>
      </c>
      <c r="F225" s="20" t="s">
        <v>369</v>
      </c>
      <c r="G225" s="8" t="str">
        <f t="shared" si="3"/>
        <v>CHANDLER KELVIN</v>
      </c>
    </row>
    <row r="226" spans="1:7" x14ac:dyDescent="0.25">
      <c r="A226" s="8">
        <v>42858.907523148147</v>
      </c>
      <c r="B226" t="s">
        <v>351</v>
      </c>
      <c r="C226" t="s">
        <v>818</v>
      </c>
      <c r="D226" s="141">
        <v>2150000</v>
      </c>
      <c r="E226" t="s">
        <v>348</v>
      </c>
      <c r="F226" s="20" t="s">
        <v>349</v>
      </c>
      <c r="G226" s="8" t="str">
        <f t="shared" si="3"/>
        <v>SWANSON BRYCE</v>
      </c>
    </row>
    <row r="227" spans="1:7" x14ac:dyDescent="0.25">
      <c r="A227" s="8">
        <v>42858.911874999998</v>
      </c>
      <c r="B227" t="s">
        <v>199</v>
      </c>
      <c r="C227" t="s">
        <v>819</v>
      </c>
      <c r="D227" s="141">
        <v>2270000</v>
      </c>
      <c r="E227" t="s">
        <v>206</v>
      </c>
      <c r="F227" s="20" t="s">
        <v>207</v>
      </c>
      <c r="G227" s="8" t="str">
        <f t="shared" si="3"/>
        <v>BROWN JACOB</v>
      </c>
    </row>
    <row r="228" spans="1:7" x14ac:dyDescent="0.25">
      <c r="A228" s="8">
        <v>42858.925682870373</v>
      </c>
      <c r="B228" t="s">
        <v>533</v>
      </c>
      <c r="C228" t="s">
        <v>617</v>
      </c>
      <c r="D228" s="141">
        <v>1810000</v>
      </c>
      <c r="E228" t="s">
        <v>370</v>
      </c>
      <c r="F228" s="20" t="s">
        <v>193</v>
      </c>
      <c r="G228" s="8" t="str">
        <f t="shared" si="3"/>
        <v>NEWELL JAMES</v>
      </c>
    </row>
    <row r="229" spans="1:7" x14ac:dyDescent="0.25">
      <c r="A229" s="8">
        <v>42858.928402777776</v>
      </c>
      <c r="B229" t="s">
        <v>592</v>
      </c>
      <c r="C229" t="s">
        <v>616</v>
      </c>
      <c r="D229" s="141">
        <v>1800000</v>
      </c>
      <c r="E229" t="s">
        <v>368</v>
      </c>
      <c r="F229" s="20" t="s">
        <v>369</v>
      </c>
      <c r="G229" s="8" t="str">
        <f t="shared" si="3"/>
        <v>CHANDLER KELVIN</v>
      </c>
    </row>
    <row r="230" spans="1:7" x14ac:dyDescent="0.25">
      <c r="A230" s="8">
        <v>42858.92863425926</v>
      </c>
      <c r="B230" t="s">
        <v>578</v>
      </c>
      <c r="C230" t="s">
        <v>820</v>
      </c>
      <c r="D230" s="141">
        <v>1740000</v>
      </c>
      <c r="E230" t="s">
        <v>371</v>
      </c>
      <c r="F230" s="20" t="s">
        <v>372</v>
      </c>
      <c r="G230" s="8" t="str">
        <f t="shared" si="3"/>
        <v>STORY SAMANTHA</v>
      </c>
    </row>
    <row r="231" spans="1:7" x14ac:dyDescent="0.25">
      <c r="A231" s="8">
        <v>42858.945277777777</v>
      </c>
      <c r="B231" t="s">
        <v>652</v>
      </c>
      <c r="C231" t="s">
        <v>821</v>
      </c>
      <c r="D231" s="141">
        <v>1800000</v>
      </c>
      <c r="E231" t="s">
        <v>368</v>
      </c>
      <c r="F231" s="20" t="s">
        <v>369</v>
      </c>
      <c r="G231" s="8" t="str">
        <f t="shared" si="3"/>
        <v>CHANDLER KELVIN</v>
      </c>
    </row>
    <row r="232" spans="1:7" x14ac:dyDescent="0.25">
      <c r="A232" s="8">
        <v>42858.951539351852</v>
      </c>
      <c r="B232" t="s">
        <v>359</v>
      </c>
      <c r="C232" t="s">
        <v>822</v>
      </c>
      <c r="D232" s="141">
        <v>2270000</v>
      </c>
      <c r="E232" t="s">
        <v>206</v>
      </c>
      <c r="F232" s="20" t="s">
        <v>207</v>
      </c>
      <c r="G232" s="8" t="str">
        <f t="shared" si="3"/>
        <v>BROWN JACOB</v>
      </c>
    </row>
    <row r="233" spans="1:7" x14ac:dyDescent="0.25">
      <c r="A233" s="8">
        <v>42858.951701388891</v>
      </c>
      <c r="B233" t="s">
        <v>350</v>
      </c>
      <c r="C233" t="s">
        <v>823</v>
      </c>
      <c r="D233" s="141">
        <v>2150000</v>
      </c>
      <c r="E233" t="s">
        <v>348</v>
      </c>
      <c r="F233" s="20" t="s">
        <v>349</v>
      </c>
      <c r="G233" s="8" t="str">
        <f t="shared" si="3"/>
        <v>SWANSON BRYCE</v>
      </c>
    </row>
    <row r="234" spans="1:7" x14ac:dyDescent="0.25">
      <c r="A234" s="8">
        <v>42858.956412037034</v>
      </c>
      <c r="B234" t="s">
        <v>592</v>
      </c>
      <c r="C234" t="s">
        <v>821</v>
      </c>
      <c r="D234" s="141">
        <v>1800000</v>
      </c>
      <c r="E234" t="s">
        <v>368</v>
      </c>
      <c r="F234" s="20" t="s">
        <v>369</v>
      </c>
      <c r="G234" s="8" t="str">
        <f t="shared" si="3"/>
        <v>CHANDLER KELVIN</v>
      </c>
    </row>
    <row r="235" spans="1:7" x14ac:dyDescent="0.25">
      <c r="A235" s="8">
        <v>42858.972071759257</v>
      </c>
      <c r="B235" t="s">
        <v>613</v>
      </c>
      <c r="C235" t="s">
        <v>824</v>
      </c>
      <c r="D235" s="141">
        <v>2970000</v>
      </c>
      <c r="E235" t="s">
        <v>392</v>
      </c>
      <c r="F235" s="20" t="s">
        <v>393</v>
      </c>
      <c r="G235" s="8" t="str">
        <f t="shared" si="3"/>
        <v>GUZMAN DANNY</v>
      </c>
    </row>
    <row r="236" spans="1:7" x14ac:dyDescent="0.25">
      <c r="A236" s="8">
        <v>42858.973136574074</v>
      </c>
      <c r="B236" t="s">
        <v>526</v>
      </c>
      <c r="C236" t="s">
        <v>825</v>
      </c>
      <c r="D236" s="141">
        <v>1810000</v>
      </c>
      <c r="E236" t="s">
        <v>370</v>
      </c>
      <c r="F236" s="20" t="s">
        <v>193</v>
      </c>
      <c r="G236" s="8" t="str">
        <f t="shared" si="3"/>
        <v>NEWELL JAMES</v>
      </c>
    </row>
    <row r="237" spans="1:7" x14ac:dyDescent="0.25">
      <c r="A237" s="8">
        <v>42858.991076388891</v>
      </c>
      <c r="B237" t="s">
        <v>199</v>
      </c>
      <c r="C237" t="s">
        <v>826</v>
      </c>
      <c r="D237" s="141">
        <v>2270000</v>
      </c>
      <c r="E237" t="s">
        <v>206</v>
      </c>
      <c r="F237" s="20" t="s">
        <v>207</v>
      </c>
      <c r="G237" s="8" t="str">
        <f t="shared" si="3"/>
        <v>BROWN JACOB</v>
      </c>
    </row>
    <row r="238" spans="1:7" x14ac:dyDescent="0.25">
      <c r="A238" s="8">
        <v>42858.992627314816</v>
      </c>
      <c r="B238" t="s">
        <v>351</v>
      </c>
      <c r="C238" t="s">
        <v>827</v>
      </c>
      <c r="D238" s="141">
        <v>2150000</v>
      </c>
      <c r="E238" t="s">
        <v>348</v>
      </c>
      <c r="F238" s="20" t="s">
        <v>349</v>
      </c>
      <c r="G238" s="8" t="str">
        <f t="shared" si="3"/>
        <v>SWANSON BRYCE</v>
      </c>
    </row>
    <row r="239" spans="1:7" x14ac:dyDescent="0.25">
      <c r="A239" s="8">
        <v>42859.007314814815</v>
      </c>
      <c r="B239" t="s">
        <v>533</v>
      </c>
      <c r="C239" t="s">
        <v>828</v>
      </c>
      <c r="D239" s="141">
        <v>1810000</v>
      </c>
      <c r="E239" t="s">
        <v>370</v>
      </c>
      <c r="F239" s="20" t="s">
        <v>193</v>
      </c>
      <c r="G239" s="8" t="str">
        <f t="shared" si="3"/>
        <v>NEWELL JAMES</v>
      </c>
    </row>
    <row r="240" spans="1:7" x14ac:dyDescent="0.25">
      <c r="A240" s="8">
        <v>42859.01152777778</v>
      </c>
      <c r="B240" t="s">
        <v>578</v>
      </c>
      <c r="C240" t="s">
        <v>829</v>
      </c>
      <c r="D240" s="141">
        <v>2970000</v>
      </c>
      <c r="E240" t="s">
        <v>392</v>
      </c>
      <c r="F240" s="20" t="s">
        <v>393</v>
      </c>
      <c r="G240" s="8" t="str">
        <f t="shared" si="3"/>
        <v>GUZMAN DANNY</v>
      </c>
    </row>
    <row r="241" spans="1:7" x14ac:dyDescent="0.25">
      <c r="A241" s="8">
        <v>42859.0309375</v>
      </c>
      <c r="B241" t="s">
        <v>350</v>
      </c>
      <c r="C241" t="s">
        <v>830</v>
      </c>
      <c r="D241" s="141">
        <v>2150000</v>
      </c>
      <c r="E241" t="s">
        <v>348</v>
      </c>
      <c r="F241" s="20" t="s">
        <v>349</v>
      </c>
      <c r="G241" s="8" t="str">
        <f t="shared" si="3"/>
        <v>SWANSON BRYCE</v>
      </c>
    </row>
    <row r="242" spans="1:7" x14ac:dyDescent="0.25">
      <c r="A242" s="8">
        <v>42859.033460648148</v>
      </c>
      <c r="B242" t="s">
        <v>359</v>
      </c>
      <c r="C242" t="s">
        <v>831</v>
      </c>
      <c r="D242" s="141">
        <v>2270000</v>
      </c>
      <c r="E242" t="s">
        <v>206</v>
      </c>
      <c r="F242" s="20" t="s">
        <v>207</v>
      </c>
      <c r="G242" s="8" t="str">
        <f t="shared" si="3"/>
        <v>BROWN JACOB</v>
      </c>
    </row>
    <row r="243" spans="1:7" x14ac:dyDescent="0.25">
      <c r="A243" s="8">
        <v>42859.046585648146</v>
      </c>
      <c r="B243" t="s">
        <v>526</v>
      </c>
      <c r="C243" t="s">
        <v>832</v>
      </c>
      <c r="D243" s="141">
        <v>1810000</v>
      </c>
      <c r="E243" t="s">
        <v>370</v>
      </c>
      <c r="F243" s="20" t="s">
        <v>193</v>
      </c>
      <c r="G243" s="8" t="str">
        <f t="shared" si="3"/>
        <v>NEWELL JAMES</v>
      </c>
    </row>
    <row r="244" spans="1:7" x14ac:dyDescent="0.25">
      <c r="A244" s="8">
        <v>42859.050625000003</v>
      </c>
      <c r="B244" t="s">
        <v>613</v>
      </c>
      <c r="C244" t="s">
        <v>833</v>
      </c>
      <c r="D244" s="141">
        <v>2970000</v>
      </c>
      <c r="E244" t="s">
        <v>392</v>
      </c>
      <c r="F244" s="20" t="s">
        <v>393</v>
      </c>
      <c r="G244" s="8" t="str">
        <f t="shared" si="3"/>
        <v>GUZMAN DANNY</v>
      </c>
    </row>
    <row r="245" spans="1:7" x14ac:dyDescent="0.25">
      <c r="A245" s="8">
        <v>42859.06931712963</v>
      </c>
      <c r="B245" t="s">
        <v>199</v>
      </c>
      <c r="C245" t="s">
        <v>834</v>
      </c>
      <c r="D245" s="141">
        <v>2270000</v>
      </c>
      <c r="E245" t="s">
        <v>206</v>
      </c>
      <c r="F245" s="20" t="s">
        <v>207</v>
      </c>
      <c r="G245" s="8" t="str">
        <f t="shared" si="3"/>
        <v>BROWN JACOB</v>
      </c>
    </row>
    <row r="246" spans="1:7" x14ac:dyDescent="0.25">
      <c r="A246" s="8">
        <v>42859.09134259259</v>
      </c>
      <c r="B246" t="s">
        <v>533</v>
      </c>
      <c r="C246" t="s">
        <v>835</v>
      </c>
      <c r="D246" s="141">
        <v>1810000</v>
      </c>
      <c r="E246" t="s">
        <v>370</v>
      </c>
      <c r="F246" s="20" t="s">
        <v>193</v>
      </c>
      <c r="G246" s="8" t="str">
        <f t="shared" si="3"/>
        <v>NEWELL JAMES</v>
      </c>
    </row>
    <row r="247" spans="1:7" x14ac:dyDescent="0.25">
      <c r="A247" s="8">
        <v>42856.902708333335</v>
      </c>
      <c r="B247" t="s">
        <v>442</v>
      </c>
      <c r="C247" t="s">
        <v>486</v>
      </c>
      <c r="D247" s="141">
        <v>2970000</v>
      </c>
      <c r="E247" t="s">
        <v>392</v>
      </c>
      <c r="F247" s="20" t="s">
        <v>393</v>
      </c>
      <c r="G247" s="8" t="str">
        <f t="shared" si="3"/>
        <v>GUZMAN DANNY</v>
      </c>
    </row>
    <row r="248" spans="1:7" x14ac:dyDescent="0.25">
      <c r="A248" s="8">
        <v>42856.913715277777</v>
      </c>
      <c r="B248" t="s">
        <v>353</v>
      </c>
      <c r="C248" t="s">
        <v>488</v>
      </c>
      <c r="D248" s="141">
        <v>1800000</v>
      </c>
      <c r="E248" t="s">
        <v>368</v>
      </c>
      <c r="F248" s="20" t="s">
        <v>369</v>
      </c>
      <c r="G248" s="8" t="str">
        <f t="shared" si="3"/>
        <v>CHANDLER KELVIN</v>
      </c>
    </row>
    <row r="249" spans="1:7" x14ac:dyDescent="0.25">
      <c r="A249" s="8">
        <v>42856.919016203705</v>
      </c>
      <c r="B249" t="s">
        <v>415</v>
      </c>
      <c r="C249" t="s">
        <v>489</v>
      </c>
      <c r="D249" s="141">
        <v>1810000</v>
      </c>
      <c r="E249" t="s">
        <v>370</v>
      </c>
      <c r="F249" s="20" t="s">
        <v>193</v>
      </c>
      <c r="G249" s="8" t="str">
        <f t="shared" si="3"/>
        <v>NEWELL JAMES</v>
      </c>
    </row>
    <row r="250" spans="1:7" x14ac:dyDescent="0.25">
      <c r="A250" s="8">
        <v>42856.923657407409</v>
      </c>
      <c r="B250" t="s">
        <v>404</v>
      </c>
      <c r="C250" t="s">
        <v>490</v>
      </c>
      <c r="D250" s="141">
        <v>2680000</v>
      </c>
      <c r="E250" t="s">
        <v>387</v>
      </c>
      <c r="F250" s="20" t="s">
        <v>388</v>
      </c>
      <c r="G250" s="8" t="str">
        <f t="shared" si="3"/>
        <v>DUNCAN SHEILA</v>
      </c>
    </row>
    <row r="251" spans="1:7" x14ac:dyDescent="0.25">
      <c r="A251" s="8">
        <v>42856.92496527778</v>
      </c>
      <c r="B251" t="s">
        <v>411</v>
      </c>
      <c r="C251" t="s">
        <v>491</v>
      </c>
      <c r="D251" s="141">
        <v>2230000</v>
      </c>
      <c r="E251" t="s">
        <v>357</v>
      </c>
      <c r="F251" s="20" t="s">
        <v>196</v>
      </c>
      <c r="G251" s="8" t="str">
        <f t="shared" si="3"/>
        <v>SMITH MICHAEL</v>
      </c>
    </row>
    <row r="252" spans="1:7" x14ac:dyDescent="0.25">
      <c r="A252" s="8">
        <v>42856.942465277774</v>
      </c>
      <c r="B252" t="s">
        <v>425</v>
      </c>
      <c r="C252" t="s">
        <v>492</v>
      </c>
      <c r="D252" s="141">
        <v>1810000</v>
      </c>
      <c r="E252" t="s">
        <v>370</v>
      </c>
      <c r="F252" s="20" t="s">
        <v>193</v>
      </c>
      <c r="G252" s="8" t="str">
        <f t="shared" si="3"/>
        <v>NEWELL JAMES</v>
      </c>
    </row>
    <row r="253" spans="1:7" x14ac:dyDescent="0.25">
      <c r="A253" s="8">
        <v>42856.953402777777</v>
      </c>
      <c r="B253" t="s">
        <v>441</v>
      </c>
      <c r="C253" t="s">
        <v>493</v>
      </c>
      <c r="D253" s="141">
        <v>1800000</v>
      </c>
      <c r="E253" t="s">
        <v>368</v>
      </c>
      <c r="F253" s="20" t="s">
        <v>369</v>
      </c>
      <c r="G253" s="8" t="str">
        <f t="shared" si="3"/>
        <v>CHANDLER KELVIN</v>
      </c>
    </row>
    <row r="254" spans="1:7" x14ac:dyDescent="0.25">
      <c r="A254" s="8">
        <v>42856.953900462962</v>
      </c>
      <c r="B254" t="s">
        <v>359</v>
      </c>
      <c r="C254" t="s">
        <v>473</v>
      </c>
      <c r="D254" s="141">
        <v>2000000</v>
      </c>
      <c r="E254" t="s">
        <v>352</v>
      </c>
      <c r="F254" s="20" t="s">
        <v>193</v>
      </c>
      <c r="G254" s="8" t="str">
        <f t="shared" si="3"/>
        <v>STAMBAUGH JAMES</v>
      </c>
    </row>
    <row r="255" spans="1:7" x14ac:dyDescent="0.25">
      <c r="A255" s="8">
        <v>42856.957291666666</v>
      </c>
      <c r="B255" t="s">
        <v>452</v>
      </c>
      <c r="C255" t="s">
        <v>487</v>
      </c>
      <c r="D255" s="141">
        <v>2970000</v>
      </c>
      <c r="E255" t="s">
        <v>392</v>
      </c>
      <c r="F255" s="20" t="s">
        <v>393</v>
      </c>
      <c r="G255" s="8" t="str">
        <f t="shared" si="3"/>
        <v>GUZMAN DANNY</v>
      </c>
    </row>
    <row r="256" spans="1:7" x14ac:dyDescent="0.25">
      <c r="A256" s="8">
        <v>42856.965960648151</v>
      </c>
      <c r="B256" t="s">
        <v>412</v>
      </c>
      <c r="C256" t="s">
        <v>494</v>
      </c>
      <c r="D256" s="141">
        <v>2230000</v>
      </c>
      <c r="E256" t="s">
        <v>357</v>
      </c>
      <c r="F256" s="20" t="s">
        <v>196</v>
      </c>
      <c r="G256" s="8" t="str">
        <f t="shared" si="3"/>
        <v>SMITH MICHAEL</v>
      </c>
    </row>
    <row r="257" spans="1:7" x14ac:dyDescent="0.25">
      <c r="A257" s="8">
        <v>42856.971041666664</v>
      </c>
      <c r="B257" t="s">
        <v>421</v>
      </c>
      <c r="C257" t="s">
        <v>495</v>
      </c>
      <c r="D257" s="141">
        <v>2680000</v>
      </c>
      <c r="E257" t="s">
        <v>387</v>
      </c>
      <c r="F257" s="20" t="s">
        <v>388</v>
      </c>
      <c r="G257" s="8" t="str">
        <f t="shared" si="3"/>
        <v>DUNCAN SHEILA</v>
      </c>
    </row>
    <row r="258" spans="1:7" x14ac:dyDescent="0.25">
      <c r="A258" s="8">
        <v>42856.986516203702</v>
      </c>
      <c r="B258" t="s">
        <v>199</v>
      </c>
      <c r="C258" t="s">
        <v>496</v>
      </c>
      <c r="D258" s="141">
        <v>2000000</v>
      </c>
      <c r="E258" t="s">
        <v>352</v>
      </c>
      <c r="F258" s="20" t="s">
        <v>193</v>
      </c>
      <c r="G258" s="8" t="str">
        <f t="shared" si="3"/>
        <v>STAMBAUGH JAMES</v>
      </c>
    </row>
    <row r="259" spans="1:7" x14ac:dyDescent="0.25">
      <c r="A259" s="8">
        <v>42856.995729166665</v>
      </c>
      <c r="B259" t="s">
        <v>353</v>
      </c>
      <c r="C259" t="s">
        <v>497</v>
      </c>
      <c r="D259" s="141">
        <v>1800000</v>
      </c>
      <c r="E259" t="s">
        <v>368</v>
      </c>
      <c r="F259" s="20" t="s">
        <v>369</v>
      </c>
      <c r="G259" s="8" t="str">
        <f t="shared" ref="G259:G322" si="4">E259&amp;" "&amp;F259</f>
        <v>CHANDLER KELVIN</v>
      </c>
    </row>
    <row r="260" spans="1:7" x14ac:dyDescent="0.25">
      <c r="A260" s="8">
        <v>42856.998379629629</v>
      </c>
      <c r="B260" t="s">
        <v>442</v>
      </c>
      <c r="C260" t="s">
        <v>486</v>
      </c>
      <c r="D260" s="141">
        <v>2970000</v>
      </c>
      <c r="E260" t="s">
        <v>392</v>
      </c>
      <c r="F260" s="20" t="s">
        <v>393</v>
      </c>
      <c r="G260" s="8" t="str">
        <f t="shared" si="4"/>
        <v>GUZMAN DANNY</v>
      </c>
    </row>
    <row r="261" spans="1:7" x14ac:dyDescent="0.25">
      <c r="A261" s="8">
        <v>42857.01290509259</v>
      </c>
      <c r="B261" t="s">
        <v>411</v>
      </c>
      <c r="C261" t="s">
        <v>498</v>
      </c>
      <c r="D261" s="141">
        <v>2230000</v>
      </c>
      <c r="E261" t="s">
        <v>357</v>
      </c>
      <c r="F261" s="20" t="s">
        <v>196</v>
      </c>
      <c r="G261" s="8" t="str">
        <f t="shared" si="4"/>
        <v>SMITH MICHAEL</v>
      </c>
    </row>
    <row r="262" spans="1:7" x14ac:dyDescent="0.25">
      <c r="A262" s="8">
        <v>42857.017175925925</v>
      </c>
      <c r="B262" t="s">
        <v>404</v>
      </c>
      <c r="C262" t="s">
        <v>499</v>
      </c>
      <c r="D262" s="141">
        <v>1740000</v>
      </c>
      <c r="E262" t="s">
        <v>371</v>
      </c>
      <c r="F262" s="20" t="s">
        <v>372</v>
      </c>
      <c r="G262" s="8" t="str">
        <f t="shared" si="4"/>
        <v>STORY SAMANTHA</v>
      </c>
    </row>
    <row r="263" spans="1:7" x14ac:dyDescent="0.25">
      <c r="A263" s="8">
        <v>42857.02952546296</v>
      </c>
      <c r="B263" t="s">
        <v>441</v>
      </c>
      <c r="C263" t="s">
        <v>500</v>
      </c>
      <c r="D263" s="141">
        <v>1800000</v>
      </c>
      <c r="E263" t="s">
        <v>368</v>
      </c>
      <c r="F263" s="20" t="s">
        <v>369</v>
      </c>
      <c r="G263" s="8" t="str">
        <f t="shared" si="4"/>
        <v>CHANDLER KELVIN</v>
      </c>
    </row>
    <row r="264" spans="1:7" x14ac:dyDescent="0.25">
      <c r="A264" s="8">
        <v>42857.036377314813</v>
      </c>
      <c r="B264" t="s">
        <v>359</v>
      </c>
      <c r="C264" t="s">
        <v>501</v>
      </c>
      <c r="D264" s="141">
        <v>2000000</v>
      </c>
      <c r="E264" t="s">
        <v>352</v>
      </c>
      <c r="F264" s="20" t="s">
        <v>193</v>
      </c>
      <c r="G264" s="8" t="str">
        <f t="shared" si="4"/>
        <v>STAMBAUGH JAMES</v>
      </c>
    </row>
    <row r="265" spans="1:7" x14ac:dyDescent="0.25">
      <c r="A265" s="8">
        <v>42857.036574074074</v>
      </c>
      <c r="B265" t="s">
        <v>452</v>
      </c>
      <c r="C265" t="s">
        <v>486</v>
      </c>
      <c r="D265" s="141">
        <v>2970000</v>
      </c>
      <c r="E265" t="s">
        <v>392</v>
      </c>
      <c r="F265" s="20" t="s">
        <v>393</v>
      </c>
      <c r="G265" s="8" t="str">
        <f t="shared" si="4"/>
        <v>GUZMAN DANNY</v>
      </c>
    </row>
    <row r="266" spans="1:7" x14ac:dyDescent="0.25">
      <c r="A266" s="8">
        <v>42857.037870370368</v>
      </c>
      <c r="B266" t="s">
        <v>452</v>
      </c>
      <c r="C266" t="s">
        <v>486</v>
      </c>
      <c r="D266" s="141">
        <v>2970000</v>
      </c>
      <c r="E266" t="s">
        <v>392</v>
      </c>
      <c r="F266" s="20" t="s">
        <v>393</v>
      </c>
      <c r="G266" s="8" t="str">
        <f t="shared" si="4"/>
        <v>GUZMAN DANNY</v>
      </c>
    </row>
    <row r="267" spans="1:7" x14ac:dyDescent="0.25">
      <c r="A267" s="8">
        <v>42857.039456018516</v>
      </c>
      <c r="B267" t="s">
        <v>452</v>
      </c>
      <c r="C267" t="s">
        <v>486</v>
      </c>
      <c r="D267" s="141">
        <v>2970000</v>
      </c>
      <c r="E267" t="s">
        <v>392</v>
      </c>
      <c r="F267" s="20" t="s">
        <v>393</v>
      </c>
      <c r="G267" s="8" t="str">
        <f t="shared" si="4"/>
        <v>GUZMAN DANNY</v>
      </c>
    </row>
    <row r="268" spans="1:7" x14ac:dyDescent="0.25">
      <c r="A268" s="8">
        <v>42857.048935185187</v>
      </c>
      <c r="B268" t="s">
        <v>412</v>
      </c>
      <c r="C268" t="s">
        <v>502</v>
      </c>
      <c r="D268" s="141">
        <v>2230000</v>
      </c>
      <c r="E268" t="s">
        <v>357</v>
      </c>
      <c r="F268" s="20" t="s">
        <v>196</v>
      </c>
      <c r="G268" s="8" t="str">
        <f t="shared" si="4"/>
        <v>SMITH MICHAEL</v>
      </c>
    </row>
    <row r="269" spans="1:7" x14ac:dyDescent="0.25">
      <c r="A269" s="8">
        <v>42857.056030092594</v>
      </c>
      <c r="B269" t="s">
        <v>421</v>
      </c>
      <c r="C269" t="s">
        <v>503</v>
      </c>
      <c r="D269" s="141">
        <v>1740000</v>
      </c>
      <c r="E269" t="s">
        <v>371</v>
      </c>
      <c r="F269" s="20" t="s">
        <v>372</v>
      </c>
      <c r="G269" s="8" t="str">
        <f t="shared" si="4"/>
        <v>STORY SAMANTHA</v>
      </c>
    </row>
    <row r="270" spans="1:7" x14ac:dyDescent="0.25">
      <c r="A270" s="8">
        <v>42857.056967592594</v>
      </c>
      <c r="B270" t="s">
        <v>442</v>
      </c>
      <c r="C270" t="s">
        <v>486</v>
      </c>
      <c r="D270" s="141">
        <v>2970000</v>
      </c>
      <c r="E270" t="s">
        <v>392</v>
      </c>
      <c r="F270" s="20" t="s">
        <v>393</v>
      </c>
      <c r="G270" s="8" t="str">
        <f t="shared" si="4"/>
        <v>GUZMAN DANNY</v>
      </c>
    </row>
    <row r="271" spans="1:7" x14ac:dyDescent="0.25">
      <c r="A271" s="8">
        <v>42857.066562499997</v>
      </c>
      <c r="B271" t="s">
        <v>199</v>
      </c>
      <c r="C271" t="s">
        <v>504</v>
      </c>
      <c r="D271" s="141">
        <v>2000000</v>
      </c>
      <c r="E271" t="s">
        <v>352</v>
      </c>
      <c r="F271" s="20" t="s">
        <v>193</v>
      </c>
      <c r="G271" s="8" t="str">
        <f t="shared" si="4"/>
        <v>STAMBAUGH JAMES</v>
      </c>
    </row>
    <row r="272" spans="1:7" x14ac:dyDescent="0.25">
      <c r="A272" s="8">
        <v>42857.078900462962</v>
      </c>
      <c r="B272" t="s">
        <v>452</v>
      </c>
      <c r="C272" t="s">
        <v>486</v>
      </c>
      <c r="D272" s="141">
        <v>2970000</v>
      </c>
      <c r="E272" t="s">
        <v>392</v>
      </c>
      <c r="F272" s="20" t="s">
        <v>393</v>
      </c>
      <c r="G272" s="8" t="str">
        <f t="shared" si="4"/>
        <v>GUZMAN DANNY</v>
      </c>
    </row>
    <row r="273" spans="1:7" x14ac:dyDescent="0.25">
      <c r="A273" s="8">
        <v>42857.092858796299</v>
      </c>
      <c r="B273" t="s">
        <v>404</v>
      </c>
      <c r="C273" t="s">
        <v>505</v>
      </c>
      <c r="D273" s="141">
        <v>1740000</v>
      </c>
      <c r="E273" t="s">
        <v>371</v>
      </c>
      <c r="F273" s="20" t="s">
        <v>372</v>
      </c>
      <c r="G273" s="8" t="str">
        <f t="shared" si="4"/>
        <v>STORY SAMANTHA</v>
      </c>
    </row>
    <row r="274" spans="1:7" x14ac:dyDescent="0.25">
      <c r="A274" s="8">
        <v>42830.014768518522</v>
      </c>
      <c r="B274" t="s">
        <v>356</v>
      </c>
      <c r="C274" t="s">
        <v>394</v>
      </c>
      <c r="D274" s="141">
        <v>2680000</v>
      </c>
      <c r="E274" t="s">
        <v>387</v>
      </c>
      <c r="F274" s="20" t="s">
        <v>388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391</v>
      </c>
      <c r="C275" t="s">
        <v>396</v>
      </c>
      <c r="D275" s="141">
        <v>1810000</v>
      </c>
      <c r="E275" t="s">
        <v>370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355</v>
      </c>
      <c r="C276" t="s">
        <v>395</v>
      </c>
      <c r="D276" s="141">
        <v>2680000</v>
      </c>
      <c r="E276" t="s">
        <v>387</v>
      </c>
      <c r="F276" s="20" t="s">
        <v>388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356</v>
      </c>
      <c r="C277" t="s">
        <v>394</v>
      </c>
      <c r="D277" s="141">
        <v>2680000</v>
      </c>
      <c r="E277" t="s">
        <v>387</v>
      </c>
      <c r="F277" s="20" t="s">
        <v>388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355</v>
      </c>
      <c r="C278" t="s">
        <v>395</v>
      </c>
      <c r="D278" s="141">
        <v>2680000</v>
      </c>
      <c r="E278" t="s">
        <v>387</v>
      </c>
      <c r="F278" s="20" t="s">
        <v>388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374</v>
      </c>
      <c r="C279" t="s">
        <v>397</v>
      </c>
      <c r="D279" s="141">
        <v>1800000</v>
      </c>
      <c r="E279" t="s">
        <v>368</v>
      </c>
      <c r="F279" s="20" t="s">
        <v>369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383</v>
      </c>
      <c r="C280" t="s">
        <v>398</v>
      </c>
      <c r="D280" s="141">
        <v>1740000</v>
      </c>
      <c r="E280" t="s">
        <v>371</v>
      </c>
      <c r="F280" s="20" t="s">
        <v>372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384</v>
      </c>
      <c r="C281" t="s">
        <v>399</v>
      </c>
      <c r="D281" s="141">
        <v>2970000</v>
      </c>
      <c r="E281" t="s">
        <v>392</v>
      </c>
      <c r="F281" s="20" t="s">
        <v>393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390</v>
      </c>
      <c r="C282" t="s">
        <v>400</v>
      </c>
      <c r="D282" s="141">
        <v>1810000</v>
      </c>
      <c r="E282" t="s">
        <v>370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380</v>
      </c>
      <c r="C283" t="s">
        <v>401</v>
      </c>
      <c r="D283" s="141">
        <v>1740000</v>
      </c>
      <c r="E283" t="s">
        <v>371</v>
      </c>
      <c r="F283" s="20" t="s">
        <v>372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356</v>
      </c>
      <c r="C284" t="s">
        <v>394</v>
      </c>
      <c r="D284" s="141">
        <v>2680000</v>
      </c>
      <c r="E284" t="s">
        <v>387</v>
      </c>
      <c r="F284" s="20" t="s">
        <v>388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356</v>
      </c>
      <c r="C285" t="s">
        <v>394</v>
      </c>
      <c r="D285" s="141">
        <v>2680000</v>
      </c>
      <c r="E285" t="s">
        <v>387</v>
      </c>
      <c r="F285" s="20" t="s">
        <v>388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354</v>
      </c>
      <c r="C286" t="s">
        <v>402</v>
      </c>
      <c r="D286" s="141">
        <v>2970000</v>
      </c>
      <c r="E286" t="s">
        <v>392</v>
      </c>
      <c r="F286" s="20" t="s">
        <v>393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360</v>
      </c>
      <c r="D287" s="141">
        <v>2230000</v>
      </c>
      <c r="E287" t="s">
        <v>357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353</v>
      </c>
      <c r="C288" t="s">
        <v>361</v>
      </c>
      <c r="D288" s="141">
        <v>2000000</v>
      </c>
      <c r="E288" t="s">
        <v>352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358</v>
      </c>
      <c r="C289" t="s">
        <v>362</v>
      </c>
      <c r="D289" s="141">
        <v>2150000</v>
      </c>
      <c r="E289" t="s">
        <v>348</v>
      </c>
      <c r="F289" s="20" t="s">
        <v>349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358</v>
      </c>
      <c r="C290" t="s">
        <v>362</v>
      </c>
      <c r="D290" s="141">
        <v>2150000</v>
      </c>
      <c r="E290" t="s">
        <v>348</v>
      </c>
      <c r="F290" s="20" t="s">
        <v>349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358</v>
      </c>
      <c r="C291" t="s">
        <v>362</v>
      </c>
      <c r="D291" s="141">
        <v>2150000</v>
      </c>
      <c r="E291" t="s">
        <v>348</v>
      </c>
      <c r="F291" s="20" t="s">
        <v>349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359</v>
      </c>
      <c r="C292" t="s">
        <v>363</v>
      </c>
      <c r="D292" s="141">
        <v>2230000</v>
      </c>
      <c r="E292" t="s">
        <v>357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350</v>
      </c>
      <c r="C293" t="s">
        <v>364</v>
      </c>
      <c r="D293" s="141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350</v>
      </c>
      <c r="C294" t="s">
        <v>364</v>
      </c>
      <c r="D294" s="141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350</v>
      </c>
      <c r="C295" t="s">
        <v>364</v>
      </c>
      <c r="D295" s="141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356</v>
      </c>
      <c r="C296" t="s">
        <v>365</v>
      </c>
      <c r="D296" s="141">
        <v>2150000</v>
      </c>
      <c r="E296" t="s">
        <v>348</v>
      </c>
      <c r="F296" s="20" t="s">
        <v>349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351</v>
      </c>
      <c r="C297" t="s">
        <v>366</v>
      </c>
      <c r="D297" s="141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416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45.65</v>
      </c>
      <c r="B2" s="168">
        <v>0.62</v>
      </c>
      <c r="C2" s="168">
        <v>39.15</v>
      </c>
      <c r="D2" s="8">
        <v>42858</v>
      </c>
      <c r="E2" s="168">
        <v>0.78</v>
      </c>
      <c r="F2" s="168" t="s">
        <v>506</v>
      </c>
      <c r="G2" s="168">
        <v>353.32</v>
      </c>
      <c r="H2" s="168">
        <v>2.58E-2</v>
      </c>
      <c r="I2" s="168">
        <v>0.64</v>
      </c>
      <c r="J2" s="168" t="s">
        <v>506</v>
      </c>
      <c r="K2" s="168">
        <v>1016.76</v>
      </c>
      <c r="L2" s="168" t="s">
        <v>539</v>
      </c>
      <c r="M2" s="168">
        <v>45.65</v>
      </c>
      <c r="N2" s="168">
        <v>1493791200</v>
      </c>
      <c r="O2" s="168">
        <v>3.73</v>
      </c>
      <c r="P2" s="168">
        <v>40</v>
      </c>
      <c r="Q2" s="168">
        <v>0.53</v>
      </c>
      <c r="R2"/>
    </row>
    <row r="3" spans="1:18" x14ac:dyDescent="0.25">
      <c r="A3" s="168">
        <v>42.99</v>
      </c>
      <c r="B3" s="168">
        <v>0.54</v>
      </c>
      <c r="C3" s="168">
        <v>39.909999999999997</v>
      </c>
      <c r="D3" s="8">
        <v>42858.041666666664</v>
      </c>
      <c r="E3" s="168">
        <v>0.89</v>
      </c>
      <c r="F3" s="168" t="s">
        <v>506</v>
      </c>
      <c r="G3" s="168">
        <v>357.17</v>
      </c>
      <c r="H3" s="168">
        <v>2.1999999999999999E-2</v>
      </c>
      <c r="I3" s="168">
        <v>0.62</v>
      </c>
      <c r="J3" s="168" t="s">
        <v>506</v>
      </c>
      <c r="K3" s="168">
        <v>1017.2</v>
      </c>
      <c r="L3" s="168" t="s">
        <v>539</v>
      </c>
      <c r="M3" s="168">
        <v>42.99</v>
      </c>
      <c r="N3" s="168">
        <v>1493794800</v>
      </c>
      <c r="O3" s="168">
        <v>4.78</v>
      </c>
      <c r="P3" s="168">
        <v>264</v>
      </c>
      <c r="Q3" s="168">
        <v>0.08</v>
      </c>
      <c r="R3"/>
    </row>
    <row r="4" spans="1:18" x14ac:dyDescent="0.25">
      <c r="A4" s="168">
        <v>41.75</v>
      </c>
      <c r="B4" s="168">
        <v>0.45</v>
      </c>
      <c r="C4" s="168">
        <v>39.17</v>
      </c>
      <c r="D4" s="8">
        <v>42858.083333333336</v>
      </c>
      <c r="E4" s="168">
        <v>0.9</v>
      </c>
      <c r="F4" s="168" t="s">
        <v>506</v>
      </c>
      <c r="G4" s="168">
        <v>361.03</v>
      </c>
      <c r="H4" s="168">
        <v>1.2500000000000001E-2</v>
      </c>
      <c r="I4" s="168">
        <v>0.54</v>
      </c>
      <c r="J4" s="168" t="s">
        <v>506</v>
      </c>
      <c r="K4" s="168">
        <v>1017.6</v>
      </c>
      <c r="L4" s="168" t="s">
        <v>539</v>
      </c>
      <c r="M4" s="168">
        <v>41.75</v>
      </c>
      <c r="N4" s="168">
        <v>1493798400</v>
      </c>
      <c r="O4" s="168">
        <v>4.4800000000000004</v>
      </c>
      <c r="P4" s="168">
        <v>242</v>
      </c>
      <c r="Q4" s="168">
        <v>2.31</v>
      </c>
      <c r="R4"/>
    </row>
    <row r="5" spans="1:18" x14ac:dyDescent="0.25">
      <c r="A5" s="168">
        <v>41.98</v>
      </c>
      <c r="B5" s="168">
        <v>0.39</v>
      </c>
      <c r="C5" s="168">
        <v>39.44</v>
      </c>
      <c r="D5" s="8">
        <v>42858.125</v>
      </c>
      <c r="E5" s="168">
        <v>0.91</v>
      </c>
      <c r="F5" s="168" t="s">
        <v>506</v>
      </c>
      <c r="G5" s="168">
        <v>364.88</v>
      </c>
      <c r="H5" s="168">
        <v>2.1299999999999999E-2</v>
      </c>
      <c r="I5" s="168">
        <v>0.61</v>
      </c>
      <c r="J5" s="168" t="s">
        <v>506</v>
      </c>
      <c r="K5" s="168">
        <v>1017.98</v>
      </c>
      <c r="L5" s="168" t="s">
        <v>539</v>
      </c>
      <c r="M5" s="168">
        <v>41.98</v>
      </c>
      <c r="N5" s="168">
        <v>1493802000</v>
      </c>
      <c r="O5" s="168">
        <v>4.25</v>
      </c>
      <c r="P5" s="168">
        <v>252</v>
      </c>
      <c r="Q5" s="168">
        <v>2.82</v>
      </c>
      <c r="R5"/>
    </row>
    <row r="6" spans="1:18" x14ac:dyDescent="0.25">
      <c r="A6" s="168">
        <v>42.15</v>
      </c>
      <c r="B6" s="168">
        <v>0.48</v>
      </c>
      <c r="C6" s="168">
        <v>39.729999999999997</v>
      </c>
      <c r="D6" s="8">
        <v>42858.166666666664</v>
      </c>
      <c r="E6" s="168">
        <v>0.91</v>
      </c>
      <c r="F6" s="168" t="s">
        <v>506</v>
      </c>
      <c r="G6" s="168">
        <v>367.4</v>
      </c>
      <c r="H6" s="168">
        <v>2.5499999999999998E-2</v>
      </c>
      <c r="I6" s="168">
        <v>0.64</v>
      </c>
      <c r="J6" s="168" t="s">
        <v>506</v>
      </c>
      <c r="K6" s="168">
        <v>1019.05</v>
      </c>
      <c r="L6" s="168" t="s">
        <v>539</v>
      </c>
      <c r="M6" s="168">
        <v>42.15</v>
      </c>
      <c r="N6" s="168">
        <v>1493805600</v>
      </c>
      <c r="O6" s="168">
        <v>4.09</v>
      </c>
      <c r="P6" s="168">
        <v>265</v>
      </c>
      <c r="Q6" s="168">
        <v>0.77</v>
      </c>
      <c r="R6"/>
    </row>
    <row r="7" spans="1:18" x14ac:dyDescent="0.25">
      <c r="A7" s="168">
        <v>41.33</v>
      </c>
      <c r="B7" s="168">
        <v>0.69</v>
      </c>
      <c r="C7" s="168">
        <v>39</v>
      </c>
      <c r="D7" s="8">
        <v>42858.208333333336</v>
      </c>
      <c r="E7" s="168">
        <v>0.91</v>
      </c>
      <c r="F7" s="168" t="s">
        <v>506</v>
      </c>
      <c r="G7" s="168">
        <v>369.29</v>
      </c>
      <c r="H7" s="168">
        <v>1.7600000000000001E-2</v>
      </c>
      <c r="I7" s="168">
        <v>0.59</v>
      </c>
      <c r="J7" s="168" t="s">
        <v>506</v>
      </c>
      <c r="K7" s="168">
        <v>1020.38</v>
      </c>
      <c r="L7" s="168" t="s">
        <v>539</v>
      </c>
      <c r="M7" s="168">
        <v>41.33</v>
      </c>
      <c r="N7" s="168">
        <v>1493809200</v>
      </c>
      <c r="O7" s="168">
        <v>4.16</v>
      </c>
      <c r="P7" s="168">
        <v>343</v>
      </c>
      <c r="Q7" s="168">
        <v>2.37</v>
      </c>
      <c r="R7"/>
    </row>
    <row r="8" spans="1:18" x14ac:dyDescent="0.25">
      <c r="A8" s="168">
        <v>36.57</v>
      </c>
      <c r="B8" s="168">
        <v>0.77</v>
      </c>
      <c r="C8" s="168">
        <v>37.86</v>
      </c>
      <c r="D8" s="8">
        <v>42858.25</v>
      </c>
      <c r="E8" s="168">
        <v>0.91</v>
      </c>
      <c r="F8" s="168" t="s">
        <v>506</v>
      </c>
      <c r="G8" s="168">
        <v>370.73</v>
      </c>
      <c r="H8" s="168">
        <v>8.6E-3</v>
      </c>
      <c r="I8" s="168">
        <v>0.45</v>
      </c>
      <c r="J8" s="168" t="s">
        <v>506</v>
      </c>
      <c r="K8" s="168">
        <v>1021.58</v>
      </c>
      <c r="L8" s="168" t="s">
        <v>538</v>
      </c>
      <c r="M8" s="168">
        <v>40.14</v>
      </c>
      <c r="N8" s="168">
        <v>1493812800</v>
      </c>
      <c r="O8" s="168">
        <v>4.76</v>
      </c>
      <c r="P8" s="168">
        <v>357</v>
      </c>
      <c r="Q8" s="168">
        <v>5.09</v>
      </c>
      <c r="R8"/>
    </row>
    <row r="9" spans="1:18" x14ac:dyDescent="0.25">
      <c r="A9" s="168">
        <v>36.21</v>
      </c>
      <c r="B9" s="168">
        <v>0.74</v>
      </c>
      <c r="C9" s="168">
        <v>36.82</v>
      </c>
      <c r="D9" s="8">
        <v>42858.291666666664</v>
      </c>
      <c r="E9" s="168">
        <v>0.91</v>
      </c>
      <c r="F9" s="168" t="s">
        <v>506</v>
      </c>
      <c r="G9" s="168">
        <v>372.02</v>
      </c>
      <c r="H9" s="168">
        <v>8.6E-3</v>
      </c>
      <c r="I9" s="168">
        <v>0.45</v>
      </c>
      <c r="J9" s="168" t="s">
        <v>506</v>
      </c>
      <c r="K9" s="168">
        <v>1022.48</v>
      </c>
      <c r="L9" s="168" t="s">
        <v>538</v>
      </c>
      <c r="M9" s="168">
        <v>39.26</v>
      </c>
      <c r="N9" s="168">
        <v>1493816400</v>
      </c>
      <c r="O9" s="168">
        <v>4.7</v>
      </c>
      <c r="P9" s="168">
        <v>351</v>
      </c>
      <c r="Q9" s="168">
        <v>4.28</v>
      </c>
      <c r="R9"/>
    </row>
    <row r="10" spans="1:18" x14ac:dyDescent="0.25">
      <c r="A10" s="168">
        <v>36.020000000000003</v>
      </c>
      <c r="B10" s="168">
        <v>0.62</v>
      </c>
      <c r="C10" s="168">
        <v>35.76</v>
      </c>
      <c r="D10" s="8">
        <v>42858.333333333336</v>
      </c>
      <c r="E10" s="168">
        <v>0.87</v>
      </c>
      <c r="F10" s="168" t="s">
        <v>506</v>
      </c>
      <c r="G10" s="168">
        <v>372.86</v>
      </c>
      <c r="H10" s="168">
        <v>1.78E-2</v>
      </c>
      <c r="I10" s="168">
        <v>0.59</v>
      </c>
      <c r="J10" s="168" t="s">
        <v>506</v>
      </c>
      <c r="K10" s="168">
        <v>1023.02</v>
      </c>
      <c r="L10" s="168" t="s">
        <v>539</v>
      </c>
      <c r="M10" s="168">
        <v>39.33</v>
      </c>
      <c r="N10" s="168">
        <v>1493820000</v>
      </c>
      <c r="O10" s="168">
        <v>3.96</v>
      </c>
      <c r="P10" s="168">
        <v>353</v>
      </c>
      <c r="Q10" s="168">
        <v>4.59</v>
      </c>
      <c r="R10"/>
    </row>
    <row r="11" spans="1:18" x14ac:dyDescent="0.25">
      <c r="A11" s="168">
        <v>36.08</v>
      </c>
      <c r="B11" s="168">
        <v>0.64</v>
      </c>
      <c r="C11" s="168">
        <v>35.54</v>
      </c>
      <c r="D11" s="8">
        <v>42858.375</v>
      </c>
      <c r="E11" s="168">
        <v>0.87</v>
      </c>
      <c r="F11" s="168" t="s">
        <v>506</v>
      </c>
      <c r="G11" s="168">
        <v>372.58</v>
      </c>
      <c r="H11" s="168">
        <v>1.6E-2</v>
      </c>
      <c r="I11" s="168">
        <v>0.56999999999999995</v>
      </c>
      <c r="J11" s="168" t="s">
        <v>506</v>
      </c>
      <c r="K11" s="168">
        <v>1023.25</v>
      </c>
      <c r="L11" s="168" t="s">
        <v>539</v>
      </c>
      <c r="M11" s="168">
        <v>39.21</v>
      </c>
      <c r="N11" s="168">
        <v>1493823600</v>
      </c>
      <c r="O11" s="168">
        <v>3.74</v>
      </c>
      <c r="P11" s="168">
        <v>347</v>
      </c>
      <c r="Q11" s="168">
        <v>4.37</v>
      </c>
      <c r="R11"/>
    </row>
    <row r="12" spans="1:18" x14ac:dyDescent="0.25">
      <c r="A12" s="168">
        <v>38.82</v>
      </c>
      <c r="B12" s="168">
        <v>0.68</v>
      </c>
      <c r="C12" s="168">
        <v>36.35</v>
      </c>
      <c r="D12" s="8">
        <v>42858.416666666664</v>
      </c>
      <c r="E12" s="168">
        <v>0.85</v>
      </c>
      <c r="F12" s="168" t="s">
        <v>506</v>
      </c>
      <c r="G12" s="168">
        <v>370.73</v>
      </c>
      <c r="H12" s="168">
        <v>1.11E-2</v>
      </c>
      <c r="I12" s="168">
        <v>0.52</v>
      </c>
      <c r="J12" s="168" t="s">
        <v>506</v>
      </c>
      <c r="K12" s="168">
        <v>1023.44</v>
      </c>
      <c r="L12" s="168" t="s">
        <v>539</v>
      </c>
      <c r="M12" s="168">
        <v>40.5</v>
      </c>
      <c r="N12" s="168">
        <v>1493827200</v>
      </c>
      <c r="O12" s="168">
        <v>3.62</v>
      </c>
      <c r="P12" s="168">
        <v>11</v>
      </c>
      <c r="Q12" s="168">
        <v>3.1</v>
      </c>
      <c r="R12"/>
    </row>
    <row r="13" spans="1:18" x14ac:dyDescent="0.25">
      <c r="A13" s="168">
        <v>40.99</v>
      </c>
      <c r="B13" s="168">
        <v>0.81</v>
      </c>
      <c r="C13" s="168">
        <v>37.56</v>
      </c>
      <c r="D13" s="8">
        <v>42858.458333333336</v>
      </c>
      <c r="E13" s="168">
        <v>0.83</v>
      </c>
      <c r="F13" s="168" t="s">
        <v>506</v>
      </c>
      <c r="G13" s="168">
        <v>367.77</v>
      </c>
      <c r="H13" s="168">
        <v>8.6999999999999994E-3</v>
      </c>
      <c r="I13" s="168">
        <v>0.46</v>
      </c>
      <c r="J13" s="168" t="s">
        <v>506</v>
      </c>
      <c r="K13" s="168">
        <v>1023.55</v>
      </c>
      <c r="L13" s="168" t="s">
        <v>538</v>
      </c>
      <c r="M13" s="168">
        <v>42.49</v>
      </c>
      <c r="N13" s="168">
        <v>1493830800</v>
      </c>
      <c r="O13" s="168">
        <v>3.79</v>
      </c>
      <c r="P13" s="168">
        <v>39</v>
      </c>
      <c r="Q13" s="168">
        <v>3.18</v>
      </c>
      <c r="R13"/>
    </row>
    <row r="14" spans="1:18" x14ac:dyDescent="0.25">
      <c r="A14" s="168">
        <v>45.33</v>
      </c>
      <c r="B14" s="168">
        <v>0.87</v>
      </c>
      <c r="C14" s="168">
        <v>40.5</v>
      </c>
      <c r="D14" s="8">
        <v>42858.5</v>
      </c>
      <c r="E14" s="168">
        <v>0.83</v>
      </c>
      <c r="F14" s="168" t="s">
        <v>506</v>
      </c>
      <c r="G14" s="168">
        <v>364.36</v>
      </c>
      <c r="H14" s="168">
        <v>5.8999999999999999E-3</v>
      </c>
      <c r="I14" s="168">
        <v>0.27</v>
      </c>
      <c r="J14" s="168" t="s">
        <v>506</v>
      </c>
      <c r="K14" s="168">
        <v>1023.47</v>
      </c>
      <c r="L14" s="168" t="s">
        <v>538</v>
      </c>
      <c r="M14" s="168">
        <v>45.33</v>
      </c>
      <c r="N14" s="168">
        <v>1493834400</v>
      </c>
      <c r="O14" s="168">
        <v>4.37</v>
      </c>
      <c r="P14" s="168">
        <v>38</v>
      </c>
      <c r="Q14" s="168">
        <v>2.61</v>
      </c>
      <c r="R14"/>
    </row>
    <row r="15" spans="1:18" x14ac:dyDescent="0.25">
      <c r="A15" s="168">
        <v>46.74</v>
      </c>
      <c r="B15" s="168">
        <v>0.8</v>
      </c>
      <c r="C15" s="168">
        <v>40.479999999999997</v>
      </c>
      <c r="D15" s="8">
        <v>42858.541666666664</v>
      </c>
      <c r="E15" s="168">
        <v>0.79</v>
      </c>
      <c r="F15" s="168" t="s">
        <v>408</v>
      </c>
      <c r="G15" s="168">
        <v>360.56</v>
      </c>
      <c r="H15" s="168">
        <v>3.3999999999999998E-3</v>
      </c>
      <c r="I15" s="168">
        <v>0.12</v>
      </c>
      <c r="J15" s="168" t="s">
        <v>506</v>
      </c>
      <c r="K15" s="168">
        <v>1023.06</v>
      </c>
      <c r="L15" s="168" t="s">
        <v>507</v>
      </c>
      <c r="M15" s="168">
        <v>46.74</v>
      </c>
      <c r="N15" s="168">
        <v>1493838000</v>
      </c>
      <c r="O15" s="168">
        <v>4.1399999999999997</v>
      </c>
      <c r="P15" s="168">
        <v>44</v>
      </c>
      <c r="Q15" s="168">
        <v>0.14000000000000001</v>
      </c>
      <c r="R15"/>
    </row>
    <row r="16" spans="1:18" x14ac:dyDescent="0.25">
      <c r="A16" s="168">
        <v>52.38</v>
      </c>
      <c r="B16" s="168">
        <v>0.69</v>
      </c>
      <c r="C16" s="168">
        <v>40.340000000000003</v>
      </c>
      <c r="D16" s="8">
        <v>42858.583333333336</v>
      </c>
      <c r="E16" s="168">
        <v>0.63</v>
      </c>
      <c r="F16" s="168" t="s">
        <v>408</v>
      </c>
      <c r="G16" s="168">
        <v>356.3</v>
      </c>
      <c r="H16" s="168">
        <v>1.6999999999999999E-3</v>
      </c>
      <c r="I16" s="168">
        <v>0.04</v>
      </c>
      <c r="J16" s="168" t="s">
        <v>506</v>
      </c>
      <c r="K16" s="168">
        <v>1022.35</v>
      </c>
      <c r="L16" s="168" t="s">
        <v>507</v>
      </c>
      <c r="M16" s="168">
        <v>52.38</v>
      </c>
      <c r="N16" s="168">
        <v>1493841600</v>
      </c>
      <c r="O16" s="168">
        <v>4.84</v>
      </c>
      <c r="P16" s="168">
        <v>330</v>
      </c>
      <c r="Q16" s="168">
        <v>1.28</v>
      </c>
      <c r="R16"/>
    </row>
    <row r="17" spans="1:18" x14ac:dyDescent="0.25">
      <c r="A17" s="168">
        <v>54.74</v>
      </c>
      <c r="B17" s="168">
        <v>0.59</v>
      </c>
      <c r="C17" s="168">
        <v>37.82</v>
      </c>
      <c r="D17" s="8">
        <v>42858.625</v>
      </c>
      <c r="E17" s="168">
        <v>0.53</v>
      </c>
      <c r="F17" s="168" t="s">
        <v>408</v>
      </c>
      <c r="G17" s="168">
        <v>352.17</v>
      </c>
      <c r="H17" s="168">
        <v>8.9999999999999998E-4</v>
      </c>
      <c r="I17" s="168">
        <v>0.01</v>
      </c>
      <c r="J17" s="168" t="s">
        <v>506</v>
      </c>
      <c r="K17" s="168">
        <v>1021.69</v>
      </c>
      <c r="L17" s="168" t="s">
        <v>341</v>
      </c>
      <c r="M17" s="168">
        <v>54.74</v>
      </c>
      <c r="N17" s="168">
        <v>1493845200</v>
      </c>
      <c r="O17" s="168">
        <v>5.2</v>
      </c>
      <c r="P17" s="168">
        <v>21</v>
      </c>
      <c r="Q17" s="168">
        <v>2.93</v>
      </c>
      <c r="R17"/>
    </row>
    <row r="18" spans="1:18" x14ac:dyDescent="0.25">
      <c r="A18" s="168">
        <v>56.75</v>
      </c>
      <c r="B18" s="168">
        <v>0.5</v>
      </c>
      <c r="C18" s="168">
        <v>35.340000000000003</v>
      </c>
      <c r="D18" s="8">
        <v>42858.666666666664</v>
      </c>
      <c r="E18" s="168">
        <v>0.44</v>
      </c>
      <c r="F18" s="168" t="s">
        <v>408</v>
      </c>
      <c r="G18" s="168">
        <v>348.26</v>
      </c>
      <c r="H18" s="168">
        <v>0</v>
      </c>
      <c r="I18" s="168">
        <v>0</v>
      </c>
      <c r="J18" s="168"/>
      <c r="K18" s="168">
        <v>1021.19</v>
      </c>
      <c r="L18" s="168" t="s">
        <v>341</v>
      </c>
      <c r="M18" s="168">
        <v>56.75</v>
      </c>
      <c r="N18" s="168">
        <v>1493848800</v>
      </c>
      <c r="O18" s="168">
        <v>5.2</v>
      </c>
      <c r="P18" s="168">
        <v>29</v>
      </c>
      <c r="Q18" s="168">
        <v>3.68</v>
      </c>
      <c r="R18"/>
    </row>
    <row r="19" spans="1:18" x14ac:dyDescent="0.25">
      <c r="A19" s="168">
        <v>56.82</v>
      </c>
      <c r="B19" s="168">
        <v>0.4</v>
      </c>
      <c r="C19" s="168">
        <v>34.549999999999997</v>
      </c>
      <c r="D19" s="8">
        <v>42858.708333333336</v>
      </c>
      <c r="E19" s="168">
        <v>0.43</v>
      </c>
      <c r="F19" s="168" t="s">
        <v>408</v>
      </c>
      <c r="G19" s="168">
        <v>344.47</v>
      </c>
      <c r="H19" s="168">
        <v>0</v>
      </c>
      <c r="I19" s="168">
        <v>0</v>
      </c>
      <c r="J19" s="168"/>
      <c r="K19" s="168">
        <v>1020.83</v>
      </c>
      <c r="L19" s="168" t="s">
        <v>341</v>
      </c>
      <c r="M19" s="168">
        <v>56.82</v>
      </c>
      <c r="N19" s="168">
        <v>1493852400</v>
      </c>
      <c r="O19" s="168">
        <v>5.2</v>
      </c>
      <c r="P19" s="168">
        <v>32</v>
      </c>
      <c r="Q19" s="168">
        <v>3.88</v>
      </c>
      <c r="R19"/>
    </row>
    <row r="20" spans="1:18" x14ac:dyDescent="0.25">
      <c r="A20" s="168">
        <v>56.3</v>
      </c>
      <c r="B20" s="168">
        <v>0.25</v>
      </c>
      <c r="C20" s="168">
        <v>32.83</v>
      </c>
      <c r="D20" s="8">
        <v>42858.75</v>
      </c>
      <c r="E20" s="168">
        <v>0.41</v>
      </c>
      <c r="F20" s="168" t="s">
        <v>408</v>
      </c>
      <c r="G20" s="168">
        <v>341.02</v>
      </c>
      <c r="H20" s="168">
        <v>0</v>
      </c>
      <c r="I20" s="168">
        <v>0</v>
      </c>
      <c r="J20" s="168"/>
      <c r="K20" s="168">
        <v>1020.83</v>
      </c>
      <c r="L20" s="168" t="s">
        <v>341</v>
      </c>
      <c r="M20" s="168">
        <v>56.3</v>
      </c>
      <c r="N20" s="168">
        <v>1493856000</v>
      </c>
      <c r="O20" s="168">
        <v>5.38</v>
      </c>
      <c r="P20" s="168">
        <v>31</v>
      </c>
      <c r="Q20" s="168">
        <v>3.27</v>
      </c>
      <c r="R20"/>
    </row>
    <row r="21" spans="1:18" x14ac:dyDescent="0.25">
      <c r="A21" s="168">
        <v>54.72</v>
      </c>
      <c r="B21" s="168">
        <v>0.19</v>
      </c>
      <c r="C21" s="168">
        <v>31.75</v>
      </c>
      <c r="D21" s="8">
        <v>42858.791666666664</v>
      </c>
      <c r="E21" s="168">
        <v>0.41</v>
      </c>
      <c r="F21" s="168" t="s">
        <v>836</v>
      </c>
      <c r="G21" s="168">
        <v>337.9</v>
      </c>
      <c r="H21" s="168">
        <v>0</v>
      </c>
      <c r="I21" s="168">
        <v>0</v>
      </c>
      <c r="J21" s="168"/>
      <c r="K21" s="168">
        <v>1021.36</v>
      </c>
      <c r="L21" s="168" t="s">
        <v>837</v>
      </c>
      <c r="M21" s="168">
        <v>54.72</v>
      </c>
      <c r="N21" s="168">
        <v>1493859600</v>
      </c>
      <c r="O21" s="168">
        <v>5.77</v>
      </c>
      <c r="P21" s="168">
        <v>36</v>
      </c>
      <c r="Q21" s="168">
        <v>1.48</v>
      </c>
      <c r="R21"/>
    </row>
    <row r="22" spans="1:18" x14ac:dyDescent="0.25">
      <c r="A22" s="168">
        <v>50.49</v>
      </c>
      <c r="B22" s="168">
        <v>0.11</v>
      </c>
      <c r="C22" s="168">
        <v>31.31</v>
      </c>
      <c r="D22" s="8">
        <v>42858.833333333336</v>
      </c>
      <c r="E22" s="168">
        <v>0.48</v>
      </c>
      <c r="F22" s="168" t="s">
        <v>838</v>
      </c>
      <c r="G22" s="168">
        <v>335.12</v>
      </c>
      <c r="H22" s="168">
        <v>0</v>
      </c>
      <c r="I22" s="168">
        <v>0</v>
      </c>
      <c r="J22" s="168"/>
      <c r="K22" s="168">
        <v>1022.26</v>
      </c>
      <c r="L22" s="168" t="s">
        <v>837</v>
      </c>
      <c r="M22" s="168">
        <v>50.49</v>
      </c>
      <c r="N22" s="168">
        <v>1493863200</v>
      </c>
      <c r="O22" s="168">
        <v>6.45</v>
      </c>
      <c r="P22" s="168">
        <v>143</v>
      </c>
      <c r="Q22" s="168">
        <v>1.41</v>
      </c>
      <c r="R22"/>
    </row>
    <row r="23" spans="1:18" x14ac:dyDescent="0.25">
      <c r="A23" s="168">
        <v>47.64</v>
      </c>
      <c r="B23" s="168">
        <v>7.0000000000000007E-2</v>
      </c>
      <c r="C23" s="168">
        <v>33.15</v>
      </c>
      <c r="D23" s="8">
        <v>42858.875</v>
      </c>
      <c r="E23" s="168">
        <v>0.56999999999999995</v>
      </c>
      <c r="F23" s="168" t="s">
        <v>838</v>
      </c>
      <c r="G23" s="168">
        <v>332.86</v>
      </c>
      <c r="H23" s="168">
        <v>0</v>
      </c>
      <c r="I23" s="168">
        <v>0</v>
      </c>
      <c r="J23" s="168"/>
      <c r="K23" s="168">
        <v>1023.14</v>
      </c>
      <c r="L23" s="168" t="s">
        <v>837</v>
      </c>
      <c r="M23" s="168">
        <v>47.64</v>
      </c>
      <c r="N23" s="168">
        <v>1493866800</v>
      </c>
      <c r="O23" s="168">
        <v>7.46</v>
      </c>
      <c r="P23" s="168">
        <v>199</v>
      </c>
      <c r="Q23" s="168">
        <v>1.59</v>
      </c>
      <c r="R23"/>
    </row>
    <row r="24" spans="1:18" x14ac:dyDescent="0.25">
      <c r="A24" s="168">
        <v>46.2</v>
      </c>
      <c r="B24" s="168">
        <v>0.14000000000000001</v>
      </c>
      <c r="C24" s="168">
        <v>33.08</v>
      </c>
      <c r="D24" s="8">
        <v>42858.916666666664</v>
      </c>
      <c r="E24" s="168">
        <v>0.6</v>
      </c>
      <c r="F24" s="168" t="s">
        <v>838</v>
      </c>
      <c r="G24" s="168">
        <v>331.35</v>
      </c>
      <c r="H24" s="168">
        <v>0</v>
      </c>
      <c r="I24" s="168">
        <v>0</v>
      </c>
      <c r="J24" s="168"/>
      <c r="K24" s="168">
        <v>1023.88</v>
      </c>
      <c r="L24" s="168" t="s">
        <v>837</v>
      </c>
      <c r="M24" s="168">
        <v>46.2</v>
      </c>
      <c r="N24" s="168">
        <v>1493870400</v>
      </c>
      <c r="O24" s="168">
        <v>6.48</v>
      </c>
      <c r="P24" s="168">
        <v>138</v>
      </c>
      <c r="Q24" s="168">
        <v>1.72</v>
      </c>
      <c r="R24"/>
    </row>
    <row r="25" spans="1:18" x14ac:dyDescent="0.25">
      <c r="A25" s="168">
        <v>44.37</v>
      </c>
      <c r="B25" s="168">
        <v>0.1</v>
      </c>
      <c r="C25" s="168">
        <v>32.6</v>
      </c>
      <c r="D25" s="8">
        <v>42858.958333333336</v>
      </c>
      <c r="E25" s="168">
        <v>0.63</v>
      </c>
      <c r="F25" s="168" t="s">
        <v>838</v>
      </c>
      <c r="G25" s="168">
        <v>330.36</v>
      </c>
      <c r="H25" s="168">
        <v>0</v>
      </c>
      <c r="I25" s="168">
        <v>0</v>
      </c>
      <c r="J25" s="168"/>
      <c r="K25" s="168">
        <v>1024.58</v>
      </c>
      <c r="L25" s="168" t="s">
        <v>837</v>
      </c>
      <c r="M25" s="168">
        <v>44.37</v>
      </c>
      <c r="N25" s="168">
        <v>1493874000</v>
      </c>
      <c r="O25" s="168">
        <v>5.82</v>
      </c>
      <c r="P25" s="168">
        <v>149</v>
      </c>
      <c r="Q25" s="168">
        <v>2.82</v>
      </c>
      <c r="R25"/>
    </row>
    <row r="26" spans="1:18" x14ac:dyDescent="0.25">
      <c r="A26" s="168">
        <v>42.24</v>
      </c>
      <c r="B26" s="168">
        <v>0.1</v>
      </c>
      <c r="C26" s="168">
        <v>32.22</v>
      </c>
      <c r="D26" s="8">
        <v>42859</v>
      </c>
      <c r="E26" s="168">
        <v>0.67</v>
      </c>
      <c r="F26" s="168" t="s">
        <v>838</v>
      </c>
      <c r="G26" s="168">
        <v>329.41</v>
      </c>
      <c r="H26" s="168">
        <v>0</v>
      </c>
      <c r="I26" s="168">
        <v>0</v>
      </c>
      <c r="J26" s="168"/>
      <c r="K26" s="168">
        <v>1025.1400000000001</v>
      </c>
      <c r="L26" s="168" t="s">
        <v>837</v>
      </c>
      <c r="M26" s="168">
        <v>42.24</v>
      </c>
      <c r="N26" s="168">
        <v>1493877600</v>
      </c>
      <c r="O26" s="168">
        <v>5.79</v>
      </c>
      <c r="P26" s="168">
        <v>171</v>
      </c>
      <c r="Q26" s="168">
        <v>1.8</v>
      </c>
      <c r="R26"/>
    </row>
    <row r="27" spans="1:18" x14ac:dyDescent="0.25">
      <c r="A27" s="168">
        <v>40.659999999999997</v>
      </c>
      <c r="B27" s="168">
        <v>0.18</v>
      </c>
      <c r="C27" s="168">
        <v>32.29</v>
      </c>
      <c r="D27" s="8">
        <v>42859.041666666664</v>
      </c>
      <c r="E27" s="168">
        <v>0.72</v>
      </c>
      <c r="F27" s="168" t="s">
        <v>838</v>
      </c>
      <c r="G27" s="168">
        <v>328.36</v>
      </c>
      <c r="H27" s="168">
        <v>0</v>
      </c>
      <c r="I27" s="168">
        <v>0</v>
      </c>
      <c r="J27" s="168"/>
      <c r="K27" s="168">
        <v>1025.29</v>
      </c>
      <c r="L27" s="168" t="s">
        <v>837</v>
      </c>
      <c r="M27" s="168">
        <v>40.659999999999997</v>
      </c>
      <c r="N27" s="168">
        <v>1493881200</v>
      </c>
      <c r="O27" s="168">
        <v>5.99</v>
      </c>
      <c r="P27" s="168">
        <v>165</v>
      </c>
      <c r="Q27" s="168">
        <v>2.36</v>
      </c>
      <c r="R27"/>
    </row>
    <row r="28" spans="1:18" x14ac:dyDescent="0.25">
      <c r="A28" s="168">
        <v>39.630000000000003</v>
      </c>
      <c r="B28" s="168">
        <v>0.18</v>
      </c>
      <c r="C28" s="168">
        <v>32.18</v>
      </c>
      <c r="D28" s="8">
        <v>42859.083333333336</v>
      </c>
      <c r="E28" s="168">
        <v>0.74</v>
      </c>
      <c r="F28" s="168" t="s">
        <v>838</v>
      </c>
      <c r="G28" s="168">
        <v>327.31</v>
      </c>
      <c r="H28" s="168">
        <v>0</v>
      </c>
      <c r="I28" s="168">
        <v>0</v>
      </c>
      <c r="J28" s="168"/>
      <c r="K28" s="168">
        <v>1025.4100000000001</v>
      </c>
      <c r="L28" s="168" t="s">
        <v>837</v>
      </c>
      <c r="M28" s="168">
        <v>39.630000000000003</v>
      </c>
      <c r="N28" s="168">
        <v>1493884800</v>
      </c>
      <c r="O28" s="168">
        <v>5.71</v>
      </c>
      <c r="P28" s="168">
        <v>186</v>
      </c>
      <c r="Q28" s="168">
        <v>1.69</v>
      </c>
      <c r="R28"/>
    </row>
    <row r="29" spans="1:18" x14ac:dyDescent="0.25">
      <c r="A29" s="168">
        <v>38.33</v>
      </c>
      <c r="B29" s="168">
        <v>0.21</v>
      </c>
      <c r="C29" s="168">
        <v>31.95</v>
      </c>
      <c r="D29" s="8">
        <v>42859.125</v>
      </c>
      <c r="E29" s="168">
        <v>0.78</v>
      </c>
      <c r="F29" s="168" t="s">
        <v>838</v>
      </c>
      <c r="G29" s="168">
        <v>326.25</v>
      </c>
      <c r="H29" s="168">
        <v>0</v>
      </c>
      <c r="I29" s="168">
        <v>0</v>
      </c>
      <c r="J29" s="168"/>
      <c r="K29" s="168">
        <v>1025.51</v>
      </c>
      <c r="L29" s="168" t="s">
        <v>837</v>
      </c>
      <c r="M29" s="168">
        <v>38.33</v>
      </c>
      <c r="N29" s="168">
        <v>1493888400</v>
      </c>
      <c r="O29" s="168">
        <v>4.26</v>
      </c>
      <c r="P29" s="168">
        <v>186</v>
      </c>
      <c r="Q29" s="168">
        <v>1.78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9"/>
  <sheetViews>
    <sheetView workbookViewId="0">
      <selection activeCell="M21" sqref="M21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343</v>
      </c>
      <c r="U1" s="159"/>
      <c r="V1" s="159"/>
      <c r="W1" s="159"/>
      <c r="X1" s="159"/>
    </row>
    <row r="2" spans="1:24" ht="15.75" thickBot="1" x14ac:dyDescent="0.3">
      <c r="A2" s="12">
        <v>42858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344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345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346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347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1000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1001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1002</v>
      </c>
      <c r="J20" s="143" t="s">
        <v>87</v>
      </c>
      <c r="M20" s="157" t="s">
        <v>525</v>
      </c>
      <c r="N20" s="157" t="s">
        <v>342</v>
      </c>
      <c r="T20" s="158"/>
      <c r="U20" s="158"/>
      <c r="V20" s="158"/>
      <c r="W20" s="158"/>
      <c r="X20" s="158"/>
    </row>
    <row r="21" spans="3:24" x14ac:dyDescent="0.25">
      <c r="C21" t="s">
        <v>1003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1004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1005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1006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1007</v>
      </c>
      <c r="J25" s="143" t="s">
        <v>150</v>
      </c>
      <c r="M25" s="157" t="b">
        <v>1</v>
      </c>
    </row>
    <row r="26" spans="3:24" x14ac:dyDescent="0.25">
      <c r="C26" t="s">
        <v>1008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C:\Users\stu\Documents\GitHub\eaglep3-reporting\EC\2017-05-03-refined-times.txt</v>
      </c>
    </row>
    <row r="27" spans="3:24" x14ac:dyDescent="0.25">
      <c r="C27" t="s">
        <v>1009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C:\Users\stu\Documents\GitHub\eaglep3-reporting\EC\2017-05-03-Enforcements.txt</v>
      </c>
    </row>
    <row r="28" spans="3:24" x14ac:dyDescent="0.25">
      <c r="C28" t="s">
        <v>1010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C:\Users\stu\Documents\GitHub\eaglep3-reporting\EC\2017-05-03-Runs-refined.txt</v>
      </c>
    </row>
    <row r="29" spans="3:24" x14ac:dyDescent="0.25">
      <c r="C29" t="s">
        <v>1011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C:\Users\stu\Documents\GitHub\eaglep3-reporting\EC\2017-05-03-Trips.txt</v>
      </c>
    </row>
    <row r="30" spans="3:24" x14ac:dyDescent="0.25">
      <c r="C30" t="s">
        <v>1012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C:\Users\stu\Documents\GitHub\eaglep3-reporting\EC\2017-05-03-Weather.txt</v>
      </c>
    </row>
    <row r="31" spans="3:24" x14ac:dyDescent="0.25">
      <c r="C31" t="s">
        <v>1013</v>
      </c>
      <c r="J31" s="143" t="s">
        <v>201</v>
      </c>
      <c r="M31" s="157" t="s">
        <v>202</v>
      </c>
    </row>
    <row r="32" spans="3:24" x14ac:dyDescent="0.25">
      <c r="C32" t="s">
        <v>1014</v>
      </c>
    </row>
    <row r="33" spans="3:3" x14ac:dyDescent="0.25">
      <c r="C33" t="s">
        <v>1015</v>
      </c>
    </row>
    <row r="34" spans="3:3" x14ac:dyDescent="0.25">
      <c r="C34" t="s">
        <v>1016</v>
      </c>
    </row>
    <row r="35" spans="3:3" x14ac:dyDescent="0.25">
      <c r="C35" t="s">
        <v>1017</v>
      </c>
    </row>
    <row r="36" spans="3:3" x14ac:dyDescent="0.25">
      <c r="C36" t="s">
        <v>1018</v>
      </c>
    </row>
    <row r="37" spans="3:3" x14ac:dyDescent="0.25">
      <c r="C37" t="s">
        <v>1019</v>
      </c>
    </row>
    <row r="38" spans="3:3" x14ac:dyDescent="0.25">
      <c r="C38" t="s">
        <v>1020</v>
      </c>
    </row>
    <row r="39" spans="3:3" x14ac:dyDescent="0.25">
      <c r="C39" t="s">
        <v>1021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378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379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211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212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213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214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215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216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217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218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219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220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221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222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223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224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225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226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227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228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229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230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231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232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233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234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235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236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237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238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239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240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241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242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243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244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245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246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247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248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249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250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251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252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253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254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255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256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257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258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259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260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261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262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263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264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265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266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267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268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269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270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271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272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273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274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275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276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277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278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279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280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281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282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283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284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285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286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287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288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289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290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291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292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293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294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295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296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297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298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299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300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301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302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303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304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305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306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307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308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309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310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311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312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313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314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315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316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317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318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319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320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321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322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323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324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325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326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327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328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329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330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331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332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333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334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335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336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337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338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339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340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2017-05-04T21:46:09Z</dcterms:modified>
</cp:coreProperties>
</file>